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9" l="1"/>
  <c r="C58" i="9"/>
  <c r="B59" i="9"/>
  <c r="C60" i="9" s="1"/>
  <c r="C59" i="9"/>
  <c r="B60" i="9"/>
  <c r="B61" i="9"/>
  <c r="C62" i="9" s="1"/>
  <c r="C61" i="9"/>
  <c r="B62" i="9"/>
  <c r="B63" i="9"/>
  <c r="C64" i="9" s="1"/>
  <c r="C63" i="9"/>
  <c r="B64" i="9"/>
  <c r="B65" i="9"/>
  <c r="C66" i="9" s="1"/>
  <c r="C65" i="9"/>
  <c r="B66" i="9"/>
  <c r="B67" i="9"/>
  <c r="C68" i="9" s="1"/>
  <c r="C67" i="9"/>
  <c r="B68" i="9"/>
  <c r="B69" i="9"/>
  <c r="C69" i="9"/>
  <c r="X156" i="1" l="1"/>
  <c r="X157" i="1"/>
  <c r="X158" i="1"/>
  <c r="X159" i="1"/>
  <c r="X160" i="1"/>
  <c r="X161" i="1"/>
  <c r="X162" i="1"/>
  <c r="N157" i="1"/>
  <c r="K157" i="1"/>
  <c r="L157" i="1"/>
  <c r="M157" i="1"/>
  <c r="V157" i="1"/>
  <c r="Y157" i="1"/>
  <c r="Z157" i="1"/>
  <c r="AA157" i="1"/>
  <c r="AB157" i="1"/>
  <c r="AC157" i="1"/>
  <c r="AD157" i="1"/>
  <c r="T157" i="1" s="1"/>
  <c r="AE157" i="1"/>
  <c r="AF157" i="1"/>
  <c r="AH157" i="1"/>
  <c r="AM157" i="1"/>
  <c r="K156" i="1"/>
  <c r="L156" i="1"/>
  <c r="M156" i="1"/>
  <c r="V156" i="1"/>
  <c r="Y156" i="1"/>
  <c r="Z156" i="1"/>
  <c r="AA156" i="1" s="1"/>
  <c r="AB156" i="1"/>
  <c r="AC156" i="1"/>
  <c r="AD156" i="1"/>
  <c r="AG156" i="1" s="1"/>
  <c r="AE156" i="1"/>
  <c r="AF156" i="1"/>
  <c r="AH156" i="1"/>
  <c r="AM156" i="1"/>
  <c r="P153" i="1"/>
  <c r="Y98" i="1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K19" i="1"/>
  <c r="L19" i="1"/>
  <c r="M19" i="1"/>
  <c r="N19" i="1"/>
  <c r="V19" i="1"/>
  <c r="S26" i="3" s="1"/>
  <c r="Y19" i="1"/>
  <c r="Z19" i="1"/>
  <c r="AB19" i="1"/>
  <c r="AC19" i="1"/>
  <c r="AD19" i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K34" i="1"/>
  <c r="L34" i="1"/>
  <c r="M34" i="1"/>
  <c r="N34" i="1" s="1"/>
  <c r="V34" i="1"/>
  <c r="S28" i="3" s="1"/>
  <c r="Y34" i="1"/>
  <c r="Z34" i="1"/>
  <c r="AB34" i="1"/>
  <c r="AC34" i="1"/>
  <c r="AD34" i="1"/>
  <c r="AE34" i="1"/>
  <c r="R28" i="3" s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K38" i="1"/>
  <c r="L38" i="1"/>
  <c r="M38" i="1"/>
  <c r="N38" i="1" s="1"/>
  <c r="V38" i="1"/>
  <c r="S29" i="3" s="1"/>
  <c r="Y38" i="1"/>
  <c r="Z38" i="1"/>
  <c r="AB38" i="1"/>
  <c r="AC38" i="1"/>
  <c r="AD38" i="1"/>
  <c r="AE38" i="1"/>
  <c r="R29" i="3" s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S17" i="3" s="1"/>
  <c r="Y41" i="1"/>
  <c r="Z41" i="1"/>
  <c r="AB41" i="1"/>
  <c r="AC41" i="1"/>
  <c r="AD41" i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G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I57" i="1" s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30" i="3" s="1"/>
  <c r="AF58" i="1"/>
  <c r="AH58" i="1"/>
  <c r="AM58" i="1"/>
  <c r="K59" i="1"/>
  <c r="L59" i="1"/>
  <c r="M59" i="1"/>
  <c r="N59" i="1" s="1"/>
  <c r="V59" i="1"/>
  <c r="S13" i="3" s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K61" i="1"/>
  <c r="L61" i="1"/>
  <c r="M61" i="1"/>
  <c r="N61" i="1" s="1"/>
  <c r="V61" i="1"/>
  <c r="Y61" i="1"/>
  <c r="Z61" i="1"/>
  <c r="AI61" i="1" s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K65" i="1"/>
  <c r="L65" i="1"/>
  <c r="M65" i="1"/>
  <c r="N65" i="1" s="1"/>
  <c r="V65" i="1"/>
  <c r="S23" i="3" s="1"/>
  <c r="Y65" i="1"/>
  <c r="Z65" i="1"/>
  <c r="AB65" i="1"/>
  <c r="AC65" i="1"/>
  <c r="AD65" i="1"/>
  <c r="AG65" i="1" s="1"/>
  <c r="AE65" i="1"/>
  <c r="R23" i="3" s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K69" i="1"/>
  <c r="L69" i="1"/>
  <c r="M69" i="1"/>
  <c r="N69" i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K72" i="1"/>
  <c r="L72" i="1"/>
  <c r="M72" i="1"/>
  <c r="N72" i="1" s="1"/>
  <c r="V72" i="1"/>
  <c r="S21" i="3" s="1"/>
  <c r="Y72" i="1"/>
  <c r="Z72" i="1"/>
  <c r="AB72" i="1"/>
  <c r="AC72" i="1"/>
  <c r="AD72" i="1"/>
  <c r="AE72" i="1"/>
  <c r="AF72" i="1"/>
  <c r="AH72" i="1"/>
  <c r="AM72" i="1"/>
  <c r="K73" i="1"/>
  <c r="L73" i="1"/>
  <c r="M73" i="1"/>
  <c r="N73" i="1" s="1"/>
  <c r="V73" i="1"/>
  <c r="Y73" i="1"/>
  <c r="Z73" i="1"/>
  <c r="AI73" i="1" s="1"/>
  <c r="AB73" i="1"/>
  <c r="AC73" i="1"/>
  <c r="AD73" i="1"/>
  <c r="AG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K75" i="1"/>
  <c r="L75" i="1"/>
  <c r="M75" i="1"/>
  <c r="N75" i="1" s="1"/>
  <c r="V75" i="1"/>
  <c r="S8" i="3" s="1"/>
  <c r="Y75" i="1"/>
  <c r="Z75" i="1"/>
  <c r="AB75" i="1"/>
  <c r="AC75" i="1"/>
  <c r="AD75" i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S7" i="3" s="1"/>
  <c r="Y84" i="1"/>
  <c r="Z84" i="1"/>
  <c r="AB84" i="1"/>
  <c r="AC84" i="1"/>
  <c r="AD84" i="1"/>
  <c r="AE84" i="1"/>
  <c r="R7" i="3" s="1"/>
  <c r="AF84" i="1"/>
  <c r="AH84" i="1"/>
  <c r="AM84" i="1"/>
  <c r="K85" i="1"/>
  <c r="L85" i="1"/>
  <c r="M85" i="1"/>
  <c r="N85" i="1" s="1"/>
  <c r="V85" i="1"/>
  <c r="S12" i="3" s="1"/>
  <c r="Y85" i="1"/>
  <c r="Z85" i="1"/>
  <c r="AB85" i="1"/>
  <c r="AC85" i="1"/>
  <c r="AD85" i="1"/>
  <c r="AE85" i="1"/>
  <c r="R11" i="3" s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S9" i="3" s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H94" i="1"/>
  <c r="AM94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5" i="1"/>
  <c r="AM9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96" i="1"/>
  <c r="AM96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7" i="1"/>
  <c r="AM97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9" i="1"/>
  <c r="AM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2" i="1"/>
  <c r="AM102" i="1"/>
  <c r="K94" i="1"/>
  <c r="L94" i="1"/>
  <c r="M94" i="1"/>
  <c r="N94" i="1" s="1"/>
  <c r="V94" i="1"/>
  <c r="Y94" i="1"/>
  <c r="Z94" i="1"/>
  <c r="AA94" i="1" s="1"/>
  <c r="AB94" i="1"/>
  <c r="AC94" i="1"/>
  <c r="AD94" i="1"/>
  <c r="AG94" i="1" s="1"/>
  <c r="AE94" i="1"/>
  <c r="AF94" i="1"/>
  <c r="AH103" i="1"/>
  <c r="AM103" i="1"/>
  <c r="K167" i="1"/>
  <c r="L167" i="1"/>
  <c r="M167" i="1"/>
  <c r="N167" i="1" s="1"/>
  <c r="V167" i="1"/>
  <c r="Y167" i="1"/>
  <c r="Z167" i="1"/>
  <c r="AB167" i="1"/>
  <c r="AC167" i="1"/>
  <c r="AD167" i="1"/>
  <c r="AG167" i="1" s="1"/>
  <c r="AI167" i="1" s="1"/>
  <c r="AE167" i="1"/>
  <c r="AF167" i="1"/>
  <c r="AH104" i="1"/>
  <c r="AM104" i="1"/>
  <c r="K168" i="1"/>
  <c r="L168" i="1"/>
  <c r="M168" i="1"/>
  <c r="N168" i="1"/>
  <c r="V168" i="1"/>
  <c r="Y168" i="1"/>
  <c r="Z168" i="1"/>
  <c r="AB168" i="1"/>
  <c r="AC168" i="1"/>
  <c r="AD168" i="1"/>
  <c r="AG168" i="1" s="1"/>
  <c r="AE168" i="1"/>
  <c r="AF168" i="1"/>
  <c r="AH105" i="1"/>
  <c r="AM105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06" i="1"/>
  <c r="AM10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7" i="1"/>
  <c r="AM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AM10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9" i="1"/>
  <c r="AM10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10" i="1"/>
  <c r="AM110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11" i="1"/>
  <c r="AM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3" i="1"/>
  <c r="AM113" i="1"/>
  <c r="K95" i="1"/>
  <c r="L95" i="1"/>
  <c r="M95" i="1"/>
  <c r="N95" i="1" s="1"/>
  <c r="V95" i="1"/>
  <c r="S16" i="3" s="1"/>
  <c r="Y95" i="1"/>
  <c r="Z95" i="1"/>
  <c r="AB95" i="1"/>
  <c r="AC95" i="1"/>
  <c r="AD95" i="1"/>
  <c r="AG95" i="1" s="1"/>
  <c r="AE95" i="1"/>
  <c r="R16" i="3" s="1"/>
  <c r="AF95" i="1"/>
  <c r="AH114" i="1"/>
  <c r="AM11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5" i="1"/>
  <c r="AM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AM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9" i="1"/>
  <c r="AM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K184" i="1"/>
  <c r="L184" i="1"/>
  <c r="M184" i="1"/>
  <c r="N184" i="1" s="1"/>
  <c r="V184" i="1"/>
  <c r="S35" i="3" s="1"/>
  <c r="Y184" i="1"/>
  <c r="Z184" i="1"/>
  <c r="AB184" i="1"/>
  <c r="AC184" i="1"/>
  <c r="AD184" i="1"/>
  <c r="AE184" i="1"/>
  <c r="R35" i="3" s="1"/>
  <c r="AF184" i="1"/>
  <c r="AH122" i="1"/>
  <c r="AM12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3" i="1"/>
  <c r="AM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5" i="1"/>
  <c r="AM1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6" i="1"/>
  <c r="AM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AM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9" i="1"/>
  <c r="AM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H131" i="1"/>
  <c r="AM131" i="1"/>
  <c r="K98" i="1"/>
  <c r="L98" i="1"/>
  <c r="M98" i="1"/>
  <c r="N98" i="1" s="1"/>
  <c r="V98" i="1"/>
  <c r="Z98" i="1"/>
  <c r="AB98" i="1"/>
  <c r="AC98" i="1"/>
  <c r="AD98" i="1"/>
  <c r="AE98" i="1"/>
  <c r="AF98" i="1"/>
  <c r="AH132" i="1"/>
  <c r="AM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AM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38" i="1"/>
  <c r="AM13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9" i="1"/>
  <c r="AM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K108" i="1"/>
  <c r="L108" i="1"/>
  <c r="M108" i="1"/>
  <c r="N108" i="1" s="1"/>
  <c r="V108" i="1"/>
  <c r="S31" i="3" s="1"/>
  <c r="Y108" i="1"/>
  <c r="Z108" i="1"/>
  <c r="AB108" i="1"/>
  <c r="AC108" i="1"/>
  <c r="AD108" i="1"/>
  <c r="AE108" i="1"/>
  <c r="R31" i="3" s="1"/>
  <c r="AF108" i="1"/>
  <c r="AH144" i="1"/>
  <c r="AM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G111" i="1"/>
  <c r="AH147" i="1"/>
  <c r="AM147" i="1"/>
  <c r="K112" i="1"/>
  <c r="L112" i="1"/>
  <c r="M112" i="1"/>
  <c r="N112" i="1" s="1"/>
  <c r="V112" i="1"/>
  <c r="Y112" i="1"/>
  <c r="Z112" i="1"/>
  <c r="AB112" i="1"/>
  <c r="AC112" i="1"/>
  <c r="AD112" i="1"/>
  <c r="AE112" i="1"/>
  <c r="R32" i="3" s="1"/>
  <c r="AF112" i="1"/>
  <c r="AH148" i="1"/>
  <c r="AM148" i="1"/>
  <c r="K113" i="1"/>
  <c r="L113" i="1"/>
  <c r="M113" i="1"/>
  <c r="N113" i="1" s="1"/>
  <c r="T113" i="1"/>
  <c r="V113" i="1"/>
  <c r="Y113" i="1"/>
  <c r="Z113" i="1"/>
  <c r="AB113" i="1"/>
  <c r="AC113" i="1"/>
  <c r="AD113" i="1"/>
  <c r="AE113" i="1"/>
  <c r="AF113" i="1"/>
  <c r="AG113" i="1"/>
  <c r="AH149" i="1"/>
  <c r="AM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G115" i="1"/>
  <c r="AH151" i="1"/>
  <c r="AM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K117" i="1"/>
  <c r="L117" i="1"/>
  <c r="M117" i="1"/>
  <c r="N117" i="1" s="1"/>
  <c r="T117" i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53" i="1"/>
  <c r="AM153" i="1"/>
  <c r="K119" i="1"/>
  <c r="L119" i="1"/>
  <c r="M119" i="1"/>
  <c r="N119" i="1" s="1"/>
  <c r="V119" i="1"/>
  <c r="S24" i="3" s="1"/>
  <c r="Y119" i="1"/>
  <c r="Z119" i="1"/>
  <c r="AB119" i="1"/>
  <c r="AC119" i="1"/>
  <c r="AD119" i="1"/>
  <c r="T119" i="1" s="1"/>
  <c r="AE119" i="1"/>
  <c r="R24" i="3" s="1"/>
  <c r="AF119" i="1"/>
  <c r="AH154" i="1"/>
  <c r="AM154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5" i="1"/>
  <c r="AM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8" i="1"/>
  <c r="AM158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AI159" i="1"/>
  <c r="AM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AM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AM162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3" i="1"/>
  <c r="AM16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4" i="1"/>
  <c r="AM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AM165" i="1"/>
  <c r="K133" i="1"/>
  <c r="L133" i="1"/>
  <c r="M133" i="1"/>
  <c r="N133" i="1" s="1"/>
  <c r="V133" i="1"/>
  <c r="S25" i="3" s="1"/>
  <c r="Y133" i="1"/>
  <c r="Z133" i="1"/>
  <c r="AB133" i="1"/>
  <c r="AC133" i="1"/>
  <c r="AD133" i="1"/>
  <c r="T133" i="1" s="1"/>
  <c r="AE133" i="1"/>
  <c r="R18" i="3" s="1"/>
  <c r="AF133" i="1"/>
  <c r="AH166" i="1"/>
  <c r="AM166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7" i="1"/>
  <c r="AM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8" i="1"/>
  <c r="AM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0" i="1"/>
  <c r="AM170" i="1"/>
  <c r="K138" i="1"/>
  <c r="L138" i="1"/>
  <c r="M138" i="1"/>
  <c r="N138" i="1" s="1"/>
  <c r="V138" i="1"/>
  <c r="S15" i="3" s="1"/>
  <c r="Y138" i="1"/>
  <c r="Z138" i="1"/>
  <c r="AB138" i="1"/>
  <c r="AC138" i="1"/>
  <c r="AD138" i="1"/>
  <c r="T138" i="1" s="1"/>
  <c r="AE138" i="1"/>
  <c r="R15" i="3" s="1"/>
  <c r="AF138" i="1"/>
  <c r="AH171" i="1"/>
  <c r="AM171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2" i="1"/>
  <c r="AI172" i="1"/>
  <c r="AM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33" i="3" s="1"/>
  <c r="AF140" i="1"/>
  <c r="AH173" i="1"/>
  <c r="AM173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4" i="1"/>
  <c r="AM174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5" i="1"/>
  <c r="AM175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6" i="1"/>
  <c r="AM17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7" i="1"/>
  <c r="AM17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8" i="1"/>
  <c r="AM178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9" i="1"/>
  <c r="AM179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0" i="1"/>
  <c r="AM180" i="1"/>
  <c r="K148" i="1"/>
  <c r="L148" i="1"/>
  <c r="M148" i="1"/>
  <c r="N148" i="1" s="1"/>
  <c r="V148" i="1"/>
  <c r="S34" i="3" s="1"/>
  <c r="Y148" i="1"/>
  <c r="Z148" i="1"/>
  <c r="AB148" i="1"/>
  <c r="AC148" i="1"/>
  <c r="AD148" i="1"/>
  <c r="T148" i="1" s="1"/>
  <c r="AE148" i="1"/>
  <c r="R34" i="3" s="1"/>
  <c r="AF148" i="1"/>
  <c r="AH181" i="1"/>
  <c r="AM181" i="1"/>
  <c r="K149" i="1"/>
  <c r="L149" i="1"/>
  <c r="M149" i="1"/>
  <c r="N149" i="1" s="1"/>
  <c r="V149" i="1"/>
  <c r="S19" i="3" s="1"/>
  <c r="Y149" i="1"/>
  <c r="Z149" i="1"/>
  <c r="AB149" i="1"/>
  <c r="AC149" i="1"/>
  <c r="AD149" i="1"/>
  <c r="T149" i="1" s="1"/>
  <c r="AE149" i="1"/>
  <c r="R19" i="3" s="1"/>
  <c r="AF149" i="1"/>
  <c r="AH182" i="1"/>
  <c r="AM182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3" i="1"/>
  <c r="AM183" i="1"/>
  <c r="K151" i="1"/>
  <c r="L151" i="1"/>
  <c r="M151" i="1"/>
  <c r="N151" i="1" s="1"/>
  <c r="V151" i="1"/>
  <c r="S20" i="3" s="1"/>
  <c r="Y151" i="1"/>
  <c r="Z151" i="1"/>
  <c r="AB151" i="1"/>
  <c r="AC151" i="1"/>
  <c r="AD151" i="1"/>
  <c r="T151" i="1" s="1"/>
  <c r="AE151" i="1"/>
  <c r="R20" i="3" s="1"/>
  <c r="AF151" i="1"/>
  <c r="AH184" i="1"/>
  <c r="AM18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5" i="1"/>
  <c r="AM185" i="1"/>
  <c r="AH186" i="1"/>
  <c r="AM186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87" i="1"/>
  <c r="AM187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K155" i="1"/>
  <c r="L155" i="1"/>
  <c r="M155" i="1"/>
  <c r="P155" i="1" s="1"/>
  <c r="V155" i="1"/>
  <c r="Y155" i="1"/>
  <c r="Z155" i="1"/>
  <c r="AB155" i="1"/>
  <c r="AC155" i="1"/>
  <c r="AD155" i="1"/>
  <c r="T155" i="1" s="1"/>
  <c r="AE155" i="1"/>
  <c r="AF155" i="1"/>
  <c r="AH189" i="1"/>
  <c r="AM189" i="1"/>
  <c r="AH190" i="1"/>
  <c r="AM190" i="1"/>
  <c r="AH191" i="1"/>
  <c r="AM191" i="1"/>
  <c r="AH192" i="1"/>
  <c r="AM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G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K207" i="1"/>
  <c r="L207" i="1"/>
  <c r="M207" i="1"/>
  <c r="N207" i="1" s="1"/>
  <c r="V207" i="1"/>
  <c r="S38" i="3" s="1"/>
  <c r="Y207" i="1"/>
  <c r="Z207" i="1"/>
  <c r="AB207" i="1"/>
  <c r="AC207" i="1"/>
  <c r="AD207" i="1"/>
  <c r="T207" i="1" s="1"/>
  <c r="AE207" i="1"/>
  <c r="R38" i="3" s="1"/>
  <c r="AF207" i="1"/>
  <c r="AH207" i="1"/>
  <c r="AM207" i="1"/>
  <c r="K208" i="1"/>
  <c r="L208" i="1"/>
  <c r="M208" i="1"/>
  <c r="N208" i="1" s="1"/>
  <c r="V208" i="1"/>
  <c r="S36" i="3" s="1"/>
  <c r="Y208" i="1"/>
  <c r="Z208" i="1"/>
  <c r="AB208" i="1"/>
  <c r="AC208" i="1"/>
  <c r="AD208" i="1"/>
  <c r="T208" i="1" s="1"/>
  <c r="AE208" i="1"/>
  <c r="AF208" i="1"/>
  <c r="AH208" i="1"/>
  <c r="AM208" i="1"/>
  <c r="K209" i="1"/>
  <c r="L209" i="1"/>
  <c r="M209" i="1"/>
  <c r="N209" i="1" s="1"/>
  <c r="V209" i="1"/>
  <c r="S40" i="3" s="1"/>
  <c r="Y209" i="1"/>
  <c r="Z209" i="1"/>
  <c r="AB209" i="1"/>
  <c r="AC209" i="1"/>
  <c r="AD209" i="1"/>
  <c r="T209" i="1" s="1"/>
  <c r="AE209" i="1"/>
  <c r="R40" i="3" s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K211" i="1"/>
  <c r="L211" i="1"/>
  <c r="M211" i="1"/>
  <c r="N211" i="1" s="1"/>
  <c r="V211" i="1"/>
  <c r="S39" i="3" s="1"/>
  <c r="Y211" i="1"/>
  <c r="Z211" i="1"/>
  <c r="AB211" i="1"/>
  <c r="AC211" i="1"/>
  <c r="AD211" i="1"/>
  <c r="T211" i="1" s="1"/>
  <c r="AE211" i="1"/>
  <c r="R39" i="3" s="1"/>
  <c r="AF211" i="1"/>
  <c r="AH211" i="1"/>
  <c r="AM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M26" i="3"/>
  <c r="R26" i="3"/>
  <c r="U26" i="3"/>
  <c r="T26" i="3" s="1"/>
  <c r="V26" i="3"/>
  <c r="W26" i="3"/>
  <c r="X26" i="3"/>
  <c r="AC26" i="3"/>
  <c r="M27" i="3"/>
  <c r="R27" i="3"/>
  <c r="U27" i="3"/>
  <c r="V27" i="3"/>
  <c r="W27" i="3"/>
  <c r="X27" i="3"/>
  <c r="M28" i="3"/>
  <c r="U28" i="3"/>
  <c r="AC28" i="3" s="1"/>
  <c r="V28" i="3"/>
  <c r="W28" i="3"/>
  <c r="X28" i="3"/>
  <c r="M29" i="3"/>
  <c r="U29" i="3"/>
  <c r="AC29" i="3" s="1"/>
  <c r="V29" i="3"/>
  <c r="W29" i="3"/>
  <c r="X29" i="3"/>
  <c r="M17" i="3"/>
  <c r="R17" i="3"/>
  <c r="U17" i="3"/>
  <c r="T17" i="3" s="1"/>
  <c r="V17" i="3"/>
  <c r="W17" i="3"/>
  <c r="X17" i="3"/>
  <c r="AC17" i="3"/>
  <c r="M22" i="3"/>
  <c r="R22" i="3"/>
  <c r="S22" i="3"/>
  <c r="U22" i="3"/>
  <c r="V22" i="3"/>
  <c r="W22" i="3"/>
  <c r="X22" i="3"/>
  <c r="M30" i="3"/>
  <c r="S30" i="3"/>
  <c r="U30" i="3"/>
  <c r="V30" i="3"/>
  <c r="W30" i="3"/>
  <c r="X30" i="3"/>
  <c r="M13" i="3"/>
  <c r="R13" i="3"/>
  <c r="U13" i="3"/>
  <c r="AC13" i="3" s="1"/>
  <c r="V13" i="3"/>
  <c r="W13" i="3"/>
  <c r="X13" i="3"/>
  <c r="M38" i="3"/>
  <c r="U38" i="3"/>
  <c r="T38" i="3" s="1"/>
  <c r="V38" i="3"/>
  <c r="W38" i="3"/>
  <c r="X38" i="3"/>
  <c r="M40" i="3"/>
  <c r="U40" i="3"/>
  <c r="V40" i="3"/>
  <c r="W40" i="3"/>
  <c r="X40" i="3"/>
  <c r="M23" i="3"/>
  <c r="U23" i="3"/>
  <c r="T23" i="3" s="1"/>
  <c r="V23" i="3"/>
  <c r="W23" i="3"/>
  <c r="X23" i="3"/>
  <c r="M21" i="3"/>
  <c r="R21" i="3"/>
  <c r="U21" i="3"/>
  <c r="AC21" i="3" s="1"/>
  <c r="V21" i="3"/>
  <c r="W21" i="3"/>
  <c r="X21" i="3"/>
  <c r="M37" i="3"/>
  <c r="U37" i="3"/>
  <c r="V37" i="3"/>
  <c r="W37" i="3"/>
  <c r="X37" i="3"/>
  <c r="AC37" i="3"/>
  <c r="M36" i="3"/>
  <c r="U36" i="3"/>
  <c r="V36" i="3"/>
  <c r="W36" i="3"/>
  <c r="X36" i="3"/>
  <c r="M7" i="3"/>
  <c r="U7" i="3"/>
  <c r="V7" i="3"/>
  <c r="W7" i="3"/>
  <c r="X7" i="3"/>
  <c r="M8" i="3"/>
  <c r="R8" i="3"/>
  <c r="U8" i="3"/>
  <c r="AC8" i="3" s="1"/>
  <c r="V8" i="3"/>
  <c r="W8" i="3"/>
  <c r="X8" i="3"/>
  <c r="M12" i="3"/>
  <c r="U12" i="3"/>
  <c r="T12" i="3" s="1"/>
  <c r="V12" i="3"/>
  <c r="W12" i="3"/>
  <c r="X12" i="3"/>
  <c r="AC12" i="3"/>
  <c r="M11" i="3"/>
  <c r="S11" i="3"/>
  <c r="U11" i="3"/>
  <c r="V11" i="3"/>
  <c r="W11" i="3"/>
  <c r="X11" i="3"/>
  <c r="M9" i="3"/>
  <c r="R9" i="3"/>
  <c r="U9" i="3"/>
  <c r="T9" i="3" s="1"/>
  <c r="V9" i="3"/>
  <c r="W9" i="3"/>
  <c r="X9" i="3"/>
  <c r="AC9" i="3"/>
  <c r="M16" i="3"/>
  <c r="U16" i="3"/>
  <c r="AC16" i="3" s="1"/>
  <c r="V16" i="3"/>
  <c r="W16" i="3"/>
  <c r="X16" i="3"/>
  <c r="M31" i="3"/>
  <c r="U31" i="3"/>
  <c r="T31" i="3" s="1"/>
  <c r="V31" i="3"/>
  <c r="W31" i="3"/>
  <c r="X31" i="3"/>
  <c r="AC31" i="3"/>
  <c r="M14" i="3"/>
  <c r="S14" i="3"/>
  <c r="U14" i="3"/>
  <c r="V14" i="3"/>
  <c r="W14" i="3"/>
  <c r="X14" i="3"/>
  <c r="M32" i="3"/>
  <c r="S32" i="3"/>
  <c r="U32" i="3"/>
  <c r="V32" i="3"/>
  <c r="W32" i="3"/>
  <c r="X32" i="3"/>
  <c r="M39" i="3"/>
  <c r="U39" i="3"/>
  <c r="AC39" i="3" s="1"/>
  <c r="V39" i="3"/>
  <c r="W39" i="3"/>
  <c r="X39" i="3"/>
  <c r="M24" i="3"/>
  <c r="U24" i="3"/>
  <c r="V24" i="3"/>
  <c r="W24" i="3"/>
  <c r="X24" i="3"/>
  <c r="AC24" i="3"/>
  <c r="M18" i="3"/>
  <c r="U18" i="3"/>
  <c r="V18" i="3"/>
  <c r="W18" i="3"/>
  <c r="X18" i="3"/>
  <c r="M35" i="3"/>
  <c r="U35" i="3"/>
  <c r="T35" i="3" s="1"/>
  <c r="V35" i="3"/>
  <c r="W35" i="3"/>
  <c r="X35" i="3"/>
  <c r="M25" i="3"/>
  <c r="U25" i="3"/>
  <c r="AC25" i="3" s="1"/>
  <c r="V25" i="3"/>
  <c r="W25" i="3"/>
  <c r="X25" i="3"/>
  <c r="M15" i="3"/>
  <c r="U15" i="3"/>
  <c r="AC15" i="3" s="1"/>
  <c r="V15" i="3"/>
  <c r="W15" i="3"/>
  <c r="X15" i="3"/>
  <c r="M33" i="3"/>
  <c r="S33" i="3"/>
  <c r="U33" i="3"/>
  <c r="V33" i="3"/>
  <c r="W33" i="3"/>
  <c r="X33" i="3"/>
  <c r="M34" i="3"/>
  <c r="U34" i="3"/>
  <c r="V34" i="3"/>
  <c r="W34" i="3"/>
  <c r="X34" i="3"/>
  <c r="M19" i="3"/>
  <c r="U19" i="3"/>
  <c r="AC19" i="3" s="1"/>
  <c r="V19" i="3"/>
  <c r="W19" i="3"/>
  <c r="X19" i="3"/>
  <c r="M20" i="3"/>
  <c r="U20" i="3"/>
  <c r="T20" i="3" s="1"/>
  <c r="V20" i="3"/>
  <c r="W20" i="3"/>
  <c r="X20" i="3"/>
  <c r="AC20" i="3"/>
  <c r="M28" i="5"/>
  <c r="AC35" i="3" l="1"/>
  <c r="Y40" i="3"/>
  <c r="Y8" i="3"/>
  <c r="AC38" i="3"/>
  <c r="AD12" i="3"/>
  <c r="AD16" i="3"/>
  <c r="AD20" i="3"/>
  <c r="Y18" i="3"/>
  <c r="Y28" i="3"/>
  <c r="AG157" i="1"/>
  <c r="W156" i="1"/>
  <c r="AI156" i="1"/>
  <c r="U156" i="1"/>
  <c r="S156" i="1" s="1"/>
  <c r="T156" i="1"/>
  <c r="AG205" i="1"/>
  <c r="U205" i="1" s="1"/>
  <c r="S205" i="1" s="1"/>
  <c r="AA202" i="1"/>
  <c r="AG200" i="1"/>
  <c r="W200" i="1" s="1"/>
  <c r="AA134" i="1"/>
  <c r="W134" i="1" s="1"/>
  <c r="AG125" i="1"/>
  <c r="X125" i="1"/>
  <c r="AG124" i="1"/>
  <c r="R12" i="3"/>
  <c r="AD36" i="3"/>
  <c r="Y30" i="3"/>
  <c r="AI190" i="1"/>
  <c r="AI162" i="1"/>
  <c r="T59" i="1"/>
  <c r="X34" i="1"/>
  <c r="AD32" i="3"/>
  <c r="AE32" i="3"/>
  <c r="AI178" i="1"/>
  <c r="AI175" i="1"/>
  <c r="AI165" i="1"/>
  <c r="AA73" i="1"/>
  <c r="AG68" i="1"/>
  <c r="AI67" i="1"/>
  <c r="AI63" i="1"/>
  <c r="AI53" i="1"/>
  <c r="AA50" i="1"/>
  <c r="X24" i="1"/>
  <c r="U111" i="1"/>
  <c r="T24" i="3"/>
  <c r="S27" i="3"/>
  <c r="AI174" i="1"/>
  <c r="AA53" i="1"/>
  <c r="AA47" i="1"/>
  <c r="Y19" i="3"/>
  <c r="AD33" i="3"/>
  <c r="Y24" i="3"/>
  <c r="Y11" i="3"/>
  <c r="AA146" i="1"/>
  <c r="AG135" i="1"/>
  <c r="X98" i="1"/>
  <c r="X187" i="1"/>
  <c r="AA161" i="1"/>
  <c r="W161" i="1" s="1"/>
  <c r="AA82" i="1"/>
  <c r="AA79" i="1"/>
  <c r="AI65" i="1"/>
  <c r="AA63" i="1"/>
  <c r="W63" i="1" s="1"/>
  <c r="AI51" i="1"/>
  <c r="AI49" i="1"/>
  <c r="AA45" i="1"/>
  <c r="AA34" i="1"/>
  <c r="AA23" i="1"/>
  <c r="Y34" i="3"/>
  <c r="Y31" i="3"/>
  <c r="Y7" i="3"/>
  <c r="AI194" i="1"/>
  <c r="AA192" i="1"/>
  <c r="AI169" i="1"/>
  <c r="W73" i="1"/>
  <c r="X68" i="1"/>
  <c r="X54" i="1"/>
  <c r="AC23" i="3"/>
  <c r="X152" i="1"/>
  <c r="AA210" i="1"/>
  <c r="AA206" i="1"/>
  <c r="X155" i="1"/>
  <c r="X154" i="1"/>
  <c r="S37" i="3"/>
  <c r="X131" i="1"/>
  <c r="X153" i="1"/>
  <c r="AD24" i="3"/>
  <c r="AA213" i="1"/>
  <c r="AG143" i="1"/>
  <c r="AI143" i="1" s="1"/>
  <c r="X143" i="1"/>
  <c r="AG142" i="1"/>
  <c r="AI142" i="1" s="1"/>
  <c r="AG129" i="1"/>
  <c r="AG119" i="1"/>
  <c r="U119" i="1" s="1"/>
  <c r="S119" i="1" s="1"/>
  <c r="X119" i="1"/>
  <c r="AA102" i="1"/>
  <c r="AI164" i="1"/>
  <c r="AA65" i="1"/>
  <c r="W65" i="1" s="1"/>
  <c r="AG64" i="1"/>
  <c r="AI64" i="1" s="1"/>
  <c r="X64" i="1"/>
  <c r="AA49" i="1"/>
  <c r="W49" i="1" s="1"/>
  <c r="AA41" i="1"/>
  <c r="AE24" i="3"/>
  <c r="Y9" i="3"/>
  <c r="AD39" i="3"/>
  <c r="AD14" i="3"/>
  <c r="AA212" i="1"/>
  <c r="AA200" i="1"/>
  <c r="AG198" i="1"/>
  <c r="AA197" i="1"/>
  <c r="AA194" i="1"/>
  <c r="W194" i="1" s="1"/>
  <c r="AA151" i="1"/>
  <c r="AG149" i="1"/>
  <c r="U149" i="1" s="1"/>
  <c r="S149" i="1" s="1"/>
  <c r="AA147" i="1"/>
  <c r="X137" i="1"/>
  <c r="T131" i="1"/>
  <c r="AA203" i="1"/>
  <c r="X182" i="1"/>
  <c r="AA181" i="1"/>
  <c r="W181" i="1" s="1"/>
  <c r="AI168" i="1"/>
  <c r="AA160" i="1"/>
  <c r="AA90" i="1"/>
  <c r="AA77" i="1"/>
  <c r="AA67" i="1"/>
  <c r="W67" i="1" s="1"/>
  <c r="T63" i="1"/>
  <c r="U63" i="1" s="1"/>
  <c r="S63" i="1" s="1"/>
  <c r="AA54" i="1"/>
  <c r="W54" i="1" s="1"/>
  <c r="AA51" i="1"/>
  <c r="AG50" i="1"/>
  <c r="W50" i="1" s="1"/>
  <c r="X50" i="1"/>
  <c r="AA36" i="1"/>
  <c r="X194" i="1"/>
  <c r="U115" i="1"/>
  <c r="S115" i="1" s="1"/>
  <c r="U113" i="1"/>
  <c r="S113" i="1" s="1"/>
  <c r="AA177" i="1"/>
  <c r="W177" i="1" s="1"/>
  <c r="AA86" i="1"/>
  <c r="AA64" i="1"/>
  <c r="W53" i="1"/>
  <c r="AA43" i="1"/>
  <c r="W43" i="1" s="1"/>
  <c r="X40" i="1"/>
  <c r="X16" i="1"/>
  <c r="AA15" i="1"/>
  <c r="AD8" i="3"/>
  <c r="AD40" i="3"/>
  <c r="T28" i="3"/>
  <c r="AG212" i="1"/>
  <c r="AI212" i="1" s="1"/>
  <c r="X212" i="1"/>
  <c r="AA201" i="1"/>
  <c r="AG132" i="1"/>
  <c r="U132" i="1" s="1"/>
  <c r="S132" i="1" s="1"/>
  <c r="AG128" i="1"/>
  <c r="U128" i="1" s="1"/>
  <c r="S128" i="1" s="1"/>
  <c r="AG105" i="1"/>
  <c r="U105" i="1" s="1"/>
  <c r="Y35" i="3"/>
  <c r="Y14" i="3"/>
  <c r="Y21" i="3"/>
  <c r="Y22" i="3"/>
  <c r="Y26" i="3"/>
  <c r="X149" i="1"/>
  <c r="T137" i="1"/>
  <c r="X129" i="1"/>
  <c r="X204" i="1"/>
  <c r="AD18" i="3"/>
  <c r="AD25" i="3"/>
  <c r="AA149" i="1"/>
  <c r="AG148" i="1"/>
  <c r="AI148" i="1" s="1"/>
  <c r="AI188" i="1"/>
  <c r="Y33" i="3"/>
  <c r="R25" i="3"/>
  <c r="AD9" i="3"/>
  <c r="Y23" i="3"/>
  <c r="Y38" i="3"/>
  <c r="Y27" i="3"/>
  <c r="X135" i="1"/>
  <c r="AE20" i="3"/>
  <c r="AD34" i="3"/>
  <c r="AD15" i="3"/>
  <c r="AA96" i="1"/>
  <c r="AA176" i="1"/>
  <c r="W176" i="1" s="1"/>
  <c r="AI176" i="1"/>
  <c r="AG154" i="1"/>
  <c r="U154" i="1" s="1"/>
  <c r="S154" i="1" s="1"/>
  <c r="AA136" i="1"/>
  <c r="AA130" i="1"/>
  <c r="AA126" i="1"/>
  <c r="AG121" i="1"/>
  <c r="AI121" i="1" s="1"/>
  <c r="AA116" i="1"/>
  <c r="AA114" i="1"/>
  <c r="AA112" i="1"/>
  <c r="AG109" i="1"/>
  <c r="U109" i="1" s="1"/>
  <c r="S109" i="1" s="1"/>
  <c r="X109" i="1"/>
  <c r="AG107" i="1"/>
  <c r="U107" i="1" s="1"/>
  <c r="S107" i="1" s="1"/>
  <c r="T78" i="1"/>
  <c r="X78" i="1"/>
  <c r="AG78" i="1"/>
  <c r="T52" i="1"/>
  <c r="X52" i="1"/>
  <c r="AG52" i="1"/>
  <c r="X53" i="1"/>
  <c r="AG47" i="1"/>
  <c r="AI47" i="1" s="1"/>
  <c r="T47" i="1"/>
  <c r="AA144" i="1"/>
  <c r="AA211" i="1"/>
  <c r="AG210" i="1"/>
  <c r="AI210" i="1" s="1"/>
  <c r="AG131" i="1"/>
  <c r="AG130" i="1"/>
  <c r="AI161" i="1"/>
  <c r="AG127" i="1"/>
  <c r="U127" i="1" s="1"/>
  <c r="S127" i="1" s="1"/>
  <c r="X127" i="1"/>
  <c r="AG126" i="1"/>
  <c r="W126" i="1" s="1"/>
  <c r="AG123" i="1"/>
  <c r="AI123" i="1" s="1"/>
  <c r="AA110" i="1"/>
  <c r="X103" i="1"/>
  <c r="AG103" i="1"/>
  <c r="U103" i="1" s="1"/>
  <c r="S103" i="1" s="1"/>
  <c r="AA175" i="1"/>
  <c r="W175" i="1" s="1"/>
  <c r="AA172" i="1"/>
  <c r="W172" i="1" s="1"/>
  <c r="W51" i="1"/>
  <c r="T48" i="1"/>
  <c r="X48" i="1"/>
  <c r="AG48" i="1"/>
  <c r="AI48" i="1" s="1"/>
  <c r="X49" i="1"/>
  <c r="T147" i="1"/>
  <c r="X147" i="1"/>
  <c r="AA214" i="1"/>
  <c r="AG213" i="1"/>
  <c r="U213" i="1" s="1"/>
  <c r="AA208" i="1"/>
  <c r="W208" i="1" s="1"/>
  <c r="AG206" i="1"/>
  <c r="U206" i="1" s="1"/>
  <c r="S206" i="1" s="1"/>
  <c r="X206" i="1"/>
  <c r="AA199" i="1"/>
  <c r="AA195" i="1"/>
  <c r="W195" i="1" s="1"/>
  <c r="AG151" i="1"/>
  <c r="W151" i="1" s="1"/>
  <c r="AA150" i="1"/>
  <c r="AG147" i="1"/>
  <c r="AG214" i="1"/>
  <c r="U214" i="1" s="1"/>
  <c r="S214" i="1" s="1"/>
  <c r="X214" i="1"/>
  <c r="AG208" i="1"/>
  <c r="U208" i="1" s="1"/>
  <c r="S208" i="1" s="1"/>
  <c r="AA207" i="1"/>
  <c r="AG202" i="1"/>
  <c r="AI202" i="1" s="1"/>
  <c r="AA196" i="1"/>
  <c r="AG195" i="1"/>
  <c r="U195" i="1" s="1"/>
  <c r="AA193" i="1"/>
  <c r="AG192" i="1"/>
  <c r="W192" i="1" s="1"/>
  <c r="AA155" i="1"/>
  <c r="AG144" i="1"/>
  <c r="AG141" i="1"/>
  <c r="U141" i="1" s="1"/>
  <c r="S141" i="1" s="1"/>
  <c r="AG137" i="1"/>
  <c r="AI137" i="1" s="1"/>
  <c r="R14" i="3"/>
  <c r="AA215" i="1"/>
  <c r="AA209" i="1"/>
  <c r="AA205" i="1"/>
  <c r="W205" i="1" s="1"/>
  <c r="X202" i="1"/>
  <c r="AA198" i="1"/>
  <c r="W198" i="1" s="1"/>
  <c r="AG196" i="1"/>
  <c r="U196" i="1" s="1"/>
  <c r="S196" i="1" s="1"/>
  <c r="X196" i="1"/>
  <c r="AA191" i="1"/>
  <c r="AG155" i="1"/>
  <c r="AI155" i="1" s="1"/>
  <c r="AA154" i="1"/>
  <c r="W154" i="1" s="1"/>
  <c r="T145" i="1"/>
  <c r="X145" i="1"/>
  <c r="AG145" i="1"/>
  <c r="AI145" i="1" s="1"/>
  <c r="AA145" i="1"/>
  <c r="AA142" i="1"/>
  <c r="AA140" i="1"/>
  <c r="AG139" i="1"/>
  <c r="U139" i="1" s="1"/>
  <c r="S139" i="1" s="1"/>
  <c r="X133" i="1"/>
  <c r="AG133" i="1"/>
  <c r="AI133" i="1" s="1"/>
  <c r="AA128" i="1"/>
  <c r="X117" i="1"/>
  <c r="AG117" i="1"/>
  <c r="U117" i="1" s="1"/>
  <c r="S117" i="1" s="1"/>
  <c r="AG204" i="1"/>
  <c r="U204" i="1" s="1"/>
  <c r="S204" i="1" s="1"/>
  <c r="X100" i="1"/>
  <c r="AA190" i="1"/>
  <c r="W190" i="1" s="1"/>
  <c r="X186" i="1"/>
  <c r="AA185" i="1"/>
  <c r="W185" i="1" s="1"/>
  <c r="X180" i="1"/>
  <c r="AA179" i="1"/>
  <c r="W179" i="1" s="1"/>
  <c r="AA95" i="1"/>
  <c r="W95" i="1" s="1"/>
  <c r="AA174" i="1"/>
  <c r="W174" i="1" s="1"/>
  <c r="AG77" i="1"/>
  <c r="AI77" i="1" s="1"/>
  <c r="T77" i="1"/>
  <c r="T66" i="1"/>
  <c r="X66" i="1"/>
  <c r="AG66" i="1"/>
  <c r="AI66" i="1" s="1"/>
  <c r="X67" i="1"/>
  <c r="AA168" i="1"/>
  <c r="W168" i="1" s="1"/>
  <c r="AA92" i="1"/>
  <c r="AA84" i="1"/>
  <c r="AA59" i="1"/>
  <c r="W59" i="1" s="1"/>
  <c r="AA57" i="1"/>
  <c r="W57" i="1" s="1"/>
  <c r="AA40" i="1"/>
  <c r="AA35" i="1"/>
  <c r="AA29" i="1"/>
  <c r="AA25" i="1"/>
  <c r="AA14" i="1"/>
  <c r="W68" i="1"/>
  <c r="AA153" i="1"/>
  <c r="AA152" i="1"/>
  <c r="AA148" i="1"/>
  <c r="AA138" i="1"/>
  <c r="AA132" i="1"/>
  <c r="AI160" i="1"/>
  <c r="AA124" i="1"/>
  <c r="AA122" i="1"/>
  <c r="AA120" i="1"/>
  <c r="AA108" i="1"/>
  <c r="AA106" i="1"/>
  <c r="AA104" i="1"/>
  <c r="X189" i="1"/>
  <c r="AA188" i="1"/>
  <c r="W188" i="1" s="1"/>
  <c r="X184" i="1"/>
  <c r="AA183" i="1"/>
  <c r="W183" i="1" s="1"/>
  <c r="AI171" i="1"/>
  <c r="AA167" i="1"/>
  <c r="W167" i="1" s="1"/>
  <c r="AA165" i="1"/>
  <c r="W165" i="1" s="1"/>
  <c r="AA162" i="1"/>
  <c r="W162" i="1" s="1"/>
  <c r="AA159" i="1"/>
  <c r="W159" i="1" s="1"/>
  <c r="AA88" i="1"/>
  <c r="AA80" i="1"/>
  <c r="AA78" i="1"/>
  <c r="T71" i="1"/>
  <c r="U71" i="1" s="1"/>
  <c r="S71" i="1" s="1"/>
  <c r="AA69" i="1"/>
  <c r="AA66" i="1"/>
  <c r="AA61" i="1"/>
  <c r="W61" i="1" s="1"/>
  <c r="AA55" i="1"/>
  <c r="AA52" i="1"/>
  <c r="W52" i="1" s="1"/>
  <c r="AA48" i="1"/>
  <c r="AI43" i="1"/>
  <c r="X38" i="1"/>
  <c r="AA37" i="1"/>
  <c r="X32" i="1"/>
  <c r="AA31" i="1"/>
  <c r="AA27" i="1"/>
  <c r="T114" i="1"/>
  <c r="AG114" i="1"/>
  <c r="U114" i="1" s="1"/>
  <c r="AI151" i="1"/>
  <c r="AG150" i="1"/>
  <c r="AG136" i="1"/>
  <c r="AI136" i="1" s="1"/>
  <c r="AG134" i="1"/>
  <c r="U134" i="1" s="1"/>
  <c r="S134" i="1" s="1"/>
  <c r="U129" i="1"/>
  <c r="S129" i="1" s="1"/>
  <c r="AI129" i="1"/>
  <c r="T120" i="1"/>
  <c r="AG120" i="1"/>
  <c r="T112" i="1"/>
  <c r="AG112" i="1"/>
  <c r="W112" i="1" s="1"/>
  <c r="T104" i="1"/>
  <c r="AG104" i="1"/>
  <c r="AA173" i="1"/>
  <c r="W173" i="1" s="1"/>
  <c r="AI173" i="1"/>
  <c r="AA170" i="1"/>
  <c r="AI170" i="1"/>
  <c r="T60" i="1"/>
  <c r="X60" i="1"/>
  <c r="AG60" i="1"/>
  <c r="X61" i="1"/>
  <c r="U144" i="1"/>
  <c r="S144" i="1" s="1"/>
  <c r="AI144" i="1"/>
  <c r="U135" i="1"/>
  <c r="S135" i="1" s="1"/>
  <c r="AI135" i="1"/>
  <c r="T106" i="1"/>
  <c r="U106" i="1" s="1"/>
  <c r="S106" i="1" s="1"/>
  <c r="AG106" i="1"/>
  <c r="AI106" i="1" s="1"/>
  <c r="AA163" i="1"/>
  <c r="AI163" i="1"/>
  <c r="AG79" i="1"/>
  <c r="AI79" i="1" s="1"/>
  <c r="X79" i="1"/>
  <c r="T79" i="1"/>
  <c r="AG215" i="1"/>
  <c r="U215" i="1" s="1"/>
  <c r="S215" i="1" s="1"/>
  <c r="U198" i="1"/>
  <c r="S198" i="1" s="1"/>
  <c r="AG197" i="1"/>
  <c r="U197" i="1" s="1"/>
  <c r="S18" i="3"/>
  <c r="X208" i="1"/>
  <c r="AI206" i="1"/>
  <c r="AG191" i="1"/>
  <c r="U191" i="1" s="1"/>
  <c r="S191" i="1" s="1"/>
  <c r="AG152" i="1"/>
  <c r="X151" i="1"/>
  <c r="X139" i="1"/>
  <c r="T110" i="1"/>
  <c r="AG110" i="1"/>
  <c r="AI110" i="1" s="1"/>
  <c r="X107" i="1"/>
  <c r="T74" i="1"/>
  <c r="X74" i="1"/>
  <c r="AG74" i="1"/>
  <c r="AI74" i="1" s="1"/>
  <c r="T46" i="1"/>
  <c r="X46" i="1"/>
  <c r="AG46" i="1"/>
  <c r="AI46" i="1" s="1"/>
  <c r="U155" i="1"/>
  <c r="S155" i="1" s="1"/>
  <c r="AI149" i="1"/>
  <c r="U148" i="1"/>
  <c r="S148" i="1" s="1"/>
  <c r="U125" i="1"/>
  <c r="S125" i="1" s="1"/>
  <c r="AI125" i="1"/>
  <c r="T122" i="1"/>
  <c r="AG122" i="1"/>
  <c r="AI119" i="1"/>
  <c r="AA166" i="1"/>
  <c r="W166" i="1" s="1"/>
  <c r="AI166" i="1"/>
  <c r="AG75" i="1"/>
  <c r="AI75" i="1" s="1"/>
  <c r="T75" i="1"/>
  <c r="X75" i="1"/>
  <c r="AA71" i="1"/>
  <c r="W71" i="1" s="1"/>
  <c r="AI71" i="1"/>
  <c r="AG207" i="1"/>
  <c r="U207" i="1" s="1"/>
  <c r="S207" i="1" s="1"/>
  <c r="AG209" i="1"/>
  <c r="U209" i="1" s="1"/>
  <c r="U200" i="1"/>
  <c r="S200" i="1" s="1"/>
  <c r="AG199" i="1"/>
  <c r="U199" i="1" s="1"/>
  <c r="X198" i="1"/>
  <c r="AI198" i="1"/>
  <c r="U192" i="1"/>
  <c r="S192" i="1" s="1"/>
  <c r="AG138" i="1"/>
  <c r="AI138" i="1" s="1"/>
  <c r="U131" i="1"/>
  <c r="S131" i="1" s="1"/>
  <c r="AI131" i="1"/>
  <c r="U123" i="1"/>
  <c r="S123" i="1" s="1"/>
  <c r="X123" i="1"/>
  <c r="T118" i="1"/>
  <c r="AG118" i="1"/>
  <c r="W118" i="1" s="1"/>
  <c r="X115" i="1"/>
  <c r="T203" i="1"/>
  <c r="AG203" i="1"/>
  <c r="AI203" i="1" s="1"/>
  <c r="W213" i="1"/>
  <c r="AG211" i="1"/>
  <c r="U211" i="1" s="1"/>
  <c r="S211" i="1" s="1"/>
  <c r="X210" i="1"/>
  <c r="R37" i="3"/>
  <c r="R36" i="3"/>
  <c r="AG201" i="1"/>
  <c r="U201" i="1" s="1"/>
  <c r="S201" i="1" s="1"/>
  <c r="X200" i="1"/>
  <c r="U194" i="1"/>
  <c r="S194" i="1" s="1"/>
  <c r="AG193" i="1"/>
  <c r="U193" i="1" s="1"/>
  <c r="S193" i="1" s="1"/>
  <c r="X192" i="1"/>
  <c r="AI154" i="1"/>
  <c r="AG153" i="1"/>
  <c r="AG146" i="1"/>
  <c r="W146" i="1" s="1"/>
  <c r="X141" i="1"/>
  <c r="AG140" i="1"/>
  <c r="AI140" i="1" s="1"/>
  <c r="W124" i="1"/>
  <c r="U121" i="1"/>
  <c r="S121" i="1" s="1"/>
  <c r="X121" i="1"/>
  <c r="T116" i="1"/>
  <c r="AG116" i="1"/>
  <c r="AI116" i="1" s="1"/>
  <c r="X113" i="1"/>
  <c r="T108" i="1"/>
  <c r="AG108" i="1"/>
  <c r="X105" i="1"/>
  <c r="T102" i="1"/>
  <c r="AG102" i="1"/>
  <c r="AA158" i="1"/>
  <c r="AI158" i="1"/>
  <c r="T70" i="1"/>
  <c r="X70" i="1"/>
  <c r="AG70" i="1"/>
  <c r="AI70" i="1" s="1"/>
  <c r="T56" i="1"/>
  <c r="X56" i="1"/>
  <c r="AG56" i="1"/>
  <c r="AI56" i="1" s="1"/>
  <c r="X57" i="1"/>
  <c r="X190" i="1"/>
  <c r="AG96" i="1"/>
  <c r="AI96" i="1" s="1"/>
  <c r="X96" i="1"/>
  <c r="AG76" i="1"/>
  <c r="AI76" i="1" s="1"/>
  <c r="X76" i="1"/>
  <c r="X71" i="1"/>
  <c r="AG69" i="1"/>
  <c r="AI69" i="1" s="1"/>
  <c r="T69" i="1"/>
  <c r="AI59" i="1"/>
  <c r="AG55" i="1"/>
  <c r="AI55" i="1" s="1"/>
  <c r="T55" i="1"/>
  <c r="AG45" i="1"/>
  <c r="AI45" i="1" s="1"/>
  <c r="X45" i="1"/>
  <c r="AA143" i="1"/>
  <c r="W143" i="1" s="1"/>
  <c r="AA141" i="1"/>
  <c r="AA139" i="1"/>
  <c r="AA137" i="1"/>
  <c r="W137" i="1" s="1"/>
  <c r="AA135" i="1"/>
  <c r="AA133" i="1"/>
  <c r="AA131" i="1"/>
  <c r="W131" i="1" s="1"/>
  <c r="AA129" i="1"/>
  <c r="W129" i="1" s="1"/>
  <c r="AA127" i="1"/>
  <c r="AA125" i="1"/>
  <c r="W125" i="1" s="1"/>
  <c r="AA123" i="1"/>
  <c r="AA121" i="1"/>
  <c r="AA119" i="1"/>
  <c r="W119" i="1" s="1"/>
  <c r="AA117" i="1"/>
  <c r="AA115" i="1"/>
  <c r="W115" i="1" s="1"/>
  <c r="AA113" i="1"/>
  <c r="W113" i="1" s="1"/>
  <c r="AA111" i="1"/>
  <c r="W111" i="1" s="1"/>
  <c r="AA109" i="1"/>
  <c r="W109" i="1" s="1"/>
  <c r="AA107" i="1"/>
  <c r="AA105" i="1"/>
  <c r="W105" i="1" s="1"/>
  <c r="AA204" i="1"/>
  <c r="AA103" i="1"/>
  <c r="X99" i="1"/>
  <c r="AA178" i="1"/>
  <c r="W178" i="1" s="1"/>
  <c r="AA171" i="1"/>
  <c r="W171" i="1" s="1"/>
  <c r="AA164" i="1"/>
  <c r="W164" i="1" s="1"/>
  <c r="AA75" i="1"/>
  <c r="AA74" i="1"/>
  <c r="T73" i="1"/>
  <c r="U73" i="1" s="1"/>
  <c r="S73" i="1" s="1"/>
  <c r="T72" i="1"/>
  <c r="X72" i="1"/>
  <c r="AG72" i="1"/>
  <c r="AI72" i="1" s="1"/>
  <c r="AA101" i="1"/>
  <c r="W101" i="1" s="1"/>
  <c r="AA99" i="1"/>
  <c r="W99" i="1" s="1"/>
  <c r="X97" i="1"/>
  <c r="AA91" i="1"/>
  <c r="AA89" i="1"/>
  <c r="AA87" i="1"/>
  <c r="AA85" i="1"/>
  <c r="AA83" i="1"/>
  <c r="AA81" i="1"/>
  <c r="AA76" i="1"/>
  <c r="AA72" i="1"/>
  <c r="T67" i="1"/>
  <c r="U67" i="1" s="1"/>
  <c r="S67" i="1" s="1"/>
  <c r="AA62" i="1"/>
  <c r="AA58" i="1"/>
  <c r="T53" i="1"/>
  <c r="U53" i="1" s="1"/>
  <c r="S53" i="1" s="1"/>
  <c r="U50" i="1"/>
  <c r="S50" i="1" s="1"/>
  <c r="T49" i="1"/>
  <c r="U49" i="1" s="1"/>
  <c r="S49" i="1" s="1"/>
  <c r="AA44" i="1"/>
  <c r="AA39" i="1"/>
  <c r="AA32" i="1"/>
  <c r="X30" i="1"/>
  <c r="X26" i="1"/>
  <c r="AA21" i="1"/>
  <c r="AA19" i="1"/>
  <c r="AA17" i="1"/>
  <c r="T61" i="1"/>
  <c r="T57" i="1"/>
  <c r="U57" i="1" s="1"/>
  <c r="S57" i="1" s="1"/>
  <c r="T43" i="1"/>
  <c r="AA30" i="1"/>
  <c r="AA28" i="1"/>
  <c r="AA26" i="1"/>
  <c r="AA24" i="1"/>
  <c r="X18" i="1"/>
  <c r="AA70" i="1"/>
  <c r="T65" i="1"/>
  <c r="U65" i="1" s="1"/>
  <c r="S65" i="1" s="1"/>
  <c r="AG62" i="1"/>
  <c r="U62" i="1" s="1"/>
  <c r="S62" i="1" s="1"/>
  <c r="X62" i="1"/>
  <c r="AA60" i="1"/>
  <c r="AG58" i="1"/>
  <c r="X58" i="1"/>
  <c r="AA56" i="1"/>
  <c r="T51" i="1"/>
  <c r="U51" i="1" s="1"/>
  <c r="S51" i="1" s="1"/>
  <c r="AA46" i="1"/>
  <c r="AG44" i="1"/>
  <c r="AI44" i="1" s="1"/>
  <c r="X44" i="1"/>
  <c r="AA42" i="1"/>
  <c r="W42" i="1" s="1"/>
  <c r="AA38" i="1"/>
  <c r="AA33" i="1"/>
  <c r="AA22" i="1"/>
  <c r="AA20" i="1"/>
  <c r="AA18" i="1"/>
  <c r="AA16" i="1"/>
  <c r="S209" i="1"/>
  <c r="U143" i="1"/>
  <c r="S143" i="1" s="1"/>
  <c r="S213" i="1"/>
  <c r="S195" i="1"/>
  <c r="AI213" i="1"/>
  <c r="AI205" i="1"/>
  <c r="AI197" i="1"/>
  <c r="AI185" i="1"/>
  <c r="AI183" i="1"/>
  <c r="AI181" i="1"/>
  <c r="AI179" i="1"/>
  <c r="AI177" i="1"/>
  <c r="U130" i="1"/>
  <c r="S130" i="1" s="1"/>
  <c r="U124" i="1"/>
  <c r="S124" i="1" s="1"/>
  <c r="S111" i="1"/>
  <c r="S105" i="1"/>
  <c r="T100" i="1"/>
  <c r="T97" i="1"/>
  <c r="T187" i="1"/>
  <c r="T184" i="1"/>
  <c r="X183" i="1"/>
  <c r="T180" i="1"/>
  <c r="AI54" i="1"/>
  <c r="AG33" i="1"/>
  <c r="T33" i="1"/>
  <c r="X33" i="1"/>
  <c r="X215" i="1"/>
  <c r="X213" i="1"/>
  <c r="X211" i="1"/>
  <c r="X209" i="1"/>
  <c r="X207" i="1"/>
  <c r="X205" i="1"/>
  <c r="X201" i="1"/>
  <c r="X199" i="1"/>
  <c r="X197" i="1"/>
  <c r="X195" i="1"/>
  <c r="X193" i="1"/>
  <c r="X191" i="1"/>
  <c r="X150" i="1"/>
  <c r="X148" i="1"/>
  <c r="X146" i="1"/>
  <c r="X144" i="1"/>
  <c r="X142" i="1"/>
  <c r="X140" i="1"/>
  <c r="X138" i="1"/>
  <c r="X136" i="1"/>
  <c r="X134" i="1"/>
  <c r="X132" i="1"/>
  <c r="X130" i="1"/>
  <c r="X128" i="1"/>
  <c r="X126" i="1"/>
  <c r="X124" i="1"/>
  <c r="X122" i="1"/>
  <c r="X120" i="1"/>
  <c r="X118" i="1"/>
  <c r="X116" i="1"/>
  <c r="X114" i="1"/>
  <c r="X112" i="1"/>
  <c r="X110" i="1"/>
  <c r="X108" i="1"/>
  <c r="X106" i="1"/>
  <c r="X104" i="1"/>
  <c r="X203" i="1"/>
  <c r="X102" i="1"/>
  <c r="T101" i="1"/>
  <c r="U101" i="1" s="1"/>
  <c r="S101" i="1" s="1"/>
  <c r="AG100" i="1"/>
  <c r="AI100" i="1" s="1"/>
  <c r="AA98" i="1"/>
  <c r="AG97" i="1"/>
  <c r="AI97" i="1" s="1"/>
  <c r="AA189" i="1"/>
  <c r="T188" i="1"/>
  <c r="U188" i="1" s="1"/>
  <c r="S188" i="1" s="1"/>
  <c r="AG187" i="1"/>
  <c r="AI187" i="1" s="1"/>
  <c r="AA186" i="1"/>
  <c r="T185" i="1"/>
  <c r="U185" i="1" s="1"/>
  <c r="S185" i="1" s="1"/>
  <c r="AG184" i="1"/>
  <c r="AI184" i="1" s="1"/>
  <c r="AA182" i="1"/>
  <c r="T181" i="1"/>
  <c r="U181" i="1" s="1"/>
  <c r="S181" i="1" s="1"/>
  <c r="AG180" i="1"/>
  <c r="AI180" i="1" s="1"/>
  <c r="T179" i="1"/>
  <c r="U179" i="1" s="1"/>
  <c r="S179" i="1" s="1"/>
  <c r="T178" i="1"/>
  <c r="T177" i="1"/>
  <c r="U177" i="1" s="1"/>
  <c r="S177" i="1" s="1"/>
  <c r="T95" i="1"/>
  <c r="U95" i="1" s="1"/>
  <c r="S95" i="1" s="1"/>
  <c r="T176" i="1"/>
  <c r="U176" i="1" s="1"/>
  <c r="S176" i="1" s="1"/>
  <c r="T175" i="1"/>
  <c r="U175" i="1" s="1"/>
  <c r="S175" i="1" s="1"/>
  <c r="T174" i="1"/>
  <c r="U174" i="1" s="1"/>
  <c r="S174" i="1" s="1"/>
  <c r="T173" i="1"/>
  <c r="U173" i="1" s="1"/>
  <c r="S173" i="1" s="1"/>
  <c r="T172" i="1"/>
  <c r="T171" i="1"/>
  <c r="U171" i="1" s="1"/>
  <c r="S171" i="1" s="1"/>
  <c r="W170" i="1"/>
  <c r="T170" i="1"/>
  <c r="U170" i="1" s="1"/>
  <c r="S170" i="1" s="1"/>
  <c r="W169" i="1"/>
  <c r="T169" i="1"/>
  <c r="U169" i="1" s="1"/>
  <c r="S169" i="1" s="1"/>
  <c r="T168" i="1"/>
  <c r="U168" i="1" s="1"/>
  <c r="S168" i="1" s="1"/>
  <c r="T167" i="1"/>
  <c r="U167" i="1" s="1"/>
  <c r="S167" i="1" s="1"/>
  <c r="W94" i="1"/>
  <c r="T94" i="1"/>
  <c r="U94" i="1" s="1"/>
  <c r="S94" i="1" s="1"/>
  <c r="T166" i="1"/>
  <c r="U166" i="1" s="1"/>
  <c r="S166" i="1" s="1"/>
  <c r="T165" i="1"/>
  <c r="U165" i="1" s="1"/>
  <c r="S165" i="1" s="1"/>
  <c r="T164" i="1"/>
  <c r="U164" i="1" s="1"/>
  <c r="S164" i="1" s="1"/>
  <c r="W163" i="1"/>
  <c r="T163" i="1"/>
  <c r="U163" i="1" s="1"/>
  <c r="S163" i="1" s="1"/>
  <c r="T162" i="1"/>
  <c r="T161" i="1"/>
  <c r="U161" i="1" s="1"/>
  <c r="S161" i="1" s="1"/>
  <c r="W160" i="1"/>
  <c r="T160" i="1"/>
  <c r="U160" i="1" s="1"/>
  <c r="S160" i="1" s="1"/>
  <c r="T159" i="1"/>
  <c r="U159" i="1" s="1"/>
  <c r="S159" i="1" s="1"/>
  <c r="W158" i="1"/>
  <c r="T158" i="1"/>
  <c r="U158" i="1" s="1"/>
  <c r="S158" i="1" s="1"/>
  <c r="AG92" i="1"/>
  <c r="X92" i="1"/>
  <c r="T92" i="1"/>
  <c r="AG90" i="1"/>
  <c r="X90" i="1"/>
  <c r="T90" i="1"/>
  <c r="AG88" i="1"/>
  <c r="W88" i="1" s="1"/>
  <c r="X88" i="1"/>
  <c r="T88" i="1"/>
  <c r="AG86" i="1"/>
  <c r="W86" i="1" s="1"/>
  <c r="X86" i="1"/>
  <c r="T86" i="1"/>
  <c r="AG84" i="1"/>
  <c r="X84" i="1"/>
  <c r="T84" i="1"/>
  <c r="AG82" i="1"/>
  <c r="X82" i="1"/>
  <c r="T82" i="1"/>
  <c r="AG80" i="1"/>
  <c r="X80" i="1"/>
  <c r="T80" i="1"/>
  <c r="U68" i="1"/>
  <c r="S68" i="1" s="1"/>
  <c r="AI60" i="1"/>
  <c r="AG41" i="1"/>
  <c r="W41" i="1" s="1"/>
  <c r="T41" i="1"/>
  <c r="X41" i="1"/>
  <c r="AG21" i="1"/>
  <c r="T21" i="1"/>
  <c r="X21" i="1"/>
  <c r="X101" i="1"/>
  <c r="T98" i="1"/>
  <c r="T189" i="1"/>
  <c r="X188" i="1"/>
  <c r="T186" i="1"/>
  <c r="X185" i="1"/>
  <c r="T182" i="1"/>
  <c r="X181" i="1"/>
  <c r="U178" i="1"/>
  <c r="S178" i="1" s="1"/>
  <c r="AI115" i="1"/>
  <c r="AI113" i="1"/>
  <c r="AI111" i="1"/>
  <c r="AI109" i="1"/>
  <c r="U172" i="1"/>
  <c r="S172" i="1" s="1"/>
  <c r="AI105" i="1"/>
  <c r="AI102" i="1"/>
  <c r="AI101" i="1"/>
  <c r="AI99" i="1"/>
  <c r="U162" i="1"/>
  <c r="S162" i="1" s="1"/>
  <c r="AI95" i="1"/>
  <c r="X93" i="1"/>
  <c r="AG93" i="1"/>
  <c r="AI62" i="1"/>
  <c r="U54" i="1"/>
  <c r="S54" i="1" s="1"/>
  <c r="AG29" i="1"/>
  <c r="T29" i="1"/>
  <c r="X29" i="1"/>
  <c r="AG17" i="1"/>
  <c r="T17" i="1"/>
  <c r="X17" i="1"/>
  <c r="AA100" i="1"/>
  <c r="T99" i="1"/>
  <c r="U99" i="1" s="1"/>
  <c r="S99" i="1" s="1"/>
  <c r="AG98" i="1"/>
  <c r="AI98" i="1" s="1"/>
  <c r="AA97" i="1"/>
  <c r="T190" i="1"/>
  <c r="U190" i="1" s="1"/>
  <c r="S190" i="1" s="1"/>
  <c r="AG189" i="1"/>
  <c r="AI189" i="1" s="1"/>
  <c r="AA187" i="1"/>
  <c r="T96" i="1"/>
  <c r="AG186" i="1"/>
  <c r="AI186" i="1" s="1"/>
  <c r="AA184" i="1"/>
  <c r="T183" i="1"/>
  <c r="U183" i="1" s="1"/>
  <c r="S183" i="1" s="1"/>
  <c r="AG182" i="1"/>
  <c r="AI182" i="1" s="1"/>
  <c r="AA180" i="1"/>
  <c r="X179" i="1"/>
  <c r="X178" i="1"/>
  <c r="X177" i="1"/>
  <c r="X95" i="1"/>
  <c r="X176" i="1"/>
  <c r="X175" i="1"/>
  <c r="X174" i="1"/>
  <c r="X173" i="1"/>
  <c r="X172" i="1"/>
  <c r="X171" i="1"/>
  <c r="X170" i="1"/>
  <c r="X169" i="1"/>
  <c r="X168" i="1"/>
  <c r="X167" i="1"/>
  <c r="X94" i="1"/>
  <c r="X166" i="1"/>
  <c r="X165" i="1"/>
  <c r="X164" i="1"/>
  <c r="X163" i="1"/>
  <c r="AG91" i="1"/>
  <c r="X91" i="1"/>
  <c r="T91" i="1"/>
  <c r="AG89" i="1"/>
  <c r="X89" i="1"/>
  <c r="T89" i="1"/>
  <c r="AG87" i="1"/>
  <c r="X87" i="1"/>
  <c r="T87" i="1"/>
  <c r="AG85" i="1"/>
  <c r="X85" i="1"/>
  <c r="T85" i="1"/>
  <c r="AG83" i="1"/>
  <c r="X83" i="1"/>
  <c r="T83" i="1"/>
  <c r="AG81" i="1"/>
  <c r="X81" i="1"/>
  <c r="T81" i="1"/>
  <c r="AI68" i="1"/>
  <c r="W60" i="1"/>
  <c r="AI52" i="1"/>
  <c r="AG37" i="1"/>
  <c r="T37" i="1"/>
  <c r="X37" i="1"/>
  <c r="AG25" i="1"/>
  <c r="T25" i="1"/>
  <c r="X25" i="1"/>
  <c r="X22" i="1"/>
  <c r="AI42" i="1"/>
  <c r="AG35" i="1"/>
  <c r="T35" i="1"/>
  <c r="X35" i="1"/>
  <c r="AG27" i="1"/>
  <c r="T27" i="1"/>
  <c r="X27" i="1"/>
  <c r="AG19" i="1"/>
  <c r="T19" i="1"/>
  <c r="X19" i="1"/>
  <c r="AA93" i="1"/>
  <c r="AI50" i="1"/>
  <c r="AG39" i="1"/>
  <c r="T39" i="1"/>
  <c r="X39" i="1"/>
  <c r="X36" i="1"/>
  <c r="AG31" i="1"/>
  <c r="T31" i="1"/>
  <c r="X31" i="1"/>
  <c r="X28" i="1"/>
  <c r="AG23" i="1"/>
  <c r="W23" i="1" s="1"/>
  <c r="T23" i="1"/>
  <c r="X23" i="1"/>
  <c r="X20" i="1"/>
  <c r="AG15" i="1"/>
  <c r="T15" i="1"/>
  <c r="X15" i="1"/>
  <c r="X77" i="1"/>
  <c r="X73" i="1"/>
  <c r="X69" i="1"/>
  <c r="X65" i="1"/>
  <c r="U59" i="1"/>
  <c r="S59" i="1" s="1"/>
  <c r="U43" i="1"/>
  <c r="S43" i="1" s="1"/>
  <c r="T42" i="1"/>
  <c r="U42" i="1" s="1"/>
  <c r="S42" i="1" s="1"/>
  <c r="X42" i="1"/>
  <c r="AG38" i="1"/>
  <c r="W38" i="1" s="1"/>
  <c r="T38" i="1"/>
  <c r="AG34" i="1"/>
  <c r="T34" i="1"/>
  <c r="AG30" i="1"/>
  <c r="T30" i="1"/>
  <c r="AG26" i="1"/>
  <c r="T26" i="1"/>
  <c r="AG22" i="1"/>
  <c r="T22" i="1"/>
  <c r="AG18" i="1"/>
  <c r="T18" i="1"/>
  <c r="AG14" i="1"/>
  <c r="T14" i="1"/>
  <c r="X63" i="1"/>
  <c r="U61" i="1"/>
  <c r="S61" i="1" s="1"/>
  <c r="X59" i="1"/>
  <c r="X55" i="1"/>
  <c r="X51" i="1"/>
  <c r="X47" i="1"/>
  <c r="X43" i="1"/>
  <c r="AG40" i="1"/>
  <c r="W40" i="1" s="1"/>
  <c r="T40" i="1"/>
  <c r="AG36" i="1"/>
  <c r="T36" i="1"/>
  <c r="AG32" i="1"/>
  <c r="T32" i="1"/>
  <c r="AG28" i="1"/>
  <c r="T28" i="1"/>
  <c r="AG24" i="1"/>
  <c r="W24" i="1" s="1"/>
  <c r="T24" i="1"/>
  <c r="AG20" i="1"/>
  <c r="T20" i="1"/>
  <c r="AG16" i="1"/>
  <c r="W16" i="1" s="1"/>
  <c r="T16" i="1"/>
  <c r="AE35" i="3"/>
  <c r="AD19" i="3"/>
  <c r="AD35" i="3"/>
  <c r="Y36" i="3"/>
  <c r="AD21" i="3"/>
  <c r="AE23" i="3"/>
  <c r="AD38" i="3"/>
  <c r="AE38" i="3"/>
  <c r="AE30" i="3"/>
  <c r="AD30" i="3"/>
  <c r="Y17" i="3"/>
  <c r="AD27" i="3"/>
  <c r="Y25" i="3"/>
  <c r="Y32" i="3"/>
  <c r="AD11" i="3"/>
  <c r="AD23" i="3"/>
  <c r="Y13" i="3"/>
  <c r="AD22" i="3"/>
  <c r="Y29" i="3"/>
  <c r="AE26" i="3"/>
  <c r="AE12" i="3"/>
  <c r="AD26" i="3"/>
  <c r="AD37" i="3"/>
  <c r="AD13" i="3"/>
  <c r="AD29" i="3"/>
  <c r="Y20" i="3"/>
  <c r="T34" i="3"/>
  <c r="T15" i="3"/>
  <c r="Y39" i="3"/>
  <c r="AC32" i="3"/>
  <c r="AD31" i="3"/>
  <c r="AE31" i="3"/>
  <c r="AE9" i="3"/>
  <c r="Y12" i="3"/>
  <c r="T7" i="3"/>
  <c r="T37" i="3"/>
  <c r="AC30" i="3"/>
  <c r="AD17" i="3"/>
  <c r="AE17" i="3"/>
  <c r="AE34" i="3"/>
  <c r="Y16" i="3"/>
  <c r="Y37" i="3"/>
  <c r="Y15" i="3"/>
  <c r="AC34" i="3"/>
  <c r="AE15" i="3"/>
  <c r="T32" i="3"/>
  <c r="AC7" i="3"/>
  <c r="AE37" i="3"/>
  <c r="T30" i="3"/>
  <c r="AE19" i="3"/>
  <c r="T19" i="3"/>
  <c r="AC33" i="3"/>
  <c r="AE25" i="3"/>
  <c r="T25" i="3"/>
  <c r="AC18" i="3"/>
  <c r="AE39" i="3"/>
  <c r="T39" i="3"/>
  <c r="AC14" i="3"/>
  <c r="AE16" i="3"/>
  <c r="T16" i="3"/>
  <c r="AC11" i="3"/>
  <c r="AE8" i="3"/>
  <c r="T8" i="3"/>
  <c r="AC36" i="3"/>
  <c r="AE21" i="3"/>
  <c r="T21" i="3"/>
  <c r="AC40" i="3"/>
  <c r="AE13" i="3"/>
  <c r="T13" i="3"/>
  <c r="AC22" i="3"/>
  <c r="AE29" i="3"/>
  <c r="T29" i="3"/>
  <c r="AC27" i="3"/>
  <c r="AE33" i="3"/>
  <c r="T33" i="3"/>
  <c r="AE18" i="3"/>
  <c r="T18" i="3"/>
  <c r="AE14" i="3"/>
  <c r="T14" i="3"/>
  <c r="AE11" i="3"/>
  <c r="T11" i="3"/>
  <c r="AE36" i="3"/>
  <c r="T36" i="3"/>
  <c r="AE40" i="3"/>
  <c r="T40" i="3"/>
  <c r="AE22" i="3"/>
  <c r="T22" i="3"/>
  <c r="AE27" i="3"/>
  <c r="T27" i="3"/>
  <c r="M10" i="3"/>
  <c r="U10" i="3"/>
  <c r="AD28" i="3" s="1"/>
  <c r="V10" i="3"/>
  <c r="AE7" i="3" s="1"/>
  <c r="W10" i="3"/>
  <c r="X10" i="3"/>
  <c r="AD7" i="3" l="1"/>
  <c r="U157" i="1"/>
  <c r="S157" i="1"/>
  <c r="AI157" i="1"/>
  <c r="W157" i="1"/>
  <c r="AI201" i="1"/>
  <c r="W33" i="1"/>
  <c r="W80" i="1"/>
  <c r="W96" i="1"/>
  <c r="W84" i="1"/>
  <c r="AI200" i="1"/>
  <c r="W147" i="1"/>
  <c r="W206" i="1"/>
  <c r="U48" i="1"/>
  <c r="S48" i="1" s="1"/>
  <c r="W35" i="1"/>
  <c r="W104" i="1"/>
  <c r="W48" i="1"/>
  <c r="W70" i="1"/>
  <c r="W122" i="1"/>
  <c r="U77" i="1"/>
  <c r="S77" i="1" s="1"/>
  <c r="AI215" i="1"/>
  <c r="W107" i="1"/>
  <c r="W130" i="1"/>
  <c r="W28" i="1"/>
  <c r="W36" i="1"/>
  <c r="U45" i="1"/>
  <c r="S45" i="1" s="1"/>
  <c r="AI107" i="1"/>
  <c r="W92" i="1"/>
  <c r="U203" i="1"/>
  <c r="S203" i="1" s="1"/>
  <c r="U72" i="1"/>
  <c r="S72" i="1" s="1"/>
  <c r="W117" i="1"/>
  <c r="U55" i="1"/>
  <c r="S55" i="1" s="1"/>
  <c r="U202" i="1"/>
  <c r="S202" i="1" s="1"/>
  <c r="AI204" i="1"/>
  <c r="W64" i="1"/>
  <c r="W144" i="1"/>
  <c r="W214" i="1"/>
  <c r="W47" i="1"/>
  <c r="U52" i="1"/>
  <c r="S52" i="1" s="1"/>
  <c r="U133" i="1"/>
  <c r="S133" i="1" s="1"/>
  <c r="W15" i="1"/>
  <c r="W22" i="1"/>
  <c r="W25" i="1"/>
  <c r="U104" i="1"/>
  <c r="S104" i="1" s="1"/>
  <c r="AI191" i="1"/>
  <c r="AI209" i="1"/>
  <c r="U64" i="1"/>
  <c r="S64" i="1" s="1"/>
  <c r="W204" i="1"/>
  <c r="W135" i="1"/>
  <c r="AI192" i="1"/>
  <c r="U75" i="1"/>
  <c r="S75" i="1" s="1"/>
  <c r="AI214" i="1"/>
  <c r="W132" i="1"/>
  <c r="W128" i="1"/>
  <c r="W210" i="1"/>
  <c r="U70" i="1"/>
  <c r="S70" i="1" s="1"/>
  <c r="U138" i="1"/>
  <c r="S138" i="1" s="1"/>
  <c r="W127" i="1"/>
  <c r="W108" i="1"/>
  <c r="W142" i="1"/>
  <c r="W19" i="1"/>
  <c r="U142" i="1"/>
  <c r="S142" i="1" s="1"/>
  <c r="AI193" i="1"/>
  <c r="W56" i="1"/>
  <c r="W121" i="1"/>
  <c r="W102" i="1"/>
  <c r="W155" i="1"/>
  <c r="AI208" i="1"/>
  <c r="AI117" i="1"/>
  <c r="AI127" i="1"/>
  <c r="W31" i="1"/>
  <c r="W37" i="1"/>
  <c r="U96" i="1"/>
  <c r="S96" i="1" s="1"/>
  <c r="AI104" i="1"/>
  <c r="U122" i="1"/>
  <c r="S122" i="1" s="1"/>
  <c r="AI195" i="1"/>
  <c r="AI207" i="1"/>
  <c r="W123" i="1"/>
  <c r="U56" i="1"/>
  <c r="S56" i="1" s="1"/>
  <c r="W79" i="1"/>
  <c r="U210" i="1"/>
  <c r="S210" i="1" s="1"/>
  <c r="W148" i="1"/>
  <c r="W149" i="1"/>
  <c r="W87" i="1"/>
  <c r="W27" i="1"/>
  <c r="W55" i="1"/>
  <c r="W29" i="1"/>
  <c r="W150" i="1"/>
  <c r="U47" i="1"/>
  <c r="S47" i="1" s="1"/>
  <c r="W98" i="1"/>
  <c r="W215" i="1"/>
  <c r="U74" i="1"/>
  <c r="S74" i="1" s="1"/>
  <c r="U79" i="1"/>
  <c r="S79" i="1" s="1"/>
  <c r="W30" i="1"/>
  <c r="W39" i="1"/>
  <c r="W46" i="1"/>
  <c r="U145" i="1"/>
  <c r="S145" i="1" s="1"/>
  <c r="W66" i="1"/>
  <c r="W14" i="1"/>
  <c r="U78" i="1"/>
  <c r="S78" i="1" s="1"/>
  <c r="W207" i="1"/>
  <c r="W110" i="1"/>
  <c r="U137" i="1"/>
  <c r="S137" i="1" s="1"/>
  <c r="AI78" i="1"/>
  <c r="U76" i="1"/>
  <c r="S76" i="1" s="1"/>
  <c r="U110" i="1"/>
  <c r="S110" i="1" s="1"/>
  <c r="W81" i="1"/>
  <c r="W89" i="1"/>
  <c r="W103" i="1"/>
  <c r="W133" i="1"/>
  <c r="W141" i="1"/>
  <c r="AI196" i="1"/>
  <c r="AI139" i="1"/>
  <c r="W106" i="1"/>
  <c r="U118" i="1"/>
  <c r="S118" i="1" s="1"/>
  <c r="W21" i="1"/>
  <c r="W120" i="1"/>
  <c r="W83" i="1"/>
  <c r="W91" i="1"/>
  <c r="U120" i="1"/>
  <c r="S120" i="1" s="1"/>
  <c r="U126" i="1"/>
  <c r="S126" i="1" s="1"/>
  <c r="U140" i="1"/>
  <c r="S140" i="1" s="1"/>
  <c r="AI199" i="1"/>
  <c r="AI141" i="1"/>
  <c r="U212" i="1"/>
  <c r="S212" i="1" s="1"/>
  <c r="U60" i="1"/>
  <c r="S60" i="1" s="1"/>
  <c r="U151" i="1"/>
  <c r="S151" i="1" s="1"/>
  <c r="W212" i="1"/>
  <c r="W116" i="1"/>
  <c r="AI147" i="1"/>
  <c r="W153" i="1"/>
  <c r="W201" i="1"/>
  <c r="W78" i="1"/>
  <c r="U66" i="1"/>
  <c r="S66" i="1" s="1"/>
  <c r="W77" i="1"/>
  <c r="W202" i="1"/>
  <c r="S114" i="1"/>
  <c r="AI112" i="1"/>
  <c r="U69" i="1"/>
  <c r="S69" i="1" s="1"/>
  <c r="U44" i="1"/>
  <c r="S44" i="1" s="1"/>
  <c r="U112" i="1"/>
  <c r="S112" i="1" s="1"/>
  <c r="W58" i="1"/>
  <c r="W17" i="1"/>
  <c r="W62" i="1"/>
  <c r="W76" i="1"/>
  <c r="W85" i="1"/>
  <c r="W72" i="1"/>
  <c r="W74" i="1"/>
  <c r="U147" i="1"/>
  <c r="S147" i="1" s="1"/>
  <c r="W196" i="1"/>
  <c r="W44" i="1"/>
  <c r="W187" i="1"/>
  <c r="AI103" i="1"/>
  <c r="W75" i="1"/>
  <c r="W139" i="1"/>
  <c r="W145" i="1"/>
  <c r="U150" i="1"/>
  <c r="S150" i="1" s="1"/>
  <c r="AI150" i="1"/>
  <c r="W45" i="1"/>
  <c r="W203" i="1"/>
  <c r="W199" i="1"/>
  <c r="W209" i="1"/>
  <c r="W114" i="1"/>
  <c r="U152" i="1"/>
  <c r="S152" i="1" s="1"/>
  <c r="AI152" i="1"/>
  <c r="W136" i="1"/>
  <c r="W138" i="1"/>
  <c r="AI58" i="1"/>
  <c r="U58" i="1"/>
  <c r="S58" i="1" s="1"/>
  <c r="AI108" i="1"/>
  <c r="U102" i="1"/>
  <c r="S102" i="1" s="1"/>
  <c r="U136" i="1"/>
  <c r="S136" i="1" s="1"/>
  <c r="S197" i="1"/>
  <c r="U46" i="1"/>
  <c r="S46" i="1" s="1"/>
  <c r="U153" i="1"/>
  <c r="S153" i="1" s="1"/>
  <c r="AI153" i="1"/>
  <c r="W20" i="1"/>
  <c r="U108" i="1"/>
  <c r="S108" i="1" s="1"/>
  <c r="U116" i="1"/>
  <c r="S116" i="1" s="1"/>
  <c r="W180" i="1"/>
  <c r="W100" i="1"/>
  <c r="AI114" i="1"/>
  <c r="AI211" i="1"/>
  <c r="S199" i="1"/>
  <c r="W69" i="1"/>
  <c r="U146" i="1"/>
  <c r="S146" i="1" s="1"/>
  <c r="AI146" i="1"/>
  <c r="W193" i="1"/>
  <c r="W211" i="1"/>
  <c r="W197" i="1"/>
  <c r="W140" i="1"/>
  <c r="W191" i="1"/>
  <c r="W152" i="1"/>
  <c r="AI32" i="1"/>
  <c r="U32" i="1"/>
  <c r="S32" i="1" s="1"/>
  <c r="U19" i="1"/>
  <c r="S19" i="1" s="1"/>
  <c r="AI19" i="1"/>
  <c r="U87" i="1"/>
  <c r="S87" i="1" s="1"/>
  <c r="AI87" i="1"/>
  <c r="AI124" i="1"/>
  <c r="U186" i="1"/>
  <c r="S186" i="1" s="1"/>
  <c r="AI93" i="1"/>
  <c r="U93" i="1"/>
  <c r="S93" i="1" s="1"/>
  <c r="AI82" i="1"/>
  <c r="U82" i="1"/>
  <c r="S82" i="1" s="1"/>
  <c r="AI90" i="1"/>
  <c r="U90" i="1"/>
  <c r="S90" i="1" s="1"/>
  <c r="AI122" i="1"/>
  <c r="U184" i="1"/>
  <c r="S184" i="1" s="1"/>
  <c r="W32" i="1"/>
  <c r="AI18" i="1"/>
  <c r="U18" i="1"/>
  <c r="S18" i="1" s="1"/>
  <c r="AI26" i="1"/>
  <c r="U26" i="1"/>
  <c r="S26" i="1" s="1"/>
  <c r="AI34" i="1"/>
  <c r="U34" i="1"/>
  <c r="S34" i="1" s="1"/>
  <c r="W93" i="1"/>
  <c r="W82" i="1"/>
  <c r="W90" i="1"/>
  <c r="U85" i="1"/>
  <c r="S85" i="1" s="1"/>
  <c r="AI85" i="1"/>
  <c r="AI120" i="1"/>
  <c r="U182" i="1"/>
  <c r="S182" i="1" s="1"/>
  <c r="W97" i="1"/>
  <c r="AI80" i="1"/>
  <c r="U80" i="1"/>
  <c r="S80" i="1" s="1"/>
  <c r="AI88" i="1"/>
  <c r="U88" i="1"/>
  <c r="S88" i="1" s="1"/>
  <c r="AI118" i="1"/>
  <c r="U180" i="1"/>
  <c r="S180" i="1" s="1"/>
  <c r="W189" i="1"/>
  <c r="AI134" i="1"/>
  <c r="U100" i="1"/>
  <c r="S100" i="1" s="1"/>
  <c r="AI16" i="1"/>
  <c r="U16" i="1"/>
  <c r="S16" i="1" s="1"/>
  <c r="AI24" i="1"/>
  <c r="U24" i="1"/>
  <c r="S24" i="1" s="1"/>
  <c r="AI40" i="1"/>
  <c r="U40" i="1"/>
  <c r="S40" i="1" s="1"/>
  <c r="AI20" i="1"/>
  <c r="U20" i="1"/>
  <c r="S20" i="1" s="1"/>
  <c r="AI28" i="1"/>
  <c r="U28" i="1"/>
  <c r="S28" i="1" s="1"/>
  <c r="AI36" i="1"/>
  <c r="U36" i="1"/>
  <c r="S36" i="1" s="1"/>
  <c r="U15" i="1"/>
  <c r="S15" i="1" s="1"/>
  <c r="AI15" i="1"/>
  <c r="U23" i="1"/>
  <c r="S23" i="1" s="1"/>
  <c r="AI23" i="1"/>
  <c r="U31" i="1"/>
  <c r="S31" i="1" s="1"/>
  <c r="AI31" i="1"/>
  <c r="U39" i="1"/>
  <c r="S39" i="1" s="1"/>
  <c r="AI39" i="1"/>
  <c r="U35" i="1"/>
  <c r="S35" i="1" s="1"/>
  <c r="AI35" i="1"/>
  <c r="U37" i="1"/>
  <c r="S37" i="1" s="1"/>
  <c r="AI37" i="1"/>
  <c r="U83" i="1"/>
  <c r="S83" i="1" s="1"/>
  <c r="AI83" i="1"/>
  <c r="U91" i="1"/>
  <c r="S91" i="1" s="1"/>
  <c r="AI91" i="1"/>
  <c r="AI132" i="1"/>
  <c r="U98" i="1"/>
  <c r="S98" i="1" s="1"/>
  <c r="U29" i="1"/>
  <c r="S29" i="1" s="1"/>
  <c r="AI29" i="1"/>
  <c r="AI94" i="1"/>
  <c r="U41" i="1"/>
  <c r="S41" i="1" s="1"/>
  <c r="AI41" i="1"/>
  <c r="AI86" i="1"/>
  <c r="U86" i="1"/>
  <c r="S86" i="1" s="1"/>
  <c r="W186" i="1"/>
  <c r="AI130" i="1"/>
  <c r="U97" i="1"/>
  <c r="S97" i="1" s="1"/>
  <c r="W18" i="1"/>
  <c r="W26" i="1"/>
  <c r="W34" i="1"/>
  <c r="AI14" i="1"/>
  <c r="U14" i="1"/>
  <c r="AI22" i="1"/>
  <c r="U22" i="1"/>
  <c r="S22" i="1" s="1"/>
  <c r="AI30" i="1"/>
  <c r="U30" i="1"/>
  <c r="S30" i="1" s="1"/>
  <c r="AI38" i="1"/>
  <c r="U38" i="1"/>
  <c r="S38" i="1" s="1"/>
  <c r="U27" i="1"/>
  <c r="S27" i="1" s="1"/>
  <c r="AI27" i="1"/>
  <c r="U25" i="1"/>
  <c r="S25" i="1" s="1"/>
  <c r="AI25" i="1"/>
  <c r="U81" i="1"/>
  <c r="S81" i="1" s="1"/>
  <c r="AI81" i="1"/>
  <c r="U89" i="1"/>
  <c r="S89" i="1" s="1"/>
  <c r="AI89" i="1"/>
  <c r="W184" i="1"/>
  <c r="AI128" i="1"/>
  <c r="U189" i="1"/>
  <c r="S189" i="1" s="1"/>
  <c r="U17" i="1"/>
  <c r="S17" i="1" s="1"/>
  <c r="AI17" i="1"/>
  <c r="U21" i="1"/>
  <c r="S21" i="1" s="1"/>
  <c r="AI21" i="1"/>
  <c r="AI84" i="1"/>
  <c r="U84" i="1"/>
  <c r="S84" i="1" s="1"/>
  <c r="U92" i="1"/>
  <c r="S92" i="1" s="1"/>
  <c r="AI92" i="1"/>
  <c r="W182" i="1"/>
  <c r="AI126" i="1"/>
  <c r="U187" i="1"/>
  <c r="S187" i="1" s="1"/>
  <c r="U33" i="1"/>
  <c r="S33" i="1" s="1"/>
  <c r="AI33" i="1"/>
  <c r="Y10" i="3"/>
  <c r="AC10" i="3"/>
  <c r="AE28" i="3"/>
  <c r="T10" i="3"/>
  <c r="B5" i="6"/>
  <c r="F5" i="6" s="1"/>
  <c r="B6" i="6"/>
  <c r="F6" i="6" s="1"/>
  <c r="B7" i="6"/>
  <c r="F7" i="6" s="1"/>
  <c r="B8" i="6"/>
  <c r="F8" i="6" s="1"/>
  <c r="B9" i="6"/>
  <c r="F9" i="6" s="1"/>
  <c r="B4" i="6"/>
  <c r="I8" i="6" l="1"/>
  <c r="I5" i="6"/>
  <c r="I6" i="6"/>
  <c r="I7" i="6"/>
  <c r="I9" i="6"/>
  <c r="G9" i="6"/>
  <c r="G8" i="6"/>
  <c r="G7" i="6"/>
  <c r="G6" i="6"/>
  <c r="G5" i="6"/>
  <c r="J9" i="6"/>
  <c r="J8" i="6"/>
  <c r="J7" i="6"/>
  <c r="J6" i="6"/>
  <c r="J5" i="6"/>
  <c r="AD10" i="3"/>
  <c r="AE10" i="3"/>
  <c r="B56" i="9"/>
  <c r="B57" i="9"/>
  <c r="Z13" i="1"/>
  <c r="Y13" i="1"/>
  <c r="C57" i="9" l="1"/>
  <c r="AM13" i="1" l="1"/>
  <c r="F4" i="6" l="1"/>
  <c r="I4" i="6"/>
  <c r="G4" i="6"/>
  <c r="J4" i="6"/>
  <c r="B3" i="6" l="1"/>
  <c r="J3" i="6" l="1"/>
  <c r="F3" i="6"/>
  <c r="I3" i="6"/>
  <c r="G3" i="6"/>
  <c r="B53" i="9" l="1"/>
  <c r="B54" i="9"/>
  <c r="B55" i="9"/>
  <c r="C56" i="9" s="1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H4" i="6"/>
  <c r="H6" i="6"/>
  <c r="N21" i="3"/>
  <c r="N13" i="3"/>
  <c r="N22" i="3"/>
  <c r="N31" i="3"/>
  <c r="N9" i="3"/>
  <c r="N39" i="3"/>
  <c r="N24" i="3"/>
  <c r="N16" i="3"/>
  <c r="N11" i="3"/>
  <c r="N12" i="3"/>
  <c r="H8" i="6"/>
  <c r="N36" i="3"/>
  <c r="N37" i="3"/>
  <c r="H5" i="6"/>
  <c r="N23" i="3"/>
  <c r="N30" i="3"/>
  <c r="N26" i="3"/>
  <c r="N27" i="3"/>
  <c r="N35" i="3"/>
  <c r="H7" i="6"/>
  <c r="N40" i="3"/>
  <c r="N34" i="3"/>
  <c r="N33" i="3"/>
  <c r="N19" i="3"/>
  <c r="N15" i="3"/>
  <c r="N20" i="3"/>
  <c r="N25" i="3"/>
  <c r="N18" i="3"/>
  <c r="N14" i="3"/>
  <c r="N32" i="3"/>
  <c r="N7" i="3"/>
  <c r="N38" i="3"/>
  <c r="N17" i="3"/>
  <c r="N29" i="3"/>
  <c r="N28" i="3"/>
  <c r="N10" i="3"/>
  <c r="H9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S10" i="3" s="1"/>
  <c r="AB13" i="1"/>
  <c r="AC13" i="1"/>
  <c r="AD13" i="1"/>
  <c r="X14" i="1" s="1"/>
  <c r="AE13" i="1"/>
  <c r="R10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<sst xmlns="http://schemas.openxmlformats.org/spreadsheetml/2006/main" count="2518" uniqueCount="906">
  <si>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</si>
  <si>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</si>
  <si>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</si>
  <si>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</si>
  <si>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</si>
  <si>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</si>
  <si>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</si>
  <si>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</si>
  <si>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</si>
  <si>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</si>
  <si>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</si>
  <si>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</si>
  <si>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</si>
  <si>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</si>
  <si>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</si>
  <si>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</si>
  <si>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</si>
  <si>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</si>
  <si>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</si>
  <si>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</si>
  <si>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</si>
  <si>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</si>
  <si>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</si>
  <si>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</si>
  <si>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</si>
  <si>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</si>
  <si>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</si>
  <si>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</si>
  <si>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</si>
  <si>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</si>
  <si>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</si>
  <si>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</si>
  <si>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</si>
  <si>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</si>
  <si>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</si>
  <si>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</si>
  <si>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</si>
  <si>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</si>
  <si>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</si>
  <si>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</si>
  <si>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</si>
  <si>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</si>
  <si>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</si>
  <si>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</si>
  <si>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</si>
  <si>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</si>
  <si>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</si>
  <si>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</si>
  <si>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</si>
  <si>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</si>
  <si>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</si>
  <si>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</si>
  <si>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</si>
  <si>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</si>
  <si>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</si>
  <si>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</si>
  <si>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</si>
  <si>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</si>
  <si>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</si>
  <si>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</si>
  <si>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</si>
  <si>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</si>
  <si>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</si>
  <si>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</si>
  <si>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</si>
  <si>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</si>
  <si>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</si>
  <si>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</si>
  <si>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</si>
  <si>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</si>
  <si>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</si>
  <si>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</si>
  <si>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</si>
  <si>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</si>
  <si>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</si>
  <si>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</si>
  <si>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</si>
  <si>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</si>
  <si>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</si>
  <si>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</si>
  <si>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</si>
  <si>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</si>
  <si>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</si>
  <si>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</si>
  <si>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</si>
  <si>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</si>
  <si>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</si>
  <si>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</si>
  <si>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</si>
  <si>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</si>
  <si>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</si>
  <si>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</si>
  <si>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</si>
  <si>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</si>
  <si>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</si>
  <si>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</si>
  <si>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</si>
  <si>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</si>
  <si>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</si>
  <si>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</si>
  <si>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</si>
  <si>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</si>
  <si>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</si>
  <si>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</si>
  <si>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</si>
  <si>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</si>
  <si>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</si>
  <si>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</si>
  <si>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</si>
  <si>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</si>
  <si>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</si>
  <si>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</si>
  <si>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</si>
  <si>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</si>
  <si>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</si>
  <si>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</si>
  <si>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</si>
  <si>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</si>
  <si>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</si>
  <si>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</si>
  <si>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</si>
  <si>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</si>
  <si>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</si>
  <si>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</si>
  <si>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</si>
  <si>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</si>
  <si>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</si>
  <si>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</si>
  <si>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</si>
  <si>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</si>
  <si>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</si>
  <si>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</si>
  <si>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</si>
  <si>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</si>
  <si>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</si>
  <si>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</si>
  <si>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</si>
  <si>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</si>
  <si>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</si>
  <si>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</si>
  <si>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</si>
  <si>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</si>
  <si>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</si>
  <si>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</si>
  <si>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</si>
  <si>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</si>
  <si>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</si>
  <si>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</si>
  <si>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</si>
  <si>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</si>
  <si>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</si>
  <si>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</si>
  <si>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</si>
  <si>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</si>
  <si>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</si>
  <si>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</si>
  <si>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</si>
  <si>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</si>
  <si>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</si>
  <si>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</si>
  <si>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</si>
  <si>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</si>
  <si>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</si>
  <si>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</si>
  <si>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</si>
  <si>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</si>
  <si>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</si>
  <si>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</si>
  <si>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</si>
  <si>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</si>
  <si>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</si>
  <si>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</si>
  <si>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</si>
  <si>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</si>
  <si>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</si>
  <si>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</si>
  <si>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</si>
  <si>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</si>
  <si>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</si>
  <si>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</si>
  <si>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</si>
  <si>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</si>
  <si>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</si>
  <si>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</si>
  <si>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</si>
  <si>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</si>
  <si>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</si>
  <si>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</si>
  <si>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</si>
  <si>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</si>
  <si>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</si>
  <si>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</si>
  <si>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</si>
  <si>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</si>
  <si>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</si>
  <si>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</si>
  <si>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</si>
  <si>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</si>
  <si>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</si>
  <si>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</si>
  <si>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</si>
  <si>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</si>
  <si>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</si>
  <si>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</si>
  <si>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</si>
  <si>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</si>
  <si>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</si>
  <si>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</si>
  <si>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</si>
  <si>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</si>
  <si>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</si>
  <si>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</si>
  <si>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</si>
  <si>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</si>
  <si>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</si>
  <si>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</si>
  <si>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</si>
  <si>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</si>
  <si>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</si>
  <si>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</si>
  <si>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</si>
  <si>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</si>
  <si>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</si>
  <si>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</si>
  <si>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</si>
  <si>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</si>
  <si>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</si>
  <si>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</si>
  <si>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</si>
  <si>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</si>
  <si>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</si>
  <si>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</si>
  <si>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</si>
  <si>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</si>
  <si>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</si>
  <si>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</si>
  <si>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</si>
  <si>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</si>
  <si>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</si>
  <si>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</si>
  <si>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</si>
  <si>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</si>
  <si>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</si>
  <si>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</si>
  <si>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</si>
  <si>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</si>
  <si>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</si>
  <si>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</si>
  <si>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204:232977</t>
  </si>
  <si>
    <t>204:160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</si>
  <si>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</si>
  <si>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</si>
  <si>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</si>
  <si>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</si>
  <si>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</si>
  <si>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</si>
  <si>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</si>
  <si>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</si>
  <si>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</si>
  <si>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</si>
  <si>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</si>
  <si>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</si>
  <si>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</si>
  <si>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</si>
  <si>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</si>
  <si>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</si>
  <si>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</si>
  <si>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</si>
  <si>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</si>
  <si>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</si>
  <si>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</si>
  <si>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</si>
  <si>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</si>
  <si>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</si>
  <si>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</si>
  <si>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</si>
  <si>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204:233312</t>
  </si>
  <si>
    <t>204:233300</t>
  </si>
  <si>
    <t>204:152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</si>
  <si>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</si>
  <si>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</si>
  <si>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</si>
  <si>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</si>
  <si>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</si>
  <si>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</si>
  <si>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</si>
  <si>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</si>
  <si>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</si>
  <si>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</si>
  <si>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</si>
  <si>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</si>
  <si>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</si>
  <si>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</si>
  <si>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</si>
  <si>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</si>
  <si>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</si>
  <si>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</si>
  <si>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</si>
  <si>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</si>
  <si>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</si>
  <si>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204:467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</si>
  <si>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</si>
  <si>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</si>
  <si>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</si>
  <si>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</si>
  <si>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</si>
  <si>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</si>
  <si>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</si>
  <si>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</si>
  <si>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204:233303</t>
  </si>
  <si>
    <t>204:232983</t>
  </si>
  <si>
    <t>204:233298</t>
  </si>
  <si>
    <t>204:446</t>
  </si>
  <si>
    <t>204:232981</t>
  </si>
  <si>
    <t>rtdc.l.rtdc.4032:itc</t>
  </si>
  <si>
    <t>rtdc.l.rtdc.4015:itc</t>
  </si>
  <si>
    <t>204:233295</t>
  </si>
  <si>
    <t>204:232992</t>
  </si>
  <si>
    <t>204:458</t>
  </si>
  <si>
    <t>rtdc.l.rtdc.4010:itc</t>
  </si>
  <si>
    <t>PERMANENT SPEED RESTRICTION</t>
  </si>
  <si>
    <t>Speed (6)</t>
  </si>
  <si>
    <t>Y</t>
  </si>
  <si>
    <t>LOZA</t>
  </si>
  <si>
    <t>FIDEL</t>
  </si>
  <si>
    <t>BRANNON</t>
  </si>
  <si>
    <t>JEFFREY</t>
  </si>
  <si>
    <t>DUNCAN</t>
  </si>
  <si>
    <t>SHEILA</t>
  </si>
  <si>
    <t>204:134</t>
  </si>
  <si>
    <t>204:233311</t>
  </si>
  <si>
    <t>204:469</t>
  </si>
  <si>
    <t>204:233314</t>
  </si>
  <si>
    <t>204:466</t>
  </si>
  <si>
    <t>300:58619</t>
  </si>
  <si>
    <t>rtdc.l.rtdc.4001:itc</t>
  </si>
  <si>
    <t>ISHMAEL</t>
  </si>
  <si>
    <t>JOSEPH</t>
  </si>
  <si>
    <t>BEAM</t>
  </si>
  <si>
    <t>ROSS</t>
  </si>
  <si>
    <t>HELVIE</t>
  </si>
  <si>
    <t>ADAM</t>
  </si>
  <si>
    <t>BRUDER</t>
  </si>
  <si>
    <t>RICHARD</t>
  </si>
  <si>
    <t>NELSON</t>
  </si>
  <si>
    <t>ARIANE</t>
  </si>
  <si>
    <t>315-04</t>
  </si>
  <si>
    <t>204:233284</t>
  </si>
  <si>
    <t>204:232987</t>
  </si>
  <si>
    <t>204:136</t>
  </si>
  <si>
    <t>204:233291</t>
  </si>
  <si>
    <t>204:233301</t>
  </si>
  <si>
    <t>204:429</t>
  </si>
  <si>
    <t>204:232972</t>
  </si>
  <si>
    <t>204:232988</t>
  </si>
  <si>
    <t>204:232993</t>
  </si>
  <si>
    <t>204:431</t>
  </si>
  <si>
    <t>300:23308</t>
  </si>
  <si>
    <t>300:58918</t>
  </si>
  <si>
    <t>300:58946</t>
  </si>
  <si>
    <t>300:58933</t>
  </si>
  <si>
    <t>Track device (7)</t>
  </si>
  <si>
    <t>847-05</t>
  </si>
  <si>
    <t>235-05</t>
  </si>
  <si>
    <t>239-05</t>
  </si>
  <si>
    <t>236-05</t>
  </si>
  <si>
    <t>ROBINSON</t>
  </si>
  <si>
    <t>KADDIBA</t>
  </si>
  <si>
    <t>KILLION</t>
  </si>
  <si>
    <t>DAVID</t>
  </si>
  <si>
    <t>BRANDNER</t>
  </si>
  <si>
    <t>MELINDA</t>
  </si>
  <si>
    <t>DELGADO</t>
  </si>
  <si>
    <t>DIANAH</t>
  </si>
  <si>
    <t>rtdc.l.rtdc.4027:itc</t>
  </si>
  <si>
    <t>DIANE</t>
  </si>
  <si>
    <t>844-05</t>
  </si>
  <si>
    <t>233-05</t>
  </si>
  <si>
    <t>230-05</t>
  </si>
  <si>
    <t>232-05</t>
  </si>
  <si>
    <t>908-05</t>
  </si>
  <si>
    <t>234-05</t>
  </si>
  <si>
    <t>237-05</t>
  </si>
  <si>
    <t>238-05</t>
  </si>
  <si>
    <t>241-05</t>
  </si>
  <si>
    <t>243-05</t>
  </si>
  <si>
    <t>240-05</t>
  </si>
  <si>
    <t>309-05</t>
  </si>
  <si>
    <t>83-05</t>
  </si>
  <si>
    <t>MACDONALD</t>
  </si>
  <si>
    <t>THOMAS</t>
  </si>
  <si>
    <t>242-05</t>
  </si>
  <si>
    <t>311-05</t>
  </si>
  <si>
    <t>244-05</t>
  </si>
  <si>
    <t>313-05</t>
  </si>
  <si>
    <t>60-06</t>
  </si>
  <si>
    <t>315-05</t>
  </si>
  <si>
    <t>Mostly Cloudy</t>
  </si>
  <si>
    <t>204:233293</t>
  </si>
  <si>
    <t>204:744</t>
  </si>
  <si>
    <t>204:233327</t>
  </si>
  <si>
    <t>204:233309</t>
  </si>
  <si>
    <t>204:232687</t>
  </si>
  <si>
    <t>204:746</t>
  </si>
  <si>
    <t>204:741</t>
  </si>
  <si>
    <t>204:232672</t>
  </si>
  <si>
    <t>204:232994</t>
  </si>
  <si>
    <t>204:233322</t>
  </si>
  <si>
    <t>204:440</t>
  </si>
  <si>
    <t>204:232975</t>
  </si>
  <si>
    <t>204:232984</t>
  </si>
  <si>
    <t>204:232960</t>
  </si>
  <si>
    <t>204:232974</t>
  </si>
  <si>
    <t>204:233264</t>
  </si>
  <si>
    <t>204:233008</t>
  </si>
  <si>
    <t>204:233331</t>
  </si>
  <si>
    <t>204:438</t>
  </si>
  <si>
    <t>204:123</t>
  </si>
  <si>
    <t>204:404</t>
  </si>
  <si>
    <t>204:233280</t>
  </si>
  <si>
    <t>204:710</t>
  </si>
  <si>
    <t>300:23346</t>
  </si>
  <si>
    <t>300:58630</t>
  </si>
  <si>
    <t>204:717</t>
  </si>
  <si>
    <t>300:58937</t>
  </si>
  <si>
    <t>204:1181</t>
  </si>
  <si>
    <t>300:58596</t>
  </si>
  <si>
    <t>300:58623</t>
  </si>
  <si>
    <t>Cancelled</t>
  </si>
  <si>
    <t>101-07</t>
  </si>
  <si>
    <t>106-07</t>
  </si>
  <si>
    <t>121-07</t>
  </si>
  <si>
    <t>125-07</t>
  </si>
  <si>
    <t>128-07</t>
  </si>
  <si>
    <t>133-07</t>
  </si>
  <si>
    <t>SPEED RESTRICTION</t>
  </si>
  <si>
    <t>145-07</t>
  </si>
  <si>
    <t>146-07</t>
  </si>
  <si>
    <t>52-07</t>
  </si>
  <si>
    <t>54-07</t>
  </si>
  <si>
    <t>152-07</t>
  </si>
  <si>
    <t>159-07</t>
  </si>
  <si>
    <t>53-07</t>
  </si>
  <si>
    <t>SWITCH ALIGNMENT</t>
  </si>
  <si>
    <t>Unknown (0)</t>
  </si>
  <si>
    <t>171-07</t>
  </si>
  <si>
    <t>162-07</t>
  </si>
  <si>
    <t>172-07</t>
  </si>
  <si>
    <t>174-07</t>
  </si>
  <si>
    <t>182-07</t>
  </si>
  <si>
    <t>195-07</t>
  </si>
  <si>
    <t>199-07</t>
  </si>
  <si>
    <t>70-07</t>
  </si>
  <si>
    <t>206-07</t>
  </si>
  <si>
    <t>220-07</t>
  </si>
  <si>
    <t>1827-07</t>
  </si>
  <si>
    <t>225-07</t>
  </si>
  <si>
    <t>227-07</t>
  </si>
  <si>
    <t>235-07</t>
  </si>
  <si>
    <t>236-07</t>
  </si>
  <si>
    <t>238-07</t>
  </si>
  <si>
    <t>245-06</t>
  </si>
  <si>
    <t>309-06</t>
  </si>
  <si>
    <t>rtdc.l.rtdc.4017:itc</t>
  </si>
  <si>
    <t>244-06</t>
  </si>
  <si>
    <t>311-06</t>
  </si>
  <si>
    <t>246-06</t>
  </si>
  <si>
    <t>313-06</t>
  </si>
  <si>
    <t>302-07</t>
  </si>
  <si>
    <t>304-07</t>
  </si>
  <si>
    <t>103-07</t>
  </si>
  <si>
    <t>306-07</t>
  </si>
  <si>
    <t>MAELZER</t>
  </si>
  <si>
    <t>KURT</t>
  </si>
  <si>
    <t>102-07</t>
  </si>
  <si>
    <t>105-07</t>
  </si>
  <si>
    <t>308-07</t>
  </si>
  <si>
    <t>DAVIS</t>
  </si>
  <si>
    <t>WENDY</t>
  </si>
  <si>
    <t>310-07</t>
  </si>
  <si>
    <t>107-07</t>
  </si>
  <si>
    <t>104-07</t>
  </si>
  <si>
    <t>109-07</t>
  </si>
  <si>
    <t>111-07</t>
  </si>
  <si>
    <t>113-07</t>
  </si>
  <si>
    <t>108-07</t>
  </si>
  <si>
    <t>115-07</t>
  </si>
  <si>
    <t>GEBRETEKLE</t>
  </si>
  <si>
    <t>DAGNEW</t>
  </si>
  <si>
    <t>117-07</t>
  </si>
  <si>
    <t>1901-07</t>
  </si>
  <si>
    <t>ARVIDSON</t>
  </si>
  <si>
    <t>DANIEL</t>
  </si>
  <si>
    <t>110-07</t>
  </si>
  <si>
    <t>1800-07</t>
  </si>
  <si>
    <t>112-07</t>
  </si>
  <si>
    <t>119-07</t>
  </si>
  <si>
    <t>114-07</t>
  </si>
  <si>
    <t>1801-07</t>
  </si>
  <si>
    <t>116-07</t>
  </si>
  <si>
    <t>123-07</t>
  </si>
  <si>
    <t>118-07</t>
  </si>
  <si>
    <t>1802-07</t>
  </si>
  <si>
    <t>120-07</t>
  </si>
  <si>
    <t>127-07</t>
  </si>
  <si>
    <t>122-07</t>
  </si>
  <si>
    <t>129-07</t>
  </si>
  <si>
    <t>1803-07</t>
  </si>
  <si>
    <t>124-07</t>
  </si>
  <si>
    <t>131-07</t>
  </si>
  <si>
    <t>126-07</t>
  </si>
  <si>
    <t>1804-07</t>
  </si>
  <si>
    <t>135-07</t>
  </si>
  <si>
    <t>130-07</t>
  </si>
  <si>
    <t>137-07</t>
  </si>
  <si>
    <t>1805-07</t>
  </si>
  <si>
    <t>132-07</t>
  </si>
  <si>
    <t>139-07</t>
  </si>
  <si>
    <t>134-07</t>
  </si>
  <si>
    <t>141-07</t>
  </si>
  <si>
    <t>1806-07</t>
  </si>
  <si>
    <t>136-07</t>
  </si>
  <si>
    <t>143-07</t>
  </si>
  <si>
    <t>138-07</t>
  </si>
  <si>
    <t>1807-07</t>
  </si>
  <si>
    <t>140-07</t>
  </si>
  <si>
    <t>147-07</t>
  </si>
  <si>
    <t>142-07</t>
  </si>
  <si>
    <t>149-07</t>
  </si>
  <si>
    <t>1808-07</t>
  </si>
  <si>
    <t>144-07</t>
  </si>
  <si>
    <t>151-07</t>
  </si>
  <si>
    <t>50-07</t>
  </si>
  <si>
    <t>153-07</t>
  </si>
  <si>
    <t>1809-07</t>
  </si>
  <si>
    <t>148-07</t>
  </si>
  <si>
    <t>155-07</t>
  </si>
  <si>
    <t>51-07</t>
  </si>
  <si>
    <t>150-07</t>
  </si>
  <si>
    <t>157-07</t>
  </si>
  <si>
    <t>1810-07</t>
  </si>
  <si>
    <t>STEWART</t>
  </si>
  <si>
    <t>154-07</t>
  </si>
  <si>
    <t>161-07</t>
  </si>
  <si>
    <t>LOPES</t>
  </si>
  <si>
    <t>KIMBERLY</t>
  </si>
  <si>
    <t>156-07</t>
  </si>
  <si>
    <t>1811-07</t>
  </si>
  <si>
    <t>SCOTT</t>
  </si>
  <si>
    <t>163-07</t>
  </si>
  <si>
    <t>158-07</t>
  </si>
  <si>
    <t>165-07</t>
  </si>
  <si>
    <t>1812-07</t>
  </si>
  <si>
    <t>167-07</t>
  </si>
  <si>
    <t>160-07</t>
  </si>
  <si>
    <t>55-07</t>
  </si>
  <si>
    <t>169-07</t>
  </si>
  <si>
    <t>1813-07</t>
  </si>
  <si>
    <t>164-07</t>
  </si>
  <si>
    <t>166-07</t>
  </si>
  <si>
    <t>1814-07</t>
  </si>
  <si>
    <t>173-07</t>
  </si>
  <si>
    <t>168-07</t>
  </si>
  <si>
    <t>175-07</t>
  </si>
  <si>
    <t>WHITED</t>
  </si>
  <si>
    <t>1815-07</t>
  </si>
  <si>
    <t>170-07</t>
  </si>
  <si>
    <t>177-07</t>
  </si>
  <si>
    <t>179-07</t>
  </si>
  <si>
    <t>1816-07</t>
  </si>
  <si>
    <t>181-07</t>
  </si>
  <si>
    <t>176-07</t>
  </si>
  <si>
    <t>183-07</t>
  </si>
  <si>
    <t>178-07</t>
  </si>
  <si>
    <t>1817-07</t>
  </si>
  <si>
    <t>180-07</t>
  </si>
  <si>
    <t>185-07</t>
  </si>
  <si>
    <t>187-07</t>
  </si>
  <si>
    <t>1818-07</t>
  </si>
  <si>
    <t>189-07</t>
  </si>
  <si>
    <t>184-07</t>
  </si>
  <si>
    <t>191-07</t>
  </si>
  <si>
    <t>193-07</t>
  </si>
  <si>
    <t>186-07</t>
  </si>
  <si>
    <t>1819-07</t>
  </si>
  <si>
    <t>188-07</t>
  </si>
  <si>
    <t>1820-07</t>
  </si>
  <si>
    <t>197-07</t>
  </si>
  <si>
    <t>ROMERO</t>
  </si>
  <si>
    <t>CHAD</t>
  </si>
  <si>
    <t>190-07</t>
  </si>
  <si>
    <t>192-07</t>
  </si>
  <si>
    <t>194-07</t>
  </si>
  <si>
    <t>1821-07</t>
  </si>
  <si>
    <t>201-07</t>
  </si>
  <si>
    <t>196-07</t>
  </si>
  <si>
    <t>198-07</t>
  </si>
  <si>
    <t>203-07</t>
  </si>
  <si>
    <t>1822-07</t>
  </si>
  <si>
    <t>205-07</t>
  </si>
  <si>
    <t>207-07</t>
  </si>
  <si>
    <t>200-07</t>
  </si>
  <si>
    <t>202-07</t>
  </si>
  <si>
    <t>209-07</t>
  </si>
  <si>
    <t>204-07</t>
  </si>
  <si>
    <t>1823-07</t>
  </si>
  <si>
    <t>211-07</t>
  </si>
  <si>
    <t>57-07</t>
  </si>
  <si>
    <t>1824-07</t>
  </si>
  <si>
    <t>213-07</t>
  </si>
  <si>
    <t>208-07</t>
  </si>
  <si>
    <t>215-07</t>
  </si>
  <si>
    <t>72-07</t>
  </si>
  <si>
    <t>210-07</t>
  </si>
  <si>
    <t>74-07</t>
  </si>
  <si>
    <t>MAGEE</t>
  </si>
  <si>
    <t>KENYA</t>
  </si>
  <si>
    <t>217-07</t>
  </si>
  <si>
    <t>212-07</t>
  </si>
  <si>
    <t>73-07</t>
  </si>
  <si>
    <t>1825-07</t>
  </si>
  <si>
    <t>219-07</t>
  </si>
  <si>
    <t>75-07</t>
  </si>
  <si>
    <t>214-07</t>
  </si>
  <si>
    <t>1826-07</t>
  </si>
  <si>
    <t>216-07</t>
  </si>
  <si>
    <t>303-07</t>
  </si>
  <si>
    <t>221-07</t>
  </si>
  <si>
    <t>218-07</t>
  </si>
  <si>
    <t>305-07</t>
  </si>
  <si>
    <t>223-07</t>
  </si>
  <si>
    <t>1828-07</t>
  </si>
  <si>
    <t>222-07</t>
  </si>
  <si>
    <t>307-07</t>
  </si>
  <si>
    <t>224-07</t>
  </si>
  <si>
    <t>1829-07</t>
  </si>
  <si>
    <t>1830-07</t>
  </si>
  <si>
    <t>226-07</t>
  </si>
  <si>
    <t>229-07</t>
  </si>
  <si>
    <t>228-07</t>
  </si>
  <si>
    <t>1831-07</t>
  </si>
  <si>
    <t>231-07</t>
  </si>
  <si>
    <t>233-07</t>
  </si>
  <si>
    <t>1832-07</t>
  </si>
  <si>
    <t>230-07</t>
  </si>
  <si>
    <t>1833-07</t>
  </si>
  <si>
    <t>232-07</t>
  </si>
  <si>
    <t>1902-07</t>
  </si>
  <si>
    <t>234-07</t>
  </si>
  <si>
    <t>237-07</t>
  </si>
  <si>
    <t>239-07</t>
  </si>
  <si>
    <t>241-07</t>
  </si>
  <si>
    <t>240-07</t>
  </si>
  <si>
    <t>243-07</t>
  </si>
  <si>
    <t>245-07</t>
  </si>
  <si>
    <t>244-07</t>
  </si>
  <si>
    <t>313-07</t>
  </si>
  <si>
    <t>Partly Cloudy</t>
  </si>
  <si>
    <t>partly-cloudy-day</t>
  </si>
  <si>
    <t>204:64787</t>
  </si>
  <si>
    <t>204:233308</t>
  </si>
  <si>
    <t>204:37439</t>
  </si>
  <si>
    <t>204:763</t>
  </si>
  <si>
    <t>204:232685</t>
  </si>
  <si>
    <t>204:990</t>
  </si>
  <si>
    <t>204:233011</t>
  </si>
  <si>
    <t>204:730</t>
  </si>
  <si>
    <t>204:232996</t>
  </si>
  <si>
    <t>204:748</t>
  </si>
  <si>
    <t>204:232978</t>
  </si>
  <si>
    <t>204:154</t>
  </si>
  <si>
    <t>204:233325</t>
  </si>
  <si>
    <t>204:233013</t>
  </si>
  <si>
    <t>204:422</t>
  </si>
  <si>
    <t>204:233318</t>
  </si>
  <si>
    <t>204:130</t>
  </si>
  <si>
    <t>204:233370</t>
  </si>
  <si>
    <t>204:233061</t>
  </si>
  <si>
    <t>204:233319</t>
  </si>
  <si>
    <t>204:233040</t>
  </si>
  <si>
    <t>204:442</t>
  </si>
  <si>
    <t>204:138</t>
  </si>
  <si>
    <t>204:232965</t>
  </si>
  <si>
    <t>204:161</t>
  </si>
  <si>
    <t>204:233326</t>
  </si>
  <si>
    <t>204:233001</t>
  </si>
  <si>
    <t>204:233305</t>
  </si>
  <si>
    <t>204:233282</t>
  </si>
  <si>
    <t>204:233297</t>
  </si>
  <si>
    <t>204:233310</t>
  </si>
  <si>
    <t>204:232980</t>
  </si>
  <si>
    <t>204:233304</t>
  </si>
  <si>
    <t>204:232985</t>
  </si>
  <si>
    <t>204:411</t>
  </si>
  <si>
    <t>204:477</t>
  </si>
  <si>
    <t>204:132</t>
  </si>
  <si>
    <t>204:233329</t>
  </si>
  <si>
    <t>204:233019</t>
  </si>
  <si>
    <t>300:58592</t>
  </si>
  <si>
    <t>300:58929</t>
  </si>
  <si>
    <t>300:58608</t>
  </si>
  <si>
    <t>204:761</t>
  </si>
  <si>
    <t>204:1062</t>
  </si>
  <si>
    <t>300:58920</t>
  </si>
  <si>
    <t>204:785</t>
  </si>
  <si>
    <t>204:1086</t>
  </si>
  <si>
    <t>300:58909</t>
  </si>
  <si>
    <t>300:58911</t>
  </si>
  <si>
    <t>300:58591</t>
  </si>
  <si>
    <t>204:764</t>
  </si>
  <si>
    <t>204:1021</t>
  </si>
  <si>
    <t>300:58916</t>
  </si>
  <si>
    <t>204:233334</t>
  </si>
  <si>
    <t>300:27438</t>
  </si>
  <si>
    <t>204:1006</t>
  </si>
  <si>
    <t>300:58912</t>
  </si>
  <si>
    <t>300:58600</t>
  </si>
  <si>
    <t>204:684</t>
  </si>
  <si>
    <t>204:997</t>
  </si>
  <si>
    <t>300:58914</t>
  </si>
  <si>
    <t>300:58594</t>
  </si>
  <si>
    <t>204:1030</t>
  </si>
  <si>
    <t>300:58922</t>
  </si>
  <si>
    <t>300:58609</t>
  </si>
  <si>
    <t>204:650</t>
  </si>
  <si>
    <t>204:958</t>
  </si>
  <si>
    <t>300:58944</t>
  </si>
  <si>
    <t>300:58624</t>
  </si>
  <si>
    <t>204:1020</t>
  </si>
  <si>
    <t>204:1028</t>
  </si>
  <si>
    <t>300:58943</t>
  </si>
  <si>
    <t>204:743</t>
  </si>
  <si>
    <t>204:1032</t>
  </si>
  <si>
    <t>204:1016</t>
  </si>
  <si>
    <t>300:58948</t>
  </si>
  <si>
    <t>204:740</t>
  </si>
  <si>
    <t>204:1034</t>
  </si>
  <si>
    <t>300:58640</t>
  </si>
  <si>
    <t>204:754</t>
  </si>
  <si>
    <t>204:1041</t>
  </si>
  <si>
    <t>204:731</t>
  </si>
  <si>
    <t>204:1011</t>
  </si>
  <si>
    <t>300:58941</t>
  </si>
  <si>
    <t>300:58636</t>
  </si>
  <si>
    <t>204:757</t>
  </si>
  <si>
    <t>204:1046</t>
  </si>
  <si>
    <t>204:229994</t>
  </si>
  <si>
    <t>204:1190</t>
  </si>
  <si>
    <t>204:424</t>
  </si>
  <si>
    <t>204:233317</t>
  </si>
  <si>
    <t>300:29962</t>
  </si>
  <si>
    <t>300:58638</t>
  </si>
  <si>
    <t>300:21685</t>
  </si>
  <si>
    <t>204:232991</t>
  </si>
  <si>
    <t>204:233242</t>
  </si>
  <si>
    <t>204:232921</t>
  </si>
  <si>
    <t>204:129</t>
  </si>
  <si>
    <t>204:233259</t>
  </si>
  <si>
    <t>204:232942</t>
  </si>
  <si>
    <t>204:471</t>
  </si>
  <si>
    <t>204:413</t>
  </si>
  <si>
    <t>204:233049</t>
  </si>
  <si>
    <t>204:94</t>
  </si>
  <si>
    <t>204:167</t>
  </si>
  <si>
    <t>204:233002</t>
  </si>
  <si>
    <t>204:233336</t>
  </si>
  <si>
    <t>204:233025</t>
  </si>
  <si>
    <t>204:96</t>
  </si>
  <si>
    <t>204:233302</t>
  </si>
  <si>
    <t>204:389</t>
  </si>
  <si>
    <t>204:233027</t>
  </si>
  <si>
    <t>204:233283</t>
  </si>
  <si>
    <t>204:233344</t>
  </si>
  <si>
    <t>204:192782</t>
  </si>
  <si>
    <t>204:37191</t>
  </si>
  <si>
    <t>204:3064</t>
  </si>
  <si>
    <t>300:21303</t>
  </si>
  <si>
    <t>300:21986</t>
  </si>
  <si>
    <t>300:23089</t>
  </si>
  <si>
    <t>300:20006</t>
  </si>
  <si>
    <t>204:1503</t>
  </si>
  <si>
    <t>300:22157</t>
  </si>
  <si>
    <t>300:21994</t>
  </si>
  <si>
    <t>204:125</t>
  </si>
  <si>
    <t>300:24214</t>
  </si>
  <si>
    <t>204:1051</t>
  </si>
  <si>
    <t>300:23306</t>
  </si>
  <si>
    <t>204:737</t>
  </si>
  <si>
    <t>204:3403</t>
  </si>
  <si>
    <t>300:21941</t>
  </si>
  <si>
    <t>204:97</t>
  </si>
  <si>
    <t>204:375</t>
  </si>
  <si>
    <t>300:24248</t>
  </si>
  <si>
    <t>300:23182</t>
  </si>
  <si>
    <t>204:316</t>
  </si>
  <si>
    <t>204:314</t>
  </si>
  <si>
    <t>300:25567</t>
  </si>
  <si>
    <t>300:22314</t>
  </si>
  <si>
    <t>204:902</t>
  </si>
  <si>
    <t>204:1214</t>
  </si>
  <si>
    <t>300:24235</t>
  </si>
  <si>
    <t>300:23135</t>
  </si>
  <si>
    <t>204:178</t>
  </si>
  <si>
    <t>300:23141</t>
  </si>
  <si>
    <t>204:489</t>
  </si>
  <si>
    <t>204:848</t>
  </si>
  <si>
    <t>300:23066</t>
  </si>
  <si>
    <t>300:23084</t>
  </si>
  <si>
    <t>start /low /b %USERPROFILE%\Documents\GitHub\eaglep3\Utilities\DownloadLogsFromS3.py --loco 4046 --day 2017-01-07</t>
  </si>
  <si>
    <t>start /low /b %USERPROFILE%\Documents\GitHub\eaglep3\Utilities\DownloadLogsFromS3.py --loco 4043 --day 2017-01-07</t>
  </si>
  <si>
    <t>start /low /b %USERPROFILE%\Documents\GitHub\eaglep3\Utilities\DownloadLogsFromS3.py --loco 4016 --day 2017-01-07</t>
  </si>
  <si>
    <t>start /low /b %USERPROFILE%\Documents\GitHub\eaglep3\Utilities\DownloadLogsFromS3.py --loco 4042 --day 2017-01-08</t>
  </si>
  <si>
    <t>start /low /b %USERPROFILE%\Documents\GitHub\eaglep3\Utilities\DownloadLogsFromS3.py --loco 4041 --day 2017-01-08</t>
  </si>
  <si>
    <t>start /low /b %USERPROFILE%\Documents\GitHub\eaglep3\Utilities\DownloadLogsFromS3.py --loco 4013 --day 2017-01-07</t>
  </si>
  <si>
    <t>start /low /b %USERPROFILE%\Documents\GitHub\eaglep3\Utilities\DownloadLogsFromS3.py --loco 4003 --day 2017-01-07</t>
  </si>
  <si>
    <t>start /low /b %USERPROFILE%\Documents\GitHub\eaglep3\Utilities\DownloadLogsFromS3.py --loco 4012 --day 2017-01-07</t>
  </si>
  <si>
    <t>start /low /b %USERPROFILE%\Documents\GitHub\eaglep3\Utilities\DownloadLogsFromS3.py --loco 4015 --day 2017-01-07</t>
  </si>
  <si>
    <t>start /low /b %USERPROFILE%\Documents\GitHub\eaglep3\Utilities\DownloadLogsFromS3.py --loco 4004 --day 2017-01-07</t>
  </si>
  <si>
    <t>start /low /b %USERPROFILE%\Documents\GitHub\eaglep3\Utilities\DownloadLogsFromS3.py --loco 4016 --day 2017-01-08</t>
  </si>
  <si>
    <t>start /low /b %USERPROFILE%\Documents\GitHub\eaglep3\Utilities\DownloadLogsFromS3.py --loco 4045 --day 2017-01-07</t>
  </si>
  <si>
    <t>start /low /b %USERPROFILE%\Documents\GitHub\eaglep3\Utilities\DownloadLogsFromS3.py --loco 4045 --day 2017-01-08</t>
  </si>
  <si>
    <t>start /low /b %USERPROFILE%\Documents\GitHub\eaglep3\Utilities\DownloadLogsFromS3.py --loco 4011 --day 2017-01-07</t>
  </si>
  <si>
    <t>start /low /b %USERPROFILE%\Documents\GitHub\eaglep3\Utilities\DownloadLogsFromS3.py --loco 4039 --day 2017-01-07</t>
  </si>
  <si>
    <t>start /low /b %USERPROFILE%\Documents\GitHub\eaglep3\Utilities\DownloadLogsFromS3.py --loco 4030 --day 2017-01-07</t>
  </si>
  <si>
    <t>start /low /b %USERPROFILE%\Documents\GitHub\eaglep3\Utilities\DownloadLogsFromS3.py --loco 4042 --day 2017-01-07</t>
  </si>
  <si>
    <t>start /low /b %USERPROFILE%\Documents\GitHub\eaglep3\Utilities\DownloadLogsFromS3.py --loco 4014 --day 2017-01-08</t>
  </si>
  <si>
    <t>start /low /b %USERPROFILE%\Documents\GitHub\eaglep3\Utilities\DownloadLogsFromS3.py --loco 4046 --day 1969-12-31</t>
  </si>
  <si>
    <t>Wi-MAX data drop</t>
  </si>
  <si>
    <t>Onboard in-route failure delayed departure</t>
  </si>
  <si>
    <t>Train 241 lost power</t>
  </si>
  <si>
    <t>Form C</t>
  </si>
  <si>
    <t>Early arrival</t>
  </si>
  <si>
    <t>Wheel tach readings dropped out</t>
  </si>
  <si>
    <t>DIA 2N STOP, cleared afterward</t>
  </si>
  <si>
    <t>NW0264RH CRMF POCKET offline from 09:55:07 - 10:53:40</t>
  </si>
  <si>
    <t>NW0264RH was offline for about an hour (09:55:07 - 10:53:40) - do logs indicate maintenance or any other issues?</t>
  </si>
  <si>
    <t>SYS :2017/01/07 10:23:17.241:ENFORCEMENT:Predictive Enforcement Action:  Target Number: 00017010  Target Speed:   4.0  Current Speed:  22.1</t>
  </si>
  <si>
    <t>SYS :2017/01/07 10:23:17.374:ENFORCEMENT:Predictive Enforcement Action:  Target Number: 00017010  Target Speed:   4.0  Current Speed:  21.7</t>
  </si>
  <si>
    <t>SYS :2017/01/07 12:57:19.874:ENFORCEMENT:Predictive Enforcement Action:  Target Number: 0000103C  Target Speed:   0.0  Current Speed:   8.4</t>
  </si>
  <si>
    <t>SYS :2017/01/07 12:57:20.565:ENFORCEMENT:Predictive Enforcement Action:  Target Number: 0000103A  Target Speed:   0.0  Current Speed:   8.4</t>
  </si>
  <si>
    <t>SYS :2017/01/07 12:57:21.078:ENFORCEMENT:Predictive Enforcement Action:  Target Number: 0000103C  Target Speed:   0.0  Current Speed:   8.4</t>
  </si>
  <si>
    <t>SYS :2017/01/07 12:58:08.568:ENFORCEMENT:Predictive Enforcement Action:  Target Number: 0000103A  Target Speed:   0.0  Current Speed:   4.0</t>
  </si>
  <si>
    <t>SYS :2017/01/07 12:58:08.873:ENFORCEMENT:Predictive Enforcement Action:  Target Number: 0000103C  Target Speed:   0.0  Current Speed:   4.0</t>
  </si>
  <si>
    <t>SYS :2017/01/07 12:58:09.071:ENFORCEMENT:Predictive Enforcement Action:  Target Number: 0000103C  Target Speed:   0.0  Current Speed:   4.0</t>
  </si>
  <si>
    <t>SYS :2017/01/07 14:21:42.361:ENFORCEMENT:Predictive Enforcement Action:  Target Number: 00001007  Target Speed:   0.0  Current Speed:  14.0</t>
  </si>
  <si>
    <t>SYS :2017/01/07 14:21:42.943:ENFORCEMENT:Predictive Enforcement Action:  Target Number: 00001005  Target Speed:   0.0  Current Speed:  14.0</t>
  </si>
  <si>
    <t>SYS :2017/01/07 14:21:43.203:ENFORCEMENT:Predictive Enforcement Action:  Target Number: 00001007  Target Speed:   0.0  Current Speed:  14.0</t>
  </si>
  <si>
    <t>SYS :2017/01/07 15:03:06.754:ENFORCEMENT:Reactive Enforcement Action:  Target Number: 00010065  Target Speed:  60.0  Current Speed:  65.0</t>
  </si>
  <si>
    <t>SYS :2017/01/07 15:03:06.949:ENFORCEMENT:Reactive Enforcement Action:  Target Number: 00010065  Target Speed:  60.0  Current Speed:  65.0</t>
  </si>
  <si>
    <t>SYS :2017/01/07 15:03:07.193:ENFORCEMENT:Reactive Enforcement Action:  Target Number: 00010065  Target Speed:  60.0  Current Speed:  65.0</t>
  </si>
  <si>
    <t>SYS :2017/01/07 15:09:48.116:ENFORCEMENT:Reactive Enforcement Action:  Target Number: 0000F006  Target Speed:  79.0  Current Speed:  84.0</t>
  </si>
  <si>
    <t>SYS :2017/01/07 15:09:49.190:ENFORCEMENT:Reactive Enforcement Action:  Target Number: 0001002C  Target Speed:  79.0  Current Speed:  84.0</t>
  </si>
  <si>
    <t>SYS :2017/01/07 15:09:49.233:ENFORCEMENT:Reactive Enforcement Action:  Target Number: 0001002C  Target Speed:  79.0  Current Speed:  84.0</t>
  </si>
  <si>
    <t>SYS :2017/01/07 16:52:17.073:ENFORCEMENT:Predictive Enforcement Action:  Target Number: 00001009  Target Speed:   0.0  Current Speed:  13.9</t>
  </si>
  <si>
    <t>SYS :2017/01/07 16:52:17.186:ENFORCEMENT:Predictive Enforcement Action:  Target Number: 00001009  Target Speed:   0.0  Current Speed:  13.9</t>
  </si>
  <si>
    <t>SYS :2017/01/07 16:52:17.484:ENFORCEMENT:Predictive Enforcement Action:  Target Number: 00001009  Target Speed:   0.0  Current Speed:  13.9</t>
  </si>
  <si>
    <t>SYS :2017/01/07 17:34:12.467:ENFORCEMENT:Predictive Enforcement Action:  Target Number: 00017055  Target Speed:  15.0  Current Speed:  20.3</t>
  </si>
  <si>
    <t>SYS :2017/01/07 17:34:12.770:ENFORCEMENT:Predictive Enforcement Action:  Target Number: 00017055  Target Speed:  15.0  Current Speed:  20.3</t>
  </si>
  <si>
    <t>SYS :2017/01/07 17:34:12.961:ENFORCEMENT:Predictive Enforcement Action:  Target Number: 00017055  Target Speed:  15.0  Current Speed:  20.3</t>
  </si>
  <si>
    <t>SYS :2017/01/07 18:35:08.487:ENFORCEMENT:Predictive Enforcement Action:  Target Number: 0000100C  Target Speed:   0.0  Current Speed:   4.2</t>
  </si>
  <si>
    <t>SYS :2017/01/07 18:35:08.746:ENFORCEMENT:Predictive Enforcement Action:  Target Number: 0000100C  Target Speed:   0.0  Current Speed:   4.2</t>
  </si>
  <si>
    <t>SYS :2017/01/07 18:35:08.968:ENFORCEMENT:Predictive Enforcement Action:  Target Number: 0000100C  Target Speed:   0.0  Current Speed:   4.2</t>
  </si>
  <si>
    <t>SYS :2017/01/07 18:37:25.480:ENFORCEMENT:Predictive Enforcement Action:  Target Number: 0000613E  Target Speed:   0.0  Current Speed:   3.8</t>
  </si>
  <si>
    <t>SYS :2017/01/07 18:37:26.085:ENFORCEMENT:Predictive Enforcement Action:  Target Number: 0000613E  Target Speed:   0.0  Current Speed:   5.8</t>
  </si>
  <si>
    <t>SYS :2017/01/07 18:37:26.209:ENFORCEMENT:Predictive Enforcement Action:  Target Number: 00006141  Target Speed:   0.0  Current Speed:   3.8</t>
  </si>
  <si>
    <t>SYS :2017/01/07 19:47:24.782:ENFORCEMENT:Predictive Enforcement Action:  Target Number: 0000E002  Target Speed:   0.0  Current Speed:  12.0</t>
  </si>
  <si>
    <t>SYS :2017/01/07 19:47:25.775:ENFORCEMENT:Predictive Enforcement Action:  Target Number: 0000E002  Target Speed:   0.0  Current Speed:  11.4</t>
  </si>
  <si>
    <t>SYS :2017/01/07 19:50:20.704:ENFORCEMENT:Predictive Enforcement Action:  Target Number: 0000E002  Target Speed:   0.0  Current Speed:  19.8</t>
  </si>
  <si>
    <t>SYS :2017/01/07 19:50:21.059:ENFORCEMENT:Predictive Enforcement Action:  Target Number: 0000E002  Target Speed:   0.0  Current Speed:  19.8</t>
  </si>
  <si>
    <t>SYS :2017/01/07 19:50:21.167:ENFORCEMENT:Predictive Enforcement Action:  Target Number: 0000E002  Target Speed:   0.0  Current Speed:  19.8</t>
  </si>
  <si>
    <t>SYS :2017/01/07 21:00:47.148:ENFORCEMENT:Predictive Enforcement Action:  Target Number: 0000E001  Target Speed:   0.0  Current Speed:   7.3</t>
  </si>
  <si>
    <t>SYS :2017/01/07 21:00:47.358:ENFORCEMENT:Predictive Enforcement Action:  Target Number: 0000E001  Target Speed:   0.0  Current Speed:   7.5</t>
  </si>
  <si>
    <t>SYS :2017/01/07 21:00:47.617:ENFORCEMENT:Predictive Enforcement Action:  Target Number: 0000E001  Target Speed:   0.0  Current Speed:   7.3</t>
  </si>
  <si>
    <t>SYS :2017/01/07 21:05:26.145:ENFORCEMENT:Predictive Enforcement Action:  Target Number: 0000E003  Target Speed:   0.0  Current Speed:  12.6</t>
  </si>
  <si>
    <t>SYS :2017/01/07 21:05:26.359:ENFORCEMENT:Predictive Enforcement Action:  Target Number: 0000E003  Target Speed:   0.0  Current Speed:  12.5</t>
  </si>
  <si>
    <t>SYS :2017/01/07 21:05:26.612:ENFORCEMENT:Predictive Enforcement Action:  Target Number: 0000E003  Target Speed:   0.0  Current Speed:  12.6</t>
  </si>
  <si>
    <t>SYS :2017/01/07 21:15:12.766:ENFORCEMENT:Predictive Enforcement Action:  Target Number: 0000E002  Target Speed:   0.0  Current Speed:  21.7</t>
  </si>
  <si>
    <t>SYS :2017/01/07 21:15:12.952:ENFORCEMENT:Predictive Enforcement Action:  Target Number: 0000E002  Target Speed:   0.0  Current Speed:  21.7</t>
  </si>
  <si>
    <t>SYS :2017/01/07 21:15:13.463:ENFORCEMENT:Predictive Enforcement Action:  Target Number: 0000E002  Target Speed:   0.0  Current Speed:  21.7</t>
  </si>
  <si>
    <t>SYS :2017/01/07 21:48:46.399:ENFORCEMENT:Reactive Enforcement Action:  Target Number: 000100CC  Target Speed:  70.0  Current Speed:  75.0</t>
  </si>
  <si>
    <t>SYS :2017/01/07 21:48:46.928:ENFORCEMENT:Reactive Enforcement Action:  Target Number: 000100CC  Target Speed:  70.0  Current Speed:  75.0</t>
  </si>
  <si>
    <t>SYS :2017/01/07 21:48:47.452:ENFORCEMENT:Reactive Enforcement Action:  Target Number: 000100CC  Target Speed:  70.0  Current Speed:  75.0</t>
  </si>
  <si>
    <t>SYS :2017/01/07 23:07:56.942:ENFORCEMENT:Predictive Enforcement Action:  Target Number: 00001011  Target Speed:   0.0  Current Speed:   7.4</t>
  </si>
  <si>
    <t>SYS :2017/01/07 23:07:57.193:ENFORCEMENT:Predictive Enforcement Action:  Target Number: 00001013  Target Speed:   0.0  Current Speed:   7.4</t>
  </si>
  <si>
    <t>SYS :2017/01/07 23:09:55.788:ENFORCEMENT:Reactive Enforcement Action:  Target Number: 0001011C  Target Speed:  15.0  Current Speed:  20.0</t>
  </si>
  <si>
    <t>SYS :2017/01/07 23:09:55.794:ENFORCEMENT:Reactive Enforcement Action:  Target Number: 00010119  Target Speed:  15.0  Current Speed:  20.0</t>
  </si>
  <si>
    <t>SYS :2017/01/07 23:49:45.777:ENFORCEMENT:Predictive Enforcement Action:  Target Number: 00001011  Target Speed:   0.0  Current Speed:   8.2</t>
  </si>
  <si>
    <t>SYS :2017/01/08 01:19:42.918:ENFORCEMENT:Predictive Enforcement Action:  Target Number: 00001015  Target Speed:   0.0  Current Speed:   4.2</t>
  </si>
  <si>
    <t>SYS :2017/01/08 01:19:43.419:ENFORCEMENT:Predictive Enforcement Action:  Target Number: 00001015  Target Speed:   0.0  Current Speed:   4.2</t>
  </si>
  <si>
    <t>SYS :2017/01/08 02:27:16.928:ENFORCEMENT:Reactive Enforcement Action:  Target Number: 0001014F  Target Speed:  15.0  Current Speed:  21.3</t>
  </si>
  <si>
    <t>SYS :2017/01/08 02:27:17.426:ENFORCEMENT:Reactive Enforcement Action:  Target Number: 0001014F  Target Speed:  15.0  Current Speed:  21.3</t>
  </si>
  <si>
    <t>SYS :2017/01/08 02:36:21.658:ENFORCEMENT:Predictive Enforcement Action:  Target Number: 00001045  Target Speed:   0.0  Current Speed:   2.7</t>
  </si>
  <si>
    <t>SYS :2017/01/08 02:36:22.279:ENFORCEMENT:Predictive Enforcement Action:  Target Number: 00001044  Target Speed:   0.0  Current Speed:   2.4</t>
  </si>
  <si>
    <t>SYS :2017/01/08 02:36:22.295:ENFORCEMENT:Predictive Enforcement Action:  Target Number: 00001048  Target Speed:   0.0  Current Speed:   2.4</t>
  </si>
  <si>
    <t>SYS :2017/01/08 03:04:21.421:ENFORCEMENT:Predictive Enforcement Action:  Target Number: 00001018  Target Speed:   0.0  Current Speed:   5.3</t>
  </si>
  <si>
    <t>SYS :2017/01/08 03:05:30.483:ENFORCEMENT:Reactive Enforcement Action:  Target Number: 0001016B  Target Speed:  30.0  Current Speed:  35.2</t>
  </si>
  <si>
    <t>SYS :2017/01/08 03:05:31.086:ENFORCEMENT:Reactive Enforcement Action:  Target Number: 0001016E  Target Speed:  30.0  Current Speed:  35.2</t>
  </si>
  <si>
    <t>SYS :2017/01/08 04:05:26.359:ENFORCEMENT:Predictive Enforcement Action:  Target Number: 00001015  Target Speed:   0.0  Current Speed:   7.6</t>
  </si>
  <si>
    <t>SYS :2017/01/08 04:05:26.456:ENFORCEMENT:Predictive Enforcement Action:  Target Number: 00001015  Target Speed:   0.0  Current Speed:   7.6</t>
  </si>
  <si>
    <t>SYS :2017/01/08 06:06:17.362:ENFORCEMENT:Predictive Enforcement Action:  Target Number: 00001017  Target Speed:   0.0  Current Speed:  18.2</t>
  </si>
  <si>
    <t>SYS :2017/01/08 06:06:17.464:ENFORCEMENT:Predictive Enforcement Action:  Target Number: 00001017  Target Speed:   0.0  Current Speed:  18.2</t>
  </si>
  <si>
    <t>SYS :2017/01/08 06:57:24.919:ENFORCEMENT:Reactive Enforcement Action:  Target Number: 0000634B  Target Speed:  20.0  Current Speed:  38.3</t>
  </si>
  <si>
    <t>SYS :2017/01/08 06:57:25.420:ENFORCEMENT:Reactive Enforcement Action:  Target Number: 00006354  Target Speed:  20.0  Current Speed:  38.3</t>
  </si>
  <si>
    <t>SYS :2017/01/08 07:30:25.919:ENFORCEMENT:Reactive Enforcement Action:  Target Number: 00006318  Target Speed:  20.0  Current Speed:  33.3</t>
  </si>
  <si>
    <t>Banner without braking</t>
  </si>
  <si>
    <t>Banner without braking for BNSF FUEL YARD 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</si>
</sst>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1"/>
  <sheetViews>
    <sheetView tabSelected="1" topLeftCell="A133" workbookViewId="0">
      <selection activeCell="R149" sqref="R149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42742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42742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COUNTIFS($N$13:$N$9348,"&gt;0",$AG$13:$AG$9348,I1)</f>
        <v>138</v>
      </c>
      <c r="K5" s="41"/>
      <c r="L5" s="41"/>
      <c r="M5" s="42">
        <f>AVERAGEIFS($N$13:$N$9348,$AG$13:$AG$9348,I1)</f>
        <v>39.487681159643337</v>
      </c>
      <c r="N5" s="40">
        <f t="array" ref="N5">MIN(IF($AG$13:$AG$9348=I1,IF(ISNUMBER($N$13:$N$9348),IF($N$13:$N$9348&gt;0,$N$13:$N$9348))))</f>
        <v>30.716666659573093</v>
      </c>
      <c r="O5" s="3">
        <f t="array" ref="O5">MAX(IF($AG$13:$AG$9348=I1,IF(ISNUMBER($N$13:$N$9348),IF($N$13:$N$9348&gt;0,$N$13:$N$9348))))</f>
        <v>53.566666668048128</v>
      </c>
      <c r="P5" s="2"/>
      <c r="R5" s="76" t="s">
        <v>17</v>
      </c>
      <c r="S5" s="52">
        <f>COUNTIFS($N$13:$N$9348,"&gt;0",$AG$13:$AG$9348,R1)</f>
        <v>34</v>
      </c>
      <c r="T5" s="41"/>
      <c r="U5" s="164"/>
      <c r="V5" s="42">
        <f>AVERAGEIFS($N$13:$N$9348,$AG$13:$AG$9348,R1)</f>
        <v>15.224509803913808</v>
      </c>
      <c r="W5" s="40">
        <f t="array" ref="W5">MIN(IF($AG$13:$AG$9348=R1,IF(ISNUMBER($N$13:$N$9348),IF($N$13:$N$9348&gt;0,$N$13:$N$9348))))</f>
        <v>7.8500000014901161</v>
      </c>
      <c r="X5" s="169">
        <f t="array" ref="X5">MAX(IF($AG$13:$AG$9348=R1,IF(ISNUMBER($N$13:$N$9348),IF($N$13:$N$9348&gt;0,$N$13:$N$9348))))</f>
        <v>18.800000004703179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COUNT($O$13:$O$129)</f>
        <v>0</v>
      </c>
      <c r="K6" s="41"/>
      <c r="L6" s="41"/>
      <c r="M6" s="42">
        <f>IFERROR(AVERAGE($O$13:$O$129),0)</f>
        <v>0</v>
      </c>
      <c r="N6" s="40">
        <f>MIN($O$13:$O$129)</f>
        <v>0</v>
      </c>
      <c r="O6" s="3">
        <f>MAX($O$13:$O$129)</f>
        <v>0</v>
      </c>
      <c r="P6" s="2"/>
      <c r="R6" s="77" t="s">
        <v>43</v>
      </c>
      <c r="S6" s="52">
        <f>COUNT($O$13:$O$129)</f>
        <v>0</v>
      </c>
      <c r="T6" s="41"/>
      <c r="U6" s="164"/>
      <c r="V6" s="42">
        <f>IFERROR(AVERAGE($O$13:$O$129),0)</f>
        <v>0</v>
      </c>
      <c r="W6" s="40">
        <f>MIN($O$13:$O$129)</f>
        <v>0</v>
      </c>
      <c r="X6" s="169">
        <f>MAX($O$13:$O$129)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COUNTIFS($P$13:$P$9348,"&gt;0",$AG$13:$AG$9348,I1)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COUNTIFS($P$13:$P$9348,"&gt;0",$AG$13:$AG$9348,R1)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138</v>
      </c>
      <c r="K8" s="41"/>
      <c r="L8" s="41"/>
      <c r="M8" s="42">
        <f>M5</f>
        <v>39.487681159643337</v>
      </c>
      <c r="N8" s="40">
        <f>N5</f>
        <v>30.716666659573093</v>
      </c>
      <c r="O8" s="3">
        <f>O5</f>
        <v>53.566666668048128</v>
      </c>
      <c r="P8" s="2"/>
      <c r="R8" s="76" t="s">
        <v>16</v>
      </c>
      <c r="S8" s="52">
        <f>S5</f>
        <v>34</v>
      </c>
      <c r="T8" s="41"/>
      <c r="U8" s="164"/>
      <c r="V8" s="42">
        <f>V5</f>
        <v>15.224509803913808</v>
      </c>
      <c r="W8" s="40">
        <f>W5</f>
        <v>7.8500000014901161</v>
      </c>
      <c r="X8" s="169">
        <f>X5</f>
        <v>18.800000004703179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0.971830985915493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- 2017-01-07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AVERAGE(S13:S94)</f>
        <v>0.99382716049382713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301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429</v>
      </c>
      <c r="B13" s="7">
        <v>4046</v>
      </c>
      <c r="C13" s="22" t="s">
        <v>203</v>
      </c>
      <c r="D13" s="22" t="s">
        <v>659</v>
      </c>
      <c r="E13" s="13">
        <v>42742.148217592592</v>
      </c>
      <c r="F13" s="13">
        <v>42742.149282407408</v>
      </c>
      <c r="G13" s="7">
        <v>0</v>
      </c>
      <c r="H13" s="22" t="s">
        <v>660</v>
      </c>
      <c r="I13" s="13">
        <v>42742.166388888887</v>
      </c>
      <c r="J13" s="7">
        <v>0</v>
      </c>
      <c r="K13" s="105" t="str">
        <f t="shared" ref="K13:K76" si="0">IF(ISEVEN(B13),(B13-1)&amp;"/"&amp;B13,B13&amp;"/"&amp;(B13+1))</f>
        <v>4045/4046</v>
      </c>
      <c r="L13" s="22" t="str">
        <f>VLOOKUP(A13,'Trips&amp;Operators'!$C$1:$G$99999,5,FALSE)</f>
        <v>ISHMAEL JOSEPH</v>
      </c>
      <c r="M13" s="6">
        <f t="shared" ref="M13:M76" si="1">I13-F13</f>
        <v>1.710648147854954E-2</v>
      </c>
      <c r="N13" s="7"/>
      <c r="O13" s="7"/>
      <c r="P13" s="7">
        <f>24*60*SUM($M13:$M13)</f>
        <v>24.633333329111338</v>
      </c>
      <c r="Q13" s="23"/>
      <c r="R13" s="23" t="s">
        <v>827</v>
      </c>
      <c r="S13" s="32">
        <f>SUM(U13:U14)/IF(AG13="EC",12,1)</f>
        <v>0.5</v>
      </c>
      <c r="T13" s="47" t="str">
        <f t="shared" ref="T13:T76" si="2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94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https://search-rtdc-monitor-bjffxe2xuh6vdkpspy63sjmuny.us-east-1.es.amazonaws.com/_plugin/kibana/#/discover/Steve-Slow-Train-Analysis-(2080s-and-2083s)?_g=(refreshInterval:(display:Off,section:0,value:0),time:(from:'2017-01-07 02:33:26-700',mode:absolute,to:'2017-01-07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49" t="str">
        <f t="shared" ref="W13:W76" si="4">IF(AA13&lt;IF(AG13="EC",23,5.65),"Y","N")</f>
        <v>Y</v>
      </c>
      <c r="X13" s="173" t="e">
        <f t="shared" ref="X13:X44" si="5">VALUE(LEFT(AD13,4))-VALUE(LEFT(AD12,4))</f>
        <v>#VALUE!</v>
      </c>
      <c r="Y13" s="64">
        <f t="shared" ref="Y13:Y76" si="6">RIGHT(D13,LEN(D13)-4)/10000</f>
        <v>6.4786999999999999</v>
      </c>
      <c r="Z13" s="64">
        <f t="shared" ref="Z13:Z76" si="7">RIGHT(H13,LEN(H13)-4)/10000</f>
        <v>23.3308</v>
      </c>
      <c r="AA13" s="64">
        <f t="shared" ref="AA13:AA76" si="8">ABS(Z13-Y13)</f>
        <v>16.8521</v>
      </c>
      <c r="AB13" s="61" t="str">
        <f>VLOOKUP(A13,Enforcements!$C$7:$K$18,8,0)</f>
        <v>Bulletin (2)</v>
      </c>
      <c r="AC13" s="57" t="str">
        <f>VLOOKUP(A13,Enforcements!$C$7:$E$18,3,0)</f>
        <v>GRADE CROSSING</v>
      </c>
      <c r="AD13" s="58" t="str">
        <f t="shared" ref="AD13:AD76" si="9">IF(LEN(A13)=6,"0"&amp;A13,A13)</f>
        <v>0101-07</v>
      </c>
      <c r="AE13" s="8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3" s="84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/stypes="app*4046*20170107*" /stext=" 10:.+((SYSTEM_STATE.+slice.+state.+changed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4046 --swversion DE.1.0.8.0 --startMP 204:64787 --initTime 2017-01-07T03:33:26 --startdatetime 2017-01-07T03:34:58 --delay 0 --endMP 204:233308 --enddatetime 2017-01-07T03:59:36 --enforcementcount 0 &gt;&gt;C:\Users\stu\Documents\GitHub\eaglep3-reporting\EC\2017-01-07-refined-times.txt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drop","project_id":79,"tracker_id":40,"status_id":1,"priority_id":2,"assigned_to_id":23,"start_date":"2017-01-07","description":"","custom_fields":[{"id":1,"name":"Subdivision","value":"EC"},{"id":4,"name":"Milepost","value":"23.3308"},{"id":17,"name":"Train ID","value":"101-07"},{"id":16,"name":"Locomotive ID","value":"4046"},{"id":130,"name":"Impact","value":""},{"id":150,"name":"Time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5">"start /low /b "&amp;dls3logs&amp;" --loco "&amp;B13&amp;" --day "&amp;TEXT(F13,"YYYY-MM-DD")</f>
        <v>start /low /b %USERPROFILE%\Documents\GitHub\eaglep3\Utilities\DownloadLogsFromS3.py --loco 4046 --day 2017-01-07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429</v>
      </c>
      <c r="B14" s="7">
        <v>4046</v>
      </c>
      <c r="C14" s="22" t="s">
        <v>203</v>
      </c>
      <c r="D14" s="22" t="s">
        <v>423</v>
      </c>
      <c r="E14" s="13">
        <v>42742.130532407406</v>
      </c>
      <c r="F14" s="13">
        <v>42742.149282407408</v>
      </c>
      <c r="G14" s="7">
        <v>1</v>
      </c>
      <c r="H14" s="22" t="s">
        <v>661</v>
      </c>
      <c r="I14" s="13">
        <v>42742.166388888887</v>
      </c>
      <c r="J14" s="7">
        <v>0</v>
      </c>
      <c r="K14" s="105" t="str">
        <f t="shared" si="0"/>
        <v>4045/4046</v>
      </c>
      <c r="L14" s="22" t="str">
        <f>VLOOKUP(A14,'Trips&amp;Operators'!$C$1:$G$99999,5,FALSE)</f>
        <v>ISHMAEL JOSEPH</v>
      </c>
      <c r="M14" s="6">
        <f t="shared" si="1"/>
        <v>1.710648147854954E-2</v>
      </c>
      <c r="N14" s="7"/>
      <c r="O14" s="7"/>
      <c r="P14" s="7"/>
      <c r="Q14" s="23"/>
      <c r="R14" s="23"/>
      <c r="S14" s="32"/>
      <c r="T14" s="47" t="str">
        <f t="shared" si="2"/>
        <v>NorthBound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02:07:58-700',mode:absolute,to:'2017-01-07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" s="49" t="str">
        <f t="shared" si="4"/>
        <v>Y</v>
      </c>
      <c r="X14" s="173">
        <f t="shared" si="5"/>
        <v>0</v>
      </c>
      <c r="Y14" s="64">
        <f t="shared" si="6"/>
        <v>7.17E-2</v>
      </c>
      <c r="Z14" s="64">
        <f t="shared" si="7"/>
        <v>3.7439</v>
      </c>
      <c r="AA14" s="64">
        <f t="shared" si="8"/>
        <v>3.6722000000000001</v>
      </c>
      <c r="AB14" s="61" t="str">
        <f>VLOOKUP(A14,Enforcements!$C$7:$K$18,8,0)</f>
        <v>Bulletin (2)</v>
      </c>
      <c r="AC14" s="57" t="str">
        <f>VLOOKUP(A14,Enforcements!$C$7:$E$18,3,0)</f>
        <v>GRADE CROSSING</v>
      </c>
      <c r="AD14" s="58" t="str">
        <f t="shared" si="9"/>
        <v>0101-07</v>
      </c>
      <c r="AE14" s="87" t="str">
        <f t="shared" si="10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4" s="84" t="str">
        <f t="shared" si="11"/>
        <v>"C:\Program Files (x86)\AstroGrep\AstroGrep.exe" /spath="%USERPROFILE%\AppData\Local\Temp\OnboardLogs" /stypes="app*4046*20170107*" /stext=" 10:.+((SYSTEM_STATE.+slice.+state.+changed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101-07 --locoid 4046 --swversion DE.1.0.8.0 --startMP 204:717 --initTime 2017-01-07T03:07:58 --startdatetime 2017-01-07T03:34:58 --delay 1 --endMP 204:37439 --enddatetime 2017-01-07T03:59:36 --enforcementcount 0 &gt;&gt;C:\Users\stu\Documents\GitHub\eaglep3-reporting\EC\2017-01-07-refined-times.txt</v>
      </c>
      <c r="AI14" s="115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{"issue":{"subject":"","project_id":79,"tracker_id":40,"status_id":1,"priority_id":2,"assigned_to_id":23,"start_date":"2017-01-07","description":"","custom_fields":[{"id":1,"name":"Subdivision","value":"EC"},{"id":4,"name":"Milepost","value":"3.7439"},{"id":17,"name":"Train ID","value":"101-07"},{"id":16,"name":"Locomotive ID","value":"4046"},{"id":130,"name":"Impact","value":""},{"id":150,"name":"Time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18">"start /low /b "&amp;dls3logs&amp;" --loco "&amp;B14&amp;" --day "&amp;TEXT(F14,"YYYY-MM-DD")</f>
        <v>start /low /b %USERPROFILE%\Documents\GitHub\eaglep3\Utilities\DownloadLogsFromS3.py --loco 4046 --day 2017-01-07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474</v>
      </c>
      <c r="B15" s="7">
        <v>4043</v>
      </c>
      <c r="C15" s="22" t="s">
        <v>203</v>
      </c>
      <c r="D15" s="22" t="s">
        <v>405</v>
      </c>
      <c r="E15" s="13">
        <v>42742.168310185189</v>
      </c>
      <c r="F15" s="13">
        <v>42742.174479166664</v>
      </c>
      <c r="G15" s="7">
        <v>0</v>
      </c>
      <c r="H15" s="22" t="s">
        <v>209</v>
      </c>
      <c r="I15" s="13">
        <v>42742.202465277776</v>
      </c>
      <c r="J15" s="7">
        <v>0</v>
      </c>
      <c r="K15" s="105" t="str">
        <f t="shared" si="0"/>
        <v>4043/4044</v>
      </c>
      <c r="L15" s="22" t="str">
        <f>VLOOKUP(A15,'Trips&amp;Operators'!$C$1:$G$99999,5,FALSE)</f>
        <v>ISHMAEL JOSEPH</v>
      </c>
      <c r="M15" s="6">
        <f t="shared" si="1"/>
        <v>2.7986111112113576E-2</v>
      </c>
      <c r="N15" s="7">
        <f t="shared" ref="N15:N46" si="19">24*60*SUM($M15:$M15)</f>
        <v>40.30000000144355</v>
      </c>
      <c r="O15" s="7"/>
      <c r="P15" s="7"/>
      <c r="Q15" s="23"/>
      <c r="R15" s="23"/>
      <c r="S15" s="32">
        <f t="shared" ref="S15:S78" si="20">SUM(U15:U15)/IF(AG15="EC",12,1)</f>
        <v>1</v>
      </c>
      <c r="T15" s="47" t="str">
        <f t="shared" si="2"/>
        <v>Southbound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03:02:22-700',mode:absolute,to:'2017-01-07 05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" s="49" t="str">
        <f t="shared" si="4"/>
        <v>N</v>
      </c>
      <c r="X15" s="173">
        <f t="shared" si="5"/>
        <v>1</v>
      </c>
      <c r="Y15" s="64">
        <f t="shared" si="6"/>
        <v>23.267199999999999</v>
      </c>
      <c r="Z15" s="64">
        <f t="shared" si="7"/>
        <v>1.4999999999999999E-2</v>
      </c>
      <c r="AA15" s="64">
        <f t="shared" si="8"/>
        <v>23.252199999999998</v>
      </c>
      <c r="AB15" s="61" t="e">
        <f>VLOOKUP(A15,Enforcements!$C$7:$K$18,8,0)</f>
        <v>#N/A</v>
      </c>
      <c r="AC15" s="57" t="e">
        <f>VLOOKUP(A15,Enforcements!$C$7:$E$18,3,0)</f>
        <v>#N/A</v>
      </c>
      <c r="AD15" s="58" t="str">
        <f t="shared" si="9"/>
        <v>0102-07</v>
      </c>
      <c r="AE15" s="87" t="str">
        <f t="shared" si="10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15" s="84" t="str">
        <f t="shared" si="11"/>
        <v>"C:\Program Files (x86)\AstroGrep\AstroGrep.exe" /spath="%USERPROFILE%\AppData\Local\Temp\OnboardLogs" /stypes="app*4043*20170107*"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si="16"/>
        <v>"%USERPROFILE%\Documents\GitHub\eaglep3\Utilities\RefineRTDCRunTimes.py" --tripid 102-07 --locoid 4043 --swversion DE.1.0.8.0 --startMP 204:232672 --initTime 2017-01-07T04:02:22 --startdatetime 2017-01-07T04:11:15 --delay 0 --endMP 204:150 --enddatetime 2017-01-07T04:51:33 --enforcementcount 0 &gt;&gt;C:\Users\stu\Documents\GitHub\eaglep3-reporting\EC\2017-01-07-refined-times.txt</v>
      </c>
      <c r="AI1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ID","value":"102-07"},{"id":16,"name":"Locomotive ID","value":"4043"},{"id":130,"name":"Impact","value":""},{"id":150,"name":"Time of Event (Mountain Time)","value":"04:51:33"},{"id":151,"name":"Denver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8"/>
        <v>start /low /b %USERPROFILE%\Documents\GitHub\eaglep3\Utilities\DownloadLogsFromS3.py --loco 4043 --day 2017-01-07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470</v>
      </c>
      <c r="B16" s="7">
        <v>4003</v>
      </c>
      <c r="C16" s="22" t="s">
        <v>203</v>
      </c>
      <c r="D16" s="22" t="s">
        <v>662</v>
      </c>
      <c r="E16" s="13">
        <v>42742.149305555555</v>
      </c>
      <c r="F16" s="13">
        <v>42742.156423611108</v>
      </c>
      <c r="G16" s="7">
        <v>1</v>
      </c>
      <c r="H16" s="22" t="s">
        <v>660</v>
      </c>
      <c r="I16" s="13">
        <v>42742.183275462965</v>
      </c>
      <c r="J16" s="7">
        <v>0</v>
      </c>
      <c r="K16" s="105" t="str">
        <f t="shared" si="0"/>
        <v>4003/4004</v>
      </c>
      <c r="L16" s="22" t="str">
        <f>VLOOKUP(A16,'Trips&amp;Operators'!$C$1:$G$99999,5,FALSE)</f>
        <v>ROBINSON KADDIBA</v>
      </c>
      <c r="M16" s="6">
        <f t="shared" si="1"/>
        <v>2.6851851856918074E-2</v>
      </c>
      <c r="N16" s="7">
        <f t="shared" si="19"/>
        <v>38.666666673962027</v>
      </c>
      <c r="O16" s="7"/>
      <c r="P16" s="7"/>
      <c r="Q16" s="23"/>
      <c r="R16" s="23"/>
      <c r="S16" s="32">
        <f t="shared" si="20"/>
        <v>1</v>
      </c>
      <c r="T16" s="47" t="str">
        <f t="shared" si="2"/>
        <v>NorthBound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02:35:00-700',mode:absolute,to:'2017-01-07 05:23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" s="49" t="str">
        <f t="shared" si="4"/>
        <v>N</v>
      </c>
      <c r="X16" s="173">
        <f t="shared" si="5"/>
        <v>1</v>
      </c>
      <c r="Y16" s="64">
        <f t="shared" si="6"/>
        <v>7.6300000000000007E-2</v>
      </c>
      <c r="Z16" s="64">
        <f t="shared" si="7"/>
        <v>23.3308</v>
      </c>
      <c r="AA16" s="64">
        <f t="shared" si="8"/>
        <v>23.2545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 t="shared" si="9"/>
        <v>0103-07</v>
      </c>
      <c r="AE16" s="87" t="str">
        <f t="shared" si="10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6" s="84" t="str">
        <f t="shared" si="11"/>
        <v>"C:\Program Files (x86)\AstroGrep\AstroGrep.exe" /spath="%USERPROFILE%\AppData\Local\Temp\OnboardLogs" /stypes="app*4003*20170107*"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8" t="str">
        <f t="shared" si="16"/>
        <v>"%USERPROFILE%\Documents\GitHub\eaglep3\Utilities\RefineRTDCRunTimes.py" --tripid 103-07 --locoid 4003 --swversion DE.1.0.8.0 --startMP 204:763 --initTime 2017-01-07T03:35:00 --startdatetime 2017-01-07T03:45:15 --delay 1 --endMP 204:233308 --enddatetime 2017-01-07T04:23:55 --enforcementcount 0 &gt;&gt;C:\Users\stu\Documents\GitHub\eaglep3-reporting\EC\2017-01-07-refined-times.txt</v>
      </c>
      <c r="AI1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ID","value":"103-07"},{"id":16,"name":"Locomotive ID","value":"4003"},{"id":130,"name":"Impact","value":""},{"id":150,"name":"Time of Event (Mountain Time)","value":"04:23:55"},{"id":151,"name":"Denver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8"/>
        <v>start /low /b %USERPROFILE%\Documents\GitHub\eaglep3\Utilities\DownloadLogsFromS3.py --loco 4003 --day 2017-01-07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481</v>
      </c>
      <c r="B17" s="7">
        <v>4015</v>
      </c>
      <c r="C17" s="22" t="s">
        <v>203</v>
      </c>
      <c r="D17" s="22" t="s">
        <v>663</v>
      </c>
      <c r="E17" s="13">
        <v>42742.19021990741</v>
      </c>
      <c r="F17" s="13">
        <v>42742.195416666669</v>
      </c>
      <c r="G17" s="7">
        <v>1</v>
      </c>
      <c r="H17" s="22" t="s">
        <v>209</v>
      </c>
      <c r="I17" s="13">
        <v>42742.223055555558</v>
      </c>
      <c r="J17" s="7">
        <v>0</v>
      </c>
      <c r="K17" s="105" t="str">
        <f t="shared" si="0"/>
        <v>4015/4016</v>
      </c>
      <c r="L17" s="22" t="str">
        <f>VLOOKUP(A17,'Trips&amp;Operators'!$C$1:$G$99999,5,FALSE)</f>
        <v>ROBINSON KADDIBA</v>
      </c>
      <c r="M17" s="6">
        <f t="shared" si="1"/>
        <v>2.7638888888759539E-2</v>
      </c>
      <c r="N17" s="7">
        <f t="shared" si="19"/>
        <v>39.799999999813735</v>
      </c>
      <c r="O17" s="7"/>
      <c r="P17" s="7"/>
      <c r="Q17" s="23"/>
      <c r="R17" s="23"/>
      <c r="S17" s="32">
        <f t="shared" si="20"/>
        <v>1</v>
      </c>
      <c r="T17" s="47" t="str">
        <f t="shared" si="2"/>
        <v>Southbound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03:33:55-700',mode:absolute,to:'2017-01-07 06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" s="49" t="str">
        <f t="shared" si="4"/>
        <v>N</v>
      </c>
      <c r="X17" s="173">
        <f t="shared" si="5"/>
        <v>1</v>
      </c>
      <c r="Y17" s="64">
        <f t="shared" si="6"/>
        <v>23.2685</v>
      </c>
      <c r="Z17" s="64">
        <f t="shared" si="7"/>
        <v>1.4999999999999999E-2</v>
      </c>
      <c r="AA17" s="64">
        <f t="shared" si="8"/>
        <v>23.253499999999999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 t="shared" si="9"/>
        <v>0104-07</v>
      </c>
      <c r="AE17" s="87" t="str">
        <f t="shared" si="10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7" s="84" t="str">
        <f t="shared" si="11"/>
        <v>"C:\Program Files (x86)\AstroGrep\AstroGrep.exe" /spath="%USERPROFILE%\AppData\Local\Temp\OnboardLogs" /stypes="app*4015*20170107*"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104-07 --locoid 4015 --swversion DE.1.0.8.0 --startMP 204:232685 --initTime 2017-01-07T04:33:55 --startdatetime 2017-01-07T04:41:24 --delay 1 --endMP 204:150 --enddatetime 2017-01-07T05:21:12 --enforcementcount 0 &gt;&gt;C:\Users\stu\Documents\GitHub\eaglep3-reporting\EC\2017-01-07-refined-times.txt</v>
      </c>
      <c r="AI1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ID","value":"104-07"},{"id":16,"name":"Locomotive ID","value":"4015"},{"id":130,"name":"Impact","value":""},{"id":150,"name":"Time of Event (Mountain Time)","value":"05:21:12"},{"id":151,"name":"Denver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8"/>
        <v>start /low /b %USERPROFILE%\Documents\GitHub\eaglep3\Utilities\DownloadLogsFromS3.py --loco 4015 --day 2017-01-07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475</v>
      </c>
      <c r="B18" s="7">
        <v>4007</v>
      </c>
      <c r="C18" s="22" t="s">
        <v>203</v>
      </c>
      <c r="D18" s="22" t="s">
        <v>399</v>
      </c>
      <c r="E18" s="13">
        <v>42742.173726851855</v>
      </c>
      <c r="F18" s="13">
        <v>42742.177395833336</v>
      </c>
      <c r="G18" s="7">
        <v>1</v>
      </c>
      <c r="H18" s="22" t="s">
        <v>400</v>
      </c>
      <c r="I18" s="13">
        <v>42742.209699074076</v>
      </c>
      <c r="J18" s="7">
        <v>0</v>
      </c>
      <c r="K18" s="105" t="str">
        <f t="shared" si="0"/>
        <v>4007/4008</v>
      </c>
      <c r="L18" s="22" t="str">
        <f>VLOOKUP(A18,'Trips&amp;Operators'!$C$1:$G$99999,5,FALSE)</f>
        <v>MAELZER KURT</v>
      </c>
      <c r="M18" s="6">
        <f t="shared" si="1"/>
        <v>3.2303240739565808E-2</v>
      </c>
      <c r="N18" s="7">
        <f t="shared" si="19"/>
        <v>46.516666664974764</v>
      </c>
      <c r="O18" s="7"/>
      <c r="P18" s="7"/>
      <c r="Q18" s="23"/>
      <c r="R18" s="23"/>
      <c r="S18" s="32">
        <f t="shared" si="20"/>
        <v>1</v>
      </c>
      <c r="T18" s="47" t="str">
        <f t="shared" si="2"/>
        <v>NorthBound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03:10:10-700',mode:absolute,to:'2017-01-07 06:01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" s="49" t="str">
        <f t="shared" si="4"/>
        <v>N</v>
      </c>
      <c r="X18" s="173">
        <f t="shared" si="5"/>
        <v>1</v>
      </c>
      <c r="Y18" s="64">
        <f t="shared" si="6"/>
        <v>7.4399999999999994E-2</v>
      </c>
      <c r="Z18" s="64">
        <f t="shared" si="7"/>
        <v>23.332699999999999</v>
      </c>
      <c r="AA18" s="64">
        <f t="shared" si="8"/>
        <v>23.258299999999998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 t="shared" si="9"/>
        <v>0105-07</v>
      </c>
      <c r="AE18" s="87" t="str">
        <f t="shared" si="10"/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8" s="84" t="str">
        <f t="shared" si="11"/>
        <v>"C:\Program Files (x86)\AstroGrep\AstroGrep.exe" /spath="%USERPROFILE%\AppData\Local\Temp\OnboardLogs" /stypes="app*4007*20170107*"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105-07 --locoid 4007 --swversion DE.1.0.8.0 --startMP 204:744 --initTime 2017-01-07T04:10:10 --startdatetime 2017-01-07T04:15:27 --delay 1 --endMP 204:233327 --enddatetime 2017-01-07T05:01:58 --enforcementcount 0 &gt;&gt;C:\Users\stu\Documents\GitHub\eaglep3-reporting\EC\2017-01-07-refined-times.txt</v>
      </c>
      <c r="AI1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ID","value":"105-07"},{"id":16,"name":"Locomotive ID","value":"4007"},{"id":130,"name":"Impact","value":""},{"id":150,"name":"Time of Event (Mountain Time)","value":"05:01:58"},{"id":151,"name":"Denver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8"/>
        <v>start /low /b %USERPROFILE%\Documents\GitHub\eaglep3\Utilities\DownloadLogsFromS3.py --loco 4007 --day 2017-01-07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430</v>
      </c>
      <c r="B19" s="7">
        <v>4030</v>
      </c>
      <c r="C19" s="22" t="s">
        <v>203</v>
      </c>
      <c r="D19" s="22" t="s">
        <v>402</v>
      </c>
      <c r="E19" s="13">
        <v>42742.219560185185</v>
      </c>
      <c r="F19" s="13">
        <v>42742.221192129633</v>
      </c>
      <c r="G19" s="7">
        <v>1</v>
      </c>
      <c r="H19" s="22" t="s">
        <v>664</v>
      </c>
      <c r="I19" s="13">
        <v>42742.248773148145</v>
      </c>
      <c r="J19" s="7">
        <v>0</v>
      </c>
      <c r="K19" s="105" t="str">
        <f t="shared" si="0"/>
        <v>4029/4030</v>
      </c>
      <c r="L19" s="22" t="str">
        <f>VLOOKUP(A19,'Trips&amp;Operators'!$C$1:$G$99999,5,FALSE)</f>
        <v>MAELZER KURT</v>
      </c>
      <c r="M19" s="6">
        <f t="shared" si="1"/>
        <v>2.7581018512137234E-2</v>
      </c>
      <c r="N19" s="7">
        <f t="shared" si="19"/>
        <v>39.716666657477617</v>
      </c>
      <c r="O19" s="7"/>
      <c r="P19" s="7"/>
      <c r="Q19" s="23"/>
      <c r="R19" s="23"/>
      <c r="S19" s="32">
        <f t="shared" si="20"/>
        <v>1</v>
      </c>
      <c r="T19" s="47" t="str">
        <f t="shared" si="2"/>
        <v>Southbound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" s="49" t="str">
        <f t="shared" si="4"/>
        <v>N</v>
      </c>
      <c r="X19" s="173">
        <f t="shared" si="5"/>
        <v>1</v>
      </c>
      <c r="Y19" s="64">
        <f t="shared" si="6"/>
        <v>23.268699999999999</v>
      </c>
      <c r="Z19" s="64">
        <f t="shared" si="7"/>
        <v>9.9000000000000005E-2</v>
      </c>
      <c r="AA19" s="64">
        <f t="shared" si="8"/>
        <v>23.169699999999999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 t="shared" si="9"/>
        <v>0106-07</v>
      </c>
      <c r="AE19" s="87" t="str">
        <f t="shared" si="10"/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AF19" s="84" t="str">
        <f t="shared" si="11"/>
        <v>"C:\Program Files (x86)\AstroGrep\AstroGrep.exe" /spath="%USERPROFILE%\AppData\Local\Temp\OnboardLogs" /stypes="app*4030*20170107*"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106-07 --locoid 4030 --swversion DE.1.0.8.0 --startMP 204:232687 --initTime 2017-01-07T05:16:10 --startdatetime 2017-01-07T05:18:31 --delay 1 --endMP 204:990 --enddatetime 2017-01-07T05:58:14 --enforcementcount 0 &gt;&gt;C:\Users\stu\Documents\GitHub\eaglep3-reporting\EC\2017-01-07-refined-times.txt</v>
      </c>
      <c r="AI1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{"issue":{"subject":"","project_id":79,"tracker_id":40,"status_id":1,"priority_id":2,"assigned_to_id":23,"start_date":"2017-01-07","description":"","custom_fields":[{"id":1,"name":"Subdivision","value":"EC"},{"id":4,"name":"Milepost","value":"0.099"},{"id":17,"name":"Train ID","value":"106-07"},{"id":16,"name":"Locomotive ID","value":"4030"},{"id":130,"name":"Impact","value":""},{"id":150,"name":"Time of Event (Mountain Time)","value":"05:58:14"},{"id":151,"name":"Denver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8"/>
        <v>start /low /b %USERPROFILE%\Documents\GitHub\eaglep3\Utilities\DownloadLogsFromS3.py --loco 4030 --day 2017-01-07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480</v>
      </c>
      <c r="B20" s="7">
        <v>4042</v>
      </c>
      <c r="C20" s="22" t="s">
        <v>203</v>
      </c>
      <c r="D20" s="22" t="s">
        <v>290</v>
      </c>
      <c r="E20" s="13">
        <v>42742.186956018515</v>
      </c>
      <c r="F20" s="13">
        <v>42742.188263888886</v>
      </c>
      <c r="G20" s="7">
        <v>1</v>
      </c>
      <c r="H20" s="22" t="s">
        <v>350</v>
      </c>
      <c r="I20" s="13">
        <v>42742.214062500003</v>
      </c>
      <c r="J20" s="7">
        <v>0</v>
      </c>
      <c r="K20" s="105" t="str">
        <f t="shared" si="0"/>
        <v>4041/4042</v>
      </c>
      <c r="L20" s="22" t="str">
        <f>VLOOKUP(A20,'Trips&amp;Operators'!$C$1:$G$99999,5,FALSE)</f>
        <v>DAVIS WENDY</v>
      </c>
      <c r="M20" s="6">
        <f t="shared" si="1"/>
        <v>2.5798611117352266E-2</v>
      </c>
      <c r="N20" s="7">
        <f t="shared" si="19"/>
        <v>37.150000008987263</v>
      </c>
      <c r="O20" s="7"/>
      <c r="P20" s="7"/>
      <c r="Q20" s="23"/>
      <c r="R20" s="23"/>
      <c r="S20" s="32">
        <f t="shared" si="20"/>
        <v>1</v>
      </c>
      <c r="T20" s="47" t="str">
        <f t="shared" si="2"/>
        <v>NorthBound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03:29:13-700',mode:absolute,to:'2017-01-07 06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49" t="str">
        <f t="shared" si="4"/>
        <v>N</v>
      </c>
      <c r="X20" s="173">
        <f t="shared" si="5"/>
        <v>1</v>
      </c>
      <c r="Y20" s="64">
        <f t="shared" si="6"/>
        <v>4.5699999999999998E-2</v>
      </c>
      <c r="Z20" s="64">
        <f t="shared" si="7"/>
        <v>23.3291</v>
      </c>
      <c r="AA20" s="64">
        <f t="shared" si="8"/>
        <v>23.2834</v>
      </c>
      <c r="AB20" s="61" t="e">
        <f>VLOOKUP(A20,Enforcements!$C$7:$K$18,8,0)</f>
        <v>#N/A</v>
      </c>
      <c r="AC20" s="57" t="e">
        <f>VLOOKUP(A20,Enforcements!$C$7:$E$18,3,0)</f>
        <v>#N/A</v>
      </c>
      <c r="AD20" s="58" t="str">
        <f t="shared" si="9"/>
        <v>0107-07</v>
      </c>
      <c r="AE20" s="87" t="str">
        <f t="shared" si="10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20" s="84" t="str">
        <f t="shared" si="11"/>
        <v>"C:\Program Files (x86)\AstroGrep\AstroGrep.exe" /spath="%USERPROFILE%\AppData\Local\Temp\OnboardLogs" /stypes="app*4042*20170107*"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107-07 --locoid 4042 --swversion DE.1.0.8.0 --startMP 204:457 --initTime 2017-01-07T04:29:13 --startdatetime 2017-01-07T04:31:06 --delay 1 --endMP 204:233291 --enddatetime 2017-01-07T05:08:15 --enforcementcount 0 &gt;&gt;C:\Users\stu\Documents\GitHub\eaglep3-reporting\EC\2017-01-07-refined-times.txt</v>
      </c>
      <c r="AI2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ID","value":"107-07"},{"id":16,"name":"Locomotive ID","value":"4042"},{"id":130,"name":"Impact","value":""},{"id":150,"name":"Time of Event (Mountain Time)","value":"05:08:15"},{"id":151,"name":"Denver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8"/>
        <v>start /low /b %USERPROFILE%\Documents\GitHub\eaglep3\Utilities\DownloadLogsFromS3.py --loco 4042 --day 2017-01-07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485</v>
      </c>
      <c r="B21" s="7">
        <v>4041</v>
      </c>
      <c r="C21" s="22" t="s">
        <v>203</v>
      </c>
      <c r="D21" s="22" t="s">
        <v>258</v>
      </c>
      <c r="E21" s="13">
        <v>42742.221180555556</v>
      </c>
      <c r="F21" s="13">
        <v>42742.226550925923</v>
      </c>
      <c r="G21" s="7">
        <v>1</v>
      </c>
      <c r="H21" s="22" t="s">
        <v>284</v>
      </c>
      <c r="I21" s="13">
        <v>42742.256423611114</v>
      </c>
      <c r="J21" s="7">
        <v>0</v>
      </c>
      <c r="K21" s="105" t="str">
        <f t="shared" si="0"/>
        <v>4041/4042</v>
      </c>
      <c r="L21" s="22" t="str">
        <f>VLOOKUP(A21,'Trips&amp;Operators'!$C$1:$G$99999,5,FALSE)</f>
        <v>DAVIS WENDY</v>
      </c>
      <c r="M21" s="6">
        <f t="shared" si="1"/>
        <v>2.9872685190639459E-2</v>
      </c>
      <c r="N21" s="7">
        <f t="shared" si="19"/>
        <v>43.01666667452082</v>
      </c>
      <c r="O21" s="7"/>
      <c r="P21" s="7"/>
      <c r="Q21" s="23"/>
      <c r="R21" s="23"/>
      <c r="S21" s="32">
        <f t="shared" si="20"/>
        <v>1</v>
      </c>
      <c r="T21" s="47" t="str">
        <f t="shared" si="2"/>
        <v>Southbound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04:18:30-700',mode:absolute,to:'2017-01-07 07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49" t="str">
        <f t="shared" si="4"/>
        <v>N</v>
      </c>
      <c r="X21" s="173">
        <f t="shared" si="5"/>
        <v>1</v>
      </c>
      <c r="Y21" s="64">
        <f t="shared" si="6"/>
        <v>23.2973</v>
      </c>
      <c r="Z21" s="64">
        <f t="shared" si="7"/>
        <v>1.5800000000000002E-2</v>
      </c>
      <c r="AA21" s="64">
        <f t="shared" si="8"/>
        <v>23.281500000000001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 t="shared" si="9"/>
        <v>0108-07</v>
      </c>
      <c r="AE21" s="87" t="str">
        <f t="shared" si="10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21" s="84" t="str">
        <f t="shared" si="11"/>
        <v>"C:\Program Files (x86)\AstroGrep\AstroGrep.exe" /spath="%USERPROFILE%\AppData\Local\Temp\OnboardLogs" /stypes="app*4041*20170107*" /stext=" 13:.+((SYSTEM_STATE.+slice.+state.+changed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108-07 --locoid 4041 --swversion DE.1.0.8.0 --startMP 204:232973 --initTime 2017-01-07T05:18:30 --startdatetime 2017-01-07T05:26:14 --delay 1 --endMP 204:158 --enddatetime 2017-01-07T06:09:15 --enforcementcount 0 &gt;&gt;C:\Users\stu\Documents\GitHub\eaglep3-reporting\EC\2017-01-07-refined-times.txt</v>
      </c>
      <c r="AI2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ID","value":"108-07"},{"id":16,"name":"Locomotive ID","value":"4041"},{"id":130,"name":"Impact","value":""},{"id":150,"name":"Time of Event (Mountain Time)","value":"06:09:15"},{"id":151,"name":"Denver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8"/>
        <v>start /low /b %USERPROFILE%\Documents\GitHub\eaglep3\Utilities\DownloadLogsFromS3.py --loco 4041 --day 2017-01-07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482</v>
      </c>
      <c r="B22" s="7">
        <v>4040</v>
      </c>
      <c r="C22" s="22" t="s">
        <v>203</v>
      </c>
      <c r="D22" s="22" t="s">
        <v>293</v>
      </c>
      <c r="E22" s="13">
        <v>42742.195300925923</v>
      </c>
      <c r="F22" s="13">
        <v>42742.198113425926</v>
      </c>
      <c r="G22" s="7">
        <v>1</v>
      </c>
      <c r="H22" s="22" t="s">
        <v>400</v>
      </c>
      <c r="I22" s="13">
        <v>42742.224849537037</v>
      </c>
      <c r="J22" s="7">
        <v>0</v>
      </c>
      <c r="K22" s="105" t="str">
        <f t="shared" si="0"/>
        <v>4039/4040</v>
      </c>
      <c r="L22" s="22" t="str">
        <f>VLOOKUP(A22,'Trips&amp;Operators'!$C$1:$G$99999,5,FALSE)</f>
        <v>OUN ZACK</v>
      </c>
      <c r="M22" s="6">
        <f t="shared" si="1"/>
        <v>2.6736111110949423E-2</v>
      </c>
      <c r="N22" s="7">
        <f t="shared" si="19"/>
        <v>38.499999999767169</v>
      </c>
      <c r="O22" s="7"/>
      <c r="P22" s="7"/>
      <c r="Q22" s="23"/>
      <c r="R22" s="23"/>
      <c r="S22" s="32">
        <f t="shared" si="20"/>
        <v>1</v>
      </c>
      <c r="T22" s="47" t="str">
        <f t="shared" si="2"/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03:41:14-700',mode:absolute,to:'2017-01-07 06:23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" s="49" t="str">
        <f t="shared" si="4"/>
        <v>N</v>
      </c>
      <c r="X22" s="173">
        <f t="shared" si="5"/>
        <v>1</v>
      </c>
      <c r="Y22" s="64">
        <f t="shared" si="6"/>
        <v>4.4400000000000002E-2</v>
      </c>
      <c r="Z22" s="64">
        <f t="shared" si="7"/>
        <v>23.332699999999999</v>
      </c>
      <c r="AA22" s="64">
        <f t="shared" si="8"/>
        <v>23.2883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 t="shared" si="9"/>
        <v>0109-07</v>
      </c>
      <c r="AE22" s="87" t="str">
        <f t="shared" si="10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22" s="84" t="str">
        <f t="shared" si="11"/>
        <v>"C:\Program Files (x86)\AstroGrep\AstroGrep.exe" /spath="%USERPROFILE%\AppData\Local\Temp\OnboardLogs" /stypes="app*4040*20170107*"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109-07 --locoid 4040 --swversion DE.1.0.8.0 --startMP 204:444 --initTime 2017-01-07T04:41:14 --startdatetime 2017-01-07T04:45:17 --delay 1 --endMP 204:233327 --enddatetime 2017-01-07T05:23:47 --enforcementcount 0 &gt;&gt;C:\Users\stu\Documents\GitHub\eaglep3-reporting\EC\2017-01-07-refined-times.txt</v>
      </c>
      <c r="AI2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ID","value":"109-07"},{"id":16,"name":"Locomotive ID","value":"4040"},{"id":130,"name":"Impact","value":""},{"id":150,"name":"Time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8"/>
        <v>start /low /b %USERPROFILE%\Documents\GitHub\eaglep3\Utilities\DownloadLogsFromS3.py --loco 4040 --day 2017-01-07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493</v>
      </c>
      <c r="B23" s="7">
        <v>4039</v>
      </c>
      <c r="C23" s="22" t="s">
        <v>203</v>
      </c>
      <c r="D23" s="22" t="s">
        <v>665</v>
      </c>
      <c r="E23" s="13">
        <v>42742.23269675926</v>
      </c>
      <c r="F23" s="13">
        <v>42742.237013888887</v>
      </c>
      <c r="G23" s="7">
        <v>1</v>
      </c>
      <c r="H23" s="22" t="s">
        <v>209</v>
      </c>
      <c r="I23" s="13">
        <v>42742.265208333331</v>
      </c>
      <c r="J23" s="7">
        <v>0</v>
      </c>
      <c r="K23" s="105" t="str">
        <f t="shared" si="0"/>
        <v>4039/4040</v>
      </c>
      <c r="L23" s="22" t="str">
        <f>VLOOKUP(A23,'Trips&amp;Operators'!$C$1:$G$99999,5,FALSE)</f>
        <v>OUN ZACK</v>
      </c>
      <c r="M23" s="6">
        <f t="shared" si="1"/>
        <v>2.8194444443215616E-2</v>
      </c>
      <c r="N23" s="7">
        <f t="shared" si="19"/>
        <v>40.599999998230487</v>
      </c>
      <c r="O23" s="7"/>
      <c r="P23" s="7"/>
      <c r="Q23" s="23"/>
      <c r="R23" s="23"/>
      <c r="S23" s="32">
        <f t="shared" si="20"/>
        <v>1</v>
      </c>
      <c r="T23" s="47" t="str">
        <f t="shared" si="2"/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04:35:05-700',mode:absolute,to:'2017-01-07 07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" s="49" t="str">
        <f t="shared" si="4"/>
        <v>N</v>
      </c>
      <c r="X23" s="173">
        <f t="shared" si="5"/>
        <v>1</v>
      </c>
      <c r="Y23" s="64">
        <f t="shared" si="6"/>
        <v>23.301100000000002</v>
      </c>
      <c r="Z23" s="64">
        <f t="shared" si="7"/>
        <v>1.4999999999999999E-2</v>
      </c>
      <c r="AA23" s="64">
        <f t="shared" si="8"/>
        <v>23.286100000000001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 t="shared" si="9"/>
        <v>0110-07</v>
      </c>
      <c r="AE23" s="87" t="str">
        <f t="shared" si="10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23" s="84" t="str">
        <f t="shared" si="11"/>
        <v>"C:\Program Files (x86)\AstroGrep\AstroGrep.exe" /spath="%USERPROFILE%\AppData\Local\Temp\OnboardLogs" /stypes="app*4039*20170107*" /stext=" 13:.+((SYSTEM_STATE.+slice.+state.+changed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110-07 --locoid 4039 --swversion DE.1.0.8.0 --startMP 204:233011 --initTime 2017-01-07T05:35:05 --startdatetime 2017-01-07T05:41:18 --delay 1 --endMP 204:150 --enddatetime 2017-01-07T06:21:54 --enforcementcount 0 &gt;&gt;C:\Users\stu\Documents\GitHub\eaglep3-reporting\EC\2017-01-07-refined-times.txt</v>
      </c>
      <c r="AI2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ID","value":"110-07"},{"id":16,"name":"Locomotive ID","value":"4039"},{"id":130,"name":"Impact","value":""},{"id":150,"name":"Time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8"/>
        <v>start /low /b %USERPROFILE%\Documents\GitHub\eaglep3\Utilities\DownloadLogsFromS3.py --loco 4039 --day 2017-01-07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483</v>
      </c>
      <c r="B24" s="7">
        <v>4046</v>
      </c>
      <c r="C24" s="22" t="s">
        <v>203</v>
      </c>
      <c r="D24" s="22" t="s">
        <v>666</v>
      </c>
      <c r="E24" s="13">
        <v>42742.206238425926</v>
      </c>
      <c r="F24" s="13">
        <v>42742.208680555559</v>
      </c>
      <c r="G24" s="7">
        <v>1</v>
      </c>
      <c r="H24" s="22" t="s">
        <v>401</v>
      </c>
      <c r="I24" s="13">
        <v>42742.234733796293</v>
      </c>
      <c r="J24" s="7">
        <v>0</v>
      </c>
      <c r="K24" s="105" t="str">
        <f t="shared" si="0"/>
        <v>4045/4046</v>
      </c>
      <c r="L24" s="22" t="str">
        <f>VLOOKUP(A24,'Trips&amp;Operators'!$C$1:$G$99999,5,FALSE)</f>
        <v>LOZA FIDEL</v>
      </c>
      <c r="M24" s="6">
        <f t="shared" si="1"/>
        <v>2.6053240733745042E-2</v>
      </c>
      <c r="N24" s="7">
        <f t="shared" si="19"/>
        <v>37.516666656592861</v>
      </c>
      <c r="O24" s="7"/>
      <c r="P24" s="7"/>
      <c r="Q24" s="23"/>
      <c r="R24" s="23"/>
      <c r="S24" s="32">
        <f t="shared" si="20"/>
        <v>1</v>
      </c>
      <c r="T24" s="47" t="str">
        <f t="shared" si="2"/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03:56:59-700',mode:absolute,to:'2017-01-07 06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4" s="49" t="str">
        <f t="shared" si="4"/>
        <v>N</v>
      </c>
      <c r="X24" s="173">
        <f t="shared" si="5"/>
        <v>1</v>
      </c>
      <c r="Y24" s="64">
        <f t="shared" si="6"/>
        <v>7.2999999999999995E-2</v>
      </c>
      <c r="Z24" s="64">
        <f t="shared" si="7"/>
        <v>23.3309</v>
      </c>
      <c r="AA24" s="64">
        <f t="shared" si="8"/>
        <v>23.257899999999999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 t="shared" si="9"/>
        <v>0111-07</v>
      </c>
      <c r="AE24" s="87" t="str">
        <f t="shared" si="10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24" s="84" t="str">
        <f t="shared" si="11"/>
        <v>"C:\Program Files (x86)\AstroGrep\AstroGrep.exe" /spath="%USERPROFILE%\AppData\Local\Temp\OnboardLogs" /stypes="app*4046*20170107*" /stext=" 12:.+((SYSTEM_STATE.+slice.+state.+changed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111-07 --locoid 4046 --swversion DE.1.0.8.0 --startMP 204:730 --initTime 2017-01-07T04:56:59 --startdatetime 2017-01-07T05:00:30 --delay 1 --endMP 204:233309 --enddatetime 2017-01-07T05:38:01 --enforcementcount 0 &gt;&gt;C:\Users\stu\Documents\GitHub\eaglep3-reporting\EC\2017-01-07-refined-times.txt</v>
      </c>
      <c r="AI2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ID","value":"111-07"},{"id":16,"name":"Locomotive ID","value":"4046"},{"id":130,"name":"Impact","value":""},{"id":150,"name":"Time of Event (Mountain Time)","value":"05:38:01"},{"id":151,"name":"Denver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8"/>
        <v>start /low /b %USERPROFILE%\Documents\GitHub\eaglep3\Utilities\DownloadLogsFromS3.py --loco 4046 --day 2017-01-07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495</v>
      </c>
      <c r="B25" s="7">
        <v>4045</v>
      </c>
      <c r="C25" s="22" t="s">
        <v>203</v>
      </c>
      <c r="D25" s="22" t="s">
        <v>248</v>
      </c>
      <c r="E25" s="13">
        <v>42742.244942129626</v>
      </c>
      <c r="F25" s="13">
        <v>42742.247453703705</v>
      </c>
      <c r="G25" s="7">
        <v>1</v>
      </c>
      <c r="H25" s="22" t="s">
        <v>191</v>
      </c>
      <c r="I25" s="13">
        <v>42742.273877314816</v>
      </c>
      <c r="J25" s="7">
        <v>0</v>
      </c>
      <c r="K25" s="105" t="str">
        <f t="shared" si="0"/>
        <v>4045/4046</v>
      </c>
      <c r="L25" s="22" t="str">
        <f>VLOOKUP(A25,'Trips&amp;Operators'!$C$1:$G$99999,5,FALSE)</f>
        <v>LOZA FIDEL</v>
      </c>
      <c r="M25" s="6">
        <f t="shared" si="1"/>
        <v>2.6423611110658385E-2</v>
      </c>
      <c r="N25" s="7">
        <f t="shared" si="19"/>
        <v>38.049999999348074</v>
      </c>
      <c r="O25" s="7"/>
      <c r="P25" s="7"/>
      <c r="Q25" s="23"/>
      <c r="R25" s="23"/>
      <c r="S25" s="32">
        <f t="shared" si="20"/>
        <v>1</v>
      </c>
      <c r="T25" s="47" t="str">
        <f t="shared" si="2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04:52:43-700',mode:absolute,to:'2017-01-07 07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5" s="49" t="str">
        <f t="shared" si="4"/>
        <v>N</v>
      </c>
      <c r="X25" s="173">
        <f t="shared" si="5"/>
        <v>1</v>
      </c>
      <c r="Y25" s="64">
        <f t="shared" si="6"/>
        <v>23.297699999999999</v>
      </c>
      <c r="Z25" s="64">
        <f t="shared" si="7"/>
        <v>1.49E-2</v>
      </c>
      <c r="AA25" s="64">
        <f t="shared" si="8"/>
        <v>23.282799999999998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 t="shared" si="9"/>
        <v>0112-07</v>
      </c>
      <c r="AE25" s="87" t="str">
        <f t="shared" si="10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25" s="84" t="str">
        <f t="shared" si="11"/>
        <v>"C:\Program Files (x86)\AstroGrep\AstroGrep.exe" /spath="%USERPROFILE%\AppData\Local\Temp\OnboardLogs" /stypes="app*4045*20170107*"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112-07 --locoid 4045 --swversion DE.1.0.8.0 --startMP 204:232977 --initTime 2017-01-07T05:52:43 --startdatetime 2017-01-07T05:56:20 --delay 1 --endMP 204:149 --enddatetime 2017-01-07T06:34:23 --enforcementcount 0 &gt;&gt;C:\Users\stu\Documents\GitHub\eaglep3-reporting\EC\2017-01-07-refined-times.txt</v>
      </c>
      <c r="AI2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ID","value":"112-07"},{"id":16,"name":"Locomotive ID","value":"4045"},{"id":130,"name":"Impact","value":""},{"id":150,"name":"Time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8"/>
        <v>start /low /b %USERPROFILE%\Documents\GitHub\eaglep3\Utilities\DownloadLogsFromS3.py --loco 4045 --day 2017-01-07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484</v>
      </c>
      <c r="B26" s="7">
        <v>4044</v>
      </c>
      <c r="C26" s="22" t="s">
        <v>203</v>
      </c>
      <c r="D26" s="22" t="s">
        <v>293</v>
      </c>
      <c r="E26" s="13">
        <v>42742.211215277777</v>
      </c>
      <c r="F26" s="13">
        <v>42742.218993055554</v>
      </c>
      <c r="G26" s="7">
        <v>2</v>
      </c>
      <c r="H26" s="22" t="s">
        <v>398</v>
      </c>
      <c r="I26" s="13">
        <v>42742.247430555559</v>
      </c>
      <c r="J26" s="7">
        <v>0</v>
      </c>
      <c r="K26" s="105" t="str">
        <f t="shared" si="0"/>
        <v>4043/4044</v>
      </c>
      <c r="L26" s="22" t="str">
        <f>VLOOKUP(A26,'Trips&amp;Operators'!$C$1:$G$99999,5,FALSE)</f>
        <v>ISHMAEL JOSEPH</v>
      </c>
      <c r="M26" s="6">
        <f t="shared" si="1"/>
        <v>2.8437500004656613E-2</v>
      </c>
      <c r="N26" s="7">
        <f t="shared" si="19"/>
        <v>40.950000006705523</v>
      </c>
      <c r="O26" s="7"/>
      <c r="P26" s="7"/>
      <c r="Q26" s="23"/>
      <c r="R26" s="23"/>
      <c r="S26" s="32">
        <f t="shared" si="20"/>
        <v>1</v>
      </c>
      <c r="T26" s="47" t="str">
        <f t="shared" si="2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04:04:09-700',mode:absolute,to:'2017-01-07 06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6" s="49" t="str">
        <f t="shared" si="4"/>
        <v>N</v>
      </c>
      <c r="X26" s="173">
        <f t="shared" si="5"/>
        <v>1</v>
      </c>
      <c r="Y26" s="64">
        <f t="shared" si="6"/>
        <v>4.4400000000000002E-2</v>
      </c>
      <c r="Z26" s="64">
        <f t="shared" si="7"/>
        <v>23.3293</v>
      </c>
      <c r="AA26" s="64">
        <f t="shared" si="8"/>
        <v>23.2849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 t="shared" si="9"/>
        <v>0113-07</v>
      </c>
      <c r="AE26" s="87" t="str">
        <f t="shared" si="10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26" s="84" t="str">
        <f t="shared" si="11"/>
        <v>"C:\Program Files (x86)\AstroGrep\AstroGrep.exe" /spath="%USERPROFILE%\AppData\Local\Temp\OnboardLogs" /stypes="app*4044*20170107*" /stext=" 12:.+((SYSTEM_STATE.+slice.+state.+changed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113-07 --locoid 4044 --swversion DE.1.0.8.0 --startMP 204:444 --initTime 2017-01-07T05:04:09 --startdatetime 2017-01-07T05:15:21 --delay 2 --endMP 204:233293 --enddatetime 2017-01-07T05:56:18 --enforcementcount 0 &gt;&gt;C:\Users\stu\Documents\GitHub\eaglep3-reporting\EC\2017-01-07-refined-times.txt</v>
      </c>
      <c r="AI2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ID","value":"113-07"},{"id":16,"name":"Locomotive ID","value":"4044"},{"id":130,"name":"Impact","value":""},{"id":150,"name":"Time of Event (Mountain Time)","value":"05:56:18"},{"id":151,"name":"Denver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8"/>
        <v>start /low /b %USERPROFILE%\Documents\GitHub\eaglep3\Utilities\DownloadLogsFromS3.py --loco 4044 --day 2017-01-07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497</v>
      </c>
      <c r="B27" s="7">
        <v>4043</v>
      </c>
      <c r="C27" s="22" t="s">
        <v>203</v>
      </c>
      <c r="D27" s="22" t="s">
        <v>667</v>
      </c>
      <c r="E27" s="13">
        <v>42742.252986111111</v>
      </c>
      <c r="F27" s="13">
        <v>42742.257789351854</v>
      </c>
      <c r="G27" s="7">
        <v>1</v>
      </c>
      <c r="H27" s="22" t="s">
        <v>291</v>
      </c>
      <c r="I27" s="13">
        <v>42742.28398148148</v>
      </c>
      <c r="J27" s="7">
        <v>0</v>
      </c>
      <c r="K27" s="105" t="str">
        <f t="shared" si="0"/>
        <v>4043/4044</v>
      </c>
      <c r="L27" s="22" t="str">
        <f>VLOOKUP(A27,'Trips&amp;Operators'!$C$1:$G$99999,5,FALSE)</f>
        <v>ISHMAEL JOSEPH</v>
      </c>
      <c r="M27" s="6">
        <f t="shared" si="1"/>
        <v>2.619212962599704E-2</v>
      </c>
      <c r="N27" s="7">
        <f t="shared" si="19"/>
        <v>37.716666661435738</v>
      </c>
      <c r="O27" s="7"/>
      <c r="P27" s="7"/>
      <c r="Q27" s="23"/>
      <c r="R27" s="23"/>
      <c r="S27" s="32">
        <f t="shared" si="20"/>
        <v>1</v>
      </c>
      <c r="T27" s="47" t="str">
        <f t="shared" si="2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05:04:18-700',mode:absolute,to:'2017-01-07 07:48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7" s="49" t="str">
        <f t="shared" si="4"/>
        <v>N</v>
      </c>
      <c r="X27" s="173">
        <f t="shared" si="5"/>
        <v>1</v>
      </c>
      <c r="Y27" s="64">
        <f t="shared" si="6"/>
        <v>23.299600000000002</v>
      </c>
      <c r="Z27" s="64">
        <f t="shared" si="7"/>
        <v>1.5599999999999999E-2</v>
      </c>
      <c r="AA27" s="64">
        <f t="shared" si="8"/>
        <v>23.284000000000002</v>
      </c>
      <c r="AB27" s="61" t="e">
        <f>VLOOKUP(A27,Enforcements!$C$7:$K$18,8,0)</f>
        <v>#N/A</v>
      </c>
      <c r="AC27" s="57" t="e">
        <f>VLOOKUP(A27,Enforcements!$C$7:$E$18,3,0)</f>
        <v>#N/A</v>
      </c>
      <c r="AD27" s="58" t="str">
        <f t="shared" si="9"/>
        <v>0114-07</v>
      </c>
      <c r="AE27" s="87" t="str">
        <f t="shared" si="10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27" s="84" t="str">
        <f t="shared" si="11"/>
        <v>"C:\Program Files (x86)\AstroGrep\AstroGrep.exe" /spath="%USERPROFILE%\AppData\Local\Temp\OnboardLogs" /stypes="app*4043*20170107*"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114-07 --locoid 4043 --swversion DE.1.0.8.0 --startMP 204:232996 --initTime 2017-01-07T06:04:18 --startdatetime 2017-01-07T06:11:13 --delay 1 --endMP 204:156 --enddatetime 2017-01-07T06:48:56 --enforcementcount 0 &gt;&gt;C:\Users\stu\Documents\GitHub\eaglep3-reporting\EC\2017-01-07-refined-times.txt</v>
      </c>
      <c r="AI2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ID","value":"114-07"},{"id":16,"name":"Locomotive ID","value":"4043"},{"id":130,"name":"Impact","value":""},{"id":150,"name":"Time of Event (Mountain Time)","value":"06:48:56"},{"id":151,"name":"Denver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8"/>
        <v>start /low /b %USERPROFILE%\Documents\GitHub\eaglep3\Utilities\DownloadLogsFromS3.py --loco 4043 --day 2017-01-07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486</v>
      </c>
      <c r="B28" s="7">
        <v>4003</v>
      </c>
      <c r="C28" s="22" t="s">
        <v>203</v>
      </c>
      <c r="D28" s="22" t="s">
        <v>668</v>
      </c>
      <c r="E28" s="13">
        <v>42742.225057870368</v>
      </c>
      <c r="F28" s="13">
        <v>42742.229351851849</v>
      </c>
      <c r="G28" s="7">
        <v>2</v>
      </c>
      <c r="H28" s="22" t="s">
        <v>351</v>
      </c>
      <c r="I28" s="13">
        <v>42742.254583333335</v>
      </c>
      <c r="J28" s="7">
        <v>0</v>
      </c>
      <c r="K28" s="105" t="str">
        <f t="shared" si="0"/>
        <v>4003/4004</v>
      </c>
      <c r="L28" s="22" t="str">
        <f>VLOOKUP(A28,'Trips&amp;Operators'!$C$1:$G$99999,5,FALSE)</f>
        <v>GEBRETEKLE DAGNEW</v>
      </c>
      <c r="M28" s="6">
        <f t="shared" si="1"/>
        <v>2.5231481486116536E-2</v>
      </c>
      <c r="N28" s="7">
        <f t="shared" si="19"/>
        <v>36.333333340007812</v>
      </c>
      <c r="O28" s="7"/>
      <c r="P28" s="7"/>
      <c r="Q28" s="23"/>
      <c r="R28" s="23"/>
      <c r="S28" s="32">
        <f t="shared" si="20"/>
        <v>1</v>
      </c>
      <c r="T28" s="47" t="str">
        <f t="shared" si="2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04:24:05-700',mode:absolute,to:'2017-01-07 07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8" s="49" t="str">
        <f t="shared" si="4"/>
        <v>N</v>
      </c>
      <c r="X28" s="173">
        <f t="shared" si="5"/>
        <v>1</v>
      </c>
      <c r="Y28" s="64">
        <f t="shared" si="6"/>
        <v>7.4800000000000005E-2</v>
      </c>
      <c r="Z28" s="64">
        <f t="shared" si="7"/>
        <v>23.330100000000002</v>
      </c>
      <c r="AA28" s="64">
        <f t="shared" si="8"/>
        <v>23.255300000000002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 t="shared" si="9"/>
        <v>0115-07</v>
      </c>
      <c r="AE28" s="87" t="str">
        <f t="shared" si="10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28" s="84" t="str">
        <f t="shared" si="11"/>
        <v>"C:\Program Files (x86)\AstroGrep\AstroGrep.exe" /spath="%USERPROFILE%\AppData\Local\Temp\OnboardLogs" /stypes="app*4003*20170107*"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8" t="str">
        <f t="shared" si="16"/>
        <v>"%USERPROFILE%\Documents\GitHub\eaglep3\Utilities\RefineRTDCRunTimes.py" --tripid 115-07 --locoid 4003 --swversion DE.1.0.8.0 --startMP 204:748 --initTime 2017-01-07T05:24:05 --startdatetime 2017-01-07T05:30:16 --delay 2 --endMP 204:233301 --enddatetime 2017-01-07T06:06:36 --enforcementcount 0 &gt;&gt;C:\Users\stu\Documents\GitHub\eaglep3-reporting\EC\2017-01-07-refined-times.txt</v>
      </c>
      <c r="AI2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{"issue":{"subject":"","project_id":79,"tracker_id":40,"status_id":1,"priority_id":2,"assigned_to_id":23,"start_date":"2017-01-07","description":"","custom_fields":[{"id":1,"name":"Subdivision","value":"EC"},{"id":4,"name":"Milepost","value":"23.3301"},{"id":17,"name":"Train ID","value":"115-07"},{"id":16,"name":"Locomotive ID","value":"4003"},{"id":130,"name":"Impact","value":""},{"id":150,"name":"Time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8"/>
        <v>start /low /b %USERPROFILE%\Documents\GitHub\eaglep3\Utilities\DownloadLogsFromS3.py --loco 4003 --day 2017-01-07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499</v>
      </c>
      <c r="B29" s="7">
        <v>4004</v>
      </c>
      <c r="C29" s="22" t="s">
        <v>203</v>
      </c>
      <c r="D29" s="22" t="s">
        <v>669</v>
      </c>
      <c r="E29" s="13">
        <v>42742.262881944444</v>
      </c>
      <c r="F29" s="13">
        <v>42742.268240740741</v>
      </c>
      <c r="G29" s="7">
        <v>2</v>
      </c>
      <c r="H29" s="22" t="s">
        <v>670</v>
      </c>
      <c r="I29" s="13">
        <v>42742.295543981483</v>
      </c>
      <c r="J29" s="7">
        <v>0</v>
      </c>
      <c r="K29" s="105" t="str">
        <f t="shared" si="0"/>
        <v>4003/4004</v>
      </c>
      <c r="L29" s="22" t="str">
        <f>VLOOKUP(A29,'Trips&amp;Operators'!$C$1:$G$99999,5,FALSE)</f>
        <v>GEBRETEKLE DAGNEW</v>
      </c>
      <c r="M29" s="6">
        <f t="shared" si="1"/>
        <v>2.7303240742185153E-2</v>
      </c>
      <c r="N29" s="7">
        <f t="shared" si="19"/>
        <v>39.31666666874662</v>
      </c>
      <c r="O29" s="7"/>
      <c r="P29" s="7"/>
      <c r="Q29" s="23"/>
      <c r="R29" s="23"/>
      <c r="S29" s="32">
        <f t="shared" si="20"/>
        <v>1</v>
      </c>
      <c r="T29" s="47" t="str">
        <f t="shared" si="2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05:18:33-700',mode:absolute,to:'2017-01-07 08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9" s="49" t="str">
        <f t="shared" si="4"/>
        <v>N</v>
      </c>
      <c r="X29" s="173">
        <f t="shared" si="5"/>
        <v>1</v>
      </c>
      <c r="Y29" s="64">
        <f t="shared" si="6"/>
        <v>23.297799999999999</v>
      </c>
      <c r="Z29" s="64">
        <f t="shared" si="7"/>
        <v>1.54E-2</v>
      </c>
      <c r="AA29" s="64">
        <f t="shared" si="8"/>
        <v>23.282399999999999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 t="shared" si="9"/>
        <v>0116-07</v>
      </c>
      <c r="AE29" s="87" t="str">
        <f t="shared" si="10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29" s="84" t="str">
        <f t="shared" si="11"/>
        <v>"C:\Program Files (x86)\AstroGrep\AstroGrep.exe" /spath="%USERPROFILE%\AppData\Local\Temp\OnboardLogs" /stypes="app*4004*20170107*" /stext=" 14:.+((SYSTEM_STATE.+slice.+state.+changed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116-07 --locoid 4004 --swversion DE.1.0.8.0 --startMP 204:232978 --initTime 2017-01-07T06:18:33 --startdatetime 2017-01-07T06:26:16 --delay 2 --endMP 204:154 --enddatetime 2017-01-07T07:05:35 --enforcementcount 0 &gt;&gt;C:\Users\stu\Documents\GitHub\eaglep3-reporting\EC\2017-01-07-refined-times.txt</v>
      </c>
      <c r="AI2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ID","value":"116-07"},{"id":16,"name":"Locomotive ID","value":"4004"},{"id":130,"name":"Impact","value":""},{"id":150,"name":"Time of Event (Mountain Time)","value":"07:05:35"},{"id":151,"name":"Denver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18"/>
        <v>start /low /b %USERPROFILE%\Documents\GitHub\eaglep3\Utilities\DownloadLogsFromS3.py --loco 4004 --day 2017-01-07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489</v>
      </c>
      <c r="B30" s="7">
        <v>4016</v>
      </c>
      <c r="C30" s="22" t="s">
        <v>203</v>
      </c>
      <c r="D30" s="22" t="s">
        <v>352</v>
      </c>
      <c r="E30" s="13">
        <v>42742.227002314816</v>
      </c>
      <c r="F30" s="13">
        <v>42742.239756944444</v>
      </c>
      <c r="G30" s="7">
        <v>1</v>
      </c>
      <c r="H30" s="22" t="s">
        <v>671</v>
      </c>
      <c r="I30" s="13">
        <v>42742.26635416667</v>
      </c>
      <c r="J30" s="7">
        <v>0</v>
      </c>
      <c r="K30" s="105" t="str">
        <f t="shared" si="0"/>
        <v>4015/4016</v>
      </c>
      <c r="L30" s="22" t="str">
        <f>VLOOKUP(A30,'Trips&amp;Operators'!$C$1:$G$99999,5,FALSE)</f>
        <v>ROBINSON KADDIBA</v>
      </c>
      <c r="M30" s="6">
        <f t="shared" si="1"/>
        <v>2.6597222225973383E-2</v>
      </c>
      <c r="N30" s="7">
        <f t="shared" si="19"/>
        <v>38.300000005401671</v>
      </c>
      <c r="O30" s="7"/>
      <c r="P30" s="7"/>
      <c r="Q30" s="23"/>
      <c r="R30" s="23"/>
      <c r="S30" s="32">
        <f t="shared" si="20"/>
        <v>1</v>
      </c>
      <c r="T30" s="47" t="str">
        <f t="shared" si="2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04:26:53-700',mode:absolute,to:'2017-01-07 07:23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0" s="49" t="str">
        <f t="shared" si="4"/>
        <v>N</v>
      </c>
      <c r="X30" s="173">
        <f t="shared" si="5"/>
        <v>1</v>
      </c>
      <c r="Y30" s="64">
        <f t="shared" si="6"/>
        <v>4.2900000000000001E-2</v>
      </c>
      <c r="Z30" s="64">
        <f t="shared" si="7"/>
        <v>23.3325</v>
      </c>
      <c r="AA30" s="64">
        <f t="shared" si="8"/>
        <v>23.2896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 t="shared" si="9"/>
        <v>0117-07</v>
      </c>
      <c r="AE30" s="87" t="str">
        <f t="shared" si="10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30" s="84" t="str">
        <f t="shared" si="11"/>
        <v>"C:\Program Files (x86)\AstroGrep\AstroGrep.exe" /spath="%USERPROFILE%\AppData\Local\Temp\OnboardLogs" /stypes="app*4016*20170107*"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117-07 --locoid 4016 --swversion DE.1.0.8.0 --startMP 204:429 --initTime 2017-01-07T05:26:53 --startdatetime 2017-01-07T05:45:15 --delay 1 --endMP 204:233325 --enddatetime 2017-01-07T06:23:33 --enforcementcount 0 &gt;&gt;C:\Users\stu\Documents\GitHub\eaglep3-reporting\EC\2017-01-07-refined-times.txt</v>
      </c>
      <c r="AI3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{"issue":{"subject":"","project_id":79,"tracker_id":40,"status_id":1,"priority_id":2,"assigned_to_id":23,"start_date":"2017-01-07","description":"","custom_fields":[{"id":1,"name":"Subdivision","value":"EC"},{"id":4,"name":"Milepost","value":"23.3325"},{"id":17,"name":"Train ID","value":"117-07"},{"id":16,"name":"Locomotive ID","value":"4016"},{"id":130,"name":"Impact","value":""},{"id":150,"name":"Time of Event (Mountain Time)","value":"06:23:33"},{"id":151,"name":"Denver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8"/>
        <v>start /low /b %USERPROFILE%\Documents\GitHub\eaglep3\Utilities\DownloadLogsFromS3.py --loco 4016 --day 2017-01-07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501</v>
      </c>
      <c r="B31" s="7">
        <v>4015</v>
      </c>
      <c r="C31" s="22" t="s">
        <v>203</v>
      </c>
      <c r="D31" s="22" t="s">
        <v>672</v>
      </c>
      <c r="E31" s="13">
        <v>42742.271921296298</v>
      </c>
      <c r="F31" s="13">
        <v>42742.278634259259</v>
      </c>
      <c r="G31" s="7">
        <v>1</v>
      </c>
      <c r="H31" s="22" t="s">
        <v>228</v>
      </c>
      <c r="I31" s="13">
        <v>42742.308148148149</v>
      </c>
      <c r="J31" s="7">
        <v>0</v>
      </c>
      <c r="K31" s="105" t="str">
        <f t="shared" si="0"/>
        <v>4015/4016</v>
      </c>
      <c r="L31" s="22" t="str">
        <f>VLOOKUP(A31,'Trips&amp;Operators'!$C$1:$G$99999,5,FALSE)</f>
        <v>ROBINSON KADDIBA</v>
      </c>
      <c r="M31" s="6">
        <f t="shared" si="1"/>
        <v>2.9513888890505768E-2</v>
      </c>
      <c r="N31" s="7">
        <f t="shared" si="19"/>
        <v>42.500000002328306</v>
      </c>
      <c r="O31" s="7"/>
      <c r="P31" s="7"/>
      <c r="Q31" s="23"/>
      <c r="R31" s="23"/>
      <c r="S31" s="32">
        <f t="shared" si="20"/>
        <v>1</v>
      </c>
      <c r="T31" s="47" t="str">
        <f t="shared" si="2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05:31:34-700',mode:absolute,to:'2017-01-07 08:23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1" s="49" t="str">
        <f t="shared" si="4"/>
        <v>N</v>
      </c>
      <c r="X31" s="173">
        <f t="shared" si="5"/>
        <v>1</v>
      </c>
      <c r="Y31" s="64">
        <f t="shared" si="6"/>
        <v>23.301300000000001</v>
      </c>
      <c r="Z31" s="64">
        <f t="shared" si="7"/>
        <v>1.4500000000000001E-2</v>
      </c>
      <c r="AA31" s="64">
        <f t="shared" si="8"/>
        <v>23.286799999999999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 t="shared" si="9"/>
        <v>0118-07</v>
      </c>
      <c r="AE31" s="87" t="str">
        <f t="shared" si="10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31" s="84" t="str">
        <f t="shared" si="11"/>
        <v>"C:\Program Files (x86)\AstroGrep\AstroGrep.exe" /spath="%USERPROFILE%\AppData\Local\Temp\OnboardLogs" /stypes="app*4015*20170107*"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118-07 --locoid 4015 --swversion DE.1.0.8.0 --startMP 204:233013 --initTime 2017-01-07T06:31:34 --startdatetime 2017-01-07T06:41:14 --delay 1 --endMP 204:145 --enddatetime 2017-01-07T07:23:44 --enforcementcount 0 &gt;&gt;C:\Users\stu\Documents\GitHub\eaglep3-reporting\EC\2017-01-07-refined-times.txt</v>
      </c>
      <c r="AI3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ID","value":"118-07"},{"id":16,"name":"Locomotive ID","value":"4015"},{"id":130,"name":"Impact","value":""},{"id":150,"name":"Time of Event (Mountain Time)","value":"07:23:44"},{"id":151,"name":"Denver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8"/>
        <v>start /low /b %USERPROFILE%\Documents\GitHub\eaglep3\Utilities\DownloadLogsFromS3.py --loco 4015 --day 2017-01-07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496</v>
      </c>
      <c r="B32" s="7">
        <v>4011</v>
      </c>
      <c r="C32" s="22" t="s">
        <v>203</v>
      </c>
      <c r="D32" s="22" t="s">
        <v>673</v>
      </c>
      <c r="E32" s="13">
        <v>42742.247662037036</v>
      </c>
      <c r="F32" s="13">
        <v>42742.250416666669</v>
      </c>
      <c r="G32" s="7">
        <v>1</v>
      </c>
      <c r="H32" s="22" t="s">
        <v>674</v>
      </c>
      <c r="I32" s="13">
        <v>42742.274293981478</v>
      </c>
      <c r="J32" s="7">
        <v>0</v>
      </c>
      <c r="K32" s="105" t="str">
        <f t="shared" si="0"/>
        <v>4011/4012</v>
      </c>
      <c r="L32" s="22" t="str">
        <f>VLOOKUP(A32,'Trips&amp;Operators'!$C$1:$G$99999,5,FALSE)</f>
        <v>BEAM ROSS</v>
      </c>
      <c r="M32" s="6">
        <f t="shared" si="1"/>
        <v>2.3877314808487426E-2</v>
      </c>
      <c r="N32" s="7">
        <f t="shared" si="19"/>
        <v>34.383333324221894</v>
      </c>
      <c r="O32" s="7"/>
      <c r="P32" s="7"/>
      <c r="Q32" s="23"/>
      <c r="R32" s="23"/>
      <c r="S32" s="32">
        <f t="shared" si="20"/>
        <v>1</v>
      </c>
      <c r="T32" s="47" t="str">
        <f t="shared" si="2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04:56:38-700',mode:absolute,to:'2017-01-07 07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2" s="49" t="str">
        <f t="shared" si="4"/>
        <v>N</v>
      </c>
      <c r="X32" s="173">
        <f t="shared" si="5"/>
        <v>1</v>
      </c>
      <c r="Y32" s="64">
        <f t="shared" si="6"/>
        <v>4.2200000000000001E-2</v>
      </c>
      <c r="Z32" s="64">
        <f t="shared" si="7"/>
        <v>23.331800000000001</v>
      </c>
      <c r="AA32" s="64">
        <f t="shared" si="8"/>
        <v>23.2896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 t="shared" si="9"/>
        <v>0119-07</v>
      </c>
      <c r="AE32" s="87" t="str">
        <f t="shared" si="10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32" s="84" t="str">
        <f t="shared" si="11"/>
        <v>"C:\Program Files (x86)\AstroGrep\AstroGrep.exe" /spath="%USERPROFILE%\AppData\Local\Temp\OnboardLogs" /stypes="app*4011*20170107*"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119-07 --locoid 4011 --swversion DE.1.0.8.0 --startMP 204:422 --initTime 2017-01-07T05:56:38 --startdatetime 2017-01-07T06:00:36 --delay 1 --endMP 204:233318 --enddatetime 2017-01-07T06:34:59 --enforcementcount 0 &gt;&gt;C:\Users\stu\Documents\GitHub\eaglep3-reporting\EC\2017-01-07-refined-times.txt</v>
      </c>
      <c r="AI3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{"issue":{"subject":"","project_id":79,"tracker_id":40,"status_id":1,"priority_id":2,"assigned_to_id":23,"start_date":"2017-01-07","description":"","custom_fields":[{"id":1,"name":"Subdivision","value":"EC"},{"id":4,"name":"Milepost","value":"23.3318"},{"id":17,"name":"Train ID","value":"119-07"},{"id":16,"name":"Locomotive ID","value":"4011"},{"id":130,"name":"Impact","value":""},{"id":150,"name":"Time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8"/>
        <v>start /low /b %USERPROFILE%\Documents\GitHub\eaglep3\Utilities\DownloadLogsFromS3.py --loco 4011 --day 2017-01-07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503</v>
      </c>
      <c r="B33" s="7">
        <v>4012</v>
      </c>
      <c r="C33" s="22" t="s">
        <v>203</v>
      </c>
      <c r="D33" s="22" t="s">
        <v>279</v>
      </c>
      <c r="E33" s="13">
        <v>42742.283206018517</v>
      </c>
      <c r="F33" s="13">
        <v>42742.289074074077</v>
      </c>
      <c r="G33" s="7">
        <v>1</v>
      </c>
      <c r="H33" s="22" t="s">
        <v>670</v>
      </c>
      <c r="I33" s="13">
        <v>42742.314652777779</v>
      </c>
      <c r="J33" s="7">
        <v>0</v>
      </c>
      <c r="K33" s="105" t="str">
        <f t="shared" si="0"/>
        <v>4011/4012</v>
      </c>
      <c r="L33" s="22" t="str">
        <f>VLOOKUP(A33,'Trips&amp;Operators'!$C$1:$G$99999,5,FALSE)</f>
        <v>BEAM ROSS</v>
      </c>
      <c r="M33" s="6">
        <f t="shared" si="1"/>
        <v>2.5578703702194616E-2</v>
      </c>
      <c r="N33" s="7">
        <f t="shared" si="19"/>
        <v>36.833333331160247</v>
      </c>
      <c r="O33" s="7"/>
      <c r="P33" s="7"/>
      <c r="Q33" s="23"/>
      <c r="R33" s="23"/>
      <c r="S33" s="32">
        <f t="shared" si="20"/>
        <v>1</v>
      </c>
      <c r="T33" s="47" t="str">
        <f t="shared" si="2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05:47:49-700',mode:absolute,to:'2017-01-07 08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3" s="49" t="str">
        <f t="shared" si="4"/>
        <v>N</v>
      </c>
      <c r="X33" s="173">
        <f t="shared" si="5"/>
        <v>1</v>
      </c>
      <c r="Y33" s="64">
        <f t="shared" si="6"/>
        <v>23.298200000000001</v>
      </c>
      <c r="Z33" s="64">
        <f t="shared" si="7"/>
        <v>1.54E-2</v>
      </c>
      <c r="AA33" s="64">
        <f t="shared" si="8"/>
        <v>23.282800000000002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 t="shared" si="9"/>
        <v>0120-07</v>
      </c>
      <c r="AE33" s="87" t="str">
        <f t="shared" si="10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33" s="84" t="str">
        <f t="shared" si="11"/>
        <v>"C:\Program Files (x86)\AstroGrep\AstroGrep.exe" /spath="%USERPROFILE%\AppData\Local\Temp\OnboardLogs" /stypes="app*4012*20170107*"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120-07 --locoid 4012 --swversion DE.1.0.8.0 --startMP 204:232982 --initTime 2017-01-07T06:47:49 --startdatetime 2017-01-07T06:56:16 --delay 1 --endMP 204:154 --enddatetime 2017-01-07T07:33:06 --enforcementcount 0 &gt;&gt;C:\Users\stu\Documents\GitHub\eaglep3-reporting\EC\2017-01-07-refined-times.txt</v>
      </c>
      <c r="AI3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ID","value":"120-07"},{"id":16,"name":"Locomotive ID","value":"4012"},{"id":130,"name":"Impact","value":""},{"id":150,"name":"Time of Event (Mountain Time)","value":"07:33:06"},{"id":151,"name":"Denver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8"/>
        <v>start /low /b %USERPROFILE%\Documents\GitHub\eaglep3\Utilities\DownloadLogsFromS3.py --loco 4012 --day 2017-01-07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431</v>
      </c>
      <c r="B34" s="7">
        <v>4042</v>
      </c>
      <c r="C34" s="22" t="s">
        <v>203</v>
      </c>
      <c r="D34" s="22" t="s">
        <v>257</v>
      </c>
      <c r="E34" s="13">
        <v>42742.257604166669</v>
      </c>
      <c r="F34" s="13">
        <v>42742.260578703703</v>
      </c>
      <c r="G34" s="7">
        <v>1</v>
      </c>
      <c r="H34" s="22" t="s">
        <v>413</v>
      </c>
      <c r="I34" s="13">
        <v>42742.2890162037</v>
      </c>
      <c r="J34" s="7">
        <v>0</v>
      </c>
      <c r="K34" s="105" t="str">
        <f t="shared" si="0"/>
        <v>4041/4042</v>
      </c>
      <c r="L34" s="22" t="str">
        <f>VLOOKUP(A34,'Trips&amp;Operators'!$C$1:$G$99999,5,FALSE)</f>
        <v>DAVIS WENDY</v>
      </c>
      <c r="M34" s="6">
        <f t="shared" si="1"/>
        <v>2.8437499997380655E-2</v>
      </c>
      <c r="N34" s="7">
        <f t="shared" si="19"/>
        <v>40.949999996228144</v>
      </c>
      <c r="O34" s="7"/>
      <c r="P34" s="7"/>
      <c r="Q34" s="23"/>
      <c r="R34" s="23"/>
      <c r="S34" s="32">
        <f t="shared" si="20"/>
        <v>1</v>
      </c>
      <c r="T34" s="47" t="str">
        <f t="shared" si="2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05:10:57-700',mode:absolute,to:'2017-01-07 07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49" t="str">
        <f t="shared" si="4"/>
        <v>N</v>
      </c>
      <c r="X34" s="173">
        <f t="shared" si="5"/>
        <v>1</v>
      </c>
      <c r="Y34" s="64">
        <f t="shared" si="6"/>
        <v>4.4900000000000002E-2</v>
      </c>
      <c r="Z34" s="64">
        <f t="shared" si="7"/>
        <v>23.3264</v>
      </c>
      <c r="AA34" s="64">
        <f t="shared" si="8"/>
        <v>23.281500000000001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 t="shared" si="9"/>
        <v>0121-07</v>
      </c>
      <c r="AE34" s="87" t="str">
        <f t="shared" si="10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34" s="84" t="str">
        <f t="shared" si="11"/>
        <v>"C:\Program Files (x86)\AstroGrep\AstroGrep.exe" /spath="%USERPROFILE%\AppData\Local\Temp\OnboardLogs" /stypes="app*4042*20170107*"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121-07 --locoid 4042 --swversion DE.1.0.8.0 --startMP 204:449 --initTime 2017-01-07T06:10:57 --startdatetime 2017-01-07T06:15:14 --delay 1 --endMP 204:233264 --enddatetime 2017-01-07T06:56:11 --enforcementcount 0 &gt;&gt;C:\Users\stu\Documents\GitHub\eaglep3-reporting\EC\2017-01-07-refined-times.txt</v>
      </c>
      <c r="AI3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{"issue":{"subject":"","project_id":79,"tracker_id":40,"status_id":1,"priority_id":2,"assigned_to_id":23,"start_date":"2017-01-07","description":"","custom_fields":[{"id":1,"name":"Subdivision","value":"EC"},{"id":4,"name":"Milepost","value":"23.3264"},{"id":17,"name":"Train ID","value":"121-07"},{"id":16,"name":"Locomotive ID","value":"4042"},{"id":130,"name":"Impact","value":""},{"id":150,"name":"Time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8"/>
        <v>start /low /b %USERPROFILE%\Documents\GitHub\eaglep3\Utilities\DownloadLogsFromS3.py --loco 4042 --day 2017-01-07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505</v>
      </c>
      <c r="B35" s="7">
        <v>4041</v>
      </c>
      <c r="C35" s="22" t="s">
        <v>203</v>
      </c>
      <c r="D35" s="22" t="s">
        <v>411</v>
      </c>
      <c r="E35" s="13">
        <v>42742.295057870368</v>
      </c>
      <c r="F35" s="13">
        <v>42742.29954861111</v>
      </c>
      <c r="G35" s="7">
        <v>1</v>
      </c>
      <c r="H35" s="22" t="s">
        <v>249</v>
      </c>
      <c r="I35" s="13">
        <v>42742.327141203707</v>
      </c>
      <c r="J35" s="7">
        <v>0</v>
      </c>
      <c r="K35" s="105" t="str">
        <f t="shared" si="0"/>
        <v>4041/4042</v>
      </c>
      <c r="L35" s="22" t="str">
        <f>VLOOKUP(A35,'Trips&amp;Operators'!$C$1:$G$99999,5,FALSE)</f>
        <v>DAVIS WENDY</v>
      </c>
      <c r="M35" s="6">
        <f t="shared" si="1"/>
        <v>2.7592592596192844E-2</v>
      </c>
      <c r="N35" s="7">
        <f t="shared" si="19"/>
        <v>39.733333338517696</v>
      </c>
      <c r="O35" s="7"/>
      <c r="P35" s="7"/>
      <c r="Q35" s="23"/>
      <c r="R35" s="23"/>
      <c r="S35" s="32">
        <f t="shared" si="20"/>
        <v>1</v>
      </c>
      <c r="T35" s="47" t="str">
        <f t="shared" si="2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06:04:53-700',mode:absolute,to:'2017-01-07 08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49" t="str">
        <f t="shared" si="4"/>
        <v>N</v>
      </c>
      <c r="X35" s="173">
        <f t="shared" si="5"/>
        <v>1</v>
      </c>
      <c r="Y35" s="64">
        <f t="shared" si="6"/>
        <v>23.295999999999999</v>
      </c>
      <c r="Z35" s="64">
        <f t="shared" si="7"/>
        <v>1.6E-2</v>
      </c>
      <c r="AA35" s="64">
        <f t="shared" si="8"/>
        <v>23.28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 t="shared" si="9"/>
        <v>0122-07</v>
      </c>
      <c r="AE35" s="87" t="str">
        <f t="shared" si="10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35" s="84" t="str">
        <f t="shared" si="11"/>
        <v>"C:\Program Files (x86)\AstroGrep\AstroGrep.exe" /spath="%USERPROFILE%\AppData\Local\Temp\OnboardLogs" /stypes="app*4041*20170107*"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122-07 --locoid 4041 --swversion DE.1.0.8.0 --startMP 204:232960 --initTime 2017-01-07T07:04:53 --startdatetime 2017-01-07T07:11:21 --delay 1 --endMP 204:160 --enddatetime 2017-01-07T07:51:05 --enforcementcount 0 &gt;&gt;C:\Users\stu\Documents\GitHub\eaglep3-reporting\EC\2017-01-07-refined-times.txt</v>
      </c>
      <c r="AI3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ID","value":"122-07"},{"id":16,"name":"Locomotive ID","value":"4041"},{"id":130,"name":"Impact","value":""},{"id":150,"name":"Time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8"/>
        <v>start /low /b %USERPROFILE%\Documents\GitHub\eaglep3\Utilities\DownloadLogsFromS3.py --loco 4041 --day 2017-01-07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500</v>
      </c>
      <c r="B36" s="7">
        <v>4040</v>
      </c>
      <c r="C36" s="22" t="s">
        <v>203</v>
      </c>
      <c r="D36" s="22" t="s">
        <v>257</v>
      </c>
      <c r="E36" s="13">
        <v>42742.268391203703</v>
      </c>
      <c r="F36" s="13">
        <v>42742.27107638889</v>
      </c>
      <c r="G36" s="7">
        <v>1</v>
      </c>
      <c r="H36" s="22" t="s">
        <v>419</v>
      </c>
      <c r="I36" s="13">
        <v>42742.296319444446</v>
      </c>
      <c r="J36" s="7">
        <v>0</v>
      </c>
      <c r="K36" s="105" t="str">
        <f t="shared" si="0"/>
        <v>4039/4040</v>
      </c>
      <c r="L36" s="22" t="str">
        <f>VLOOKUP(A36,'Trips&amp;Operators'!$C$1:$G$99999,5,FALSE)</f>
        <v>OUN ZACK</v>
      </c>
      <c r="M36" s="6">
        <f t="shared" si="1"/>
        <v>2.5243055555620231E-2</v>
      </c>
      <c r="N36" s="7">
        <f t="shared" si="19"/>
        <v>36.350000000093132</v>
      </c>
      <c r="O36" s="7"/>
      <c r="P36" s="7"/>
      <c r="Q36" s="23"/>
      <c r="R36" s="23"/>
      <c r="S36" s="32">
        <f t="shared" si="20"/>
        <v>1</v>
      </c>
      <c r="T36" s="47" t="str">
        <f t="shared" si="2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05:26:29-700',mode:absolute,to:'2017-01-07 08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6" s="49" t="str">
        <f t="shared" si="4"/>
        <v>N</v>
      </c>
      <c r="X36" s="173">
        <f t="shared" si="5"/>
        <v>1</v>
      </c>
      <c r="Y36" s="64">
        <f t="shared" si="6"/>
        <v>4.4900000000000002E-2</v>
      </c>
      <c r="Z36" s="64">
        <f t="shared" si="7"/>
        <v>23.327999999999999</v>
      </c>
      <c r="AA36" s="64">
        <f t="shared" si="8"/>
        <v>23.283100000000001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 t="shared" si="9"/>
        <v>0123-07</v>
      </c>
      <c r="AE36" s="87" t="str">
        <f t="shared" si="10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36" s="84" t="str">
        <f t="shared" si="11"/>
        <v>"C:\Program Files (x86)\AstroGrep\AstroGrep.exe" /spath="%USERPROFILE%\AppData\Local\Temp\OnboardLogs" /stypes="app*4040*20170107*"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123-07 --locoid 4040 --swversion DE.1.0.8.0 --startMP 204:449 --initTime 2017-01-07T06:26:29 --startdatetime 2017-01-07T06:30:21 --delay 1 --endMP 204:233280 --enddatetime 2017-01-07T07:06:42 --enforcementcount 0 &gt;&gt;C:\Users\stu\Documents\GitHub\eaglep3-reporting\EC\2017-01-07-refined-times.txt</v>
      </c>
      <c r="AI3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{"issue":{"subject":"","project_id":79,"tracker_id":40,"status_id":1,"priority_id":2,"assigned_to_id":23,"start_date":"2017-01-07","description":"","custom_fields":[{"id":1,"name":"Subdivision","value":"EC"},{"id":4,"name":"Milepost","value":"23.328"},{"id":17,"name":"Train ID","value":"123-07"},{"id":16,"name":"Locomotive ID","value":"4040"},{"id":130,"name":"Impact","value":""},{"id":150,"name":"Time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8"/>
        <v>start /low /b %USERPROFILE%\Documents\GitHub\eaglep3\Utilities\DownloadLogsFromS3.py --loco 4040 --day 2017-01-07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508</v>
      </c>
      <c r="B37" s="7">
        <v>4039</v>
      </c>
      <c r="C37" s="22" t="s">
        <v>203</v>
      </c>
      <c r="D37" s="22" t="s">
        <v>410</v>
      </c>
      <c r="E37" s="13">
        <v>42742.3049537037</v>
      </c>
      <c r="F37" s="13">
        <v>42742.309918981482</v>
      </c>
      <c r="G37" s="7">
        <v>1</v>
      </c>
      <c r="H37" s="22" t="s">
        <v>675</v>
      </c>
      <c r="I37" s="13">
        <v>42742.336469907408</v>
      </c>
      <c r="J37" s="7">
        <v>0</v>
      </c>
      <c r="K37" s="105" t="str">
        <f t="shared" si="0"/>
        <v>4039/4040</v>
      </c>
      <c r="L37" s="22" t="str">
        <f>VLOOKUP(A37,'Trips&amp;Operators'!$C$1:$G$99999,5,FALSE)</f>
        <v>OUN ZACK</v>
      </c>
      <c r="M37" s="6">
        <f t="shared" si="1"/>
        <v>2.6550925926130731E-2</v>
      </c>
      <c r="N37" s="7">
        <f t="shared" si="19"/>
        <v>38.233333333628252</v>
      </c>
      <c r="O37" s="7"/>
      <c r="P37" s="7"/>
      <c r="Q37" s="23"/>
      <c r="R37" s="23"/>
      <c r="S37" s="32">
        <f t="shared" si="20"/>
        <v>1</v>
      </c>
      <c r="T37" s="47" t="str">
        <f t="shared" si="2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06:19:08-700',mode:absolute,to:'2017-01-07 09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7" s="49" t="str">
        <f t="shared" si="4"/>
        <v>N</v>
      </c>
      <c r="X37" s="173">
        <f t="shared" si="5"/>
        <v>1</v>
      </c>
      <c r="Y37" s="64">
        <f t="shared" si="6"/>
        <v>23.298400000000001</v>
      </c>
      <c r="Z37" s="64">
        <f t="shared" si="7"/>
        <v>1.2999999999999999E-2</v>
      </c>
      <c r="AA37" s="64">
        <f t="shared" si="8"/>
        <v>23.285399999999999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 t="shared" si="9"/>
        <v>0124-07</v>
      </c>
      <c r="AE37" s="87" t="str">
        <f t="shared" si="10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37" s="84" t="str">
        <f t="shared" si="11"/>
        <v>"C:\Program Files (x86)\AstroGrep\AstroGrep.exe" /spath="%USERPROFILE%\AppData\Local\Temp\OnboardLogs" /stypes="app*4039*20170107*"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124-07 --locoid 4039 --swversion DE.1.0.8.0 --startMP 204:232984 --initTime 2017-01-07T07:19:08 --startdatetime 2017-01-07T07:26:17 --delay 1 --endMP 204:130 --enddatetime 2017-01-07T08:04:31 --enforcementcount 0 &gt;&gt;C:\Users\stu\Documents\GitHub\eaglep3-reporting\EC\2017-01-07-refined-times.txt</v>
      </c>
      <c r="AI3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{"issue":{"subject":"","project_id":79,"tracker_id":40,"status_id":1,"priority_id":2,"assigned_to_id":23,"start_date":"2017-01-07","description":"","custom_fields":[{"id":1,"name":"Subdivision","value":"EC"},{"id":4,"name":"Milepost","value":"0.013"},{"id":17,"name":"Train ID","value":"124-07"},{"id":16,"name":"Locomotive ID","value":"4039"},{"id":130,"name":"Impact","value":""},{"id":150,"name":"Time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8"/>
        <v>start /low /b %USERPROFILE%\Documents\GitHub\eaglep3\Utilities\DownloadLogsFromS3.py --loco 4039 --day 2017-01-07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432</v>
      </c>
      <c r="B38" s="7">
        <v>4046</v>
      </c>
      <c r="C38" s="22" t="s">
        <v>203</v>
      </c>
      <c r="D38" s="22" t="s">
        <v>331</v>
      </c>
      <c r="E38" s="13">
        <v>42742.277037037034</v>
      </c>
      <c r="F38" s="13">
        <v>42742.281608796293</v>
      </c>
      <c r="G38" s="7">
        <v>1</v>
      </c>
      <c r="H38" s="22" t="s">
        <v>415</v>
      </c>
      <c r="I38" s="13">
        <v>42742.306597222225</v>
      </c>
      <c r="J38" s="7">
        <v>0</v>
      </c>
      <c r="K38" s="105" t="str">
        <f t="shared" si="0"/>
        <v>4045/4046</v>
      </c>
      <c r="L38" s="22" t="str">
        <f>VLOOKUP(A38,'Trips&amp;Operators'!$C$1:$G$99999,5,FALSE)</f>
        <v>LOZA FIDEL</v>
      </c>
      <c r="M38" s="6">
        <f t="shared" si="1"/>
        <v>2.4988425931951497E-2</v>
      </c>
      <c r="N38" s="7">
        <f t="shared" si="19"/>
        <v>35.983333342010155</v>
      </c>
      <c r="O38" s="7"/>
      <c r="P38" s="7"/>
      <c r="Q38" s="23"/>
      <c r="R38" s="23"/>
      <c r="S38" s="32">
        <f t="shared" si="20"/>
        <v>1</v>
      </c>
      <c r="T38" s="47" t="str">
        <f t="shared" si="2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05:38:56-700',mode:absolute,to:'2017-01-07 08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8" s="49" t="str">
        <f t="shared" si="4"/>
        <v>N</v>
      </c>
      <c r="X38" s="173">
        <f t="shared" si="5"/>
        <v>1</v>
      </c>
      <c r="Y38" s="64">
        <f t="shared" si="6"/>
        <v>4.6899999999999997E-2</v>
      </c>
      <c r="Z38" s="64">
        <f t="shared" si="7"/>
        <v>23.333100000000002</v>
      </c>
      <c r="AA38" s="64">
        <f t="shared" si="8"/>
        <v>23.286200000000001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 t="shared" si="9"/>
        <v>0125-07</v>
      </c>
      <c r="AE38" s="87" t="str">
        <f t="shared" si="10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38" s="84" t="str">
        <f t="shared" si="11"/>
        <v>"C:\Program Files (x86)\AstroGrep\AstroGrep.exe" /spath="%USERPROFILE%\AppData\Local\Temp\OnboardLogs" /stypes="app*4046*20170107*"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125-07 --locoid 4046 --swversion DE.1.0.8.0 --startMP 204:469 --initTime 2017-01-07T06:38:56 --startdatetime 2017-01-07T06:45:31 --delay 1 --endMP 204:233331 --enddatetime 2017-01-07T07:21:30 --enforcementcount 0 &gt;&gt;C:\Users\stu\Documents\GitHub\eaglep3-reporting\EC\2017-01-07-refined-times.txt</v>
      </c>
      <c r="AI3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ID","value":"125-07"},{"id":16,"name":"Locomotive ID","value":"4046"},{"id":130,"name":"Impact","value":""},{"id":150,"name":"Time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18"/>
        <v>start /low /b %USERPROFILE%\Documents\GitHub\eaglep3\Utilities\DownloadLogsFromS3.py --loco 4046 --day 2017-01-07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510</v>
      </c>
      <c r="B39" s="7">
        <v>4045</v>
      </c>
      <c r="C39" s="22" t="s">
        <v>203</v>
      </c>
      <c r="D39" s="22" t="s">
        <v>310</v>
      </c>
      <c r="E39" s="13">
        <v>42742.314814814818</v>
      </c>
      <c r="F39" s="13">
        <v>42742.320451388892</v>
      </c>
      <c r="G39" s="7">
        <v>1</v>
      </c>
      <c r="H39" s="22" t="s">
        <v>245</v>
      </c>
      <c r="I39" s="13">
        <v>42742.346400462964</v>
      </c>
      <c r="J39" s="7">
        <v>0</v>
      </c>
      <c r="K39" s="105" t="str">
        <f t="shared" si="0"/>
        <v>4045/4046</v>
      </c>
      <c r="L39" s="22" t="str">
        <f>VLOOKUP(A39,'Trips&amp;Operators'!$C$1:$G$99999,5,FALSE)</f>
        <v>LOZA FIDEL</v>
      </c>
      <c r="M39" s="6">
        <f t="shared" si="1"/>
        <v>2.5949074071832001E-2</v>
      </c>
      <c r="N39" s="7">
        <f t="shared" si="19"/>
        <v>37.366666663438082</v>
      </c>
      <c r="O39" s="7"/>
      <c r="P39" s="7"/>
      <c r="Q39" s="23"/>
      <c r="R39" s="23"/>
      <c r="S39" s="32">
        <f t="shared" si="20"/>
        <v>1</v>
      </c>
      <c r="T39" s="47" t="str">
        <f t="shared" si="2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06:33:20-700',mode:absolute,to:'2017-01-07 09:18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9" s="49" t="str">
        <f t="shared" si="4"/>
        <v>N</v>
      </c>
      <c r="X39" s="173">
        <f t="shared" si="5"/>
        <v>1</v>
      </c>
      <c r="Y39" s="64">
        <f t="shared" si="6"/>
        <v>23.298300000000001</v>
      </c>
      <c r="Z39" s="64">
        <f t="shared" si="7"/>
        <v>1.47E-2</v>
      </c>
      <c r="AA39" s="64">
        <f t="shared" si="8"/>
        <v>23.2836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 t="shared" si="9"/>
        <v>0126-07</v>
      </c>
      <c r="AE39" s="87" t="str">
        <f t="shared" si="10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39" s="84" t="str">
        <f t="shared" si="11"/>
        <v>"C:\Program Files (x86)\AstroGrep\AstroGrep.exe" /spath="%USERPROFILE%\AppData\Local\Temp\OnboardLogs" /stypes="app*4045*20170107*"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126-07 --locoid 4045 --swversion DE.1.0.8.0 --startMP 204:232983 --initTime 2017-01-07T07:33:20 --startdatetime 2017-01-07T07:41:27 --delay 1 --endMP 204:147 --enddatetime 2017-01-07T08:18:49 --enforcementcount 0 &gt;&gt;C:\Users\stu\Documents\GitHub\eaglep3-reporting\EC\2017-01-07-refined-times.txt</v>
      </c>
      <c r="AI3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ID","value":"126-07"},{"id":16,"name":"Locomotive ID","value":"4045"},{"id":130,"name":"Impact","value":""},{"id":150,"name":"Time of Event (Mountain Time)","value":"08:18:49"},{"id":151,"name":"Denver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8"/>
        <v>start /low /b %USERPROFILE%\Documents\GitHub\eaglep3\Utilities\DownloadLogsFromS3.py --loco 4045 --day 2017-01-07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504</v>
      </c>
      <c r="B40" s="7">
        <v>4044</v>
      </c>
      <c r="C40" s="22" t="s">
        <v>203</v>
      </c>
      <c r="D40" s="22" t="s">
        <v>356</v>
      </c>
      <c r="E40" s="13">
        <v>42742.285173611112</v>
      </c>
      <c r="F40" s="13">
        <v>42742.291828703703</v>
      </c>
      <c r="G40" s="7">
        <v>1</v>
      </c>
      <c r="H40" s="22" t="s">
        <v>676</v>
      </c>
      <c r="I40" s="13">
        <v>42742.316886574074</v>
      </c>
      <c r="J40" s="7">
        <v>0</v>
      </c>
      <c r="K40" s="105" t="str">
        <f t="shared" si="0"/>
        <v>4043/4044</v>
      </c>
      <c r="L40" s="22" t="str">
        <f>VLOOKUP(A40,'Trips&amp;Operators'!$C$1:$G$99999,5,FALSE)</f>
        <v>ISHMAEL JOSEPH</v>
      </c>
      <c r="M40" s="6">
        <f t="shared" si="1"/>
        <v>2.5057870370801538E-2</v>
      </c>
      <c r="N40" s="7">
        <f t="shared" si="19"/>
        <v>36.083333333954215</v>
      </c>
      <c r="O40" s="7"/>
      <c r="P40" s="7"/>
      <c r="Q40" s="23"/>
      <c r="R40" s="23"/>
      <c r="S40" s="32">
        <f t="shared" si="20"/>
        <v>1</v>
      </c>
      <c r="T40" s="47" t="str">
        <f t="shared" si="2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05:50:39-700',mode:absolute,to:'2017-01-07 08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49" t="str">
        <f t="shared" si="4"/>
        <v>N</v>
      </c>
      <c r="X40" s="173">
        <f t="shared" si="5"/>
        <v>1</v>
      </c>
      <c r="Y40" s="64">
        <f t="shared" si="6"/>
        <v>4.3099999999999999E-2</v>
      </c>
      <c r="Z40" s="64">
        <f t="shared" si="7"/>
        <v>23.337</v>
      </c>
      <c r="AA40" s="64">
        <f t="shared" si="8"/>
        <v>23.293900000000001</v>
      </c>
      <c r="AB40" s="61" t="e">
        <f>VLOOKUP(A40,Enforcements!$C$7:$K$18,8,0)</f>
        <v>#N/A</v>
      </c>
      <c r="AC40" s="57" t="e">
        <f>VLOOKUP(A40,Enforcements!$C$7:$E$18,3,0)</f>
        <v>#N/A</v>
      </c>
      <c r="AD40" s="58" t="str">
        <f t="shared" si="9"/>
        <v>0127-07</v>
      </c>
      <c r="AE40" s="87" t="str">
        <f t="shared" si="10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40" s="84" t="str">
        <f t="shared" si="11"/>
        <v>"C:\Program Files (x86)\AstroGrep\AstroGrep.exe" /spath="%USERPROFILE%\AppData\Local\Temp\OnboardLogs" /stypes="app*4044*20170107*"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127-07 --locoid 4044 --swversion DE.1.0.8.0 --startMP 204:431 --initTime 2017-01-07T06:50:39 --startdatetime 2017-01-07T07:00:14 --delay 1 --endMP 204:233370 --enddatetime 2017-01-07T07:36:19 --enforcementcount 0 &gt;&gt;C:\Users\stu\Documents\GitHub\eaglep3-reporting\EC\2017-01-07-refined-times.txt</v>
      </c>
      <c r="AI4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{"issue":{"subject":"","project_id":79,"tracker_id":40,"status_id":1,"priority_id":2,"assigned_to_id":23,"start_date":"2017-01-07","description":"","custom_fields":[{"id":1,"name":"Subdivision","value":"EC"},{"id":4,"name":"Milepost","value":"23.337"},{"id":17,"name":"Train ID","value":"127-07"},{"id":16,"name":"Locomotive ID","value":"4044"},{"id":130,"name":"Impact","value":""},{"id":150,"name":"Time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8"/>
        <v>start /low /b %USERPROFILE%\Documents\GitHub\eaglep3\Utilities\DownloadLogsFromS3.py --loco 4044 --day 2017-01-07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433</v>
      </c>
      <c r="B41" s="7">
        <v>4043</v>
      </c>
      <c r="C41" s="22" t="s">
        <v>203</v>
      </c>
      <c r="D41" s="22" t="s">
        <v>677</v>
      </c>
      <c r="E41" s="13">
        <v>42742.321458333332</v>
      </c>
      <c r="F41" s="13">
        <v>42742.330729166664</v>
      </c>
      <c r="G41" s="7">
        <v>1</v>
      </c>
      <c r="H41" s="22" t="s">
        <v>291</v>
      </c>
      <c r="I41" s="13">
        <v>42742.357523148145</v>
      </c>
      <c r="J41" s="7">
        <v>0</v>
      </c>
      <c r="K41" s="105" t="str">
        <f t="shared" si="0"/>
        <v>4043/4044</v>
      </c>
      <c r="L41" s="22" t="str">
        <f>VLOOKUP(A41,'Trips&amp;Operators'!$C$1:$G$99999,5,FALSE)</f>
        <v>ISHMAEL JOSEPH</v>
      </c>
      <c r="M41" s="6">
        <f t="shared" si="1"/>
        <v>2.679398148029577E-2</v>
      </c>
      <c r="N41" s="7">
        <f t="shared" si="19"/>
        <v>38.583333331625909</v>
      </c>
      <c r="O41" s="7"/>
      <c r="P41" s="7"/>
      <c r="Q41" s="23"/>
      <c r="R41" s="23"/>
      <c r="S41" s="32">
        <f t="shared" si="20"/>
        <v>1</v>
      </c>
      <c r="T41" s="47" t="str">
        <f t="shared" si="2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06:42:54-700',mode:absolute,to:'2017-01-07 09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49" t="str">
        <f t="shared" si="4"/>
        <v>N</v>
      </c>
      <c r="X41" s="173">
        <f t="shared" si="5"/>
        <v>1</v>
      </c>
      <c r="Y41" s="64">
        <f t="shared" si="6"/>
        <v>23.306100000000001</v>
      </c>
      <c r="Z41" s="64">
        <f t="shared" si="7"/>
        <v>1.5599999999999999E-2</v>
      </c>
      <c r="AA41" s="64">
        <f t="shared" si="8"/>
        <v>23.290500000000002</v>
      </c>
      <c r="AB41" s="61" t="str">
        <f>VLOOKUP(A41,Enforcements!$C$7:$K$18,8,0)</f>
        <v>Speed (6)</v>
      </c>
      <c r="AC41" s="57" t="str">
        <f>VLOOKUP(A41,Enforcements!$C$7:$E$18,3,0)</f>
        <v>PERMANENT SPEED RESTRICTION</v>
      </c>
      <c r="AD41" s="58" t="str">
        <f t="shared" si="9"/>
        <v>0128-07</v>
      </c>
      <c r="AE41" s="87" t="str">
        <f t="shared" si="10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41" s="84" t="str">
        <f t="shared" si="11"/>
        <v>"C:\Program Files (x86)\AstroGrep\AstroGrep.exe" /spath="%USERPROFILE%\AppData\Local\Temp\OnboardLogs" /stypes="app*4043*20170107*"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si="16"/>
        <v>"%USERPROFILE%\Documents\GitHub\eaglep3\Utilities\RefineRTDCRunTimes.py" --tripid 128-07 --locoid 4043 --swversion DE.1.0.8.0 --startMP 204:233061 --initTime 2017-01-07T07:42:54 --startdatetime 2017-01-07T07:56:15 --delay 1 --endMP 204:156 --enddatetime 2017-01-07T08:34:50 --enforcementcount 0 &gt;&gt;C:\Users\stu\Documents\GitHub\eaglep3-reporting\EC\2017-01-07-refined-times.txt</v>
      </c>
      <c r="AI4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ID","value":"128-07"},{"id":16,"name":"Locomotive ID","value":"4043"},{"id":130,"name":"Impact","value":""},{"id":150,"name":"Time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8"/>
        <v>start /low /b %USERPROFILE%\Documents\GitHub\eaglep3\Utilities\DownloadLogsFromS3.py --loco 4043 --day 2017-01-07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506</v>
      </c>
      <c r="B42" s="7">
        <v>4003</v>
      </c>
      <c r="C42" s="22" t="s">
        <v>203</v>
      </c>
      <c r="D42" s="22" t="s">
        <v>290</v>
      </c>
      <c r="E42" s="13">
        <v>42742.298194444447</v>
      </c>
      <c r="F42" s="13">
        <v>42742.302256944444</v>
      </c>
      <c r="G42" s="7">
        <v>2</v>
      </c>
      <c r="H42" s="22" t="s">
        <v>678</v>
      </c>
      <c r="I42" s="13">
        <v>42742.327557870369</v>
      </c>
      <c r="J42" s="7">
        <v>0</v>
      </c>
      <c r="K42" s="105" t="str">
        <f t="shared" si="0"/>
        <v>4003/4004</v>
      </c>
      <c r="L42" s="22" t="str">
        <f>VLOOKUP(A42,'Trips&amp;Operators'!$C$1:$G$99999,5,FALSE)</f>
        <v>GEBRETEKLE DAGNEW</v>
      </c>
      <c r="M42" s="6">
        <f t="shared" si="1"/>
        <v>2.5300925924966577E-2</v>
      </c>
      <c r="N42" s="7">
        <f t="shared" si="19"/>
        <v>36.433333331951872</v>
      </c>
      <c r="O42" s="7"/>
      <c r="P42" s="7"/>
      <c r="Q42" s="23"/>
      <c r="R42" s="23"/>
      <c r="S42" s="32">
        <f t="shared" si="20"/>
        <v>1</v>
      </c>
      <c r="T42" s="47" t="str">
        <f t="shared" si="2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06:09:24-700',mode:absolute,to:'2017-01-07 08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2" s="49" t="str">
        <f t="shared" si="4"/>
        <v>N</v>
      </c>
      <c r="X42" s="173">
        <f t="shared" si="5"/>
        <v>1</v>
      </c>
      <c r="Y42" s="64">
        <f t="shared" si="6"/>
        <v>4.5699999999999998E-2</v>
      </c>
      <c r="Z42" s="64">
        <f t="shared" si="7"/>
        <v>23.331900000000001</v>
      </c>
      <c r="AA42" s="64">
        <f t="shared" si="8"/>
        <v>23.286200000000001</v>
      </c>
      <c r="AB42" s="61" t="e">
        <f>VLOOKUP(A42,Enforcements!$C$7:$K$18,8,0)</f>
        <v>#N/A</v>
      </c>
      <c r="AC42" s="57" t="e">
        <f>VLOOKUP(A42,Enforcements!$C$7:$E$18,3,0)</f>
        <v>#N/A</v>
      </c>
      <c r="AD42" s="58" t="str">
        <f t="shared" si="9"/>
        <v>0129-07</v>
      </c>
      <c r="AE42" s="87" t="str">
        <f t="shared" si="10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42" s="84" t="str">
        <f t="shared" si="11"/>
        <v>"C:\Program Files (x86)\AstroGrep\AstroGrep.exe" /spath="%USERPROFILE%\AppData\Local\Temp\OnboardLogs" /stypes="app*4003*20170107*"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129-07 --locoid 4003 --swversion DE.1.0.8.0 --startMP 204:457 --initTime 2017-01-07T07:09:24 --startdatetime 2017-01-07T07:15:15 --delay 2 --endMP 204:233319 --enddatetime 2017-01-07T07:51:41 --enforcementcount 0 &gt;&gt;C:\Users\stu\Documents\GitHub\eaglep3-reporting\EC\2017-01-07-refined-times.txt</v>
      </c>
      <c r="AI4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{"issue":{"subject":"","project_id":79,"tracker_id":40,"status_id":1,"priority_id":2,"assigned_to_id":23,"start_date":"2017-01-07","description":"","custom_fields":[{"id":1,"name":"Subdivision","value":"EC"},{"id":4,"name":"Milepost","value":"23.3319"},{"id":17,"name":"Train ID","value":"129-07"},{"id":16,"name":"Locomotive ID","value":"4003"},{"id":130,"name":"Impact","value":""},{"id":150,"name":"Time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8"/>
        <v>start /low /b %USERPROFILE%\Documents\GitHub\eaglep3\Utilities\DownloadLogsFromS3.py --loco 4003 --day 2017-01-07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513</v>
      </c>
      <c r="B43" s="7">
        <v>4004</v>
      </c>
      <c r="C43" s="22" t="s">
        <v>203</v>
      </c>
      <c r="D43" s="22" t="s">
        <v>679</v>
      </c>
      <c r="E43" s="13">
        <v>42742.338437500002</v>
      </c>
      <c r="F43" s="13">
        <v>42742.341180555559</v>
      </c>
      <c r="G43" s="7">
        <v>1</v>
      </c>
      <c r="H43" s="22" t="s">
        <v>191</v>
      </c>
      <c r="I43" s="13">
        <v>42742.368009259262</v>
      </c>
      <c r="J43" s="7">
        <v>0</v>
      </c>
      <c r="K43" s="105" t="str">
        <f t="shared" si="0"/>
        <v>4003/4004</v>
      </c>
      <c r="L43" s="22" t="str">
        <f>VLOOKUP(A43,'Trips&amp;Operators'!$C$1:$G$99999,5,FALSE)</f>
        <v>GEBRETEKLE DAGNEW</v>
      </c>
      <c r="M43" s="6">
        <f t="shared" si="1"/>
        <v>2.6828703703358769E-2</v>
      </c>
      <c r="N43" s="7">
        <f t="shared" si="19"/>
        <v>38.633333332836628</v>
      </c>
      <c r="O43" s="7"/>
      <c r="P43" s="7"/>
      <c r="Q43" s="23"/>
      <c r="R43" s="23"/>
      <c r="S43" s="32">
        <f t="shared" si="20"/>
        <v>1</v>
      </c>
      <c r="T43" s="47" t="str">
        <f t="shared" si="2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07:07:21-700',mode:absolute,to:'2017-01-07 09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3" s="49" t="str">
        <f t="shared" si="4"/>
        <v>N</v>
      </c>
      <c r="X43" s="173">
        <f t="shared" si="5"/>
        <v>1</v>
      </c>
      <c r="Y43" s="64">
        <f t="shared" si="6"/>
        <v>23.303999999999998</v>
      </c>
      <c r="Z43" s="64">
        <f t="shared" si="7"/>
        <v>1.49E-2</v>
      </c>
      <c r="AA43" s="64">
        <f t="shared" si="8"/>
        <v>23.289099999999998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 t="shared" si="9"/>
        <v>0130-07</v>
      </c>
      <c r="AE43" s="87" t="str">
        <f t="shared" si="10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43" s="84" t="str">
        <f t="shared" si="11"/>
        <v>"C:\Program Files (x86)\AstroGrep\AstroGrep.exe" /spath="%USERPROFILE%\AppData\Local\Temp\OnboardLogs" /stypes="app*4004*20170107*"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130-07 --locoid 4004 --swversion DE.1.0.8.0 --startMP 204:233040 --initTime 2017-01-07T08:07:21 --startdatetime 2017-01-07T08:11:18 --delay 1 --endMP 204:149 --enddatetime 2017-01-07T08:49:56 --enforcementcount 0 &gt;&gt;C:\Users\stu\Documents\GitHub\eaglep3-reporting\EC\2017-01-07-refined-times.txt</v>
      </c>
      <c r="AI4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ID","value":"130-07"},{"id":16,"name":"Locomotive ID","value":"4004"},{"id":130,"name":"Impact","value":""},{"id":150,"name":"Time of Event (Mountain Time)","value":"08:49:56"},{"id":151,"name":"Denver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8"/>
        <v>start /low /b %USERPROFILE%\Documents\GitHub\eaglep3\Utilities\DownloadLogsFromS3.py --loco 4004 --day 2017-01-07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509</v>
      </c>
      <c r="B44" s="7">
        <v>4016</v>
      </c>
      <c r="C44" s="22" t="s">
        <v>203</v>
      </c>
      <c r="D44" s="22" t="s">
        <v>680</v>
      </c>
      <c r="E44" s="13">
        <v>42742.309710648151</v>
      </c>
      <c r="F44" s="13">
        <v>42742.312638888892</v>
      </c>
      <c r="G44" s="7">
        <v>1</v>
      </c>
      <c r="H44" s="22" t="s">
        <v>407</v>
      </c>
      <c r="I44" s="13">
        <v>42742.337222222224</v>
      </c>
      <c r="J44" s="7">
        <v>0</v>
      </c>
      <c r="K44" s="105" t="str">
        <f t="shared" si="0"/>
        <v>4015/4016</v>
      </c>
      <c r="L44" s="22" t="str">
        <f>VLOOKUP(A44,'Trips&amp;Operators'!$C$1:$G$99999,5,FALSE)</f>
        <v>ROBINSON KADDIBA</v>
      </c>
      <c r="M44" s="6">
        <f t="shared" si="1"/>
        <v>2.4583333331975155E-2</v>
      </c>
      <c r="N44" s="7">
        <f t="shared" si="19"/>
        <v>35.399999998044223</v>
      </c>
      <c r="O44" s="7"/>
      <c r="P44" s="7"/>
      <c r="Q44" s="23"/>
      <c r="R44" s="23"/>
      <c r="S44" s="32">
        <f t="shared" si="20"/>
        <v>1</v>
      </c>
      <c r="T44" s="47" t="str">
        <f t="shared" si="2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06:25:59-700',mode:absolute,to:'2017-01-07 09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4" s="49" t="str">
        <f t="shared" si="4"/>
        <v>N</v>
      </c>
      <c r="X44" s="173">
        <f t="shared" si="5"/>
        <v>1</v>
      </c>
      <c r="Y44" s="64">
        <f t="shared" si="6"/>
        <v>4.4200000000000003E-2</v>
      </c>
      <c r="Z44" s="64">
        <f t="shared" si="7"/>
        <v>23.3322</v>
      </c>
      <c r="AA44" s="64">
        <f t="shared" si="8"/>
        <v>23.288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 t="shared" si="9"/>
        <v>0131-07</v>
      </c>
      <c r="AE44" s="87" t="str">
        <f t="shared" si="10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44" s="84" t="str">
        <f t="shared" si="11"/>
        <v>"C:\Program Files (x86)\AstroGrep\AstroGrep.exe" /spath="%USERPROFILE%\AppData\Local\Temp\OnboardLogs" /stypes="app*4016*20170107*"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131-07 --locoid 4016 --swversion DE.1.0.8.0 --startMP 204:442 --initTime 2017-01-07T07:25:59 --startdatetime 2017-01-07T07:30:12 --delay 1 --endMP 204:233322 --enddatetime 2017-01-07T08:05:36 --enforcementcount 0 &gt;&gt;C:\Users\stu\Documents\GitHub\eaglep3-reporting\EC\2017-01-07-refined-times.txt</v>
      </c>
      <c r="AI4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ID","value":"131-07"},{"id":16,"name":"Locomotive ID","value":"4016"},{"id":130,"name":"Impact","value":""},{"id":150,"name":"Time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8"/>
        <v>start /low /b %USERPROFILE%\Documents\GitHub\eaglep3\Utilities\DownloadLogsFromS3.py --loco 4016 --day 2017-01-07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516</v>
      </c>
      <c r="B45" s="7">
        <v>4015</v>
      </c>
      <c r="C45" s="22" t="s">
        <v>203</v>
      </c>
      <c r="D45" s="22" t="s">
        <v>285</v>
      </c>
      <c r="E45" s="13">
        <v>42742.343773148146</v>
      </c>
      <c r="F45" s="13">
        <v>42742.351875</v>
      </c>
      <c r="G45" s="7">
        <v>1</v>
      </c>
      <c r="H45" s="22" t="s">
        <v>245</v>
      </c>
      <c r="I45" s="13">
        <v>42742.378425925926</v>
      </c>
      <c r="J45" s="7">
        <v>0</v>
      </c>
      <c r="K45" s="105" t="str">
        <f t="shared" si="0"/>
        <v>4015/4016</v>
      </c>
      <c r="L45" s="22" t="str">
        <f>VLOOKUP(A45,'Trips&amp;Operators'!$C$1:$G$99999,5,FALSE)</f>
        <v>ROBINSON KADDIBA</v>
      </c>
      <c r="M45" s="6">
        <f t="shared" si="1"/>
        <v>2.6550925926130731E-2</v>
      </c>
      <c r="N45" s="7">
        <f t="shared" si="19"/>
        <v>38.233333333628252</v>
      </c>
      <c r="O45" s="7"/>
      <c r="P45" s="7"/>
      <c r="Q45" s="23"/>
      <c r="R45" s="23"/>
      <c r="S45" s="32">
        <f t="shared" si="20"/>
        <v>1</v>
      </c>
      <c r="T45" s="47" t="str">
        <f t="shared" si="2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07:15:02-700',mode:absolute,to:'2017-01-07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5" s="49" t="str">
        <f t="shared" si="4"/>
        <v>N</v>
      </c>
      <c r="X45" s="173">
        <f t="shared" ref="X45:X76" si="21">VALUE(LEFT(AD45,4))-VALUE(LEFT(AD44,4))</f>
        <v>1</v>
      </c>
      <c r="Y45" s="64">
        <f t="shared" si="6"/>
        <v>23.299800000000001</v>
      </c>
      <c r="Z45" s="64">
        <f t="shared" si="7"/>
        <v>1.47E-2</v>
      </c>
      <c r="AA45" s="64">
        <f t="shared" si="8"/>
        <v>23.2851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 t="shared" si="9"/>
        <v>0132-07</v>
      </c>
      <c r="AE45" s="87" t="str">
        <f t="shared" si="10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45" s="84" t="str">
        <f t="shared" si="11"/>
        <v>"C:\Program Files (x86)\AstroGrep\AstroGrep.exe" /spath="%USERPROFILE%\AppData\Local\Temp\OnboardLogs" /stypes="app*4015*20170107*"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8" t="str">
        <f t="shared" si="16"/>
        <v>"%USERPROFILE%\Documents\GitHub\eaglep3\Utilities\RefineRTDCRunTimes.py" --tripid 132-07 --locoid 4015 --swversion DE.1.0.8.0 --startMP 204:232998 --initTime 2017-01-07T08:15:02 --startdatetime 2017-01-07T08:26:42 --delay 1 --endMP 204:147 --enddatetime 2017-01-07T09:04:56 --enforcementcount 0 &gt;&gt;C:\Users\stu\Documents\GitHub\eaglep3-reporting\EC\2017-01-07-refined-times.txt</v>
      </c>
      <c r="AI4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ID","value":"132-07"},{"id":16,"name":"Locomotive ID","value":"4015"},{"id":130,"name":"Impact","value":""},{"id":150,"name":"Time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8"/>
        <v>start /low /b %USERPROFILE%\Documents\GitHub\eaglep3\Utilities\DownloadLogsFromS3.py --loco 4015 --day 2017-01-07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434</v>
      </c>
      <c r="B46" s="7">
        <v>4011</v>
      </c>
      <c r="C46" s="22" t="s">
        <v>203</v>
      </c>
      <c r="D46" s="22" t="s">
        <v>225</v>
      </c>
      <c r="E46" s="13">
        <v>42742.318298611113</v>
      </c>
      <c r="F46" s="13">
        <v>42742.323159722226</v>
      </c>
      <c r="G46" s="7">
        <v>1</v>
      </c>
      <c r="H46" s="22" t="s">
        <v>415</v>
      </c>
      <c r="I46" s="13">
        <v>42742.350335648145</v>
      </c>
      <c r="J46" s="7">
        <v>0</v>
      </c>
      <c r="K46" s="105" t="str">
        <f t="shared" si="0"/>
        <v>4011/4012</v>
      </c>
      <c r="L46" s="22" t="str">
        <f>VLOOKUP(A46,'Trips&amp;Operators'!$C$1:$G$99999,5,FALSE)</f>
        <v>MAELZER KURT</v>
      </c>
      <c r="M46" s="6">
        <f t="shared" si="1"/>
        <v>2.717592591943685E-2</v>
      </c>
      <c r="N46" s="7">
        <f t="shared" si="19"/>
        <v>39.133333323989064</v>
      </c>
      <c r="O46" s="7"/>
      <c r="P46" s="7"/>
      <c r="Q46" s="23"/>
      <c r="R46" s="23"/>
      <c r="S46" s="32">
        <f t="shared" si="20"/>
        <v>1</v>
      </c>
      <c r="T46" s="47" t="str">
        <f t="shared" si="2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06:38:21-700',mode:absolute,to:'2017-01-07 09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6" s="49" t="str">
        <f t="shared" si="4"/>
        <v>N</v>
      </c>
      <c r="X46" s="173">
        <f t="shared" si="21"/>
        <v>1</v>
      </c>
      <c r="Y46" s="64">
        <f t="shared" si="6"/>
        <v>4.5999999999999999E-2</v>
      </c>
      <c r="Z46" s="64">
        <f t="shared" si="7"/>
        <v>23.333100000000002</v>
      </c>
      <c r="AA46" s="64">
        <f t="shared" si="8"/>
        <v>23.287100000000002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 t="shared" si="9"/>
        <v>0133-07</v>
      </c>
      <c r="AE46" s="87" t="str">
        <f t="shared" si="10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46" s="84" t="str">
        <f t="shared" si="11"/>
        <v>"C:\Program Files (x86)\AstroGrep\AstroGrep.exe" /spath="%USERPROFILE%\AppData\Local\Temp\OnboardLogs" /stypes="app*4011*20170107*"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8" t="str">
        <f t="shared" si="16"/>
        <v>"%USERPROFILE%\Documents\GitHub\eaglep3\Utilities\RefineRTDCRunTimes.py" --tripid 133-07 --locoid 4011 --swversion DE.1.0.8.0 --startMP 204:460 --initTime 2017-01-07T07:38:21 --startdatetime 2017-01-07T07:45:21 --delay 1 --endMP 204:233331 --enddatetime 2017-01-07T08:24:29 --enforcementcount 0 &gt;&gt;C:\Users\stu\Documents\GitHub\eaglep3-reporting\EC\2017-01-07-refined-times.txt</v>
      </c>
      <c r="AI4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ID","value":"133-07"},{"id":16,"name":"Locomotive ID","value":"4011"},{"id":130,"name":"Impact","value":""},{"id":150,"name":"Time of Event (Mountain Time)","value":"08:24:29"},{"id":151,"name":"Denver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8"/>
        <v>start /low /b %USERPROFILE%\Documents\GitHub\eaglep3\Utilities\DownloadLogsFromS3.py --loco 4011 --day 2017-01-07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518</v>
      </c>
      <c r="B47" s="7">
        <v>4012</v>
      </c>
      <c r="C47" s="22" t="s">
        <v>203</v>
      </c>
      <c r="D47" s="22" t="s">
        <v>665</v>
      </c>
      <c r="E47" s="13">
        <v>42742.355219907404</v>
      </c>
      <c r="F47" s="13">
        <v>42742.36204861111</v>
      </c>
      <c r="G47" s="7">
        <v>1</v>
      </c>
      <c r="H47" s="22" t="s">
        <v>675</v>
      </c>
      <c r="I47" s="13">
        <v>42742.388622685183</v>
      </c>
      <c r="J47" s="7">
        <v>0</v>
      </c>
      <c r="K47" s="105" t="str">
        <f t="shared" si="0"/>
        <v>4011/4012</v>
      </c>
      <c r="L47" s="22" t="str">
        <f>VLOOKUP(A47,'Trips&amp;Operators'!$C$1:$G$99999,5,FALSE)</f>
        <v>MAELZER KURT</v>
      </c>
      <c r="M47" s="6">
        <f t="shared" si="1"/>
        <v>2.6574074072414078E-2</v>
      </c>
      <c r="N47" s="7">
        <f t="shared" ref="N47:N78" si="22">24*60*SUM($M47:$M47)</f>
        <v>38.266666664276272</v>
      </c>
      <c r="O47" s="7"/>
      <c r="P47" s="7"/>
      <c r="Q47" s="23"/>
      <c r="R47" s="23"/>
      <c r="S47" s="32">
        <f t="shared" si="20"/>
        <v>1</v>
      </c>
      <c r="T47" s="47" t="str">
        <f t="shared" si="2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07:31:31-700',mode:absolute,to:'2017-01-07 10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7" s="49" t="str">
        <f t="shared" si="4"/>
        <v>N</v>
      </c>
      <c r="X47" s="173">
        <f t="shared" si="21"/>
        <v>1</v>
      </c>
      <c r="Y47" s="64">
        <f t="shared" si="6"/>
        <v>23.301100000000002</v>
      </c>
      <c r="Z47" s="64">
        <f t="shared" si="7"/>
        <v>1.2999999999999999E-2</v>
      </c>
      <c r="AA47" s="64">
        <f t="shared" si="8"/>
        <v>23.2881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 t="shared" si="9"/>
        <v>0134-07</v>
      </c>
      <c r="AE47" s="87" t="str">
        <f t="shared" si="10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47" s="84" t="str">
        <f t="shared" si="11"/>
        <v>"C:\Program Files (x86)\AstroGrep\AstroGrep.exe" /spath="%USERPROFILE%\AppData\Local\Temp\OnboardLogs" /stypes="app*4012*20170107*"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8" t="str">
        <f t="shared" si="16"/>
        <v>"%USERPROFILE%\Documents\GitHub\eaglep3\Utilities\RefineRTDCRunTimes.py" --tripid 134-07 --locoid 4012 --swversion DE.1.0.8.0 --startMP 204:233011 --initTime 2017-01-07T08:31:31 --startdatetime 2017-01-07T08:41:21 --delay 1 --endMP 204:130 --enddatetime 2017-01-07T09:19:37 --enforcementcount 0 &gt;&gt;C:\Users\stu\Documents\GitHub\eaglep3-reporting\EC\2017-01-07-refined-times.txt</v>
      </c>
      <c r="AI4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{"issue":{"subject":"","project_id":79,"tracker_id":40,"status_id":1,"priority_id":2,"assigned_to_id":23,"start_date":"2017-01-07","description":"","custom_fields":[{"id":1,"name":"Subdivision","value":"EC"},{"id":4,"name":"Milepost","value":"0.013"},{"id":17,"name":"Train ID","value":"134-07"},{"id":16,"name":"Locomotive ID","value":"4012"},{"id":130,"name":"Impact","value":""},{"id":150,"name":"Time of Event (Mountain Time)","value":"09:19:37"},{"id":151,"name":"Denver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8"/>
        <v>start /low /b %USERPROFILE%\Documents\GitHub\eaglep3\Utilities\DownloadLogsFromS3.py --loco 4012 --day 2017-01-07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512</v>
      </c>
      <c r="B48" s="7">
        <v>4042</v>
      </c>
      <c r="C48" s="22" t="s">
        <v>203</v>
      </c>
      <c r="D48" s="22" t="s">
        <v>300</v>
      </c>
      <c r="E48" s="13">
        <v>42742.328506944446</v>
      </c>
      <c r="F48" s="13">
        <v>42742.333518518521</v>
      </c>
      <c r="G48" s="7">
        <v>1</v>
      </c>
      <c r="H48" s="22" t="s">
        <v>309</v>
      </c>
      <c r="I48" s="13">
        <v>42742.359513888892</v>
      </c>
      <c r="J48" s="7">
        <v>0</v>
      </c>
      <c r="K48" s="105" t="str">
        <f t="shared" si="0"/>
        <v>4041/4042</v>
      </c>
      <c r="L48" s="22" t="str">
        <f>VLOOKUP(A48,'Trips&amp;Operators'!$C$1:$G$99999,5,FALSE)</f>
        <v>DAVIS WENDY</v>
      </c>
      <c r="M48" s="6">
        <f t="shared" si="1"/>
        <v>2.5995370371674653E-2</v>
      </c>
      <c r="N48" s="7">
        <f t="shared" si="22"/>
        <v>37.433333335211501</v>
      </c>
      <c r="O48" s="7"/>
      <c r="P48" s="7"/>
      <c r="Q48" s="23"/>
      <c r="R48" s="23"/>
      <c r="S48" s="32">
        <f t="shared" si="20"/>
        <v>1</v>
      </c>
      <c r="T48" s="47" t="str">
        <f t="shared" si="2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06:53:03-700',mode:absolute,to:'2017-01-07 09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49" t="str">
        <f t="shared" si="4"/>
        <v>N</v>
      </c>
      <c r="X48" s="173">
        <f t="shared" si="21"/>
        <v>1</v>
      </c>
      <c r="Y48" s="64">
        <f t="shared" si="6"/>
        <v>4.6699999999999998E-2</v>
      </c>
      <c r="Z48" s="64">
        <f t="shared" si="7"/>
        <v>23.330300000000001</v>
      </c>
      <c r="AA48" s="64">
        <f t="shared" si="8"/>
        <v>23.2836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 t="shared" si="9"/>
        <v>0135-07</v>
      </c>
      <c r="AE48" s="87" t="str">
        <f t="shared" si="10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48" s="84" t="str">
        <f t="shared" si="11"/>
        <v>"C:\Program Files (x86)\AstroGrep\AstroGrep.exe" /spath="%USERPROFILE%\AppData\Local\Temp\OnboardLogs" /stypes="app*4042*20170107*"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8" t="str">
        <f t="shared" si="16"/>
        <v>"%USERPROFILE%\Documents\GitHub\eaglep3\Utilities\RefineRTDCRunTimes.py" --tripid 135-07 --locoid 4042 --swversion DE.1.0.8.0 --startMP 204:467 --initTime 2017-01-07T07:53:03 --startdatetime 2017-01-07T08:00:16 --delay 1 --endMP 204:233303 --enddatetime 2017-01-07T08:37:42 --enforcementcount 0 &gt;&gt;C:\Users\stu\Documents\GitHub\eaglep3-reporting\EC\2017-01-07-refined-times.txt</v>
      </c>
      <c r="AI4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{"issue":{"subject":"","project_id":79,"tracker_id":40,"status_id":1,"priority_id":2,"assigned_to_id":23,"start_date":"2017-01-07","description":"","custom_fields":[{"id":1,"name":"Subdivision","value":"EC"},{"id":4,"name":"Milepost","value":"23.3303"},{"id":17,"name":"Train ID","value":"135-07"},{"id":16,"name":"Locomotive ID","value":"4042"},{"id":130,"name":"Impact","value":""},{"id":150,"name":"Time of Event (Mountain Time)","value":"08:37:42"},{"id":151,"name":"Denver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8"/>
        <v>start /low /b %USERPROFILE%\Documents\GitHub\eaglep3\Utilities\DownloadLogsFromS3.py --loco 4042 --day 2017-01-07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521</v>
      </c>
      <c r="B49" s="7">
        <v>4041</v>
      </c>
      <c r="C49" s="22" t="s">
        <v>203</v>
      </c>
      <c r="D49" s="22" t="s">
        <v>410</v>
      </c>
      <c r="E49" s="13">
        <v>42742.36755787037</v>
      </c>
      <c r="F49" s="13">
        <v>42742.372384259259</v>
      </c>
      <c r="G49" s="7">
        <v>1</v>
      </c>
      <c r="H49" s="22" t="s">
        <v>192</v>
      </c>
      <c r="I49" s="13">
        <v>42742.400648148148</v>
      </c>
      <c r="J49" s="7">
        <v>0</v>
      </c>
      <c r="K49" s="105" t="str">
        <f t="shared" si="0"/>
        <v>4041/4042</v>
      </c>
      <c r="L49" s="22" t="str">
        <f>VLOOKUP(A49,'Trips&amp;Operators'!$C$1:$G$99999,5,FALSE)</f>
        <v>DAVIS WENDY</v>
      </c>
      <c r="M49" s="6">
        <f t="shared" si="1"/>
        <v>2.8263888889341615E-2</v>
      </c>
      <c r="N49" s="7">
        <f t="shared" si="22"/>
        <v>40.700000000651926</v>
      </c>
      <c r="O49" s="7"/>
      <c r="P49" s="7"/>
      <c r="Q49" s="23"/>
      <c r="R49" s="23"/>
      <c r="S49" s="32">
        <f t="shared" si="20"/>
        <v>1</v>
      </c>
      <c r="T49" s="47" t="str">
        <f t="shared" si="2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07:49:17-700',mode:absolute,to:'2017-01-07 10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49" t="str">
        <f t="shared" si="4"/>
        <v>N</v>
      </c>
      <c r="X49" s="173">
        <f t="shared" si="21"/>
        <v>1</v>
      </c>
      <c r="Y49" s="64">
        <f t="shared" si="6"/>
        <v>23.298400000000001</v>
      </c>
      <c r="Z49" s="64">
        <f t="shared" si="7"/>
        <v>1.43E-2</v>
      </c>
      <c r="AA49" s="64">
        <f t="shared" si="8"/>
        <v>23.284100000000002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 t="shared" si="9"/>
        <v>0136-07</v>
      </c>
      <c r="AE49" s="87" t="str">
        <f t="shared" si="10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49" s="84" t="str">
        <f t="shared" si="11"/>
        <v>"C:\Program Files (x86)\AstroGrep\AstroGrep.exe" /spath="%USERPROFILE%\AppData\Local\Temp\OnboardLogs" /stypes="app*4041*20170107*"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8" t="str">
        <f t="shared" si="16"/>
        <v>"%USERPROFILE%\Documents\GitHub\eaglep3\Utilities\RefineRTDCRunTimes.py" --tripid 136-07 --locoid 4041 --swversion DE.1.0.8.0 --startMP 204:232984 --initTime 2017-01-07T08:49:17 --startdatetime 2017-01-07T08:56:14 --delay 1 --endMP 204:143 --enddatetime 2017-01-07T09:36:56 --enforcementcount 0 &gt;&gt;C:\Users\stu\Documents\GitHub\eaglep3-reporting\EC\2017-01-07-refined-times.txt</v>
      </c>
      <c r="AI4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ID","value":"136-07"},{"id":16,"name":"Locomotive ID","value":"4041"},{"id":130,"name":"Impact","value":""},{"id":150,"name":"Time of Event (Mountain Time)","value":"09:36:56"},{"id":151,"name":"Denver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8"/>
        <v>start /low /b %USERPROFILE%\Documents\GitHub\eaglep3\Utilities\DownloadLogsFromS3.py --loco 4041 --day 2017-01-07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514</v>
      </c>
      <c r="B50" s="7">
        <v>4040</v>
      </c>
      <c r="C50" s="22" t="s">
        <v>203</v>
      </c>
      <c r="D50" s="22" t="s">
        <v>297</v>
      </c>
      <c r="E50" s="13">
        <v>42742.340173611112</v>
      </c>
      <c r="F50" s="13">
        <v>42742.344166666669</v>
      </c>
      <c r="G50" s="7">
        <v>1</v>
      </c>
      <c r="H50" s="22" t="s">
        <v>277</v>
      </c>
      <c r="I50" s="13">
        <v>42742.370648148149</v>
      </c>
      <c r="J50" s="7">
        <v>0</v>
      </c>
      <c r="K50" s="105" t="str">
        <f t="shared" si="0"/>
        <v>4039/4040</v>
      </c>
      <c r="L50" s="22" t="str">
        <f>VLOOKUP(A50,'Trips&amp;Operators'!$C$1:$G$99999,5,FALSE)</f>
        <v>OUN ZACK</v>
      </c>
      <c r="M50" s="6">
        <f t="shared" si="1"/>
        <v>2.6481481480004732E-2</v>
      </c>
      <c r="N50" s="7">
        <f t="shared" si="22"/>
        <v>38.133333331206813</v>
      </c>
      <c r="O50" s="7"/>
      <c r="P50" s="7"/>
      <c r="Q50" s="23"/>
      <c r="R50" s="23"/>
      <c r="S50" s="32">
        <f t="shared" si="20"/>
        <v>1</v>
      </c>
      <c r="T50" s="47" t="str">
        <f t="shared" si="2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07:09:51-700',mode:absolute,to:'2017-01-07 09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0" s="49" t="str">
        <f t="shared" si="4"/>
        <v>N</v>
      </c>
      <c r="X50" s="173">
        <f t="shared" si="21"/>
        <v>1</v>
      </c>
      <c r="Y50" s="64">
        <f t="shared" si="6"/>
        <v>4.7800000000000002E-2</v>
      </c>
      <c r="Z50" s="64">
        <f t="shared" si="7"/>
        <v>23.33</v>
      </c>
      <c r="AA50" s="64">
        <f t="shared" si="8"/>
        <v>23.2822</v>
      </c>
      <c r="AB50" s="61" t="e">
        <f>VLOOKUP(A50,Enforcements!$C$7:$K$18,8,0)</f>
        <v>#N/A</v>
      </c>
      <c r="AC50" s="57" t="e">
        <f>VLOOKUP(A50,Enforcements!$C$7:$E$18,3,0)</f>
        <v>#N/A</v>
      </c>
      <c r="AD50" s="58" t="str">
        <f t="shared" si="9"/>
        <v>0137-07</v>
      </c>
      <c r="AE50" s="87" t="str">
        <f t="shared" si="10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50" s="84" t="str">
        <f t="shared" si="11"/>
        <v>"C:\Program Files (x86)\AstroGrep\AstroGrep.exe" /spath="%USERPROFILE%\AppData\Local\Temp\OnboardLogs" /stypes="app*4040*20170107*"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8" t="str">
        <f t="shared" si="16"/>
        <v>"%USERPROFILE%\Documents\GitHub\eaglep3\Utilities\RefineRTDCRunTimes.py" --tripid 137-07 --locoid 4040 --swversion DE.1.0.8.0 --startMP 204:478 --initTime 2017-01-07T08:09:51 --startdatetime 2017-01-07T08:15:36 --delay 1 --endMP 204:233300 --enddatetime 2017-01-07T08:53:44 --enforcementcount 0 &gt;&gt;C:\Users\stu\Documents\GitHub\eaglep3-reporting\EC\2017-01-07-refined-times.txt</v>
      </c>
      <c r="AI5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ID","value":"137-07"},{"id":16,"name":"Locomotive ID","value":"4040"},{"id":130,"name":"Impact","value":""},{"id":150,"name":"Time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8"/>
        <v>start /low /b %USERPROFILE%\Documents\GitHub\eaglep3\Utilities\DownloadLogsFromS3.py --loco 4040 --day 2017-01-07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523</v>
      </c>
      <c r="B51" s="7">
        <v>4039</v>
      </c>
      <c r="C51" s="22" t="s">
        <v>203</v>
      </c>
      <c r="D51" s="22" t="s">
        <v>294</v>
      </c>
      <c r="E51" s="13">
        <v>42742.378055555557</v>
      </c>
      <c r="F51" s="13">
        <v>42742.382847222223</v>
      </c>
      <c r="G51" s="7">
        <v>1</v>
      </c>
      <c r="H51" s="22" t="s">
        <v>681</v>
      </c>
      <c r="I51" s="13">
        <v>42742.409328703703</v>
      </c>
      <c r="J51" s="7">
        <v>0</v>
      </c>
      <c r="K51" s="105" t="str">
        <f t="shared" si="0"/>
        <v>4039/4040</v>
      </c>
      <c r="L51" s="22" t="str">
        <f>VLOOKUP(A51,'Trips&amp;Operators'!$C$1:$G$99999,5,FALSE)</f>
        <v>OUN ZACK</v>
      </c>
      <c r="M51" s="6">
        <f t="shared" si="1"/>
        <v>2.6481481480004732E-2</v>
      </c>
      <c r="N51" s="7">
        <f t="shared" si="22"/>
        <v>38.133333331206813</v>
      </c>
      <c r="O51" s="7"/>
      <c r="P51" s="7"/>
      <c r="Q51" s="23"/>
      <c r="R51" s="23"/>
      <c r="S51" s="32">
        <f t="shared" si="20"/>
        <v>1</v>
      </c>
      <c r="T51" s="47" t="str">
        <f t="shared" si="2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08:04:24-700',mode:absolute,to:'2017-01-07 10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1" s="49" t="str">
        <f t="shared" si="4"/>
        <v>N</v>
      </c>
      <c r="X51" s="173">
        <f t="shared" si="21"/>
        <v>1</v>
      </c>
      <c r="Y51" s="64">
        <f t="shared" si="6"/>
        <v>23.2989</v>
      </c>
      <c r="Z51" s="64">
        <f t="shared" si="7"/>
        <v>1.38E-2</v>
      </c>
      <c r="AA51" s="64">
        <f t="shared" si="8"/>
        <v>23.2851</v>
      </c>
      <c r="AB51" s="61" t="e">
        <f>VLOOKUP(A51,Enforcements!$C$7:$K$18,8,0)</f>
        <v>#N/A</v>
      </c>
      <c r="AC51" s="57" t="e">
        <f>VLOOKUP(A51,Enforcements!$C$7:$E$18,3,0)</f>
        <v>#N/A</v>
      </c>
      <c r="AD51" s="58" t="str">
        <f t="shared" si="9"/>
        <v>0138-07</v>
      </c>
      <c r="AE51" s="87" t="str">
        <f t="shared" si="10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51" s="84" t="str">
        <f t="shared" si="11"/>
        <v>"C:\Program Files (x86)\AstroGrep\AstroGrep.exe" /spath="%USERPROFILE%\AppData\Local\Temp\OnboardLogs" /stypes="app*4039*20170107*"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8" t="str">
        <f t="shared" si="16"/>
        <v>"%USERPROFILE%\Documents\GitHub\eaglep3\Utilities\RefineRTDCRunTimes.py" --tripid 138-07 --locoid 4039 --swversion DE.1.0.8.0 --startMP 204:232989 --initTime 2017-01-07T09:04:24 --startdatetime 2017-01-07T09:11:18 --delay 1 --endMP 204:138 --enddatetime 2017-01-07T09:49:26 --enforcementcount 0 &gt;&gt;C:\Users\stu\Documents\GitHub\eaglep3-reporting\EC\2017-01-07-refined-times.txt</v>
      </c>
      <c r="AI5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ID","value":"138-07"},{"id":16,"name":"Locomotive ID","value":"4039"},{"id":130,"name":"Impact","value":""},{"id":150,"name":"Time of Event (Mountain Time)","value":"09:49:26"},{"id":151,"name":"Denver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8"/>
        <v>start /low /b %USERPROFILE%\Documents\GitHub\eaglep3\Utilities\DownloadLogsFromS3.py --loco 4039 --day 2017-01-07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517</v>
      </c>
      <c r="B52" s="7">
        <v>4046</v>
      </c>
      <c r="C52" s="22" t="s">
        <v>203</v>
      </c>
      <c r="D52" s="22" t="s">
        <v>242</v>
      </c>
      <c r="E52" s="13">
        <v>42742.3518287037</v>
      </c>
      <c r="F52" s="13">
        <v>42742.354432870372</v>
      </c>
      <c r="G52" s="7">
        <v>1</v>
      </c>
      <c r="H52" s="22" t="s">
        <v>316</v>
      </c>
      <c r="I52" s="13">
        <v>42742.378784722219</v>
      </c>
      <c r="J52" s="7">
        <v>0</v>
      </c>
      <c r="K52" s="105" t="str">
        <f t="shared" si="0"/>
        <v>4045/4046</v>
      </c>
      <c r="L52" s="22" t="str">
        <f>VLOOKUP(A52,'Trips&amp;Operators'!$C$1:$G$99999,5,FALSE)</f>
        <v>LOZA FIDEL</v>
      </c>
      <c r="M52" s="6">
        <f t="shared" si="1"/>
        <v>2.435185184731381E-2</v>
      </c>
      <c r="N52" s="7">
        <f t="shared" si="22"/>
        <v>35.066666660131887</v>
      </c>
      <c r="O52" s="7"/>
      <c r="P52" s="7"/>
      <c r="Q52" s="23"/>
      <c r="R52" s="23"/>
      <c r="S52" s="32">
        <f t="shared" si="20"/>
        <v>1</v>
      </c>
      <c r="T52" s="47" t="str">
        <f t="shared" si="2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07:26:38-700',mode:absolute,to:'2017-01-07 10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2" s="49" t="str">
        <f t="shared" si="4"/>
        <v>N</v>
      </c>
      <c r="X52" s="173">
        <f t="shared" si="21"/>
        <v>1</v>
      </c>
      <c r="Y52" s="64">
        <f t="shared" si="6"/>
        <v>4.53E-2</v>
      </c>
      <c r="Z52" s="64">
        <f t="shared" si="7"/>
        <v>23.329499999999999</v>
      </c>
      <c r="AA52" s="64">
        <f t="shared" si="8"/>
        <v>23.284199999999998</v>
      </c>
      <c r="AB52" s="61" t="e">
        <f>VLOOKUP(A52,Enforcements!$C$7:$K$18,8,0)</f>
        <v>#N/A</v>
      </c>
      <c r="AC52" s="57" t="e">
        <f>VLOOKUP(A52,Enforcements!$C$7:$E$18,3,0)</f>
        <v>#N/A</v>
      </c>
      <c r="AD52" s="58" t="str">
        <f t="shared" si="9"/>
        <v>0139-07</v>
      </c>
      <c r="AE52" s="87" t="str">
        <f t="shared" si="10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52" s="84" t="str">
        <f t="shared" si="11"/>
        <v>"C:\Program Files (x86)\AstroGrep\AstroGrep.exe" /spath="%USERPROFILE%\AppData\Local\Temp\OnboardLogs" /stypes="app*4046*20170107*"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8" t="str">
        <f t="shared" si="16"/>
        <v>"%USERPROFILE%\Documents\GitHub\eaglep3\Utilities\RefineRTDCRunTimes.py" --tripid 139-07 --locoid 4046 --swversion DE.1.0.8.0 --startMP 204:453 --initTime 2017-01-07T08:26:38 --startdatetime 2017-01-07T08:30:23 --delay 1 --endMP 204:233295 --enddatetime 2017-01-07T09:05:27 --enforcementcount 0 &gt;&gt;C:\Users\stu\Documents\GitHub\eaglep3-reporting\EC\2017-01-07-refined-times.txt</v>
      </c>
      <c r="AI5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{"issue":{"subject":"","project_id":79,"tracker_id":40,"status_id":1,"priority_id":2,"assigned_to_id":23,"start_date":"2017-01-07","description":"","custom_fields":[{"id":1,"name":"Subdivision","value":"EC"},{"id":4,"name":"Milepost","value":"23.3295"},{"id":17,"name":"Train ID","value":"139-07"},{"id":16,"name":"Locomotive ID","value":"4046"},{"id":130,"name":"Impact","value":""},{"id":150,"name":"Time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8"/>
        <v>start /low /b %USERPROFILE%\Documents\GitHub\eaglep3\Utilities\DownloadLogsFromS3.py --loco 4046 --day 2017-01-07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525</v>
      </c>
      <c r="B53" s="7">
        <v>4045</v>
      </c>
      <c r="C53" s="22" t="s">
        <v>203</v>
      </c>
      <c r="D53" s="22" t="s">
        <v>279</v>
      </c>
      <c r="E53" s="13">
        <v>42742.389756944445</v>
      </c>
      <c r="F53" s="13">
        <v>42742.393310185187</v>
      </c>
      <c r="G53" s="7">
        <v>1</v>
      </c>
      <c r="H53" s="22" t="s">
        <v>670</v>
      </c>
      <c r="I53" s="13">
        <v>42742.419178240743</v>
      </c>
      <c r="J53" s="7">
        <v>0</v>
      </c>
      <c r="K53" s="105" t="str">
        <f t="shared" si="0"/>
        <v>4045/4046</v>
      </c>
      <c r="L53" s="22" t="str">
        <f>VLOOKUP(A53,'Trips&amp;Operators'!$C$1:$G$99999,5,FALSE)</f>
        <v>LOZA FIDEL</v>
      </c>
      <c r="M53" s="6">
        <f t="shared" si="1"/>
        <v>2.5868055556202307E-2</v>
      </c>
      <c r="N53" s="7">
        <f t="shared" si="22"/>
        <v>37.250000000931323</v>
      </c>
      <c r="O53" s="7"/>
      <c r="P53" s="7"/>
      <c r="Q53" s="23"/>
      <c r="R53" s="23"/>
      <c r="S53" s="32">
        <f t="shared" si="20"/>
        <v>1</v>
      </c>
      <c r="T53" s="47" t="str">
        <f t="shared" si="2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08:21:15-700',mode:absolute,to:'2017-01-07 11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3" s="49" t="str">
        <f t="shared" si="4"/>
        <v>N</v>
      </c>
      <c r="X53" s="173">
        <f t="shared" si="21"/>
        <v>1</v>
      </c>
      <c r="Y53" s="64">
        <f t="shared" si="6"/>
        <v>23.298200000000001</v>
      </c>
      <c r="Z53" s="64">
        <f t="shared" si="7"/>
        <v>1.54E-2</v>
      </c>
      <c r="AA53" s="64">
        <f t="shared" si="8"/>
        <v>23.282800000000002</v>
      </c>
      <c r="AB53" s="61" t="e">
        <f>VLOOKUP(A53,Enforcements!$C$7:$K$18,8,0)</f>
        <v>#N/A</v>
      </c>
      <c r="AC53" s="57" t="e">
        <f>VLOOKUP(A53,Enforcements!$C$7:$E$18,3,0)</f>
        <v>#N/A</v>
      </c>
      <c r="AD53" s="58" t="str">
        <f t="shared" si="9"/>
        <v>0140-07</v>
      </c>
      <c r="AE53" s="87" t="str">
        <f t="shared" si="10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53" s="84" t="str">
        <f t="shared" si="11"/>
        <v>"C:\Program Files (x86)\AstroGrep\AstroGrep.exe" /spath="%USERPROFILE%\AppData\Local\Temp\OnboardLogs" /stypes="app*4045*20170107*"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8" t="str">
        <f t="shared" si="16"/>
        <v>"%USERPROFILE%\Documents\GitHub\eaglep3\Utilities\RefineRTDCRunTimes.py" --tripid 140-07 --locoid 4045 --swversion DE.1.0.8.0 --startMP 204:232982 --initTime 2017-01-07T09:21:15 --startdatetime 2017-01-07T09:26:22 --delay 1 --endMP 204:154 --enddatetime 2017-01-07T10:03:37 --enforcementcount 0 &gt;&gt;C:\Users\stu\Documents\GitHub\eaglep3-reporting\EC\2017-01-07-refined-times.txt</v>
      </c>
      <c r="AI5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ID","value":"140-07"},{"id":16,"name":"Locomotive ID","value":"4045"},{"id":130,"name":"Impact","value":""},{"id":150,"name":"Time of Event (Mountain Time)","value":"10:03:37"},{"id":151,"name":"Denver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8"/>
        <v>start /low /b %USERPROFILE%\Documents\GitHub\eaglep3\Utilities\DownloadLogsFromS3.py --loco 4045 --day 2017-01-07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519</v>
      </c>
      <c r="B54" s="7">
        <v>4044</v>
      </c>
      <c r="C54" s="22" t="s">
        <v>203</v>
      </c>
      <c r="D54" s="22" t="s">
        <v>193</v>
      </c>
      <c r="E54" s="13">
        <v>42742.358483796299</v>
      </c>
      <c r="F54" s="13">
        <v>42742.364756944444</v>
      </c>
      <c r="G54" s="7">
        <v>1</v>
      </c>
      <c r="H54" s="22" t="s">
        <v>311</v>
      </c>
      <c r="I54" s="13">
        <v>42742.390972222223</v>
      </c>
      <c r="J54" s="7">
        <v>0</v>
      </c>
      <c r="K54" s="105" t="str">
        <f t="shared" si="0"/>
        <v>4043/4044</v>
      </c>
      <c r="L54" s="22" t="str">
        <f>VLOOKUP(A54,'Trips&amp;Operators'!$C$1:$G$99999,5,FALSE)</f>
        <v>ISHMAEL JOSEPH</v>
      </c>
      <c r="M54" s="6">
        <f t="shared" si="1"/>
        <v>2.6215277779556345E-2</v>
      </c>
      <c r="N54" s="7">
        <f t="shared" si="22"/>
        <v>37.750000002561137</v>
      </c>
      <c r="O54" s="7"/>
      <c r="P54" s="7"/>
      <c r="Q54" s="23"/>
      <c r="R54" s="23"/>
      <c r="S54" s="32">
        <f t="shared" si="20"/>
        <v>1</v>
      </c>
      <c r="T54" s="47" t="str">
        <f t="shared" si="2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07:36:13-700',mode:absolute,to:'2017-01-07 10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49" t="str">
        <f t="shared" si="4"/>
        <v>N</v>
      </c>
      <c r="X54" s="173">
        <f t="shared" si="21"/>
        <v>1</v>
      </c>
      <c r="Y54" s="64">
        <f t="shared" si="6"/>
        <v>4.4699999999999997E-2</v>
      </c>
      <c r="Z54" s="64">
        <f t="shared" si="7"/>
        <v>23.329799999999999</v>
      </c>
      <c r="AA54" s="64">
        <f t="shared" si="8"/>
        <v>23.2851</v>
      </c>
      <c r="AB54" s="61" t="e">
        <f>VLOOKUP(A54,Enforcements!$C$7:$K$18,8,0)</f>
        <v>#N/A</v>
      </c>
      <c r="AC54" s="57" t="e">
        <f>VLOOKUP(A54,Enforcements!$C$7:$E$18,3,0)</f>
        <v>#N/A</v>
      </c>
      <c r="AD54" s="58" t="str">
        <f t="shared" si="9"/>
        <v>0141-07</v>
      </c>
      <c r="AE54" s="87" t="str">
        <f t="shared" si="10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54" s="84" t="str">
        <f t="shared" si="11"/>
        <v>"C:\Program Files (x86)\AstroGrep\AstroGrep.exe" /spath="%USERPROFILE%\AppData\Local\Temp\OnboardLogs" /stypes="app*4044*20170107*"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8" t="str">
        <f t="shared" si="16"/>
        <v>"%USERPROFILE%\Documents\GitHub\eaglep3\Utilities\RefineRTDCRunTimes.py" --tripid 141-07 --locoid 4044 --swversion DE.1.0.8.0 --startMP 204:447 --initTime 2017-01-07T08:36:13 --startdatetime 2017-01-07T08:45:15 --delay 1 --endMP 204:233298 --enddatetime 2017-01-07T09:23:00 --enforcementcount 0 &gt;&gt;C:\Users\stu\Documents\GitHub\eaglep3-reporting\EC\2017-01-07-refined-times.txt</v>
      </c>
      <c r="AI5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ID","value":"141-07"},{"id":16,"name":"Locomotive ID","value":"4044"},{"id":130,"name":"Impact","value":""},{"id":150,"name":"Time of Event (Mountain Time)","value":"09:23:00"},{"id":151,"name":"Denver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8"/>
        <v>start /low /b %USERPROFILE%\Documents\GitHub\eaglep3\Utilities\DownloadLogsFromS3.py --loco 4044 --day 2017-01-07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527</v>
      </c>
      <c r="B55" s="7">
        <v>4043</v>
      </c>
      <c r="C55" s="22" t="s">
        <v>203</v>
      </c>
      <c r="D55" s="22" t="s">
        <v>348</v>
      </c>
      <c r="E55" s="13">
        <v>42742.395937499998</v>
      </c>
      <c r="F55" s="13">
        <v>42742.403634259259</v>
      </c>
      <c r="G55" s="7">
        <v>1</v>
      </c>
      <c r="H55" s="22" t="s">
        <v>670</v>
      </c>
      <c r="I55" s="13">
        <v>42742.43005787037</v>
      </c>
      <c r="J55" s="7">
        <v>0</v>
      </c>
      <c r="K55" s="105" t="str">
        <f t="shared" si="0"/>
        <v>4043/4044</v>
      </c>
      <c r="L55" s="22" t="str">
        <f>VLOOKUP(A55,'Trips&amp;Operators'!$C$1:$G$99999,5,FALSE)</f>
        <v>ISHMAEL JOSEPH</v>
      </c>
      <c r="M55" s="6">
        <f t="shared" si="1"/>
        <v>2.6423611110658385E-2</v>
      </c>
      <c r="N55" s="7">
        <f t="shared" si="22"/>
        <v>38.049999999348074</v>
      </c>
      <c r="O55" s="7"/>
      <c r="P55" s="7"/>
      <c r="Q55" s="23"/>
      <c r="R55" s="23"/>
      <c r="S55" s="32">
        <f t="shared" si="20"/>
        <v>1</v>
      </c>
      <c r="T55" s="47" t="str">
        <f t="shared" si="2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08:30:09-700',mode:absolute,to:'2017-01-07 11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49" t="str">
        <f t="shared" si="4"/>
        <v>N</v>
      </c>
      <c r="X55" s="173">
        <f t="shared" si="21"/>
        <v>1</v>
      </c>
      <c r="Y55" s="64">
        <f t="shared" si="6"/>
        <v>23.2987</v>
      </c>
      <c r="Z55" s="64">
        <f t="shared" si="7"/>
        <v>1.54E-2</v>
      </c>
      <c r="AA55" s="64">
        <f t="shared" si="8"/>
        <v>23.283300000000001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 t="shared" si="9"/>
        <v>0142-07</v>
      </c>
      <c r="AE55" s="87" t="str">
        <f t="shared" si="10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55" s="84" t="str">
        <f t="shared" si="11"/>
        <v>"C:\Program Files (x86)\AstroGrep\AstroGrep.exe" /spath="%USERPROFILE%\AppData\Local\Temp\OnboardLogs" /stypes="app*4043*20170107*"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8" t="str">
        <f t="shared" si="16"/>
        <v>"%USERPROFILE%\Documents\GitHub\eaglep3\Utilities\RefineRTDCRunTimes.py" --tripid 142-07 --locoid 4043 --swversion DE.1.0.8.0 --startMP 204:232987 --initTime 2017-01-07T09:30:09 --startdatetime 2017-01-07T09:41:14 --delay 1 --endMP 204:154 --enddatetime 2017-01-07T10:19:17 --enforcementcount 0 &gt;&gt;C:\Users\stu\Documents\GitHub\eaglep3-reporting\EC\2017-01-07-refined-times.txt</v>
      </c>
      <c r="AI5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ID","value":"142-07"},{"id":16,"name":"Locomotive ID","value":"4043"},{"id":130,"name":"Impact","value":""},{"id":150,"name":"Time of Event (Mountain Time)","value":"10:19:17"},{"id":151,"name":"Denver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8"/>
        <v>start /low /b %USERPROFILE%\Documents\GitHub\eaglep3\Utilities\DownloadLogsFromS3.py --loco 4043 --day 2017-01-07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522</v>
      </c>
      <c r="B56" s="7">
        <v>4003</v>
      </c>
      <c r="C56" s="22" t="s">
        <v>203</v>
      </c>
      <c r="D56" s="22" t="s">
        <v>193</v>
      </c>
      <c r="E56" s="13">
        <v>42742.370694444442</v>
      </c>
      <c r="F56" s="13">
        <v>42742.375185185185</v>
      </c>
      <c r="G56" s="7">
        <v>2</v>
      </c>
      <c r="H56" s="22" t="s">
        <v>350</v>
      </c>
      <c r="I56" s="13">
        <v>42742.399548611109</v>
      </c>
      <c r="J56" s="7">
        <v>0</v>
      </c>
      <c r="K56" s="105" t="str">
        <f t="shared" si="0"/>
        <v>4003/4004</v>
      </c>
      <c r="L56" s="22" t="str">
        <f>VLOOKUP(A56,'Trips&amp;Operators'!$C$1:$G$99999,5,FALSE)</f>
        <v>GEBRETEKLE DAGNEW</v>
      </c>
      <c r="M56" s="6">
        <f t="shared" si="1"/>
        <v>2.4363425924093463E-2</v>
      </c>
      <c r="N56" s="7">
        <f t="shared" si="22"/>
        <v>35.083333330694586</v>
      </c>
      <c r="O56" s="7"/>
      <c r="P56" s="7"/>
      <c r="Q56" s="23"/>
      <c r="R56" s="23"/>
      <c r="S56" s="32">
        <f t="shared" si="20"/>
        <v>1</v>
      </c>
      <c r="T56" s="47" t="str">
        <f t="shared" si="2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07:53:48-700',mode:absolute,to:'2017-01-07 10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6" s="49" t="str">
        <f t="shared" si="4"/>
        <v>N</v>
      </c>
      <c r="X56" s="173">
        <f t="shared" si="21"/>
        <v>1</v>
      </c>
      <c r="Y56" s="64">
        <f t="shared" si="6"/>
        <v>4.4699999999999997E-2</v>
      </c>
      <c r="Z56" s="64">
        <f t="shared" si="7"/>
        <v>23.3291</v>
      </c>
      <c r="AA56" s="64">
        <f t="shared" si="8"/>
        <v>23.284400000000002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 t="shared" si="9"/>
        <v>0143-07</v>
      </c>
      <c r="AE56" s="87" t="str">
        <f t="shared" si="10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56" s="84" t="str">
        <f t="shared" si="11"/>
        <v>"C:\Program Files (x86)\AstroGrep\AstroGrep.exe" /spath="%USERPROFILE%\AppData\Local\Temp\OnboardLogs" /stypes="app*4003*20170107*"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8" t="str">
        <f t="shared" si="16"/>
        <v>"%USERPROFILE%\Documents\GitHub\eaglep3\Utilities\RefineRTDCRunTimes.py" --tripid 143-07 --locoid 4003 --swversion DE.1.0.8.0 --startMP 204:447 --initTime 2017-01-07T08:53:48 --startdatetime 2017-01-07T09:00:16 --delay 2 --endMP 204:233291 --enddatetime 2017-01-07T09:35:21 --enforcementcount 0 &gt;&gt;C:\Users\stu\Documents\GitHub\eaglep3-reporting\EC\2017-01-07-refined-times.txt</v>
      </c>
      <c r="AI5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ID","value":"143-07"},{"id":16,"name":"Locomotive ID","value":"4003"},{"id":130,"name":"Impact","value":""},{"id":150,"name":"Time of Event (Mountain Time)","value":"09:35:21"},{"id":151,"name":"Denver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8"/>
        <v>start /low /b %USERPROFILE%\Documents\GitHub\eaglep3\Utilities\DownloadLogsFromS3.py --loco 4003 --day 2017-01-07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530</v>
      </c>
      <c r="B57" s="7">
        <v>4004</v>
      </c>
      <c r="C57" s="22" t="s">
        <v>203</v>
      </c>
      <c r="D57" s="22" t="s">
        <v>682</v>
      </c>
      <c r="E57" s="13">
        <v>42742.411585648151</v>
      </c>
      <c r="F57" s="13">
        <v>42742.414131944446</v>
      </c>
      <c r="G57" s="7">
        <v>1</v>
      </c>
      <c r="H57" s="22" t="s">
        <v>683</v>
      </c>
      <c r="I57" s="13">
        <v>42742.44159722222</v>
      </c>
      <c r="J57" s="7">
        <v>0</v>
      </c>
      <c r="K57" s="105" t="str">
        <f t="shared" si="0"/>
        <v>4003/4004</v>
      </c>
      <c r="L57" s="22" t="str">
        <f>VLOOKUP(A57,'Trips&amp;Operators'!$C$1:$G$99999,5,FALSE)</f>
        <v>GEBRETEKLE DAGNEW</v>
      </c>
      <c r="M57" s="6">
        <f t="shared" si="1"/>
        <v>2.7465277773444541E-2</v>
      </c>
      <c r="N57" s="7">
        <f t="shared" si="22"/>
        <v>39.549999993760139</v>
      </c>
      <c r="O57" s="7"/>
      <c r="P57" s="7"/>
      <c r="Q57" s="23"/>
      <c r="R57" s="23"/>
      <c r="S57" s="32">
        <f t="shared" si="20"/>
        <v>1</v>
      </c>
      <c r="T57" s="47" t="str">
        <f t="shared" si="2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08:52:41-700',mode:absolute,to:'2017-01-07 11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7" s="49" t="str">
        <f t="shared" si="4"/>
        <v>N</v>
      </c>
      <c r="X57" s="173">
        <f t="shared" si="21"/>
        <v>1</v>
      </c>
      <c r="Y57" s="64">
        <f t="shared" si="6"/>
        <v>23.296500000000002</v>
      </c>
      <c r="Z57" s="64">
        <f t="shared" si="7"/>
        <v>1.61E-2</v>
      </c>
      <c r="AA57" s="64">
        <f t="shared" si="8"/>
        <v>23.2804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 t="shared" si="9"/>
        <v>0144-07</v>
      </c>
      <c r="AE57" s="87" t="str">
        <f t="shared" si="10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57" s="84" t="str">
        <f t="shared" si="11"/>
        <v>"C:\Program Files (x86)\AstroGrep\AstroGrep.exe" /spath="%USERPROFILE%\AppData\Local\Temp\OnboardLogs" /stypes="app*4004*20170107*" /stext=" 17:.+((SYSTEM_STATE.+slice.+state.+changed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8" t="str">
        <f t="shared" si="16"/>
        <v>"%USERPROFILE%\Documents\GitHub\eaglep3\Utilities\RefineRTDCRunTimes.py" --tripid 144-07 --locoid 4004 --swversion DE.1.0.8.0 --startMP 204:232965 --initTime 2017-01-07T09:52:41 --startdatetime 2017-01-07T09:56:21 --delay 1 --endMP 204:161 --enddatetime 2017-01-07T10:35:54 --enforcementcount 0 &gt;&gt;C:\Users\stu\Documents\GitHub\eaglep3-reporting\EC\2017-01-07-refined-times.txt</v>
      </c>
      <c r="AI5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ID","value":"144-07"},{"id":16,"name":"Locomotive ID","value":"4004"},{"id":130,"name":"Impact","value":""},{"id":150,"name":"Time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8"/>
        <v>start /low /b %USERPROFILE%\Documents\GitHub\eaglep3\Utilities\DownloadLogsFromS3.py --loco 4004 --day 2017-01-07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436</v>
      </c>
      <c r="B58" s="7">
        <v>4016</v>
      </c>
      <c r="C58" s="22" t="s">
        <v>203</v>
      </c>
      <c r="D58" s="22" t="s">
        <v>242</v>
      </c>
      <c r="E58" s="13">
        <v>42742.381192129629</v>
      </c>
      <c r="F58" s="13">
        <v>42742.385567129626</v>
      </c>
      <c r="G58" s="7">
        <v>1</v>
      </c>
      <c r="H58" s="22" t="s">
        <v>415</v>
      </c>
      <c r="I58" s="13">
        <v>42742.411145833335</v>
      </c>
      <c r="J58" s="7">
        <v>0</v>
      </c>
      <c r="K58" s="105" t="str">
        <f t="shared" si="0"/>
        <v>4015/4016</v>
      </c>
      <c r="L58" s="22" t="str">
        <f>VLOOKUP(A58,'Trips&amp;Operators'!$C$1:$G$99999,5,FALSE)</f>
        <v>ROBINSON KADDIBA</v>
      </c>
      <c r="M58" s="6">
        <f t="shared" si="1"/>
        <v>2.5578703709470574E-2</v>
      </c>
      <c r="N58" s="7">
        <f t="shared" si="22"/>
        <v>36.833333341637626</v>
      </c>
      <c r="O58" s="7"/>
      <c r="P58" s="7"/>
      <c r="Q58" s="23"/>
      <c r="R58" s="23"/>
      <c r="S58" s="32">
        <f t="shared" si="20"/>
        <v>1</v>
      </c>
      <c r="T58" s="47" t="str">
        <f t="shared" si="2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08:08:55-700',mode:absolute,to:'2017-01-07 10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8" s="49" t="str">
        <f t="shared" si="4"/>
        <v>N</v>
      </c>
      <c r="X58" s="173">
        <f t="shared" si="21"/>
        <v>1</v>
      </c>
      <c r="Y58" s="64">
        <f t="shared" si="6"/>
        <v>4.53E-2</v>
      </c>
      <c r="Z58" s="64">
        <f t="shared" si="7"/>
        <v>23.333100000000002</v>
      </c>
      <c r="AA58" s="64">
        <f t="shared" si="8"/>
        <v>23.287800000000001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 t="shared" si="9"/>
        <v>0145-07</v>
      </c>
      <c r="AE58" s="87" t="str">
        <f t="shared" si="10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58" s="84" t="str">
        <f t="shared" si="11"/>
        <v>"C:\Program Files (x86)\AstroGrep\AstroGrep.exe" /spath="%USERPROFILE%\AppData\Local\Temp\OnboardLogs" /stypes="app*4016*20170107*" /stext=" 16:.+((SYSTEM_STATE.+slice.+state.+changed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8" t="str">
        <f t="shared" si="16"/>
        <v>"%USERPROFILE%\Documents\GitHub\eaglep3\Utilities\RefineRTDCRunTimes.py" --tripid 145-07 --locoid 4016 --swversion DE.1.0.8.0 --startMP 204:453 --initTime 2017-01-07T09:08:55 --startdatetime 2017-01-07T09:15:13 --delay 1 --endMP 204:233331 --enddatetime 2017-01-07T09:52:03 --enforcementcount 0 &gt;&gt;C:\Users\stu\Documents\GitHub\eaglep3-reporting\EC\2017-01-07-refined-times.txt</v>
      </c>
      <c r="AI5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ID","value":"145-07"},{"id":16,"name":"Locomotive ID","value":"4016"},{"id":130,"name":"Impact","value":""},{"id":150,"name":"Time of Event (Mountain Time)","value":"09:52:03"},{"id":151,"name":"Denver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8"/>
        <v>start /low /b %USERPROFILE%\Documents\GitHub\eaglep3\Utilities\DownloadLogsFromS3.py --loco 4016 --day 2017-01-07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437</v>
      </c>
      <c r="B59" s="7">
        <v>4015</v>
      </c>
      <c r="C59" s="22" t="s">
        <v>203</v>
      </c>
      <c r="D59" s="22" t="s">
        <v>414</v>
      </c>
      <c r="E59" s="13">
        <v>42742.418634259258</v>
      </c>
      <c r="F59" s="13">
        <v>42742.424456018518</v>
      </c>
      <c r="G59" s="7">
        <v>1</v>
      </c>
      <c r="H59" s="22" t="s">
        <v>228</v>
      </c>
      <c r="I59" s="13">
        <v>42742.450949074075</v>
      </c>
      <c r="J59" s="7">
        <v>0</v>
      </c>
      <c r="K59" s="105" t="str">
        <f t="shared" si="0"/>
        <v>4015/4016</v>
      </c>
      <c r="L59" s="22" t="str">
        <f>VLOOKUP(A59,'Trips&amp;Operators'!$C$1:$G$99999,5,FALSE)</f>
        <v>ROBINSON KADDIBA</v>
      </c>
      <c r="M59" s="6">
        <f t="shared" si="1"/>
        <v>2.6493055556784384E-2</v>
      </c>
      <c r="N59" s="7">
        <f t="shared" si="22"/>
        <v>38.150000001769513</v>
      </c>
      <c r="O59" s="7"/>
      <c r="P59" s="7"/>
      <c r="Q59" s="23"/>
      <c r="R59" s="23"/>
      <c r="S59" s="32">
        <f t="shared" si="20"/>
        <v>1</v>
      </c>
      <c r="T59" s="47" t="str">
        <f t="shared" si="2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09:02:50-700',mode:absolute,to:'2017-01-07 11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9" s="49" t="str">
        <f t="shared" si="4"/>
        <v>N</v>
      </c>
      <c r="X59" s="173">
        <f t="shared" si="21"/>
        <v>1</v>
      </c>
      <c r="Y59" s="64">
        <f t="shared" si="6"/>
        <v>23.300799999999999</v>
      </c>
      <c r="Z59" s="64">
        <f t="shared" si="7"/>
        <v>1.4500000000000001E-2</v>
      </c>
      <c r="AA59" s="64">
        <f t="shared" si="8"/>
        <v>23.286299999999997</v>
      </c>
      <c r="AB59" s="61" t="str">
        <f>VLOOKUP(A59,Enforcements!$C$7:$K$18,8,0)</f>
        <v>Bulletin (2)</v>
      </c>
      <c r="AC59" s="57" t="str">
        <f>VLOOKUP(A59,Enforcements!$C$7:$E$18,3,0)</f>
        <v>GRADE CROSSING</v>
      </c>
      <c r="AD59" s="58" t="str">
        <f t="shared" si="9"/>
        <v>0146-07</v>
      </c>
      <c r="AE59" s="87" t="str">
        <f t="shared" si="10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59" s="84" t="str">
        <f t="shared" si="11"/>
        <v>"C:\Program Files (x86)\AstroGrep\AstroGrep.exe" /spath="%USERPROFILE%\AppData\Local\Temp\OnboardLogs" /stypes="app*4015*20170107*"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8" t="str">
        <f t="shared" si="16"/>
        <v>"%USERPROFILE%\Documents\GitHub\eaglep3\Utilities\RefineRTDCRunTimes.py" --tripid 146-07 --locoid 4015 --swversion DE.1.0.8.0 --startMP 204:233008 --initTime 2017-01-07T10:02:50 --startdatetime 2017-01-07T10:11:13 --delay 1 --endMP 204:145 --enddatetime 2017-01-07T10:49:22 --enforcementcount 0 &gt;&gt;C:\Users\stu\Documents\GitHub\eaglep3-reporting\EC\2017-01-07-refined-times.txt</v>
      </c>
      <c r="AI5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ID","value":"146-07"},{"id":16,"name":"Locomotive ID","value":"4015"},{"id":130,"name":"Impact","value":""},{"id":150,"name":"Time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8"/>
        <v>start /low /b %USERPROFILE%\Documents\GitHub\eaglep3\Utilities\DownloadLogsFromS3.py --loco 4015 --day 2017-01-07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526</v>
      </c>
      <c r="B60" s="7">
        <v>4011</v>
      </c>
      <c r="C60" s="22" t="s">
        <v>203</v>
      </c>
      <c r="D60" s="22" t="s">
        <v>312</v>
      </c>
      <c r="E60" s="13">
        <v>42742.390439814815</v>
      </c>
      <c r="F60" s="13">
        <v>42742.396064814813</v>
      </c>
      <c r="G60" s="7">
        <v>1</v>
      </c>
      <c r="H60" s="22" t="s">
        <v>684</v>
      </c>
      <c r="I60" s="13">
        <v>42742.420914351853</v>
      </c>
      <c r="J60" s="7">
        <v>0</v>
      </c>
      <c r="K60" s="105" t="str">
        <f t="shared" si="0"/>
        <v>4011/4012</v>
      </c>
      <c r="L60" s="22" t="str">
        <f>VLOOKUP(A60,'Trips&amp;Operators'!$C$1:$G$99999,5,FALSE)</f>
        <v>MAELZER KURT</v>
      </c>
      <c r="M60" s="6">
        <f t="shared" si="1"/>
        <v>2.4849537039699499E-2</v>
      </c>
      <c r="N60" s="7">
        <f t="shared" si="22"/>
        <v>35.783333337167278</v>
      </c>
      <c r="O60" s="7"/>
      <c r="P60" s="7"/>
      <c r="Q60" s="23"/>
      <c r="R60" s="23"/>
      <c r="S60" s="32">
        <f t="shared" si="20"/>
        <v>1</v>
      </c>
      <c r="T60" s="47" t="str">
        <f t="shared" si="2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08:22:14-700',mode:absolute,to:'2017-01-07 11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0" s="49" t="str">
        <f t="shared" si="4"/>
        <v>N</v>
      </c>
      <c r="X60" s="173">
        <f t="shared" si="21"/>
        <v>1</v>
      </c>
      <c r="Y60" s="64">
        <f t="shared" si="6"/>
        <v>4.4600000000000001E-2</v>
      </c>
      <c r="Z60" s="64">
        <f t="shared" si="7"/>
        <v>23.332599999999999</v>
      </c>
      <c r="AA60" s="64">
        <f t="shared" si="8"/>
        <v>23.288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 t="shared" si="9"/>
        <v>0147-07</v>
      </c>
      <c r="AE60" s="87" t="str">
        <f t="shared" si="10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60" s="84" t="str">
        <f t="shared" si="11"/>
        <v>"C:\Program Files (x86)\AstroGrep\AstroGrep.exe" /spath="%USERPROFILE%\AppData\Local\Temp\OnboardLogs" /stypes="app*4011*20170107*"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8" t="str">
        <f t="shared" si="16"/>
        <v>"%USERPROFILE%\Documents\GitHub\eaglep3\Utilities\RefineRTDCRunTimes.py" --tripid 147-07 --locoid 4011 --swversion DE.1.0.8.0 --startMP 204:446 --initTime 2017-01-07T09:22:14 --startdatetime 2017-01-07T09:30:20 --delay 1 --endMP 204:233326 --enddatetime 2017-01-07T10:06:07 --enforcementcount 0 &gt;&gt;C:\Users\stu\Documents\GitHub\eaglep3-reporting\EC\2017-01-07-refined-times.txt</v>
      </c>
      <c r="AI6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{"issue":{"subject":"","project_id":79,"tracker_id":40,"status_id":1,"priority_id":2,"assigned_to_id":23,"start_date":"2017-01-07","description":"","custom_fields":[{"id":1,"name":"Subdivision","value":"EC"},{"id":4,"name":"Milepost","value":"23.3326"},{"id":17,"name":"Train ID","value":"147-07"},{"id":16,"name":"Locomotive ID","value":"4011"},{"id":130,"name":"Impact","value":""},{"id":150,"name":"Time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8"/>
        <v>start /low /b %USERPROFILE%\Documents\GitHub\eaglep3\Utilities\DownloadLogsFromS3.py --loco 4011 --day 2017-01-07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535</v>
      </c>
      <c r="B61" s="7">
        <v>4012</v>
      </c>
      <c r="C61" s="22" t="s">
        <v>203</v>
      </c>
      <c r="D61" s="22" t="s">
        <v>317</v>
      </c>
      <c r="E61" s="13">
        <v>42742.425300925926</v>
      </c>
      <c r="F61" s="13">
        <v>42742.434953703705</v>
      </c>
      <c r="G61" s="7">
        <v>0</v>
      </c>
      <c r="H61" s="22" t="s">
        <v>681</v>
      </c>
      <c r="I61" s="13">
        <v>42742.461412037039</v>
      </c>
      <c r="J61" s="7">
        <v>0</v>
      </c>
      <c r="K61" s="105" t="str">
        <f t="shared" si="0"/>
        <v>4011/4012</v>
      </c>
      <c r="L61" s="22" t="str">
        <f>VLOOKUP(A61,'Trips&amp;Operators'!$C$1:$G$99999,5,FALSE)</f>
        <v>MAELZER KURT</v>
      </c>
      <c r="M61" s="6">
        <f t="shared" si="1"/>
        <v>2.6458333333721384E-2</v>
      </c>
      <c r="N61" s="7">
        <f t="shared" si="22"/>
        <v>38.100000000558794</v>
      </c>
      <c r="O61" s="7"/>
      <c r="P61" s="7"/>
      <c r="Q61" s="23"/>
      <c r="R61" s="23"/>
      <c r="S61" s="32">
        <f t="shared" si="20"/>
        <v>1</v>
      </c>
      <c r="T61" s="47" t="str">
        <f t="shared" si="2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09:12:26-700',mode:absolute,to:'2017-01-07 12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1" s="49" t="str">
        <f t="shared" si="4"/>
        <v>N</v>
      </c>
      <c r="X61" s="173">
        <f t="shared" si="21"/>
        <v>1</v>
      </c>
      <c r="Y61" s="64">
        <f t="shared" si="6"/>
        <v>23.299199999999999</v>
      </c>
      <c r="Z61" s="64">
        <f t="shared" si="7"/>
        <v>1.38E-2</v>
      </c>
      <c r="AA61" s="64">
        <f t="shared" si="8"/>
        <v>23.285399999999999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 t="shared" si="9"/>
        <v>0148-07</v>
      </c>
      <c r="AE61" s="87" t="str">
        <f t="shared" si="10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61" s="84" t="str">
        <f t="shared" si="11"/>
        <v>"C:\Program Files (x86)\AstroGrep\AstroGrep.exe" /spath="%USERPROFILE%\AppData\Local\Temp\OnboardLogs" /stypes="app*4012*20170107*" /stext=" 18:.+((SYSTEM_STATE.+slice.+state.+changed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8" t="str">
        <f t="shared" si="16"/>
        <v>"%USERPROFILE%\Documents\GitHub\eaglep3\Utilities\RefineRTDCRunTimes.py" --tripid 148-07 --locoid 4012 --swversion DE.1.0.8.0 --startMP 204:232992 --initTime 2017-01-07T10:12:26 --startdatetime 2017-01-07T10:26:20 --delay 0 --endMP 204:138 --enddatetime 2017-01-07T11:04:26 --enforcementcount 0 &gt;&gt;C:\Users\stu\Documents\GitHub\eaglep3-reporting\EC\2017-01-07-refined-times.txt</v>
      </c>
      <c r="AI6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ID","value":"148-07"},{"id":16,"name":"Locomotive ID","value":"4012"},{"id":130,"name":"Impact","value":""},{"id":150,"name":"Time of Event (Mountain Time)","value":"11:04:26"},{"id":151,"name":"Denver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8"/>
        <v>start /low /b %USERPROFILE%\Documents\GitHub\eaglep3\Utilities\DownloadLogsFromS3.py --loco 4012 --day 2017-01-07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528</v>
      </c>
      <c r="B62" s="7">
        <v>4042</v>
      </c>
      <c r="C62" s="22" t="s">
        <v>203</v>
      </c>
      <c r="D62" s="22" t="s">
        <v>194</v>
      </c>
      <c r="E62" s="13">
        <v>42742.401805555557</v>
      </c>
      <c r="F62" s="13">
        <v>42742.406423611108</v>
      </c>
      <c r="G62" s="7">
        <v>1</v>
      </c>
      <c r="H62" s="22" t="s">
        <v>400</v>
      </c>
      <c r="I62" s="13">
        <v>42742.432488425926</v>
      </c>
      <c r="J62" s="7">
        <v>0</v>
      </c>
      <c r="K62" s="105" t="str">
        <f t="shared" si="0"/>
        <v>4041/4042</v>
      </c>
      <c r="L62" s="22" t="str">
        <f>VLOOKUP(A62,'Trips&amp;Operators'!$C$1:$G$99999,5,FALSE)</f>
        <v>DAVIS WENDY</v>
      </c>
      <c r="M62" s="6">
        <f t="shared" si="1"/>
        <v>2.6064814817800652E-2</v>
      </c>
      <c r="N62" s="7">
        <f t="shared" si="22"/>
        <v>37.533333337632939</v>
      </c>
      <c r="O62" s="7"/>
      <c r="P62" s="7"/>
      <c r="Q62" s="23"/>
      <c r="R62" s="23"/>
      <c r="S62" s="32">
        <f t="shared" si="20"/>
        <v>1</v>
      </c>
      <c r="T62" s="47" t="str">
        <f t="shared" si="2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08:38:36-700',mode:absolute,to:'2017-01-07 11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49" t="str">
        <f t="shared" si="4"/>
        <v>N</v>
      </c>
      <c r="X62" s="173">
        <f t="shared" si="21"/>
        <v>1</v>
      </c>
      <c r="Y62" s="64">
        <f t="shared" si="6"/>
        <v>4.5100000000000001E-2</v>
      </c>
      <c r="Z62" s="64">
        <f t="shared" si="7"/>
        <v>23.332699999999999</v>
      </c>
      <c r="AA62" s="64">
        <f t="shared" si="8"/>
        <v>23.287599999999998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 t="shared" si="9"/>
        <v>0149-07</v>
      </c>
      <c r="AE62" s="87" t="str">
        <f t="shared" si="10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62" s="84" t="str">
        <f t="shared" si="11"/>
        <v>"C:\Program Files (x86)\AstroGrep\AstroGrep.exe" /spath="%USERPROFILE%\AppData\Local\Temp\OnboardLogs" /stypes="app*4042*20170107*" /stext=" 17:.+((SYSTEM_STATE.+slice.+state.+changed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8" t="str">
        <f t="shared" si="16"/>
        <v>"%USERPROFILE%\Documents\GitHub\eaglep3\Utilities\RefineRTDCRunTimes.py" --tripid 149-07 --locoid 4042 --swversion DE.1.0.8.0 --startMP 204:451 --initTime 2017-01-07T09:38:36 --startdatetime 2017-01-07T09:45:15 --delay 1 --endMP 204:233327 --enddatetime 2017-01-07T10:22:47 --enforcementcount 0 &gt;&gt;C:\Users\stu\Documents\GitHub\eaglep3-reporting\EC\2017-01-07-refined-times.txt</v>
      </c>
      <c r="AI6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ID","value":"149-07"},{"id":16,"name":"Locomotive ID","value":"4042"},{"id":130,"name":"Impact","value":""},{"id":150,"name":"Time of Event (Mountain Time)","value":"10:22:47"},{"id":151,"name":"Denver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8"/>
        <v>start /low /b %USERPROFILE%\Documents\GitHub\eaglep3\Utilities\DownloadLogsFromS3.py --loco 4042 --day 2017-01-07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538</v>
      </c>
      <c r="B63" s="7">
        <v>4041</v>
      </c>
      <c r="C63" s="22" t="s">
        <v>203</v>
      </c>
      <c r="D63" s="22" t="s">
        <v>355</v>
      </c>
      <c r="E63" s="13">
        <v>42742.440717592595</v>
      </c>
      <c r="F63" s="13">
        <v>42742.445300925923</v>
      </c>
      <c r="G63" s="7">
        <v>1</v>
      </c>
      <c r="H63" s="22" t="s">
        <v>191</v>
      </c>
      <c r="I63" s="13">
        <v>42742.472974537035</v>
      </c>
      <c r="J63" s="7">
        <v>0</v>
      </c>
      <c r="K63" s="105" t="str">
        <f t="shared" si="0"/>
        <v>4041/4042</v>
      </c>
      <c r="L63" s="22" t="str">
        <f>VLOOKUP(A63,'Trips&amp;Operators'!$C$1:$G$99999,5,FALSE)</f>
        <v>DAVIS WENDY</v>
      </c>
      <c r="M63" s="6">
        <f t="shared" si="1"/>
        <v>2.7673611111822538E-2</v>
      </c>
      <c r="N63" s="7">
        <f t="shared" si="22"/>
        <v>39.850000001024455</v>
      </c>
      <c r="O63" s="7"/>
      <c r="P63" s="7"/>
      <c r="Q63" s="23"/>
      <c r="R63" s="23"/>
      <c r="S63" s="32">
        <f t="shared" si="20"/>
        <v>1</v>
      </c>
      <c r="T63" s="47" t="str">
        <f t="shared" si="2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09:34:38-700',mode:absolute,to:'2017-01-07 12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49" t="str">
        <f t="shared" si="4"/>
        <v>N</v>
      </c>
      <c r="X63" s="173">
        <f t="shared" si="21"/>
        <v>1</v>
      </c>
      <c r="Y63" s="64">
        <f t="shared" si="6"/>
        <v>23.299299999999999</v>
      </c>
      <c r="Z63" s="64">
        <f t="shared" si="7"/>
        <v>1.49E-2</v>
      </c>
      <c r="AA63" s="64">
        <f t="shared" si="8"/>
        <v>23.284399999999998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 t="shared" si="9"/>
        <v>0150-07</v>
      </c>
      <c r="AE63" s="87" t="str">
        <f t="shared" si="10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63" s="84" t="str">
        <f t="shared" si="11"/>
        <v>"C:\Program Files (x86)\AstroGrep\AstroGrep.exe" /spath="%USERPROFILE%\AppData\Local\Temp\OnboardLogs" /stypes="app*4041*20170107*" /stext=" 18:.+((SYSTEM_STATE.+slice.+state.+changed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8" t="str">
        <f t="shared" si="16"/>
        <v>"%USERPROFILE%\Documents\GitHub\eaglep3\Utilities\RefineRTDCRunTimes.py" --tripid 150-07 --locoid 4041 --swversion DE.1.0.8.0 --startMP 204:232993 --initTime 2017-01-07T10:34:38 --startdatetime 2017-01-07T10:41:14 --delay 1 --endMP 204:149 --enddatetime 2017-01-07T11:21:05 --enforcementcount 0 &gt;&gt;C:\Users\stu\Documents\GitHub\eaglep3-reporting\EC\2017-01-07-refined-times.txt</v>
      </c>
      <c r="AI6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ID","value":"150-07"},{"id":16,"name":"Locomotive ID","value":"4041"},{"id":130,"name":"Impact","value":""},{"id":150,"name":"Time of Event (Mountain Time)","value":"11:21:05"},{"id":151,"name":"Denver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8"/>
        <v>start /low /b %USERPROFILE%\Documents\GitHub\eaglep3\Utilities\DownloadLogsFromS3.py --loco 4041 --day 2017-01-07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531</v>
      </c>
      <c r="B64" s="7">
        <v>4040</v>
      </c>
      <c r="C64" s="22" t="s">
        <v>203</v>
      </c>
      <c r="D64" s="22" t="s">
        <v>193</v>
      </c>
      <c r="E64" s="13">
        <v>42742.411747685182</v>
      </c>
      <c r="F64" s="13">
        <v>42742.416886574072</v>
      </c>
      <c r="G64" s="7">
        <v>1</v>
      </c>
      <c r="H64" s="22" t="s">
        <v>330</v>
      </c>
      <c r="I64" s="13">
        <v>42742.442002314812</v>
      </c>
      <c r="J64" s="7">
        <v>0</v>
      </c>
      <c r="K64" s="105" t="str">
        <f t="shared" si="0"/>
        <v>4039/4040</v>
      </c>
      <c r="L64" s="22" t="str">
        <f>VLOOKUP(A64,'Trips&amp;Operators'!$C$1:$G$99999,5,FALSE)</f>
        <v>OUN ZACK</v>
      </c>
      <c r="M64" s="6">
        <f t="shared" si="1"/>
        <v>2.5115740740147885E-2</v>
      </c>
      <c r="N64" s="7">
        <f t="shared" si="22"/>
        <v>36.166666665812954</v>
      </c>
      <c r="O64" s="7"/>
      <c r="P64" s="7"/>
      <c r="Q64" s="23"/>
      <c r="R64" s="23"/>
      <c r="S64" s="32">
        <f t="shared" si="20"/>
        <v>1</v>
      </c>
      <c r="T64" s="47" t="str">
        <f t="shared" si="2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08:52:55-700',mode:absolute,to:'2017-01-07 11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4" s="49" t="str">
        <f t="shared" si="4"/>
        <v>N</v>
      </c>
      <c r="X64" s="173">
        <f t="shared" si="21"/>
        <v>1</v>
      </c>
      <c r="Y64" s="64">
        <f t="shared" si="6"/>
        <v>4.4699999999999997E-2</v>
      </c>
      <c r="Z64" s="64">
        <f t="shared" si="7"/>
        <v>23.331099999999999</v>
      </c>
      <c r="AA64" s="64">
        <f t="shared" si="8"/>
        <v>23.2864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 t="shared" si="9"/>
        <v>0151-07</v>
      </c>
      <c r="AE64" s="87" t="str">
        <f t="shared" si="10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64" s="84" t="str">
        <f t="shared" si="11"/>
        <v>"C:\Program Files (x86)\AstroGrep\AstroGrep.exe" /spath="%USERPROFILE%\AppData\Local\Temp\OnboardLogs" /stypes="app*4040*20170107*" /stext=" 17:.+((SYSTEM_STATE.+slice.+state.+changed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8" t="str">
        <f t="shared" si="16"/>
        <v>"%USERPROFILE%\Documents\GitHub\eaglep3\Utilities\RefineRTDCRunTimes.py" --tripid 151-07 --locoid 4040 --swversion DE.1.0.8.0 --startMP 204:447 --initTime 2017-01-07T09:52:55 --startdatetime 2017-01-07T10:00:19 --delay 1 --endMP 204:233311 --enddatetime 2017-01-07T10:36:29 --enforcementcount 0 &gt;&gt;C:\Users\stu\Documents\GitHub\eaglep3-reporting\EC\2017-01-07-refined-times.txt</v>
      </c>
      <c r="AI6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{"issue":{"subject":"","project_id":79,"tracker_id":40,"status_id":1,"priority_id":2,"assigned_to_id":23,"start_date":"2017-01-07","description":"","custom_fields":[{"id":1,"name":"Subdivision","value":"EC"},{"id":4,"name":"Milepost","value":"23.3311"},{"id":17,"name":"Train ID","value":"151-07"},{"id":16,"name":"Locomotive ID","value":"4040"},{"id":130,"name":"Impact","value":""},{"id":150,"name":"Time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8"/>
        <v>start /low /b %USERPROFILE%\Documents\GitHub\eaglep3\Utilities\DownloadLogsFromS3.py --loco 4040 --day 2017-01-07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440</v>
      </c>
      <c r="B65" s="7">
        <v>4039</v>
      </c>
      <c r="C65" s="22" t="s">
        <v>203</v>
      </c>
      <c r="D65" s="22" t="s">
        <v>685</v>
      </c>
      <c r="E65" s="13">
        <v>42742.451469907406</v>
      </c>
      <c r="F65" s="13">
        <v>42742.45579861111</v>
      </c>
      <c r="G65" s="7">
        <v>1</v>
      </c>
      <c r="H65" s="22" t="s">
        <v>228</v>
      </c>
      <c r="I65" s="13">
        <v>42742.482789351852</v>
      </c>
      <c r="J65" s="7">
        <v>0</v>
      </c>
      <c r="K65" s="105" t="str">
        <f t="shared" si="0"/>
        <v>4039/4040</v>
      </c>
      <c r="L65" s="22" t="str">
        <f>VLOOKUP(A65,'Trips&amp;Operators'!$C$1:$G$99999,5,FALSE)</f>
        <v>OUN ZACK</v>
      </c>
      <c r="M65" s="6">
        <f t="shared" si="1"/>
        <v>2.6990740741894115E-2</v>
      </c>
      <c r="N65" s="7">
        <f t="shared" si="22"/>
        <v>38.866666668327525</v>
      </c>
      <c r="O65" s="7"/>
      <c r="P65" s="7"/>
      <c r="Q65" s="23"/>
      <c r="R65" s="23"/>
      <c r="S65" s="32">
        <f t="shared" si="20"/>
        <v>1</v>
      </c>
      <c r="T65" s="47" t="str">
        <f t="shared" si="2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09:50:07-700',mode:absolute,to:'2017-01-07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5" s="49" t="str">
        <f t="shared" si="4"/>
        <v>N</v>
      </c>
      <c r="X65" s="173">
        <f t="shared" si="21"/>
        <v>1</v>
      </c>
      <c r="Y65" s="64">
        <f t="shared" si="6"/>
        <v>23.3001</v>
      </c>
      <c r="Z65" s="64">
        <f t="shared" si="7"/>
        <v>1.4500000000000001E-2</v>
      </c>
      <c r="AA65" s="64">
        <f t="shared" si="8"/>
        <v>23.285599999999999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 t="shared" si="9"/>
        <v>0152-07</v>
      </c>
      <c r="AE65" s="87" t="str">
        <f t="shared" si="10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65" s="84" t="str">
        <f t="shared" si="11"/>
        <v>"C:\Program Files (x86)\AstroGrep\AstroGrep.exe" /spath="%USERPROFILE%\AppData\Local\Temp\OnboardLogs" /stypes="app*4039*20170107*" /stext=" 18:.+((SYSTEM_STATE.+slice.+state.+changed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8" t="str">
        <f t="shared" si="16"/>
        <v>"%USERPROFILE%\Documents\GitHub\eaglep3\Utilities\RefineRTDCRunTimes.py" --tripid 152-07 --locoid 4039 --swversion DE.1.0.8.0 --startMP 204:233001 --initTime 2017-01-07T10:50:07 --startdatetime 2017-01-07T10:56:21 --delay 1 --endMP 204:145 --enddatetime 2017-01-07T11:35:13 --enforcementcount 0 &gt;&gt;C:\Users\stu\Documents\GitHub\eaglep3-reporting\EC\2017-01-07-refined-times.txt</v>
      </c>
      <c r="AI6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ID","value":"152-07"},{"id":16,"name":"Locomotive ID","value":"4039"},{"id":130,"name":"Impact","value":""},{"id":150,"name":"Time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8"/>
        <v>start /low /b %USERPROFILE%\Documents\GitHub\eaglep3\Utilities\DownloadLogsFromS3.py --loco 4039 --day 2017-01-07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533</v>
      </c>
      <c r="B66" s="7">
        <v>4046</v>
      </c>
      <c r="C66" s="22" t="s">
        <v>203</v>
      </c>
      <c r="D66" s="22" t="s">
        <v>680</v>
      </c>
      <c r="E66" s="13">
        <v>42742.423020833332</v>
      </c>
      <c r="F66" s="13">
        <v>42742.427349537036</v>
      </c>
      <c r="G66" s="7">
        <v>1</v>
      </c>
      <c r="H66" s="22" t="s">
        <v>398</v>
      </c>
      <c r="I66" s="13">
        <v>42742.453553240739</v>
      </c>
      <c r="J66" s="7">
        <v>0</v>
      </c>
      <c r="K66" s="105" t="str">
        <f t="shared" si="0"/>
        <v>4045/4046</v>
      </c>
      <c r="L66" s="22" t="str">
        <f>VLOOKUP(A66,'Trips&amp;Operators'!$C$1:$G$99999,5,FALSE)</f>
        <v>LOZA FIDEL</v>
      </c>
      <c r="M66" s="6">
        <f t="shared" si="1"/>
        <v>2.6203703702776693E-2</v>
      </c>
      <c r="N66" s="7">
        <f t="shared" si="22"/>
        <v>37.733333331998438</v>
      </c>
      <c r="O66" s="7"/>
      <c r="P66" s="7"/>
      <c r="Q66" s="23"/>
      <c r="R66" s="23"/>
      <c r="S66" s="32">
        <f t="shared" si="20"/>
        <v>1</v>
      </c>
      <c r="T66" s="47" t="str">
        <f t="shared" si="2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09:09:09-700',mode:absolute,to:'2017-01-07 11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6" s="49" t="str">
        <f t="shared" si="4"/>
        <v>N</v>
      </c>
      <c r="X66" s="173">
        <f t="shared" si="21"/>
        <v>1</v>
      </c>
      <c r="Y66" s="64">
        <f t="shared" si="6"/>
        <v>4.4200000000000003E-2</v>
      </c>
      <c r="Z66" s="64">
        <f t="shared" si="7"/>
        <v>23.3293</v>
      </c>
      <c r="AA66" s="64">
        <f t="shared" si="8"/>
        <v>23.2851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 t="shared" si="9"/>
        <v>0153-07</v>
      </c>
      <c r="AE66" s="87" t="str">
        <f t="shared" si="10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66" s="84" t="str">
        <f t="shared" si="11"/>
        <v>"C:\Program Files (x86)\AstroGrep\AstroGrep.exe" /spath="%USERPROFILE%\AppData\Local\Temp\OnboardLogs" /stypes="app*4046*20170107*" /stext=" 17:.+((SYSTEM_STATE.+slice.+state.+changed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8" t="str">
        <f t="shared" si="16"/>
        <v>"%USERPROFILE%\Documents\GitHub\eaglep3\Utilities\RefineRTDCRunTimes.py" --tripid 153-07 --locoid 4046 --swversion DE.1.0.8.0 --startMP 204:442 --initTime 2017-01-07T10:09:09 --startdatetime 2017-01-07T10:15:23 --delay 1 --endMP 204:233293 --enddatetime 2017-01-07T10:53:07 --enforcementcount 0 &gt;&gt;C:\Users\stu\Documents\GitHub\eaglep3-reporting\EC\2017-01-07-refined-times.txt</v>
      </c>
      <c r="AI6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ID","value":"153-07"},{"id":16,"name":"Locomotive ID","value":"4046"},{"id":130,"name":"Impact","value":""},{"id":150,"name":"Time of Event (Mountain Time)","value":"10:53:07"},{"id":151,"name":"Denver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18"/>
        <v>start /low /b %USERPROFILE%\Documents\GitHub\eaglep3\Utilities\DownloadLogsFromS3.py --loco 4046 --day 2017-01-07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542</v>
      </c>
      <c r="B67" s="7">
        <v>4045</v>
      </c>
      <c r="C67" s="22" t="s">
        <v>203</v>
      </c>
      <c r="D67" s="22" t="s">
        <v>294</v>
      </c>
      <c r="E67" s="13">
        <v>42742.463148148148</v>
      </c>
      <c r="F67" s="13">
        <v>42742.466249999998</v>
      </c>
      <c r="G67" s="7">
        <v>1</v>
      </c>
      <c r="H67" s="22" t="s">
        <v>284</v>
      </c>
      <c r="I67" s="13">
        <v>42742.492118055554</v>
      </c>
      <c r="J67" s="7">
        <v>0</v>
      </c>
      <c r="K67" s="105" t="str">
        <f t="shared" si="0"/>
        <v>4045/4046</v>
      </c>
      <c r="L67" s="22" t="str">
        <f>VLOOKUP(A67,'Trips&amp;Operators'!$C$1:$G$99999,5,FALSE)</f>
        <v>LOZA FIDEL</v>
      </c>
      <c r="M67" s="6">
        <f t="shared" si="1"/>
        <v>2.5868055556202307E-2</v>
      </c>
      <c r="N67" s="7">
        <f t="shared" si="22"/>
        <v>37.250000000931323</v>
      </c>
      <c r="O67" s="7"/>
      <c r="P67" s="7"/>
      <c r="Q67" s="23"/>
      <c r="R67" s="23"/>
      <c r="S67" s="32">
        <f t="shared" si="20"/>
        <v>1</v>
      </c>
      <c r="T67" s="47" t="str">
        <f t="shared" si="2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10:06:56-700',mode:absolute,to:'2017-01-07 12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7" s="49" t="str">
        <f t="shared" si="4"/>
        <v>N</v>
      </c>
      <c r="X67" s="173">
        <f t="shared" si="21"/>
        <v>1</v>
      </c>
      <c r="Y67" s="64">
        <f t="shared" si="6"/>
        <v>23.2989</v>
      </c>
      <c r="Z67" s="64">
        <f t="shared" si="7"/>
        <v>1.5800000000000002E-2</v>
      </c>
      <c r="AA67" s="64">
        <f t="shared" si="8"/>
        <v>23.283100000000001</v>
      </c>
      <c r="AB67" s="61" t="e">
        <f>VLOOKUP(A67,Enforcements!$C$7:$K$18,8,0)</f>
        <v>#N/A</v>
      </c>
      <c r="AC67" s="57" t="e">
        <f>VLOOKUP(A67,Enforcements!$C$7:$E$18,3,0)</f>
        <v>#N/A</v>
      </c>
      <c r="AD67" s="58" t="str">
        <f t="shared" si="9"/>
        <v>0154-07</v>
      </c>
      <c r="AE67" s="87" t="str">
        <f t="shared" si="10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67" s="84" t="str">
        <f t="shared" si="11"/>
        <v>"C:\Program Files (x86)\AstroGrep\AstroGrep.exe" /spath="%USERPROFILE%\AppData\Local\Temp\OnboardLogs" /stypes="app*4045*20170107*"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8" t="str">
        <f t="shared" si="16"/>
        <v>"%USERPROFILE%\Documents\GitHub\eaglep3\Utilities\RefineRTDCRunTimes.py" --tripid 154-07 --locoid 4045 --swversion DE.1.0.8.0 --startMP 204:232989 --initTime 2017-01-07T11:06:56 --startdatetime 2017-01-07T11:11:24 --delay 1 --endMP 204:158 --enddatetime 2017-01-07T11:48:39 --enforcementcount 0 &gt;&gt;C:\Users\stu\Documents\GitHub\eaglep3-reporting\EC\2017-01-07-refined-times.txt</v>
      </c>
      <c r="AI6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ID","value":"154-07"},{"id":16,"name":"Locomotive ID","value":"4045"},{"id":130,"name":"Impact","value":""},{"id":150,"name":"Time of Event (Mountain Time)","value":"11:48:39"},{"id":151,"name":"Denver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8"/>
        <v>start /low /b %USERPROFILE%\Documents\GitHub\eaglep3\Utilities\DownloadLogsFromS3.py --loco 4045 --day 2017-01-07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536</v>
      </c>
      <c r="B68" s="7">
        <v>4044</v>
      </c>
      <c r="C68" s="22" t="s">
        <v>203</v>
      </c>
      <c r="D68" s="22" t="s">
        <v>331</v>
      </c>
      <c r="E68" s="13">
        <v>42742.432546296295</v>
      </c>
      <c r="F68" s="13">
        <v>42742.437708333331</v>
      </c>
      <c r="G68" s="7">
        <v>2</v>
      </c>
      <c r="H68" s="22" t="s">
        <v>686</v>
      </c>
      <c r="I68" s="13">
        <v>42742.463113425925</v>
      </c>
      <c r="J68" s="7">
        <v>0</v>
      </c>
      <c r="K68" s="105" t="str">
        <f t="shared" si="0"/>
        <v>4043/4044</v>
      </c>
      <c r="L68" s="22" t="str">
        <f>VLOOKUP(A68,'Trips&amp;Operators'!$C$1:$G$99999,5,FALSE)</f>
        <v>BRANDNER MELINDA</v>
      </c>
      <c r="M68" s="6">
        <f t="shared" si="1"/>
        <v>2.5405092594155576E-2</v>
      </c>
      <c r="N68" s="7">
        <f t="shared" si="22"/>
        <v>36.58333333558403</v>
      </c>
      <c r="O68" s="7"/>
      <c r="P68" s="7"/>
      <c r="Q68" s="23"/>
      <c r="R68" s="23"/>
      <c r="S68" s="32">
        <f t="shared" si="20"/>
        <v>1</v>
      </c>
      <c r="T68" s="47" t="str">
        <f t="shared" si="2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09:22:52-700',mode:absolute,to:'2017-01-07 12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49" t="str">
        <f t="shared" si="4"/>
        <v>N</v>
      </c>
      <c r="X68" s="173">
        <f t="shared" si="21"/>
        <v>1</v>
      </c>
      <c r="Y68" s="64">
        <f t="shared" si="6"/>
        <v>4.6899999999999997E-2</v>
      </c>
      <c r="Z68" s="64">
        <f t="shared" si="7"/>
        <v>23.330500000000001</v>
      </c>
      <c r="AA68" s="64">
        <f t="shared" si="8"/>
        <v>23.2836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 t="shared" si="9"/>
        <v>0155-07</v>
      </c>
      <c r="AE68" s="87" t="str">
        <f t="shared" si="10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68" s="84" t="str">
        <f t="shared" si="11"/>
        <v>"C:\Program Files (x86)\AstroGrep\AstroGrep.exe" /spath="%USERPROFILE%\AppData\Local\Temp\OnboardLogs" /stypes="app*4044*20170107*"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8" t="str">
        <f t="shared" si="16"/>
        <v>"%USERPROFILE%\Documents\GitHub\eaglep3\Utilities\RefineRTDCRunTimes.py" --tripid 155-07 --locoid 4044 --swversion DE.1.0.8.0 --startMP 204:469 --initTime 2017-01-07T10:22:52 --startdatetime 2017-01-07T10:30:18 --delay 2 --endMP 204:233305 --enddatetime 2017-01-07T11:06:53 --enforcementcount 0 &gt;&gt;C:\Users\stu\Documents\GitHub\eaglep3-reporting\EC\2017-01-07-refined-times.txt</v>
      </c>
      <c r="AI68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ID","value":"155-07"},{"id":16,"name":"Locomotive ID","value":"4044"},{"id":130,"name":"Impact","value":""},{"id":150,"name":"Time of Event (Mountain Time)","value":"11:06:53"},{"id":151,"name":"Denver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8"/>
        <v>start /low /b %USERPROFILE%\Documents\GitHub\eaglep3\Utilities\DownloadLogsFromS3.py --loco 4044 --day 2017-01-07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546</v>
      </c>
      <c r="B69" s="7">
        <v>4043</v>
      </c>
      <c r="C69" s="22" t="s">
        <v>203</v>
      </c>
      <c r="D69" s="22" t="s">
        <v>248</v>
      </c>
      <c r="E69" s="13">
        <v>42742.46980324074</v>
      </c>
      <c r="F69" s="13">
        <v>42742.476666666669</v>
      </c>
      <c r="G69" s="7">
        <v>1</v>
      </c>
      <c r="H69" s="22" t="s">
        <v>209</v>
      </c>
      <c r="I69" s="13">
        <v>42742.504421296297</v>
      </c>
      <c r="J69" s="7">
        <v>0</v>
      </c>
      <c r="K69" s="105" t="str">
        <f t="shared" si="0"/>
        <v>4043/4044</v>
      </c>
      <c r="L69" s="22" t="str">
        <f>VLOOKUP(A69,'Trips&amp;Operators'!$C$1:$G$99999,5,FALSE)</f>
        <v>BRANDNER MELINDA</v>
      </c>
      <c r="M69" s="6">
        <f t="shared" si="1"/>
        <v>2.7754629627452232E-2</v>
      </c>
      <c r="N69" s="7">
        <f t="shared" si="22"/>
        <v>39.966666663531214</v>
      </c>
      <c r="O69" s="7"/>
      <c r="P69" s="7"/>
      <c r="Q69" s="23"/>
      <c r="R69" s="23"/>
      <c r="S69" s="32">
        <f t="shared" si="20"/>
        <v>1</v>
      </c>
      <c r="T69" s="47" t="str">
        <f t="shared" si="2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10:16:31-700',mode:absolute,to:'2017-01-07 13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49" t="str">
        <f t="shared" si="4"/>
        <v>N</v>
      </c>
      <c r="X69" s="173">
        <f t="shared" si="21"/>
        <v>1</v>
      </c>
      <c r="Y69" s="64">
        <f t="shared" si="6"/>
        <v>23.297699999999999</v>
      </c>
      <c r="Z69" s="64">
        <f t="shared" si="7"/>
        <v>1.4999999999999999E-2</v>
      </c>
      <c r="AA69" s="64">
        <f t="shared" si="8"/>
        <v>23.282699999999998</v>
      </c>
      <c r="AB69" s="61" t="e">
        <f>VLOOKUP(A69,Enforcements!$C$7:$K$18,8,0)</f>
        <v>#N/A</v>
      </c>
      <c r="AC69" s="57" t="e">
        <f>VLOOKUP(A69,Enforcements!$C$7:$E$18,3,0)</f>
        <v>#N/A</v>
      </c>
      <c r="AD69" s="58" t="str">
        <f t="shared" si="9"/>
        <v>0156-07</v>
      </c>
      <c r="AE69" s="87" t="str">
        <f t="shared" si="10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69" s="84" t="str">
        <f t="shared" si="11"/>
        <v>"C:\Program Files (x86)\AstroGrep\AstroGrep.exe" /spath="%USERPROFILE%\AppData\Local\Temp\OnboardLogs" /stypes="app*4043*20170107*" /stext=" 19:.+((SYSTEM_STATE.+slice.+state.+changed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8" t="str">
        <f t="shared" si="16"/>
        <v>"%USERPROFILE%\Documents\GitHub\eaglep3\Utilities\RefineRTDCRunTimes.py" --tripid 156-07 --locoid 4043 --swversion DE.1.0.8.0 --startMP 204:232977 --initTime 2017-01-07T11:16:31 --startdatetime 2017-01-07T11:26:24 --delay 1 --endMP 204:150 --enddatetime 2017-01-07T12:06:22 --enforcementcount 0 &gt;&gt;C:\Users\stu\Documents\GitHub\eaglep3-reporting\EC\2017-01-07-refined-times.txt</v>
      </c>
      <c r="AI69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ID","value":"156-07"},{"id":16,"name":"Locomotive ID","value":"4043"},{"id":130,"name":"Impact","value":""},{"id":150,"name":"Time of Event (Mountain Time)","value":"12:06:22"},{"id":151,"name":"Denver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8"/>
        <v>start /low /b %USERPROFILE%\Documents\GitHub\eaglep3\Utilities\DownloadLogsFromS3.py --loco 4043 --day 2017-01-07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539</v>
      </c>
      <c r="B70" s="7">
        <v>4003</v>
      </c>
      <c r="C70" s="22" t="s">
        <v>203</v>
      </c>
      <c r="D70" s="22" t="s">
        <v>242</v>
      </c>
      <c r="E70" s="13">
        <v>42742.444374999999</v>
      </c>
      <c r="F70" s="13">
        <v>42742.44809027778</v>
      </c>
      <c r="G70" s="7">
        <v>1</v>
      </c>
      <c r="H70" s="22" t="s">
        <v>660</v>
      </c>
      <c r="I70" s="13">
        <v>42742.473425925928</v>
      </c>
      <c r="J70" s="7">
        <v>0</v>
      </c>
      <c r="K70" s="105" t="str">
        <f t="shared" si="0"/>
        <v>4003/4004</v>
      </c>
      <c r="L70" s="22" t="str">
        <f>VLOOKUP(A70,'Trips&amp;Operators'!$C$1:$G$99999,5,FALSE)</f>
        <v>GEBRETEKLE DAGNEW</v>
      </c>
      <c r="M70" s="6">
        <f t="shared" si="1"/>
        <v>2.5335648148029577E-2</v>
      </c>
      <c r="N70" s="7">
        <f t="shared" si="22"/>
        <v>36.483333333162591</v>
      </c>
      <c r="O70" s="7"/>
      <c r="P70" s="7"/>
      <c r="Q70" s="23"/>
      <c r="R70" s="23"/>
      <c r="S70" s="32">
        <f t="shared" si="20"/>
        <v>1</v>
      </c>
      <c r="T70" s="47" t="str">
        <f t="shared" si="2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09:39:54-700',mode:absolute,to:'2017-01-07 12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0" s="49" t="str">
        <f t="shared" si="4"/>
        <v>N</v>
      </c>
      <c r="X70" s="173">
        <f t="shared" si="21"/>
        <v>1</v>
      </c>
      <c r="Y70" s="64">
        <f t="shared" si="6"/>
        <v>4.53E-2</v>
      </c>
      <c r="Z70" s="64">
        <f t="shared" si="7"/>
        <v>23.3308</v>
      </c>
      <c r="AA70" s="64">
        <f t="shared" si="8"/>
        <v>23.285499999999999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 t="shared" si="9"/>
        <v>0157-07</v>
      </c>
      <c r="AE70" s="87" t="str">
        <f t="shared" si="10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70" s="84" t="str">
        <f t="shared" si="11"/>
        <v>"C:\Program Files (x86)\AstroGrep\AstroGrep.exe" /spath="%USERPROFILE%\AppData\Local\Temp\OnboardLogs" /stypes="app*4003*20170107*" /stext=" 18:.+((SYSTEM_STATE.+slice.+state.+changed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8" t="str">
        <f t="shared" si="16"/>
        <v>"%USERPROFILE%\Documents\GitHub\eaglep3\Utilities\RefineRTDCRunTimes.py" --tripid 157-07 --locoid 4003 --swversion DE.1.0.8.0 --startMP 204:453 --initTime 2017-01-07T10:39:54 --startdatetime 2017-01-07T10:45:15 --delay 1 --endMP 204:233308 --enddatetime 2017-01-07T11:21:44 --enforcementcount 0 &gt;&gt;C:\Users\stu\Documents\GitHub\eaglep3-reporting\EC\2017-01-07-refined-times.txt</v>
      </c>
      <c r="AI70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ID","value":"157-07"},{"id":16,"name":"Locomotive ID","value":"4003"},{"id":130,"name":"Impact","value":""},{"id":150,"name":"Time of Event (Mountain Time)","value":"11:21:44"},{"id":151,"name":"Denver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8"/>
        <v>start /low /b %USERPROFILE%\Documents\GitHub\eaglep3\Utilities\DownloadLogsFromS3.py --loco 4003 --day 2017-01-07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550</v>
      </c>
      <c r="B71" s="7">
        <v>4004</v>
      </c>
      <c r="C71" s="22" t="s">
        <v>203</v>
      </c>
      <c r="D71" s="22" t="s">
        <v>406</v>
      </c>
      <c r="E71" s="13">
        <v>42742.484479166669</v>
      </c>
      <c r="F71" s="13">
        <v>42742.487037037034</v>
      </c>
      <c r="G71" s="7">
        <v>1</v>
      </c>
      <c r="H71" s="22" t="s">
        <v>349</v>
      </c>
      <c r="I71" s="13">
        <v>42742.513518518521</v>
      </c>
      <c r="J71" s="7">
        <v>0</v>
      </c>
      <c r="K71" s="105" t="str">
        <f t="shared" si="0"/>
        <v>4003/4004</v>
      </c>
      <c r="L71" s="22" t="str">
        <f>VLOOKUP(A71,'Trips&amp;Operators'!$C$1:$G$99999,5,FALSE)</f>
        <v>GEBRETEKLE DAGNEW</v>
      </c>
      <c r="M71" s="6">
        <f t="shared" si="1"/>
        <v>2.6481481487280689E-2</v>
      </c>
      <c r="N71" s="7">
        <f t="shared" si="22"/>
        <v>38.133333341684192</v>
      </c>
      <c r="O71" s="7"/>
      <c r="P71" s="7"/>
      <c r="Q71" s="23"/>
      <c r="R71" s="23"/>
      <c r="S71" s="32">
        <f t="shared" si="20"/>
        <v>1</v>
      </c>
      <c r="T71" s="47" t="str">
        <f t="shared" si="2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10:37:39-700',mode:absolute,to:'2017-01-07 13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1" s="49" t="str">
        <f t="shared" si="4"/>
        <v>N</v>
      </c>
      <c r="X71" s="173">
        <f t="shared" si="21"/>
        <v>1</v>
      </c>
      <c r="Y71" s="64">
        <f t="shared" si="6"/>
        <v>23.299399999999999</v>
      </c>
      <c r="Z71" s="64">
        <f t="shared" si="7"/>
        <v>1.3599999999999999E-2</v>
      </c>
      <c r="AA71" s="64">
        <f t="shared" si="8"/>
        <v>23.285799999999998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 t="shared" si="9"/>
        <v>0158-07</v>
      </c>
      <c r="AE71" s="87" t="str">
        <f t="shared" si="10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71" s="84" t="str">
        <f t="shared" si="11"/>
        <v>"C:\Program Files (x86)\AstroGrep\AstroGrep.exe" /spath="%USERPROFILE%\AppData\Local\Temp\OnboardLogs" /stypes="app*4004*20170107*" /stext=" 19:.+((SYSTEM_STATE.+slice.+state.+changed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8" t="str">
        <f t="shared" si="16"/>
        <v>"%USERPROFILE%\Documents\GitHub\eaglep3\Utilities\RefineRTDCRunTimes.py" --tripid 158-07 --locoid 4004 --swversion DE.1.0.8.0 --startMP 204:232994 --initTime 2017-01-07T11:37:39 --startdatetime 2017-01-07T11:41:20 --delay 1 --endMP 204:136 --enddatetime 2017-01-07T12:19:28 --enforcementcount 0 &gt;&gt;C:\Users\stu\Documents\GitHub\eaglep3-reporting\EC\2017-01-07-refined-times.txt</v>
      </c>
      <c r="AI71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{"issue":{"subject":"","project_id":79,"tracker_id":40,"status_id":1,"priority_id":2,"assigned_to_id":23,"start_date":"2017-01-07","description":"","custom_fields":[{"id":1,"name":"Subdivision","value":"EC"},{"id":4,"name":"Milepost","value":"0.0136"},{"id":17,"name":"Train ID","value":"158-07"},{"id":16,"name":"Locomotive ID","value":"4004"},{"id":130,"name":"Impact","value":""},{"id":150,"name":"Time of Event (Mountain Time)","value":"12:19:28"},{"id":151,"name":"Denver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8"/>
        <v>start /low /b %USERPROFILE%\Documents\GitHub\eaglep3\Utilities\DownloadLogsFromS3.py --loco 4004 --day 2017-01-07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441</v>
      </c>
      <c r="B72" s="7">
        <v>4016</v>
      </c>
      <c r="C72" s="22" t="s">
        <v>203</v>
      </c>
      <c r="D72" s="22" t="s">
        <v>300</v>
      </c>
      <c r="E72" s="13">
        <v>42742.453217592592</v>
      </c>
      <c r="F72" s="13">
        <v>42742.458622685182</v>
      </c>
      <c r="G72" s="7">
        <v>2</v>
      </c>
      <c r="H72" s="22" t="s">
        <v>687</v>
      </c>
      <c r="I72" s="13">
        <v>42742.487291666665</v>
      </c>
      <c r="J72" s="7">
        <v>0</v>
      </c>
      <c r="K72" s="105" t="str">
        <f t="shared" si="0"/>
        <v>4015/4016</v>
      </c>
      <c r="L72" s="22" t="str">
        <f>VLOOKUP(A72,'Trips&amp;Operators'!$C$1:$G$99999,5,FALSE)</f>
        <v>STEWART MICHAEL</v>
      </c>
      <c r="M72" s="6">
        <f t="shared" si="1"/>
        <v>2.8668981482042E-2</v>
      </c>
      <c r="N72" s="7">
        <f t="shared" si="22"/>
        <v>41.28333333414048</v>
      </c>
      <c r="O72" s="7"/>
      <c r="P72" s="7"/>
      <c r="Q72" s="23"/>
      <c r="R72" s="23"/>
      <c r="S72" s="32">
        <f t="shared" si="20"/>
        <v>1</v>
      </c>
      <c r="T72" s="47" t="str">
        <f t="shared" si="2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09:52:38-700',mode:absolute,to:'2017-01-07 12:41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2" s="49" t="str">
        <f t="shared" si="4"/>
        <v>N</v>
      </c>
      <c r="X72" s="173">
        <f t="shared" si="21"/>
        <v>1</v>
      </c>
      <c r="Y72" s="64">
        <f t="shared" si="6"/>
        <v>4.6699999999999998E-2</v>
      </c>
      <c r="Z72" s="64">
        <f t="shared" si="7"/>
        <v>23.328199999999999</v>
      </c>
      <c r="AA72" s="64">
        <f t="shared" si="8"/>
        <v>23.281499999999998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 t="shared" si="9"/>
        <v>0159-07</v>
      </c>
      <c r="AE72" s="87" t="str">
        <f t="shared" si="10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72" s="84" t="str">
        <f t="shared" si="11"/>
        <v>"C:\Program Files (x86)\AstroGrep\AstroGrep.exe" /spath="%USERPROFILE%\AppData\Local\Temp\OnboardLogs" /stypes="app*4016*20170107*" /stext=" 18:.+((SYSTEM_STATE.+slice.+state.+changed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8" t="str">
        <f t="shared" si="16"/>
        <v>"%USERPROFILE%\Documents\GitHub\eaglep3\Utilities\RefineRTDCRunTimes.py" --tripid 159-07 --locoid 4016 --swversion DE.1.0.8.0 --startMP 204:467 --initTime 2017-01-07T10:52:38 --startdatetime 2017-01-07T11:00:25 --delay 2 --endMP 204:233282 --enddatetime 2017-01-07T11:41:42 --enforcementcount 0 &gt;&gt;C:\Users\stu\Documents\GitHub\eaglep3-reporting\EC\2017-01-07-refined-times.txt</v>
      </c>
      <c r="AI72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{"issue":{"subject":"","project_id":79,"tracker_id":40,"status_id":1,"priority_id":2,"assigned_to_id":23,"start_date":"2017-01-07","description":"","custom_fields":[{"id":1,"name":"Subdivision","value":"EC"},{"id":4,"name":"Milepost","value":"23.3282"},{"id":17,"name":"Train ID","value":"159-07"},{"id":16,"name":"Locomotive ID","value":"4016"},{"id":130,"name":"Impact","value":""},{"id":150,"name":"Time of Event (Mountain Time)","value":"11:41:42"},{"id":151,"name":"Denver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8"/>
        <v>start /low /b %USERPROFILE%\Documents\GitHub\eaglep3\Utilities\DownloadLogsFromS3.py --loco 4016 --day 2017-01-07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554</v>
      </c>
      <c r="B73" s="7">
        <v>4015</v>
      </c>
      <c r="C73" s="22" t="s">
        <v>203</v>
      </c>
      <c r="D73" s="22" t="s">
        <v>289</v>
      </c>
      <c r="E73" s="13">
        <v>42742.494444444441</v>
      </c>
      <c r="F73" s="13">
        <v>42742.497499999998</v>
      </c>
      <c r="G73" s="7">
        <v>2</v>
      </c>
      <c r="H73" s="22" t="s">
        <v>249</v>
      </c>
      <c r="I73" s="13">
        <v>42742.524780092594</v>
      </c>
      <c r="J73" s="7">
        <v>0</v>
      </c>
      <c r="K73" s="105" t="str">
        <f t="shared" si="0"/>
        <v>4015/4016</v>
      </c>
      <c r="L73" s="22" t="str">
        <f>VLOOKUP(A73,'Trips&amp;Operators'!$C$1:$G$99999,5,FALSE)</f>
        <v>STEWART MICHAEL</v>
      </c>
      <c r="M73" s="6">
        <f t="shared" si="1"/>
        <v>2.7280092595901806E-2</v>
      </c>
      <c r="N73" s="7">
        <f t="shared" si="22"/>
        <v>39.283333338098601</v>
      </c>
      <c r="O73" s="7"/>
      <c r="P73" s="7"/>
      <c r="Q73" s="23"/>
      <c r="R73" s="23"/>
      <c r="S73" s="32">
        <f t="shared" si="20"/>
        <v>1</v>
      </c>
      <c r="T73" s="47" t="str">
        <f t="shared" si="2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10:52:00-700',mode:absolute,to:'2017-01-07 13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3" s="49" t="str">
        <f t="shared" si="4"/>
        <v>N</v>
      </c>
      <c r="X73" s="173">
        <f t="shared" si="21"/>
        <v>1</v>
      </c>
      <c r="Y73" s="64">
        <f t="shared" si="6"/>
        <v>23.2971</v>
      </c>
      <c r="Z73" s="64">
        <f t="shared" si="7"/>
        <v>1.6E-2</v>
      </c>
      <c r="AA73" s="64">
        <f t="shared" si="8"/>
        <v>23.281100000000002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 t="shared" si="9"/>
        <v>0160-07</v>
      </c>
      <c r="AE73" s="87" t="str">
        <f t="shared" si="10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73" s="84" t="str">
        <f t="shared" si="11"/>
        <v>"C:\Program Files (x86)\AstroGrep\AstroGrep.exe" /spath="%USERPROFILE%\AppData\Local\Temp\OnboardLogs" /stypes="app*4015*20170107*" /stext=" 19:.+((SYSTEM_STATE.+slice.+state.+changed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8" t="str">
        <f t="shared" si="16"/>
        <v>"%USERPROFILE%\Documents\GitHub\eaglep3\Utilities\RefineRTDCRunTimes.py" --tripid 160-07 --locoid 4015 --swversion DE.1.0.8.0 --startMP 204:232971 --initTime 2017-01-07T11:52:00 --startdatetime 2017-01-07T11:56:24 --delay 2 --endMP 204:160 --enddatetime 2017-01-07T12:35:41 --enforcementcount 0 &gt;&gt;C:\Users\stu\Documents\GitHub\eaglep3-reporting\EC\2017-01-07-refined-times.txt</v>
      </c>
      <c r="AI73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ID","value":"160-07"},{"id":16,"name":"Locomotive ID","value":"4015"},{"id":130,"name":"Impact","value":""},{"id":150,"name":"Time of Event (Mountain Time)","value":"12:35:41"},{"id":151,"name":"Denver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8"/>
        <v>start /low /b %USERPROFILE%\Documents\GitHub\eaglep3\Utilities\DownloadLogsFromS3.py --loco 4015 --day 2017-01-07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543</v>
      </c>
      <c r="B74" s="7">
        <v>4011</v>
      </c>
      <c r="C74" s="22" t="s">
        <v>203</v>
      </c>
      <c r="D74" s="22" t="s">
        <v>318</v>
      </c>
      <c r="E74" s="13">
        <v>42742.463495370372</v>
      </c>
      <c r="F74" s="13">
        <v>42742.468923611108</v>
      </c>
      <c r="G74" s="7">
        <v>1</v>
      </c>
      <c r="H74" s="22" t="s">
        <v>688</v>
      </c>
      <c r="I74" s="13">
        <v>42742.497743055559</v>
      </c>
      <c r="J74" s="7">
        <v>0</v>
      </c>
      <c r="K74" s="105" t="str">
        <f t="shared" si="0"/>
        <v>4011/4012</v>
      </c>
      <c r="L74" s="22" t="str">
        <f>VLOOKUP(A74,'Trips&amp;Operators'!$C$1:$G$99999,5,FALSE)</f>
        <v>LOPES KIMBERLY</v>
      </c>
      <c r="M74" s="6">
        <f t="shared" si="1"/>
        <v>2.881944445107365E-2</v>
      </c>
      <c r="N74" s="7">
        <f t="shared" si="22"/>
        <v>41.500000009546056</v>
      </c>
      <c r="O74" s="7"/>
      <c r="P74" s="7"/>
      <c r="Q74" s="23"/>
      <c r="R74" s="23"/>
      <c r="S74" s="32">
        <f t="shared" si="20"/>
        <v>1</v>
      </c>
      <c r="T74" s="47" t="str">
        <f t="shared" si="2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10:07:26-700',mode:absolute,to:'2017-01-07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49" t="str">
        <f t="shared" si="4"/>
        <v>N</v>
      </c>
      <c r="X74" s="173">
        <f t="shared" si="21"/>
        <v>1</v>
      </c>
      <c r="Y74" s="64">
        <f t="shared" si="6"/>
        <v>4.58E-2</v>
      </c>
      <c r="Z74" s="64">
        <f t="shared" si="7"/>
        <v>23.329699999999999</v>
      </c>
      <c r="AA74" s="64">
        <f t="shared" si="8"/>
        <v>23.283899999999999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 t="shared" si="9"/>
        <v>0161-07</v>
      </c>
      <c r="AE74" s="87" t="str">
        <f t="shared" si="10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74" s="84" t="str">
        <f t="shared" si="11"/>
        <v>"C:\Program Files (x86)\AstroGrep\AstroGrep.exe" /spath="%USERPROFILE%\AppData\Local\Temp\OnboardLogs" /stypes="app*4011*20170107*" /stext=" 18:.+((SYSTEM_STATE.+slice.+state.+changed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8" t="str">
        <f t="shared" si="16"/>
        <v>"%USERPROFILE%\Documents\GitHub\eaglep3\Utilities\RefineRTDCRunTimes.py" --tripid 161-07 --locoid 4011 --swversion DE.1.0.8.0 --startMP 204:458 --initTime 2017-01-07T11:07:26 --startdatetime 2017-01-07T11:15:15 --delay 1 --endMP 204:233297 --enddatetime 2017-01-07T11:56:45 --enforcementcount 0 &gt;&gt;C:\Users\stu\Documents\GitHub\eaglep3-reporting\EC\2017-01-07-refined-times.txt</v>
      </c>
      <c r="AI74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ID","value":"161-07"},{"id":16,"name":"Locomotive ID","value":"4011"},{"id":130,"name":"Impact","value":""},{"id":150,"name":"Time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8"/>
        <v>start /low /b %USERPROFILE%\Documents\GitHub\eaglep3\Utilities\DownloadLogsFromS3.py --loco 4011 --day 2017-01-07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446</v>
      </c>
      <c r="B75" s="7">
        <v>4012</v>
      </c>
      <c r="C75" s="22" t="s">
        <v>203</v>
      </c>
      <c r="D75" s="22" t="s">
        <v>406</v>
      </c>
      <c r="E75" s="13">
        <v>42742.500381944446</v>
      </c>
      <c r="F75" s="13">
        <v>42742.507800925923</v>
      </c>
      <c r="G75" s="7">
        <v>1</v>
      </c>
      <c r="H75" s="22" t="s">
        <v>228</v>
      </c>
      <c r="I75" s="13">
        <v>42742.543217592596</v>
      </c>
      <c r="J75" s="7">
        <v>0</v>
      </c>
      <c r="K75" s="105" t="str">
        <f t="shared" si="0"/>
        <v>4011/4012</v>
      </c>
      <c r="L75" s="22" t="str">
        <f>VLOOKUP(A75,'Trips&amp;Operators'!$C$1:$G$99999,5,FALSE)</f>
        <v>LOPES KIMBERLY</v>
      </c>
      <c r="M75" s="6">
        <f t="shared" si="1"/>
        <v>3.5416666672972497E-2</v>
      </c>
      <c r="N75" s="7">
        <f t="shared" si="22"/>
        <v>51.000000009080395</v>
      </c>
      <c r="O75" s="7"/>
      <c r="P75" s="7"/>
      <c r="Q75" s="23"/>
      <c r="R75" s="23"/>
      <c r="S75" s="32">
        <f t="shared" si="20"/>
        <v>1</v>
      </c>
      <c r="T75" s="47" t="str">
        <f t="shared" si="2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11:00:33-700',mode:absolute,to:'2017-01-07 14:02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5" s="49" t="str">
        <f t="shared" si="4"/>
        <v>N</v>
      </c>
      <c r="X75" s="173">
        <f t="shared" si="21"/>
        <v>1</v>
      </c>
      <c r="Y75" s="64">
        <f t="shared" si="6"/>
        <v>23.299399999999999</v>
      </c>
      <c r="Z75" s="64">
        <f t="shared" si="7"/>
        <v>1.4500000000000001E-2</v>
      </c>
      <c r="AA75" s="64">
        <f t="shared" si="8"/>
        <v>23.284899999999997</v>
      </c>
      <c r="AB75" s="61" t="str">
        <f>VLOOKUP(A75,Enforcements!$C$7:$K$18,8,0)</f>
        <v>Bulletin (2)</v>
      </c>
      <c r="AC75" s="57" t="str">
        <f>VLOOKUP(A75,Enforcements!$C$7:$E$18,3,0)</f>
        <v>GRADE CROSSING</v>
      </c>
      <c r="AD75" s="58" t="str">
        <f t="shared" si="9"/>
        <v>0162-07</v>
      </c>
      <c r="AE75" s="87" t="str">
        <f t="shared" si="10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75" s="84" t="str">
        <f t="shared" si="11"/>
        <v>"C:\Program Files (x86)\AstroGrep\AstroGrep.exe" /spath="%USERPROFILE%\AppData\Local\Temp\OnboardLogs" /stypes="app*4012*20170107*" /stext=" 20:.+((SYSTEM_STATE.+slice.+state.+changed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88" t="str">
        <f t="shared" si="16"/>
        <v>"%USERPROFILE%\Documents\GitHub\eaglep3\Utilities\RefineRTDCRunTimes.py" --tripid 162-07 --locoid 4012 --swversion DE.1.0.8.0 --startMP 204:232994 --initTime 2017-01-07T12:00:33 --startdatetime 2017-01-07T12:11:14 --delay 1 --endMP 204:145 --enddatetime 2017-01-07T13:02:14 --enforcementcount 0 &gt;&gt;C:\Users\stu\Documents\GitHub\eaglep3-reporting\EC\2017-01-07-refined-times.txt</v>
      </c>
      <c r="AI75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ID","value":"162-07"},{"id":16,"name":"Locomotive ID","value":"4012"},{"id":130,"name":"Impact","value":""},{"id":150,"name":"Time of Event (Mountain Time)","value":"13:02:14"},{"id":151,"name":"Denver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18"/>
        <v>start /low /b %USERPROFILE%\Documents\GitHub\eaglep3\Utilities\DownloadLogsFromS3.py --loco 4012 --day 2017-01-07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549</v>
      </c>
      <c r="B76" s="7">
        <v>4042</v>
      </c>
      <c r="C76" s="22" t="s">
        <v>203</v>
      </c>
      <c r="D76" s="22" t="s">
        <v>296</v>
      </c>
      <c r="E76" s="13">
        <v>42742.477060185185</v>
      </c>
      <c r="F76" s="13">
        <v>42742.47934027778</v>
      </c>
      <c r="G76" s="7">
        <v>1</v>
      </c>
      <c r="H76" s="22" t="s">
        <v>401</v>
      </c>
      <c r="I76" s="13">
        <v>42742.503842592596</v>
      </c>
      <c r="J76" s="7">
        <v>0</v>
      </c>
      <c r="K76" s="105" t="str">
        <f t="shared" si="0"/>
        <v>4041/4042</v>
      </c>
      <c r="L76" s="22" t="str">
        <f>VLOOKUP(A76,'Trips&amp;Operators'!$C$1:$G$99999,5,FALSE)</f>
        <v>BRUDER RICHARD</v>
      </c>
      <c r="M76" s="6">
        <f t="shared" si="1"/>
        <v>2.4502314816345461E-2</v>
      </c>
      <c r="N76" s="7">
        <f t="shared" si="22"/>
        <v>35.283333335537463</v>
      </c>
      <c r="O76" s="7"/>
      <c r="P76" s="7"/>
      <c r="Q76" s="23"/>
      <c r="R76" s="23"/>
      <c r="S76" s="32">
        <f t="shared" si="20"/>
        <v>1</v>
      </c>
      <c r="T76" s="47" t="str">
        <f t="shared" si="2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https://search-rtdc-monitor-bjffxe2xuh6vdkpspy63sjmuny.us-east-1.es.amazonaws.com/_plugin/kibana/#/discover/Steve-Slow-Train-Analysis-(2080s-and-2083s)?_g=(refreshInterval:(display:Off,section:0,value:0),time:(from:'2017-01-07 10:26:58-700',mode:absolute,to:'2017-01-07 13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49" t="str">
        <f t="shared" si="4"/>
        <v>N</v>
      </c>
      <c r="X76" s="173">
        <f t="shared" si="21"/>
        <v>1</v>
      </c>
      <c r="Y76" s="64">
        <f t="shared" si="6"/>
        <v>4.3700000000000003E-2</v>
      </c>
      <c r="Z76" s="64">
        <f t="shared" si="7"/>
        <v>23.3309</v>
      </c>
      <c r="AA76" s="64">
        <f t="shared" si="8"/>
        <v>23.287199999999999</v>
      </c>
      <c r="AB76" s="61" t="e">
        <f>VLOOKUP(A76,Enforcements!$C$7:$K$18,8,0)</f>
        <v>#N/A</v>
      </c>
      <c r="AC76" s="57" t="e">
        <f>VLOOKUP(A76,Enforcements!$C$7:$E$18,3,0)</f>
        <v>#N/A</v>
      </c>
      <c r="AD76" s="58" t="str">
        <f t="shared" si="9"/>
        <v>0163-07</v>
      </c>
      <c r="AE76" s="87" t="str">
        <f t="shared" si="10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76" s="84" t="str">
        <f t="shared" si="11"/>
        <v>"C:\Program Files (x86)\AstroGrep\AstroGrep.exe" /spath="%USERPROFILE%\AppData\Local\Temp\OnboardLogs" /stypes="app*4042*20170107*"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88" t="str">
        <f t="shared" si="16"/>
        <v>"%USERPROFILE%\Documents\GitHub\eaglep3\Utilities\RefineRTDCRunTimes.py" --tripid 163-07 --locoid 4042 --swversion DE.1.0.8.0 --startMP 204:437 --initTime 2017-01-07T11:26:58 --startdatetime 2017-01-07T11:30:15 --delay 1 --endMP 204:233309 --enddatetime 2017-01-07T12:05:32 --enforcementcount 0 &gt;&gt;C:\Users\stu\Documents\GitHub\eaglep3-reporting\EC\2017-01-07-refined-times.txt</v>
      </c>
      <c r="AI76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ID","value":"163-07"},{"id":16,"name":"Locomotive ID","value":"4042"},{"id":130,"name":"Impact","value":""},{"id":150,"name":"Time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18"/>
        <v>start /low /b %USERPROFILE%\Documents\GitHub\eaglep3\Utilities\DownloadLogsFromS3.py --loco 4042 --day 2017-01-07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558</v>
      </c>
      <c r="B77" s="7">
        <v>4041</v>
      </c>
      <c r="C77" s="22" t="s">
        <v>203</v>
      </c>
      <c r="D77" s="22" t="s">
        <v>410</v>
      </c>
      <c r="E77" s="13">
        <v>42742.511412037034</v>
      </c>
      <c r="F77" s="13">
        <v>42742.518229166664</v>
      </c>
      <c r="G77" s="7">
        <v>1</v>
      </c>
      <c r="H77" s="22" t="s">
        <v>278</v>
      </c>
      <c r="I77" s="13">
        <v>42742.552083333336</v>
      </c>
      <c r="J77" s="7">
        <v>0</v>
      </c>
      <c r="K77" s="105" t="str">
        <f t="shared" ref="K77:K140" si="23">IF(ISEVEN(B77),(B77-1)&amp;"/"&amp;B77,B77&amp;"/"&amp;(B77+1))</f>
        <v>4041/4042</v>
      </c>
      <c r="L77" s="22" t="str">
        <f>VLOOKUP(A77,'Trips&amp;Operators'!$C$1:$G$99999,5,FALSE)</f>
        <v>BRUDER RICHARD</v>
      </c>
      <c r="M77" s="6">
        <f t="shared" ref="M77:M140" si="24">I77-F77</f>
        <v>3.3854166671517305E-2</v>
      </c>
      <c r="N77" s="7">
        <f t="shared" si="22"/>
        <v>48.750000006984919</v>
      </c>
      <c r="O77" s="7"/>
      <c r="P77" s="7"/>
      <c r="Q77" s="23"/>
      <c r="R77" s="23"/>
      <c r="S77" s="32">
        <f t="shared" si="20"/>
        <v>1</v>
      </c>
      <c r="T77" s="47" t="str">
        <f t="shared" ref="T77:T140" si="25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https://search-rtdc-monitor-bjffxe2xuh6vdkpspy63sjmuny.us-east-1.es.amazonaws.com/_plugin/kibana/#/discover/Steve-Slow-Train-Analysis-(2080s-and-2083s)?_g=(refreshInterval:(display:Off,section:0,value:0),time:(from:'2017-01-07 11:16:26-700',mode:absolute,to:'2017-01-07 14:15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49" t="str">
        <f t="shared" ref="W77:W140" si="27">IF(AA77&lt;IF(AG77="EC",23,5.65),"Y","N")</f>
        <v>N</v>
      </c>
      <c r="X77" s="173">
        <f t="shared" ref="X77:X108" si="28">VALUE(LEFT(AD77,4))-VALUE(LEFT(AD76,4))</f>
        <v>1</v>
      </c>
      <c r="Y77" s="64">
        <f t="shared" ref="Y77:Y140" si="29">RIGHT(D77,LEN(D77)-4)/10000</f>
        <v>23.298400000000001</v>
      </c>
      <c r="Z77" s="64">
        <f t="shared" ref="Z77:Z140" si="30">RIGHT(H77,LEN(H77)-4)/10000</f>
        <v>1.52E-2</v>
      </c>
      <c r="AA77" s="64">
        <f t="shared" ref="AA77:AA140" si="31">ABS(Z77-Y77)</f>
        <v>23.283200000000001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 t="shared" ref="AD77:AD140" si="32">IF(LEN(A77)=6,"0"&amp;A77,A77)</f>
        <v>0164-07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/stypes="app*4041*20170107*"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6"/>
        <v>"%USERPROFILE%\Documents\GitHub\eaglep3\Utilities\RefineRTDCRunTimes.py" --tripid 164-07 --locoid 4041 --swversion DE.1.0.8.0 --startMP 204:232984 --initTime 2017-01-07T12:16:26 --startdatetime 2017-01-07T12:26:15 --delay 1 --endMP 204:152 --enddatetime 2017-01-07T13:15:00 --enforcementcount 0 &gt;&gt;C:\Users\stu\Documents\GitHub\eaglep3-reporting\EC\2017-01-07-refined-times.txt</v>
      </c>
      <c r="AI77" s="115" t="str">
        <f t="shared" si="17"/>
        <v>echo {"issue":{"subject":"","project_id":79,"tracker_id":40,"status_id":1,"priority_id":2,"assigned_to_id":23,"start_date":"2017-01-07","description":"","custom_fields":[{"id":1,"name":"Subdivision","value":"EC"},{"id":4,"name":"Milepost","value":"0.0152"},{"id":17,"name":"Train ID","value":"164-07"},{"id":16,"name":"Locomotive ID","value":"4041"},{"id":130,"name":"Impact","value":""},{"id":150,"name":"Time of Event (Mountain Time)","value":"13:15:00"},{"id":151,"name":"Denver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18"/>
        <v>start /low /b %USERPROFILE%\Documents\GitHub\eaglep3\Utilities\DownloadLogsFromS3.py --loco 4041 --day 2017-01-07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551</v>
      </c>
      <c r="B78" s="7">
        <v>4040</v>
      </c>
      <c r="C78" s="22" t="s">
        <v>203</v>
      </c>
      <c r="D78" s="22" t="s">
        <v>193</v>
      </c>
      <c r="E78" s="13">
        <v>42742.484444444446</v>
      </c>
      <c r="F78" s="13">
        <v>42742.48978009259</v>
      </c>
      <c r="G78" s="7">
        <v>1</v>
      </c>
      <c r="H78" s="22" t="s">
        <v>689</v>
      </c>
      <c r="I78" s="13">
        <v>42742.516423611109</v>
      </c>
      <c r="J78" s="7">
        <v>0</v>
      </c>
      <c r="K78" s="105" t="str">
        <f t="shared" si="23"/>
        <v>4039/4040</v>
      </c>
      <c r="L78" s="22" t="str">
        <f>VLOOKUP(A78,'Trips&amp;Operators'!$C$1:$G$99999,5,FALSE)</f>
        <v>KILLION DAVID</v>
      </c>
      <c r="M78" s="6">
        <f t="shared" si="24"/>
        <v>2.6643518518540077E-2</v>
      </c>
      <c r="N78" s="7">
        <f t="shared" si="22"/>
        <v>38.366666666697711</v>
      </c>
      <c r="O78" s="7"/>
      <c r="P78" s="7"/>
      <c r="Q78" s="23"/>
      <c r="R78" s="23"/>
      <c r="S78" s="32">
        <f t="shared" si="20"/>
        <v>1</v>
      </c>
      <c r="T78" s="47" t="str">
        <f t="shared" si="25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10:37:36-700',mode:absolute,to:'2017-01-07 13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8" s="49" t="str">
        <f t="shared" si="27"/>
        <v>N</v>
      </c>
      <c r="X78" s="173">
        <f t="shared" si="28"/>
        <v>1</v>
      </c>
      <c r="Y78" s="64">
        <f t="shared" si="29"/>
        <v>4.4699999999999997E-2</v>
      </c>
      <c r="Z78" s="64">
        <f t="shared" si="30"/>
        <v>23.331</v>
      </c>
      <c r="AA78" s="64">
        <f t="shared" si="31"/>
        <v>23.286300000000001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 t="shared" si="32"/>
        <v>0165-07</v>
      </c>
      <c r="AE78" s="87" t="str">
        <f t="shared" si="33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78" s="84" t="str">
        <f t="shared" si="34"/>
        <v>"C:\Program Files (x86)\AstroGrep\AstroGrep.exe" /spath="%USERPROFILE%\AppData\Local\Temp\OnboardLogs" /stypes="app*4040*20170107*"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0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4040 --swversion DE.1.0.8.0 --startMP 204:447 --initTime 2017-01-07T11:37:36 --startdatetime 2017-01-07T11:45:17 --delay 1 --endMP 204:233310 --enddatetime 2017-01-07T12:23:39 --enforcementcount 0 &gt;&gt;C:\Users\stu\Documents\GitHub\eaglep3-reporting\EC\2017-01-07-refined-times.txt</v>
      </c>
      <c r="AI78" s="115" t="str">
        <f t="shared" ref="AI78:AI140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{"issue":{"subject":"","project_id":79,"tracker_id":40,"status_id":1,"priority_id":2,"assigned_to_id":23,"start_date":"2017-01-07","description":"","custom_fields":[{"id":1,"name":"Subdivision","value":"EC"},{"id":4,"name":"Milepost","value":"23.331"},{"id":17,"name":"Train ID","value":"165-07"},{"id":16,"name":"Locomotive ID","value":"4040"},{"id":130,"name":"Impact","value":""},{"id":150,"name":"Time of Event (Mountain Time)","value":"12:23:39"},{"id":151,"name":"Denver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0" si="38">"start /low /b "&amp;dls3logs&amp;" --loco "&amp;B78&amp;" --day "&amp;TEXT(F78,"YYYY-MM-DD")</f>
        <v>start /low /b %USERPROFILE%\Documents\GitHub\eaglep3\Utilities\DownloadLogsFromS3.py --loco 4040 --day 2017-01-07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559</v>
      </c>
      <c r="B79" s="7">
        <v>4039</v>
      </c>
      <c r="C79" s="22" t="s">
        <v>203</v>
      </c>
      <c r="D79" s="22" t="s">
        <v>667</v>
      </c>
      <c r="E79" s="13">
        <v>42742.523541666669</v>
      </c>
      <c r="F79" s="13">
        <v>42742.528645833336</v>
      </c>
      <c r="G79" s="7">
        <v>2</v>
      </c>
      <c r="H79" s="22" t="s">
        <v>291</v>
      </c>
      <c r="I79" s="13">
        <v>42742.562002314815</v>
      </c>
      <c r="J79" s="7">
        <v>0</v>
      </c>
      <c r="K79" s="105" t="str">
        <f t="shared" si="23"/>
        <v>4039/4040</v>
      </c>
      <c r="L79" s="22" t="str">
        <f>VLOOKUP(A79,'Trips&amp;Operators'!$C$1:$G$99999,5,FALSE)</f>
        <v>KILLION DAVID</v>
      </c>
      <c r="M79" s="6">
        <f t="shared" si="24"/>
        <v>3.3356481479131617E-2</v>
      </c>
      <c r="N79" s="7">
        <f t="shared" ref="N79:N110" si="39">24*60*SUM($M79:$M79)</f>
        <v>48.033333329949528</v>
      </c>
      <c r="O79" s="7"/>
      <c r="P79" s="7"/>
      <c r="Q79" s="23"/>
      <c r="R79" s="23"/>
      <c r="S79" s="32">
        <f t="shared" ref="S79:S142" si="40">SUM(U79:U79)/IF(AG79="EC",12,1)</f>
        <v>1</v>
      </c>
      <c r="T79" s="47" t="str">
        <f t="shared" si="25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11:33:54-700',mode:absolute,to:'2017-01-07 14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9" s="49" t="str">
        <f t="shared" si="27"/>
        <v>N</v>
      </c>
      <c r="X79" s="173">
        <f t="shared" si="28"/>
        <v>1</v>
      </c>
      <c r="Y79" s="64">
        <f t="shared" si="29"/>
        <v>23.299600000000002</v>
      </c>
      <c r="Z79" s="64">
        <f t="shared" si="30"/>
        <v>1.5599999999999999E-2</v>
      </c>
      <c r="AA79" s="64">
        <f t="shared" si="31"/>
        <v>23.284000000000002</v>
      </c>
      <c r="AB79" s="61" t="e">
        <f>VLOOKUP(A79,Enforcements!$C$7:$K$18,8,0)</f>
        <v>#N/A</v>
      </c>
      <c r="AC79" s="57" t="e">
        <f>VLOOKUP(A79,Enforcements!$C$7:$E$18,3,0)</f>
        <v>#N/A</v>
      </c>
      <c r="AD79" s="58" t="str">
        <f t="shared" si="32"/>
        <v>0166-07</v>
      </c>
      <c r="AE79" s="87" t="str">
        <f t="shared" si="33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79" s="84" t="str">
        <f t="shared" si="34"/>
        <v>"C:\Program Files (x86)\AstroGrep\AstroGrep.exe" /spath="%USERPROFILE%\AppData\Local\Temp\OnboardLogs" /stypes="app*4039*20170107*"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166-07 --locoid 4039 --swversion DE.1.0.8.0 --startMP 204:232996 --initTime 2017-01-07T12:33:54 --startdatetime 2017-01-07T12:41:15 --delay 2 --endMP 204:156 --enddatetime 2017-01-07T13:29:17 --enforcementcount 0 &gt;&gt;C:\Users\stu\Documents\GitHub\eaglep3-reporting\EC\2017-01-07-refined-times.txt</v>
      </c>
      <c r="AI7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ID","value":"166-07"},{"id":16,"name":"Locomotive ID","value":"4039"},{"id":130,"name":"Impact","value":""},{"id":150,"name":"Time of Event (Mountain Time)","value":"13:29:17"},{"id":151,"name":"Denver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8"/>
        <v>start /low /b %USERPROFILE%\Documents\GitHub\eaglep3\Utilities\DownloadLogsFromS3.py --loco 4039 --day 2017-01-07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553</v>
      </c>
      <c r="B80" s="7">
        <v>4046</v>
      </c>
      <c r="C80" s="22" t="s">
        <v>203</v>
      </c>
      <c r="D80" s="22" t="s">
        <v>408</v>
      </c>
      <c r="E80" s="13">
        <v>42742.494583333333</v>
      </c>
      <c r="F80" s="13">
        <v>42742.500462962962</v>
      </c>
      <c r="G80" s="7">
        <v>1</v>
      </c>
      <c r="H80" s="22" t="s">
        <v>688</v>
      </c>
      <c r="I80" s="13">
        <v>42742.525081018517</v>
      </c>
      <c r="J80" s="7">
        <v>0</v>
      </c>
      <c r="K80" s="105" t="str">
        <f t="shared" si="23"/>
        <v>4045/4046</v>
      </c>
      <c r="L80" s="22" t="str">
        <f>VLOOKUP(A80,'Trips&amp;Operators'!$C$1:$G$99999,5,FALSE)</f>
        <v>LEVIN SCOTT</v>
      </c>
      <c r="M80" s="6">
        <f t="shared" si="24"/>
        <v>2.4618055555038154E-2</v>
      </c>
      <c r="N80" s="7">
        <f t="shared" si="39"/>
        <v>35.449999999254942</v>
      </c>
      <c r="O80" s="7"/>
      <c r="P80" s="7"/>
      <c r="Q80" s="23"/>
      <c r="R80" s="23"/>
      <c r="S80" s="32">
        <f t="shared" si="40"/>
        <v>1</v>
      </c>
      <c r="T80" s="47" t="str">
        <f t="shared" si="25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10:52:12-700',mode:absolute,to:'2017-01-07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0" s="49" t="str">
        <f t="shared" si="27"/>
        <v>N</v>
      </c>
      <c r="X80" s="173">
        <f t="shared" si="28"/>
        <v>1</v>
      </c>
      <c r="Y80" s="64">
        <f t="shared" si="29"/>
        <v>4.3999999999999997E-2</v>
      </c>
      <c r="Z80" s="64">
        <f t="shared" si="30"/>
        <v>23.329699999999999</v>
      </c>
      <c r="AA80" s="64">
        <f t="shared" si="31"/>
        <v>23.285699999999999</v>
      </c>
      <c r="AB80" s="61" t="e">
        <f>VLOOKUP(A80,Enforcements!$C$7:$K$18,8,0)</f>
        <v>#N/A</v>
      </c>
      <c r="AC80" s="57" t="e">
        <f>VLOOKUP(A80,Enforcements!$C$7:$E$18,3,0)</f>
        <v>#N/A</v>
      </c>
      <c r="AD80" s="58" t="str">
        <f t="shared" si="32"/>
        <v>0167-07</v>
      </c>
      <c r="AE80" s="87" t="str">
        <f t="shared" si="3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80" s="84" t="str">
        <f t="shared" si="34"/>
        <v>"C:\Program Files (x86)\AstroGrep\AstroGrep.exe" /spath="%USERPROFILE%\AppData\Local\Temp\OnboardLogs" /stypes="app*4046*20170107*" /stext=" 19:.+((SYSTEM_STATE.+slice.+state.+changed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167-07 --locoid 4046 --swversion DE.1.0.8.0 --startMP 204:440 --initTime 2017-01-07T11:52:12 --startdatetime 2017-01-07T12:00:40 --delay 1 --endMP 204:233297 --enddatetime 2017-01-07T12:36:07 --enforcementcount 0 &gt;&gt;C:\Users\stu\Documents\GitHub\eaglep3-reporting\EC\2017-01-07-refined-times.txt</v>
      </c>
      <c r="AI8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ID","value":"167-07"},{"id":16,"name":"Locomotive ID","value":"4046"},{"id":130,"name":"Impact","value":""},{"id":150,"name":"Time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8"/>
        <v>start /low /b %USERPROFILE%\Documents\GitHub\eaglep3\Utilities\DownloadLogsFromS3.py --loco 4046 --day 2017-01-07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562</v>
      </c>
      <c r="B81" s="7">
        <v>4045</v>
      </c>
      <c r="C81" s="22" t="s">
        <v>203</v>
      </c>
      <c r="D81" s="22" t="s">
        <v>690</v>
      </c>
      <c r="E81" s="13">
        <v>42742.53707175926</v>
      </c>
      <c r="F81" s="13">
        <v>42742.540243055555</v>
      </c>
      <c r="G81" s="7">
        <v>3</v>
      </c>
      <c r="H81" s="22" t="s">
        <v>329</v>
      </c>
      <c r="I81" s="13">
        <v>42742.571412037039</v>
      </c>
      <c r="J81" s="7">
        <v>0</v>
      </c>
      <c r="K81" s="105" t="str">
        <f t="shared" si="23"/>
        <v>4045/4046</v>
      </c>
      <c r="L81" s="22" t="str">
        <f>VLOOKUP(A81,'Trips&amp;Operators'!$C$1:$G$99999,5,FALSE)</f>
        <v>LEVIN SCOTT</v>
      </c>
      <c r="M81" s="6">
        <f t="shared" si="24"/>
        <v>3.1168981484370306E-2</v>
      </c>
      <c r="N81" s="7">
        <f t="shared" si="39"/>
        <v>44.883333337493241</v>
      </c>
      <c r="O81" s="7"/>
      <c r="P81" s="7"/>
      <c r="Q81" s="23"/>
      <c r="R81" s="23"/>
      <c r="S81" s="32">
        <f t="shared" si="40"/>
        <v>1</v>
      </c>
      <c r="T81" s="47" t="str">
        <f t="shared" si="25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11:53:23-700',mode:absolute,to:'2017-01-07 14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1" s="49" t="str">
        <f t="shared" si="27"/>
        <v>N</v>
      </c>
      <c r="X81" s="173">
        <f t="shared" si="28"/>
        <v>1</v>
      </c>
      <c r="Y81" s="64">
        <f t="shared" si="29"/>
        <v>23.297999999999998</v>
      </c>
      <c r="Z81" s="64">
        <f t="shared" si="30"/>
        <v>1.34E-2</v>
      </c>
      <c r="AA81" s="64">
        <f t="shared" si="31"/>
        <v>23.284599999999998</v>
      </c>
      <c r="AB81" s="61" t="e">
        <f>VLOOKUP(A81,Enforcements!$C$7:$K$18,8,0)</f>
        <v>#N/A</v>
      </c>
      <c r="AC81" s="57" t="e">
        <f>VLOOKUP(A81,Enforcements!$C$7:$E$18,3,0)</f>
        <v>#N/A</v>
      </c>
      <c r="AD81" s="58" t="str">
        <f t="shared" si="32"/>
        <v>0168-07</v>
      </c>
      <c r="AE81" s="87" t="str">
        <f t="shared" si="3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81" s="84" t="str">
        <f t="shared" si="34"/>
        <v>"C:\Program Files (x86)\AstroGrep\AstroGrep.exe" /spath="%USERPROFILE%\AppData\Local\Temp\OnboardLogs" /stypes="app*4045*20170107*" /stext=" 20:.+((SYSTEM_STATE.+slice.+state.+changed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168-07 --locoid 4045 --swversion DE.1.0.8.0 --startMP 204:232980 --initTime 2017-01-07T12:53:23 --startdatetime 2017-01-07T12:57:57 --delay 3 --endMP 204:134 --enddatetime 2017-01-07T13:42:50 --enforcementcount 0 &gt;&gt;C:\Users\stu\Documents\GitHub\eaglep3-reporting\EC\2017-01-07-refined-times.txt</v>
      </c>
      <c r="AI8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{"issue":{"subject":"","project_id":79,"tracker_id":40,"status_id":1,"priority_id":2,"assigned_to_id":23,"start_date":"2017-01-07","description":"","custom_fields":[{"id":1,"name":"Subdivision","value":"EC"},{"id":4,"name":"Milepost","value":"0.0134"},{"id":17,"name":"Train ID","value":"168-07"},{"id":16,"name":"Locomotive ID","value":"4045"},{"id":130,"name":"Impact","value":""},{"id":150,"name":"Time of Event (Mountain Time)","value":"13:42:50"},{"id":151,"name":"Denver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8"/>
        <v>start /low /b %USERPROFILE%\Documents\GitHub\eaglep3\Utilities\DownloadLogsFromS3.py --loco 4045 --day 2017-01-07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556</v>
      </c>
      <c r="B82" s="7">
        <v>4044</v>
      </c>
      <c r="C82" s="22" t="s">
        <v>203</v>
      </c>
      <c r="D82" s="22" t="s">
        <v>331</v>
      </c>
      <c r="E82" s="13">
        <v>42742.509166666663</v>
      </c>
      <c r="F82" s="13">
        <v>42742.51090277778</v>
      </c>
      <c r="G82" s="7">
        <v>1</v>
      </c>
      <c r="H82" s="22" t="s">
        <v>691</v>
      </c>
      <c r="I82" s="13">
        <v>42742.537673611114</v>
      </c>
      <c r="J82" s="7">
        <v>0</v>
      </c>
      <c r="K82" s="105" t="str">
        <f t="shared" si="23"/>
        <v>4043/4044</v>
      </c>
      <c r="L82" s="22" t="str">
        <f>VLOOKUP(A82,'Trips&amp;Operators'!$C$1:$G$99999,5,FALSE)</f>
        <v>BRANDNER MELINDA</v>
      </c>
      <c r="M82" s="6">
        <f t="shared" si="24"/>
        <v>2.6770833334012423E-2</v>
      </c>
      <c r="N82" s="7">
        <f t="shared" si="39"/>
        <v>38.550000000977889</v>
      </c>
      <c r="O82" s="7"/>
      <c r="P82" s="7"/>
      <c r="Q82" s="23"/>
      <c r="R82" s="23"/>
      <c r="S82" s="32">
        <f t="shared" si="40"/>
        <v>1</v>
      </c>
      <c r="T82" s="47" t="str">
        <f t="shared" si="25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11:13:12-700',mode:absolute,to:'2017-01-07 13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49" t="str">
        <f t="shared" si="27"/>
        <v>N</v>
      </c>
      <c r="X82" s="173">
        <f t="shared" si="28"/>
        <v>1</v>
      </c>
      <c r="Y82" s="64">
        <f t="shared" si="29"/>
        <v>4.6899999999999997E-2</v>
      </c>
      <c r="Z82" s="64">
        <f t="shared" si="30"/>
        <v>23.330400000000001</v>
      </c>
      <c r="AA82" s="64">
        <f t="shared" si="31"/>
        <v>23.2835</v>
      </c>
      <c r="AB82" s="61" t="e">
        <f>VLOOKUP(A82,Enforcements!$C$7:$K$18,8,0)</f>
        <v>#N/A</v>
      </c>
      <c r="AC82" s="57" t="e">
        <f>VLOOKUP(A82,Enforcements!$C$7:$E$18,3,0)</f>
        <v>#N/A</v>
      </c>
      <c r="AD82" s="58" t="str">
        <f t="shared" si="32"/>
        <v>0169-07</v>
      </c>
      <c r="AE82" s="87" t="str">
        <f t="shared" si="33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82" s="84" t="str">
        <f t="shared" si="34"/>
        <v>"C:\Program Files (x86)\AstroGrep\AstroGrep.exe" /spath="%USERPROFILE%\AppData\Local\Temp\OnboardLogs" /stypes="app*4044*20170107*" /stext=" 19:.+((SYSTEM_STATE.+slice.+state.+changed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169-07 --locoid 4044 --swversion DE.1.0.8.0 --startMP 204:469 --initTime 2017-01-07T12:13:12 --startdatetime 2017-01-07T12:15:42 --delay 1 --endMP 204:233304 --enddatetime 2017-01-07T12:54:15 --enforcementcount 0 &gt;&gt;C:\Users\stu\Documents\GitHub\eaglep3-reporting\EC\2017-01-07-refined-times.txt</v>
      </c>
      <c r="AI8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{"issue":{"subject":"","project_id":79,"tracker_id":40,"status_id":1,"priority_id":2,"assigned_to_id":23,"start_date":"2017-01-07","description":"","custom_fields":[{"id":1,"name":"Subdivision","value":"EC"},{"id":4,"name":"Milepost","value":"23.3304"},{"id":17,"name":"Train ID","value":"169-07"},{"id":16,"name":"Locomotive ID","value":"4044"},{"id":130,"name":"Impact","value":""},{"id":150,"name":"Time of Event (Mountain Time)","value":"12:54:15"},{"id":151,"name":"Denver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8"/>
        <v>start /low /b %USERPROFILE%\Documents\GitHub\eaglep3\Utilities\DownloadLogsFromS3.py --loco 4044 --day 2017-01-07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566</v>
      </c>
      <c r="B83" s="7">
        <v>4043</v>
      </c>
      <c r="C83" s="22" t="s">
        <v>203</v>
      </c>
      <c r="D83" s="22" t="s">
        <v>692</v>
      </c>
      <c r="E83" s="13">
        <v>42742.550162037034</v>
      </c>
      <c r="F83" s="13">
        <v>42742.551921296297</v>
      </c>
      <c r="G83" s="7">
        <v>1</v>
      </c>
      <c r="H83" s="22" t="s">
        <v>291</v>
      </c>
      <c r="I83" s="13">
        <v>42742.586412037039</v>
      </c>
      <c r="J83" s="7">
        <v>0</v>
      </c>
      <c r="K83" s="105" t="str">
        <f t="shared" si="23"/>
        <v>4043/4044</v>
      </c>
      <c r="L83" s="22" t="str">
        <f>VLOOKUP(A83,'Trips&amp;Operators'!$C$1:$G$99999,5,FALSE)</f>
        <v>BRANDNER MELINDA</v>
      </c>
      <c r="M83" s="6">
        <f t="shared" si="24"/>
        <v>3.4490740741603076E-2</v>
      </c>
      <c r="N83" s="7">
        <f t="shared" si="39"/>
        <v>49.66666666790843</v>
      </c>
      <c r="O83" s="7"/>
      <c r="P83" s="7"/>
      <c r="Q83" s="23"/>
      <c r="R83" s="23"/>
      <c r="S83" s="32">
        <f t="shared" si="40"/>
        <v>1</v>
      </c>
      <c r="T83" s="47" t="str">
        <f t="shared" si="25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12:12:14-700',mode:absolute,to:'2017-01-07 15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49" t="str">
        <f t="shared" si="27"/>
        <v>N</v>
      </c>
      <c r="X83" s="173">
        <f t="shared" si="28"/>
        <v>1</v>
      </c>
      <c r="Y83" s="64">
        <f t="shared" si="29"/>
        <v>23.298500000000001</v>
      </c>
      <c r="Z83" s="64">
        <f t="shared" si="30"/>
        <v>1.5599999999999999E-2</v>
      </c>
      <c r="AA83" s="64">
        <f t="shared" si="31"/>
        <v>23.282900000000001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 t="shared" si="32"/>
        <v>0170-07</v>
      </c>
      <c r="AE83" s="87" t="str">
        <f t="shared" si="33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83" s="84" t="str">
        <f t="shared" si="34"/>
        <v>"C:\Program Files (x86)\AstroGrep\AstroGrep.exe" /spath="%USERPROFILE%\AppData\Local\Temp\OnboardLogs" /stypes="app*4043*20170107*" /stext=" 21:.+((SYSTEM_STATE.+slice.+state.+changed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170-07 --locoid 4043 --swversion DE.1.0.8.0 --startMP 204:232985 --initTime 2017-01-07T13:12:14 --startdatetime 2017-01-07T13:14:46 --delay 1 --endMP 204:156 --enddatetime 2017-01-07T14:04:26 --enforcementcount 0 &gt;&gt;C:\Users\stu\Documents\GitHub\eaglep3-reporting\EC\2017-01-07-refined-times.txt</v>
      </c>
      <c r="AI8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ID","value":"170-07"},{"id":16,"name":"Locomotive ID","value":"4043"},{"id":130,"name":"Impact","value":""},{"id":150,"name":"Time of Event (Mountain Time)","value":"14:04:26"},{"id":151,"name":"Denver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8"/>
        <v>start /low /b %USERPROFILE%\Documents\GitHub\eaglep3\Utilities\DownloadLogsFromS3.py --loco 4043 --day 2017-01-07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445</v>
      </c>
      <c r="B84" s="7">
        <v>4003</v>
      </c>
      <c r="C84" s="22" t="s">
        <v>203</v>
      </c>
      <c r="D84" s="22" t="s">
        <v>693</v>
      </c>
      <c r="E84" s="13">
        <v>42742.516458333332</v>
      </c>
      <c r="F84" s="13">
        <v>42742.521087962959</v>
      </c>
      <c r="G84" s="7">
        <v>2</v>
      </c>
      <c r="H84" s="22" t="s">
        <v>686</v>
      </c>
      <c r="I84" s="13">
        <v>42742.558287037034</v>
      </c>
      <c r="J84" s="7">
        <v>0</v>
      </c>
      <c r="K84" s="105" t="str">
        <f t="shared" si="23"/>
        <v>4003/4004</v>
      </c>
      <c r="L84" s="22" t="str">
        <f>VLOOKUP(A84,'Trips&amp;Operators'!$C$1:$G$99999,5,FALSE)</f>
        <v>NELSON ARIANE</v>
      </c>
      <c r="M84" s="6">
        <f t="shared" si="24"/>
        <v>3.7199074075033423E-2</v>
      </c>
      <c r="N84" s="7">
        <f t="shared" si="39"/>
        <v>53.566666668048128</v>
      </c>
      <c r="O84" s="7"/>
      <c r="P84" s="7"/>
      <c r="Q84" s="23"/>
      <c r="R84" s="23"/>
      <c r="S84" s="32">
        <f t="shared" si="40"/>
        <v>1</v>
      </c>
      <c r="T84" s="47" t="str">
        <f t="shared" si="25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11:23:42-700',mode:absolute,to:'2017-01-07 14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4" s="49" t="str">
        <f t="shared" si="27"/>
        <v>N</v>
      </c>
      <c r="X84" s="173">
        <f t="shared" si="28"/>
        <v>1</v>
      </c>
      <c r="Y84" s="64">
        <f t="shared" si="29"/>
        <v>4.1099999999999998E-2</v>
      </c>
      <c r="Z84" s="64">
        <f t="shared" si="30"/>
        <v>23.330500000000001</v>
      </c>
      <c r="AA84" s="64">
        <f t="shared" si="31"/>
        <v>23.289400000000001</v>
      </c>
      <c r="AB84" s="61" t="str">
        <f>VLOOKUP(A84,Enforcements!$C$7:$K$18,8,0)</f>
        <v>Bulletin (2)</v>
      </c>
      <c r="AC84" s="57" t="str">
        <f>VLOOKUP(A84,Enforcements!$C$7:$E$18,3,0)</f>
        <v>GRADE CROSSING</v>
      </c>
      <c r="AD84" s="58" t="str">
        <f t="shared" si="32"/>
        <v>0171-07</v>
      </c>
      <c r="AE84" s="87" t="str">
        <f t="shared" si="3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84" s="84" t="str">
        <f t="shared" si="34"/>
        <v>"C:\Program Files (x86)\AstroGrep\AstroGrep.exe" /spath="%USERPROFILE%\AppData\Local\Temp\OnboardLogs" /stypes="app*4003*20170107*"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171-07 --locoid 4003 --swversion DE.1.0.8.0 --startMP 204:411 --initTime 2017-01-07T12:23:42 --startdatetime 2017-01-07T12:30:22 --delay 2 --endMP 204:233305 --enddatetime 2017-01-07T13:23:56 --enforcementcount 0 &gt;&gt;C:\Users\stu\Documents\GitHub\eaglep3-reporting\EC\2017-01-07-refined-times.txt</v>
      </c>
      <c r="AI8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ID","value":"171-07"},{"id":16,"name":"Locomotive ID","value":"4003"},{"id":130,"name":"Impact","value":""},{"id":150,"name":"Time of Event (Mountain Time)","value":"13:23:56"},{"id":151,"name":"Denver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8"/>
        <v>start /low /b %USERPROFILE%\Documents\GitHub\eaglep3\Utilities\DownloadLogsFromS3.py --loco 4003 --day 2017-01-07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447</v>
      </c>
      <c r="B85" s="7">
        <v>4004</v>
      </c>
      <c r="C85" s="22" t="s">
        <v>203</v>
      </c>
      <c r="D85" s="22" t="s">
        <v>669</v>
      </c>
      <c r="E85" s="13">
        <v>42742.559976851851</v>
      </c>
      <c r="F85" s="13">
        <v>42742.561921296299</v>
      </c>
      <c r="G85" s="7">
        <v>2</v>
      </c>
      <c r="H85" s="22" t="s">
        <v>278</v>
      </c>
      <c r="I85" s="13">
        <v>42742.596655092595</v>
      </c>
      <c r="J85" s="7">
        <v>0</v>
      </c>
      <c r="K85" s="105" t="str">
        <f t="shared" si="23"/>
        <v>4003/4004</v>
      </c>
      <c r="L85" s="22" t="str">
        <f>VLOOKUP(A85,'Trips&amp;Operators'!$C$1:$G$99999,5,FALSE)</f>
        <v>NELSON ARIANE</v>
      </c>
      <c r="M85" s="6">
        <f t="shared" si="24"/>
        <v>3.4733796295768116E-2</v>
      </c>
      <c r="N85" s="7">
        <f t="shared" si="39"/>
        <v>50.016666665906087</v>
      </c>
      <c r="O85" s="7"/>
      <c r="P85" s="7"/>
      <c r="Q85" s="23"/>
      <c r="R85" s="23"/>
      <c r="S85" s="32">
        <f t="shared" si="40"/>
        <v>1</v>
      </c>
      <c r="T85" s="47" t="str">
        <f t="shared" si="25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5" s="49" t="str">
        <f t="shared" si="27"/>
        <v>N</v>
      </c>
      <c r="X85" s="173">
        <f t="shared" si="28"/>
        <v>1</v>
      </c>
      <c r="Y85" s="64">
        <f t="shared" si="29"/>
        <v>23.297799999999999</v>
      </c>
      <c r="Z85" s="64">
        <f t="shared" si="30"/>
        <v>1.52E-2</v>
      </c>
      <c r="AA85" s="64">
        <f t="shared" si="31"/>
        <v>23.282599999999999</v>
      </c>
      <c r="AB85" s="61" t="str">
        <f>VLOOKUP(A85,Enforcements!$C$7:$K$18,8,0)</f>
        <v>Bulletin (2)</v>
      </c>
      <c r="AC85" s="57" t="str">
        <f>VLOOKUP(A85,Enforcements!$C$7:$E$18,3,0)</f>
        <v>GRADE CROSSING</v>
      </c>
      <c r="AD85" s="58" t="str">
        <f t="shared" si="32"/>
        <v>0172-07</v>
      </c>
      <c r="AE85" s="87" t="str">
        <f t="shared" si="3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85" s="84" t="str">
        <f t="shared" si="34"/>
        <v>"C:\Program Files (x86)\AstroGrep\AstroGrep.exe" /spath="%USERPROFILE%\AppData\Local\Temp\OnboardLogs" /stypes="app*4004*20170107*"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172-07 --locoid 4004 --swversion DE.1.0.8.0 --startMP 204:232978 --initTime 2017-01-07T13:26:22 --startdatetime 2017-01-07T13:29:10 --delay 2 --endMP 204:152 --enddatetime 2017-01-07T14:19:11 --enforcementcount 0 &gt;&gt;C:\Users\stu\Documents\GitHub\eaglep3-reporting\EC\2017-01-07-refined-times.txt</v>
      </c>
      <c r="AI8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{"issue":{"subject":"","project_id":79,"tracker_id":40,"status_id":1,"priority_id":2,"assigned_to_id":23,"start_date":"2017-01-07","description":"","custom_fields":[{"id":1,"name":"Subdivision","value":"EC"},{"id":4,"name":"Milepost","value":"0.0152"},{"id":17,"name":"Train ID","value":"172-07"},{"id":16,"name":"Locomotive ID","value":"4004"},{"id":130,"name":"Impact","value":""},{"id":150,"name":"Time of Event (Mountain Time)","value":"14:19:11"},{"id":151,"name":"Denver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8"/>
        <v>start /low /b %USERPROFILE%\Documents\GitHub\eaglep3\Utilities\DownloadLogsFromS3.py --loco 4004 --day 2017-01-07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561</v>
      </c>
      <c r="B86" s="7">
        <v>4016</v>
      </c>
      <c r="C86" s="22" t="s">
        <v>203</v>
      </c>
      <c r="D86" s="22" t="s">
        <v>694</v>
      </c>
      <c r="E86" s="13">
        <v>42742.528344907405</v>
      </c>
      <c r="F86" s="13">
        <v>42742.534502314818</v>
      </c>
      <c r="G86" s="7">
        <v>3</v>
      </c>
      <c r="H86" s="22" t="s">
        <v>311</v>
      </c>
      <c r="I86" s="13">
        <v>42742.565266203703</v>
      </c>
      <c r="J86" s="7">
        <v>0</v>
      </c>
      <c r="K86" s="105" t="str">
        <f t="shared" si="23"/>
        <v>4015/4016</v>
      </c>
      <c r="L86" s="22" t="str">
        <f>VLOOKUP(A86,'Trips&amp;Operators'!$C$1:$G$99999,5,FALSE)</f>
        <v>STEWART MICHAEL</v>
      </c>
      <c r="M86" s="6">
        <f t="shared" si="24"/>
        <v>3.0763888884393964E-2</v>
      </c>
      <c r="N86" s="7">
        <f t="shared" si="39"/>
        <v>44.299999993527308</v>
      </c>
      <c r="O86" s="7"/>
      <c r="P86" s="7"/>
      <c r="Q86" s="23"/>
      <c r="R86" s="23"/>
      <c r="S86" s="32">
        <f t="shared" si="40"/>
        <v>1</v>
      </c>
      <c r="T86" s="47" t="str">
        <f t="shared" si="25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11:40:49-700',mode:absolute,to:'2017-01-07 14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6" s="49" t="str">
        <f t="shared" si="27"/>
        <v>N</v>
      </c>
      <c r="X86" s="173">
        <f t="shared" si="28"/>
        <v>1</v>
      </c>
      <c r="Y86" s="64">
        <f t="shared" si="29"/>
        <v>4.7699999999999999E-2</v>
      </c>
      <c r="Z86" s="64">
        <f t="shared" si="30"/>
        <v>23.329799999999999</v>
      </c>
      <c r="AA86" s="64">
        <f t="shared" si="31"/>
        <v>23.2821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 t="shared" si="32"/>
        <v>0173-07</v>
      </c>
      <c r="AE86" s="87" t="str">
        <f t="shared" si="3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86" s="84" t="str">
        <f t="shared" si="34"/>
        <v>"C:\Program Files (x86)\AstroGrep\AstroGrep.exe" /spath="%USERPROFILE%\AppData\Local\Temp\OnboardLogs" /stypes="app*4016*20170107*"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173-07 --locoid 4016 --swversion DE.1.0.8.0 --startMP 204:477 --initTime 2017-01-07T12:40:49 --startdatetime 2017-01-07T12:49:41 --delay 3 --endMP 204:233298 --enddatetime 2017-01-07T13:33:59 --enforcementcount 0 &gt;&gt;C:\Users\stu\Documents\GitHub\eaglep3-reporting\EC\2017-01-07-refined-times.txt</v>
      </c>
      <c r="AI8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ID","value":"173-07"},{"id":16,"name":"Locomotive ID","value":"4016"},{"id":130,"name":"Impact","value":""},{"id":150,"name":"Time of Event (Mountain Time)","value":"13:33:59"},{"id":151,"name":"Denver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8"/>
        <v>start /low /b %USERPROFILE%\Documents\GitHub\eaglep3\Utilities\DownloadLogsFromS3.py --loco 4016 --day 2017-01-07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448</v>
      </c>
      <c r="B87" s="7">
        <v>4015</v>
      </c>
      <c r="C87" s="22" t="s">
        <v>203</v>
      </c>
      <c r="D87" s="22" t="s">
        <v>294</v>
      </c>
      <c r="E87" s="13">
        <v>42742.568495370368</v>
      </c>
      <c r="F87" s="13">
        <v>42742.570590277777</v>
      </c>
      <c r="G87" s="7">
        <v>1</v>
      </c>
      <c r="H87" s="22" t="s">
        <v>249</v>
      </c>
      <c r="I87" s="13">
        <v>42742.601585648146</v>
      </c>
      <c r="J87" s="7">
        <v>0</v>
      </c>
      <c r="K87" s="105" t="str">
        <f t="shared" si="23"/>
        <v>4015/4016</v>
      </c>
      <c r="L87" s="22" t="str">
        <f>VLOOKUP(A87,'Trips&amp;Operators'!$C$1:$G$99999,5,FALSE)</f>
        <v>STEWART MICHAEL</v>
      </c>
      <c r="M87" s="6">
        <f t="shared" si="24"/>
        <v>3.0995370369055308E-2</v>
      </c>
      <c r="N87" s="7">
        <f t="shared" si="39"/>
        <v>44.633333331439644</v>
      </c>
      <c r="O87" s="7"/>
      <c r="P87" s="7"/>
      <c r="Q87" s="23"/>
      <c r="R87" s="23"/>
      <c r="S87" s="32">
        <f t="shared" si="40"/>
        <v>1</v>
      </c>
      <c r="T87" s="47" t="str">
        <f t="shared" si="25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12:38:38-700',mode:absolute,to:'2017-01-07 15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7" s="49" t="str">
        <f t="shared" si="27"/>
        <v>N</v>
      </c>
      <c r="X87" s="173">
        <f t="shared" si="28"/>
        <v>1</v>
      </c>
      <c r="Y87" s="64">
        <f t="shared" si="29"/>
        <v>23.2989</v>
      </c>
      <c r="Z87" s="64">
        <f t="shared" si="30"/>
        <v>1.6E-2</v>
      </c>
      <c r="AA87" s="64">
        <f t="shared" si="31"/>
        <v>23.282900000000001</v>
      </c>
      <c r="AB87" s="61" t="str">
        <f>VLOOKUP(A87,Enforcements!$C$7:$K$18,8,0)</f>
        <v>Bulletin (2)</v>
      </c>
      <c r="AC87" s="57" t="str">
        <f>VLOOKUP(A87,Enforcements!$C$7:$E$18,3,0)</f>
        <v>GRADE CROSSING</v>
      </c>
      <c r="AD87" s="58" t="str">
        <f t="shared" si="32"/>
        <v>0174-07</v>
      </c>
      <c r="AE87" s="87" t="str">
        <f t="shared" si="3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87" s="84" t="str">
        <f t="shared" si="34"/>
        <v>"C:\Program Files (x86)\AstroGrep\AstroGrep.exe" /spath="%USERPROFILE%\AppData\Local\Temp\OnboardLogs" /stypes="app*4015*20170107*"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174-07 --locoid 4015 --swversion DE.1.0.8.0 --startMP 204:232989 --initTime 2017-01-07T13:38:38 --startdatetime 2017-01-07T13:41:39 --delay 1 --endMP 204:160 --enddatetime 2017-01-07T14:26:17 --enforcementcount 0 &gt;&gt;C:\Users\stu\Documents\GitHub\eaglep3-reporting\EC\2017-01-07-refined-times.txt</v>
      </c>
      <c r="AI87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ID","value":"174-07"},{"id":16,"name":"Locomotive ID","value":"4015"},{"id":130,"name":"Impact","value":""},{"id":150,"name":"Time of Event (Mountain Time)","value":"14:26:17"},{"id":151,"name":"Denver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8"/>
        <v>start /low /b %USERPROFILE%\Documents\GitHub\eaglep3\Utilities\DownloadLogsFromS3.py --loco 4015 --day 2017-01-07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563</v>
      </c>
      <c r="B88" s="7">
        <v>4011</v>
      </c>
      <c r="C88" s="22" t="s">
        <v>203</v>
      </c>
      <c r="D88" s="22" t="s">
        <v>408</v>
      </c>
      <c r="E88" s="13">
        <v>42742.544803240744</v>
      </c>
      <c r="F88" s="13">
        <v>42742.549930555557</v>
      </c>
      <c r="G88" s="7">
        <v>6</v>
      </c>
      <c r="H88" s="22" t="s">
        <v>686</v>
      </c>
      <c r="I88" s="13">
        <v>42742.584027777775</v>
      </c>
      <c r="J88" s="7">
        <v>0</v>
      </c>
      <c r="K88" s="105" t="str">
        <f t="shared" si="23"/>
        <v>4011/4012</v>
      </c>
      <c r="L88" s="22" t="str">
        <f>VLOOKUP(A88,'Trips&amp;Operators'!$C$1:$G$99999,5,FALSE)</f>
        <v>WHITED DUSTIN</v>
      </c>
      <c r="M88" s="6">
        <f t="shared" si="24"/>
        <v>3.4097222218406387E-2</v>
      </c>
      <c r="N88" s="7">
        <f t="shared" si="39"/>
        <v>49.099999994505197</v>
      </c>
      <c r="O88" s="7"/>
      <c r="P88" s="7"/>
      <c r="Q88" s="23"/>
      <c r="R88" s="23"/>
      <c r="S88" s="32">
        <f t="shared" si="40"/>
        <v>1</v>
      </c>
      <c r="T88" s="47" t="str">
        <f t="shared" si="25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12:04:31-700',mode:absolute,to:'2017-01-07 15:01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8" s="49" t="str">
        <f t="shared" si="27"/>
        <v>N</v>
      </c>
      <c r="X88" s="173">
        <f t="shared" si="28"/>
        <v>1</v>
      </c>
      <c r="Y88" s="64">
        <f t="shared" si="29"/>
        <v>4.3999999999999997E-2</v>
      </c>
      <c r="Z88" s="64">
        <f t="shared" si="30"/>
        <v>23.330500000000001</v>
      </c>
      <c r="AA88" s="64">
        <f t="shared" si="31"/>
        <v>23.2865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 t="shared" si="32"/>
        <v>0175-07</v>
      </c>
      <c r="AE88" s="87" t="str">
        <f t="shared" si="33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88" s="84" t="str">
        <f t="shared" si="34"/>
        <v>"C:\Program Files (x86)\AstroGrep\AstroGrep.exe" /spath="%USERPROFILE%\AppData\Local\Temp\OnboardLogs" /stypes="app*4011*20170107*"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175-07 --locoid 4011 --swversion DE.1.0.8.0 --startMP 204:440 --initTime 2017-01-07T13:04:31 --startdatetime 2017-01-07T13:11:54 --delay 6 --endMP 204:233305 --enddatetime 2017-01-07T14:01:00 --enforcementcount 0 &gt;&gt;C:\Users\stu\Documents\GitHub\eaglep3-reporting\EC\2017-01-07-refined-times.txt</v>
      </c>
      <c r="AI8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ID","value":"175-07"},{"id":16,"name":"Locomotive ID","value":"4011"},{"id":130,"name":"Impact","value":""},{"id":150,"name":"Time of Event (Mountain Time)","value":"14:01:00"},{"id":151,"name":"Denver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8"/>
        <v>start /low /b %USERPROFILE%\Documents\GitHub\eaglep3\Utilities\DownloadLogsFromS3.py --loco 4011 --day 2017-01-07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571</v>
      </c>
      <c r="B89" s="7">
        <v>4012</v>
      </c>
      <c r="C89" s="22" t="s">
        <v>203</v>
      </c>
      <c r="D89" s="22" t="s">
        <v>410</v>
      </c>
      <c r="E89" s="13">
        <v>42742.585682870369</v>
      </c>
      <c r="F89" s="13">
        <v>42742.587442129632</v>
      </c>
      <c r="G89" s="7">
        <v>1</v>
      </c>
      <c r="H89" s="22" t="s">
        <v>695</v>
      </c>
      <c r="I89" s="13">
        <v>42742.620115740741</v>
      </c>
      <c r="J89" s="7">
        <v>0</v>
      </c>
      <c r="K89" s="105" t="str">
        <f t="shared" si="23"/>
        <v>4011/4012</v>
      </c>
      <c r="L89" s="22" t="str">
        <f>VLOOKUP(A89,'Trips&amp;Operators'!$C$1:$G$99999,5,FALSE)</f>
        <v>WHITED DUSTIN</v>
      </c>
      <c r="M89" s="6">
        <f t="shared" si="24"/>
        <v>3.2673611109203193E-2</v>
      </c>
      <c r="N89" s="7">
        <f t="shared" si="39"/>
        <v>47.049999997252598</v>
      </c>
      <c r="O89" s="7"/>
      <c r="P89" s="7"/>
      <c r="Q89" s="23"/>
      <c r="R89" s="23"/>
      <c r="S89" s="32">
        <f t="shared" si="40"/>
        <v>1</v>
      </c>
      <c r="T89" s="47" t="str">
        <f t="shared" si="25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13:03:23-700',mode:absolute,to:'2017-01-07 15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9" s="49" t="str">
        <f t="shared" si="27"/>
        <v>N</v>
      </c>
      <c r="X89" s="173">
        <f t="shared" si="28"/>
        <v>1</v>
      </c>
      <c r="Y89" s="64">
        <f t="shared" si="29"/>
        <v>23.298400000000001</v>
      </c>
      <c r="Z89" s="64">
        <f t="shared" si="30"/>
        <v>1.32E-2</v>
      </c>
      <c r="AA89" s="64">
        <f t="shared" si="31"/>
        <v>23.2852</v>
      </c>
      <c r="AB89" s="61" t="e">
        <f>VLOOKUP(A89,Enforcements!$C$7:$K$18,8,0)</f>
        <v>#N/A</v>
      </c>
      <c r="AC89" s="57" t="e">
        <f>VLOOKUP(A89,Enforcements!$C$7:$E$18,3,0)</f>
        <v>#N/A</v>
      </c>
      <c r="AD89" s="58" t="str">
        <f t="shared" si="32"/>
        <v>0176-07</v>
      </c>
      <c r="AE89" s="87" t="str">
        <f t="shared" si="33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89" s="84" t="str">
        <f t="shared" si="34"/>
        <v>"C:\Program Files (x86)\AstroGrep\AstroGrep.exe" /spath="%USERPROFILE%\AppData\Local\Temp\OnboardLogs" /stypes="app*4012*20170107*" /stext=" 21:.+((SYSTEM_STATE.+slice.+state.+changed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176-07 --locoid 4012 --swversion DE.1.0.8.0 --startMP 204:232984 --initTime 2017-01-07T14:03:23 --startdatetime 2017-01-07T14:05:55 --delay 1 --endMP 204:132 --enddatetime 2017-01-07T14:52:58 --enforcementcount 0 &gt;&gt;C:\Users\stu\Documents\GitHub\eaglep3-reporting\EC\2017-01-07-refined-times.txt</v>
      </c>
      <c r="AI8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{"issue":{"subject":"","project_id":79,"tracker_id":40,"status_id":1,"priority_id":2,"assigned_to_id":23,"start_date":"2017-01-07","description":"","custom_fields":[{"id":1,"name":"Subdivision","value":"EC"},{"id":4,"name":"Milepost","value":"0.0132"},{"id":17,"name":"Train ID","value":"176-07"},{"id":16,"name":"Locomotive ID","value":"4012"},{"id":130,"name":"Impact","value":""},{"id":150,"name":"Time of Event (Mountain Time)","value":"14:52:58"},{"id":151,"name":"Denver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8"/>
        <v>start /low /b %USERPROFILE%\Documents\GitHub\eaglep3\Utilities\DownloadLogsFromS3.py --loco 4012 --day 2017-01-07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567</v>
      </c>
      <c r="B90" s="7">
        <v>4042</v>
      </c>
      <c r="C90" s="22" t="s">
        <v>203</v>
      </c>
      <c r="D90" s="22" t="s">
        <v>333</v>
      </c>
      <c r="E90" s="13">
        <v>42742.554363425923</v>
      </c>
      <c r="F90" s="13">
        <v>42742.557592592595</v>
      </c>
      <c r="G90" s="7">
        <v>3</v>
      </c>
      <c r="H90" s="22" t="s">
        <v>696</v>
      </c>
      <c r="I90" s="13">
        <v>42742.589108796295</v>
      </c>
      <c r="J90" s="7">
        <v>0</v>
      </c>
      <c r="K90" s="105" t="str">
        <f t="shared" si="23"/>
        <v>4041/4042</v>
      </c>
      <c r="L90" s="22" t="str">
        <f>VLOOKUP(A90,'Trips&amp;Operators'!$C$1:$G$99999,5,FALSE)</f>
        <v>DELGADO DIANAH</v>
      </c>
      <c r="M90" s="6">
        <f t="shared" si="24"/>
        <v>3.1516203700448386E-2</v>
      </c>
      <c r="N90" s="7">
        <f t="shared" si="39"/>
        <v>45.383333328645676</v>
      </c>
      <c r="O90" s="7"/>
      <c r="P90" s="7"/>
      <c r="Q90" s="23"/>
      <c r="R90" s="23"/>
      <c r="S90" s="32">
        <f t="shared" si="40"/>
        <v>1</v>
      </c>
      <c r="T90" s="47" t="str">
        <f t="shared" si="25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12:18:17-700',mode:absolute,to:'2017-01-07 15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49" t="str">
        <f t="shared" si="27"/>
        <v>N</v>
      </c>
      <c r="X90" s="173">
        <f t="shared" si="28"/>
        <v>1</v>
      </c>
      <c r="Y90" s="64">
        <f t="shared" si="29"/>
        <v>4.6600000000000003E-2</v>
      </c>
      <c r="Z90" s="64">
        <f t="shared" si="30"/>
        <v>23.332899999999999</v>
      </c>
      <c r="AA90" s="64">
        <f t="shared" si="31"/>
        <v>23.286299999999997</v>
      </c>
      <c r="AB90" s="61" t="e">
        <f>VLOOKUP(A90,Enforcements!$C$7:$K$18,8,0)</f>
        <v>#N/A</v>
      </c>
      <c r="AC90" s="57" t="e">
        <f>VLOOKUP(A90,Enforcements!$C$7:$E$18,3,0)</f>
        <v>#N/A</v>
      </c>
      <c r="AD90" s="58" t="str">
        <f t="shared" si="32"/>
        <v>0177-07</v>
      </c>
      <c r="AE90" s="87" t="str">
        <f t="shared" si="3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90" s="84" t="str">
        <f t="shared" si="34"/>
        <v>"C:\Program Files (x86)\AstroGrep\AstroGrep.exe" /spath="%USERPROFILE%\AppData\Local\Temp\OnboardLogs" /stypes="app*4042*20170107*"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177-07 --locoid 4042 --swversion DE.1.0.8.0 --startMP 204:466 --initTime 2017-01-07T13:18:17 --startdatetime 2017-01-07T13:22:56 --delay 3 --endMP 204:233329 --enddatetime 2017-01-07T14:08:19 --enforcementcount 0 &gt;&gt;C:\Users\stu\Documents\GitHub\eaglep3-reporting\EC\2017-01-07-refined-times.txt</v>
      </c>
      <c r="AI9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{"issue":{"subject":"","project_id":79,"tracker_id":40,"status_id":1,"priority_id":2,"assigned_to_id":23,"start_date":"2017-01-07","description":"","custom_fields":[{"id":1,"name":"Subdivision","value":"EC"},{"id":4,"name":"Milepost","value":"23.3329"},{"id":17,"name":"Train ID","value":"177-07"},{"id":16,"name":"Locomotive ID","value":"4042"},{"id":130,"name":"Impact","value":""},{"id":150,"name":"Time of Event (Mountain Time)","value":"14:08:19"},{"id":151,"name":"Denver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8"/>
        <v>start /low /b %USERPROFILE%\Documents\GitHub\eaglep3\Utilities\DownloadLogsFromS3.py --loco 4042 --day 2017-01-07</v>
      </c>
    </row>
    <row r="91" spans="1:91" x14ac:dyDescent="0.25">
      <c r="A91" s="34" t="s">
        <v>573</v>
      </c>
      <c r="B91" s="7">
        <v>4041</v>
      </c>
      <c r="C91" s="22" t="s">
        <v>203</v>
      </c>
      <c r="D91" s="22" t="s">
        <v>697</v>
      </c>
      <c r="E91" s="13">
        <v>42742.589629629627</v>
      </c>
      <c r="F91" s="13">
        <v>42742.591585648152</v>
      </c>
      <c r="G91" s="7">
        <v>1</v>
      </c>
      <c r="H91" s="22" t="s">
        <v>286</v>
      </c>
      <c r="I91" s="13">
        <v>42742.625081018516</v>
      </c>
      <c r="J91" s="7">
        <v>0</v>
      </c>
      <c r="K91" s="105" t="str">
        <f t="shared" si="23"/>
        <v>4041/4042</v>
      </c>
      <c r="L91" s="22" t="str">
        <f>VLOOKUP(A91,'Trips&amp;Operators'!$C$1:$G$99999,5,FALSE)</f>
        <v>DELGADO DIANAH</v>
      </c>
      <c r="M91" s="6">
        <f t="shared" si="24"/>
        <v>3.3495370364107657E-2</v>
      </c>
      <c r="N91" s="7">
        <f t="shared" si="39"/>
        <v>48.233333324315026</v>
      </c>
      <c r="O91" s="7"/>
      <c r="P91" s="7"/>
      <c r="Q91" s="23"/>
      <c r="R91" s="23"/>
      <c r="S91" s="32">
        <f t="shared" si="40"/>
        <v>1</v>
      </c>
      <c r="T91" s="47" t="str">
        <f t="shared" si="25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13:09:04-700',mode:absolute,to:'2017-01-07 16:00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49" t="str">
        <f t="shared" si="27"/>
        <v>N</v>
      </c>
      <c r="X91" s="173">
        <f t="shared" si="28"/>
        <v>1</v>
      </c>
      <c r="Y91" s="64">
        <f t="shared" si="29"/>
        <v>23.3019</v>
      </c>
      <c r="Z91" s="64">
        <f t="shared" si="30"/>
        <v>1.41E-2</v>
      </c>
      <c r="AA91" s="64">
        <f t="shared" si="31"/>
        <v>23.287800000000001</v>
      </c>
      <c r="AB91" s="61" t="e">
        <f>VLOOKUP(A91,Enforcements!$C$7:$K$18,8,0)</f>
        <v>#N/A</v>
      </c>
      <c r="AC91" s="57" t="e">
        <f>VLOOKUP(A91,Enforcements!$C$7:$E$18,3,0)</f>
        <v>#N/A</v>
      </c>
      <c r="AD91" s="58" t="str">
        <f t="shared" si="32"/>
        <v>0178-07</v>
      </c>
      <c r="AE91" s="87" t="str">
        <f t="shared" si="3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91" s="84" t="str">
        <f t="shared" si="34"/>
        <v>"C:\Program Files (x86)\AstroGrep\AstroGrep.exe" /spath="%USERPROFILE%\AppData\Local\Temp\OnboardLogs" /stypes="app*4041*20170107*" /stext=" 22:.+((SYSTEM_STATE.+slice.+state.+changed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178-07 --locoid 4041 --swversion DE.1.0.8.0 --startMP 204:233019 --initTime 2017-01-07T14:09:04 --startdatetime 2017-01-07T14:11:53 --delay 1 --endMP 204:141 --enddatetime 2017-01-07T15:00:07 --enforcementcount 0 &gt;&gt;C:\Users\stu\Documents\GitHub\eaglep3-reporting\EC\2017-01-07-refined-times.txt</v>
      </c>
      <c r="AI9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{"issue":{"subject":"","project_id":79,"tracker_id":40,"status_id":1,"priority_id":2,"assigned_to_id":23,"start_date":"2017-01-07","description":"","custom_fields":[{"id":1,"name":"Subdivision","value":"EC"},{"id":4,"name":"Milepost","value":"0.0141"},{"id":17,"name":"Train ID","value":"178-07"},{"id":16,"name":"Locomotive ID","value":"4041"},{"id":130,"name":"Impact","value":""},{"id":150,"name":"Time of Event (Mountain Time)","value":"15:00:07"},{"id":151,"name":"Denver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8"/>
        <v>start /low /b %USERPROFILE%\Documents\GitHub\eaglep3\Utilities\DownloadLogsFromS3.py --loco 4041 --day 2017-01-07</v>
      </c>
    </row>
    <row r="92" spans="1:91" x14ac:dyDescent="0.25">
      <c r="A92" s="34" t="s">
        <v>568</v>
      </c>
      <c r="B92" s="7">
        <v>4040</v>
      </c>
      <c r="C92" s="22" t="s">
        <v>203</v>
      </c>
      <c r="D92" s="22" t="s">
        <v>312</v>
      </c>
      <c r="E92" s="13">
        <v>42742.563391203701</v>
      </c>
      <c r="F92" s="13">
        <v>42742.564976851849</v>
      </c>
      <c r="G92" s="7">
        <v>1</v>
      </c>
      <c r="H92" s="22" t="s">
        <v>277</v>
      </c>
      <c r="I92" s="13">
        <v>42742.595590277779</v>
      </c>
      <c r="J92" s="7">
        <v>0</v>
      </c>
      <c r="K92" s="105" t="str">
        <f t="shared" si="23"/>
        <v>4039/4040</v>
      </c>
      <c r="L92" s="22" t="str">
        <f>VLOOKUP(A92,'Trips&amp;Operators'!$C$1:$G$99999,5,FALSE)</f>
        <v>KILLION DAVID</v>
      </c>
      <c r="M92" s="6">
        <f t="shared" si="24"/>
        <v>3.0613425929914229E-2</v>
      </c>
      <c r="N92" s="7">
        <f t="shared" si="39"/>
        <v>44.083333339076489</v>
      </c>
      <c r="O92" s="7"/>
      <c r="P92" s="7"/>
      <c r="Q92" s="23"/>
      <c r="R92" s="23"/>
      <c r="S92" s="32">
        <f t="shared" si="40"/>
        <v>1</v>
      </c>
      <c r="T92" s="47" t="str">
        <f t="shared" si="25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12:31:17-700',mode:absolute,to:'2017-01-07 15:17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2" s="49" t="str">
        <f t="shared" si="27"/>
        <v>N</v>
      </c>
      <c r="X92" s="173">
        <f t="shared" si="28"/>
        <v>1</v>
      </c>
      <c r="Y92" s="64">
        <f t="shared" si="29"/>
        <v>4.4600000000000001E-2</v>
      </c>
      <c r="Z92" s="64">
        <f t="shared" si="30"/>
        <v>23.33</v>
      </c>
      <c r="AA92" s="64">
        <f t="shared" si="31"/>
        <v>23.285399999999999</v>
      </c>
      <c r="AB92" s="61" t="e">
        <f>VLOOKUP(A92,Enforcements!$C$7:$K$18,8,0)</f>
        <v>#N/A</v>
      </c>
      <c r="AC92" s="57" t="e">
        <f>VLOOKUP(A92,Enforcements!$C$7:$E$18,3,0)</f>
        <v>#N/A</v>
      </c>
      <c r="AD92" s="58" t="str">
        <f t="shared" si="32"/>
        <v>0179-07</v>
      </c>
      <c r="AE92" s="87" t="str">
        <f t="shared" si="33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92" s="84" t="str">
        <f t="shared" si="34"/>
        <v>"C:\Program Files (x86)\AstroGrep\AstroGrep.exe" /spath="%USERPROFILE%\AppData\Local\Temp\OnboardLogs" /stypes="app*4040*20170107*"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179-07 --locoid 4040 --swversion DE.1.0.8.0 --startMP 204:446 --initTime 2017-01-07T13:31:17 --startdatetime 2017-01-07T13:33:34 --delay 1 --endMP 204:233300 --enddatetime 2017-01-07T14:17:39 --enforcementcount 0 &gt;&gt;C:\Users\stu\Documents\GitHub\eaglep3-reporting\EC\2017-01-07-refined-times.txt</v>
      </c>
      <c r="AI9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ID","value":"179-07"},{"id":16,"name":"Locomotive ID","value":"4040"},{"id":130,"name":"Impact","value":""},{"id":150,"name":"Time of Event (Mountain Time)","value":"14:17:39"},{"id":151,"name":"Denver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8"/>
        <v>start /low /b %USERPROFILE%\Documents\GitHub\eaglep3\Utilities\DownloadLogsFromS3.py --loco 4040 --day 2017-01-07</v>
      </c>
    </row>
    <row r="93" spans="1:91" s="21" customFormat="1" x14ac:dyDescent="0.25">
      <c r="A93" s="34" t="s">
        <v>575</v>
      </c>
      <c r="B93" s="7">
        <v>4039</v>
      </c>
      <c r="C93" s="22" t="s">
        <v>203</v>
      </c>
      <c r="D93" s="22" t="s">
        <v>412</v>
      </c>
      <c r="E93" s="13">
        <v>42742.599039351851</v>
      </c>
      <c r="F93" s="13">
        <v>42742.602812500001</v>
      </c>
      <c r="G93" s="7">
        <v>1</v>
      </c>
      <c r="H93" s="22" t="s">
        <v>191</v>
      </c>
      <c r="I93" s="13">
        <v>42742.632106481484</v>
      </c>
      <c r="J93" s="7">
        <v>0</v>
      </c>
      <c r="K93" s="105" t="str">
        <f t="shared" si="23"/>
        <v>4039/4040</v>
      </c>
      <c r="L93" s="22" t="str">
        <f>VLOOKUP(A93,'Trips&amp;Operators'!$C$1:$G$99999,5,FALSE)</f>
        <v>KILLION DAVID</v>
      </c>
      <c r="M93" s="6">
        <f t="shared" si="24"/>
        <v>2.9293981482624076E-2</v>
      </c>
      <c r="N93" s="7">
        <f t="shared" si="39"/>
        <v>42.18333333497867</v>
      </c>
      <c r="O93" s="7"/>
      <c r="P93" s="7"/>
      <c r="Q93" s="23"/>
      <c r="R93" s="23"/>
      <c r="S93" s="32">
        <f t="shared" si="40"/>
        <v>1</v>
      </c>
      <c r="T93" s="47" t="str">
        <f t="shared" si="25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13:22:37-700',mode:absolute,to:'2017-01-07 16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3" s="49" t="str">
        <f t="shared" si="27"/>
        <v>N</v>
      </c>
      <c r="X93" s="173">
        <f t="shared" si="28"/>
        <v>1</v>
      </c>
      <c r="Y93" s="64">
        <f t="shared" si="29"/>
        <v>23.2974</v>
      </c>
      <c r="Z93" s="64">
        <f t="shared" si="30"/>
        <v>1.49E-2</v>
      </c>
      <c r="AA93" s="64">
        <f t="shared" si="31"/>
        <v>23.282499999999999</v>
      </c>
      <c r="AB93" s="61" t="e">
        <f>VLOOKUP(A93,Enforcements!$C$7:$K$18,8,0)</f>
        <v>#N/A</v>
      </c>
      <c r="AC93" s="57" t="e">
        <f>VLOOKUP(A93,Enforcements!$C$7:$E$18,3,0)</f>
        <v>#N/A</v>
      </c>
      <c r="AD93" s="58" t="str">
        <f t="shared" si="32"/>
        <v>0180-07</v>
      </c>
      <c r="AE93" s="87" t="str">
        <f t="shared" si="33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93" s="84" t="str">
        <f t="shared" si="34"/>
        <v>"C:\Program Files (x86)\AstroGrep\AstroGrep.exe" /spath="%USERPROFILE%\AppData\Local\Temp\OnboardLogs" /stypes="app*4039*20170107*"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180-07 --locoid 4039 --swversion DE.1.0.8.0 --startMP 204:232974 --initTime 2017-01-07T14:22:37 --startdatetime 2017-01-07T14:28:03 --delay 1 --endMP 204:149 --enddatetime 2017-01-07T15:10:14 --enforcementcount 0 &gt;&gt;C:\Users\stu\Documents\GitHub\eaglep3-reporting\EC\2017-01-07-refined-times.txt</v>
      </c>
      <c r="AI9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ID","value":"180-07"},{"id":16,"name":"Locomotive ID","value":"4039"},{"id":130,"name":"Impact","value":""},{"id":150,"name":"Time of Event (Mountain Time)","value":"15:10:14"},{"id":151,"name":"Denver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8"/>
        <v>start /low /b %USERPROFILE%\Documents\GitHub\eaglep3\Utilities\DownloadLogsFromS3.py --loco 4039 --day 2017-01-07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570</v>
      </c>
      <c r="B94" s="7">
        <v>4046</v>
      </c>
      <c r="C94" s="22" t="s">
        <v>203</v>
      </c>
      <c r="D94" s="22" t="s">
        <v>242</v>
      </c>
      <c r="E94" s="13">
        <v>42742.572777777779</v>
      </c>
      <c r="F94" s="13">
        <v>42742.573958333334</v>
      </c>
      <c r="G94" s="7">
        <v>1</v>
      </c>
      <c r="H94" s="22" t="s">
        <v>712</v>
      </c>
      <c r="I94" s="13">
        <v>42742.603113425925</v>
      </c>
      <c r="J94" s="7">
        <v>0</v>
      </c>
      <c r="K94" s="105" t="str">
        <f t="shared" si="23"/>
        <v>4045/4046</v>
      </c>
      <c r="L94" s="22" t="str">
        <f>VLOOKUP(A94,'Trips&amp;Operators'!$C$1:$G$99999,5,FALSE)</f>
        <v>LEVIN SCOTT</v>
      </c>
      <c r="M94" s="6">
        <f t="shared" si="24"/>
        <v>2.9155092590372078E-2</v>
      </c>
      <c r="N94" s="7">
        <f t="shared" si="39"/>
        <v>41.983333330135792</v>
      </c>
      <c r="O94" s="7"/>
      <c r="P94" s="7"/>
      <c r="Q94" s="23"/>
      <c r="R94" s="23"/>
      <c r="S94" s="32">
        <f t="shared" si="40"/>
        <v>1</v>
      </c>
      <c r="T94" s="47" t="str">
        <f t="shared" si="25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12:44:48-700',mode:absolute,to:'2017-01-07 15:28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4" s="49" t="str">
        <f t="shared" si="27"/>
        <v>N</v>
      </c>
      <c r="X94" s="173">
        <f t="shared" si="28"/>
        <v>1</v>
      </c>
      <c r="Y94" s="64">
        <f t="shared" si="29"/>
        <v>4.53E-2</v>
      </c>
      <c r="Z94" s="64">
        <f t="shared" si="30"/>
        <v>23.333400000000001</v>
      </c>
      <c r="AA94" s="64">
        <f t="shared" si="31"/>
        <v>23.2881</v>
      </c>
      <c r="AB94" s="61" t="e">
        <f>VLOOKUP(A94,Enforcements!$C$7:$K$18,8,0)</f>
        <v>#N/A</v>
      </c>
      <c r="AC94" s="57" t="e">
        <f>VLOOKUP(A94,Enforcements!$C$7:$E$18,3,0)</f>
        <v>#N/A</v>
      </c>
      <c r="AD94" s="58" t="str">
        <f t="shared" si="32"/>
        <v>0181-07</v>
      </c>
      <c r="AE94" s="87" t="str">
        <f t="shared" si="3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94" s="84" t="str">
        <f t="shared" si="34"/>
        <v>"C:\Program Files (x86)\AstroGrep\AstroGrep.exe" /spath="%USERPROFILE%\AppData\Local\Temp\OnboardLogs" /stypes="app*4046*20170107*"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181-07 --locoid 4046 --swversion DE.1.0.8.0 --startMP 204:453 --initTime 2017-01-07T13:44:48 --startdatetime 2017-01-07T13:46:30 --delay 1 --endMP 204:233334 --enddatetime 2017-01-07T14:28:29 --enforcementcount 0 &gt;&gt;C:\Users\stu\Documents\GitHub\eaglep3-reporting\EC\2017-01-07-refined-times.txt</v>
      </c>
      <c r="AI9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{"issue":{"subject":"","project_id":79,"tracker_id":40,"status_id":1,"priority_id":2,"assigned_to_id":23,"start_date":"2017-01-07","description":"","custom_fields":[{"id":1,"name":"Subdivision","value":"EC"},{"id":4,"name":"Milepost","value":"23.3334"},{"id":17,"name":"Train ID","value":"181-07"},{"id":16,"name":"Locomotive ID","value":"4046"},{"id":130,"name":"Impact","value":""},{"id":150,"name":"Time of Event (Mountain Time)","value":"14:28:29"},{"id":151,"name":"Denver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8"/>
        <v>start /low /b %USERPROFILE%\Documents\GitHub\eaglep3\Utilities\DownloadLogsFromS3.py --loco 4046 --day 2017-01-07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449</v>
      </c>
      <c r="B95" s="7">
        <v>4045</v>
      </c>
      <c r="C95" s="22" t="s">
        <v>203</v>
      </c>
      <c r="D95" s="22" t="s">
        <v>672</v>
      </c>
      <c r="E95" s="13">
        <v>42742.607719907406</v>
      </c>
      <c r="F95" s="13">
        <v>42742.612071759257</v>
      </c>
      <c r="G95" s="7">
        <v>1</v>
      </c>
      <c r="H95" s="22" t="s">
        <v>192</v>
      </c>
      <c r="I95" s="13">
        <v>42742.642152777778</v>
      </c>
      <c r="J95" s="7">
        <v>0</v>
      </c>
      <c r="K95" s="105" t="str">
        <f t="shared" si="23"/>
        <v>4045/4046</v>
      </c>
      <c r="L95" s="22" t="str">
        <f>VLOOKUP(A95,'Trips&amp;Operators'!$C$1:$G$99999,5,FALSE)</f>
        <v>LEVIN SCOTT</v>
      </c>
      <c r="M95" s="6">
        <f t="shared" si="24"/>
        <v>3.0081018521741498E-2</v>
      </c>
      <c r="N95" s="7">
        <f t="shared" si="39"/>
        <v>43.316666671307757</v>
      </c>
      <c r="O95" s="7"/>
      <c r="P95" s="7"/>
      <c r="Q95" s="23"/>
      <c r="R95" s="23"/>
      <c r="S95" s="32">
        <f t="shared" si="40"/>
        <v>1</v>
      </c>
      <c r="T95" s="47" t="str">
        <f t="shared" si="25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13:35:07-700',mode:absolute,to:'2017-01-07 16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5" s="49" t="str">
        <f t="shared" si="27"/>
        <v>N</v>
      </c>
      <c r="X95" s="173">
        <f t="shared" si="28"/>
        <v>1</v>
      </c>
      <c r="Y95" s="64">
        <f t="shared" si="29"/>
        <v>23.301300000000001</v>
      </c>
      <c r="Z95" s="64">
        <f t="shared" si="30"/>
        <v>1.43E-2</v>
      </c>
      <c r="AA95" s="64">
        <f t="shared" si="31"/>
        <v>23.287000000000003</v>
      </c>
      <c r="AB95" s="61" t="str">
        <f>VLOOKUP(A95,Enforcements!$C$7:$K$18,8,0)</f>
        <v>Speed (6)</v>
      </c>
      <c r="AC95" s="57" t="str">
        <f>VLOOKUP(A95,Enforcements!$C$7:$E$18,3,0)</f>
        <v>PERMANENT SPEED RESTRICTION</v>
      </c>
      <c r="AD95" s="58" t="str">
        <f t="shared" si="32"/>
        <v>0182-07</v>
      </c>
      <c r="AE95" s="87" t="str">
        <f t="shared" si="3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95" s="84" t="str">
        <f t="shared" si="34"/>
        <v>"C:\Program Files (x86)\AstroGrep\AstroGrep.exe" /spath="%USERPROFILE%\AppData\Local\Temp\OnboardLogs" /stypes="app*4045*20170107*"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182-07 --locoid 4045 --swversion DE.1.0.8.0 --startMP 204:233013 --initTime 2017-01-07T14:35:07 --startdatetime 2017-01-07T14:41:23 --delay 1 --endMP 204:143 --enddatetime 2017-01-07T15:24:42 --enforcementcount 0 &gt;&gt;C:\Users\stu\Documents\GitHub\eaglep3-reporting\EC\2017-01-07-refined-times.txt</v>
      </c>
      <c r="AI9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ID","value":"182-07"},{"id":16,"name":"Locomotive ID","value":"4045"},{"id":130,"name":"Impact","value":""},{"id":150,"name":"Time of Event (Mountain Time)","value":"15:24:42"},{"id":151,"name":"Denver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8"/>
        <v>start /low /b %USERPROFILE%\Documents\GitHub\eaglep3\Utilities\DownloadLogsFromS3.py --loco 4045 --day 2017-01-07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572</v>
      </c>
      <c r="B96" s="7">
        <v>4044</v>
      </c>
      <c r="C96" s="22" t="s">
        <v>203</v>
      </c>
      <c r="D96" s="22" t="s">
        <v>416</v>
      </c>
      <c r="E96" s="13">
        <v>42742.587800925925</v>
      </c>
      <c r="F96" s="13">
        <v>42742.590104166666</v>
      </c>
      <c r="G96" s="7">
        <v>1</v>
      </c>
      <c r="H96" s="22" t="s">
        <v>350</v>
      </c>
      <c r="I96" s="13">
        <v>42742.620254629626</v>
      </c>
      <c r="J96" s="7">
        <v>0</v>
      </c>
      <c r="K96" s="105" t="str">
        <f t="shared" si="23"/>
        <v>4043/4044</v>
      </c>
      <c r="L96" s="22" t="str">
        <f>VLOOKUP(A96,'Trips&amp;Operators'!$C$1:$G$99999,5,FALSE)</f>
        <v>BRANDNER MELINDA</v>
      </c>
      <c r="M96" s="6">
        <f t="shared" si="24"/>
        <v>3.015046296059154E-2</v>
      </c>
      <c r="N96" s="7">
        <f t="shared" si="39"/>
        <v>43.416666663251817</v>
      </c>
      <c r="O96" s="7"/>
      <c r="P96" s="7"/>
      <c r="Q96" s="23"/>
      <c r="R96" s="23"/>
      <c r="S96" s="32">
        <f t="shared" si="40"/>
        <v>1</v>
      </c>
      <c r="T96" s="47" t="str">
        <f t="shared" si="25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13:06:26-700',mode:absolute,to:'2017-01-07 15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49" t="str">
        <f t="shared" si="27"/>
        <v>N</v>
      </c>
      <c r="X96" s="173">
        <f t="shared" si="28"/>
        <v>1</v>
      </c>
      <c r="Y96" s="64">
        <f t="shared" si="29"/>
        <v>4.3799999999999999E-2</v>
      </c>
      <c r="Z96" s="64">
        <f t="shared" si="30"/>
        <v>23.3291</v>
      </c>
      <c r="AA96" s="64">
        <f t="shared" si="31"/>
        <v>23.285299999999999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 t="shared" si="32"/>
        <v>0183-07</v>
      </c>
      <c r="AE96" s="87" t="str">
        <f t="shared" si="33"/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96" s="84" t="str">
        <f t="shared" si="34"/>
        <v>"C:\Program Files (x86)\AstroGrep\AstroGrep.exe" /spath="%USERPROFILE%\AppData\Local\Temp\OnboardLogs" /stypes="app*4044*20170107*"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183-07 --locoid 4044 --swversion DE.1.0.8.0 --startMP 204:438 --initTime 2017-01-07T14:06:26 --startdatetime 2017-01-07T14:09:45 --delay 1 --endMP 204:233291 --enddatetime 2017-01-07T14:53:10 --enforcementcount 0 &gt;&gt;C:\Users\stu\Documents\GitHub\eaglep3-reporting\EC\2017-01-07-refined-times.txt</v>
      </c>
      <c r="AI9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ID","value":"183-07"},{"id":16,"name":"Locomotive ID","value":"4044"},{"id":130,"name":"Impact","value":""},{"id":150,"name":"Time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8"/>
        <v>start /low /b %USERPROFILE%\Documents\GitHub\eaglep3\Utilities\DownloadLogsFromS3.py --loco 4044 --day 2017-01-07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580</v>
      </c>
      <c r="B97" s="7">
        <v>4043</v>
      </c>
      <c r="C97" s="22" t="s">
        <v>203</v>
      </c>
      <c r="D97" s="22" t="s">
        <v>746</v>
      </c>
      <c r="E97" s="13">
        <v>42742.628518518519</v>
      </c>
      <c r="F97" s="13">
        <v>42742.629837962966</v>
      </c>
      <c r="G97" s="7">
        <v>1</v>
      </c>
      <c r="H97" s="22" t="s">
        <v>747</v>
      </c>
      <c r="I97" s="13">
        <v>42742.664548611108</v>
      </c>
      <c r="J97" s="7">
        <v>0</v>
      </c>
      <c r="K97" s="105" t="str">
        <f t="shared" si="23"/>
        <v>4043/4044</v>
      </c>
      <c r="L97" s="22" t="str">
        <f>VLOOKUP(A97,'Trips&amp;Operators'!$C$1:$G$99999,5,FALSE)</f>
        <v>BRANDNER MELINDA</v>
      </c>
      <c r="M97" s="6">
        <f t="shared" si="24"/>
        <v>3.4710648142208811E-2</v>
      </c>
      <c r="N97" s="7">
        <f t="shared" si="39"/>
        <v>49.983333324780688</v>
      </c>
      <c r="O97" s="7"/>
      <c r="P97" s="7"/>
      <c r="Q97" s="23"/>
      <c r="R97" s="23" t="s">
        <v>828</v>
      </c>
      <c r="S97" s="32">
        <f t="shared" si="40"/>
        <v>1</v>
      </c>
      <c r="T97" s="47" t="str">
        <f t="shared" si="25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14:05:04-700',mode:absolute,to:'2017-01-07 16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49" t="str">
        <f t="shared" si="27"/>
        <v>Y</v>
      </c>
      <c r="X97" s="173">
        <f t="shared" si="28"/>
        <v>1</v>
      </c>
      <c r="Y97" s="64">
        <f t="shared" si="29"/>
        <v>22.999400000000001</v>
      </c>
      <c r="Z97" s="64">
        <f t="shared" si="30"/>
        <v>0.11899999999999999</v>
      </c>
      <c r="AA97" s="64">
        <f t="shared" si="31"/>
        <v>22.880400000000002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 t="shared" si="32"/>
        <v>0184-07</v>
      </c>
      <c r="AE97" s="87" t="str">
        <f t="shared" si="33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97" s="84" t="str">
        <f t="shared" si="34"/>
        <v>"C:\Program Files (x86)\AstroGrep\AstroGrep.exe" /spath="%USERPROFILE%\AppData\Local\Temp\OnboardLogs" /stypes="app*4043*20170107*" /stext=" 22:.+((SYSTEM_STATE.+slice.+state.+changed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184-07 --locoid 4043 --swversion DE.1.0.8.0 --startMP 204:229994 --initTime 2017-01-07T15:05:04 --startdatetime 2017-01-07T15:06:58 --delay 1 --endMP 204:1190 --enddatetime 2017-01-07T15:56:57 --enforcementcount 0 &gt;&gt;C:\Users\stu\Documents\GitHub\eaglep3-reporting\EC\2017-01-07-refined-times.txt</v>
      </c>
      <c r="AI97" s="115" t="str">
        <f t="shared" si="37"/>
        <v>echo {"issue":{"subject":"Onboard in-route failure delayed departure","project_id":79,"tracker_id":40,"status_id":1,"priority_id":2,"assigned_to_id":23,"start_date":"2017-01-07","description":"","custom_fields":[{"id":1,"name":"Subdivision","value":"EC"},{"id":4,"name":"Milepost","value":"0.119"},{"id":17,"name":"Train ID","value":"184-07"},{"id":16,"name":"Locomotive ID","value":"4043"},{"id":130,"name":"Impact","value":""},{"id":150,"name":"Time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8"/>
        <v>start /low /b %USERPROFILE%\Documents\GitHub\eaglep3\Utilities\DownloadLogsFromS3.py --loco 4043 --day 2017-01-07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576</v>
      </c>
      <c r="B98" s="7">
        <v>4003</v>
      </c>
      <c r="C98" s="22" t="s">
        <v>203</v>
      </c>
      <c r="D98" s="22" t="s">
        <v>290</v>
      </c>
      <c r="E98" s="13">
        <v>42742.599548611113</v>
      </c>
      <c r="F98" s="13">
        <v>42742.604074074072</v>
      </c>
      <c r="G98" s="7">
        <v>2</v>
      </c>
      <c r="H98" s="22" t="s">
        <v>276</v>
      </c>
      <c r="I98" s="13">
        <v>42742.632384259261</v>
      </c>
      <c r="J98" s="7">
        <v>0</v>
      </c>
      <c r="K98" s="105" t="str">
        <f t="shared" si="23"/>
        <v>4003/4004</v>
      </c>
      <c r="L98" s="22" t="str">
        <f>VLOOKUP(A98,'Trips&amp;Operators'!$C$1:$G$99999,5,FALSE)</f>
        <v>BRANNON JEFFREY</v>
      </c>
      <c r="M98" s="6">
        <f t="shared" si="24"/>
        <v>2.8310185189184267E-2</v>
      </c>
      <c r="N98" s="7">
        <f t="shared" si="39"/>
        <v>40.766666672425345</v>
      </c>
      <c r="O98" s="7"/>
      <c r="P98" s="7"/>
      <c r="Q98" s="23"/>
      <c r="R98" s="23"/>
      <c r="S98" s="32">
        <f t="shared" si="40"/>
        <v>1</v>
      </c>
      <c r="T98" s="47" t="str">
        <f t="shared" si="25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13:23:21-700',mode:absolute,to:'2017-01-07 16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8" s="49" t="str">
        <f t="shared" si="27"/>
        <v>N</v>
      </c>
      <c r="X98" s="173">
        <f t="shared" si="28"/>
        <v>1</v>
      </c>
      <c r="Y98" s="64">
        <f t="shared" si="29"/>
        <v>4.5699999999999998E-2</v>
      </c>
      <c r="Z98" s="64">
        <f t="shared" si="30"/>
        <v>23.331199999999999</v>
      </c>
      <c r="AA98" s="64">
        <f t="shared" si="31"/>
        <v>23.285499999999999</v>
      </c>
      <c r="AB98" s="61" t="e">
        <f>VLOOKUP(A98,Enforcements!$C$7:$K$18,8,0)</f>
        <v>#N/A</v>
      </c>
      <c r="AC98" s="57" t="e">
        <f>VLOOKUP(A98,Enforcements!$C$7:$E$18,3,0)</f>
        <v>#N/A</v>
      </c>
      <c r="AD98" s="58" t="str">
        <f t="shared" si="32"/>
        <v>0185-07</v>
      </c>
      <c r="AE98" s="87" t="str">
        <f t="shared" si="3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98" s="84" t="str">
        <f t="shared" si="34"/>
        <v>"C:\Program Files (x86)\AstroGrep\AstroGrep.exe" /spath="%USERPROFILE%\AppData\Local\Temp\OnboardLogs" /stypes="app*4003*20170107*"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185-07 --locoid 4003 --swversion DE.1.0.8.0 --startMP 204:457 --initTime 2017-01-07T14:23:21 --startdatetime 2017-01-07T14:29:52 --delay 2 --endMP 204:233312 --enddatetime 2017-01-07T15:10:38 --enforcementcount 0 &gt;&gt;C:\Users\stu\Documents\GitHub\eaglep3-reporting\EC\2017-01-07-refined-times.txt</v>
      </c>
      <c r="AI9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{"issue":{"subject":"","project_id":79,"tracker_id":40,"status_id":1,"priority_id":2,"assigned_to_id":23,"start_date":"2017-01-07","description":"","custom_fields":[{"id":1,"name":"Subdivision","value":"EC"},{"id":4,"name":"Milepost","value":"23.3312"},{"id":17,"name":"Train ID","value":"185-07"},{"id":16,"name":"Locomotive ID","value":"4003"},{"id":130,"name":"Impact","value":""},{"id":150,"name":"Time of Event (Mountain Time)","value":"15:10:38"},{"id":151,"name":"Denver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8"/>
        <v>start /low /b %USERPROFILE%\Documents\GitHub\eaglep3\Utilities\DownloadLogsFromS3.py --loco 4003 --day 2017-01-07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583</v>
      </c>
      <c r="B99" s="7">
        <v>4004</v>
      </c>
      <c r="C99" s="22" t="s">
        <v>203</v>
      </c>
      <c r="D99" s="22" t="s">
        <v>669</v>
      </c>
      <c r="E99" s="13">
        <v>42742.633935185186</v>
      </c>
      <c r="F99" s="13">
        <v>42742.635578703703</v>
      </c>
      <c r="G99" s="7">
        <v>1</v>
      </c>
      <c r="H99" s="22" t="s">
        <v>246</v>
      </c>
      <c r="I99" s="13">
        <v>42742.669004629628</v>
      </c>
      <c r="J99" s="7">
        <v>0</v>
      </c>
      <c r="K99" s="105" t="str">
        <f t="shared" si="23"/>
        <v>4003/4004</v>
      </c>
      <c r="L99" s="22" t="str">
        <f>VLOOKUP(A99,'Trips&amp;Operators'!$C$1:$G$99999,5,FALSE)</f>
        <v>BRANNON JEFFREY</v>
      </c>
      <c r="M99" s="6">
        <f t="shared" si="24"/>
        <v>3.3425925925257616E-2</v>
      </c>
      <c r="N99" s="7">
        <f t="shared" si="39"/>
        <v>48.133333332370967</v>
      </c>
      <c r="O99" s="7"/>
      <c r="P99" s="7"/>
      <c r="Q99" s="23"/>
      <c r="R99" s="23"/>
      <c r="S99" s="32">
        <f t="shared" si="40"/>
        <v>1</v>
      </c>
      <c r="T99" s="47" t="str">
        <f t="shared" si="25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14:12:52-700',mode:absolute,to:'2017-01-07 17:03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9" s="49" t="str">
        <f t="shared" si="27"/>
        <v>N</v>
      </c>
      <c r="X99" s="173">
        <f t="shared" si="28"/>
        <v>1</v>
      </c>
      <c r="Y99" s="64">
        <f t="shared" si="29"/>
        <v>23.297799999999999</v>
      </c>
      <c r="Z99" s="64">
        <f t="shared" si="30"/>
        <v>1.3899999999999999E-2</v>
      </c>
      <c r="AA99" s="64">
        <f t="shared" si="31"/>
        <v>23.283899999999999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 t="shared" si="32"/>
        <v>0186-07</v>
      </c>
      <c r="AE99" s="87" t="str">
        <f t="shared" si="3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99" s="84" t="str">
        <f t="shared" si="34"/>
        <v>"C:\Program Files (x86)\AstroGrep\AstroGrep.exe" /spath="%USERPROFILE%\AppData\Local\Temp\OnboardLogs" /stypes="app*4004*20170107*" /stext=" 23:.+((SYSTEM_STATE.+slice.+state.+changed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186-07 --locoid 4004 --swversion DE.1.0.8.0 --startMP 204:232978 --initTime 2017-01-07T15:12:52 --startdatetime 2017-01-07T15:15:14 --delay 1 --endMP 204:139 --enddatetime 2017-01-07T16:03:22 --enforcementcount 0 &gt;&gt;C:\Users\stu\Documents\GitHub\eaglep3-reporting\EC\2017-01-07-refined-times.txt</v>
      </c>
      <c r="AI9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ID","value":"186-07"},{"id":16,"name":"Locomotive ID","value":"4004"},{"id":130,"name":"Impact","value":""},{"id":150,"name":"Time of Event (Mountain Time)","value":"16:03:22"},{"id":151,"name":"Denver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8"/>
        <v>start /low /b %USERPROFILE%\Documents\GitHub\eaglep3\Utilities\DownloadLogsFromS3.py --loco 4004 --day 2017-01-07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577</v>
      </c>
      <c r="B100" s="7">
        <v>4016</v>
      </c>
      <c r="C100" s="22" t="s">
        <v>203</v>
      </c>
      <c r="D100" s="22" t="s">
        <v>748</v>
      </c>
      <c r="E100" s="13">
        <v>42742.603796296295</v>
      </c>
      <c r="F100" s="13">
        <v>42742.606481481482</v>
      </c>
      <c r="G100" s="7">
        <v>1</v>
      </c>
      <c r="H100" s="22" t="s">
        <v>749</v>
      </c>
      <c r="I100" s="13">
        <v>42742.638287037036</v>
      </c>
      <c r="J100" s="7">
        <v>0</v>
      </c>
      <c r="K100" s="105" t="str">
        <f t="shared" si="23"/>
        <v>4015/4016</v>
      </c>
      <c r="L100" s="22" t="str">
        <f>VLOOKUP(A100,'Trips&amp;Operators'!$C$1:$G$99999,5,FALSE)</f>
        <v>STEWART MICHAEL</v>
      </c>
      <c r="M100" s="6">
        <f t="shared" si="24"/>
        <v>3.1805555554456078E-2</v>
      </c>
      <c r="N100" s="7">
        <f t="shared" si="39"/>
        <v>45.799999998416752</v>
      </c>
      <c r="O100" s="7"/>
      <c r="P100" s="7"/>
      <c r="Q100" s="23"/>
      <c r="R100" s="23"/>
      <c r="S100" s="32">
        <f t="shared" si="40"/>
        <v>1</v>
      </c>
      <c r="T100" s="47" t="str">
        <f t="shared" si="25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13:29:28-700',mode:absolute,to:'2017-01-07 16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0" s="49" t="str">
        <f t="shared" si="27"/>
        <v>N</v>
      </c>
      <c r="X100" s="173">
        <f t="shared" si="28"/>
        <v>1</v>
      </c>
      <c r="Y100" s="64">
        <f t="shared" si="29"/>
        <v>4.24E-2</v>
      </c>
      <c r="Z100" s="64">
        <f t="shared" si="30"/>
        <v>23.331700000000001</v>
      </c>
      <c r="AA100" s="64">
        <f t="shared" si="31"/>
        <v>23.289300000000001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 t="shared" si="32"/>
        <v>0187-07</v>
      </c>
      <c r="AE100" s="87" t="str">
        <f t="shared" si="3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00" s="84" t="str">
        <f t="shared" si="34"/>
        <v>"C:\Program Files (x86)\AstroGrep\AstroGrep.exe" /spath="%USERPROFILE%\AppData\Local\Temp\OnboardLogs" /stypes="app*4016*20170107*"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187-07 --locoid 4016 --swversion DE.1.0.8.0 --startMP 204:424 --initTime 2017-01-07T14:29:28 --startdatetime 2017-01-07T14:33:20 --delay 1 --endMP 204:233317 --enddatetime 2017-01-07T15:19:08 --enforcementcount 0 &gt;&gt;C:\Users\stu\Documents\GitHub\eaglep3-reporting\EC\2017-01-07-refined-times.txt</v>
      </c>
      <c r="AI10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{"issue":{"subject":"","project_id":79,"tracker_id":40,"status_id":1,"priority_id":2,"assigned_to_id":23,"start_date":"2017-01-07","description":"","custom_fields":[{"id":1,"name":"Subdivision","value":"EC"},{"id":4,"name":"Milepost","value":"23.3317"},{"id":17,"name":"Train ID","value":"187-07"},{"id":16,"name":"Locomotive ID","value":"4016"},{"id":130,"name":"Impact","value":""},{"id":150,"name":"Time of Event (Mountain Time)","value":"15:19:08"},{"id":151,"name":"Denver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8"/>
        <v>start /low /b %USERPROFILE%\Documents\GitHub\eaglep3\Utilities\DownloadLogsFromS3.py --loco 4016 --day 2017-01-07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585</v>
      </c>
      <c r="B101" s="7">
        <v>4015</v>
      </c>
      <c r="C101" s="22" t="s">
        <v>203</v>
      </c>
      <c r="D101" s="22" t="s">
        <v>348</v>
      </c>
      <c r="E101" s="13">
        <v>42742.641412037039</v>
      </c>
      <c r="F101" s="13">
        <v>42742.64334490741</v>
      </c>
      <c r="G101" s="7">
        <v>1</v>
      </c>
      <c r="H101" s="22" t="s">
        <v>683</v>
      </c>
      <c r="I101" s="13">
        <v>42742.674166666664</v>
      </c>
      <c r="J101" s="7">
        <v>0</v>
      </c>
      <c r="K101" s="105" t="str">
        <f t="shared" si="23"/>
        <v>4015/4016</v>
      </c>
      <c r="L101" s="22" t="str">
        <f>VLOOKUP(A101,'Trips&amp;Operators'!$C$1:$G$99999,5,FALSE)</f>
        <v>STEWART MICHAEL</v>
      </c>
      <c r="M101" s="6">
        <f t="shared" si="24"/>
        <v>3.0821759253740311E-2</v>
      </c>
      <c r="N101" s="7">
        <f t="shared" si="39"/>
        <v>44.383333325386047</v>
      </c>
      <c r="O101" s="7"/>
      <c r="P101" s="7"/>
      <c r="Q101" s="23"/>
      <c r="R101" s="23"/>
      <c r="S101" s="32">
        <f t="shared" si="40"/>
        <v>1</v>
      </c>
      <c r="T101" s="47" t="str">
        <f t="shared" si="25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14:23:38-700',mode:absolute,to:'2017-01-07 17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1" s="49" t="str">
        <f t="shared" si="27"/>
        <v>N</v>
      </c>
      <c r="X101" s="173">
        <f t="shared" si="28"/>
        <v>1</v>
      </c>
      <c r="Y101" s="64">
        <f t="shared" si="29"/>
        <v>23.2987</v>
      </c>
      <c r="Z101" s="64">
        <f t="shared" si="30"/>
        <v>1.61E-2</v>
      </c>
      <c r="AA101" s="64">
        <f t="shared" si="31"/>
        <v>23.282599999999999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 t="shared" si="32"/>
        <v>0188-07</v>
      </c>
      <c r="AE101" s="87" t="str">
        <f t="shared" si="3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01" s="84" t="str">
        <f t="shared" si="34"/>
        <v>"C:\Program Files (x86)\AstroGrep\AstroGrep.exe" /spath="%USERPROFILE%\AppData\Local\Temp\OnboardLogs" /stypes="app*4015*20170107*"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188-07 --locoid 4015 --swversion DE.1.0.8.0 --startMP 204:232987 --initTime 2017-01-07T15:23:38 --startdatetime 2017-01-07T15:26:25 --delay 1 --endMP 204:161 --enddatetime 2017-01-07T16:10:48 --enforcementcount 0 &gt;&gt;C:\Users\stu\Documents\GitHub\eaglep3-reporting\EC\2017-01-07-refined-times.txt</v>
      </c>
      <c r="AI10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ID","value":"188-07"},{"id":16,"name":"Locomotive ID","value":"4015"},{"id":130,"name":"Impact","value":""},{"id":150,"name":"Time of Event (Mountain Time)","value":"16:10:48"},{"id":151,"name":"Denver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8"/>
        <v>start /low /b %USERPROFILE%\Documents\GitHub\eaglep3\Utilities\DownloadLogsFromS3.py --loco 4015 --day 2017-01-07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579</v>
      </c>
      <c r="B102" s="7">
        <v>4011</v>
      </c>
      <c r="C102" s="22" t="s">
        <v>203</v>
      </c>
      <c r="D102" s="22" t="s">
        <v>680</v>
      </c>
      <c r="E102" s="13">
        <v>42742.622210648151</v>
      </c>
      <c r="F102" s="13">
        <v>42742.623692129629</v>
      </c>
      <c r="G102" s="7">
        <v>1</v>
      </c>
      <c r="H102" s="22" t="s">
        <v>401</v>
      </c>
      <c r="I102" s="13">
        <v>42742.651967592596</v>
      </c>
      <c r="J102" s="7">
        <v>0</v>
      </c>
      <c r="K102" s="105" t="str">
        <f t="shared" si="23"/>
        <v>4011/4012</v>
      </c>
      <c r="L102" s="22" t="str">
        <f>VLOOKUP(A102,'Trips&amp;Operators'!$C$1:$G$99999,5,FALSE)</f>
        <v>LOPES KIMBERLY</v>
      </c>
      <c r="M102" s="6">
        <f t="shared" si="24"/>
        <v>2.8275462966121268E-2</v>
      </c>
      <c r="N102" s="7">
        <f t="shared" si="39"/>
        <v>40.716666671214625</v>
      </c>
      <c r="O102" s="7"/>
      <c r="P102" s="7"/>
      <c r="Q102" s="23"/>
      <c r="R102" s="23"/>
      <c r="S102" s="32">
        <f t="shared" si="40"/>
        <v>1</v>
      </c>
      <c r="T102" s="47" t="str">
        <f t="shared" si="25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13:55:59-700',mode:absolute,to:'2017-01-07 16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2" s="49" t="str">
        <f t="shared" si="27"/>
        <v>N</v>
      </c>
      <c r="X102" s="173">
        <f t="shared" si="28"/>
        <v>1</v>
      </c>
      <c r="Y102" s="64">
        <f t="shared" si="29"/>
        <v>4.4200000000000003E-2</v>
      </c>
      <c r="Z102" s="64">
        <f t="shared" si="30"/>
        <v>23.3309</v>
      </c>
      <c r="AA102" s="64">
        <f t="shared" si="31"/>
        <v>23.2867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 t="shared" si="32"/>
        <v>0189-07</v>
      </c>
      <c r="AE102" s="87" t="str">
        <f t="shared" si="33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02" s="84" t="str">
        <f t="shared" si="34"/>
        <v>"C:\Program Files (x86)\AstroGrep\AstroGrep.exe" /spath="%USERPROFILE%\AppData\Local\Temp\OnboardLogs" /stypes="app*4011*20170107*"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189-07 --locoid 4011 --swversion DE.1.0.8.0 --startMP 204:442 --initTime 2017-01-07T14:55:59 --startdatetime 2017-01-07T14:58:07 --delay 1 --endMP 204:233309 --enddatetime 2017-01-07T15:38:50 --enforcementcount 0 &gt;&gt;C:\Users\stu\Documents\GitHub\eaglep3-reporting\EC\2017-01-07-refined-times.txt</v>
      </c>
      <c r="AI10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ID","value":"189-07"},{"id":16,"name":"Locomotive ID","value":"4011"},{"id":130,"name":"Impact","value":""},{"id":150,"name":"Time of Event (Mountain Time)","value":"15:38:50"},{"id":151,"name":"Denver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8"/>
        <v>start /low /b %USERPROFILE%\Documents\GitHub\eaglep3\Utilities\DownloadLogsFromS3.py --loco 4011 --day 2017-01-07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590</v>
      </c>
      <c r="B103" s="7">
        <v>4012</v>
      </c>
      <c r="C103" s="22" t="s">
        <v>203</v>
      </c>
      <c r="D103" s="22" t="s">
        <v>254</v>
      </c>
      <c r="E103" s="13">
        <v>42742.653761574074</v>
      </c>
      <c r="F103" s="13">
        <v>42742.656145833331</v>
      </c>
      <c r="G103" s="7">
        <v>1</v>
      </c>
      <c r="H103" s="22" t="s">
        <v>209</v>
      </c>
      <c r="I103" s="13">
        <v>42742.685243055559</v>
      </c>
      <c r="J103" s="7">
        <v>0</v>
      </c>
      <c r="K103" s="105" t="str">
        <f t="shared" si="23"/>
        <v>4011/4012</v>
      </c>
      <c r="L103" s="22" t="str">
        <f>VLOOKUP(A103,'Trips&amp;Operators'!$C$1:$G$99999,5,FALSE)</f>
        <v>LOPES KIMBERLY</v>
      </c>
      <c r="M103" s="6">
        <f t="shared" si="24"/>
        <v>2.9097222228301689E-2</v>
      </c>
      <c r="N103" s="7">
        <f t="shared" si="39"/>
        <v>41.900000008754432</v>
      </c>
      <c r="O103" s="7"/>
      <c r="P103" s="7"/>
      <c r="Q103" s="23"/>
      <c r="R103" s="23"/>
      <c r="S103" s="32">
        <f t="shared" si="40"/>
        <v>1</v>
      </c>
      <c r="T103" s="47" t="str">
        <f t="shared" si="25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14:41:25-700',mode:absolute,to:'2017-01-07 17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3" s="49" t="str">
        <f t="shared" si="27"/>
        <v>N</v>
      </c>
      <c r="X103" s="173">
        <f t="shared" si="28"/>
        <v>1</v>
      </c>
      <c r="Y103" s="64">
        <f t="shared" si="29"/>
        <v>23.2986</v>
      </c>
      <c r="Z103" s="64">
        <f t="shared" si="30"/>
        <v>1.4999999999999999E-2</v>
      </c>
      <c r="AA103" s="64">
        <f t="shared" si="31"/>
        <v>23.2836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 t="shared" si="32"/>
        <v>0190-07</v>
      </c>
      <c r="AE103" s="87" t="str">
        <f t="shared" si="33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03" s="84" t="str">
        <f t="shared" si="34"/>
        <v>"C:\Program Files (x86)\AstroGrep\AstroGrep.exe" /spath="%USERPROFILE%\AppData\Local\Temp\OnboardLogs" /stypes="app*4012*20170107*"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190-07 --locoid 4012 --swversion DE.1.0.8.0 --startMP 204:232986 --initTime 2017-01-07T15:41:25 --startdatetime 2017-01-07T15:44:51 --delay 1 --endMP 204:150 --enddatetime 2017-01-07T16:26:45 --enforcementcount 0 &gt;&gt;C:\Users\stu\Documents\GitHub\eaglep3-reporting\EC\2017-01-07-refined-times.txt</v>
      </c>
      <c r="AI10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ID","value":"190-07"},{"id":16,"name":"Locomotive ID","value":"4012"},{"id":130,"name":"Impact","value":""},{"id":150,"name":"Time of Event (Mountain Time)","value":"16:26:45"},{"id":151,"name":"Denver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8"/>
        <v>start /low /b %USERPROFILE%\Documents\GitHub\eaglep3\Utilities\DownloadLogsFromS3.py --loco 4012 --day 2017-01-07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581</v>
      </c>
      <c r="B104" s="7">
        <v>4042</v>
      </c>
      <c r="C104" s="22" t="s">
        <v>203</v>
      </c>
      <c r="D104" s="22" t="s">
        <v>225</v>
      </c>
      <c r="E104" s="13">
        <v>42742.625509259262</v>
      </c>
      <c r="F104" s="13">
        <v>42742.627268518518</v>
      </c>
      <c r="G104" s="7">
        <v>1</v>
      </c>
      <c r="H104" s="22" t="s">
        <v>691</v>
      </c>
      <c r="I104" s="13">
        <v>42742.658310185187</v>
      </c>
      <c r="J104" s="7">
        <v>0</v>
      </c>
      <c r="K104" s="105" t="str">
        <f t="shared" si="23"/>
        <v>4041/4042</v>
      </c>
      <c r="L104" s="22" t="str">
        <f>VLOOKUP(A104,'Trips&amp;Operators'!$C$1:$G$99999,5,FALSE)</f>
        <v>BRUDER RICHARD</v>
      </c>
      <c r="M104" s="6">
        <f t="shared" si="24"/>
        <v>3.104166666889796E-2</v>
      </c>
      <c r="N104" s="7">
        <f t="shared" si="39"/>
        <v>44.700000003213063</v>
      </c>
      <c r="O104" s="7"/>
      <c r="P104" s="7"/>
      <c r="Q104" s="23"/>
      <c r="R104" s="23"/>
      <c r="S104" s="32">
        <f t="shared" si="40"/>
        <v>1</v>
      </c>
      <c r="T104" s="47" t="str">
        <f t="shared" si="25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14:00:44-700',mode:absolute,to:'2017-01-07 16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49" t="str">
        <f t="shared" si="27"/>
        <v>N</v>
      </c>
      <c r="X104" s="173">
        <f t="shared" si="28"/>
        <v>1</v>
      </c>
      <c r="Y104" s="64">
        <f t="shared" si="29"/>
        <v>4.5999999999999999E-2</v>
      </c>
      <c r="Z104" s="64">
        <f t="shared" si="30"/>
        <v>23.330400000000001</v>
      </c>
      <c r="AA104" s="64">
        <f t="shared" si="31"/>
        <v>23.284400000000002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 t="shared" si="32"/>
        <v>0191-07</v>
      </c>
      <c r="AE104" s="87" t="str">
        <f t="shared" si="3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04" s="84" t="str">
        <f t="shared" si="34"/>
        <v>"C:\Program Files (x86)\AstroGrep\AstroGrep.exe" /spath="%USERPROFILE%\AppData\Local\Temp\OnboardLogs" /stypes="app*4042*20170107*" /stext=" 22:.+((SYSTEM_STATE.+slice.+state.+changed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191-07 --locoid 4042 --swversion DE.1.0.8.0 --startMP 204:460 --initTime 2017-01-07T15:00:44 --startdatetime 2017-01-07T15:03:16 --delay 1 --endMP 204:233304 --enddatetime 2017-01-07T15:47:58 --enforcementcount 0 &gt;&gt;C:\Users\stu\Documents\GitHub\eaglep3-reporting\EC\2017-01-07-refined-times.txt</v>
      </c>
      <c r="AI10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{"issue":{"subject":"","project_id":79,"tracker_id":40,"status_id":1,"priority_id":2,"assigned_to_id":23,"start_date":"2017-01-07","description":"","custom_fields":[{"id":1,"name":"Subdivision","value":"EC"},{"id":4,"name":"Milepost","value":"23.3304"},{"id":17,"name":"Train ID","value":"191-07"},{"id":16,"name":"Locomotive ID","value":"4042"},{"id":130,"name":"Impact","value":""},{"id":150,"name":"Time of Event (Mountain Time)","value":"15:47:58"},{"id":151,"name":"Denver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8"/>
        <v>start /low /b %USERPROFILE%\Documents\GitHub\eaglep3\Utilities\DownloadLogsFromS3.py --loco 4042 --day 2017-01-07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591</v>
      </c>
      <c r="B105" s="7">
        <v>4041</v>
      </c>
      <c r="C105" s="22" t="s">
        <v>203</v>
      </c>
      <c r="D105" s="22" t="s">
        <v>753</v>
      </c>
      <c r="E105" s="13">
        <v>42742.662569444445</v>
      </c>
      <c r="F105" s="13">
        <v>42742.664270833331</v>
      </c>
      <c r="G105" s="7">
        <v>1</v>
      </c>
      <c r="H105" s="22" t="s">
        <v>191</v>
      </c>
      <c r="I105" s="13">
        <v>42742.692430555559</v>
      </c>
      <c r="J105" s="7">
        <v>0</v>
      </c>
      <c r="K105" s="105" t="str">
        <f t="shared" si="23"/>
        <v>4041/4042</v>
      </c>
      <c r="L105" s="22" t="str">
        <f>VLOOKUP(A105,'Trips&amp;Operators'!$C$1:$G$99999,5,FALSE)</f>
        <v>BRUDER RICHARD</v>
      </c>
      <c r="M105" s="6">
        <f t="shared" si="24"/>
        <v>2.8159722227428574E-2</v>
      </c>
      <c r="N105" s="7">
        <f t="shared" si="39"/>
        <v>40.550000007497147</v>
      </c>
      <c r="O105" s="7"/>
      <c r="P105" s="7"/>
      <c r="Q105" s="23"/>
      <c r="R105" s="23"/>
      <c r="S105" s="32">
        <f t="shared" si="40"/>
        <v>1</v>
      </c>
      <c r="T105" s="47" t="str">
        <f t="shared" si="25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14:54:06-700',mode:absolute,to:'2017-01-07 17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49" t="str">
        <f t="shared" si="27"/>
        <v>N</v>
      </c>
      <c r="X105" s="173">
        <f t="shared" si="28"/>
        <v>1</v>
      </c>
      <c r="Y105" s="64">
        <f t="shared" si="29"/>
        <v>23.299099999999999</v>
      </c>
      <c r="Z105" s="64">
        <f t="shared" si="30"/>
        <v>1.49E-2</v>
      </c>
      <c r="AA105" s="64">
        <f t="shared" si="31"/>
        <v>23.284199999999998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 t="shared" si="32"/>
        <v>0192-07</v>
      </c>
      <c r="AE105" s="87" t="str">
        <f t="shared" si="3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05" s="84" t="str">
        <f t="shared" si="34"/>
        <v>"C:\Program Files (x86)\AstroGrep\AstroGrep.exe" /spath="%USERPROFILE%\AppData\Local\Temp\OnboardLogs" /stypes="app*4041*20170107*" /stext=" 23:.+((SYSTEM_STATE.+slice.+state.+changed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192-07 --locoid 4041 --swversion DE.1.0.8.0 --startMP 204:232991 --initTime 2017-01-07T15:54:06 --startdatetime 2017-01-07T15:56:33 --delay 1 --endMP 204:149 --enddatetime 2017-01-07T16:37:06 --enforcementcount 0 &gt;&gt;C:\Users\stu\Documents\GitHub\eaglep3-reporting\EC\2017-01-07-refined-times.txt</v>
      </c>
      <c r="AI10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ID","value":"192-07"},{"id":16,"name":"Locomotive ID","value":"4041"},{"id":130,"name":"Impact","value":""},{"id":150,"name":"Time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8"/>
        <v>start /low /b %USERPROFILE%\Documents\GitHub\eaglep3\Utilities\DownloadLogsFromS3.py --loco 4041 --day 2017-01-07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582</v>
      </c>
      <c r="B106" s="7">
        <v>4040</v>
      </c>
      <c r="C106" s="22" t="s">
        <v>203</v>
      </c>
      <c r="D106" s="22" t="s">
        <v>293</v>
      </c>
      <c r="E106" s="13">
        <v>42742.633414351854</v>
      </c>
      <c r="F106" s="13">
        <v>42742.635694444441</v>
      </c>
      <c r="G106" s="7">
        <v>1</v>
      </c>
      <c r="H106" s="22" t="s">
        <v>401</v>
      </c>
      <c r="I106" s="13">
        <v>42742.664687500001</v>
      </c>
      <c r="J106" s="7">
        <v>0</v>
      </c>
      <c r="K106" s="105" t="str">
        <f t="shared" si="23"/>
        <v>4039/4040</v>
      </c>
      <c r="L106" s="22" t="str">
        <f>VLOOKUP(A106,'Trips&amp;Operators'!$C$1:$G$99999,5,FALSE)</f>
        <v>KILLION DAVID</v>
      </c>
      <c r="M106" s="6">
        <f t="shared" si="24"/>
        <v>2.899305555911269E-2</v>
      </c>
      <c r="N106" s="7">
        <f t="shared" si="39"/>
        <v>41.750000005122274</v>
      </c>
      <c r="O106" s="7"/>
      <c r="P106" s="7"/>
      <c r="Q106" s="23"/>
      <c r="R106" s="23"/>
      <c r="S106" s="32">
        <f t="shared" si="40"/>
        <v>1</v>
      </c>
      <c r="T106" s="47" t="str">
        <f t="shared" si="25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14:12:07-700',mode:absolute,to:'2017-01-07 16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6" s="49" t="str">
        <f t="shared" si="27"/>
        <v>N</v>
      </c>
      <c r="X106" s="173">
        <f t="shared" si="28"/>
        <v>1</v>
      </c>
      <c r="Y106" s="64">
        <f t="shared" si="29"/>
        <v>4.4400000000000002E-2</v>
      </c>
      <c r="Z106" s="64">
        <f t="shared" si="30"/>
        <v>23.3309</v>
      </c>
      <c r="AA106" s="64">
        <f t="shared" si="31"/>
        <v>23.2865</v>
      </c>
      <c r="AB106" s="61" t="e">
        <f>VLOOKUP(A106,Enforcements!$C$7:$K$18,8,0)</f>
        <v>#N/A</v>
      </c>
      <c r="AC106" s="57" t="e">
        <f>VLOOKUP(A106,Enforcements!$C$7:$E$18,3,0)</f>
        <v>#N/A</v>
      </c>
      <c r="AD106" s="58" t="str">
        <f t="shared" si="32"/>
        <v>0193-07</v>
      </c>
      <c r="AE106" s="87" t="str">
        <f t="shared" si="33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106" s="84" t="str">
        <f t="shared" si="34"/>
        <v>"C:\Program Files (x86)\AstroGrep\AstroGrep.exe" /spath="%USERPROFILE%\AppData\Local\Temp\OnboardLogs" /stypes="app*4040*20170107*" /stext=" 22:.+((SYSTEM_STATE.+slice.+state.+changed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193-07 --locoid 4040 --swversion DE.1.0.8.0 --startMP 204:444 --initTime 2017-01-07T15:12:07 --startdatetime 2017-01-07T15:15:24 --delay 1 --endMP 204:233309 --enddatetime 2017-01-07T15:57:09 --enforcementcount 0 &gt;&gt;C:\Users\stu\Documents\GitHub\eaglep3-reporting\EC\2017-01-07-refined-times.txt</v>
      </c>
      <c r="AI10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ID","value":"193-07"},{"id":16,"name":"Locomotive ID","value":"4040"},{"id":130,"name":"Impact","value":""},{"id":150,"name":"Time of Event (Mountain Time)","value":"15:57:09"},{"id":151,"name":"Denver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8"/>
        <v>start /low /b %USERPROFILE%\Documents\GitHub\eaglep3\Utilities\DownloadLogsFromS3.py --loco 4040 --day 2017-01-07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592</v>
      </c>
      <c r="B107" s="7">
        <v>4039</v>
      </c>
      <c r="C107" s="22" t="s">
        <v>203</v>
      </c>
      <c r="D107" s="22" t="s">
        <v>406</v>
      </c>
      <c r="E107" s="13">
        <v>42742.673587962963</v>
      </c>
      <c r="F107" s="13">
        <v>42742.67491898148</v>
      </c>
      <c r="G107" s="7">
        <v>1</v>
      </c>
      <c r="H107" s="22" t="s">
        <v>683</v>
      </c>
      <c r="I107" s="13">
        <v>42742.701817129629</v>
      </c>
      <c r="J107" s="7">
        <v>0</v>
      </c>
      <c r="K107" s="105" t="str">
        <f t="shared" si="23"/>
        <v>4039/4040</v>
      </c>
      <c r="L107" s="22" t="str">
        <f>VLOOKUP(A107,'Trips&amp;Operators'!$C$1:$G$99999,5,FALSE)</f>
        <v>KILLION DAVID</v>
      </c>
      <c r="M107" s="6">
        <f t="shared" si="24"/>
        <v>2.6898148149484769E-2</v>
      </c>
      <c r="N107" s="7">
        <f t="shared" si="39"/>
        <v>38.733333335258067</v>
      </c>
      <c r="O107" s="7"/>
      <c r="P107" s="7"/>
      <c r="Q107" s="23"/>
      <c r="R107" s="23"/>
      <c r="S107" s="32">
        <f t="shared" si="40"/>
        <v>1</v>
      </c>
      <c r="T107" s="47" t="str">
        <f t="shared" si="25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15:09:58-700',mode:absolute,to:'2017-01-07 17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7" s="49" t="str">
        <f t="shared" si="27"/>
        <v>N</v>
      </c>
      <c r="X107" s="173">
        <f t="shared" si="28"/>
        <v>1</v>
      </c>
      <c r="Y107" s="64">
        <f t="shared" si="29"/>
        <v>23.299399999999999</v>
      </c>
      <c r="Z107" s="64">
        <f t="shared" si="30"/>
        <v>1.61E-2</v>
      </c>
      <c r="AA107" s="64">
        <f t="shared" si="31"/>
        <v>23.283299999999997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 t="shared" si="32"/>
        <v>0194-07</v>
      </c>
      <c r="AE107" s="87" t="str">
        <f t="shared" si="33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07" s="84" t="str">
        <f t="shared" si="34"/>
        <v>"C:\Program Files (x86)\AstroGrep\AstroGrep.exe" /spath="%USERPROFILE%\AppData\Local\Temp\OnboardLogs" /stypes="app*4039*20170107*"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194-07 --locoid 4039 --swversion DE.1.0.8.0 --startMP 204:232994 --initTime 2017-01-07T16:09:58 --startdatetime 2017-01-07T16:11:53 --delay 1 --endMP 204:161 --enddatetime 2017-01-07T16:50:37 --enforcementcount 0 &gt;&gt;C:\Users\stu\Documents\GitHub\eaglep3-reporting\EC\2017-01-07-refined-times.txt</v>
      </c>
      <c r="AI107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ID","value":"194-07"},{"id":16,"name":"Locomotive ID","value":"4039"},{"id":130,"name":"Impact","value":""},{"id":150,"name":"Time of Event (Mountain Time)","value":"16:50:37"},{"id":151,"name":"Denver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8"/>
        <v>start /low /b %USERPROFILE%\Documents\GitHub\eaglep3\Utilities\DownloadLogsFromS3.py --loco 4039 --day 2017-01-07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450</v>
      </c>
      <c r="B108" s="7">
        <v>4046</v>
      </c>
      <c r="C108" s="22" t="s">
        <v>203</v>
      </c>
      <c r="D108" s="22" t="s">
        <v>693</v>
      </c>
      <c r="E108" s="13">
        <v>42742.643460648149</v>
      </c>
      <c r="F108" s="13">
        <v>42742.646006944444</v>
      </c>
      <c r="G108" s="7">
        <v>1</v>
      </c>
      <c r="H108" s="22" t="s">
        <v>754</v>
      </c>
      <c r="I108" s="13">
        <v>42742.671678240738</v>
      </c>
      <c r="J108" s="7">
        <v>0</v>
      </c>
      <c r="K108" s="105" t="str">
        <f t="shared" si="23"/>
        <v>4045/4046</v>
      </c>
      <c r="L108" s="22" t="str">
        <f>VLOOKUP(A108,'Trips&amp;Operators'!$C$1:$G$99999,5,FALSE)</f>
        <v>LEVIN SCOTT</v>
      </c>
      <c r="M108" s="6">
        <f t="shared" si="24"/>
        <v>2.5671296294603962E-2</v>
      </c>
      <c r="N108" s="7">
        <f t="shared" si="39"/>
        <v>36.966666664229706</v>
      </c>
      <c r="O108" s="7"/>
      <c r="P108" s="7"/>
      <c r="Q108" s="23"/>
      <c r="R108" s="23"/>
      <c r="S108" s="32">
        <f t="shared" si="40"/>
        <v>1</v>
      </c>
      <c r="T108" s="47" t="str">
        <f t="shared" si="25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14:26:35-700',mode:absolute,to:'2017-01-07 17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49" t="str">
        <f t="shared" si="27"/>
        <v>N</v>
      </c>
      <c r="X108" s="173">
        <f t="shared" si="28"/>
        <v>1</v>
      </c>
      <c r="Y108" s="64">
        <f t="shared" si="29"/>
        <v>4.1099999999999998E-2</v>
      </c>
      <c r="Z108" s="64">
        <f t="shared" si="30"/>
        <v>23.324200000000001</v>
      </c>
      <c r="AA108" s="64">
        <f t="shared" si="31"/>
        <v>23.283100000000001</v>
      </c>
      <c r="AB108" s="61" t="e">
        <f>VLOOKUP(A108,Enforcements!$C$7:$K$18,8,0)</f>
        <v>#N/A</v>
      </c>
      <c r="AC108" s="57" t="e">
        <f>VLOOKUP(A108,Enforcements!$C$7:$E$18,3,0)</f>
        <v>#N/A</v>
      </c>
      <c r="AD108" s="58" t="str">
        <f t="shared" si="32"/>
        <v>0195-07</v>
      </c>
      <c r="AE108" s="87" t="str">
        <f t="shared" si="3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08" s="84" t="str">
        <f t="shared" si="34"/>
        <v>"C:\Program Files (x86)\AstroGrep\AstroGrep.exe" /spath="%USERPROFILE%\AppData\Local\Temp\OnboardLogs" /stypes="app*4046*20170107*"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195-07 --locoid 4046 --swversion DE.1.0.8.0 --startMP 204:411 --initTime 2017-01-07T15:26:35 --startdatetime 2017-01-07T15:30:15 --delay 1 --endMP 204:233242 --enddatetime 2017-01-07T16:07:13 --enforcementcount 0 &gt;&gt;C:\Users\stu\Documents\GitHub\eaglep3-reporting\EC\2017-01-07-refined-times.txt</v>
      </c>
      <c r="AI10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{"issue":{"subject":"","project_id":79,"tracker_id":40,"status_id":1,"priority_id":2,"assigned_to_id":23,"start_date":"2017-01-07","description":"","custom_fields":[{"id":1,"name":"Subdivision","value":"EC"},{"id":4,"name":"Milepost","value":"23.3242"},{"id":17,"name":"Train ID","value":"195-07"},{"id":16,"name":"Locomotive ID","value":"4046"},{"id":130,"name":"Impact","value":""},{"id":150,"name":"Time of Event (Mountain Time)","value":"16:07:13"},{"id":151,"name":"Denver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8"/>
        <v>start /low /b %USERPROFILE%\Documents\GitHub\eaglep3\Utilities\DownloadLogsFromS3.py --loco 4046 --day 2017-01-07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4" t="s">
        <v>595</v>
      </c>
      <c r="B109" s="7">
        <v>4045</v>
      </c>
      <c r="C109" s="22" t="s">
        <v>203</v>
      </c>
      <c r="D109" s="22" t="s">
        <v>755</v>
      </c>
      <c r="E109" s="13">
        <v>42742.682106481479</v>
      </c>
      <c r="F109" s="13">
        <v>42742.685358796298</v>
      </c>
      <c r="G109" s="7">
        <v>3</v>
      </c>
      <c r="H109" s="22" t="s">
        <v>756</v>
      </c>
      <c r="I109" s="13">
        <v>42742.712071759262</v>
      </c>
      <c r="J109" s="7">
        <v>0</v>
      </c>
      <c r="K109" s="105" t="str">
        <f t="shared" si="23"/>
        <v>4045/4046</v>
      </c>
      <c r="L109" s="22" t="str">
        <f>VLOOKUP(A109,'Trips&amp;Operators'!$C$1:$G$99999,5,FALSE)</f>
        <v>LEVIN SCOTT</v>
      </c>
      <c r="M109" s="6">
        <f t="shared" si="24"/>
        <v>2.6712962964666076E-2</v>
      </c>
      <c r="N109" s="7">
        <f t="shared" si="39"/>
        <v>38.466666669119149</v>
      </c>
      <c r="O109" s="7"/>
      <c r="P109" s="7"/>
      <c r="Q109" s="23"/>
      <c r="R109" s="23"/>
      <c r="S109" s="32">
        <f t="shared" si="40"/>
        <v>1</v>
      </c>
      <c r="T109" s="47" t="str">
        <f t="shared" si="25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15:22:14-700',mode:absolute,to:'2017-01-07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9" s="49" t="str">
        <f t="shared" si="27"/>
        <v>N</v>
      </c>
      <c r="X109" s="173">
        <f t="shared" ref="X109:X140" si="41">VALUE(LEFT(AD109,4))-VALUE(LEFT(AD108,4))</f>
        <v>1</v>
      </c>
      <c r="Y109" s="64">
        <f t="shared" si="29"/>
        <v>23.292100000000001</v>
      </c>
      <c r="Z109" s="64">
        <f t="shared" si="30"/>
        <v>1.29E-2</v>
      </c>
      <c r="AA109" s="64">
        <f t="shared" si="31"/>
        <v>23.279200000000003</v>
      </c>
      <c r="AB109" s="61" t="e">
        <f>VLOOKUP(A109,Enforcements!$C$7:$K$18,8,0)</f>
        <v>#N/A</v>
      </c>
      <c r="AC109" s="57" t="e">
        <f>VLOOKUP(A109,Enforcements!$C$7:$E$18,3,0)</f>
        <v>#N/A</v>
      </c>
      <c r="AD109" s="58" t="str">
        <f t="shared" si="32"/>
        <v>0196-07</v>
      </c>
      <c r="AE109" s="87" t="str">
        <f t="shared" si="3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09" s="84" t="str">
        <f t="shared" si="34"/>
        <v>"C:\Program Files (x86)\AstroGrep\AstroGrep.exe" /spath="%USERPROFILE%\AppData\Local\Temp\OnboardLogs" /stypes="app*4045*20170108*"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196-07 --locoid 4045 --swversion DE.1.0.8.0 --startMP 204:232921 --initTime 2017-01-07T16:22:14 --startdatetime 2017-01-07T16:26:55 --delay 3 --endMP 204:129 --enddatetime 2017-01-07T17:05:23 --enforcementcount 0 &gt;&gt;C:\Users\stu\Documents\GitHub\eaglep3-reporting\EC\2017-01-07-refined-times.txt</v>
      </c>
      <c r="AI10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{"issue":{"subject":"","project_id":79,"tracker_id":40,"status_id":1,"priority_id":2,"assigned_to_id":23,"start_date":"2017-01-07","description":"","custom_fields":[{"id":1,"name":"Subdivision","value":"EC"},{"id":4,"name":"Milepost","value":"0.0129"},{"id":17,"name":"Train ID","value":"196-07"},{"id":16,"name":"Locomotive ID","value":"4045"},{"id":130,"name":"Impact","value":""},{"id":150,"name":"Time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8"/>
        <v>start /low /b %USERPROFILE%\Documents\GitHub\eaglep3\Utilities\DownloadLogsFromS3.py --loco 4045 --day 2017-01-07</v>
      </c>
    </row>
    <row r="110" spans="1:91" s="21" customFormat="1" x14ac:dyDescent="0.25">
      <c r="A110" s="34" t="s">
        <v>587</v>
      </c>
      <c r="B110" s="7">
        <v>4007</v>
      </c>
      <c r="C110" s="22" t="s">
        <v>203</v>
      </c>
      <c r="D110" s="22" t="s">
        <v>296</v>
      </c>
      <c r="E110" s="13">
        <v>42742.651689814818</v>
      </c>
      <c r="F110" s="13">
        <v>42742.656412037039</v>
      </c>
      <c r="G110" s="7">
        <v>1</v>
      </c>
      <c r="H110" s="22" t="s">
        <v>407</v>
      </c>
      <c r="I110" s="13">
        <v>42742.682129629633</v>
      </c>
      <c r="J110" s="7">
        <v>0</v>
      </c>
      <c r="K110" s="105" t="str">
        <f t="shared" si="23"/>
        <v>4007/4008</v>
      </c>
      <c r="L110" s="22" t="str">
        <f>VLOOKUP(A110,'Trips&amp;Operators'!$C$1:$G$99999,5,FALSE)</f>
        <v>ROMERO CHAD</v>
      </c>
      <c r="M110" s="6">
        <f t="shared" si="24"/>
        <v>2.5717592594446614E-2</v>
      </c>
      <c r="N110" s="7">
        <f t="shared" si="39"/>
        <v>37.033333336003125</v>
      </c>
      <c r="O110" s="7"/>
      <c r="P110" s="7"/>
      <c r="Q110" s="23"/>
      <c r="R110" s="23"/>
      <c r="S110" s="32">
        <f t="shared" si="40"/>
        <v>1</v>
      </c>
      <c r="T110" s="47" t="str">
        <f t="shared" si="25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14:38:26-700',mode:absolute,to:'2017-01-07 17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49" t="str">
        <f t="shared" si="27"/>
        <v>N</v>
      </c>
      <c r="X110" s="173">
        <f t="shared" si="41"/>
        <v>1</v>
      </c>
      <c r="Y110" s="64">
        <f t="shared" si="29"/>
        <v>4.3700000000000003E-2</v>
      </c>
      <c r="Z110" s="64">
        <f t="shared" si="30"/>
        <v>23.3322</v>
      </c>
      <c r="AA110" s="64">
        <f t="shared" si="31"/>
        <v>23.288499999999999</v>
      </c>
      <c r="AB110" s="61" t="e">
        <f>VLOOKUP(A110,Enforcements!$C$7:$K$18,8,0)</f>
        <v>#N/A</v>
      </c>
      <c r="AC110" s="57" t="e">
        <f>VLOOKUP(A110,Enforcements!$C$7:$E$18,3,0)</f>
        <v>#N/A</v>
      </c>
      <c r="AD110" s="58" t="str">
        <f t="shared" si="32"/>
        <v>0197-07</v>
      </c>
      <c r="AE110" s="87" t="str">
        <f t="shared" si="33"/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10" s="84" t="str">
        <f t="shared" si="34"/>
        <v>"C:\Program Files (x86)\AstroGrep\AstroGrep.exe" /spath="%USERPROFILE%\AppData\Local\Temp\OnboardLogs" /stypes="app*4007*20170107*"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197-07 --locoid 4007 --swversion DE.1.0.8.0 --startMP 204:437 --initTime 2017-01-07T15:38:26 --startdatetime 2017-01-07T15:45:14 --delay 1 --endMP 204:233322 --enddatetime 2017-01-07T16:22:16 --enforcementcount 0 &gt;&gt;C:\Users\stu\Documents\GitHub\eaglep3-reporting\EC\2017-01-07-refined-times.txt</v>
      </c>
      <c r="AI11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ID","value":"197-07"},{"id":16,"name":"Locomotive ID","value":"4007"},{"id":130,"name":"Impact","value":""},{"id":150,"name":"Time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8"/>
        <v>start /low /b %USERPROFILE%\Documents\GitHub\eaglep3\Utilities\DownloadLogsFromS3.py --loco 4007 --day 2017-01-07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596</v>
      </c>
      <c r="B111" s="7">
        <v>4008</v>
      </c>
      <c r="C111" s="22" t="s">
        <v>203</v>
      </c>
      <c r="D111" s="22" t="s">
        <v>667</v>
      </c>
      <c r="E111" s="13">
        <v>42742.683611111112</v>
      </c>
      <c r="F111" s="13">
        <v>42742.695289351854</v>
      </c>
      <c r="G111" s="7">
        <v>1</v>
      </c>
      <c r="H111" s="22" t="s">
        <v>192</v>
      </c>
      <c r="I111" s="13">
        <v>42742.723622685182</v>
      </c>
      <c r="J111" s="7">
        <v>0</v>
      </c>
      <c r="K111" s="105" t="str">
        <f t="shared" si="23"/>
        <v>4007/4008</v>
      </c>
      <c r="L111" s="22" t="str">
        <f>VLOOKUP(A111,'Trips&amp;Operators'!$C$1:$G$99999,5,FALSE)</f>
        <v>ROMERO CHAD</v>
      </c>
      <c r="M111" s="6">
        <f t="shared" si="24"/>
        <v>2.8333333328191657E-2</v>
      </c>
      <c r="N111" s="7">
        <f t="shared" ref="N111:N142" si="42">24*60*SUM($M111:$M111)</f>
        <v>40.799999992595986</v>
      </c>
      <c r="O111" s="7"/>
      <c r="P111" s="7"/>
      <c r="Q111" s="23"/>
      <c r="R111" s="23"/>
      <c r="S111" s="32">
        <f t="shared" si="40"/>
        <v>1</v>
      </c>
      <c r="T111" s="47" t="str">
        <f t="shared" si="25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15:24:24-700',mode:absolute,to:'2017-01-07 18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49" t="str">
        <f t="shared" si="27"/>
        <v>N</v>
      </c>
      <c r="X111" s="173">
        <f t="shared" si="41"/>
        <v>1</v>
      </c>
      <c r="Y111" s="64">
        <f t="shared" si="29"/>
        <v>23.299600000000002</v>
      </c>
      <c r="Z111" s="64">
        <f t="shared" si="30"/>
        <v>1.43E-2</v>
      </c>
      <c r="AA111" s="64">
        <f t="shared" si="31"/>
        <v>23.285300000000003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 t="shared" si="32"/>
        <v>0198-07</v>
      </c>
      <c r="AE111" s="87" t="str">
        <f t="shared" si="33"/>
        <v>aws s3 cp s3://rtdc.mdm.uploadarchive.raw/RTDC4008/ "%USERPROFILE%\AppData\Local\Temp\OnboardLogs"\RTDC4008\2017-01-07 --exclude "*" --recursive --include "*20170107*" &amp; "%USERPROFILE%\Documents\GitHub\mrs-test-scripts\Headless Mode &amp; Sideloading\WalkAndUnGZ.bat" "%USERPROFILE%\AppData\Local\Temp\OnboardLogs"\RTDC4008\2017-01-07 &amp; 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</v>
      </c>
      <c r="AF111" s="84" t="str">
        <f t="shared" si="34"/>
        <v>"C:\Program Files (x86)\AstroGrep\AstroGrep.exe" /spath="%USERPROFILE%\AppData\Local\Temp\OnboardLogs" /stypes="app*4008*20170108*"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198-07 --locoid 4008 --swversion DE.1.0.8.0 --startMP 204:232996 --initTime 2017-01-07T16:24:24 --startdatetime 2017-01-07T16:41:13 --delay 1 --endMP 204:143 --enddatetime 2017-01-07T17:22:01 --enforcementcount 0 &gt;&gt;C:\Users\stu\Documents\GitHub\eaglep3-reporting\EC\2017-01-07-refined-times.txt</v>
      </c>
      <c r="AI11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ID","value":"198-07"},{"id":16,"name":"Locomotive ID","value":"4008"},{"id":130,"name":"Impact","value":""},{"id":150,"name":"Time of Event (Mountain Time)","value":"17:22:01"},{"id":151,"name":"Denver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8"/>
        <v>start /low /b %USERPROFILE%\Documents\GitHub\eaglep3\Utilities\DownloadLogsFromS3.py --loco 4008 --day 2017-01-07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451</v>
      </c>
      <c r="B112" s="7">
        <v>4003</v>
      </c>
      <c r="C112" s="22" t="s">
        <v>203</v>
      </c>
      <c r="D112" s="22" t="s">
        <v>312</v>
      </c>
      <c r="E112" s="13">
        <v>42742.670763888891</v>
      </c>
      <c r="F112" s="13">
        <v>42742.672847222224</v>
      </c>
      <c r="G112" s="7">
        <v>2</v>
      </c>
      <c r="H112" s="22" t="s">
        <v>757</v>
      </c>
      <c r="I112" s="13">
        <v>42742.701296296298</v>
      </c>
      <c r="J112" s="7">
        <v>0</v>
      </c>
      <c r="K112" s="105" t="str">
        <f t="shared" si="23"/>
        <v>4003/4004</v>
      </c>
      <c r="L112" s="22" t="str">
        <f>VLOOKUP(A112,'Trips&amp;Operators'!$C$1:$G$99999,5,FALSE)</f>
        <v>BRANNON JEFFREY</v>
      </c>
      <c r="M112" s="6">
        <f t="shared" si="24"/>
        <v>2.8449074074160308E-2</v>
      </c>
      <c r="N112" s="7">
        <f t="shared" si="42"/>
        <v>40.966666666790843</v>
      </c>
      <c r="O112" s="7"/>
      <c r="P112" s="7"/>
      <c r="Q112" s="23"/>
      <c r="R112" s="23"/>
      <c r="S112" s="32">
        <f t="shared" si="40"/>
        <v>1</v>
      </c>
      <c r="T112" s="47" t="str">
        <f t="shared" si="25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2" s="49" t="str">
        <f t="shared" si="27"/>
        <v>N</v>
      </c>
      <c r="X112" s="173">
        <f t="shared" si="41"/>
        <v>1</v>
      </c>
      <c r="Y112" s="64">
        <f t="shared" si="29"/>
        <v>4.4600000000000001E-2</v>
      </c>
      <c r="Z112" s="64">
        <f t="shared" si="30"/>
        <v>23.325900000000001</v>
      </c>
      <c r="AA112" s="64">
        <f t="shared" si="31"/>
        <v>23.281300000000002</v>
      </c>
      <c r="AB112" s="61" t="str">
        <f>VLOOKUP(A112,Enforcements!$C$7:$K$18,8,0)</f>
        <v>Speed (6)</v>
      </c>
      <c r="AC112" s="57" t="str">
        <f>VLOOKUP(A112,Enforcements!$C$7:$E$18,3,0)</f>
        <v>PERMANENT SPEED RESTRICTION</v>
      </c>
      <c r="AD112" s="58" t="str">
        <f t="shared" si="32"/>
        <v>0199-07</v>
      </c>
      <c r="AE112" s="87" t="str">
        <f t="shared" si="3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12" s="84" t="str">
        <f t="shared" si="34"/>
        <v>"C:\Program Files (x86)\AstroGrep\AstroGrep.exe" /spath="%USERPROFILE%\AppData\Local\Temp\OnboardLogs" /stypes="app*4003*20170107*" /stext=" 23:.+((SYSTEM_STATE.+slice.+state.+changed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199-07 --locoid 4003 --swversion DE.1.0.8.0 --startMP 204:446 --initTime 2017-01-07T16:05:54 --startdatetime 2017-01-07T16:08:54 --delay 2 --endMP 204:233259 --enddatetime 2017-01-07T16:49:52 --enforcementcount 0 &gt;&gt;C:\Users\stu\Documents\GitHub\eaglep3-reporting\EC\2017-01-07-refined-times.txt</v>
      </c>
      <c r="AI11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{"issue":{"subject":"","project_id":79,"tracker_id":40,"status_id":1,"priority_id":2,"assigned_to_id":23,"start_date":"2017-01-07","description":"","custom_fields":[{"id":1,"name":"Subdivision","value":"EC"},{"id":4,"name":"Milepost","value":"23.3259"},{"id":17,"name":"Train ID","value":"199-07"},{"id":16,"name":"Locomotive ID","value":"4003"},{"id":130,"name":"Impact","value":""},{"id":150,"name":"Time of Event (Mountain Time)","value":"16:49:52"},{"id":151,"name":"Denver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8"/>
        <v>start /low /b %USERPROFILE%\Documents\GitHub\eaglep3\Utilities\DownloadLogsFromS3.py --loco 4003 --day 2017-01-07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601</v>
      </c>
      <c r="B113" s="7">
        <v>4004</v>
      </c>
      <c r="C113" s="22" t="s">
        <v>203</v>
      </c>
      <c r="D113" s="22" t="s">
        <v>758</v>
      </c>
      <c r="E113" s="13">
        <v>42742.705138888887</v>
      </c>
      <c r="F113" s="13">
        <v>42742.706770833334</v>
      </c>
      <c r="G113" s="7">
        <v>2</v>
      </c>
      <c r="H113" s="22" t="s">
        <v>246</v>
      </c>
      <c r="I113" s="13">
        <v>42742.734351851854</v>
      </c>
      <c r="J113" s="7">
        <v>0</v>
      </c>
      <c r="K113" s="105" t="str">
        <f t="shared" si="23"/>
        <v>4003/4004</v>
      </c>
      <c r="L113" s="22" t="str">
        <f>VLOOKUP(A113,'Trips&amp;Operators'!$C$1:$G$99999,5,FALSE)</f>
        <v>BRANNON JEFFREY</v>
      </c>
      <c r="M113" s="6">
        <f t="shared" si="24"/>
        <v>2.7581018519413192E-2</v>
      </c>
      <c r="N113" s="7">
        <f t="shared" si="42"/>
        <v>39.716666667954996</v>
      </c>
      <c r="O113" s="7"/>
      <c r="P113" s="7"/>
      <c r="Q113" s="23"/>
      <c r="R113" s="23"/>
      <c r="S113" s="32">
        <f t="shared" si="40"/>
        <v>1</v>
      </c>
      <c r="T113" s="47" t="str">
        <f t="shared" si="25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15:55:24-700',mode:absolute,to:'2017-01-07 18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3" s="49" t="str">
        <f t="shared" si="27"/>
        <v>N</v>
      </c>
      <c r="X113" s="173">
        <f t="shared" si="41"/>
        <v>1</v>
      </c>
      <c r="Y113" s="64">
        <f t="shared" si="29"/>
        <v>23.2942</v>
      </c>
      <c r="Z113" s="64">
        <f t="shared" si="30"/>
        <v>1.3899999999999999E-2</v>
      </c>
      <c r="AA113" s="64">
        <f t="shared" si="31"/>
        <v>23.2803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 t="shared" si="32"/>
        <v>0200-07</v>
      </c>
      <c r="AE113" s="87" t="str">
        <f t="shared" si="3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13" s="84" t="str">
        <f t="shared" si="34"/>
        <v>"C:\Program Files (x86)\AstroGrep\AstroGrep.exe" /spath="%USERPROFILE%\AppData\Local\Temp\OnboardLogs" /stypes="app*4004*20170108*"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200-07 --locoid 4004 --swversion DE.1.0.8.0 --startMP 204:232942 --initTime 2017-01-07T16:55:24 --startdatetime 2017-01-07T16:57:45 --delay 2 --endMP 204:139 --enddatetime 2017-01-07T17:37:28 --enforcementcount 0 &gt;&gt;C:\Users\stu\Documents\GitHub\eaglep3-reporting\EC\2017-01-07-refined-times.txt</v>
      </c>
      <c r="AI11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ID","value":"200-07"},{"id":16,"name":"Locomotive ID","value":"4004"},{"id":130,"name":"Impact","value":""},{"id":150,"name":"Time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8"/>
        <v>start /low /b %USERPROFILE%\Documents\GitHub\eaglep3\Utilities\DownloadLogsFromS3.py --loco 4004 --day 2017-01-07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594</v>
      </c>
      <c r="B114" s="7">
        <v>4016</v>
      </c>
      <c r="C114" s="22" t="s">
        <v>203</v>
      </c>
      <c r="D114" s="22" t="s">
        <v>290</v>
      </c>
      <c r="E114" s="13">
        <v>42742.676655092589</v>
      </c>
      <c r="F114" s="13">
        <v>42742.67863425926</v>
      </c>
      <c r="G114" s="7">
        <v>1</v>
      </c>
      <c r="H114" s="22" t="s">
        <v>419</v>
      </c>
      <c r="I114" s="13">
        <v>42742.703784722224</v>
      </c>
      <c r="J114" s="7">
        <v>0</v>
      </c>
      <c r="K114" s="105" t="str">
        <f t="shared" si="23"/>
        <v>4015/4016</v>
      </c>
      <c r="L114" s="22" t="str">
        <f>VLOOKUP(A114,'Trips&amp;Operators'!$C$1:$G$99999,5,FALSE)</f>
        <v>STEWART MICHAEL</v>
      </c>
      <c r="M114" s="6">
        <f t="shared" si="24"/>
        <v>2.5150462963210884E-2</v>
      </c>
      <c r="N114" s="7">
        <f t="shared" si="42"/>
        <v>36.216666667023674</v>
      </c>
      <c r="O114" s="7"/>
      <c r="P114" s="7"/>
      <c r="Q114" s="23"/>
      <c r="R114" s="23"/>
      <c r="S114" s="32">
        <f t="shared" si="40"/>
        <v>1</v>
      </c>
      <c r="T114" s="47" t="str">
        <f t="shared" si="25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15:14:23-700',mode:absolute,to:'2017-01-07 17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49" t="str">
        <f t="shared" si="27"/>
        <v>N</v>
      </c>
      <c r="X114" s="173">
        <f t="shared" si="41"/>
        <v>1</v>
      </c>
      <c r="Y114" s="64">
        <f t="shared" si="29"/>
        <v>4.5699999999999998E-2</v>
      </c>
      <c r="Z114" s="64">
        <f t="shared" si="30"/>
        <v>23.327999999999999</v>
      </c>
      <c r="AA114" s="64">
        <f t="shared" si="31"/>
        <v>23.282299999999999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 t="shared" si="32"/>
        <v>0201-07</v>
      </c>
      <c r="AE114" s="87" t="str">
        <f t="shared" si="3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14" s="84" t="str">
        <f t="shared" si="34"/>
        <v>"C:\Program Files (x86)\AstroGrep\AstroGrep.exe" /spath="%USERPROFILE%\AppData\Local\Temp\OnboardLogs" /stypes="app*4016*20170107*" /stext=" 23:.+((SYSTEM_STATE.+slice.+state.+changed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201-07 --locoid 4016 --swversion DE.1.0.8.0 --startMP 204:457 --initTime 2017-01-07T16:14:23 --startdatetime 2017-01-07T16:17:14 --delay 1 --endMP 204:233280 --enddatetime 2017-01-07T16:53:27 --enforcementcount 0 &gt;&gt;C:\Users\stu\Documents\GitHub\eaglep3-reporting\EC\2017-01-07-refined-times.txt</v>
      </c>
      <c r="AI11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{"issue":{"subject":"","project_id":79,"tracker_id":40,"status_id":1,"priority_id":2,"assigned_to_id":23,"start_date":"2017-01-07","description":"","custom_fields":[{"id":1,"name":"Subdivision","value":"EC"},{"id":4,"name":"Milepost","value":"23.328"},{"id":17,"name":"Train ID","value":"201-07"},{"id":16,"name":"Locomotive ID","value":"4016"},{"id":130,"name":"Impact","value":""},{"id":150,"name":"Time of Event (Mountain Time)","value":"16:53:27"},{"id":151,"name":"Denver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8"/>
        <v>start /low /b %USERPROFILE%\Documents\GitHub\eaglep3\Utilities\DownloadLogsFromS3.py --loco 4016 --day 2017-01-07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602</v>
      </c>
      <c r="B115" s="7">
        <v>4015</v>
      </c>
      <c r="C115" s="22" t="s">
        <v>203</v>
      </c>
      <c r="D115" s="22" t="s">
        <v>690</v>
      </c>
      <c r="E115" s="13">
        <v>42742.712754629632</v>
      </c>
      <c r="F115" s="13">
        <v>42742.716284722221</v>
      </c>
      <c r="G115" s="7">
        <v>1</v>
      </c>
      <c r="H115" s="22" t="s">
        <v>192</v>
      </c>
      <c r="I115" s="13">
        <v>42742.743564814817</v>
      </c>
      <c r="J115" s="7">
        <v>0</v>
      </c>
      <c r="K115" s="105" t="str">
        <f t="shared" si="23"/>
        <v>4015/4016</v>
      </c>
      <c r="L115" s="22" t="str">
        <f>VLOOKUP(A115,'Trips&amp;Operators'!$C$1:$G$99999,5,FALSE)</f>
        <v>STEWART MICHAEL</v>
      </c>
      <c r="M115" s="6">
        <f t="shared" si="24"/>
        <v>2.7280092595901806E-2</v>
      </c>
      <c r="N115" s="7">
        <f t="shared" si="42"/>
        <v>39.283333338098601</v>
      </c>
      <c r="O115" s="7"/>
      <c r="P115" s="7"/>
      <c r="Q115" s="23"/>
      <c r="R115" s="23"/>
      <c r="S115" s="32">
        <f t="shared" si="40"/>
        <v>1</v>
      </c>
      <c r="T115" s="47" t="str">
        <f t="shared" si="25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16:06:22-700',mode:absolute,to:'2017-01-07 18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49" t="str">
        <f t="shared" si="27"/>
        <v>N</v>
      </c>
      <c r="X115" s="173">
        <f t="shared" si="41"/>
        <v>1</v>
      </c>
      <c r="Y115" s="64">
        <f t="shared" si="29"/>
        <v>23.297999999999998</v>
      </c>
      <c r="Z115" s="64">
        <f t="shared" si="30"/>
        <v>1.43E-2</v>
      </c>
      <c r="AA115" s="64">
        <f t="shared" si="31"/>
        <v>23.2837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 t="shared" si="32"/>
        <v>0202-07</v>
      </c>
      <c r="AE115" s="87" t="str">
        <f t="shared" si="3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15" s="84" t="str">
        <f t="shared" si="34"/>
        <v>"C:\Program Files (x86)\AstroGrep\AstroGrep.exe" /spath="%USERPROFILE%\AppData\Local\Temp\OnboardLogs" /stypes="app*4015*20170108*"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202-07 --locoid 4015 --swversion DE.1.0.8.0 --startMP 204:232980 --initTime 2017-01-07T17:06:22 --startdatetime 2017-01-07T17:11:27 --delay 1 --endMP 204:143 --enddatetime 2017-01-07T17:50:44 --enforcementcount 0 &gt;&gt;C:\Users\stu\Documents\GitHub\eaglep3-reporting\EC\2017-01-07-refined-times.txt</v>
      </c>
      <c r="AI11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ID","value":"202-07"},{"id":16,"name":"Locomotive ID","value":"4015"},{"id":130,"name":"Impact","value":""},{"id":150,"name":"Time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8"/>
        <v>start /low /b %USERPROFILE%\Documents\GitHub\eaglep3\Utilities\DownloadLogsFromS3.py --loco 4015 --day 2017-01-07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597</v>
      </c>
      <c r="B116" s="7">
        <v>4011</v>
      </c>
      <c r="C116" s="22" t="s">
        <v>203</v>
      </c>
      <c r="D116" s="22" t="s">
        <v>312</v>
      </c>
      <c r="E116" s="13">
        <v>42742.686493055553</v>
      </c>
      <c r="F116" s="13">
        <v>42742.687789351854</v>
      </c>
      <c r="G116" s="7">
        <v>1</v>
      </c>
      <c r="H116" s="22" t="s">
        <v>253</v>
      </c>
      <c r="I116" s="13">
        <v>42742.714537037034</v>
      </c>
      <c r="J116" s="7">
        <v>0</v>
      </c>
      <c r="K116" s="105" t="str">
        <f t="shared" si="23"/>
        <v>4011/4012</v>
      </c>
      <c r="L116" s="22" t="str">
        <f>VLOOKUP(A116,'Trips&amp;Operators'!$C$1:$G$99999,5,FALSE)</f>
        <v>LOPES KIMBERLY</v>
      </c>
      <c r="M116" s="6">
        <f t="shared" si="24"/>
        <v>2.6747685180453118E-2</v>
      </c>
      <c r="N116" s="7">
        <f t="shared" si="42"/>
        <v>38.51666665985249</v>
      </c>
      <c r="O116" s="7"/>
      <c r="P116" s="7"/>
      <c r="Q116" s="23"/>
      <c r="R116" s="23"/>
      <c r="S116" s="32">
        <f t="shared" si="40"/>
        <v>1</v>
      </c>
      <c r="T116" s="47" t="str">
        <f t="shared" si="25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15:28:33-700',mode:absolute,to:'2017-01-07 18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6" s="49" t="str">
        <f t="shared" si="27"/>
        <v>N</v>
      </c>
      <c r="X116" s="173">
        <f t="shared" si="41"/>
        <v>1</v>
      </c>
      <c r="Y116" s="64">
        <f t="shared" si="29"/>
        <v>4.4600000000000001E-2</v>
      </c>
      <c r="Z116" s="64">
        <f t="shared" si="30"/>
        <v>23.328900000000001</v>
      </c>
      <c r="AA116" s="64">
        <f t="shared" si="31"/>
        <v>23.284300000000002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 t="shared" si="32"/>
        <v>0203-07</v>
      </c>
      <c r="AE116" s="87" t="str">
        <f t="shared" si="33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16" s="84" t="str">
        <f t="shared" si="34"/>
        <v>"C:\Program Files (x86)\AstroGrep\AstroGrep.exe" /spath="%USERPROFILE%\AppData\Local\Temp\OnboardLogs" /stypes="app*4011*20170108*"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203-07 --locoid 4011 --swversion DE.1.0.8.0 --startMP 204:446 --initTime 2017-01-07T16:28:33 --startdatetime 2017-01-07T16:30:25 --delay 1 --endMP 204:233289 --enddatetime 2017-01-07T17:08:56 --enforcementcount 0 &gt;&gt;C:\Users\stu\Documents\GitHub\eaglep3-reporting\EC\2017-01-07-refined-times.txt</v>
      </c>
      <c r="AI11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{"issue":{"subject":"","project_id":79,"tracker_id":40,"status_id":1,"priority_id":2,"assigned_to_id":23,"start_date":"2017-01-07","description":"","custom_fields":[{"id":1,"name":"Subdivision","value":"EC"},{"id":4,"name":"Milepost","value":"23.3289"},{"id":17,"name":"Train ID","value":"203-07"},{"id":16,"name":"Locomotive ID","value":"4011"},{"id":130,"name":"Impact","value":""},{"id":150,"name":"Time of Event (Mountain Time)","value":"17:08:56"},{"id":151,"name":"Denver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8"/>
        <v>start /low /b %USERPROFILE%\Documents\GitHub\eaglep3\Utilities\DownloadLogsFromS3.py --loco 4011 --day 2017-01-07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604</v>
      </c>
      <c r="B117" s="7">
        <v>4012</v>
      </c>
      <c r="C117" s="22" t="s">
        <v>203</v>
      </c>
      <c r="D117" s="22" t="s">
        <v>313</v>
      </c>
      <c r="E117" s="13">
        <v>42742.716516203705</v>
      </c>
      <c r="F117" s="13">
        <v>42742.726724537039</v>
      </c>
      <c r="G117" s="7">
        <v>2</v>
      </c>
      <c r="H117" s="22" t="s">
        <v>284</v>
      </c>
      <c r="I117" s="13">
        <v>42742.753194444442</v>
      </c>
      <c r="J117" s="7">
        <v>0</v>
      </c>
      <c r="K117" s="105" t="str">
        <f t="shared" si="23"/>
        <v>4011/4012</v>
      </c>
      <c r="L117" s="22" t="str">
        <f>VLOOKUP(A117,'Trips&amp;Operators'!$C$1:$G$99999,5,FALSE)</f>
        <v>LOPES KIMBERLY</v>
      </c>
      <c r="M117" s="6">
        <f t="shared" si="24"/>
        <v>2.6469907403225079E-2</v>
      </c>
      <c r="N117" s="7">
        <f t="shared" si="42"/>
        <v>38.116666660644114</v>
      </c>
      <c r="O117" s="7"/>
      <c r="P117" s="7"/>
      <c r="Q117" s="23"/>
      <c r="R117" s="23"/>
      <c r="S117" s="32">
        <f t="shared" si="40"/>
        <v>1</v>
      </c>
      <c r="T117" s="47" t="str">
        <f t="shared" si="25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16:11:47-700',mode:absolute,to:'2017-01-07 19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7" s="49" t="str">
        <f t="shared" si="27"/>
        <v>N</v>
      </c>
      <c r="X117" s="173">
        <f t="shared" si="41"/>
        <v>1</v>
      </c>
      <c r="Y117" s="64">
        <f t="shared" si="29"/>
        <v>23.298100000000002</v>
      </c>
      <c r="Z117" s="64">
        <f t="shared" si="30"/>
        <v>1.5800000000000002E-2</v>
      </c>
      <c r="AA117" s="64">
        <f t="shared" si="31"/>
        <v>23.282300000000003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 t="shared" si="32"/>
        <v>0204-07</v>
      </c>
      <c r="AE117" s="87" t="str">
        <f t="shared" si="33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17" s="84" t="str">
        <f t="shared" si="34"/>
        <v>"C:\Program Files (x86)\AstroGrep\AstroGrep.exe" /spath="%USERPROFILE%\AppData\Local\Temp\OnboardLogs" /stypes="app*4012*20170108*"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204-07 --locoid 4012 --swversion DE.1.0.8.0 --startMP 204:232981 --initTime 2017-01-07T17:11:47 --startdatetime 2017-01-07T17:26:29 --delay 2 --endMP 204:158 --enddatetime 2017-01-07T18:04:36 --enforcementcount 0 &gt;&gt;C:\Users\stu\Documents\GitHub\eaglep3-reporting\EC\2017-01-07-refined-times.txt</v>
      </c>
      <c r="AI117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ID","value":"204-07"},{"id":16,"name":"Locomotive ID","value":"4012"},{"id":130,"name":"Impact","value":""},{"id":150,"name":"Time of Event (Mountain Time)","value":"18:04:36"},{"id":151,"name":"Denver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8"/>
        <v>start /low /b %USERPROFILE%\Documents\GitHub\eaglep3\Utilities\DownloadLogsFromS3.py --loco 4012 --day 2017-01-07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599</v>
      </c>
      <c r="B118" s="7">
        <v>4042</v>
      </c>
      <c r="C118" s="22" t="s">
        <v>203</v>
      </c>
      <c r="D118" s="22" t="s">
        <v>300</v>
      </c>
      <c r="E118" s="13">
        <v>42742.693680555552</v>
      </c>
      <c r="F118" s="13">
        <v>42742.698321759257</v>
      </c>
      <c r="G118" s="7">
        <v>1</v>
      </c>
      <c r="H118" s="22" t="s">
        <v>688</v>
      </c>
      <c r="I118" s="13">
        <v>42742.722592592596</v>
      </c>
      <c r="J118" s="7">
        <v>0</v>
      </c>
      <c r="K118" s="105" t="str">
        <f t="shared" si="23"/>
        <v>4041/4042</v>
      </c>
      <c r="L118" s="22" t="str">
        <f>VLOOKUP(A118,'Trips&amp;Operators'!$C$1:$G$99999,5,FALSE)</f>
        <v>BRUDER RICHARD</v>
      </c>
      <c r="M118" s="6">
        <f t="shared" si="24"/>
        <v>2.4270833338960074E-2</v>
      </c>
      <c r="N118" s="7">
        <f t="shared" si="42"/>
        <v>34.950000008102506</v>
      </c>
      <c r="O118" s="7"/>
      <c r="P118" s="7"/>
      <c r="Q118" s="23"/>
      <c r="R118" s="23"/>
      <c r="S118" s="32">
        <f t="shared" si="40"/>
        <v>1</v>
      </c>
      <c r="T118" s="47" t="str">
        <f t="shared" si="25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15:38:54-700',mode:absolute,to:'2017-01-07 18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49" t="str">
        <f t="shared" si="27"/>
        <v>N</v>
      </c>
      <c r="X118" s="173">
        <f t="shared" si="41"/>
        <v>1</v>
      </c>
      <c r="Y118" s="64">
        <f t="shared" si="29"/>
        <v>4.6699999999999998E-2</v>
      </c>
      <c r="Z118" s="64">
        <f t="shared" si="30"/>
        <v>23.329699999999999</v>
      </c>
      <c r="AA118" s="64">
        <f t="shared" si="31"/>
        <v>23.282999999999998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 t="shared" si="32"/>
        <v>0205-07</v>
      </c>
      <c r="AE118" s="87" t="str">
        <f t="shared" si="3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18" s="84" t="str">
        <f t="shared" si="34"/>
        <v>"C:\Program Files (x86)\AstroGrep\AstroGrep.exe" /spath="%USERPROFILE%\AppData\Local\Temp\OnboardLogs" /stypes="app*4042*20170108*"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205-07 --locoid 4042 --swversion DE.1.0.8.0 --startMP 204:467 --initTime 2017-01-07T16:38:54 --startdatetime 2017-01-07T16:45:35 --delay 1 --endMP 204:233297 --enddatetime 2017-01-07T17:20:32 --enforcementcount 0 &gt;&gt;C:\Users\stu\Documents\GitHub\eaglep3-reporting\EC\2017-01-07-refined-times.txt</v>
      </c>
      <c r="AI11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ID","value":"205-07"},{"id":16,"name":"Locomotive ID","value":"4042"},{"id":130,"name":"Impact","value":""},{"id":150,"name":"Time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8"/>
        <v>start /low /b %USERPROFILE%\Documents\GitHub\eaglep3\Utilities\DownloadLogsFromS3.py --loco 4042 --day 2017-01-07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453</v>
      </c>
      <c r="B119" s="7">
        <v>4041</v>
      </c>
      <c r="C119" s="22" t="s">
        <v>203</v>
      </c>
      <c r="D119" s="22" t="s">
        <v>409</v>
      </c>
      <c r="E119" s="13">
        <v>42742.731365740743</v>
      </c>
      <c r="F119" s="13">
        <v>42742.737222222226</v>
      </c>
      <c r="G119" s="7">
        <v>1</v>
      </c>
      <c r="H119" s="22" t="s">
        <v>246</v>
      </c>
      <c r="I119" s="13">
        <v>42742.763749999998</v>
      </c>
      <c r="J119" s="7">
        <v>0</v>
      </c>
      <c r="K119" s="105" t="str">
        <f t="shared" si="23"/>
        <v>4041/4042</v>
      </c>
      <c r="L119" s="22" t="str">
        <f>VLOOKUP(A119,'Trips&amp;Operators'!$C$1:$G$99999,5,FALSE)</f>
        <v>BRUDER RICHARD</v>
      </c>
      <c r="M119" s="6">
        <f t="shared" si="24"/>
        <v>2.6527777772571426E-2</v>
      </c>
      <c r="N119" s="7">
        <f t="shared" si="42"/>
        <v>38.199999992502853</v>
      </c>
      <c r="O119" s="7"/>
      <c r="P119" s="7"/>
      <c r="Q119" s="23"/>
      <c r="R119" s="23"/>
      <c r="S119" s="32">
        <f t="shared" si="40"/>
        <v>1</v>
      </c>
      <c r="T119" s="47" t="str">
        <f t="shared" si="25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16:33:10-700',mode:absolute,to:'2017-01-07 19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49" t="str">
        <f t="shared" si="27"/>
        <v>N</v>
      </c>
      <c r="X119" s="173">
        <f t="shared" si="41"/>
        <v>1</v>
      </c>
      <c r="Y119" s="64">
        <f t="shared" si="29"/>
        <v>23.297499999999999</v>
      </c>
      <c r="Z119" s="64">
        <f t="shared" si="30"/>
        <v>1.3899999999999999E-2</v>
      </c>
      <c r="AA119" s="64">
        <f t="shared" si="31"/>
        <v>23.2836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 t="shared" si="32"/>
        <v>0206-07</v>
      </c>
      <c r="AE119" s="87" t="str">
        <f t="shared" si="3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19" s="84" t="str">
        <f t="shared" si="34"/>
        <v>"C:\Program Files (x86)\AstroGrep\AstroGrep.exe" /spath="%USERPROFILE%\AppData\Local\Temp\OnboardLogs" /stypes="app*4041*20170108*"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206-07 --locoid 4041 --swversion DE.1.0.8.0 --startMP 204:232975 --initTime 2017-01-07T17:33:10 --startdatetime 2017-01-07T17:41:36 --delay 1 --endMP 204:139 --enddatetime 2017-01-07T18:19:48 --enforcementcount 0 &gt;&gt;C:\Users\stu\Documents\GitHub\eaglep3-reporting\EC\2017-01-07-refined-times.txt</v>
      </c>
      <c r="AI11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ID","value":"206-07"},{"id":16,"name":"Locomotive ID","value":"4041"},{"id":130,"name":"Impact","value":""},{"id":150,"name":"Time of Event (Mountain Time)","value":"18:19:48"},{"id":151,"name":"Denver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8"/>
        <v>start /low /b %USERPROFILE%\Documents\GitHub\eaglep3\Utilities\DownloadLogsFromS3.py --loco 4041 --day 2017-01-07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600</v>
      </c>
      <c r="B120" s="7">
        <v>4040</v>
      </c>
      <c r="C120" s="22" t="s">
        <v>203</v>
      </c>
      <c r="D120" s="22" t="s">
        <v>759</v>
      </c>
      <c r="E120" s="13">
        <v>42742.703842592593</v>
      </c>
      <c r="F120" s="13">
        <v>42742.70853009259</v>
      </c>
      <c r="G120" s="7">
        <v>1</v>
      </c>
      <c r="H120" s="22" t="s">
        <v>688</v>
      </c>
      <c r="I120" s="13">
        <v>42742.733877314815</v>
      </c>
      <c r="J120" s="7">
        <v>0</v>
      </c>
      <c r="K120" s="105" t="str">
        <f t="shared" si="23"/>
        <v>4039/4040</v>
      </c>
      <c r="L120" s="22" t="str">
        <f>VLOOKUP(A120,'Trips&amp;Operators'!$C$1:$G$99999,5,FALSE)</f>
        <v>KILLION DAVID</v>
      </c>
      <c r="M120" s="6">
        <f t="shared" si="24"/>
        <v>2.5347222224809229E-2</v>
      </c>
      <c r="N120" s="7">
        <f t="shared" si="42"/>
        <v>36.50000000372529</v>
      </c>
      <c r="O120" s="7"/>
      <c r="P120" s="7"/>
      <c r="Q120" s="23"/>
      <c r="R120" s="23"/>
      <c r="S120" s="32">
        <f t="shared" si="40"/>
        <v>1</v>
      </c>
      <c r="T120" s="47" t="str">
        <f t="shared" si="25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15:53:32-700',mode:absolute,to:'2017-01-07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0" s="49" t="str">
        <f t="shared" si="27"/>
        <v>N</v>
      </c>
      <c r="X120" s="173">
        <f t="shared" si="41"/>
        <v>1</v>
      </c>
      <c r="Y120" s="64">
        <f t="shared" si="29"/>
        <v>4.7100000000000003E-2</v>
      </c>
      <c r="Z120" s="64">
        <f t="shared" si="30"/>
        <v>23.329699999999999</v>
      </c>
      <c r="AA120" s="64">
        <f t="shared" si="31"/>
        <v>23.282599999999999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 t="shared" si="32"/>
        <v>0207-07</v>
      </c>
      <c r="AE120" s="87" t="str">
        <f t="shared" si="33"/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120" s="84" t="str">
        <f t="shared" si="34"/>
        <v>"C:\Program Files (x86)\AstroGrep\AstroGrep.exe" /spath="%USERPROFILE%\AppData\Local\Temp\OnboardLogs" /stypes="app*4040*20170108*" /stext=" 00:.+((SYSTEM_STATE.+slice.+state.+changed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207-07 --locoid 4040 --swversion DE.1.0.8.0 --startMP 204:471 --initTime 2017-01-07T16:53:32 --startdatetime 2017-01-07T17:00:17 --delay 1 --endMP 204:233297 --enddatetime 2017-01-07T17:36:47 --enforcementcount 0 &gt;&gt;C:\Users\stu\Documents\GitHub\eaglep3-reporting\EC\2017-01-07-refined-times.txt</v>
      </c>
      <c r="AI12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ID","value":"207-07"},{"id":16,"name":"Locomotive ID","value":"4040"},{"id":130,"name":"Impact","value":""},{"id":150,"name":"Time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8"/>
        <v>start /low /b %USERPROFILE%\Documents\GitHub\eaglep3\Utilities\DownloadLogsFromS3.py --loco 4040 --day 2017-01-07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610</v>
      </c>
      <c r="B121" s="7">
        <v>4039</v>
      </c>
      <c r="C121" s="22" t="s">
        <v>203</v>
      </c>
      <c r="D121" s="22" t="s">
        <v>313</v>
      </c>
      <c r="E121" s="13">
        <v>42742.740555555552</v>
      </c>
      <c r="F121" s="13">
        <v>42742.747534722221</v>
      </c>
      <c r="G121" s="7">
        <v>1</v>
      </c>
      <c r="H121" s="22" t="s">
        <v>417</v>
      </c>
      <c r="I121" s="13">
        <v>42742.776550925926</v>
      </c>
      <c r="J121" s="7">
        <v>0</v>
      </c>
      <c r="K121" s="105" t="str">
        <f t="shared" si="23"/>
        <v>4039/4040</v>
      </c>
      <c r="L121" s="22" t="str">
        <f>VLOOKUP(A121,'Trips&amp;Operators'!$C$1:$G$99999,5,FALSE)</f>
        <v>KILLION DAVID</v>
      </c>
      <c r="M121" s="6">
        <f t="shared" si="24"/>
        <v>2.9016203705396038E-2</v>
      </c>
      <c r="N121" s="7">
        <f t="shared" si="42"/>
        <v>41.783333335770294</v>
      </c>
      <c r="O121" s="7"/>
      <c r="P121" s="7"/>
      <c r="Q121" s="23"/>
      <c r="R121" s="23"/>
      <c r="S121" s="32">
        <f t="shared" si="40"/>
        <v>1</v>
      </c>
      <c r="T121" s="47" t="str">
        <f t="shared" si="25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16:46:24-700',mode:absolute,to:'2017-01-07 19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1" s="49" t="str">
        <f t="shared" si="27"/>
        <v>N</v>
      </c>
      <c r="X121" s="173">
        <f t="shared" si="41"/>
        <v>1</v>
      </c>
      <c r="Y121" s="64">
        <f t="shared" si="29"/>
        <v>23.298100000000002</v>
      </c>
      <c r="Z121" s="64">
        <f t="shared" si="30"/>
        <v>1.23E-2</v>
      </c>
      <c r="AA121" s="64">
        <f t="shared" si="31"/>
        <v>23.285800000000002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 t="shared" si="32"/>
        <v>0208-07</v>
      </c>
      <c r="AE121" s="87" t="str">
        <f t="shared" si="33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21" s="84" t="str">
        <f t="shared" si="34"/>
        <v>"C:\Program Files (x86)\AstroGrep\AstroGrep.exe" /spath="%USERPROFILE%\AppData\Local\Temp\OnboardLogs" /stypes="app*4039*20170108*" /stext=" 01:.+((SYSTEM_STATE.+slice.+state.+changed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208-07 --locoid 4039 --swversion DE.1.0.8.0 --startMP 204:232981 --initTime 2017-01-07T17:46:24 --startdatetime 2017-01-07T17:56:27 --delay 1 --endMP 204:123 --enddatetime 2017-01-07T18:38:14 --enforcementcount 0 &gt;&gt;C:\Users\stu\Documents\GitHub\eaglep3-reporting\EC\2017-01-07-refined-times.txt</v>
      </c>
      <c r="AI12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{"issue":{"subject":"","project_id":79,"tracker_id":40,"status_id":1,"priority_id":2,"assigned_to_id":23,"start_date":"2017-01-07","description":"","custom_fields":[{"id":1,"name":"Subdivision","value":"EC"},{"id":4,"name":"Milepost","value":"0.0123"},{"id":17,"name":"Train ID","value":"208-07"},{"id":16,"name":"Locomotive ID","value":"4039"},{"id":130,"name":"Impact","value":""},{"id":150,"name":"Time of Event (Mountain Time)","value":"18:38:14"},{"id":151,"name":"Denver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8"/>
        <v>start /low /b %USERPROFILE%\Documents\GitHub\eaglep3\Utilities\DownloadLogsFromS3.py --loco 4039 --day 2017-01-07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603</v>
      </c>
      <c r="B122" s="7">
        <v>4046</v>
      </c>
      <c r="C122" s="22" t="s">
        <v>203</v>
      </c>
      <c r="D122" s="22" t="s">
        <v>748</v>
      </c>
      <c r="E122" s="13">
        <v>42742.715370370373</v>
      </c>
      <c r="F122" s="13">
        <v>42742.719027777777</v>
      </c>
      <c r="G122" s="7">
        <v>1</v>
      </c>
      <c r="H122" s="22" t="s">
        <v>332</v>
      </c>
      <c r="I122" s="13">
        <v>42742.743472222224</v>
      </c>
      <c r="J122" s="7">
        <v>0</v>
      </c>
      <c r="K122" s="105" t="str">
        <f t="shared" si="23"/>
        <v>4045/4046</v>
      </c>
      <c r="L122" s="22" t="str">
        <f>VLOOKUP(A122,'Trips&amp;Operators'!$C$1:$G$99999,5,FALSE)</f>
        <v>LEVIN SCOTT</v>
      </c>
      <c r="M122" s="6">
        <f t="shared" si="24"/>
        <v>2.4444444446999114E-2</v>
      </c>
      <c r="N122" s="7">
        <f t="shared" si="42"/>
        <v>35.200000003678724</v>
      </c>
      <c r="O122" s="7"/>
      <c r="P122" s="7"/>
      <c r="Q122" s="23"/>
      <c r="R122" s="23"/>
      <c r="S122" s="32">
        <f t="shared" si="40"/>
        <v>1</v>
      </c>
      <c r="T122" s="47" t="str">
        <f t="shared" si="25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16:10:08-700',mode:absolute,to:'2017-01-07 18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2" s="49" t="str">
        <f t="shared" si="27"/>
        <v>N</v>
      </c>
      <c r="X122" s="173">
        <f t="shared" si="41"/>
        <v>1</v>
      </c>
      <c r="Y122" s="64">
        <f t="shared" si="29"/>
        <v>4.24E-2</v>
      </c>
      <c r="Z122" s="64">
        <f t="shared" si="30"/>
        <v>23.331399999999999</v>
      </c>
      <c r="AA122" s="64">
        <f t="shared" si="31"/>
        <v>23.288999999999998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 t="shared" si="32"/>
        <v>0209-07</v>
      </c>
      <c r="AE122" s="87" t="str">
        <f t="shared" si="3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22" s="84" t="str">
        <f t="shared" si="34"/>
        <v>"C:\Program Files (x86)\AstroGrep\AstroGrep.exe" /spath="%USERPROFILE%\AppData\Local\Temp\OnboardLogs" /stypes="app*4046*20170108*" /stext=" 00:.+((SYSTEM_STATE.+slice.+state.+changed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209-07 --locoid 4046 --swversion DE.1.0.8.0 --startMP 204:424 --initTime 2017-01-07T17:10:08 --startdatetime 2017-01-07T17:15:24 --delay 1 --endMP 204:233314 --enddatetime 2017-01-07T17:50:36 --enforcementcount 0 &gt;&gt;C:\Users\stu\Documents\GitHub\eaglep3-reporting\EC\2017-01-07-refined-times.txt</v>
      </c>
      <c r="AI12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{"issue":{"subject":"","project_id":79,"tracker_id":40,"status_id":1,"priority_id":2,"assigned_to_id":23,"start_date":"2017-01-07","description":"","custom_fields":[{"id":1,"name":"Subdivision","value":"EC"},{"id":4,"name":"Milepost","value":"23.3314"},{"id":17,"name":"Train ID","value":"209-07"},{"id":16,"name":"Locomotive ID","value":"4046"},{"id":130,"name":"Impact","value":""},{"id":150,"name":"Time of Event (Mountain Time)","value":"17:50:36"},{"id":151,"name":"Denver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8"/>
        <v>start /low /b %USERPROFILE%\Documents\GitHub\eaglep3\Utilities\DownloadLogsFromS3.py --loco 4046 --day 2017-01-07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613</v>
      </c>
      <c r="B123" s="7">
        <v>4045</v>
      </c>
      <c r="C123" s="22" t="s">
        <v>203</v>
      </c>
      <c r="D123" s="22" t="s">
        <v>667</v>
      </c>
      <c r="E123" s="13">
        <v>42742.751145833332</v>
      </c>
      <c r="F123" s="13">
        <v>42742.757824074077</v>
      </c>
      <c r="G123" s="7">
        <v>2</v>
      </c>
      <c r="H123" s="22" t="s">
        <v>670</v>
      </c>
      <c r="I123" s="13">
        <v>42742.78434027778</v>
      </c>
      <c r="J123" s="7">
        <v>0</v>
      </c>
      <c r="K123" s="105" t="str">
        <f t="shared" si="23"/>
        <v>4045/4046</v>
      </c>
      <c r="L123" s="22" t="str">
        <f>VLOOKUP(A123,'Trips&amp;Operators'!$C$1:$G$99999,5,FALSE)</f>
        <v>LEVIN SCOTT</v>
      </c>
      <c r="M123" s="6">
        <f t="shared" si="24"/>
        <v>2.6516203703067731E-2</v>
      </c>
      <c r="N123" s="7">
        <f t="shared" si="42"/>
        <v>38.183333332417533</v>
      </c>
      <c r="O123" s="7"/>
      <c r="P123" s="7"/>
      <c r="Q123" s="23"/>
      <c r="R123" s="23"/>
      <c r="S123" s="32">
        <f t="shared" si="40"/>
        <v>1</v>
      </c>
      <c r="T123" s="47" t="str">
        <f t="shared" si="25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17:01:39-700',mode:absolute,to:'2017-01-07 19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3" s="49" t="str">
        <f t="shared" si="27"/>
        <v>N</v>
      </c>
      <c r="X123" s="173">
        <f t="shared" si="41"/>
        <v>1</v>
      </c>
      <c r="Y123" s="64">
        <f t="shared" si="29"/>
        <v>23.299600000000002</v>
      </c>
      <c r="Z123" s="64">
        <f t="shared" si="30"/>
        <v>1.54E-2</v>
      </c>
      <c r="AA123" s="64">
        <f t="shared" si="31"/>
        <v>23.284200000000002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 t="shared" si="32"/>
        <v>0210-07</v>
      </c>
      <c r="AE123" s="87" t="str">
        <f t="shared" si="3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23" s="84" t="str">
        <f t="shared" si="34"/>
        <v>"C:\Program Files (x86)\AstroGrep\AstroGrep.exe" /spath="%USERPROFILE%\AppData\Local\Temp\OnboardLogs" /stypes="app*4045*20170108*"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210-07 --locoid 4045 --swversion DE.1.0.8.0 --startMP 204:232996 --initTime 2017-01-07T18:01:39 --startdatetime 2017-01-07T18:11:16 --delay 2 --endMP 204:154 --enddatetime 2017-01-07T18:49:27 --enforcementcount 0 &gt;&gt;C:\Users\stu\Documents\GitHub\eaglep3-reporting\EC\2017-01-07-refined-times.txt</v>
      </c>
      <c r="AI12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ID","value":"210-07"},{"id":16,"name":"Locomotive ID","value":"4045"},{"id":130,"name":"Impact","value":""},{"id":150,"name":"Time of Event (Mountain Time)","value":"18:49:27"},{"id":151,"name":"Denver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8"/>
        <v>start /low /b %USERPROFILE%\Documents\GitHub\eaglep3\Utilities\DownloadLogsFromS3.py --loco 4045 --day 2017-01-07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606</v>
      </c>
      <c r="B124" s="7">
        <v>4007</v>
      </c>
      <c r="C124" s="22" t="s">
        <v>203</v>
      </c>
      <c r="D124" s="22" t="s">
        <v>312</v>
      </c>
      <c r="E124" s="13">
        <v>42742.725636574076</v>
      </c>
      <c r="F124" s="13">
        <v>42742.729560185187</v>
      </c>
      <c r="G124" s="7">
        <v>1</v>
      </c>
      <c r="H124" s="22" t="s">
        <v>311</v>
      </c>
      <c r="I124" s="13">
        <v>42742.75744212963</v>
      </c>
      <c r="J124" s="7">
        <v>0</v>
      </c>
      <c r="K124" s="105" t="str">
        <f t="shared" si="23"/>
        <v>4007/4008</v>
      </c>
      <c r="L124" s="22" t="str">
        <f>VLOOKUP(A124,'Trips&amp;Operators'!$C$1:$G$99999,5,FALSE)</f>
        <v>BRANDNER MELINDA</v>
      </c>
      <c r="M124" s="6">
        <f t="shared" si="24"/>
        <v>2.7881944442924578E-2</v>
      </c>
      <c r="N124" s="7">
        <f t="shared" si="42"/>
        <v>40.149999997811392</v>
      </c>
      <c r="O124" s="7"/>
      <c r="P124" s="7"/>
      <c r="Q124" s="23"/>
      <c r="R124" s="23"/>
      <c r="S124" s="32">
        <f t="shared" si="40"/>
        <v>1</v>
      </c>
      <c r="T124" s="47" t="str">
        <f t="shared" si="25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16:24:55-700',mode:absolute,to:'2017-01-07 19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49" t="str">
        <f t="shared" si="27"/>
        <v>N</v>
      </c>
      <c r="X124" s="173">
        <f t="shared" si="41"/>
        <v>1</v>
      </c>
      <c r="Y124" s="64">
        <f t="shared" si="29"/>
        <v>4.4600000000000001E-2</v>
      </c>
      <c r="Z124" s="64">
        <f t="shared" si="30"/>
        <v>23.329799999999999</v>
      </c>
      <c r="AA124" s="64">
        <f t="shared" si="31"/>
        <v>23.2852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 t="shared" si="32"/>
        <v>0211-07</v>
      </c>
      <c r="AE124" s="87" t="str">
        <f t="shared" si="33"/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24" s="84" t="str">
        <f t="shared" si="34"/>
        <v>"C:\Program Files (x86)\AstroGrep\AstroGrep.exe" /spath="%USERPROFILE%\AppData\Local\Temp\OnboardLogs" /stypes="app*4007*20170108*"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211-07 --locoid 4007 --swversion DE.1.0.8.0 --startMP 204:446 --initTime 2017-01-07T17:24:55 --startdatetime 2017-01-07T17:30:34 --delay 1 --endMP 204:233298 --enddatetime 2017-01-07T18:10:43 --enforcementcount 0 &gt;&gt;C:\Users\stu\Documents\GitHub\eaglep3-reporting\EC\2017-01-07-refined-times.txt</v>
      </c>
      <c r="AI12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ID","value":"211-07"},{"id":16,"name":"Locomotive ID","value":"4007"},{"id":130,"name":"Impact","value":""},{"id":150,"name":"Time of Event (Mountain Time)","value":"18:10:43"},{"id":151,"name":"Denver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8"/>
        <v>start /low /b %USERPROFILE%\Documents\GitHub\eaglep3\Utilities\DownloadLogsFromS3.py --loco 4007 --day 2017-01-07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618</v>
      </c>
      <c r="B125" s="7">
        <v>4008</v>
      </c>
      <c r="C125" s="22" t="s">
        <v>203</v>
      </c>
      <c r="D125" s="22" t="s">
        <v>348</v>
      </c>
      <c r="E125" s="13">
        <v>42742.760416666664</v>
      </c>
      <c r="F125" s="13">
        <v>42742.768506944441</v>
      </c>
      <c r="G125" s="7">
        <v>1</v>
      </c>
      <c r="H125" s="22" t="s">
        <v>245</v>
      </c>
      <c r="I125" s="13">
        <v>42742.796446759261</v>
      </c>
      <c r="J125" s="7">
        <v>0</v>
      </c>
      <c r="K125" s="105" t="str">
        <f t="shared" si="23"/>
        <v>4007/4008</v>
      </c>
      <c r="L125" s="22" t="str">
        <f>VLOOKUP(A125,'Trips&amp;Operators'!$C$1:$G$99999,5,FALSE)</f>
        <v>BRANDNER MELINDA</v>
      </c>
      <c r="M125" s="6">
        <f t="shared" si="24"/>
        <v>2.7939814819546882E-2</v>
      </c>
      <c r="N125" s="7">
        <f t="shared" si="42"/>
        <v>40.23333334014751</v>
      </c>
      <c r="O125" s="7"/>
      <c r="P125" s="7"/>
      <c r="Q125" s="23"/>
      <c r="R125" s="23"/>
      <c r="S125" s="32">
        <f t="shared" si="40"/>
        <v>1</v>
      </c>
      <c r="T125" s="47" t="str">
        <f t="shared" si="25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17:15:00-700',mode:absolute,to:'2017-01-07 20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49" t="str">
        <f t="shared" si="27"/>
        <v>N</v>
      </c>
      <c r="X125" s="173">
        <f t="shared" si="41"/>
        <v>1</v>
      </c>
      <c r="Y125" s="64">
        <f t="shared" si="29"/>
        <v>23.2987</v>
      </c>
      <c r="Z125" s="64">
        <f t="shared" si="30"/>
        <v>1.47E-2</v>
      </c>
      <c r="AA125" s="64">
        <f t="shared" si="31"/>
        <v>23.283999999999999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 t="shared" si="32"/>
        <v>0212-07</v>
      </c>
      <c r="AE125" s="87" t="str">
        <f t="shared" si="33"/>
        <v>aws s3 cp s3://rtdc.mdm.uploadarchive.raw/RTDC4008/ "%USERPROFILE%\AppData\Local\Temp\OnboardLogs"\RTDC4008\2017-01-07 --exclude "*" --recursive --include "*20170107*" &amp; "%USERPROFILE%\Documents\GitHub\mrs-test-scripts\Headless Mode &amp; Sideloading\WalkAndUnGZ.bat" "%USERPROFILE%\AppData\Local\Temp\OnboardLogs"\RTDC4008\2017-01-07 &amp; 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</v>
      </c>
      <c r="AF125" s="84" t="str">
        <f t="shared" si="34"/>
        <v>"C:\Program Files (x86)\AstroGrep\AstroGrep.exe" /spath="%USERPROFILE%\AppData\Local\Temp\OnboardLogs" /stypes="app*4008*20170108*"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212-07 --locoid 4008 --swversion DE.1.0.8.0 --startMP 204:232987 --initTime 2017-01-07T18:15:00 --startdatetime 2017-01-07T18:26:39 --delay 1 --endMP 204:147 --enddatetime 2017-01-07T19:06:53 --enforcementcount 0 &gt;&gt;C:\Users\stu\Documents\GitHub\eaglep3-reporting\EC\2017-01-07-refined-times.txt</v>
      </c>
      <c r="AI12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ID","value":"212-07"},{"id":16,"name":"Locomotive ID","value":"4008"},{"id":130,"name":"Impact","value":""},{"id":150,"name":"Time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8"/>
        <v>start /low /b %USERPROFILE%\Documents\GitHub\eaglep3\Utilities\DownloadLogsFromS3.py --loco 4008 --day 2017-01-07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609</v>
      </c>
      <c r="B126" s="7">
        <v>4003</v>
      </c>
      <c r="C126" s="22" t="s">
        <v>203</v>
      </c>
      <c r="D126" s="22" t="s">
        <v>318</v>
      </c>
      <c r="E126" s="13">
        <v>42742.736944444441</v>
      </c>
      <c r="F126" s="13">
        <v>42742.739884259259</v>
      </c>
      <c r="G126" s="7">
        <v>1</v>
      </c>
      <c r="H126" s="22" t="s">
        <v>688</v>
      </c>
      <c r="I126" s="13">
        <v>42742.7653125</v>
      </c>
      <c r="J126" s="7">
        <v>0</v>
      </c>
      <c r="K126" s="105" t="str">
        <f t="shared" si="23"/>
        <v>4003/4004</v>
      </c>
      <c r="L126" s="22" t="str">
        <f>VLOOKUP(A126,'Trips&amp;Operators'!$C$1:$G$99999,5,FALSE)</f>
        <v>SMITH MICHAEL</v>
      </c>
      <c r="M126" s="6">
        <f t="shared" si="24"/>
        <v>2.5428240740438923E-2</v>
      </c>
      <c r="N126" s="7">
        <f t="shared" si="42"/>
        <v>36.616666666232049</v>
      </c>
      <c r="O126" s="7"/>
      <c r="P126" s="7"/>
      <c r="Q126" s="23"/>
      <c r="R126" s="23"/>
      <c r="S126" s="32">
        <f t="shared" si="40"/>
        <v>1</v>
      </c>
      <c r="T126" s="47" t="str">
        <f t="shared" si="25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16:41:12-700',mode:absolute,to:'2017-01-07 19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6" s="49" t="str">
        <f t="shared" si="27"/>
        <v>N</v>
      </c>
      <c r="X126" s="173">
        <f t="shared" si="41"/>
        <v>1</v>
      </c>
      <c r="Y126" s="64">
        <f t="shared" si="29"/>
        <v>4.58E-2</v>
      </c>
      <c r="Z126" s="64">
        <f t="shared" si="30"/>
        <v>23.329699999999999</v>
      </c>
      <c r="AA126" s="64">
        <f t="shared" si="31"/>
        <v>23.283899999999999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 t="shared" si="32"/>
        <v>0213-07</v>
      </c>
      <c r="AE126" s="87" t="str">
        <f t="shared" si="3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26" s="84" t="str">
        <f t="shared" si="34"/>
        <v>"C:\Program Files (x86)\AstroGrep\AstroGrep.exe" /spath="%USERPROFILE%\AppData\Local\Temp\OnboardLogs" /stypes="app*4003*20170108*"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213-07 --locoid 4003 --swversion DE.1.0.8.0 --startMP 204:458 --initTime 2017-01-07T17:41:12 --startdatetime 2017-01-07T17:45:26 --delay 1 --endMP 204:233297 --enddatetime 2017-01-07T18:22:03 --enforcementcount 0 &gt;&gt;C:\Users\stu\Documents\GitHub\eaglep3-reporting\EC\2017-01-07-refined-times.txt</v>
      </c>
      <c r="AI12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ID","value":"213-07"},{"id":16,"name":"Locomotive ID","value":"4003"},{"id":130,"name":"Impact","value":""},{"id":150,"name":"Time of Event (Mountain Time)","value":"18:22:03"},{"id":151,"name":"Denver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8"/>
        <v>start /low /b %USERPROFILE%\Documents\GitHub\eaglep3\Utilities\DownloadLogsFromS3.py --loco 4003 --day 2017-01-07</v>
      </c>
    </row>
    <row r="127" spans="1:91" s="21" customFormat="1" x14ac:dyDescent="0.25">
      <c r="A127" s="34" t="s">
        <v>623</v>
      </c>
      <c r="B127" s="7">
        <v>4004</v>
      </c>
      <c r="C127" s="22" t="s">
        <v>203</v>
      </c>
      <c r="D127" s="22" t="s">
        <v>258</v>
      </c>
      <c r="E127" s="13">
        <v>42742.770532407405</v>
      </c>
      <c r="F127" s="13">
        <v>42742.778761574074</v>
      </c>
      <c r="G127" s="7">
        <v>1</v>
      </c>
      <c r="H127" s="22" t="s">
        <v>245</v>
      </c>
      <c r="I127" s="13">
        <v>42742.805659722224</v>
      </c>
      <c r="J127" s="7">
        <v>0</v>
      </c>
      <c r="K127" s="105" t="str">
        <f t="shared" si="23"/>
        <v>4003/4004</v>
      </c>
      <c r="L127" s="22" t="str">
        <f>VLOOKUP(A127,'Trips&amp;Operators'!$C$1:$G$99999,5,FALSE)</f>
        <v>SMITH MICHAEL</v>
      </c>
      <c r="M127" s="6">
        <f t="shared" si="24"/>
        <v>2.6898148149484769E-2</v>
      </c>
      <c r="N127" s="7">
        <f t="shared" si="42"/>
        <v>38.733333335258067</v>
      </c>
      <c r="O127" s="7"/>
      <c r="P127" s="7"/>
      <c r="Q127" s="23"/>
      <c r="R127" s="23"/>
      <c r="S127" s="32">
        <f t="shared" si="40"/>
        <v>1</v>
      </c>
      <c r="T127" s="47" t="str">
        <f t="shared" si="25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17:29:34-700',mode:absolute,to:'2017-01-07 20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7" s="49" t="str">
        <f t="shared" si="27"/>
        <v>N</v>
      </c>
      <c r="X127" s="173">
        <f t="shared" si="41"/>
        <v>1</v>
      </c>
      <c r="Y127" s="64">
        <f t="shared" si="29"/>
        <v>23.2973</v>
      </c>
      <c r="Z127" s="64">
        <f t="shared" si="30"/>
        <v>1.47E-2</v>
      </c>
      <c r="AA127" s="64">
        <f t="shared" si="31"/>
        <v>23.282599999999999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 t="shared" si="32"/>
        <v>0214-07</v>
      </c>
      <c r="AE127" s="87" t="str">
        <f t="shared" si="3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27" s="84" t="str">
        <f t="shared" si="34"/>
        <v>"C:\Program Files (x86)\AstroGrep\AstroGrep.exe" /spath="%USERPROFILE%\AppData\Local\Temp\OnboardLogs" /stypes="app*4004*20170108*"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214-07 --locoid 4004 --swversion DE.1.0.8.0 --startMP 204:232973 --initTime 2017-01-07T18:29:34 --startdatetime 2017-01-07T18:41:25 --delay 1 --endMP 204:147 --enddatetime 2017-01-07T19:20:09 --enforcementcount 0 &gt;&gt;C:\Users\stu\Documents\GitHub\eaglep3-reporting\EC\2017-01-07-refined-times.txt</v>
      </c>
      <c r="AI127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ID","value":"214-07"},{"id":16,"name":"Locomotive ID","value":"4004"},{"id":130,"name":"Impact","value":""},{"id":150,"name":"Time of Event (Mountain Time)","value":"19:20:09"},{"id":151,"name":"Denver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8"/>
        <v>start /low /b %USERPROFILE%\Documents\GitHub\eaglep3\Utilities\DownloadLogsFromS3.py --loco 4004 --day 2017-01-07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611</v>
      </c>
      <c r="B128" s="7">
        <v>4016</v>
      </c>
      <c r="C128" s="22" t="s">
        <v>203</v>
      </c>
      <c r="D128" s="22" t="s">
        <v>333</v>
      </c>
      <c r="E128" s="13">
        <v>42742.745381944442</v>
      </c>
      <c r="F128" s="13">
        <v>42742.750138888892</v>
      </c>
      <c r="G128" s="7">
        <v>1</v>
      </c>
      <c r="H128" s="22" t="s">
        <v>689</v>
      </c>
      <c r="I128" s="13">
        <v>42742.776041666664</v>
      </c>
      <c r="J128" s="7">
        <v>0</v>
      </c>
      <c r="K128" s="105" t="str">
        <f t="shared" si="23"/>
        <v>4015/4016</v>
      </c>
      <c r="L128" s="22" t="str">
        <f>VLOOKUP(A128,'Trips&amp;Operators'!$C$1:$G$99999,5,FALSE)</f>
        <v>BRANNON JEFFREY</v>
      </c>
      <c r="M128" s="6">
        <f t="shared" si="24"/>
        <v>2.5902777771989349E-2</v>
      </c>
      <c r="N128" s="7">
        <f t="shared" si="42"/>
        <v>37.299999991664663</v>
      </c>
      <c r="O128" s="7"/>
      <c r="P128" s="7"/>
      <c r="Q128" s="23"/>
      <c r="R128" s="23"/>
      <c r="S128" s="32">
        <f t="shared" si="40"/>
        <v>1</v>
      </c>
      <c r="T128" s="47" t="str">
        <f t="shared" si="25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16:53:21-700',mode:absolute,to:'2017-01-07 19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8" s="49" t="str">
        <f t="shared" si="27"/>
        <v>N</v>
      </c>
      <c r="X128" s="173">
        <f t="shared" si="41"/>
        <v>1</v>
      </c>
      <c r="Y128" s="64">
        <f t="shared" si="29"/>
        <v>4.6600000000000003E-2</v>
      </c>
      <c r="Z128" s="64">
        <f t="shared" si="30"/>
        <v>23.331</v>
      </c>
      <c r="AA128" s="64">
        <f t="shared" si="31"/>
        <v>23.284399999999998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 t="shared" si="32"/>
        <v>0215-07</v>
      </c>
      <c r="AE128" s="87" t="str">
        <f t="shared" si="3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28" s="84" t="str">
        <f t="shared" si="34"/>
        <v>"C:\Program Files (x86)\AstroGrep\AstroGrep.exe" /spath="%USERPROFILE%\AppData\Local\Temp\OnboardLogs" /stypes="app*4016*20170108*" /stext=" 01:.+((SYSTEM_STATE.+slice.+state.+changed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215-07 --locoid 4016 --swversion DE.1.0.8.0 --startMP 204:466 --initTime 2017-01-07T17:53:21 --startdatetime 2017-01-07T18:00:12 --delay 1 --endMP 204:233310 --enddatetime 2017-01-07T18:37:30 --enforcementcount 0 &gt;&gt;C:\Users\stu\Documents\GitHub\eaglep3-reporting\EC\2017-01-07-refined-times.txt</v>
      </c>
      <c r="AI12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{"issue":{"subject":"","project_id":79,"tracker_id":40,"status_id":1,"priority_id":2,"assigned_to_id":23,"start_date":"2017-01-07","description":"","custom_fields":[{"id":1,"name":"Subdivision","value":"EC"},{"id":4,"name":"Milepost","value":"23.331"},{"id":17,"name":"Train ID","value":"215-07"},{"id":16,"name":"Locomotive ID","value":"4016"},{"id":130,"name":"Impact","value":""},{"id":150,"name":"Time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8"/>
        <v>start /low /b %USERPROFILE%\Documents\GitHub\eaglep3\Utilities\DownloadLogsFromS3.py --loco 4016 --day 2017-01-07</v>
      </c>
    </row>
    <row r="129" spans="1:91" s="21" customFormat="1" x14ac:dyDescent="0.25">
      <c r="A129" s="34" t="s">
        <v>625</v>
      </c>
      <c r="B129" s="7">
        <v>4015</v>
      </c>
      <c r="C129" s="22" t="s">
        <v>203</v>
      </c>
      <c r="D129" s="22" t="s">
        <v>294</v>
      </c>
      <c r="E129" s="13">
        <v>42742.779166666667</v>
      </c>
      <c r="F129" s="13">
        <v>42742.789039351854</v>
      </c>
      <c r="G129" s="7">
        <v>1</v>
      </c>
      <c r="H129" s="22" t="s">
        <v>329</v>
      </c>
      <c r="I129" s="13">
        <v>42742.814930555556</v>
      </c>
      <c r="J129" s="7">
        <v>0</v>
      </c>
      <c r="K129" s="105" t="str">
        <f t="shared" si="23"/>
        <v>4015/4016</v>
      </c>
      <c r="L129" s="22" t="str">
        <f>VLOOKUP(A129,'Trips&amp;Operators'!$C$1:$G$99999,5,FALSE)</f>
        <v>BRANNON JEFFREY</v>
      </c>
      <c r="M129" s="6">
        <f t="shared" si="24"/>
        <v>2.5891203702485655E-2</v>
      </c>
      <c r="N129" s="7">
        <f t="shared" si="42"/>
        <v>37.283333331579342</v>
      </c>
      <c r="O129" s="7"/>
      <c r="P129" s="7"/>
      <c r="Q129" s="23"/>
      <c r="R129" s="23"/>
      <c r="S129" s="32">
        <f t="shared" si="40"/>
        <v>1</v>
      </c>
      <c r="T129" s="47" t="str">
        <f t="shared" si="25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17:42:00-700',mode:absolute,to:'2017-01-07 20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9" s="49" t="str">
        <f t="shared" si="27"/>
        <v>N</v>
      </c>
      <c r="X129" s="173">
        <f t="shared" si="41"/>
        <v>1</v>
      </c>
      <c r="Y129" s="64">
        <f t="shared" si="29"/>
        <v>23.2989</v>
      </c>
      <c r="Z129" s="64">
        <f t="shared" si="30"/>
        <v>1.34E-2</v>
      </c>
      <c r="AA129" s="64">
        <f t="shared" si="31"/>
        <v>23.285499999999999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 t="shared" si="32"/>
        <v>0216-07</v>
      </c>
      <c r="AE129" s="87" t="str">
        <f t="shared" si="3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29" s="84" t="str">
        <f t="shared" si="34"/>
        <v>"C:\Program Files (x86)\AstroGrep\AstroGrep.exe" /spath="%USERPROFILE%\AppData\Local\Temp\OnboardLogs" /stypes="app*4015*20170108*"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216-07 --locoid 4015 --swversion DE.1.0.8.0 --startMP 204:232989 --initTime 2017-01-07T18:42:00 --startdatetime 2017-01-07T18:56:13 --delay 1 --endMP 204:134 --enddatetime 2017-01-07T19:33:30 --enforcementcount 0 &gt;&gt;C:\Users\stu\Documents\GitHub\eaglep3-reporting\EC\2017-01-07-refined-times.txt</v>
      </c>
      <c r="AI12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{"issue":{"subject":"","project_id":79,"tracker_id":40,"status_id":1,"priority_id":2,"assigned_to_id":23,"start_date":"2017-01-07","description":"","custom_fields":[{"id":1,"name":"Subdivision","value":"EC"},{"id":4,"name":"Milepost","value":"0.0134"},{"id":17,"name":"Train ID","value":"216-07"},{"id":16,"name":"Locomotive ID","value":"4015"},{"id":130,"name":"Impact","value":""},{"id":150,"name":"Time of Event (Mountain Time)","value":"19:33:30"},{"id":151,"name":"Denver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8"/>
        <v>start /low /b %USERPROFILE%\Documents\GitHub\eaglep3\Utilities\DownloadLogsFromS3.py --loco 4015 --day 2017-01-07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617</v>
      </c>
      <c r="B130" s="7">
        <v>4011</v>
      </c>
      <c r="C130" s="22" t="s">
        <v>203</v>
      </c>
      <c r="D130" s="22" t="s">
        <v>760</v>
      </c>
      <c r="E130" s="13">
        <v>42742.75445601852</v>
      </c>
      <c r="F130" s="13">
        <v>42742.760671296295</v>
      </c>
      <c r="G130" s="7">
        <v>2</v>
      </c>
      <c r="H130" s="22" t="s">
        <v>330</v>
      </c>
      <c r="I130" s="13">
        <v>42742.784918981481</v>
      </c>
      <c r="J130" s="7">
        <v>0</v>
      </c>
      <c r="K130" s="105" t="str">
        <f t="shared" si="23"/>
        <v>4011/4012</v>
      </c>
      <c r="L130" s="22" t="str">
        <f>VLOOKUP(A130,'Trips&amp;Operators'!$C$1:$G$99999,5,FALSE)</f>
        <v>STAMBAUGH JAMES</v>
      </c>
      <c r="M130" s="6">
        <f t="shared" si="24"/>
        <v>2.4247685185400769E-2</v>
      </c>
      <c r="N130" s="7">
        <f t="shared" si="42"/>
        <v>34.916666666977108</v>
      </c>
      <c r="O130" s="7"/>
      <c r="P130" s="7"/>
      <c r="Q130" s="23"/>
      <c r="R130" s="23"/>
      <c r="S130" s="32">
        <f t="shared" si="40"/>
        <v>1</v>
      </c>
      <c r="T130" s="47" t="str">
        <f t="shared" si="25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17:06:25-700',mode:absolute,to:'2017-01-07 19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0" s="49" t="str">
        <f t="shared" si="27"/>
        <v>N</v>
      </c>
      <c r="X130" s="173">
        <f t="shared" si="41"/>
        <v>1</v>
      </c>
      <c r="Y130" s="64">
        <f t="shared" si="29"/>
        <v>4.1300000000000003E-2</v>
      </c>
      <c r="Z130" s="64">
        <f t="shared" si="30"/>
        <v>23.331099999999999</v>
      </c>
      <c r="AA130" s="64">
        <f t="shared" si="31"/>
        <v>23.2898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 t="shared" si="32"/>
        <v>0217-07</v>
      </c>
      <c r="AE130" s="87" t="str">
        <f t="shared" si="33"/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30" s="84" t="str">
        <f t="shared" si="34"/>
        <v>"C:\Program Files (x86)\AstroGrep\AstroGrep.exe" /spath="%USERPROFILE%\AppData\Local\Temp\OnboardLogs" /stypes="app*4011*20170108*" /stext=" 01:.+((SYSTEM_STATE.+slice.+state.+changed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217-07 --locoid 4011 --swversion DE.1.0.8.0 --startMP 204:413 --initTime 2017-01-07T18:06:25 --startdatetime 2017-01-07T18:15:22 --delay 2 --endMP 204:233311 --enddatetime 2017-01-07T18:50:17 --enforcementcount 0 &gt;&gt;C:\Users\stu\Documents\GitHub\eaglep3-reporting\EC\2017-01-07-refined-times.txt</v>
      </c>
      <c r="AI13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{"issue":{"subject":"","project_id":79,"tracker_id":40,"status_id":1,"priority_id":2,"assigned_to_id":23,"start_date":"2017-01-07","description":"","custom_fields":[{"id":1,"name":"Subdivision","value":"EC"},{"id":4,"name":"Milepost","value":"23.3311"},{"id":17,"name":"Train ID","value":"217-07"},{"id":16,"name":"Locomotive ID","value":"4011"},{"id":130,"name":"Impact","value":""},{"id":150,"name":"Time of Event (Mountain Time)","value":"18:50:17"},{"id":151,"name":"Denver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8"/>
        <v>start /low /b %USERPROFILE%\Documents\GitHub\eaglep3\Utilities\DownloadLogsFromS3.py --loco 4011 --day 2017-01-07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628</v>
      </c>
      <c r="B131" s="7">
        <v>4012</v>
      </c>
      <c r="C131" s="22" t="s">
        <v>203</v>
      </c>
      <c r="D131" s="22" t="s">
        <v>354</v>
      </c>
      <c r="E131" s="13">
        <v>42742.788148148145</v>
      </c>
      <c r="F131" s="13">
        <v>42742.799780092595</v>
      </c>
      <c r="G131" s="7">
        <v>1</v>
      </c>
      <c r="H131" s="22" t="s">
        <v>425</v>
      </c>
      <c r="I131" s="13">
        <v>42742.825266203705</v>
      </c>
      <c r="J131" s="7">
        <v>0</v>
      </c>
      <c r="K131" s="105" t="str">
        <f t="shared" si="23"/>
        <v>4011/4012</v>
      </c>
      <c r="L131" s="22" t="str">
        <f>VLOOKUP(A131,'Trips&amp;Operators'!$C$1:$G$99999,5,FALSE)</f>
        <v>STAMBAUGH JAMES</v>
      </c>
      <c r="M131" s="6">
        <f t="shared" si="24"/>
        <v>2.548611110978527E-2</v>
      </c>
      <c r="N131" s="7">
        <f t="shared" si="42"/>
        <v>36.699999998090789</v>
      </c>
      <c r="O131" s="7"/>
      <c r="P131" s="7"/>
      <c r="Q131" s="23"/>
      <c r="R131" s="23"/>
      <c r="S131" s="32">
        <f t="shared" si="40"/>
        <v>1</v>
      </c>
      <c r="T131" s="47" t="str">
        <f t="shared" si="25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17:54:56-700',mode:absolute,to:'2017-01-07 20:48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1" s="49" t="str">
        <f t="shared" si="27"/>
        <v>N</v>
      </c>
      <c r="X131" s="173">
        <f t="shared" si="41"/>
        <v>1</v>
      </c>
      <c r="Y131" s="64">
        <f t="shared" si="29"/>
        <v>23.2988</v>
      </c>
      <c r="Z131" s="64">
        <f t="shared" si="30"/>
        <v>0.1181</v>
      </c>
      <c r="AA131" s="64">
        <f t="shared" si="31"/>
        <v>23.180700000000002</v>
      </c>
      <c r="AB131" s="61" t="e">
        <f>VLOOKUP(A131,Enforcements!$C$7:$K$18,8,0)</f>
        <v>#N/A</v>
      </c>
      <c r="AC131" s="57" t="e">
        <f>VLOOKUP(A131,Enforcements!$C$7:$E$18,3,0)</f>
        <v>#N/A</v>
      </c>
      <c r="AD131" s="58" t="str">
        <f t="shared" si="32"/>
        <v>0218-07</v>
      </c>
      <c r="AE131" s="87" t="str">
        <f t="shared" si="33"/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31" s="84" t="str">
        <f t="shared" si="34"/>
        <v>"C:\Program Files (x86)\AstroGrep\AstroGrep.exe" /spath="%USERPROFILE%\AppData\Local\Temp\OnboardLogs" /stypes="app*4012*20170108*"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218-07 --locoid 4012 --swversion DE.1.0.8.0 --startMP 204:232988 --initTime 2017-01-07T18:54:56 --startdatetime 2017-01-07T19:11:41 --delay 1 --endMP 204:1181 --enddatetime 2017-01-07T19:48:23 --enforcementcount 0 &gt;&gt;C:\Users\stu\Documents\GitHub\eaglep3-reporting\EC\2017-01-07-refined-times.txt</v>
      </c>
      <c r="AI131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{"issue":{"subject":"","project_id":79,"tracker_id":40,"status_id":1,"priority_id":2,"assigned_to_id":23,"start_date":"2017-01-07","description":"","custom_fields":[{"id":1,"name":"Subdivision","value":"EC"},{"id":4,"name":"Milepost","value":"0.1181"},{"id":17,"name":"Train ID","value":"218-07"},{"id":16,"name":"Locomotive ID","value":"4012"},{"id":130,"name":"Impact","value":""},{"id":150,"name":"Time of Event (Mountain Time)","value":"19:48:23"},{"id":151,"name":"Denver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8"/>
        <v>start /low /b %USERPROFILE%\Documents\GitHub\eaglep3\Utilities\DownloadLogsFromS3.py --loco 4012 --day 2017-01-07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621</v>
      </c>
      <c r="B132" s="7">
        <v>4042</v>
      </c>
      <c r="C132" s="22" t="s">
        <v>203</v>
      </c>
      <c r="D132" s="22" t="s">
        <v>225</v>
      </c>
      <c r="E132" s="13">
        <v>42742.767997685187</v>
      </c>
      <c r="F132" s="13">
        <v>42742.771493055552</v>
      </c>
      <c r="G132" s="7">
        <v>1</v>
      </c>
      <c r="H132" s="22" t="s">
        <v>676</v>
      </c>
      <c r="I132" s="13">
        <v>42742.796053240738</v>
      </c>
      <c r="J132" s="7">
        <v>0</v>
      </c>
      <c r="K132" s="105" t="str">
        <f t="shared" si="23"/>
        <v>4041/4042</v>
      </c>
      <c r="L132" s="22" t="str">
        <f>VLOOKUP(A132,'Trips&amp;Operators'!$C$1:$G$99999,5,FALSE)</f>
        <v>HILLS DUSTIN</v>
      </c>
      <c r="M132" s="6">
        <f t="shared" si="24"/>
        <v>2.4560185185691807E-2</v>
      </c>
      <c r="N132" s="7">
        <f t="shared" si="42"/>
        <v>35.366666667396203</v>
      </c>
      <c r="O132" s="7"/>
      <c r="P132" s="7"/>
      <c r="Q132" s="23"/>
      <c r="R132" s="23"/>
      <c r="S132" s="32">
        <f t="shared" si="40"/>
        <v>1</v>
      </c>
      <c r="T132" s="47" t="str">
        <f t="shared" si="25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17:25:55-700',mode:absolute,to:'2017-01-07 20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49" t="str">
        <f t="shared" si="27"/>
        <v>N</v>
      </c>
      <c r="X132" s="173">
        <f t="shared" si="41"/>
        <v>1</v>
      </c>
      <c r="Y132" s="64">
        <f t="shared" si="29"/>
        <v>4.5999999999999999E-2</v>
      </c>
      <c r="Z132" s="64">
        <f t="shared" si="30"/>
        <v>23.337</v>
      </c>
      <c r="AA132" s="64">
        <f t="shared" si="31"/>
        <v>23.291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 t="shared" si="32"/>
        <v>0219-07</v>
      </c>
      <c r="AE132" s="87" t="str">
        <f t="shared" si="3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32" s="84" t="str">
        <f t="shared" si="34"/>
        <v>"C:\Program Files (x86)\AstroGrep\AstroGrep.exe" /spath="%USERPROFILE%\AppData\Local\Temp\OnboardLogs" /stypes="app*4042*20170108*"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219-07 --locoid 4042 --swversion DE.1.0.8.0 --startMP 204:460 --initTime 2017-01-07T18:25:55 --startdatetime 2017-01-07T18:30:57 --delay 1 --endMP 204:233370 --enddatetime 2017-01-07T19:06:19 --enforcementcount 0 &gt;&gt;C:\Users\stu\Documents\GitHub\eaglep3-reporting\EC\2017-01-07-refined-times.txt</v>
      </c>
      <c r="AI132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{"issue":{"subject":"","project_id":79,"tracker_id":40,"status_id":1,"priority_id":2,"assigned_to_id":23,"start_date":"2017-01-07","description":"","custom_fields":[{"id":1,"name":"Subdivision","value":"EC"},{"id":4,"name":"Milepost","value":"23.337"},{"id":17,"name":"Train ID","value":"219-07"},{"id":16,"name":"Locomotive ID","value":"4042"},{"id":130,"name":"Impact","value":""},{"id":150,"name":"Time of Event (Mountain Time)","value":"19:06:19"},{"id":151,"name":"Denver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8"/>
        <v>start /low /b %USERPROFILE%\Documents\GitHub\eaglep3\Utilities\DownloadLogsFromS3.py --loco 4042 --day 2017-01-07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454</v>
      </c>
      <c r="B133" s="7">
        <v>4041</v>
      </c>
      <c r="C133" s="22" t="s">
        <v>203</v>
      </c>
      <c r="D133" s="22" t="s">
        <v>761</v>
      </c>
      <c r="E133" s="13">
        <v>42742.800879629627</v>
      </c>
      <c r="F133" s="13">
        <v>42742.810555555552</v>
      </c>
      <c r="G133" s="7">
        <v>2</v>
      </c>
      <c r="H133" s="22" t="s">
        <v>762</v>
      </c>
      <c r="I133" s="13">
        <v>42742.836423611108</v>
      </c>
      <c r="J133" s="7">
        <v>0</v>
      </c>
      <c r="K133" s="105" t="str">
        <f t="shared" si="23"/>
        <v>4041/4042</v>
      </c>
      <c r="L133" s="22" t="str">
        <f>VLOOKUP(A133,'Trips&amp;Operators'!$C$1:$G$99999,5,FALSE)</f>
        <v>HILLS DUSTIN</v>
      </c>
      <c r="M133" s="6">
        <f t="shared" si="24"/>
        <v>2.5868055556202307E-2</v>
      </c>
      <c r="N133" s="7">
        <f t="shared" si="42"/>
        <v>37.250000000931323</v>
      </c>
      <c r="O133" s="7"/>
      <c r="P133" s="7"/>
      <c r="Q133" s="23"/>
      <c r="R133" s="23"/>
      <c r="S133" s="32">
        <f t="shared" si="40"/>
        <v>1</v>
      </c>
      <c r="T133" s="47" t="str">
        <f t="shared" si="25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49" t="str">
        <f t="shared" si="27"/>
        <v>N</v>
      </c>
      <c r="X133" s="173">
        <f t="shared" si="41"/>
        <v>1</v>
      </c>
      <c r="Y133" s="64">
        <f t="shared" si="29"/>
        <v>23.3049</v>
      </c>
      <c r="Z133" s="64">
        <f t="shared" si="30"/>
        <v>9.4000000000000004E-3</v>
      </c>
      <c r="AA133" s="64">
        <f t="shared" si="31"/>
        <v>23.295500000000001</v>
      </c>
      <c r="AB133" s="61" t="str">
        <f>VLOOKUP(A133,Enforcements!$C$7:$K$18,8,0)</f>
        <v>Speed (6)</v>
      </c>
      <c r="AC133" s="57" t="str">
        <f>VLOOKUP(A133,Enforcements!$C$7:$E$18,3,0)</f>
        <v>PERMANENT SPEED RESTRICTION</v>
      </c>
      <c r="AD133" s="58" t="str">
        <f t="shared" si="32"/>
        <v>0220-07</v>
      </c>
      <c r="AE133" s="87" t="str">
        <f t="shared" si="3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33" s="84" t="str">
        <f t="shared" si="34"/>
        <v>"C:\Program Files (x86)\AstroGrep\AstroGrep.exe" /spath="%USERPROFILE%\AppData\Local\Temp\OnboardLogs" /stypes="app*4041*20170108*" /stext=" 03:.+((SYSTEM_STATE.+slice.+state.+changed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220-07 --locoid 4041 --swversion DE.1.0.8.0 --startMP 204:233049 --initTime 2017-01-07T19:13:16 --startdatetime 2017-01-07T19:27:12 --delay 2 --endMP 204:94 --enddatetime 2017-01-07T20:04:27 --enforcementcount 0 &gt;&gt;C:\Users\stu\Documents\GitHub\eaglep3-reporting\EC\2017-01-07-refined-times.txt</v>
      </c>
      <c r="AI133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{"issue":{"subject":"","project_id":79,"tracker_id":40,"status_id":1,"priority_id":2,"assigned_to_id":23,"start_date":"2017-01-07","description":"","custom_fields":[{"id":1,"name":"Subdivision","value":"EC"},{"id":4,"name":"Milepost","value":"0.0094"},{"id":17,"name":"Train ID","value":"220-07"},{"id":16,"name":"Locomotive ID","value":"4041"},{"id":130,"name":"Impact","value":""},{"id":150,"name":"Time of Event (Mountain Time)","value":"20:04:27"},{"id":151,"name":"Denver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8"/>
        <v>start /low /b %USERPROFILE%\Documents\GitHub\eaglep3\Utilities\DownloadLogsFromS3.py --loco 4041 --day 2017-01-07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627</v>
      </c>
      <c r="B134" s="7">
        <v>4046</v>
      </c>
      <c r="C134" s="22" t="s">
        <v>203</v>
      </c>
      <c r="D134" s="22" t="s">
        <v>293</v>
      </c>
      <c r="E134" s="13">
        <v>42742.786597222221</v>
      </c>
      <c r="F134" s="13">
        <v>42742.791828703703</v>
      </c>
      <c r="G134" s="7">
        <v>2</v>
      </c>
      <c r="H134" s="22" t="s">
        <v>398</v>
      </c>
      <c r="I134" s="13">
        <v>42742.818171296298</v>
      </c>
      <c r="J134" s="7">
        <v>0</v>
      </c>
      <c r="K134" s="105" t="str">
        <f t="shared" si="23"/>
        <v>4045/4046</v>
      </c>
      <c r="L134" s="22" t="str">
        <f>VLOOKUP(A134,'Trips&amp;Operators'!$C$1:$G$99999,5,FALSE)</f>
        <v>BROWN JACOB</v>
      </c>
      <c r="M134" s="6">
        <f t="shared" si="24"/>
        <v>2.6342592595028691E-2</v>
      </c>
      <c r="N134" s="7">
        <f t="shared" si="42"/>
        <v>37.933333336841315</v>
      </c>
      <c r="O134" s="7"/>
      <c r="P134" s="7"/>
      <c r="Q134" s="23"/>
      <c r="R134" s="23"/>
      <c r="S134" s="32">
        <f t="shared" si="40"/>
        <v>1</v>
      </c>
      <c r="T134" s="47" t="str">
        <f t="shared" si="25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17:52:42-700',mode:absolute,to:'2017-01-07 20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49" t="str">
        <f t="shared" si="27"/>
        <v>N</v>
      </c>
      <c r="X134" s="173">
        <f t="shared" si="41"/>
        <v>1</v>
      </c>
      <c r="Y134" s="64">
        <f t="shared" si="29"/>
        <v>4.4400000000000002E-2</v>
      </c>
      <c r="Z134" s="64">
        <f t="shared" si="30"/>
        <v>23.3293</v>
      </c>
      <c r="AA134" s="64">
        <f t="shared" si="31"/>
        <v>23.2849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 t="shared" si="32"/>
        <v>0221-07</v>
      </c>
      <c r="AE134" s="87" t="str">
        <f t="shared" si="3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34" s="84" t="str">
        <f t="shared" si="34"/>
        <v>"C:\Program Files (x86)\AstroGrep\AstroGrep.exe" /spath="%USERPROFILE%\AppData\Local\Temp\OnboardLogs" /stypes="app*4046*20170108*" /stext=" 02:.+((SYSTEM_STATE.+slice.+state.+changed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221-07 --locoid 4046 --swversion DE.1.0.8.0 --startMP 204:444 --initTime 2017-01-07T18:52:42 --startdatetime 2017-01-07T19:00:14 --delay 2 --endMP 204:233293 --enddatetime 2017-01-07T19:38:10 --enforcementcount 0 &gt;&gt;C:\Users\stu\Documents\GitHub\eaglep3-reporting\EC\2017-01-07-refined-times.txt</v>
      </c>
      <c r="AI134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ID","value":"221-07"},{"id":16,"name":"Locomotive ID","value":"4046"},{"id":130,"name":"Impact","value":""},{"id":150,"name":"Time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38"/>
        <v>start /low /b %USERPROFILE%\Documents\GitHub\eaglep3\Utilities\DownloadLogsFromS3.py --loco 4046 --day 2017-01-07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632</v>
      </c>
      <c r="B135" s="7">
        <v>4045</v>
      </c>
      <c r="C135" s="22" t="s">
        <v>203</v>
      </c>
      <c r="D135" s="22" t="s">
        <v>353</v>
      </c>
      <c r="E135" s="13">
        <v>42742.823252314818</v>
      </c>
      <c r="F135" s="13">
        <v>42742.830717592595</v>
      </c>
      <c r="G135" s="7">
        <v>1</v>
      </c>
      <c r="H135" s="22" t="s">
        <v>291</v>
      </c>
      <c r="I135" s="13">
        <v>42742.857141203705</v>
      </c>
      <c r="J135" s="7">
        <v>0</v>
      </c>
      <c r="K135" s="105" t="str">
        <f t="shared" si="23"/>
        <v>4045/4046</v>
      </c>
      <c r="L135" s="22" t="str">
        <f>VLOOKUP(A135,'Trips&amp;Operators'!$C$1:$G$99999,5,FALSE)</f>
        <v>BROWN JACOB</v>
      </c>
      <c r="M135" s="6">
        <f t="shared" si="24"/>
        <v>2.6423611110658385E-2</v>
      </c>
      <c r="N135" s="7">
        <f t="shared" si="42"/>
        <v>38.049999999348074</v>
      </c>
      <c r="O135" s="7"/>
      <c r="P135" s="7"/>
      <c r="Q135" s="23"/>
      <c r="R135" s="23"/>
      <c r="S135" s="32">
        <f t="shared" si="40"/>
        <v>1</v>
      </c>
      <c r="T135" s="47" t="str">
        <f t="shared" si="25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18:45:29-700',mode:absolute,to:'2017-01-07 21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49" t="str">
        <f t="shared" si="27"/>
        <v>N</v>
      </c>
      <c r="X135" s="173">
        <f t="shared" si="41"/>
        <v>1</v>
      </c>
      <c r="Y135" s="64">
        <f t="shared" si="29"/>
        <v>23.2972</v>
      </c>
      <c r="Z135" s="64">
        <f t="shared" si="30"/>
        <v>1.5599999999999999E-2</v>
      </c>
      <c r="AA135" s="64">
        <f t="shared" si="31"/>
        <v>23.281600000000001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 t="shared" si="32"/>
        <v>0222-07</v>
      </c>
      <c r="AE135" s="87" t="str">
        <f t="shared" si="3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35" s="84" t="str">
        <f t="shared" si="34"/>
        <v>"C:\Program Files (x86)\AstroGrep\AstroGrep.exe" /spath="%USERPROFILE%\AppData\Local\Temp\OnboardLogs" /stypes="app*4045*20170108*"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222-07 --locoid 4045 --swversion DE.1.0.8.0 --startMP 204:232972 --initTime 2017-01-07T19:45:29 --startdatetime 2017-01-07T19:56:14 --delay 1 --endMP 204:156 --enddatetime 2017-01-07T20:34:17 --enforcementcount 0 &gt;&gt;C:\Users\stu\Documents\GitHub\eaglep3-reporting\EC\2017-01-07-refined-times.txt</v>
      </c>
      <c r="AI135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ID","value":"222-07"},{"id":16,"name":"Locomotive ID","value":"4045"},{"id":130,"name":"Impact","value":""},{"id":150,"name":"Time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8"/>
        <v>start /low /b %USERPROFILE%\Documents\GitHub\eaglep3\Utilities\DownloadLogsFromS3.py --loco 4045 --day 2017-01-07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630</v>
      </c>
      <c r="B136" s="7">
        <v>4003</v>
      </c>
      <c r="C136" s="22" t="s">
        <v>203</v>
      </c>
      <c r="D136" s="22" t="s">
        <v>257</v>
      </c>
      <c r="E136" s="13">
        <v>42742.807696759257</v>
      </c>
      <c r="F136" s="13">
        <v>42742.812719907408</v>
      </c>
      <c r="G136" s="7">
        <v>1</v>
      </c>
      <c r="H136" s="22" t="s">
        <v>347</v>
      </c>
      <c r="I136" s="13">
        <v>42742.837604166663</v>
      </c>
      <c r="J136" s="7">
        <v>0</v>
      </c>
      <c r="K136" s="105" t="str">
        <f t="shared" si="23"/>
        <v>4003/4004</v>
      </c>
      <c r="L136" s="22" t="str">
        <f>VLOOKUP(A136,'Trips&amp;Operators'!$C$1:$G$99999,5,FALSE)</f>
        <v>SMITH MICHAEL</v>
      </c>
      <c r="M136" s="6">
        <f t="shared" si="24"/>
        <v>2.488425925548654E-2</v>
      </c>
      <c r="N136" s="7">
        <f t="shared" si="42"/>
        <v>35.833333327900618</v>
      </c>
      <c r="O136" s="7"/>
      <c r="P136" s="7"/>
      <c r="Q136" s="23"/>
      <c r="R136" s="23"/>
      <c r="S136" s="32">
        <f t="shared" si="40"/>
        <v>1</v>
      </c>
      <c r="T136" s="47" t="str">
        <f t="shared" si="25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18:23:05-700',mode:absolute,to:'2017-01-07 21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49" t="str">
        <f t="shared" si="27"/>
        <v>N</v>
      </c>
      <c r="X136" s="173">
        <f t="shared" si="41"/>
        <v>1</v>
      </c>
      <c r="Y136" s="64">
        <f t="shared" si="29"/>
        <v>4.4900000000000002E-2</v>
      </c>
      <c r="Z136" s="64">
        <f t="shared" si="30"/>
        <v>23.328399999999998</v>
      </c>
      <c r="AA136" s="64">
        <f t="shared" si="31"/>
        <v>23.2835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 t="shared" si="32"/>
        <v>0223-07</v>
      </c>
      <c r="AE136" s="87" t="str">
        <f t="shared" si="3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36" s="84" t="str">
        <f t="shared" si="34"/>
        <v>"C:\Program Files (x86)\AstroGrep\AstroGrep.exe" /spath="%USERPROFILE%\AppData\Local\Temp\OnboardLogs" /stypes="app*4003*20170108*"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223-07 --locoid 4003 --swversion DE.1.0.8.0 --startMP 204:449 --initTime 2017-01-07T19:23:05 --startdatetime 2017-01-07T19:30:19 --delay 1 --endMP 204:233284 --enddatetime 2017-01-07T20:06:09 --enforcementcount 0 &gt;&gt;C:\Users\stu\Documents\GitHub\eaglep3-reporting\EC\2017-01-07-refined-times.txt</v>
      </c>
      <c r="AI136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{"issue":{"subject":"","project_id":79,"tracker_id":40,"status_id":1,"priority_id":2,"assigned_to_id":23,"start_date":"2017-01-07","description":"","custom_fields":[{"id":1,"name":"Subdivision","value":"EC"},{"id":4,"name":"Milepost","value":"23.3284"},{"id":17,"name":"Train ID","value":"223-07"},{"id":16,"name":"Locomotive ID","value":"4003"},{"id":130,"name":"Impact","value":""},{"id":150,"name":"Time of Event (Mountain Time)","value":"20:06:09"},{"id":151,"name":"Denver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8"/>
        <v>start /low /b %USERPROFILE%\Documents\GitHub\eaglep3\Utilities\DownloadLogsFromS3.py --loco 4003 --day 2017-01-07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634</v>
      </c>
      <c r="B137" s="7">
        <v>4004</v>
      </c>
      <c r="C137" s="22" t="s">
        <v>203</v>
      </c>
      <c r="D137" s="22" t="s">
        <v>254</v>
      </c>
      <c r="E137" s="13">
        <v>42742.843530092592</v>
      </c>
      <c r="F137" s="13">
        <v>42742.851631944446</v>
      </c>
      <c r="G137" s="7">
        <v>1</v>
      </c>
      <c r="H137" s="22" t="s">
        <v>763</v>
      </c>
      <c r="I137" s="13">
        <v>42742.87840277778</v>
      </c>
      <c r="J137" s="7">
        <v>0</v>
      </c>
      <c r="K137" s="105" t="str">
        <f t="shared" si="23"/>
        <v>4003/4004</v>
      </c>
      <c r="L137" s="22" t="str">
        <f>VLOOKUP(A137,'Trips&amp;Operators'!$C$1:$G$99999,5,FALSE)</f>
        <v>SMITH MICHAEL</v>
      </c>
      <c r="M137" s="6">
        <f t="shared" si="24"/>
        <v>2.6770833334012423E-2</v>
      </c>
      <c r="N137" s="7">
        <f t="shared" si="42"/>
        <v>38.550000000977889</v>
      </c>
      <c r="O137" s="7"/>
      <c r="P137" s="7"/>
      <c r="Q137" s="23"/>
      <c r="R137" s="23"/>
      <c r="S137" s="32">
        <f t="shared" si="40"/>
        <v>1</v>
      </c>
      <c r="T137" s="47" t="str">
        <f t="shared" si="25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19:14:41-700',mode:absolute,to:'2017-01-07 22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49" t="str">
        <f t="shared" si="27"/>
        <v>N</v>
      </c>
      <c r="X137" s="173">
        <f t="shared" si="41"/>
        <v>1</v>
      </c>
      <c r="Y137" s="64">
        <f t="shared" si="29"/>
        <v>23.2986</v>
      </c>
      <c r="Z137" s="64">
        <f t="shared" si="30"/>
        <v>1.67E-2</v>
      </c>
      <c r="AA137" s="64">
        <f t="shared" si="31"/>
        <v>23.2819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 t="shared" si="32"/>
        <v>0224-07</v>
      </c>
      <c r="AE137" s="87" t="str">
        <f t="shared" si="3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37" s="84" t="str">
        <f t="shared" si="34"/>
        <v>"C:\Program Files (x86)\AstroGrep\AstroGrep.exe" /spath="%USERPROFILE%\AppData\Local\Temp\OnboardLogs" /stypes="app*4004*20170108*" /stext=" 04:.+((SYSTEM_STATE.+slice.+state.+changed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224-07 --locoid 4004 --swversion DE.1.0.8.0 --startMP 204:232986 --initTime 2017-01-07T20:14:41 --startdatetime 2017-01-07T20:26:21 --delay 1 --endMP 204:167 --enddatetime 2017-01-07T21:04:54 --enforcementcount 0 &gt;&gt;C:\Users\stu\Documents\GitHub\eaglep3-reporting\EC\2017-01-07-refined-times.txt</v>
      </c>
      <c r="AI137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{"issue":{"subject":"","project_id":79,"tracker_id":40,"status_id":1,"priority_id":2,"assigned_to_id":23,"start_date":"2017-01-07","description":"","custom_fields":[{"id":1,"name":"Subdivision","value":"EC"},{"id":4,"name":"Milepost","value":"0.0167"},{"id":17,"name":"Train ID","value":"224-07"},{"id":16,"name":"Locomotive ID","value":"4004"},{"id":130,"name":"Impact","value":""},{"id":150,"name":"Time of Event (Mountain Time)","value":"21:04:54"},{"id":151,"name":"Denver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8"/>
        <v>start /low /b %USERPROFILE%\Documents\GitHub\eaglep3\Utilities\DownloadLogsFromS3.py --loco 4004 --day 2017-01-07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456</v>
      </c>
      <c r="B138" s="7">
        <v>4016</v>
      </c>
      <c r="C138" s="22" t="s">
        <v>203</v>
      </c>
      <c r="D138" s="22" t="s">
        <v>243</v>
      </c>
      <c r="E138" s="13">
        <v>42742.830613425926</v>
      </c>
      <c r="F138" s="13">
        <v>42742.83357638889</v>
      </c>
      <c r="G138" s="7">
        <v>1</v>
      </c>
      <c r="H138" s="22" t="s">
        <v>660</v>
      </c>
      <c r="I138" s="13">
        <v>42742.857673611114</v>
      </c>
      <c r="J138" s="7">
        <v>0</v>
      </c>
      <c r="K138" s="105" t="str">
        <f t="shared" si="23"/>
        <v>4015/4016</v>
      </c>
      <c r="L138" s="22" t="str">
        <f>VLOOKUP(A138,'Trips&amp;Operators'!$C$1:$G$99999,5,FALSE)</f>
        <v>STAMBAUGH JAMES</v>
      </c>
      <c r="M138" s="6">
        <f t="shared" si="24"/>
        <v>2.4097222223645076E-2</v>
      </c>
      <c r="N138" s="7">
        <f t="shared" si="42"/>
        <v>34.70000000204891</v>
      </c>
      <c r="O138" s="7"/>
      <c r="P138" s="7"/>
      <c r="Q138" s="23"/>
      <c r="R138" s="23"/>
      <c r="S138" s="32">
        <f t="shared" si="40"/>
        <v>1</v>
      </c>
      <c r="T138" s="47" t="str">
        <f t="shared" si="25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18:56:05-700',mode:absolute,to:'2017-01-07 21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49" t="str">
        <f t="shared" si="27"/>
        <v>N</v>
      </c>
      <c r="X138" s="173">
        <f t="shared" si="41"/>
        <v>1</v>
      </c>
      <c r="Y138" s="64">
        <f t="shared" si="29"/>
        <v>4.6399999999999997E-2</v>
      </c>
      <c r="Z138" s="64">
        <f t="shared" si="30"/>
        <v>23.3308</v>
      </c>
      <c r="AA138" s="64">
        <f t="shared" si="31"/>
        <v>23.284400000000002</v>
      </c>
      <c r="AB138" s="61" t="str">
        <f>VLOOKUP(A138,Enforcements!$C$7:$K$18,8,0)</f>
        <v>Speed (6)</v>
      </c>
      <c r="AC138" s="57" t="str">
        <f>VLOOKUP(A138,Enforcements!$C$7:$E$18,3,0)</f>
        <v>PERMANENT SPEED RESTRICTION</v>
      </c>
      <c r="AD138" s="58" t="str">
        <f t="shared" si="32"/>
        <v>0225-07</v>
      </c>
      <c r="AE138" s="87" t="str">
        <f t="shared" si="3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38" s="84" t="str">
        <f t="shared" si="34"/>
        <v>"C:\Program Files (x86)\AstroGrep\AstroGrep.exe" /spath="%USERPROFILE%\AppData\Local\Temp\OnboardLogs" /stypes="app*4016*20170108*" /stext=" 03:.+((SYSTEM_STATE.+slice.+state.+changed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225-07 --locoid 4016 --swversion DE.1.0.8.0 --startMP 204:464 --initTime 2017-01-07T19:56:05 --startdatetime 2017-01-07T20:00:21 --delay 1 --endMP 204:233308 --enddatetime 2017-01-07T20:35:03 --enforcementcount 0 &gt;&gt;C:\Users\stu\Documents\GitHub\eaglep3-reporting\EC\2017-01-07-refined-times.txt</v>
      </c>
      <c r="AI138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ID","value":"225-07"},{"id":16,"name":"Locomotive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8"/>
        <v>start /low /b %USERPROFILE%\Documents\GitHub\eaglep3\Utilities\DownloadLogsFromS3.py --loco 4016 --day 2017-01-07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637</v>
      </c>
      <c r="B139" s="7">
        <v>4015</v>
      </c>
      <c r="C139" s="22" t="s">
        <v>203</v>
      </c>
      <c r="D139" s="22" t="s">
        <v>764</v>
      </c>
      <c r="E139" s="13">
        <v>42742.860520833332</v>
      </c>
      <c r="F139" s="13">
        <v>42742.872650462959</v>
      </c>
      <c r="G139" s="7">
        <v>1</v>
      </c>
      <c r="H139" s="22" t="s">
        <v>683</v>
      </c>
      <c r="I139" s="13">
        <v>42742.898368055554</v>
      </c>
      <c r="J139" s="7">
        <v>0</v>
      </c>
      <c r="K139" s="105" t="str">
        <f t="shared" si="23"/>
        <v>4015/4016</v>
      </c>
      <c r="L139" s="22" t="str">
        <f>VLOOKUP(A139,'Trips&amp;Operators'!$C$1:$G$99999,5,FALSE)</f>
        <v>STAMBAUGH JAMES</v>
      </c>
      <c r="M139" s="6">
        <f t="shared" si="24"/>
        <v>2.5717592594446614E-2</v>
      </c>
      <c r="N139" s="7">
        <f t="shared" si="42"/>
        <v>37.033333336003125</v>
      </c>
      <c r="O139" s="7"/>
      <c r="P139" s="7"/>
      <c r="Q139" s="23"/>
      <c r="R139" s="23"/>
      <c r="S139" s="32">
        <f t="shared" si="40"/>
        <v>1</v>
      </c>
      <c r="T139" s="47" t="str">
        <f t="shared" si="25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19:39:09-700',mode:absolute,to:'2017-01-07 22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9" s="49" t="str">
        <f t="shared" si="27"/>
        <v>N</v>
      </c>
      <c r="X139" s="173">
        <f t="shared" si="41"/>
        <v>1</v>
      </c>
      <c r="Y139" s="64">
        <f t="shared" si="29"/>
        <v>23.3002</v>
      </c>
      <c r="Z139" s="64">
        <f t="shared" si="30"/>
        <v>1.61E-2</v>
      </c>
      <c r="AA139" s="64">
        <f t="shared" si="31"/>
        <v>23.284099999999999</v>
      </c>
      <c r="AB139" s="61" t="e">
        <f>VLOOKUP(A139,Enforcements!$C$7:$K$18,8,0)</f>
        <v>#N/A</v>
      </c>
      <c r="AC139" s="57" t="e">
        <f>VLOOKUP(A139,Enforcements!$C$7:$E$18,3,0)</f>
        <v>#N/A</v>
      </c>
      <c r="AD139" s="58" t="str">
        <f t="shared" si="32"/>
        <v>0226-07</v>
      </c>
      <c r="AE139" s="87" t="str">
        <f t="shared" si="3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39" s="84" t="str">
        <f t="shared" si="34"/>
        <v>"C:\Program Files (x86)\AstroGrep\AstroGrep.exe" /spath="%USERPROFILE%\AppData\Local\Temp\OnboardLogs" /stypes="app*4015*20170108*"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226-07 --locoid 4015 --swversion DE.1.0.8.0 --startMP 204:233002 --initTime 2017-01-07T20:39:09 --startdatetime 2017-01-07T20:56:37 --delay 1 --endMP 204:161 --enddatetime 2017-01-07T21:33:39 --enforcementcount 0 &gt;&gt;C:\Users\stu\Documents\GitHub\eaglep3-reporting\EC\2017-01-07-refined-times.txt</v>
      </c>
      <c r="AI139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ID","value":"226-07"},{"id":16,"name":"Locomotive ID","value":"4015"},{"id":130,"name":"Impact","value":""},{"id":150,"name":"Time of Event (Mountain Time)","value":"21:33:39"},{"id":151,"name":"Denver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38"/>
        <v>start /low /b %USERPROFILE%\Documents\GitHub\eaglep3\Utilities\DownloadLogsFromS3.py --loco 4015 --day 2017-01-07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457</v>
      </c>
      <c r="B140" s="7">
        <v>4042</v>
      </c>
      <c r="C140" s="22" t="s">
        <v>203</v>
      </c>
      <c r="D140" s="22" t="s">
        <v>418</v>
      </c>
      <c r="E140" s="13">
        <v>42742.838541666664</v>
      </c>
      <c r="F140" s="13">
        <v>42742.854490740741</v>
      </c>
      <c r="G140" s="7">
        <v>1</v>
      </c>
      <c r="H140" s="22" t="s">
        <v>765</v>
      </c>
      <c r="I140" s="13">
        <v>42742.878842592596</v>
      </c>
      <c r="J140" s="7">
        <v>0</v>
      </c>
      <c r="K140" s="105" t="str">
        <f t="shared" si="23"/>
        <v>4041/4042</v>
      </c>
      <c r="L140" s="22" t="str">
        <f>VLOOKUP(A140,'Trips&amp;Operators'!$C$1:$G$99999,5,FALSE)</f>
        <v>HILLS DUSTIN</v>
      </c>
      <c r="M140" s="6">
        <f t="shared" si="24"/>
        <v>2.4351851854589768E-2</v>
      </c>
      <c r="N140" s="7">
        <f t="shared" si="42"/>
        <v>35.066666670609266</v>
      </c>
      <c r="O140" s="7"/>
      <c r="P140" s="7"/>
      <c r="Q140" s="23"/>
      <c r="R140" s="23"/>
      <c r="S140" s="32">
        <f t="shared" si="40"/>
        <v>1</v>
      </c>
      <c r="T140" s="47" t="str">
        <f t="shared" si="25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6"/>
        <v>https://search-rtdc-monitor-bjffxe2xuh6vdkpspy63sjmuny.us-east-1.es.amazonaws.com/_plugin/kibana/#/discover/Steve-Slow-Train-Analysis-(2080s-and-2083s)?_g=(refreshInterval:(display:Off,section:0,value:0),time:(from:'2017-01-07 19:07:30-700',mode:absolute,to:'2017-01-07 22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49" t="str">
        <f t="shared" si="27"/>
        <v>N</v>
      </c>
      <c r="X140" s="173">
        <f t="shared" si="41"/>
        <v>1</v>
      </c>
      <c r="Y140" s="64">
        <f t="shared" si="29"/>
        <v>4.0399999999999998E-2</v>
      </c>
      <c r="Z140" s="64">
        <f t="shared" si="30"/>
        <v>23.333600000000001</v>
      </c>
      <c r="AA140" s="64">
        <f t="shared" si="31"/>
        <v>23.293199999999999</v>
      </c>
      <c r="AB140" s="61" t="e">
        <f>VLOOKUP(A140,Enforcements!$C$7:$K$18,8,0)</f>
        <v>#N/A</v>
      </c>
      <c r="AC140" s="57" t="e">
        <f>VLOOKUP(A140,Enforcements!$C$7:$E$18,3,0)</f>
        <v>#N/A</v>
      </c>
      <c r="AD140" s="58" t="str">
        <f t="shared" si="32"/>
        <v>0227-07</v>
      </c>
      <c r="AE140" s="87" t="str">
        <f t="shared" si="3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40" s="84" t="str">
        <f t="shared" si="34"/>
        <v>"C:\Program Files (x86)\AstroGrep\AstroGrep.exe" /spath="%USERPROFILE%\AppData\Local\Temp\OnboardLogs" /stypes="app*4042*20170108*"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227-07 --locoid 4042 --swversion DE.1.0.8.0 --startMP 204:404 --initTime 2017-01-07T20:07:30 --startdatetime 2017-01-07T20:30:28 --delay 1 --endMP 204:233336 --enddatetime 2017-01-07T21:05:32 --enforcementcount 0 &gt;&gt;C:\Users\stu\Documents\GitHub\eaglep3-reporting\EC\2017-01-07-refined-times.txt</v>
      </c>
      <c r="AI140" s="115" t="str">
        <f t="shared" si="37"/>
        <v>echo {"issue":{"subject":"","project_id":79,"tracker_id":40,"status_id":1,"priority_id":2,"assigned_to_id":23,"start_date":"2017-01-07","description":"","custom_fields":[{"id":1,"name":"Subdivision","value":"EC"},{"id":4,"name":"Milepost","value":"23.3336"},{"id":17,"name":"Train ID","value":"227-07"},{"id":16,"name":"Locomotive ID","value":"4042"},{"id":130,"name":"Impact","value":""},{"id":150,"name":"Time of Event (Mountain Time)","value":"21:05:32"},{"id":151,"name":"Denver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38"/>
        <v>start /low /b %USERPROFILE%\Documents\GitHub\eaglep3\Utilities\DownloadLogsFromS3.py --loco 4042 --day 2017-01-07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639</v>
      </c>
      <c r="B141" s="7">
        <v>4041</v>
      </c>
      <c r="C141" s="22" t="s">
        <v>203</v>
      </c>
      <c r="D141" s="22" t="s">
        <v>766</v>
      </c>
      <c r="E141" s="13">
        <v>42742.881504629629</v>
      </c>
      <c r="F141" s="13">
        <v>42742.893368055556</v>
      </c>
      <c r="G141" s="7">
        <v>1</v>
      </c>
      <c r="H141" s="22" t="s">
        <v>767</v>
      </c>
      <c r="I141" s="13">
        <v>42742.919293981482</v>
      </c>
      <c r="J141" s="7">
        <v>0</v>
      </c>
      <c r="K141" s="105" t="str">
        <f t="shared" ref="K141:K204" si="43">IF(ISEVEN(B141),(B141-1)&amp;"/"&amp;B141,B141&amp;"/"&amp;(B141+1))</f>
        <v>4041/4042</v>
      </c>
      <c r="L141" s="22" t="str">
        <f>VLOOKUP(A141,'Trips&amp;Operators'!$C$1:$G$99999,5,FALSE)</f>
        <v>HILLS DUSTIN</v>
      </c>
      <c r="M141" s="6">
        <f t="shared" ref="M141:M204" si="44">I141-F141</f>
        <v>2.5925925925548654E-2</v>
      </c>
      <c r="N141" s="7">
        <f t="shared" si="42"/>
        <v>37.333333332790062</v>
      </c>
      <c r="O141" s="7"/>
      <c r="P141" s="7"/>
      <c r="Q141" s="23"/>
      <c r="R141" s="23"/>
      <c r="S141" s="32">
        <f t="shared" si="40"/>
        <v>1</v>
      </c>
      <c r="T141" s="47" t="str">
        <f t="shared" ref="T141:T204" si="45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https://search-rtdc-monitor-bjffxe2xuh6vdkpspy63sjmuny.us-east-1.es.amazonaws.com/_plugin/kibana/#/discover/Steve-Slow-Train-Analysis-(2080s-and-2083s)?_g=(refreshInterval:(display:Off,section:0,value:0),time:(from:'2017-01-07 20:09:22-700',mode:absolute,to:'2017-01-07 23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49" t="str">
        <f t="shared" ref="W141:W204" si="47">IF(AA141&lt;IF(AG141="EC",23,5.65),"Y","N")</f>
        <v>N</v>
      </c>
      <c r="X141" s="173">
        <f t="shared" ref="X141:X151" si="48">VALUE(LEFT(AD141,4))-VALUE(LEFT(AD140,4))</f>
        <v>1</v>
      </c>
      <c r="Y141" s="64">
        <f t="shared" ref="Y141:Y204" si="49">RIGHT(D141,LEN(D141)-4)/10000</f>
        <v>23.302499999999998</v>
      </c>
      <c r="Z141" s="64">
        <f t="shared" ref="Z141:Z204" si="50">RIGHT(H141,LEN(H141)-4)/10000</f>
        <v>9.5999999999999992E-3</v>
      </c>
      <c r="AA141" s="64">
        <f t="shared" ref="AA141:AA204" si="51">ABS(Z141-Y141)</f>
        <v>23.292899999999999</v>
      </c>
      <c r="AB141" s="61" t="e">
        <f>VLOOKUP(A141,Enforcements!$C$7:$K$18,8,0)</f>
        <v>#N/A</v>
      </c>
      <c r="AC141" s="57" t="e">
        <f>VLOOKUP(A141,Enforcements!$C$7:$E$18,3,0)</f>
        <v>#N/A</v>
      </c>
      <c r="AD141" s="58" t="str">
        <f t="shared" ref="AD141:AD204" si="52">IF(LEN(A141)=6,"0"&amp;A141,A141)</f>
        <v>0228-07</v>
      </c>
      <c r="AE141" s="87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41" s="84" t="str">
        <f t="shared" ref="AF141:AF204" si="5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/stypes="app*4041*20170108*" /stext=" 05:.+((SYSTEM_STATE.+slice.+state.+changed )|(ment ac)|(multiple cpu faults)|(system.+state.+changed )|(\[timeout)|(PRM\|1\|D)|(kpr)|(kdp)|(\|lc)|(penalty))" /e /r /s</v>
      </c>
      <c r="AG141" s="1" t="str">
        <f t="shared" ref="AG141:AG204" si="55">IFERROR(IF(VALUE(LEFT(AD141,2))&lt;=2,"EC",IF(OR(VALUE(LEFT(AD141,2))=8,VALUE(LEFT(AD141,2))=18),"NW","Other")),"Other")</f>
        <v>EC</v>
      </c>
      <c r="AH141" s="88" t="str">
        <f t="shared" ref="AH141:AH201" si="5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228-07 --locoid 4041 --swversion DE.1.0.8.0 --startMP 204:233025 --initTime 2017-01-07T21:09:22 --startdatetime 2017-01-07T21:26:27 --delay 1 --endMP 204:96 --enddatetime 2017-01-07T22:03:47 --enforcementcount 0 &gt;&gt;C:\Users\stu\Documents\GitHub\eaglep3-reporting\EC\2017-01-07-refined-times.txt</v>
      </c>
      <c r="AI141" s="115" t="str">
        <f t="shared" ref="AI141:AI201" si="5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{"issue":{"subject":"","project_id":79,"tracker_id":40,"status_id":1,"priority_id":2,"assigned_to_id":23,"start_date":"2017-01-07","description":"","custom_fields":[{"id":1,"name":"Subdivision","value":"EC"},{"id":4,"name":"Milepost","value":"0.0096"},{"id":17,"name":"Train ID","value":"228-07"},{"id":16,"name":"Locomotive ID","value":"4041"},{"id":130,"name":"Impact","value":""},{"id":150,"name":"Time of Event (Mountain Time)","value":"22:03:47"},{"id":151,"name":"Denver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1" si="58">"start /low /b "&amp;dls3logs&amp;" --loco "&amp;B141&amp;" --day "&amp;TEXT(F141,"YYYY-MM-DD")</f>
        <v>start /low /b %USERPROFILE%\Documents\GitHub\eaglep3\Utilities\DownloadLogsFromS3.py --loco 4041 --day 2017-01-07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638</v>
      </c>
      <c r="B142" s="7">
        <v>4046</v>
      </c>
      <c r="C142" s="22" t="s">
        <v>203</v>
      </c>
      <c r="D142" s="22" t="s">
        <v>318</v>
      </c>
      <c r="E142" s="13">
        <v>42742.868425925924</v>
      </c>
      <c r="F142" s="13">
        <v>42742.875231481485</v>
      </c>
      <c r="G142" s="7">
        <v>1</v>
      </c>
      <c r="H142" s="22" t="s">
        <v>768</v>
      </c>
      <c r="I142" s="13">
        <v>42742.900150462963</v>
      </c>
      <c r="J142" s="7">
        <v>0</v>
      </c>
      <c r="K142" s="105" t="str">
        <f t="shared" si="43"/>
        <v>4045/4046</v>
      </c>
      <c r="L142" s="22" t="str">
        <f>VLOOKUP(A142,'Trips&amp;Operators'!$C$1:$G$99999,5,FALSE)</f>
        <v>BROWN JACOB</v>
      </c>
      <c r="M142" s="6">
        <f t="shared" si="44"/>
        <v>2.491898147854954E-2</v>
      </c>
      <c r="N142" s="7">
        <f t="shared" si="42"/>
        <v>35.883333329111338</v>
      </c>
      <c r="O142" s="7"/>
      <c r="P142" s="7"/>
      <c r="Q142" s="23"/>
      <c r="R142" s="23"/>
      <c r="S142" s="32">
        <f t="shared" si="40"/>
        <v>1</v>
      </c>
      <c r="T142" s="47" t="str">
        <f t="shared" si="45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19:50:32-700',mode:absolute,to:'2017-01-07 22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49" t="str">
        <f t="shared" si="47"/>
        <v>N</v>
      </c>
      <c r="X142" s="173">
        <f t="shared" si="48"/>
        <v>1</v>
      </c>
      <c r="Y142" s="64">
        <f t="shared" si="49"/>
        <v>4.58E-2</v>
      </c>
      <c r="Z142" s="64">
        <f t="shared" si="50"/>
        <v>23.330200000000001</v>
      </c>
      <c r="AA142" s="64">
        <f t="shared" si="51"/>
        <v>23.284400000000002</v>
      </c>
      <c r="AB142" s="61" t="e">
        <f>VLOOKUP(A142,Enforcements!$C$7:$K$18,8,0)</f>
        <v>#N/A</v>
      </c>
      <c r="AC142" s="57" t="e">
        <f>VLOOKUP(A142,Enforcements!$C$7:$E$18,3,0)</f>
        <v>#N/A</v>
      </c>
      <c r="AD142" s="58" t="str">
        <f t="shared" si="52"/>
        <v>0229-07</v>
      </c>
      <c r="AE142" s="87" t="str">
        <f t="shared" si="5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42" s="84" t="str">
        <f t="shared" si="54"/>
        <v>"C:\Program Files (x86)\AstroGrep\AstroGrep.exe" /spath="%USERPROFILE%\AppData\Local\Temp\OnboardLogs" /stypes="app*4046*20170108*" /stext=" 04:.+((SYSTEM_STATE.+slice.+state.+changed )|(ment ac)|(multiple cpu faults)|(system.+state.+changed )|(\[timeout)|(PRM\|1\|D)|(kpr)|(kdp)|(\|lc)|(penalty))" /e /r /s</v>
      </c>
      <c r="AG142" s="1" t="str">
        <f t="shared" si="55"/>
        <v>EC</v>
      </c>
      <c r="AH142" s="88" t="str">
        <f t="shared" si="56"/>
        <v>"%USERPROFILE%\Documents\GitHub\eaglep3\Utilities\RefineRTDCRunTimes.py" --tripid 229-07 --locoid 4046 --swversion DE.1.0.8.0 --startMP 204:458 --initTime 2017-01-07T20:50:32 --startdatetime 2017-01-07T21:00:20 --delay 1 --endMP 204:233302 --enddatetime 2017-01-07T21:36:13 --enforcementcount 0 &gt;&gt;C:\Users\stu\Documents\GitHub\eaglep3-reporting\EC\2017-01-07-refined-times.txt</v>
      </c>
      <c r="AI142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{"issue":{"subject":"","project_id":79,"tracker_id":40,"status_id":1,"priority_id":2,"assigned_to_id":23,"start_date":"2017-01-07","description":"","custom_fields":[{"id":1,"name":"Subdivision","value":"EC"},{"id":4,"name":"Milepost","value":"23.3302"},{"id":17,"name":"Train ID","value":"229-07"},{"id":16,"name":"Locomotive ID","value":"4046"},{"id":130,"name":"Impact","value":""},{"id":150,"name":"Time of Event (Mountain Time)","value":"21:36:13"},{"id":151,"name":"Denver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8"/>
        <v>start /low /b %USERPROFILE%\Documents\GitHub\eaglep3\Utilities\DownloadLogsFromS3.py --loco 4046 --day 2017-01-07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644</v>
      </c>
      <c r="B143" s="7">
        <v>4045</v>
      </c>
      <c r="C143" s="22" t="s">
        <v>203</v>
      </c>
      <c r="D143" s="22" t="s">
        <v>692</v>
      </c>
      <c r="E143" s="13">
        <v>42742.906238425923</v>
      </c>
      <c r="F143" s="13">
        <v>42742.914074074077</v>
      </c>
      <c r="G143" s="7">
        <v>1</v>
      </c>
      <c r="H143" s="22" t="s">
        <v>681</v>
      </c>
      <c r="I143" s="13">
        <v>42742.941064814811</v>
      </c>
      <c r="J143" s="7">
        <v>0</v>
      </c>
      <c r="K143" s="105" t="str">
        <f t="shared" si="43"/>
        <v>4045/4046</v>
      </c>
      <c r="L143" s="22" t="str">
        <f>VLOOKUP(A143,'Trips&amp;Operators'!$C$1:$G$99999,5,FALSE)</f>
        <v>BROWN JACOB</v>
      </c>
      <c r="M143" s="6">
        <f t="shared" si="44"/>
        <v>2.6990740734618157E-2</v>
      </c>
      <c r="N143" s="7">
        <f t="shared" ref="N143:N152" si="59">24*60*SUM($M143:$M143)</f>
        <v>38.866666657850146</v>
      </c>
      <c r="O143" s="7"/>
      <c r="P143" s="7"/>
      <c r="Q143" s="23"/>
      <c r="R143" s="23"/>
      <c r="S143" s="32">
        <f t="shared" ref="S143:S206" si="60">SUM(U143:U143)/IF(AG143="EC",12,1)</f>
        <v>1</v>
      </c>
      <c r="T143" s="47" t="str">
        <f t="shared" si="45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20:44:59-700',mode:absolute,to:'2017-01-07 23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49" t="str">
        <f t="shared" si="47"/>
        <v>N</v>
      </c>
      <c r="X143" s="173">
        <f t="shared" si="48"/>
        <v>1</v>
      </c>
      <c r="Y143" s="64">
        <f t="shared" si="49"/>
        <v>23.298500000000001</v>
      </c>
      <c r="Z143" s="64">
        <f t="shared" si="50"/>
        <v>1.38E-2</v>
      </c>
      <c r="AA143" s="64">
        <f t="shared" si="51"/>
        <v>23.284700000000001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 t="shared" si="52"/>
        <v>0230-07</v>
      </c>
      <c r="AE143" s="87" t="str">
        <f t="shared" si="5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43" s="84" t="str">
        <f t="shared" si="54"/>
        <v>"C:\Program Files (x86)\AstroGrep\AstroGrep.exe" /spath="%USERPROFILE%\AppData\Local\Temp\OnboardLogs" /stypes="app*4045*20170108*" /stext=" 05:.+((SYSTEM_STATE.+slice.+state.+changed )|(ment ac)|(multiple cpu faults)|(system.+state.+changed )|(\[timeout)|(PRM\|1\|D)|(kpr)|(kdp)|(\|lc)|(penalty))" /e /r /s</v>
      </c>
      <c r="AG143" s="1" t="str">
        <f t="shared" si="55"/>
        <v>EC</v>
      </c>
      <c r="AH143" s="88" t="str">
        <f t="shared" si="56"/>
        <v>"%USERPROFILE%\Documents\GitHub\eaglep3\Utilities\RefineRTDCRunTimes.py" --tripid 230-07 --locoid 4045 --swversion DE.1.0.8.0 --startMP 204:232985 --initTime 2017-01-07T21:44:59 --startdatetime 2017-01-07T21:56:16 --delay 1 --endMP 204:138 --enddatetime 2017-01-07T22:35:08 --enforcementcount 0 &gt;&gt;C:\Users\stu\Documents\GitHub\eaglep3-reporting\EC\2017-01-07-refined-times.txt</v>
      </c>
      <c r="AI143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ID","value":"230-07"},{"id":16,"name":"Locomotive ID","value":"4045"},{"id":130,"name":"Impact","value":""},{"id":150,"name":"Time of Event (Mountain Time)","value":"22:35:08"},{"id":151,"name":"Denver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8"/>
        <v>start /low /b %USERPROFILE%\Documents\GitHub\eaglep3\Utilities\DownloadLogsFromS3.py --loco 4045 --day 2017-01-07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641</v>
      </c>
      <c r="B144" s="7">
        <v>4003</v>
      </c>
      <c r="C144" s="22" t="s">
        <v>203</v>
      </c>
      <c r="D144" s="22" t="s">
        <v>694</v>
      </c>
      <c r="E144" s="13">
        <v>42742.885925925926</v>
      </c>
      <c r="F144" s="13">
        <v>42742.896134259259</v>
      </c>
      <c r="G144" s="7">
        <v>1</v>
      </c>
      <c r="H144" s="22" t="s">
        <v>407</v>
      </c>
      <c r="I144" s="13">
        <v>42742.92119212963</v>
      </c>
      <c r="J144" s="7">
        <v>0</v>
      </c>
      <c r="K144" s="105" t="str">
        <f t="shared" si="43"/>
        <v>4003/4004</v>
      </c>
      <c r="L144" s="22" t="str">
        <f>VLOOKUP(A144,'Trips&amp;Operators'!$C$1:$G$99999,5,FALSE)</f>
        <v>SMITH MICHAEL</v>
      </c>
      <c r="M144" s="6">
        <f t="shared" si="44"/>
        <v>2.5057870370801538E-2</v>
      </c>
      <c r="N144" s="7">
        <f t="shared" si="59"/>
        <v>36.083333333954215</v>
      </c>
      <c r="O144" s="7"/>
      <c r="P144" s="7"/>
      <c r="Q144" s="23"/>
      <c r="R144" s="23"/>
      <c r="S144" s="32">
        <f t="shared" si="60"/>
        <v>1</v>
      </c>
      <c r="T144" s="47" t="str">
        <f t="shared" si="45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20:15:44-700',mode:absolute,to:'2017-01-07 23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49" t="str">
        <f t="shared" si="47"/>
        <v>N</v>
      </c>
      <c r="X144" s="173">
        <f t="shared" si="48"/>
        <v>1</v>
      </c>
      <c r="Y144" s="64">
        <f t="shared" si="49"/>
        <v>4.7699999999999999E-2</v>
      </c>
      <c r="Z144" s="64">
        <f t="shared" si="50"/>
        <v>23.3322</v>
      </c>
      <c r="AA144" s="64">
        <f t="shared" si="51"/>
        <v>23.284500000000001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 t="shared" si="52"/>
        <v>0231-07</v>
      </c>
      <c r="AE144" s="87" t="str">
        <f t="shared" si="5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44" s="84" t="str">
        <f t="shared" si="54"/>
        <v>"C:\Program Files (x86)\AstroGrep\AstroGrep.exe" /spath="%USERPROFILE%\AppData\Local\Temp\OnboardLogs" /stypes="app*4003*20170108*" /stext=" 05:.+((SYSTEM_STATE.+slice.+state.+changed )|(ment ac)|(multiple cpu faults)|(system.+state.+changed )|(\[timeout)|(PRM\|1\|D)|(kpr)|(kdp)|(\|lc)|(penalty))" /e /r /s</v>
      </c>
      <c r="AG144" s="1" t="str">
        <f t="shared" si="55"/>
        <v>EC</v>
      </c>
      <c r="AH144" s="88" t="str">
        <f t="shared" si="56"/>
        <v>"%USERPROFILE%\Documents\GitHub\eaglep3\Utilities\RefineRTDCRunTimes.py" --tripid 231-07 --locoid 4003 --swversion DE.1.0.8.0 --startMP 204:477 --initTime 2017-01-07T21:15:44 --startdatetime 2017-01-07T21:30:26 --delay 1 --endMP 204:233322 --enddatetime 2017-01-07T22:06:31 --enforcementcount 0 &gt;&gt;C:\Users\stu\Documents\GitHub\eaglep3-reporting\EC\2017-01-07-refined-times.txt</v>
      </c>
      <c r="AI144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ID","value":"231-07"},{"id":16,"name":"Locomotive ID","value":"4003"},{"id":130,"name":"Impact","value":""},{"id":150,"name":"Time of Event (Mountain Time)","value":"22:06:31"},{"id":151,"name":"Denver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8"/>
        <v>start /low /b %USERPROFILE%\Documents\GitHub\eaglep3\Utilities\DownloadLogsFromS3.py --loco 4003 --day 2017-01-07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646</v>
      </c>
      <c r="B145" s="7">
        <v>4004</v>
      </c>
      <c r="C145" s="22" t="s">
        <v>203</v>
      </c>
      <c r="D145" s="22" t="s">
        <v>685</v>
      </c>
      <c r="E145" s="13">
        <v>42742.928819444445</v>
      </c>
      <c r="F145" s="13">
        <v>42742.934988425928</v>
      </c>
      <c r="G145" s="7">
        <v>1</v>
      </c>
      <c r="H145" s="22" t="s">
        <v>228</v>
      </c>
      <c r="I145" s="13">
        <v>42742.962164351855</v>
      </c>
      <c r="J145" s="7">
        <v>0</v>
      </c>
      <c r="K145" s="105" t="str">
        <f t="shared" si="43"/>
        <v>4003/4004</v>
      </c>
      <c r="L145" s="22" t="str">
        <f>VLOOKUP(A145,'Trips&amp;Operators'!$C$1:$G$99999,5,FALSE)</f>
        <v>SMITH MICHAEL</v>
      </c>
      <c r="M145" s="6">
        <f t="shared" si="44"/>
        <v>2.7175925926712807E-2</v>
      </c>
      <c r="N145" s="7">
        <f t="shared" si="59"/>
        <v>39.133333334466442</v>
      </c>
      <c r="O145" s="7"/>
      <c r="P145" s="7"/>
      <c r="Q145" s="23"/>
      <c r="R145" s="23"/>
      <c r="S145" s="32">
        <f t="shared" si="60"/>
        <v>1</v>
      </c>
      <c r="T145" s="47" t="str">
        <f t="shared" si="45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21:17:30-700',mode:absolute,to:'2017-01-08 00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5" s="49" t="str">
        <f t="shared" si="47"/>
        <v>N</v>
      </c>
      <c r="X145" s="173">
        <f t="shared" si="48"/>
        <v>1</v>
      </c>
      <c r="Y145" s="64">
        <f t="shared" si="49"/>
        <v>23.3001</v>
      </c>
      <c r="Z145" s="64">
        <f t="shared" si="50"/>
        <v>1.4500000000000001E-2</v>
      </c>
      <c r="AA145" s="64">
        <f t="shared" si="51"/>
        <v>23.285599999999999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 t="shared" si="52"/>
        <v>0232-07</v>
      </c>
      <c r="AE145" s="87" t="str">
        <f t="shared" si="53"/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45" s="84" t="str">
        <f t="shared" si="54"/>
        <v>"C:\Program Files (x86)\AstroGrep\AstroGrep.exe" /spath="%USERPROFILE%\AppData\Local\Temp\OnboardLogs" /stypes="app*4004*20170108*" /stext=" 06:.+((SYSTEM_STATE.+slice.+state.+changed )|(ment ac)|(multiple cpu faults)|(system.+state.+changed )|(\[timeout)|(PRM\|1\|D)|(kpr)|(kdp)|(\|lc)|(penalty))" /e /r /s</v>
      </c>
      <c r="AG145" s="1" t="str">
        <f t="shared" si="55"/>
        <v>EC</v>
      </c>
      <c r="AH145" s="88" t="str">
        <f t="shared" si="56"/>
        <v>"%USERPROFILE%\Documents\GitHub\eaglep3\Utilities\RefineRTDCRunTimes.py" --tripid 232-07 --locoid 4004 --swversion DE.1.0.8.0 --startMP 204:233001 --initTime 2017-01-07T22:17:30 --startdatetime 2017-01-07T22:26:23 --delay 1 --endMP 204:145 --enddatetime 2017-01-07T23:05:31 --enforcementcount 0 &gt;&gt;C:\Users\stu\Documents\GitHub\eaglep3-reporting\EC\2017-01-07-refined-times.txt</v>
      </c>
      <c r="AI145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ID","value":"232-07"},{"id":16,"name":"Locomotive ID","value":"4004"},{"id":130,"name":"Impact","value":""},{"id":150,"name":"Time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8"/>
        <v>start /low /b %USERPROFILE%\Documents\GitHub\eaglep3\Utilities\DownloadLogsFromS3.py --loco 4004 --day 2017-01-07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642</v>
      </c>
      <c r="B146" s="7">
        <v>4016</v>
      </c>
      <c r="C146" s="22" t="s">
        <v>203</v>
      </c>
      <c r="D146" s="22" t="s">
        <v>225</v>
      </c>
      <c r="E146" s="13">
        <v>42742.900763888887</v>
      </c>
      <c r="F146" s="13">
        <v>42742.916932870372</v>
      </c>
      <c r="G146" s="7">
        <v>1</v>
      </c>
      <c r="H146" s="22" t="s">
        <v>660</v>
      </c>
      <c r="I146" s="13">
        <v>42742.941608796296</v>
      </c>
      <c r="J146" s="7">
        <v>0</v>
      </c>
      <c r="K146" s="105" t="str">
        <f t="shared" si="43"/>
        <v>4015/4016</v>
      </c>
      <c r="L146" s="22" t="str">
        <f>VLOOKUP(A146,'Trips&amp;Operators'!$C$1:$G$99999,5,FALSE)</f>
        <v>STAMBAUGH JAMES</v>
      </c>
      <c r="M146" s="6">
        <f t="shared" si="44"/>
        <v>2.4675925924384501E-2</v>
      </c>
      <c r="N146" s="7">
        <f t="shared" si="59"/>
        <v>35.533333331113681</v>
      </c>
      <c r="O146" s="7"/>
      <c r="P146" s="7"/>
      <c r="Q146" s="23"/>
      <c r="R146" s="23"/>
      <c r="S146" s="32">
        <f t="shared" si="60"/>
        <v>1</v>
      </c>
      <c r="T146" s="47" t="str">
        <f t="shared" si="45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20:37:06-700',mode:absolute,to:'2017-01-07 23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49" t="str">
        <f t="shared" si="47"/>
        <v>N</v>
      </c>
      <c r="X146" s="173">
        <f t="shared" si="48"/>
        <v>1</v>
      </c>
      <c r="Y146" s="64">
        <f t="shared" si="49"/>
        <v>4.5999999999999999E-2</v>
      </c>
      <c r="Z146" s="64">
        <f t="shared" si="50"/>
        <v>23.3308</v>
      </c>
      <c r="AA146" s="64">
        <f t="shared" si="51"/>
        <v>23.284800000000001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 t="shared" si="52"/>
        <v>0233-07</v>
      </c>
      <c r="AE146" s="87" t="str">
        <f t="shared" si="53"/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46" s="84" t="str">
        <f t="shared" si="54"/>
        <v>"C:\Program Files (x86)\AstroGrep\AstroGrep.exe" /spath="%USERPROFILE%\AppData\Local\Temp\OnboardLogs" /stypes="app*4016*20170108*" /stext=" 05:.+((SYSTEM_STATE.+slice.+state.+changed )|(ment ac)|(multiple cpu faults)|(system.+state.+changed )|(\[timeout)|(PRM\|1\|D)|(kpr)|(kdp)|(\|lc)|(penalty))" /e /r /s</v>
      </c>
      <c r="AG146" s="1" t="str">
        <f t="shared" si="55"/>
        <v>EC</v>
      </c>
      <c r="AH146" s="88" t="str">
        <f t="shared" si="56"/>
        <v>"%USERPROFILE%\Documents\GitHub\eaglep3\Utilities\RefineRTDCRunTimes.py" --tripid 233-07 --locoid 4016 --swversion DE.1.0.8.0 --startMP 204:460 --initTime 2017-01-07T21:37:06 --startdatetime 2017-01-07T22:00:23 --delay 1 --endMP 204:233308 --enddatetime 2017-01-07T22:35:55 --enforcementcount 0 &gt;&gt;C:\Users\stu\Documents\GitHub\eaglep3-reporting\EC\2017-01-07-refined-times.txt</v>
      </c>
      <c r="AI146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ID","value":"233-07"},{"id":16,"name":"Locomotive ID","value":"4016"},{"id":130,"name":"Impact","value":""},{"id":150,"name":"Time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8"/>
        <v>start /low /b %USERPROFILE%\Documents\GitHub\eaglep3\Utilities\DownloadLogsFromS3.py --loco 4016 --day 2017-01-07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4" t="s">
        <v>648</v>
      </c>
      <c r="B147" s="7">
        <v>4015</v>
      </c>
      <c r="C147" s="22" t="s">
        <v>203</v>
      </c>
      <c r="D147" s="22" t="s">
        <v>355</v>
      </c>
      <c r="E147" s="13">
        <v>42742.943495370368</v>
      </c>
      <c r="F147" s="13">
        <v>42742.955729166664</v>
      </c>
      <c r="G147" s="7">
        <v>1</v>
      </c>
      <c r="H147" s="22" t="s">
        <v>756</v>
      </c>
      <c r="I147" s="13">
        <v>42742.982627314814</v>
      </c>
      <c r="J147" s="7">
        <v>0</v>
      </c>
      <c r="K147" s="105" t="str">
        <f t="shared" si="43"/>
        <v>4015/4016</v>
      </c>
      <c r="L147" s="22" t="str">
        <f>VLOOKUP(A147,'Trips&amp;Operators'!$C$1:$G$99999,5,FALSE)</f>
        <v>STAMBAUGH JAMES</v>
      </c>
      <c r="M147" s="6">
        <f t="shared" si="44"/>
        <v>2.6898148149484769E-2</v>
      </c>
      <c r="N147" s="7">
        <f t="shared" si="59"/>
        <v>38.733333335258067</v>
      </c>
      <c r="O147" s="7"/>
      <c r="P147" s="7"/>
      <c r="Q147" s="23"/>
      <c r="R147" s="23"/>
      <c r="S147" s="32">
        <f t="shared" si="60"/>
        <v>1</v>
      </c>
      <c r="T147" s="47" t="str">
        <f t="shared" si="45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21:38:38-700',mode:absolute,to:'2017-01-08 00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49" t="str">
        <f t="shared" si="47"/>
        <v>N</v>
      </c>
      <c r="X147" s="173">
        <f t="shared" si="48"/>
        <v>1</v>
      </c>
      <c r="Y147" s="64">
        <f t="shared" si="49"/>
        <v>23.299299999999999</v>
      </c>
      <c r="Z147" s="64">
        <f t="shared" si="50"/>
        <v>1.29E-2</v>
      </c>
      <c r="AA147" s="64">
        <f t="shared" si="51"/>
        <v>23.2864</v>
      </c>
      <c r="AB147" s="61" t="e">
        <f>VLOOKUP(A147,Enforcements!$C$7:$K$18,8,0)</f>
        <v>#N/A</v>
      </c>
      <c r="AC147" s="57" t="e">
        <f>VLOOKUP(A147,Enforcements!$C$7:$E$18,3,0)</f>
        <v>#N/A</v>
      </c>
      <c r="AD147" s="58" t="str">
        <f t="shared" si="52"/>
        <v>0234-07</v>
      </c>
      <c r="AE147" s="87" t="str">
        <f t="shared" si="5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47" s="84" t="str">
        <f t="shared" si="54"/>
        <v>"C:\Program Files (x86)\AstroGrep\AstroGrep.exe" /spath="%USERPROFILE%\AppData\Local\Temp\OnboardLogs" /stypes="app*4015*20170108*" /stext=" 06:.+((SYSTEM_STATE.+slice.+state.+changed )|(ment ac)|(multiple cpu faults)|(system.+state.+changed )|(\[timeout)|(PRM\|1\|D)|(kpr)|(kdp)|(\|lc)|(penalty))" /e /r /s</v>
      </c>
      <c r="AG147" s="1" t="str">
        <f t="shared" si="55"/>
        <v>EC</v>
      </c>
      <c r="AH147" s="88" t="str">
        <f t="shared" si="56"/>
        <v>"%USERPROFILE%\Documents\GitHub\eaglep3\Utilities\RefineRTDCRunTimes.py" --tripid 234-07 --locoid 4015 --swversion DE.1.0.8.0 --startMP 204:232993 --initTime 2017-01-07T22:38:38 --startdatetime 2017-01-07T22:56:15 --delay 1 --endMP 204:129 --enddatetime 2017-01-07T23:34:59 --enforcementcount 0 &gt;&gt;C:\Users\stu\Documents\GitHub\eaglep3-reporting\EC\2017-01-07-refined-times.txt</v>
      </c>
      <c r="AI147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{"issue":{"subject":"","project_id":79,"tracker_id":40,"status_id":1,"priority_id":2,"assigned_to_id":23,"start_date":"2017-01-07","description":"","custom_fields":[{"id":1,"name":"Subdivision","value":"EC"},{"id":4,"name":"Milepost","value":"0.0129"},{"id":17,"name":"Train ID","value":"234-07"},{"id":16,"name":"Locomotive ID","value":"4015"},{"id":130,"name":"Impact","value":""},{"id":150,"name":"Time of Event (Mountain Time)","value":"23:34:59"},{"id":151,"name":"Denver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8"/>
        <v>start /low /b %USERPROFILE%\Documents\GitHub\eaglep3\Utilities\DownloadLogsFromS3.py --loco 4015 --day 2017-01-07</v>
      </c>
    </row>
    <row r="148" spans="1:91" s="21" customFormat="1" x14ac:dyDescent="0.25">
      <c r="A148" s="34" t="s">
        <v>458</v>
      </c>
      <c r="B148" s="7">
        <v>4042</v>
      </c>
      <c r="C148" s="22" t="s">
        <v>203</v>
      </c>
      <c r="D148" s="22" t="s">
        <v>769</v>
      </c>
      <c r="E148" s="13">
        <v>42742.920949074076</v>
      </c>
      <c r="F148" s="13">
        <v>42742.937835648147</v>
      </c>
      <c r="G148" s="7">
        <v>1</v>
      </c>
      <c r="H148" s="22" t="s">
        <v>277</v>
      </c>
      <c r="I148" s="13">
        <v>42742.963634259257</v>
      </c>
      <c r="J148" s="7">
        <v>0</v>
      </c>
      <c r="K148" s="105" t="str">
        <f t="shared" si="43"/>
        <v>4041/4042</v>
      </c>
      <c r="L148" s="22" t="str">
        <f>VLOOKUP(A148,'Trips&amp;Operators'!$C$1:$G$99999,5,FALSE)</f>
        <v>HILLS DUSTIN</v>
      </c>
      <c r="M148" s="6">
        <f t="shared" si="44"/>
        <v>2.5798611110076308E-2</v>
      </c>
      <c r="N148" s="7">
        <f t="shared" si="59"/>
        <v>37.149999998509884</v>
      </c>
      <c r="O148" s="7"/>
      <c r="P148" s="7"/>
      <c r="Q148" s="23"/>
      <c r="R148" s="23"/>
      <c r="S148" s="32">
        <f t="shared" si="60"/>
        <v>1</v>
      </c>
      <c r="T148" s="47" t="str">
        <f t="shared" si="45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21:06:10-700',mode:absolute,to:'2017-01-08 00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49" t="str">
        <f t="shared" si="47"/>
        <v>N</v>
      </c>
      <c r="X148" s="173">
        <f t="shared" si="48"/>
        <v>1</v>
      </c>
      <c r="Y148" s="64">
        <f t="shared" si="49"/>
        <v>3.8899999999999997E-2</v>
      </c>
      <c r="Z148" s="64">
        <f t="shared" si="50"/>
        <v>23.33</v>
      </c>
      <c r="AA148" s="64">
        <f t="shared" si="51"/>
        <v>23.291099999999997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 t="shared" si="52"/>
        <v>0235-07</v>
      </c>
      <c r="AE148" s="87" t="str">
        <f t="shared" si="53"/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48" s="84" t="str">
        <f t="shared" si="54"/>
        <v>"C:\Program Files (x86)\AstroGrep\AstroGrep.exe" /spath="%USERPROFILE%\AppData\Local\Temp\OnboardLogs" /stypes="app*4042*20170108*" /stext=" 06:.+((SYSTEM_STATE.+slice.+state.+changed )|(ment ac)|(multiple cpu faults)|(system.+state.+changed )|(\[timeout)|(PRM\|1\|D)|(kpr)|(kdp)|(\|lc)|(penalty))" /e /r /s</v>
      </c>
      <c r="AG148" s="1" t="str">
        <f t="shared" si="55"/>
        <v>EC</v>
      </c>
      <c r="AH148" s="88" t="str">
        <f t="shared" si="56"/>
        <v>"%USERPROFILE%\Documents\GitHub\eaglep3\Utilities\RefineRTDCRunTimes.py" --tripid 235-07 --locoid 4042 --swversion DE.1.0.8.0 --startMP 204:389 --initTime 2017-01-07T22:06:10 --startdatetime 2017-01-07T22:30:29 --delay 1 --endMP 204:233300 --enddatetime 2017-01-07T23:07:38 --enforcementcount 0 &gt;&gt;C:\Users\stu\Documents\GitHub\eaglep3-reporting\EC\2017-01-07-refined-times.txt</v>
      </c>
      <c r="AI148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ID","value":"235-07"},{"id":16,"name":"Locomotive ID","value":"4042"},{"id":130,"name":"Impact","value":""},{"id":150,"name":"Time of Event (Mountain Time)","value":"23:07:38"},{"id":151,"name":"Denver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8"/>
        <v>start /low /b %USERPROFILE%\Documents\GitHub\eaglep3\Utilities\DownloadLogsFromS3.py --loco 4042 --day 2017-01-07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459</v>
      </c>
      <c r="B149" s="7">
        <v>4041</v>
      </c>
      <c r="C149" s="22" t="s">
        <v>203</v>
      </c>
      <c r="D149" s="22" t="s">
        <v>770</v>
      </c>
      <c r="E149" s="13">
        <v>42742.971030092594</v>
      </c>
      <c r="F149" s="13">
        <v>42742.9766087963</v>
      </c>
      <c r="G149" s="7">
        <v>1</v>
      </c>
      <c r="H149" s="22" t="s">
        <v>191</v>
      </c>
      <c r="I149" s="13">
        <v>42742.997939814813</v>
      </c>
      <c r="J149" s="7">
        <v>0</v>
      </c>
      <c r="K149" s="105" t="str">
        <f t="shared" si="43"/>
        <v>4041/4042</v>
      </c>
      <c r="L149" s="22" t="str">
        <f>VLOOKUP(A149,'Trips&amp;Operators'!$C$1:$G$99999,5,FALSE)</f>
        <v>HILLS DUSTIN</v>
      </c>
      <c r="M149" s="6">
        <f t="shared" si="44"/>
        <v>2.1331018513592426E-2</v>
      </c>
      <c r="N149" s="7">
        <f t="shared" si="59"/>
        <v>30.716666659573093</v>
      </c>
      <c r="O149" s="7"/>
      <c r="P149" s="7"/>
      <c r="Q149" s="23"/>
      <c r="R149" s="23"/>
      <c r="S149" s="32">
        <f t="shared" si="60"/>
        <v>1</v>
      </c>
      <c r="T149" s="47" t="str">
        <f t="shared" si="45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22:18:17-700',mode:absolute,to:'2017-01-08 00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49" t="str">
        <f t="shared" si="47"/>
        <v>N</v>
      </c>
      <c r="X149" s="173">
        <f t="shared" si="48"/>
        <v>1</v>
      </c>
      <c r="Y149" s="64">
        <f t="shared" si="49"/>
        <v>23.302700000000002</v>
      </c>
      <c r="Z149" s="64">
        <f t="shared" si="50"/>
        <v>1.49E-2</v>
      </c>
      <c r="AA149" s="64">
        <f t="shared" si="51"/>
        <v>23.287800000000001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 t="shared" si="52"/>
        <v>0236-07</v>
      </c>
      <c r="AE149" s="87" t="str">
        <f t="shared" si="5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49" s="84" t="str">
        <f t="shared" si="54"/>
        <v>"C:\Program Files (x86)\AstroGrep\AstroGrep.exe" /spath="%USERPROFILE%\AppData\Local\Temp\OnboardLogs" /stypes="app*4041*20170108*" /stext=" 06:.+((SYSTEM_STATE.+slice.+state.+changed )|(ment ac)|(multiple cpu faults)|(system.+state.+changed )|(\[timeout)|(PRM\|1\|D)|(kpr)|(kdp)|(\|lc)|(penalty))" /e /r /s</v>
      </c>
      <c r="AG149" s="1" t="str">
        <f t="shared" si="55"/>
        <v>EC</v>
      </c>
      <c r="AH149" s="88" t="str">
        <f t="shared" si="56"/>
        <v>"%USERPROFILE%\Documents\GitHub\eaglep3\Utilities\RefineRTDCRunTimes.py" --tripid 236-07 --locoid 4041 --swversion DE.1.0.8.0 --startMP 204:233027 --initTime 2017-01-07T23:18:17 --startdatetime 2017-01-07T23:26:19 --delay 1 --endMP 204:149 --enddatetime 2017-01-07T23:57:02 --enforcementcount 0 &gt;&gt;C:\Users\stu\Documents\GitHub\eaglep3-reporting\EC\2017-01-07-refined-times.txt</v>
      </c>
      <c r="AI149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ID","value":"236-07"},{"id":16,"name":"Locomotive ID","value":"4041"},{"id":130,"name":"Impact","value":""},{"id":150,"name":"Time of Event (Mountain Time)","value":"23:57:02"},{"id":151,"name":"Denver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8"/>
        <v>start /low /b %USERPROFILE%\Documents\GitHub\eaglep3\Utilities\DownloadLogsFromS3.py --loco 4041 --day 2017-01-07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649</v>
      </c>
      <c r="B150" s="7">
        <v>4046</v>
      </c>
      <c r="C150" s="22" t="s">
        <v>203</v>
      </c>
      <c r="D150" s="22" t="s">
        <v>243</v>
      </c>
      <c r="E150" s="13">
        <v>42742.954004629632</v>
      </c>
      <c r="F150" s="13">
        <v>42742.958495370367</v>
      </c>
      <c r="G150" s="7">
        <v>1</v>
      </c>
      <c r="H150" s="22" t="s">
        <v>771</v>
      </c>
      <c r="I150" s="13">
        <v>42742.984456018516</v>
      </c>
      <c r="J150" s="7">
        <v>0</v>
      </c>
      <c r="K150" s="105" t="str">
        <f t="shared" si="43"/>
        <v>4045/4046</v>
      </c>
      <c r="L150" s="22" t="str">
        <f>VLOOKUP(A150,'Trips&amp;Operators'!$C$1:$G$99999,5,FALSE)</f>
        <v>BROWN JACOB</v>
      </c>
      <c r="M150" s="6">
        <f t="shared" si="44"/>
        <v>2.5960648148611654E-2</v>
      </c>
      <c r="N150" s="7">
        <f t="shared" si="59"/>
        <v>37.383333334000781</v>
      </c>
      <c r="O150" s="7"/>
      <c r="P150" s="7"/>
      <c r="Q150" s="23"/>
      <c r="R150" s="23"/>
      <c r="S150" s="32">
        <f t="shared" si="60"/>
        <v>1</v>
      </c>
      <c r="T150" s="47" t="str">
        <f t="shared" si="45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21:53:46-700',mode:absolute,to:'2017-01-08 00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49" t="str">
        <f t="shared" si="47"/>
        <v>N</v>
      </c>
      <c r="X150" s="173">
        <f t="shared" si="48"/>
        <v>1</v>
      </c>
      <c r="Y150" s="64">
        <f t="shared" si="49"/>
        <v>4.6399999999999997E-2</v>
      </c>
      <c r="Z150" s="64">
        <f t="shared" si="50"/>
        <v>23.328299999999999</v>
      </c>
      <c r="AA150" s="64">
        <f t="shared" si="51"/>
        <v>23.2819</v>
      </c>
      <c r="AB150" s="61" t="e">
        <f>VLOOKUP(A150,Enforcements!$C$7:$K$18,8,0)</f>
        <v>#N/A</v>
      </c>
      <c r="AC150" s="57" t="e">
        <f>VLOOKUP(A150,Enforcements!$C$7:$E$18,3,0)</f>
        <v>#N/A</v>
      </c>
      <c r="AD150" s="58" t="str">
        <f t="shared" si="52"/>
        <v>0237-07</v>
      </c>
      <c r="AE150" s="87" t="str">
        <f t="shared" si="53"/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50" s="84" t="str">
        <f t="shared" si="54"/>
        <v>"C:\Program Files (x86)\AstroGrep\AstroGrep.exe" /spath="%USERPROFILE%\AppData\Local\Temp\OnboardLogs" /stypes="app*4046*20170108*" /stext=" 06:.+((SYSTEM_STATE.+slice.+state.+changed )|(ment ac)|(multiple cpu faults)|(system.+state.+changed )|(\[timeout)|(PRM\|1\|D)|(kpr)|(kdp)|(\|lc)|(penalty))" /e /r /s</v>
      </c>
      <c r="AG150" s="1" t="str">
        <f t="shared" si="55"/>
        <v>EC</v>
      </c>
      <c r="AH150" s="88" t="str">
        <f t="shared" si="56"/>
        <v>"%USERPROFILE%\Documents\GitHub\eaglep3\Utilities\RefineRTDCRunTimes.py" --tripid 237-07 --locoid 4046 --swversion DE.1.0.8.0 --startMP 204:464 --initTime 2017-01-07T22:53:46 --startdatetime 2017-01-07T23:00:14 --delay 1 --endMP 204:233283 --enddatetime 2017-01-07T23:37:37 --enforcementcount 0 &gt;&gt;C:\Users\stu\Documents\GitHub\eaglep3-reporting\EC\2017-01-07-refined-times.txt</v>
      </c>
      <c r="AI150" s="115" t="str">
        <f t="shared" si="57"/>
        <v>echo {"issue":{"subject":"","project_id":79,"tracker_id":40,"status_id":1,"priority_id":2,"assigned_to_id":23,"start_date":"2017-01-07","description":"","custom_fields":[{"id":1,"name":"Subdivision","value":"EC"},{"id":4,"name":"Milepost","value":"23.3283"},{"id":17,"name":"Train ID","value":"237-07"},{"id":16,"name":"Locomotive ID","value":"4046"},{"id":130,"name":"Impact","value":""},{"id":150,"name":"Time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8"/>
        <v>start /low /b %USERPROFILE%\Documents\GitHub\eaglep3\Utilities\DownloadLogsFromS3.py --loco 4046 --day 2017-01-07</v>
      </c>
    </row>
    <row r="151" spans="1:91" s="21" customFormat="1" x14ac:dyDescent="0.25">
      <c r="A151" s="34" t="s">
        <v>460</v>
      </c>
      <c r="B151" s="7">
        <v>4045</v>
      </c>
      <c r="C151" s="22" t="s">
        <v>203</v>
      </c>
      <c r="D151" s="22" t="s">
        <v>412</v>
      </c>
      <c r="E151" s="13">
        <v>42742.992118055554</v>
      </c>
      <c r="F151" s="13">
        <v>42742.997650462959</v>
      </c>
      <c r="G151" s="7">
        <v>2</v>
      </c>
      <c r="H151" s="22" t="s">
        <v>228</v>
      </c>
      <c r="I151" s="13">
        <v>42743.020891203705</v>
      </c>
      <c r="J151" s="7">
        <v>0</v>
      </c>
      <c r="K151" s="105" t="str">
        <f t="shared" si="43"/>
        <v>4045/4046</v>
      </c>
      <c r="L151" s="22" t="str">
        <f>VLOOKUP(A151,'Trips&amp;Operators'!$C$1:$G$99999,5,FALSE)</f>
        <v>BROWN JACOB</v>
      </c>
      <c r="M151" s="6">
        <f t="shared" si="44"/>
        <v>2.3240740745677613E-2</v>
      </c>
      <c r="N151" s="7">
        <f t="shared" si="59"/>
        <v>33.466666673775762</v>
      </c>
      <c r="O151" s="7"/>
      <c r="P151" s="7"/>
      <c r="Q151" s="23"/>
      <c r="R151" s="23"/>
      <c r="S151" s="32">
        <f t="shared" si="60"/>
        <v>1</v>
      </c>
      <c r="T151" s="47" t="str">
        <f t="shared" si="45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22:48:39-700',mode:absolute,to:'2017-01-08 01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49" t="str">
        <f t="shared" si="47"/>
        <v>N</v>
      </c>
      <c r="X151" s="173">
        <f t="shared" si="48"/>
        <v>1</v>
      </c>
      <c r="Y151" s="64">
        <f t="shared" si="49"/>
        <v>23.2974</v>
      </c>
      <c r="Z151" s="64">
        <f t="shared" si="50"/>
        <v>1.4500000000000001E-2</v>
      </c>
      <c r="AA151" s="64">
        <f t="shared" si="51"/>
        <v>23.282899999999998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 t="shared" si="52"/>
        <v>0238-07</v>
      </c>
      <c r="AE151" s="87" t="str">
        <f t="shared" si="53"/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51" s="84" t="str">
        <f t="shared" si="54"/>
        <v>"C:\Program Files (x86)\AstroGrep\AstroGrep.exe" /spath="%USERPROFILE%\AppData\Local\Temp\OnboardLogs" /stypes="app*4045*20170108*" /stext=" 07:.+((SYSTEM_STATE.+slice.+state.+changed )|(ment ac)|(multiple cpu faults)|(system.+state.+changed )|(\[timeout)|(PRM\|1\|D)|(kpr)|(kdp)|(\|lc)|(penalty))" /e /r /s</v>
      </c>
      <c r="AG151" s="1" t="str">
        <f t="shared" si="55"/>
        <v>EC</v>
      </c>
      <c r="AH151" s="88" t="str">
        <f t="shared" si="56"/>
        <v>"%USERPROFILE%\Documents\GitHub\eaglep3\Utilities\RefineRTDCRunTimes.py" --tripid 238-07 --locoid 4045 --swversion DE.1.0.8.0 --startMP 204:232974 --initTime 2017-01-07T23:48:39 --startdatetime 2017-01-07T23:56:37 --delay 2 --endMP 204:145 --enddatetime 2017-01-08T00:30:05 --enforcementcount 0 &gt;&gt;C:\Users\stu\Documents\GitHub\eaglep3-reporting\EC\2017-01-07-refined-times.txt</v>
      </c>
      <c r="AI151" s="115" t="str">
        <f t="shared" si="57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ID","value":"238-07"},{"id":16,"name":"Locomotive ID","value":"4045"},{"id":130,"name":"Impact","value":""},{"id":150,"name":"Time of Event (Mountain Time)","value":"00:30:05"},{"id":151,"name":"Denver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8"/>
        <v>start /low /b %USERPROFILE%\Documents\GitHub\eaglep3\Utilities\DownloadLogsFromS3.py --loco 4045 --day 2017-01-07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650</v>
      </c>
      <c r="B152" s="7">
        <v>4003</v>
      </c>
      <c r="C152" s="22" t="s">
        <v>203</v>
      </c>
      <c r="D152" s="22" t="s">
        <v>243</v>
      </c>
      <c r="E152" s="13">
        <v>42742.96539351852</v>
      </c>
      <c r="F152" s="13">
        <v>42742.979375000003</v>
      </c>
      <c r="G152" s="7">
        <v>1</v>
      </c>
      <c r="H152" s="22" t="s">
        <v>772</v>
      </c>
      <c r="I152" s="13">
        <v>42743.006828703707</v>
      </c>
      <c r="J152" s="7">
        <v>0</v>
      </c>
      <c r="K152" s="105" t="str">
        <f t="shared" si="43"/>
        <v>4003/4004</v>
      </c>
      <c r="L152" s="22" t="str">
        <f>VLOOKUP(A152,'Trips&amp;Operators'!$C$1:$G$99999,5,FALSE)</f>
        <v>SMITH MICHAEL</v>
      </c>
      <c r="M152" s="6">
        <f t="shared" si="44"/>
        <v>2.7453703703940846E-2</v>
      </c>
      <c r="N152" s="7">
        <f t="shared" si="59"/>
        <v>39.533333333674818</v>
      </c>
      <c r="O152" s="7"/>
      <c r="P152" s="7"/>
      <c r="Q152" s="23"/>
      <c r="R152" s="23"/>
      <c r="S152" s="32">
        <f t="shared" si="60"/>
        <v>1</v>
      </c>
      <c r="T152" s="47" t="str">
        <f t="shared" si="45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22:10:10-700',mode:absolute,to:'2017-01-08 01:09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49" t="str">
        <f t="shared" si="47"/>
        <v>N</v>
      </c>
      <c r="X152" s="173">
        <f t="shared" ref="X152:X162" si="61">VALUE(LEFT(AD152,4))-VALUE(LEFT(AD151,4))</f>
        <v>1</v>
      </c>
      <c r="Y152" s="64">
        <f t="shared" si="49"/>
        <v>4.6399999999999997E-2</v>
      </c>
      <c r="Z152" s="64">
        <f t="shared" si="50"/>
        <v>23.334399999999999</v>
      </c>
      <c r="AA152" s="64">
        <f t="shared" si="51"/>
        <v>23.288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 t="shared" si="52"/>
        <v>0239-07</v>
      </c>
      <c r="AE152" s="87" t="str">
        <f t="shared" si="53"/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52" s="84" t="str">
        <f t="shared" si="54"/>
        <v>"C:\Program Files (x86)\AstroGrep\AstroGrep.exe" /spath="%USERPROFILE%\AppData\Local\Temp\OnboardLogs" /stypes="app*4003*20170108*" /stext=" 07:.+((SYSTEM_STATE.+slice.+state.+changed )|(ment ac)|(multiple cpu faults)|(system.+state.+changed )|(\[timeout)|(PRM\|1\|D)|(kpr)|(kdp)|(\|lc)|(penalty))" /e /r /s</v>
      </c>
      <c r="AG152" s="1" t="str">
        <f t="shared" si="55"/>
        <v>EC</v>
      </c>
      <c r="AH152" s="88" t="str">
        <f t="shared" si="56"/>
        <v>"%USERPROFILE%\Documents\GitHub\eaglep3\Utilities\RefineRTDCRunTimes.py" --tripid 239-07 --locoid 4003 --swversion DE.1.0.8.0 --startMP 204:464 --initTime 2017-01-07T23:10:10 --startdatetime 2017-01-07T23:30:18 --delay 1 --endMP 204:233344 --enddatetime 2017-01-08T00:09:50 --enforcementcount 0 &gt;&gt;C:\Users\stu\Documents\GitHub\eaglep3-reporting\EC\2017-01-07-refined-times.txt</v>
      </c>
      <c r="AI152" s="115" t="str">
        <f t="shared" si="57"/>
        <v>echo {"issue":{"subject":"","project_id":79,"tracker_id":40,"status_id":1,"priority_id":2,"assigned_to_id":23,"start_date":"2017-01-08","description":"","custom_fields":[{"id":1,"name":"Subdivision","value":"EC"},{"id":4,"name":"Milepost","value":"23.3344"},{"id":17,"name":"Train ID","value":"239-07"},{"id":16,"name":"Locomotive ID","value":"4003"},{"id":130,"name":"Impact","value":""},{"id":150,"name":"Time of Event (Mountain Time)","value":"00:09:50"},{"id":151,"name":"Denver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8"/>
        <v>start /low /b %USERPROFILE%\Documents\GitHub\eaglep3\Utilities\DownloadLogsFromS3.py --loco 4003 --day 2017-01-07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651</v>
      </c>
      <c r="B153" s="7">
        <v>4016</v>
      </c>
      <c r="C153" s="22" t="s">
        <v>203</v>
      </c>
      <c r="D153" s="22" t="s">
        <v>293</v>
      </c>
      <c r="E153" s="13">
        <v>42742.990671296298</v>
      </c>
      <c r="F153" s="13">
        <v>42743.0003125</v>
      </c>
      <c r="G153" s="7">
        <v>1</v>
      </c>
      <c r="H153" s="22" t="s">
        <v>773</v>
      </c>
      <c r="I153" s="13">
        <v>42743.021261574075</v>
      </c>
      <c r="J153" s="7">
        <v>0</v>
      </c>
      <c r="K153" s="105" t="str">
        <f t="shared" si="43"/>
        <v>4015/4016</v>
      </c>
      <c r="L153" s="22" t="str">
        <f>VLOOKUP(A153,'Trips&amp;Operators'!$C$1:$G$99999,5,FALSE)</f>
        <v>STAMBAUGH JAMES</v>
      </c>
      <c r="M153" s="6">
        <f t="shared" si="44"/>
        <v>2.0949074074451346E-2</v>
      </c>
      <c r="N153" s="7"/>
      <c r="O153" s="7"/>
      <c r="P153" s="7">
        <f>24*60*SUM($M153:$M153)</f>
        <v>30.166666667209938</v>
      </c>
      <c r="Q153" s="23"/>
      <c r="R153" s="23" t="s">
        <v>829</v>
      </c>
      <c r="S153" s="32">
        <f t="shared" si="60"/>
        <v>1</v>
      </c>
      <c r="T153" s="47" t="str">
        <f t="shared" si="45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22:46:34-700',mode:absolute,to:'2017-01-08 01:30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49" t="str">
        <f t="shared" si="47"/>
        <v>Y</v>
      </c>
      <c r="X153" s="173">
        <f t="shared" si="61"/>
        <v>2</v>
      </c>
      <c r="Y153" s="64">
        <f t="shared" si="49"/>
        <v>4.4400000000000002E-2</v>
      </c>
      <c r="Z153" s="64">
        <f t="shared" si="50"/>
        <v>19.278199999999998</v>
      </c>
      <c r="AA153" s="64">
        <f t="shared" si="51"/>
        <v>19.233799999999999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 t="shared" si="52"/>
        <v>0241-07</v>
      </c>
      <c r="AE153" s="87" t="str">
        <f t="shared" si="53"/>
        <v>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 &amp; aws s3 cp s3://rtdc.mdm.uploadarchive.raw/RTDC4016/ "%USERPROFILE%\AppData\Local\Temp\OnboardLogs"\RTDC4016\2017-01-09 --exclude "*" --recursive --include "*20170109*" &amp; "%USERPROFILE%\Documents\GitHub\mrs-test-scripts\Headless Mode &amp; Sideloading\WalkAndUnGZ.bat" "%USERPROFILE%\AppData\Local\Temp\OnboardLogs"\RTDC4016\2017-01-09</v>
      </c>
      <c r="AF153" s="84" t="str">
        <f t="shared" si="54"/>
        <v>"C:\Program Files (x86)\AstroGrep\AstroGrep.exe" /spath="%USERPROFILE%\AppData\Local\Temp\OnboardLogs" /stypes="app*4016*20170108*" /stext=" 07:.+((SYSTEM_STATE.+slice.+state.+changed )|(ment ac)|(multiple cpu faults)|(system.+state.+changed )|(\[timeout)|(PRM\|1\|D)|(kpr)|(kdp)|(\|lc)|(penalty))" /e /r /s</v>
      </c>
      <c r="AG153" s="1" t="str">
        <f t="shared" si="55"/>
        <v>EC</v>
      </c>
      <c r="AH153" s="88" t="str">
        <f t="shared" si="56"/>
        <v>"%USERPROFILE%\Documents\GitHub\eaglep3\Utilities\RefineRTDCRunTimes.py" --tripid 241-07 --locoid 4016 --swversion DE.1.0.8.0 --startMP 204:444 --initTime 2017-01-07T23:46:34 --startdatetime 2017-01-08T00:00:27 --delay 1 --endMP 204:192782 --enddatetime 2017-01-08T00:30:37 --enforcementcount 0 &gt;&gt;C:\Users\stu\Documents\GitHub\eaglep3-reporting\EC\2017-01-07-refined-times.txt</v>
      </c>
      <c r="AI153" s="115" t="str">
        <f t="shared" si="57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power","project_id":79,"tracker_id":40,"status_id":1,"priority_id":2,"assigned_to_id":23,"start_date":"2017-01-08","description":"","custom_fields":[{"id":1,"name":"Subdivision","value":"EC"},{"id":4,"name":"Milepost","value":"19.2782"},{"id":17,"name":"Train ID","value":"241-07"},{"id":16,"name":"Locomotive ID","value":"4016"},{"id":130,"name":"Impact","value":""},{"id":150,"name":"Time of Event (Mountain Time)","value":"00:30:37"},{"id":151,"name":"Denver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8"/>
        <v>start /low /b %USERPROFILE%\Documents\GitHub\eaglep3\Utilities\DownloadLogsFromS3.py --loco 4016 --day 2017-01-08</v>
      </c>
    </row>
    <row r="154" spans="1:91" s="21" customFormat="1" x14ac:dyDescent="0.25">
      <c r="A154" s="34" t="s">
        <v>653</v>
      </c>
      <c r="B154" s="7">
        <v>4042</v>
      </c>
      <c r="C154" s="22" t="s">
        <v>203</v>
      </c>
      <c r="D154" s="22" t="s">
        <v>293</v>
      </c>
      <c r="E154" s="13">
        <v>42743.012569444443</v>
      </c>
      <c r="F154" s="13">
        <v>42743.021018518521</v>
      </c>
      <c r="G154" s="7">
        <v>1</v>
      </c>
      <c r="H154" s="22" t="s">
        <v>774</v>
      </c>
      <c r="I154" s="13">
        <v>42743.027592592596</v>
      </c>
      <c r="J154" s="7">
        <v>0</v>
      </c>
      <c r="K154" s="105" t="str">
        <f t="shared" si="43"/>
        <v>4041/4042</v>
      </c>
      <c r="L154" s="22" t="str">
        <f>VLOOKUP(A154,'Trips&amp;Operators'!$C$1:$G$99999,5,FALSE)</f>
        <v>HILLS DUSTIN</v>
      </c>
      <c r="M154" s="6">
        <f t="shared" si="44"/>
        <v>6.5740740756154992E-3</v>
      </c>
      <c r="N154" s="7"/>
      <c r="O154" s="7"/>
      <c r="P154" s="7">
        <f>24*60*SUM($M154:$M154)</f>
        <v>9.4666666688863188</v>
      </c>
      <c r="Q154" s="23"/>
      <c r="R154" s="23" t="s">
        <v>829</v>
      </c>
      <c r="S154" s="32">
        <f t="shared" si="60"/>
        <v>0.25</v>
      </c>
      <c r="T154" s="47" t="str">
        <f t="shared" si="45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23:18:06-700',mode:absolute,to:'2017-01-08 01:39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4" s="49" t="str">
        <f t="shared" si="47"/>
        <v>Y</v>
      </c>
      <c r="X154" s="173">
        <f t="shared" si="61"/>
        <v>2</v>
      </c>
      <c r="Y154" s="64">
        <f t="shared" si="49"/>
        <v>4.4400000000000002E-2</v>
      </c>
      <c r="Z154" s="64">
        <f t="shared" si="50"/>
        <v>3.7191000000000001</v>
      </c>
      <c r="AA154" s="64">
        <f t="shared" si="51"/>
        <v>3.6747000000000001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 t="shared" si="52"/>
        <v>0243-07</v>
      </c>
      <c r="AE154" s="87" t="str">
        <f t="shared" si="53"/>
        <v>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 &amp; 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</v>
      </c>
      <c r="AF154" s="84" t="str">
        <f t="shared" si="54"/>
        <v>"C:\Program Files (x86)\AstroGrep\AstroGrep.exe" /spath="%USERPROFILE%\AppData\Local\Temp\OnboardLogs" /stypes="app*4042*20170108*" /stext=" 07:.+((SYSTEM_STATE.+slice.+state.+changed )|(ment ac)|(multiple cpu faults)|(system.+state.+changed )|(\[timeout)|(PRM\|1\|D)|(kpr)|(kdp)|(\|lc)|(penalty))" /e /r /s</v>
      </c>
      <c r="AG154" s="1" t="str">
        <f t="shared" si="55"/>
        <v>EC</v>
      </c>
      <c r="AH154" s="88" t="str">
        <f t="shared" si="56"/>
        <v>"%USERPROFILE%\Documents\GitHub\eaglep3\Utilities\RefineRTDCRunTimes.py" --tripid 243-07 --locoid 4042 --swversion DE.1.0.8.0 --startMP 204:444 --initTime 2017-01-08T00:18:06 --startdatetime 2017-01-08T00:30:16 --delay 1 --endMP 204:37191 --enddatetime 2017-01-08T00:39:44 --enforcementcount 0 &gt;&gt;C:\Users\stu\Documents\GitHub\eaglep3-reporting\EC\2017-01-07-refined-times.txt</v>
      </c>
      <c r="AI154" s="115" t="str">
        <f t="shared" si="57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power","project_id":79,"tracker_id":40,"status_id":1,"priority_id":2,"assigned_to_id":23,"start_date":"2017-01-08","description":"","custom_fields":[{"id":1,"name":"Subdivision","value":"EC"},{"id":4,"name":"Milepost","value":"3.7191"},{"id":17,"name":"Train ID","value":"243-07"},{"id":16,"name":"Locomotive ID","value":"4042"},{"id":130,"name":"Impact","value":""},{"id":150,"name":"Time of Event (Mountain Time)","value":"00:39:44"},{"id":151,"name":"Denver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8"/>
        <v>start /low /b %USERPROFILE%\Documents\GitHub\eaglep3\Utilities\DownloadLogsFromS3.py --loco 4042 --day 2017-01-08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655</v>
      </c>
      <c r="B155" s="7">
        <v>4041</v>
      </c>
      <c r="C155" s="22" t="s">
        <v>203</v>
      </c>
      <c r="D155" s="22" t="s">
        <v>775</v>
      </c>
      <c r="E155" s="13">
        <v>42743.102141203701</v>
      </c>
      <c r="F155" s="13">
        <v>42743.104328703703</v>
      </c>
      <c r="G155" s="7">
        <v>1</v>
      </c>
      <c r="H155" s="22" t="s">
        <v>403</v>
      </c>
      <c r="I155" s="13">
        <v>42743.105405092596</v>
      </c>
      <c r="J155" s="7">
        <v>0</v>
      </c>
      <c r="K155" s="105" t="str">
        <f t="shared" si="43"/>
        <v>4041/4042</v>
      </c>
      <c r="L155" s="22" t="str">
        <f>VLOOKUP(A155,'Trips&amp;Operators'!$C$1:$G$99999,5,FALSE)</f>
        <v>HILLS DUSTIN</v>
      </c>
      <c r="M155" s="6">
        <f t="shared" si="44"/>
        <v>1.0763888931251131E-3</v>
      </c>
      <c r="N155" s="7"/>
      <c r="O155" s="7"/>
      <c r="P155" s="7">
        <f>24*60*SUM($M155:$M155)</f>
        <v>1.5500000061001629</v>
      </c>
      <c r="Q155" s="23"/>
      <c r="R155" s="23" t="s">
        <v>829</v>
      </c>
      <c r="S155" s="32">
        <f t="shared" si="60"/>
        <v>0</v>
      </c>
      <c r="T155" s="47" t="str">
        <f t="shared" si="45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01:27:05-700',mode:absolute,to:'2017-01-08 03:31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5" s="49" t="str">
        <f t="shared" si="47"/>
        <v>Y</v>
      </c>
      <c r="X155" s="173">
        <f t="shared" si="61"/>
        <v>1</v>
      </c>
      <c r="Y155" s="64">
        <f t="shared" si="49"/>
        <v>0.30640000000000001</v>
      </c>
      <c r="Z155" s="64">
        <f t="shared" si="50"/>
        <v>7.46E-2</v>
      </c>
      <c r="AA155" s="64">
        <f t="shared" si="51"/>
        <v>0.23180000000000001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 t="shared" si="52"/>
        <v>0244-07</v>
      </c>
      <c r="AE155" s="87" t="str">
        <f t="shared" si="53"/>
        <v>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 &amp; 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</v>
      </c>
      <c r="AF155" s="84" t="str">
        <f t="shared" si="54"/>
        <v>"C:\Program Files (x86)\AstroGrep\AstroGrep.exe" /spath="%USERPROFILE%\AppData\Local\Temp\OnboardLogs" /stypes="app*4041*20170108*" /stext=" 09:.+((SYSTEM_STATE.+slice.+state.+changed )|(ment ac)|(multiple cpu faults)|(system.+state.+changed )|(\[timeout)|(PRM\|1\|D)|(kpr)|(kdp)|(\|lc)|(penalty))" /e /r /s</v>
      </c>
      <c r="AG155" s="1" t="str">
        <f t="shared" si="55"/>
        <v>EC</v>
      </c>
      <c r="AH155" s="88" t="str">
        <f t="shared" si="56"/>
        <v>"%USERPROFILE%\Documents\GitHub\eaglep3\Utilities\RefineRTDCRunTimes.py" --tripid 244-07 --locoid 4041 --swversion DE.1.0.8.0 --startMP 204:3064 --initTime 2017-01-08T02:27:05 --startdatetime 2017-01-08T02:30:14 --delay 1 --endMP 204:746 --enddatetime 2017-01-08T02:31:47 --enforcementcount 0 &gt;&gt;C:\Users\stu\Documents\GitHub\eaglep3-reporting\EC\2017-01-07-refined-times.txt</v>
      </c>
      <c r="AI155" s="115" t="str">
        <f t="shared" si="57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power","project_id":79,"tracker_id":40,"status_id":1,"priority_id":2,"assigned_to_id":23,"start_date":"2017-01-08","description":"","custom_fields":[{"id":1,"name":"Subdivision","value":"EC"},{"id":4,"name":"Milepost","value":"0.0746"},{"id":17,"name":"Train ID","value":"244-07"},{"id":16,"name":"Locomotive ID","value":"4041"},{"id":130,"name":"Impact","value":""},{"id":150,"name":"Time of Event (Mountain Time)","value":"02:31:47"},{"id":151,"name":"Denver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58"/>
        <v>start /low /b %USERPROFILE%\Documents\GitHub\eaglep3\Utilities\DownloadLogsFromS3.py --loco 4041 --day 2017-01-08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655</v>
      </c>
      <c r="B156" s="7">
        <v>4041</v>
      </c>
      <c r="C156" s="22" t="s">
        <v>203</v>
      </c>
      <c r="D156" s="22" t="s">
        <v>775</v>
      </c>
      <c r="E156" s="13">
        <v>42743.102141203701</v>
      </c>
      <c r="F156" s="13">
        <v>42743.104328703703</v>
      </c>
      <c r="G156" s="7">
        <v>1</v>
      </c>
      <c r="H156" s="22" t="s">
        <v>403</v>
      </c>
      <c r="I156" s="13">
        <v>42743.105405092596</v>
      </c>
      <c r="J156" s="7">
        <v>0</v>
      </c>
      <c r="K156" s="105" t="str">
        <f t="shared" si="43"/>
        <v>4041/4042</v>
      </c>
      <c r="L156" s="22" t="str">
        <f>VLOOKUP(A156,'Trips&amp;Operators'!$C$1:$G$99999,5,FALSE)</f>
        <v>HILLS DUSTIN</v>
      </c>
      <c r="M156" s="6">
        <f t="shared" si="44"/>
        <v>1.0763888931251131E-3</v>
      </c>
      <c r="N156" s="7"/>
      <c r="O156" s="7"/>
      <c r="P156" s="7"/>
      <c r="Q156" s="23"/>
      <c r="R156" s="23"/>
      <c r="S156" s="32">
        <f t="shared" si="60"/>
        <v>0</v>
      </c>
      <c r="T156" s="47" t="str">
        <f t="shared" si="45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01:27:05-700',mode:absolute,to:'2017-01-08 03:31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49" t="str">
        <f t="shared" si="47"/>
        <v>Y</v>
      </c>
      <c r="X156" s="173">
        <f t="shared" si="61"/>
        <v>0</v>
      </c>
      <c r="Y156" s="64">
        <f t="shared" si="49"/>
        <v>0.30640000000000001</v>
      </c>
      <c r="Z156" s="64">
        <f t="shared" si="50"/>
        <v>7.46E-2</v>
      </c>
      <c r="AA156" s="64">
        <f t="shared" si="51"/>
        <v>0.23180000000000001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 t="shared" si="52"/>
        <v>0244-07</v>
      </c>
      <c r="AE156" s="87" t="str">
        <f t="shared" si="53"/>
        <v>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 &amp; 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</v>
      </c>
      <c r="AF156" s="84" t="str">
        <f t="shared" si="54"/>
        <v>"C:\Program Files (x86)\AstroGrep\AstroGrep.exe" /spath="%USERPROFILE%\AppData\Local\Temp\OnboardLogs" /stypes="app*4041*20170108*" /stext=" 09:.+((SYSTEM_STATE.+slice.+state.+changed )|(ment ac)|(multiple cpu faults)|(system.+state.+changed )|(\[timeout)|(PRM\|1\|D)|(kpr)|(kdp)|(\|lc)|(penalty))" /e /r /s</v>
      </c>
      <c r="AG156" s="1" t="str">
        <f t="shared" si="55"/>
        <v>EC</v>
      </c>
      <c r="AH156" s="88" t="str">
        <f t="shared" ref="AH156" si="62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244-07 --locoid 4041 --swversion DE.1.0.8.0 --startMP 204:3064 --initTime 2017-01-08T02:27:05 --startdatetime 2017-01-08T02:30:14 --delay 1 --endMP 204:746 --enddatetime 2017-01-08T02:31:47 --enforcementcount 0 &gt;&gt;C:\Users\stu\Documents\GitHub\eaglep3-reporting\EC\2017-01-07-refined-times.txt</v>
      </c>
      <c r="AI156" s="115" t="str">
        <f t="shared" ref="AI156" si="63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{"issue":{"subject":"","project_id":79,"tracker_id":40,"status_id":1,"priority_id":2,"assigned_to_id":23,"start_date":"2017-01-08","description":"","custom_fields":[{"id":1,"name":"Subdivision","value":"EC"},{"id":4,"name":"Milepost","value":"0.0746"},{"id":17,"name":"Train ID","value":"244-07"},{"id":16,"name":"Locomotive ID","value":"4041"},{"id":130,"name":"Impact","value":""},{"id":150,"name":"Time of Event (Mountain Time)","value":"02:31:47"},{"id":151,"name":"Denver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ref="AM156" si="64">"start /low /b "&amp;dls3logs&amp;" --loco "&amp;B156&amp;" --day "&amp;TEXT(F156,"YYYY-MM-DD")</f>
        <v>start /low /b %USERPROFILE%\Documents\GitHub\eaglep3\Utilities\DownloadLogsFromS3.py --loco 4041 --day 2017-01-08</v>
      </c>
    </row>
    <row r="157" spans="1:91" s="21" customFormat="1" x14ac:dyDescent="0.25">
      <c r="A157" s="34" t="s">
        <v>494</v>
      </c>
      <c r="B157" s="7">
        <v>4013</v>
      </c>
      <c r="C157" s="22" t="s">
        <v>203</v>
      </c>
      <c r="D157" s="22" t="s">
        <v>775</v>
      </c>
      <c r="E157" s="13">
        <v>42743.102141203701</v>
      </c>
      <c r="F157" s="13">
        <v>42742.241643518515</v>
      </c>
      <c r="G157" s="7">
        <v>1</v>
      </c>
      <c r="H157" s="22" t="s">
        <v>403</v>
      </c>
      <c r="I157" s="13">
        <v>42742.25203703704</v>
      </c>
      <c r="J157" s="7">
        <v>0</v>
      </c>
      <c r="K157" s="105" t="str">
        <f t="shared" si="43"/>
        <v>4013/4014</v>
      </c>
      <c r="L157" s="22" t="str">
        <f>VLOOKUP(A157,'Trips&amp;Operators'!$C$1:$G$99999,5,FALSE)</f>
        <v>ARVIDSON DANIEL</v>
      </c>
      <c r="M157" s="6">
        <f t="shared" si="44"/>
        <v>1.0393518525233958E-2</v>
      </c>
      <c r="N157" s="7">
        <f t="shared" ref="N157:N188" si="65">24*60*SUM($M157:$M157)</f>
        <v>14.966666676336899</v>
      </c>
      <c r="O157" s="7"/>
      <c r="P157" s="7"/>
      <c r="Q157" s="23"/>
      <c r="R157" s="23"/>
      <c r="S157" s="32">
        <f t="shared" si="60"/>
        <v>0</v>
      </c>
      <c r="T157" s="47" t="str">
        <f t="shared" si="45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01:27:05-700',mode:absolute,to:'2017-01-07 07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7" s="49" t="str">
        <f t="shared" si="47"/>
        <v>Y</v>
      </c>
      <c r="X157" s="173">
        <f t="shared" si="61"/>
        <v>1556</v>
      </c>
      <c r="Y157" s="64">
        <f t="shared" si="49"/>
        <v>0.30640000000000001</v>
      </c>
      <c r="Z157" s="64">
        <f t="shared" si="50"/>
        <v>7.46E-2</v>
      </c>
      <c r="AA157" s="64">
        <f t="shared" si="51"/>
        <v>0.23180000000000001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 t="shared" si="52"/>
        <v>1800-07</v>
      </c>
      <c r="AE157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57" s="84" t="str">
        <f t="shared" si="54"/>
        <v>"C:\Program Files (x86)\AstroGrep\AstroGrep.exe" /spath="%USERPROFILE%\AppData\Local\Temp\OnboardLogs" /stypes="app*4013*20170107*" /stext=" 13:.+((SYSTEM_STATE.+slice.+state.+changed )|(ment ac)|(multiple cpu faults)|(system.+state.+changed )|(\[timeout)|(PRM\|1\|D)|(kpr)|(kdp)|(\|lc)|(penalty))" /e /r /s</v>
      </c>
      <c r="AG157" s="1" t="str">
        <f t="shared" si="55"/>
        <v>NW</v>
      </c>
      <c r="AH157" s="88" t="str">
        <f t="shared" ref="AH157" si="6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1800-07 --locoid 4013 --swversion DE.1.0.8.0 --startMP 204:3064 --initTime 2017-01-08T02:27:05 --startdatetime 2017-01-07T05:47:58 --delay 1 --endMP 204:746 --enddatetime 2017-01-07T06:02:56 --enforcementcount 0 &gt;&gt;C:\Users\stu\Documents\GitHub\eaglep3-reporting\EC\2017-01-07-refined-times.txt</v>
      </c>
      <c r="AI157" s="115" t="str">
        <f t="shared" ref="AI157" si="6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{"issue":{"subject":"","project_id":79,"tracker_id":40,"status_id":1,"priority_id":2,"assigned_to_id":23,"start_date":"2017-01-07","description":"","custom_fields":[{"id":1,"name":"Subdivision","value":"NW"},{"id":4,"name":"Milepost","value":"0.0746"},{"id":17,"name":"Train ID","value":"1800-07"},{"id":16,"name":"Locomotive ID","value":"4013"},{"id":130,"name":"Impact","value":""},{"id":150,"name":"Time of Event (Mountain Time)","value":"06:02:56"},{"id":151,"name":"Denver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ref="AM157" si="68">"start /low /b "&amp;dls3logs&amp;" --loco "&amp;B157&amp;" --day "&amp;TEXT(F157,"YYYY-MM-DD")</f>
        <v>start /low /b %USERPROFILE%\Documents\GitHub\eaglep3\Utilities\DownloadLogsFromS3.py --loco 4013 --day 2017-01-07</v>
      </c>
    </row>
    <row r="158" spans="1:91" s="21" customFormat="1" x14ac:dyDescent="0.25">
      <c r="A158" s="34" t="s">
        <v>498</v>
      </c>
      <c r="B158" s="7">
        <v>4014</v>
      </c>
      <c r="C158" s="22" t="s">
        <v>203</v>
      </c>
      <c r="D158" s="22" t="s">
        <v>664</v>
      </c>
      <c r="E158" s="13">
        <v>42742.254999999997</v>
      </c>
      <c r="F158" s="13">
        <v>42742.264918981484</v>
      </c>
      <c r="G158" s="7">
        <v>1</v>
      </c>
      <c r="H158" s="22" t="s">
        <v>699</v>
      </c>
      <c r="I158" s="13">
        <v>42742.276087962964</v>
      </c>
      <c r="J158" s="7">
        <v>0</v>
      </c>
      <c r="K158" s="105" t="str">
        <f t="shared" si="43"/>
        <v>4013/4014</v>
      </c>
      <c r="L158" s="22" t="str">
        <f>VLOOKUP(A158,'Trips&amp;Operators'!$C$1:$G$99999,5,FALSE)</f>
        <v>ARVIDSON DANIEL</v>
      </c>
      <c r="M158" s="6">
        <f t="shared" si="44"/>
        <v>1.116898148029577E-2</v>
      </c>
      <c r="N158" s="7">
        <f t="shared" si="65"/>
        <v>16.083333331625909</v>
      </c>
      <c r="O158" s="7"/>
      <c r="P158" s="7"/>
      <c r="Q158" s="23"/>
      <c r="R158" s="23"/>
      <c r="S158" s="32">
        <f t="shared" si="60"/>
        <v>1</v>
      </c>
      <c r="T158" s="47" t="str">
        <f t="shared" si="45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05:07:12-700',mode:absolute,to:'2017-01-07 07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8" s="49" t="str">
        <f t="shared" si="47"/>
        <v>N</v>
      </c>
      <c r="X158" s="173">
        <f t="shared" si="61"/>
        <v>1</v>
      </c>
      <c r="Y158" s="64">
        <f t="shared" si="49"/>
        <v>9.9000000000000005E-2</v>
      </c>
      <c r="Z158" s="64">
        <f t="shared" si="50"/>
        <v>5.8929</v>
      </c>
      <c r="AA158" s="64">
        <f t="shared" si="51"/>
        <v>5.7938999999999998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 t="shared" si="52"/>
        <v>1801-07</v>
      </c>
      <c r="AE158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58" s="84" t="str">
        <f t="shared" si="54"/>
        <v>"C:\Program Files (x86)\AstroGrep\AstroGrep.exe" /spath="%USERPROFILE%\AppData\Local\Temp\OnboardLogs" /stypes="app*4014*20170107*" /stext=" 13:.+((SYSTEM_STATE.+slice.+state.+changed )|(ment ac)|(multiple cpu faults)|(system.+state.+changed )|(\[timeout)|(PRM\|1\|D)|(kpr)|(kdp)|(\|lc)|(penalty))" /e /r /s</v>
      </c>
      <c r="AG158" s="1" t="str">
        <f t="shared" si="55"/>
        <v>NW</v>
      </c>
      <c r="AH158" s="88" t="str">
        <f t="shared" si="56"/>
        <v>"%USERPROFILE%\Documents\GitHub\eaglep3\Utilities\RefineRTDCRunTimes.py" --tripid 1801-07 --locoid 4014 --swversion DE.1.0.8.0 --startMP 204:990 --initTime 2017-01-07T06:07:12 --startdatetime 2017-01-07T06:21:29 --delay 1 --endMP 300:58929 --enddatetime 2017-01-07T06:37:34 --enforcementcount 0 &gt;&gt;C:\Users\stu\Documents\GitHub\eaglep3-reporting\EC\2017-01-07-refined-times.txt</v>
      </c>
      <c r="AI158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{"issue":{"subject":"","project_id":79,"tracker_id":40,"status_id":1,"priority_id":2,"assigned_to_id":23,"start_date":"2017-01-07","description":"","custom_fields":[{"id":1,"name":"Subdivision","value":"NW"},{"id":4,"name":"Milepost","value":"5.8929"},{"id":17,"name":"Train ID","value":"1801-07"},{"id":16,"name":"Locomotive ID","value":"4014"},{"id":130,"name":"Impact","value":""},{"id":150,"name":"Time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8"/>
        <v>start /low /b %USERPROFILE%\Documents\GitHub\eaglep3\Utilities\DownloadLogsFromS3.py --loco 4014 --day 2017-01-07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4" t="s">
        <v>502</v>
      </c>
      <c r="B159" s="7">
        <v>4013</v>
      </c>
      <c r="C159" s="22" t="s">
        <v>203</v>
      </c>
      <c r="D159" s="22" t="s">
        <v>700</v>
      </c>
      <c r="E159" s="13">
        <v>42742.277222222219</v>
      </c>
      <c r="F159" s="13">
        <v>42742.278437499997</v>
      </c>
      <c r="G159" s="7">
        <v>0</v>
      </c>
      <c r="H159" s="22" t="s">
        <v>701</v>
      </c>
      <c r="I159" s="13">
        <v>42742.290266203701</v>
      </c>
      <c r="J159" s="7">
        <v>0</v>
      </c>
      <c r="K159" s="105" t="str">
        <f t="shared" si="43"/>
        <v>4013/4014</v>
      </c>
      <c r="L159" s="22" t="str">
        <f>VLOOKUP(A159,'Trips&amp;Operators'!$C$1:$G$99999,5,FALSE)</f>
        <v>ARVIDSON DANIEL</v>
      </c>
      <c r="M159" s="6">
        <f t="shared" si="44"/>
        <v>1.1828703703940846E-2</v>
      </c>
      <c r="N159" s="7">
        <f t="shared" si="65"/>
        <v>17.033333333674818</v>
      </c>
      <c r="O159" s="7"/>
      <c r="P159" s="7"/>
      <c r="Q159" s="23"/>
      <c r="R159" s="23"/>
      <c r="S159" s="32">
        <f t="shared" si="60"/>
        <v>1</v>
      </c>
      <c r="T159" s="47" t="str">
        <f t="shared" si="45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05:39:12-700',mode:absolute,to:'2017-01-07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9" s="49" t="str">
        <f t="shared" si="47"/>
        <v>N</v>
      </c>
      <c r="X159" s="173">
        <f t="shared" si="61"/>
        <v>1</v>
      </c>
      <c r="Y159" s="64">
        <f t="shared" si="49"/>
        <v>5.8608000000000002</v>
      </c>
      <c r="Z159" s="64">
        <f t="shared" si="50"/>
        <v>7.6100000000000001E-2</v>
      </c>
      <c r="AA159" s="64">
        <f t="shared" si="51"/>
        <v>5.7847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 t="shared" si="52"/>
        <v>1802-07</v>
      </c>
      <c r="AE159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59" s="84" t="str">
        <f t="shared" si="54"/>
        <v>"C:\Program Files (x86)\AstroGrep\AstroGrep.exe" /spath="%USERPROFILE%\AppData\Local\Temp\OnboardLogs" /stypes="app*4013*20170107*" /stext=" 13:.+((SYSTEM_STATE.+slice.+state.+changed )|(ment ac)|(multiple cpu faults)|(system.+state.+changed )|(\[timeout)|(PRM\|1\|D)|(kpr)|(kdp)|(\|lc)|(penalty))" /e /r /s</v>
      </c>
      <c r="AG159" s="1" t="str">
        <f t="shared" si="55"/>
        <v>NW</v>
      </c>
      <c r="AH159" s="88" t="str">
        <f t="shared" si="56"/>
        <v>"%USERPROFILE%\Documents\GitHub\eaglep3\Utilities\RefineRTDCRunTimes.py" --tripid 1802-07 --locoid 4013 --swversion DE.1.0.8.0 --startMP 300:58608 --initTime 2017-01-07T06:39:12 --startdatetime 2017-01-07T06:40:57 --delay 0 --endMP 204:761 --enddatetime 2017-01-07T06:57:59 --enforcementcount 0 &gt;&gt;C:\Users\stu\Documents\GitHub\eaglep3-reporting\EC\2017-01-07-refined-times.txt</v>
      </c>
      <c r="AI159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ID","value":"1802-07"},{"id":16,"name":"Locomotive ID","value":"4013"},{"id":130,"name":"Impact","value":""},{"id":150,"name":"Time of Event (Mountain Time)","value":"06:57:59"},{"id":151,"name":"Denver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8"/>
        <v>start /low /b %USERPROFILE%\Documents\GitHub\eaglep3\Utilities\DownloadLogsFromS3.py --loco 4013 --day 2017-01-07</v>
      </c>
    </row>
    <row r="160" spans="1:91" x14ac:dyDescent="0.25">
      <c r="A160" s="34" t="s">
        <v>507</v>
      </c>
      <c r="B160" s="7">
        <v>4014</v>
      </c>
      <c r="C160" s="22" t="s">
        <v>203</v>
      </c>
      <c r="D160" s="22" t="s">
        <v>702</v>
      </c>
      <c r="E160" s="13">
        <v>42742.301365740743</v>
      </c>
      <c r="F160" s="13">
        <v>42742.306446759256</v>
      </c>
      <c r="G160" s="7">
        <v>1</v>
      </c>
      <c r="H160" s="22" t="s">
        <v>703</v>
      </c>
      <c r="I160" s="13">
        <v>42742.317604166667</v>
      </c>
      <c r="J160" s="7">
        <v>0</v>
      </c>
      <c r="K160" s="105" t="str">
        <f t="shared" si="43"/>
        <v>4013/4014</v>
      </c>
      <c r="L160" s="22" t="str">
        <f>VLOOKUP(A160,'Trips&amp;Operators'!$C$1:$G$99999,5,FALSE)</f>
        <v>ARVIDSON DANIEL</v>
      </c>
      <c r="M160" s="6">
        <f t="shared" si="44"/>
        <v>1.1157407410792075E-2</v>
      </c>
      <c r="N160" s="7">
        <f t="shared" si="65"/>
        <v>16.066666671540588</v>
      </c>
      <c r="O160" s="7"/>
      <c r="P160" s="7"/>
      <c r="Q160" s="23"/>
      <c r="R160" s="23"/>
      <c r="S160" s="32">
        <f t="shared" si="60"/>
        <v>1</v>
      </c>
      <c r="T160" s="47" t="str">
        <f t="shared" si="45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06:13:58-700',mode:absolute,to:'2017-01-07 08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0" s="49" t="str">
        <f t="shared" si="47"/>
        <v>N</v>
      </c>
      <c r="X160" s="173">
        <f t="shared" si="61"/>
        <v>1</v>
      </c>
      <c r="Y160" s="64">
        <f t="shared" si="49"/>
        <v>0.1062</v>
      </c>
      <c r="Z160" s="64">
        <f t="shared" si="50"/>
        <v>5.8920000000000003</v>
      </c>
      <c r="AA160" s="64">
        <f t="shared" si="51"/>
        <v>5.7858000000000001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 t="shared" si="52"/>
        <v>1803-07</v>
      </c>
      <c r="AE160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0" s="84" t="str">
        <f t="shared" si="54"/>
        <v>"C:\Program Files (x86)\AstroGrep\AstroGrep.exe" /spath="%USERPROFILE%\AppData\Local\Temp\OnboardLogs" /stypes="app*4014*20170107*" /stext=" 14:.+((SYSTEM_STATE.+slice.+state.+changed )|(ment ac)|(multiple cpu faults)|(system.+state.+changed )|(\[timeout)|(PRM\|1\|D)|(kpr)|(kdp)|(\|lc)|(penalty))" /e /r /s</v>
      </c>
      <c r="AG160" s="1" t="str">
        <f t="shared" si="55"/>
        <v>NW</v>
      </c>
      <c r="AH160" s="88" t="str">
        <f t="shared" si="56"/>
        <v>"%USERPROFILE%\Documents\GitHub\eaglep3\Utilities\RefineRTDCRunTimes.py" --tripid 1803-07 --locoid 4014 --swversion DE.1.0.8.0 --startMP 204:1062 --initTime 2017-01-07T07:13:58 --startdatetime 2017-01-07T07:21:17 --delay 1 --endMP 300:58920 --enddatetime 2017-01-07T07:37:21 --enforcementcount 0 &gt;&gt;C:\Users\stu\Documents\GitHub\eaglep3-reporting\EC\2017-01-07-refined-times.txt</v>
      </c>
      <c r="AI160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{"issue":{"subject":"","project_id":79,"tracker_id":40,"status_id":1,"priority_id":2,"assigned_to_id":23,"start_date":"2017-01-07","description":"","custom_fields":[{"id":1,"name":"Subdivision","value":"NW"},{"id":4,"name":"Milepost","value":"5.892"},{"id":17,"name":"Train ID","value":"1803-07"},{"id":16,"name":"Locomotive ID","value":"4014"},{"id":130,"name":"Impact","value":""},{"id":150,"name":"Time of Event (Mountain Time)","value":"07:37:21"},{"id":151,"name":"Denver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58"/>
        <v>start /low /b %USERPROFILE%\Documents\GitHub\eaglep3\Utilities\DownloadLogsFromS3.py --loco 4014 --day 2017-01-07</v>
      </c>
    </row>
    <row r="161" spans="1:91" x14ac:dyDescent="0.25">
      <c r="A161" s="34" t="s">
        <v>511</v>
      </c>
      <c r="B161" s="7">
        <v>4013</v>
      </c>
      <c r="C161" s="22" t="s">
        <v>203</v>
      </c>
      <c r="D161" s="22" t="s">
        <v>426</v>
      </c>
      <c r="E161" s="13">
        <v>42742.319120370368</v>
      </c>
      <c r="F161" s="13">
        <v>42742.320625</v>
      </c>
      <c r="G161" s="7">
        <v>1</v>
      </c>
      <c r="H161" s="22" t="s">
        <v>704</v>
      </c>
      <c r="I161" s="13">
        <v>42742.330914351849</v>
      </c>
      <c r="J161" s="7">
        <v>0</v>
      </c>
      <c r="K161" s="105" t="str">
        <f t="shared" si="43"/>
        <v>4013/4014</v>
      </c>
      <c r="L161" s="22" t="str">
        <f>VLOOKUP(A161,'Trips&amp;Operators'!$C$1:$G$99999,5,FALSE)</f>
        <v>ARVIDSON DANIEL</v>
      </c>
      <c r="M161" s="6">
        <f t="shared" si="44"/>
        <v>1.0289351848769002E-2</v>
      </c>
      <c r="N161" s="7">
        <f t="shared" si="65"/>
        <v>14.816666662227362</v>
      </c>
      <c r="O161" s="7"/>
      <c r="P161" s="7"/>
      <c r="Q161" s="23"/>
      <c r="R161" s="23"/>
      <c r="S161" s="32">
        <f t="shared" si="60"/>
        <v>1</v>
      </c>
      <c r="T161" s="47" t="str">
        <f t="shared" si="45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06:39:32-700',mode:absolute,to:'2017-01-07 08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1" s="49" t="str">
        <f t="shared" si="47"/>
        <v>N</v>
      </c>
      <c r="X161" s="173">
        <f t="shared" si="61"/>
        <v>1</v>
      </c>
      <c r="Y161" s="64">
        <f t="shared" si="49"/>
        <v>5.8596000000000004</v>
      </c>
      <c r="Z161" s="64">
        <f t="shared" si="50"/>
        <v>7.85E-2</v>
      </c>
      <c r="AA161" s="64">
        <f t="shared" si="51"/>
        <v>5.7811000000000003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 t="shared" si="52"/>
        <v>1804-07</v>
      </c>
      <c r="AE161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1" s="84" t="str">
        <f t="shared" si="54"/>
        <v>"C:\Program Files (x86)\AstroGrep\AstroGrep.exe" /spath="%USERPROFILE%\AppData\Local\Temp\OnboardLogs" /stypes="app*4013*20170107*" /stext=" 14:.+((SYSTEM_STATE.+slice.+state.+changed )|(ment ac)|(multiple cpu faults)|(system.+state.+changed )|(\[timeout)|(PRM\|1\|D)|(kpr)|(kdp)|(\|lc)|(penalty))" /e /r /s</v>
      </c>
      <c r="AG161" s="1" t="str">
        <f t="shared" si="55"/>
        <v>NW</v>
      </c>
      <c r="AH161" s="88" t="str">
        <f t="shared" si="56"/>
        <v>"%USERPROFILE%\Documents\GitHub\eaglep3\Utilities\RefineRTDCRunTimes.py" --tripid 1804-07 --locoid 4013 --swversion DE.1.0.8.0 --startMP 300:58596 --initTime 2017-01-07T07:39:32 --startdatetime 2017-01-07T07:41:42 --delay 1 --endMP 204:785 --enddatetime 2017-01-07T07:56:31 --enforcementcount 0 &gt;&gt;C:\Users\stu\Documents\GitHub\eaglep3-reporting\EC\2017-01-07-refined-times.txt</v>
      </c>
      <c r="AI161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{"issue":{"subject":"","project_id":79,"tracker_id":40,"status_id":1,"priority_id":2,"assigned_to_id":23,"start_date":"2017-01-07","description":"","custom_fields":[{"id":1,"name":"Subdivision","value":"NW"},{"id":4,"name":"Milepost","value":"0.0785"},{"id":17,"name":"Train ID","value":"1804-07"},{"id":16,"name":"Locomotive ID","value":"4013"},{"id":130,"name":"Impact","value":""},{"id":150,"name":"Time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8"/>
        <v>start /low /b %USERPROFILE%\Documents\GitHub\eaglep3\Utilities\DownloadLogsFromS3.py --loco 4013 --day 2017-01-07</v>
      </c>
    </row>
    <row r="162" spans="1:91" x14ac:dyDescent="0.25">
      <c r="A162" s="34" t="s">
        <v>515</v>
      </c>
      <c r="B162" s="7">
        <v>4014</v>
      </c>
      <c r="C162" s="22" t="s">
        <v>203</v>
      </c>
      <c r="D162" s="22" t="s">
        <v>705</v>
      </c>
      <c r="E162" s="13">
        <v>42742.342928240738</v>
      </c>
      <c r="F162" s="13">
        <v>42742.34820601852</v>
      </c>
      <c r="G162" s="7">
        <v>1</v>
      </c>
      <c r="H162" s="22" t="s">
        <v>706</v>
      </c>
      <c r="I162" s="13">
        <v>42742.358877314815</v>
      </c>
      <c r="J162" s="7">
        <v>0</v>
      </c>
      <c r="K162" s="105" t="str">
        <f t="shared" si="43"/>
        <v>4013/4014</v>
      </c>
      <c r="L162" s="22" t="str">
        <f>VLOOKUP(A162,'Trips&amp;Operators'!$C$1:$G$99999,5,FALSE)</f>
        <v>ARVIDSON DANIEL</v>
      </c>
      <c r="M162" s="6">
        <f t="shared" si="44"/>
        <v>1.0671296295186039E-2</v>
      </c>
      <c r="N162" s="7">
        <f t="shared" si="65"/>
        <v>15.366666665067896</v>
      </c>
      <c r="O162" s="7"/>
      <c r="P162" s="7"/>
      <c r="Q162" s="23"/>
      <c r="R162" s="23"/>
      <c r="S162" s="32">
        <f t="shared" si="60"/>
        <v>1</v>
      </c>
      <c r="T162" s="47" t="str">
        <f t="shared" si="45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07:13:49-700',mode:absolute,to:'2017-01-07 09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49" t="str">
        <f t="shared" si="47"/>
        <v>N</v>
      </c>
      <c r="X162" s="173">
        <f t="shared" si="61"/>
        <v>1</v>
      </c>
      <c r="Y162" s="64">
        <f t="shared" si="49"/>
        <v>0.1086</v>
      </c>
      <c r="Z162" s="64">
        <f t="shared" si="50"/>
        <v>5.8909000000000002</v>
      </c>
      <c r="AA162" s="64">
        <f t="shared" si="51"/>
        <v>5.7823000000000002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 t="shared" si="52"/>
        <v>1805-07</v>
      </c>
      <c r="AE162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2" s="84" t="str">
        <f t="shared" si="54"/>
        <v>"C:\Program Files (x86)\AstroGrep\AstroGrep.exe" /spath="%USERPROFILE%\AppData\Local\Temp\OnboardLogs" /stypes="app*4014*20170107*" /stext=" 15:.+((SYSTEM_STATE.+slice.+state.+changed )|(ment ac)|(multiple cpu faults)|(system.+state.+changed )|(\[timeout)|(PRM\|1\|D)|(kpr)|(kdp)|(\|lc)|(penalty))" /e /r /s</v>
      </c>
      <c r="AG162" s="1" t="str">
        <f t="shared" si="55"/>
        <v>NW</v>
      </c>
      <c r="AH162" s="88" t="str">
        <f t="shared" si="56"/>
        <v>"%USERPROFILE%\Documents\GitHub\eaglep3\Utilities\RefineRTDCRunTimes.py" --tripid 1805-07 --locoid 4014 --swversion DE.1.0.8.0 --startMP 204:1086 --initTime 2017-01-07T08:13:49 --startdatetime 2017-01-07T08:21:25 --delay 1 --endMP 300:58909 --enddatetime 2017-01-07T08:36:47 --enforcementcount 0 &gt;&gt;C:\Users\stu\Documents\GitHub\eaglep3-reporting\EC\2017-01-07-refined-times.txt</v>
      </c>
      <c r="AI162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{"issue":{"subject":"","project_id":79,"tracker_id":40,"status_id":1,"priority_id":2,"assigned_to_id":23,"start_date":"2017-01-07","description":"","custom_fields":[{"id":1,"name":"Subdivision","value":"NW"},{"id":4,"name":"Milepost","value":"5.8909"},{"id":17,"name":"Train ID","value":"1805-07"},{"id":16,"name":"Locomotive ID","value":"4014"},{"id":130,"name":"Impact","value":""},{"id":150,"name":"Time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8"/>
        <v>start /low /b %USERPROFILE%\Documents\GitHub\eaglep3\Utilities\DownloadLogsFromS3.py --loco 4014 --day 2017-01-07</v>
      </c>
    </row>
    <row r="163" spans="1:91" s="21" customFormat="1" x14ac:dyDescent="0.25">
      <c r="A163" s="34" t="s">
        <v>520</v>
      </c>
      <c r="B163" s="7">
        <v>4013</v>
      </c>
      <c r="C163" s="22" t="s">
        <v>203</v>
      </c>
      <c r="D163" s="22" t="s">
        <v>698</v>
      </c>
      <c r="E163" s="13">
        <v>42742.36037037037</v>
      </c>
      <c r="F163" s="13">
        <v>42742.361851851849</v>
      </c>
      <c r="G163" s="7">
        <v>1</v>
      </c>
      <c r="H163" s="22" t="s">
        <v>701</v>
      </c>
      <c r="I163" s="13">
        <v>42742.372754629629</v>
      </c>
      <c r="J163" s="7">
        <v>0</v>
      </c>
      <c r="K163" s="105" t="str">
        <f t="shared" si="43"/>
        <v>4013/4014</v>
      </c>
      <c r="L163" s="22" t="str">
        <f>VLOOKUP(A163,'Trips&amp;Operators'!$C$1:$G$99999,5,FALSE)</f>
        <v>ARVIDSON DANIEL</v>
      </c>
      <c r="M163" s="6">
        <f t="shared" si="44"/>
        <v>1.0902777779847383E-2</v>
      </c>
      <c r="N163" s="7">
        <f t="shared" si="65"/>
        <v>15.700000002980232</v>
      </c>
      <c r="O163" s="7"/>
      <c r="P163" s="7"/>
      <c r="Q163" s="23"/>
      <c r="R163" s="23"/>
      <c r="S163" s="32">
        <f t="shared" si="60"/>
        <v>1</v>
      </c>
      <c r="T163" s="47" t="str">
        <f t="shared" si="45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07:38:56-700',mode:absolute,to:'2017-01-07 09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49" t="str">
        <f t="shared" si="47"/>
        <v>N</v>
      </c>
      <c r="X163" s="173">
        <f t="shared" ref="X163:X194" si="69">VALUE(LEFT(AD163,4))-VALUE(LEFT(AD162,4))</f>
        <v>1</v>
      </c>
      <c r="Y163" s="64">
        <f t="shared" si="49"/>
        <v>5.8592000000000004</v>
      </c>
      <c r="Z163" s="64">
        <f t="shared" si="50"/>
        <v>7.6100000000000001E-2</v>
      </c>
      <c r="AA163" s="64">
        <f t="shared" si="51"/>
        <v>5.7831000000000001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 t="shared" si="52"/>
        <v>1806-07</v>
      </c>
      <c r="AE163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3" s="84" t="str">
        <f t="shared" si="54"/>
        <v>"C:\Program Files (x86)\AstroGrep\AstroGrep.exe" /spath="%USERPROFILE%\AppData\Local\Temp\OnboardLogs" /stypes="app*4013*20170107*" /stext=" 15:.+((SYSTEM_STATE.+slice.+state.+changed )|(ment ac)|(multiple cpu faults)|(system.+state.+changed )|(\[timeout)|(PRM\|1\|D)|(kpr)|(kdp)|(\|lc)|(penalty))" /e /r /s</v>
      </c>
      <c r="AG163" s="1" t="str">
        <f t="shared" si="55"/>
        <v>NW</v>
      </c>
      <c r="AH163" s="88" t="str">
        <f t="shared" si="56"/>
        <v>"%USERPROFILE%\Documents\GitHub\eaglep3\Utilities\RefineRTDCRunTimes.py" --tripid 1806-07 --locoid 4013 --swversion DE.1.0.8.0 --startMP 300:58592 --initTime 2017-01-07T08:38:56 --startdatetime 2017-01-07T08:41:04 --delay 1 --endMP 204:761 --enddatetime 2017-01-07T08:56:46 --enforcementcount 0 &gt;&gt;C:\Users\stu\Documents\GitHub\eaglep3-reporting\EC\2017-01-07-refined-times.txt</v>
      </c>
      <c r="AI163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ID","value":"1806-07"},{"id":16,"name":"Locomotive ID","value":"4013"},{"id":130,"name":"Impact","value":""},{"id":150,"name":"Time of Event (Mountain Time)","value":"08:56:46"},{"id":151,"name":"Denver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8"/>
        <v>start /low /b %USERPROFILE%\Documents\GitHub\eaglep3\Utilities\DownloadLogsFromS3.py --loco 4013 --day 2017-01-07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524</v>
      </c>
      <c r="B164" s="7">
        <v>4014</v>
      </c>
      <c r="C164" s="22" t="s">
        <v>203</v>
      </c>
      <c r="D164" s="22" t="s">
        <v>702</v>
      </c>
      <c r="E164" s="13">
        <v>42742.383159722223</v>
      </c>
      <c r="F164" s="13">
        <v>42742.389988425923</v>
      </c>
      <c r="G164" s="7">
        <v>1</v>
      </c>
      <c r="H164" s="22" t="s">
        <v>707</v>
      </c>
      <c r="I164" s="13">
        <v>42742.400694444441</v>
      </c>
      <c r="J164" s="7">
        <v>0</v>
      </c>
      <c r="K164" s="105" t="str">
        <f t="shared" si="43"/>
        <v>4013/4014</v>
      </c>
      <c r="L164" s="22" t="str">
        <f>VLOOKUP(A164,'Trips&amp;Operators'!$C$1:$G$99999,5,FALSE)</f>
        <v>ARVIDSON DANIEL</v>
      </c>
      <c r="M164" s="6">
        <f t="shared" si="44"/>
        <v>1.0706018518249039E-2</v>
      </c>
      <c r="N164" s="7">
        <f t="shared" si="65"/>
        <v>15.416666666278616</v>
      </c>
      <c r="O164" s="7"/>
      <c r="P164" s="7"/>
      <c r="Q164" s="23"/>
      <c r="R164" s="23"/>
      <c r="S164" s="32">
        <f t="shared" si="60"/>
        <v>1</v>
      </c>
      <c r="T164" s="47" t="str">
        <f t="shared" si="45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08:11:45-700',mode:absolute,to:'2017-01-07 10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4" s="49" t="str">
        <f t="shared" si="47"/>
        <v>N</v>
      </c>
      <c r="X164" s="173">
        <f t="shared" si="69"/>
        <v>1</v>
      </c>
      <c r="Y164" s="64">
        <f t="shared" si="49"/>
        <v>0.1062</v>
      </c>
      <c r="Z164" s="64">
        <f t="shared" si="50"/>
        <v>5.8910999999999998</v>
      </c>
      <c r="AA164" s="64">
        <f t="shared" si="51"/>
        <v>5.7848999999999995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 t="shared" si="52"/>
        <v>1807-07</v>
      </c>
      <c r="AE164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4" s="84" t="str">
        <f t="shared" si="54"/>
        <v>"C:\Program Files (x86)\AstroGrep\AstroGrep.exe" /spath="%USERPROFILE%\AppData\Local\Temp\OnboardLogs" /stypes="app*4014*20170107*" /stext=" 16:.+((SYSTEM_STATE.+slice.+state.+changed )|(ment ac)|(multiple cpu faults)|(system.+state.+changed )|(\[timeout)|(PRM\|1\|D)|(kpr)|(kdp)|(\|lc)|(penalty))" /e /r /s</v>
      </c>
      <c r="AG164" s="1" t="str">
        <f t="shared" si="55"/>
        <v>NW</v>
      </c>
      <c r="AH164" s="88" t="str">
        <f t="shared" si="56"/>
        <v>"%USERPROFILE%\Documents\GitHub\eaglep3\Utilities\RefineRTDCRunTimes.py" --tripid 1807-07 --locoid 4014 --swversion DE.1.0.8.0 --startMP 204:1062 --initTime 2017-01-07T09:11:45 --startdatetime 2017-01-07T09:21:35 --delay 1 --endMP 300:58911 --enddatetime 2017-01-07T09:37:00 --enforcementcount 0 &gt;&gt;C:\Users\stu\Documents\GitHub\eaglep3-reporting\EC\2017-01-07-refined-times.txt</v>
      </c>
      <c r="AI164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{"issue":{"subject":"","project_id":79,"tracker_id":40,"status_id":1,"priority_id":2,"assigned_to_id":23,"start_date":"2017-01-07","description":"","custom_fields":[{"id":1,"name":"Subdivision","value":"NW"},{"id":4,"name":"Milepost","value":"5.8911"},{"id":17,"name":"Train ID","value":"1807-07"},{"id":16,"name":"Locomotive ID","value":"4014"},{"id":130,"name":"Impact","value":""},{"id":150,"name":"Time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8"/>
        <v>start /low /b %USERPROFILE%\Documents\GitHub\eaglep3\Utilities\DownloadLogsFromS3.py --loco 4014 --day 2017-01-07</v>
      </c>
    </row>
    <row r="165" spans="1:91" x14ac:dyDescent="0.25">
      <c r="A165" s="34" t="s">
        <v>529</v>
      </c>
      <c r="B165" s="7">
        <v>4013</v>
      </c>
      <c r="C165" s="22" t="s">
        <v>203</v>
      </c>
      <c r="D165" s="22" t="s">
        <v>708</v>
      </c>
      <c r="E165" s="13">
        <v>42742.401909722219</v>
      </c>
      <c r="F165" s="13">
        <v>42742.403368055559</v>
      </c>
      <c r="G165" s="7">
        <v>1</v>
      </c>
      <c r="H165" s="22" t="s">
        <v>709</v>
      </c>
      <c r="I165" s="13">
        <v>42742.414386574077</v>
      </c>
      <c r="J165" s="7">
        <v>0</v>
      </c>
      <c r="K165" s="105" t="str">
        <f t="shared" si="43"/>
        <v>4013/4014</v>
      </c>
      <c r="L165" s="22" t="str">
        <f>VLOOKUP(A165,'Trips&amp;Operators'!$C$1:$G$99999,5,FALSE)</f>
        <v>ARVIDSON DANIEL</v>
      </c>
      <c r="M165" s="6">
        <f t="shared" si="44"/>
        <v>1.1018518518540077E-2</v>
      </c>
      <c r="N165" s="7">
        <f t="shared" si="65"/>
        <v>15.866666666697711</v>
      </c>
      <c r="O165" s="7"/>
      <c r="P165" s="7"/>
      <c r="Q165" s="23"/>
      <c r="R165" s="23"/>
      <c r="S165" s="32">
        <f t="shared" si="60"/>
        <v>1</v>
      </c>
      <c r="T165" s="47" t="str">
        <f t="shared" si="45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08:38:45-700',mode:absolute,to:'2017-01-07 10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5" s="49" t="str">
        <f t="shared" si="47"/>
        <v>N</v>
      </c>
      <c r="X165" s="173">
        <f t="shared" si="69"/>
        <v>1</v>
      </c>
      <c r="Y165" s="64">
        <f t="shared" si="49"/>
        <v>5.8590999999999998</v>
      </c>
      <c r="Z165" s="64">
        <f t="shared" si="50"/>
        <v>7.6399999999999996E-2</v>
      </c>
      <c r="AA165" s="64">
        <f t="shared" si="51"/>
        <v>5.7827000000000002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 t="shared" si="52"/>
        <v>1808-07</v>
      </c>
      <c r="AE165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5" s="84" t="str">
        <f t="shared" si="54"/>
        <v>"C:\Program Files (x86)\AstroGrep\AstroGrep.exe" /spath="%USERPROFILE%\AppData\Local\Temp\OnboardLogs" /stypes="app*4013*20170107*" /stext=" 16:.+((SYSTEM_STATE.+slice.+state.+changed )|(ment ac)|(multiple cpu faults)|(system.+state.+changed )|(\[timeout)|(PRM\|1\|D)|(kpr)|(kdp)|(\|lc)|(penalty))" /e /r /s</v>
      </c>
      <c r="AG165" s="1" t="str">
        <f t="shared" si="55"/>
        <v>NW</v>
      </c>
      <c r="AH165" s="88" t="str">
        <f t="shared" si="56"/>
        <v>"%USERPROFILE%\Documents\GitHub\eaglep3\Utilities\RefineRTDCRunTimes.py" --tripid 1808-07 --locoid 4013 --swversion DE.1.0.8.0 --startMP 300:58591 --initTime 2017-01-07T09:38:45 --startdatetime 2017-01-07T09:40:51 --delay 1 --endMP 204:764 --enddatetime 2017-01-07T09:56:43 --enforcementcount 0 &gt;&gt;C:\Users\stu\Documents\GitHub\eaglep3-reporting\EC\2017-01-07-refined-times.txt</v>
      </c>
      <c r="AI165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{"issue":{"subject":"","project_id":79,"tracker_id":40,"status_id":1,"priority_id":2,"assigned_to_id":23,"start_date":"2017-01-07","description":"","custom_fields":[{"id":1,"name":"Subdivision","value":"NW"},{"id":4,"name":"Milepost","value":"0.0764"},{"id":17,"name":"Train ID","value":"1808-07"},{"id":16,"name":"Locomotive ID","value":"4013"},{"id":130,"name":"Impact","value":""},{"id":150,"name":"Time of Event (Mountain Time)","value":"09:56:43"},{"id":151,"name":"Denver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8"/>
        <v>start /low /b %USERPROFILE%\Documents\GitHub\eaglep3\Utilities\DownloadLogsFromS3.py --loco 4013 --day 2017-01-07</v>
      </c>
    </row>
    <row r="166" spans="1:91" x14ac:dyDescent="0.25">
      <c r="A166" s="34" t="s">
        <v>534</v>
      </c>
      <c r="B166" s="7">
        <v>4014</v>
      </c>
      <c r="C166" s="22" t="s">
        <v>203</v>
      </c>
      <c r="D166" s="22" t="s">
        <v>710</v>
      </c>
      <c r="E166" s="13">
        <v>42742.424212962964</v>
      </c>
      <c r="F166" s="13">
        <v>42742.431539351855</v>
      </c>
      <c r="G166" s="7">
        <v>1</v>
      </c>
      <c r="H166" s="22" t="s">
        <v>711</v>
      </c>
      <c r="I166" s="13">
        <v>42742.444398148145</v>
      </c>
      <c r="J166" s="7">
        <v>0</v>
      </c>
      <c r="K166" s="105" t="str">
        <f t="shared" si="43"/>
        <v>4013/4014</v>
      </c>
      <c r="L166" s="22" t="str">
        <f>VLOOKUP(A166,'Trips&amp;Operators'!$C$1:$G$99999,5,FALSE)</f>
        <v>ARVIDSON DANIEL</v>
      </c>
      <c r="M166" s="6">
        <f t="shared" si="44"/>
        <v>1.285879628994735E-2</v>
      </c>
      <c r="N166" s="7">
        <f t="shared" si="65"/>
        <v>18.516666657524183</v>
      </c>
      <c r="O166" s="7"/>
      <c r="P166" s="7"/>
      <c r="Q166" s="23"/>
      <c r="R166" s="23" t="s">
        <v>834</v>
      </c>
      <c r="S166" s="32">
        <f t="shared" si="60"/>
        <v>1</v>
      </c>
      <c r="T166" s="47" t="str">
        <f t="shared" si="45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09:10:52-700',mode:absolute,to:'2017-01-07 11:39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49" t="str">
        <f t="shared" si="47"/>
        <v>N</v>
      </c>
      <c r="X166" s="173">
        <f t="shared" si="69"/>
        <v>1</v>
      </c>
      <c r="Y166" s="64">
        <f t="shared" si="49"/>
        <v>0.1021</v>
      </c>
      <c r="Z166" s="64">
        <f t="shared" si="50"/>
        <v>5.8916000000000004</v>
      </c>
      <c r="AA166" s="64">
        <f t="shared" si="51"/>
        <v>5.7895000000000003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 t="shared" si="52"/>
        <v>1809-07</v>
      </c>
      <c r="AE166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6" s="84" t="str">
        <f t="shared" si="54"/>
        <v>"C:\Program Files (x86)\AstroGrep\AstroGrep.exe" /spath="%USERPROFILE%\AppData\Local\Temp\OnboardLogs" /stypes="app*4014*20170107*" /stext=" 17:.+((SYSTEM_STATE.+slice.+state.+changed )|(ment ac)|(multiple cpu faults)|(system.+state.+changed )|(\[timeout)|(PRM\|1\|D)|(kpr)|(kdp)|(\|lc)|(penalty))" /e /r /s</v>
      </c>
      <c r="AG166" s="1" t="str">
        <f t="shared" si="55"/>
        <v>NW</v>
      </c>
      <c r="AH166" s="88" t="str">
        <f t="shared" si="56"/>
        <v>"%USERPROFILE%\Documents\GitHub\eaglep3\Utilities\RefineRTDCRunTimes.py" --tripid 1809-07 --locoid 4014 --swversion DE.1.0.8.0 --startMP 204:1021 --initTime 2017-01-07T10:10:52 --startdatetime 2017-01-07T10:21:25 --delay 1 --endMP 300:58916 --enddatetime 2017-01-07T10:39:56 --enforcementcount 0 &gt;&gt;C:\Users\stu\Documents\GitHub\eaglep3-reporting\EC\2017-01-07-refined-times.txt</v>
      </c>
      <c r="AI166" s="115" t="str">
        <f t="shared" si="57"/>
        <v>echo {"issue":{"subject":"NW0264RH CRMF POCKET offline from 09:55:07 - 10:53:40","project_id":79,"tracker_id":40,"status_id":1,"priority_id":2,"assigned_to_id":23,"start_date":"2017-01-07","description":"","custom_fields":[{"id":1,"name":"Subdivision","value":"NW"},{"id":4,"name":"Milepost","value":"5.8916"},{"id":17,"name":"Train ID","value":"1809-07"},{"id":16,"name":"Locomotive ID","value":"4014"},{"id":130,"name":"Impact","value":""},{"id":150,"name":"Time of Event (Mountain Time)","value":"10:39:56"},{"id":151,"name":"Denver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8"/>
        <v>start /low /b %USERPROFILE%\Documents\GitHub\eaglep3\Utilities\DownloadLogsFromS3.py --loco 4014 --day 2017-01-07</v>
      </c>
    </row>
    <row r="167" spans="1:91" x14ac:dyDescent="0.25">
      <c r="A167" s="34" t="s">
        <v>540</v>
      </c>
      <c r="B167" s="7">
        <v>4013</v>
      </c>
      <c r="C167" s="22" t="s">
        <v>203</v>
      </c>
      <c r="D167" s="22" t="s">
        <v>700</v>
      </c>
      <c r="E167" s="13">
        <v>42742.44568287037</v>
      </c>
      <c r="F167" s="13">
        <v>42742.447291666664</v>
      </c>
      <c r="G167" s="7">
        <v>1</v>
      </c>
      <c r="H167" s="22" t="s">
        <v>713</v>
      </c>
      <c r="I167" s="13">
        <v>42742.452743055554</v>
      </c>
      <c r="J167" s="7">
        <v>0</v>
      </c>
      <c r="K167" s="105" t="str">
        <f t="shared" si="43"/>
        <v>4013/4014</v>
      </c>
      <c r="L167" s="22" t="str">
        <f>VLOOKUP(A167,'Trips&amp;Operators'!$C$1:$G$99999,5,FALSE)</f>
        <v>ARVIDSON DANIEL</v>
      </c>
      <c r="M167" s="6">
        <f t="shared" si="44"/>
        <v>5.4513888899236917E-3</v>
      </c>
      <c r="N167" s="7">
        <f t="shared" si="65"/>
        <v>7.8500000014901161</v>
      </c>
      <c r="O167" s="7"/>
      <c r="P167" s="7"/>
      <c r="Q167" s="23"/>
      <c r="R167" s="23" t="s">
        <v>834</v>
      </c>
      <c r="S167" s="32">
        <f t="shared" si="60"/>
        <v>0</v>
      </c>
      <c r="T167" s="47" t="str">
        <f t="shared" si="45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09:41:47-700',mode:absolute,to:'2017-01-07 11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49" t="str">
        <f t="shared" si="47"/>
        <v>Y</v>
      </c>
      <c r="X167" s="173">
        <f t="shared" si="69"/>
        <v>1</v>
      </c>
      <c r="Y167" s="64">
        <f t="shared" si="49"/>
        <v>5.8608000000000002</v>
      </c>
      <c r="Z167" s="64">
        <f t="shared" si="50"/>
        <v>2.7437999999999998</v>
      </c>
      <c r="AA167" s="64">
        <f t="shared" si="51"/>
        <v>3.1170000000000004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 t="shared" si="52"/>
        <v>1810-07</v>
      </c>
      <c r="AE167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7" s="84" t="str">
        <f t="shared" si="54"/>
        <v>"C:\Program Files (x86)\AstroGrep\AstroGrep.exe" /spath="%USERPROFILE%\AppData\Local\Temp\OnboardLogs" /stypes="app*4013*20170107*" /stext=" 17:.+((SYSTEM_STATE.+slice.+state.+changed )|(ment ac)|(multiple cpu faults)|(system.+state.+changed )|(\[timeout)|(PRM\|1\|D)|(kpr)|(kdp)|(\|lc)|(penalty))" /e /r /s</v>
      </c>
      <c r="AG167" s="1" t="str">
        <f t="shared" si="55"/>
        <v>NW</v>
      </c>
      <c r="AH167" s="88" t="str">
        <f t="shared" si="56"/>
        <v>"%USERPROFILE%\Documents\GitHub\eaglep3\Utilities\RefineRTDCRunTimes.py" --tripid 1810-07 --locoid 4013 --swversion DE.1.0.8.0 --startMP 300:58608 --initTime 2017-01-07T10:41:47 --startdatetime 2017-01-07T10:44:06 --delay 1 --endMP 300:27438 --enddatetime 2017-01-07T10:51:57 --enforcementcount 0 &gt;&gt;C:\Users\stu\Documents\GitHub\eaglep3-reporting\EC\2017-01-07-refined-times.txt</v>
      </c>
      <c r="AI167" s="115" t="str">
        <f t="shared" si="57"/>
        <v>echo {"issue":{"subject":"NW0264RH CRMF POCKET offline from 09:55:07 - 10:53:40","project_id":79,"tracker_id":40,"status_id":1,"priority_id":2,"assigned_to_id":23,"start_date":"2017-01-07","description":"NW0264RH was offline for about an hour (09:55:07 - 10:53:40) - do logs indicate maintenance or any other issues?","custom_fields":[{"id":1,"name":"Subdivision","value":"NW"},{"id":4,"name":"Milepost","value":"2.7438"},{"id":17,"name":"Train ID","value":"1810-07"},{"id":16,"name":"Locomotive ID","value":"4013"},{"id":130,"name":"Impact","value":"Unexpected Cut-Out or Disengaged"},{"id":150,"name":"Time of Event (Mountain Time)","value":"10:51:57"},{"id":151,"name":"Denver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7" s="50" t="s">
        <v>835</v>
      </c>
      <c r="AK167" s="50" t="s">
        <v>131</v>
      </c>
      <c r="AL167" s="50" t="s">
        <v>130</v>
      </c>
      <c r="AM167" s="180" t="str">
        <f t="shared" si="58"/>
        <v>start /low /b %USERPROFILE%\Documents\GitHub\eaglep3\Utilities\DownloadLogsFromS3.py --loco 4013 --day 2017-01-07</v>
      </c>
    </row>
    <row r="168" spans="1:91" x14ac:dyDescent="0.25">
      <c r="A168" s="34" t="s">
        <v>547</v>
      </c>
      <c r="B168" s="7">
        <v>4014</v>
      </c>
      <c r="C168" s="22" t="s">
        <v>203</v>
      </c>
      <c r="D168" s="22" t="s">
        <v>714</v>
      </c>
      <c r="E168" s="13">
        <v>42742.470254629632</v>
      </c>
      <c r="F168" s="13">
        <v>42742.473344907405</v>
      </c>
      <c r="G168" s="7">
        <v>1</v>
      </c>
      <c r="H168" s="22" t="s">
        <v>715</v>
      </c>
      <c r="I168" s="13">
        <v>42742.483784722222</v>
      </c>
      <c r="J168" s="7">
        <v>0</v>
      </c>
      <c r="K168" s="105" t="str">
        <f t="shared" si="43"/>
        <v>4013/4014</v>
      </c>
      <c r="L168" s="22" t="str">
        <f>VLOOKUP(A168,'Trips&amp;Operators'!$C$1:$G$99999,5,FALSE)</f>
        <v>ARVIDSON DANIEL</v>
      </c>
      <c r="M168" s="6">
        <f t="shared" si="44"/>
        <v>1.0439814817800652E-2</v>
      </c>
      <c r="N168" s="7">
        <f t="shared" si="65"/>
        <v>15.033333337632939</v>
      </c>
      <c r="O168" s="7"/>
      <c r="P168" s="7"/>
      <c r="Q168" s="23"/>
      <c r="R168" s="23"/>
      <c r="S168" s="32">
        <f t="shared" si="60"/>
        <v>1</v>
      </c>
      <c r="T168" s="47" t="str">
        <f t="shared" si="45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10:17:10-700',mode:absolute,to:'2017-01-07 12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8" s="49" t="str">
        <f t="shared" si="47"/>
        <v>N</v>
      </c>
      <c r="X168" s="173">
        <f t="shared" si="69"/>
        <v>1</v>
      </c>
      <c r="Y168" s="64">
        <f t="shared" si="49"/>
        <v>0.10059999999999999</v>
      </c>
      <c r="Z168" s="64">
        <f t="shared" si="50"/>
        <v>5.8912000000000004</v>
      </c>
      <c r="AA168" s="64">
        <f t="shared" si="51"/>
        <v>5.7906000000000004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 t="shared" si="52"/>
        <v>1811-07</v>
      </c>
      <c r="AE168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8" s="84" t="str">
        <f t="shared" si="54"/>
        <v>"C:\Program Files (x86)\AstroGrep\AstroGrep.exe" /spath="%USERPROFILE%\AppData\Local\Temp\OnboardLogs" /stypes="app*4014*20170107*" /stext=" 18:.+((SYSTEM_STATE.+slice.+state.+changed )|(ment ac)|(multiple cpu faults)|(system.+state.+changed )|(\[timeout)|(PRM\|1\|D)|(kpr)|(kdp)|(\|lc)|(penalty))" /e /r /s</v>
      </c>
      <c r="AG168" s="1" t="str">
        <f t="shared" si="55"/>
        <v>NW</v>
      </c>
      <c r="AH168" s="88" t="str">
        <f t="shared" si="56"/>
        <v>"%USERPROFILE%\Documents\GitHub\eaglep3\Utilities\RefineRTDCRunTimes.py" --tripid 1811-07 --locoid 4014 --swversion DE.1.0.8.0 --startMP 204:1006 --initTime 2017-01-07T11:17:10 --startdatetime 2017-01-07T11:21:37 --delay 1 --endMP 300:58912 --enddatetime 2017-01-07T11:36:39 --enforcementcount 0 &gt;&gt;C:\Users\stu\Documents\GitHub\eaglep3-reporting\EC\2017-01-07-refined-times.txt</v>
      </c>
      <c r="AI168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{"issue":{"subject":"","project_id":79,"tracker_id":40,"status_id":1,"priority_id":2,"assigned_to_id":23,"start_date":"2017-01-07","description":"","custom_fields":[{"id":1,"name":"Subdivision","value":"NW"},{"id":4,"name":"Milepost","value":"5.8912"},{"id":17,"name":"Train ID","value":"1811-07"},{"id":16,"name":"Locomotive ID","value":"4014"},{"id":130,"name":"Impact","value":""},{"id":150,"name":"Time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8"/>
        <v>start /low /b %USERPROFILE%\Documents\GitHub\eaglep3\Utilities\DownloadLogsFromS3.py --loco 4014 --day 2017-01-07</v>
      </c>
    </row>
    <row r="169" spans="1:91" s="21" customFormat="1" x14ac:dyDescent="0.25">
      <c r="A169" s="34" t="s">
        <v>552</v>
      </c>
      <c r="B169" s="7">
        <v>4013</v>
      </c>
      <c r="C169" s="22" t="s">
        <v>203</v>
      </c>
      <c r="D169" s="22" t="s">
        <v>716</v>
      </c>
      <c r="E169" s="13">
        <v>42742.485219907408</v>
      </c>
      <c r="F169" s="13">
        <v>42742.486597222225</v>
      </c>
      <c r="G169" s="7">
        <v>1</v>
      </c>
      <c r="H169" s="22" t="s">
        <v>717</v>
      </c>
      <c r="I169" s="13">
        <v>42742.498773148145</v>
      </c>
      <c r="J169" s="7">
        <v>0</v>
      </c>
      <c r="K169" s="105" t="str">
        <f t="shared" si="43"/>
        <v>4013/4014</v>
      </c>
      <c r="L169" s="22" t="str">
        <f>VLOOKUP(A169,'Trips&amp;Operators'!$C$1:$G$99999,5,FALSE)</f>
        <v>ARVIDSON DANIEL</v>
      </c>
      <c r="M169" s="6">
        <f t="shared" si="44"/>
        <v>1.2175925920018926E-2</v>
      </c>
      <c r="N169" s="7">
        <f t="shared" si="65"/>
        <v>17.533333324827254</v>
      </c>
      <c r="O169" s="7"/>
      <c r="P169" s="7"/>
      <c r="Q169" s="23"/>
      <c r="R169" s="23"/>
      <c r="S169" s="32">
        <f t="shared" si="60"/>
        <v>1</v>
      </c>
      <c r="T169" s="47" t="str">
        <f t="shared" si="45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10:38:43-700',mode:absolute,to:'2017-01-07 12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9" s="49" t="str">
        <f t="shared" si="47"/>
        <v>N</v>
      </c>
      <c r="X169" s="173">
        <f t="shared" si="69"/>
        <v>1</v>
      </c>
      <c r="Y169" s="64">
        <f t="shared" si="49"/>
        <v>5.86</v>
      </c>
      <c r="Z169" s="64">
        <f t="shared" si="50"/>
        <v>6.8400000000000002E-2</v>
      </c>
      <c r="AA169" s="64">
        <f t="shared" si="51"/>
        <v>5.7916000000000007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 t="shared" si="52"/>
        <v>1812-07</v>
      </c>
      <c r="AE169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9" s="84" t="str">
        <f t="shared" si="54"/>
        <v>"C:\Program Files (x86)\AstroGrep\AstroGrep.exe" /spath="%USERPROFILE%\AppData\Local\Temp\OnboardLogs" /stypes="app*4013*20170107*" /stext=" 18:.+((SYSTEM_STATE.+slice.+state.+changed )|(ment ac)|(multiple cpu faults)|(system.+state.+changed )|(\[timeout)|(PRM\|1\|D)|(kpr)|(kdp)|(\|lc)|(penalty))" /e /r /s</v>
      </c>
      <c r="AG169" s="1" t="str">
        <f t="shared" si="55"/>
        <v>NW</v>
      </c>
      <c r="AH169" s="88" t="str">
        <f t="shared" si="56"/>
        <v>"%USERPROFILE%\Documents\GitHub\eaglep3\Utilities\RefineRTDCRunTimes.py" --tripid 1812-07 --locoid 4013 --swversion DE.1.0.8.0 --startMP 300:58600 --initTime 2017-01-07T11:38:43 --startdatetime 2017-01-07T11:40:42 --delay 1 --endMP 204:684 --enddatetime 2017-01-07T11:58:14 --enforcementcount 0 &gt;&gt;C:\Users\stu\Documents\GitHub\eaglep3-reporting\EC\2017-01-07-refined-times.txt</v>
      </c>
      <c r="AI169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{"issue":{"subject":"","project_id":79,"tracker_id":40,"status_id":1,"priority_id":2,"assigned_to_id":23,"start_date":"2017-01-07","description":"","custom_fields":[{"id":1,"name":"Subdivision","value":"NW"},{"id":4,"name":"Milepost","value":"0.0684"},{"id":17,"name":"Train ID","value":"1812-07"},{"id":16,"name":"Locomotive ID","value":"4013"},{"id":130,"name":"Impact","value":""},{"id":150,"name":"Time of Event (Mountain Time)","value":"11:58:14"},{"id":151,"name":"Denver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8"/>
        <v>start /low /b %USERPROFILE%\Documents\GitHub\eaglep3\Utilities\DownloadLogsFromS3.py --loco 4013 --day 2017-01-07</v>
      </c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557</v>
      </c>
      <c r="B170" s="7">
        <v>4014</v>
      </c>
      <c r="C170" s="22" t="s">
        <v>203</v>
      </c>
      <c r="D170" s="22" t="s">
        <v>718</v>
      </c>
      <c r="E170" s="13">
        <v>42742.509733796294</v>
      </c>
      <c r="F170" s="13">
        <v>42742.514884259261</v>
      </c>
      <c r="G170" s="7">
        <v>1</v>
      </c>
      <c r="H170" s="22" t="s">
        <v>719</v>
      </c>
      <c r="I170" s="13">
        <v>42742.525601851848</v>
      </c>
      <c r="J170" s="7">
        <v>0</v>
      </c>
      <c r="K170" s="105" t="str">
        <f t="shared" si="43"/>
        <v>4013/4014</v>
      </c>
      <c r="L170" s="22" t="str">
        <f>VLOOKUP(A170,'Trips&amp;Operators'!$C$1:$G$99999,5,FALSE)</f>
        <v>ARVIDSON DANIEL</v>
      </c>
      <c r="M170" s="6">
        <f t="shared" si="44"/>
        <v>1.0717592587752733E-2</v>
      </c>
      <c r="N170" s="7">
        <f t="shared" si="65"/>
        <v>15.433333326363936</v>
      </c>
      <c r="O170" s="7"/>
      <c r="P170" s="7"/>
      <c r="Q170" s="23"/>
      <c r="R170" s="23"/>
      <c r="S170" s="32">
        <f t="shared" si="60"/>
        <v>1</v>
      </c>
      <c r="T170" s="47" t="str">
        <f t="shared" si="45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11:14:01-700',mode:absolute,to:'2017-01-07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49" t="str">
        <f t="shared" si="47"/>
        <v>N</v>
      </c>
      <c r="X170" s="173">
        <f t="shared" si="69"/>
        <v>1</v>
      </c>
      <c r="Y170" s="64">
        <f t="shared" si="49"/>
        <v>9.9699999999999997E-2</v>
      </c>
      <c r="Z170" s="64">
        <f t="shared" si="50"/>
        <v>5.8914</v>
      </c>
      <c r="AA170" s="64">
        <f t="shared" si="51"/>
        <v>5.7916999999999996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 t="shared" si="52"/>
        <v>1813-07</v>
      </c>
      <c r="AE170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0" s="84" t="str">
        <f t="shared" si="54"/>
        <v>"C:\Program Files (x86)\AstroGrep\AstroGrep.exe" /spath="%USERPROFILE%\AppData\Local\Temp\OnboardLogs" /stypes="app*4014*20170107*" /stext=" 19:.+((SYSTEM_STATE.+slice.+state.+changed )|(ment ac)|(multiple cpu faults)|(system.+state.+changed )|(\[timeout)|(PRM\|1\|D)|(kpr)|(kdp)|(\|lc)|(penalty))" /e /r /s</v>
      </c>
      <c r="AG170" s="1" t="str">
        <f t="shared" si="55"/>
        <v>NW</v>
      </c>
      <c r="AH170" s="88" t="str">
        <f t="shared" si="56"/>
        <v>"%USERPROFILE%\Documents\GitHub\eaglep3\Utilities\RefineRTDCRunTimes.py" --tripid 1813-07 --locoid 4014 --swversion DE.1.0.8.0 --startMP 204:997 --initTime 2017-01-07T12:14:01 --startdatetime 2017-01-07T12:21:26 --delay 1 --endMP 300:58914 --enddatetime 2017-01-07T12:36:52 --enforcementcount 0 &gt;&gt;C:\Users\stu\Documents\GitHub\eaglep3-reporting\EC\2017-01-07-refined-times.txt</v>
      </c>
      <c r="AI170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{"issue":{"subject":"","project_id":79,"tracker_id":40,"status_id":1,"priority_id":2,"assigned_to_id":23,"start_date":"2017-01-07","description":"","custom_fields":[{"id":1,"name":"Subdivision","value":"NW"},{"id":4,"name":"Milepost","value":"5.8914"},{"id":17,"name":"Train ID","value":"1813-07"},{"id":16,"name":"Locomotive ID","value":"4014"},{"id":130,"name":"Impact","value":""},{"id":150,"name":"Time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8"/>
        <v>start /low /b %USERPROFILE%\Documents\GitHub\eaglep3\Utilities\DownloadLogsFromS3.py --loco 4014 --day 2017-01-07</v>
      </c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560</v>
      </c>
      <c r="B171" s="7">
        <v>4013</v>
      </c>
      <c r="C171" s="22" t="s">
        <v>203</v>
      </c>
      <c r="D171" s="22" t="s">
        <v>720</v>
      </c>
      <c r="E171" s="13">
        <v>42742.527407407404</v>
      </c>
      <c r="F171" s="13">
        <v>42742.528912037036</v>
      </c>
      <c r="G171" s="7">
        <v>1</v>
      </c>
      <c r="H171" s="22" t="s">
        <v>404</v>
      </c>
      <c r="I171" s="13">
        <v>42742.5387962963</v>
      </c>
      <c r="J171" s="7">
        <v>0</v>
      </c>
      <c r="K171" s="105" t="str">
        <f t="shared" si="43"/>
        <v>4013/4014</v>
      </c>
      <c r="L171" s="22" t="str">
        <f>VLOOKUP(A171,'Trips&amp;Operators'!$C$1:$G$99999,5,FALSE)</f>
        <v>ARVIDSON DANIEL</v>
      </c>
      <c r="M171" s="6">
        <f t="shared" si="44"/>
        <v>9.8842592633445747E-3</v>
      </c>
      <c r="N171" s="7">
        <f t="shared" si="65"/>
        <v>14.233333339216188</v>
      </c>
      <c r="O171" s="7"/>
      <c r="P171" s="7"/>
      <c r="Q171" s="23"/>
      <c r="R171" s="23"/>
      <c r="S171" s="32">
        <f t="shared" si="60"/>
        <v>1</v>
      </c>
      <c r="T171" s="47" t="str">
        <f t="shared" si="45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11:39:28-700',mode:absolute,to:'2017-01-07 13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49" t="str">
        <f t="shared" si="47"/>
        <v>N</v>
      </c>
      <c r="X171" s="173">
        <f t="shared" si="69"/>
        <v>1</v>
      </c>
      <c r="Y171" s="64">
        <f t="shared" si="49"/>
        <v>5.8593999999999999</v>
      </c>
      <c r="Z171" s="64">
        <f t="shared" si="50"/>
        <v>7.4099999999999999E-2</v>
      </c>
      <c r="AA171" s="64">
        <f t="shared" si="51"/>
        <v>5.7853000000000003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 t="shared" si="52"/>
        <v>1814-07</v>
      </c>
      <c r="AE171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1" s="84" t="str">
        <f t="shared" si="54"/>
        <v>"C:\Program Files (x86)\AstroGrep\AstroGrep.exe" /spath="%USERPROFILE%\AppData\Local\Temp\OnboardLogs" /stypes="app*4013*20170107*" /stext=" 19:.+((SYSTEM_STATE.+slice.+state.+changed )|(ment ac)|(multiple cpu faults)|(system.+state.+changed )|(\[timeout)|(PRM\|1\|D)|(kpr)|(kdp)|(\|lc)|(penalty))" /e /r /s</v>
      </c>
      <c r="AG171" s="1" t="str">
        <f t="shared" si="55"/>
        <v>NW</v>
      </c>
      <c r="AH171" s="88" t="str">
        <f t="shared" si="56"/>
        <v>"%USERPROFILE%\Documents\GitHub\eaglep3\Utilities\RefineRTDCRunTimes.py" --tripid 1814-07 --locoid 4013 --swversion DE.1.0.8.0 --startMP 300:58594 --initTime 2017-01-07T12:39:28 --startdatetime 2017-01-07T12:41:38 --delay 1 --endMP 204:741 --enddatetime 2017-01-07T12:55:52 --enforcementcount 0 &gt;&gt;C:\Users\stu\Documents\GitHub\eaglep3-reporting\EC\2017-01-07-refined-times.txt</v>
      </c>
      <c r="AI171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{"issue":{"subject":"","project_id":79,"tracker_id":40,"status_id":1,"priority_id":2,"assigned_to_id":23,"start_date":"2017-01-07","description":"","custom_fields":[{"id":1,"name":"Subdivision","value":"NW"},{"id":4,"name":"Milepost","value":"0.0741"},{"id":17,"name":"Train ID","value":"1814-07"},{"id":16,"name":"Locomotive ID","value":"4013"},{"id":130,"name":"Impact","value":""},{"id":150,"name":"Time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8"/>
        <v>start /low /b %USERPROFILE%\Documents\GitHub\eaglep3\Utilities\DownloadLogsFromS3.py --loco 4013 --day 2017-01-07</v>
      </c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4" t="s">
        <v>565</v>
      </c>
      <c r="B172" s="7">
        <v>4014</v>
      </c>
      <c r="C172" s="22" t="s">
        <v>203</v>
      </c>
      <c r="D172" s="22" t="s">
        <v>721</v>
      </c>
      <c r="E172" s="13">
        <v>42742.547442129631</v>
      </c>
      <c r="F172" s="13">
        <v>42742.556585648148</v>
      </c>
      <c r="G172" s="7">
        <v>1</v>
      </c>
      <c r="H172" s="22" t="s">
        <v>722</v>
      </c>
      <c r="I172" s="13">
        <v>42742.56722222222</v>
      </c>
      <c r="J172" s="7">
        <v>0</v>
      </c>
      <c r="K172" s="105" t="str">
        <f t="shared" si="43"/>
        <v>4013/4014</v>
      </c>
      <c r="L172" s="22" t="str">
        <f>VLOOKUP(A172,'Trips&amp;Operators'!$C$1:$G$99999,5,FALSE)</f>
        <v>ARVIDSON DANIEL</v>
      </c>
      <c r="M172" s="6">
        <f t="shared" si="44"/>
        <v>1.063657407212304E-2</v>
      </c>
      <c r="N172" s="7">
        <f t="shared" si="65"/>
        <v>15.316666663857177</v>
      </c>
      <c r="O172" s="7"/>
      <c r="P172" s="7"/>
      <c r="Q172" s="23"/>
      <c r="R172" s="23"/>
      <c r="S172" s="32">
        <f t="shared" si="60"/>
        <v>1</v>
      </c>
      <c r="T172" s="47" t="str">
        <f t="shared" si="45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12:08:19-700',mode:absolute,to:'2017-01-07 14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49" t="str">
        <f t="shared" si="47"/>
        <v>N</v>
      </c>
      <c r="X172" s="173">
        <f t="shared" si="69"/>
        <v>1</v>
      </c>
      <c r="Y172" s="64">
        <f t="shared" si="49"/>
        <v>0.10299999999999999</v>
      </c>
      <c r="Z172" s="64">
        <f t="shared" si="50"/>
        <v>5.8921999999999999</v>
      </c>
      <c r="AA172" s="64">
        <f t="shared" si="51"/>
        <v>5.7892000000000001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 t="shared" si="52"/>
        <v>1815-07</v>
      </c>
      <c r="AE172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2" s="84" t="str">
        <f t="shared" si="54"/>
        <v>"C:\Program Files (x86)\AstroGrep\AstroGrep.exe" /spath="%USERPROFILE%\AppData\Local\Temp\OnboardLogs" /stypes="app*4014*20170107*" /stext=" 20:.+((SYSTEM_STATE.+slice.+state.+changed )|(ment ac)|(multiple cpu faults)|(system.+state.+changed )|(\[timeout)|(PRM\|1\|D)|(kpr)|(kdp)|(\|lc)|(penalty))" /e /r /s</v>
      </c>
      <c r="AG172" s="1" t="str">
        <f t="shared" si="55"/>
        <v>NW</v>
      </c>
      <c r="AH172" s="88" t="str">
        <f t="shared" si="56"/>
        <v>"%USERPROFILE%\Documents\GitHub\eaglep3\Utilities\RefineRTDCRunTimes.py" --tripid 1815-07 --locoid 4014 --swversion DE.1.0.8.0 --startMP 204:1030 --initTime 2017-01-07T13:08:19 --startdatetime 2017-01-07T13:21:29 --delay 1 --endMP 300:58922 --enddatetime 2017-01-07T13:36:48 --enforcementcount 0 &gt;&gt;C:\Users\stu\Documents\GitHub\eaglep3-reporting\EC\2017-01-07-refined-times.txt</v>
      </c>
      <c r="AI172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{"issue":{"subject":"","project_id":79,"tracker_id":40,"status_id":1,"priority_id":2,"assigned_to_id":23,"start_date":"2017-01-07","description":"","custom_fields":[{"id":1,"name":"Subdivision","value":"NW"},{"id":4,"name":"Milepost","value":"5.8922"},{"id":17,"name":"Train ID","value":"1815-07"},{"id":16,"name":"Locomotive ID","value":"4014"},{"id":130,"name":"Impact","value":""},{"id":150,"name":"Time of Event (Mountain Time)","value":"13:36:48"},{"id":151,"name":"Denver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8"/>
        <v>start /low /b %USERPROFILE%\Documents\GitHub\eaglep3\Utilities\DownloadLogsFromS3.py --loco 4014 --day 2017-01-07</v>
      </c>
    </row>
    <row r="173" spans="1:91" x14ac:dyDescent="0.25">
      <c r="A173" s="34" t="s">
        <v>569</v>
      </c>
      <c r="B173" s="7">
        <v>4013</v>
      </c>
      <c r="C173" s="22" t="s">
        <v>203</v>
      </c>
      <c r="D173" s="22" t="s">
        <v>723</v>
      </c>
      <c r="E173" s="13">
        <v>42742.56894675926</v>
      </c>
      <c r="F173" s="13">
        <v>42742.570381944446</v>
      </c>
      <c r="G173" s="7">
        <v>1</v>
      </c>
      <c r="H173" s="22" t="s">
        <v>724</v>
      </c>
      <c r="I173" s="13">
        <v>42742.581331018519</v>
      </c>
      <c r="J173" s="7">
        <v>0</v>
      </c>
      <c r="K173" s="105" t="str">
        <f t="shared" si="43"/>
        <v>4013/4014</v>
      </c>
      <c r="L173" s="22" t="str">
        <f>VLOOKUP(A173,'Trips&amp;Operators'!$C$1:$G$99999,5,FALSE)</f>
        <v>ARVIDSON DANIEL</v>
      </c>
      <c r="M173" s="6">
        <f t="shared" si="44"/>
        <v>1.0949074072414078E-2</v>
      </c>
      <c r="N173" s="7">
        <f t="shared" si="65"/>
        <v>15.766666664276272</v>
      </c>
      <c r="O173" s="7"/>
      <c r="P173" s="7"/>
      <c r="Q173" s="23"/>
      <c r="R173" s="23" t="s">
        <v>905</v>
      </c>
      <c r="S173" s="32">
        <f t="shared" si="60"/>
        <v>1</v>
      </c>
      <c r="T173" s="47" t="str">
        <f t="shared" si="45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12:39:17-700',mode:absolute,to:'2017-01-07 14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49" t="str">
        <f t="shared" si="47"/>
        <v>N</v>
      </c>
      <c r="X173" s="173">
        <f t="shared" si="69"/>
        <v>1</v>
      </c>
      <c r="Y173" s="64">
        <f t="shared" si="49"/>
        <v>5.8609</v>
      </c>
      <c r="Z173" s="64">
        <f t="shared" si="50"/>
        <v>6.5000000000000002E-2</v>
      </c>
      <c r="AA173" s="64">
        <f t="shared" si="51"/>
        <v>5.7958999999999996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 t="shared" si="52"/>
        <v>1816-07</v>
      </c>
      <c r="AE173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3" s="84" t="str">
        <f t="shared" si="54"/>
        <v>"C:\Program Files (x86)\AstroGrep\AstroGrep.exe" /spath="%USERPROFILE%\AppData\Local\Temp\OnboardLogs" /stypes="app*4013*20170107*" /stext=" 20:.+((SYSTEM_STATE.+slice.+state.+changed )|(ment ac)|(multiple cpu faults)|(system.+state.+changed )|(\[timeout)|(PRM\|1\|D)|(kpr)|(kdp)|(\|lc)|(penalty))" /e /r /s</v>
      </c>
      <c r="AG173" s="1" t="str">
        <f t="shared" si="55"/>
        <v>NW</v>
      </c>
      <c r="AH173" s="88" t="str">
        <f t="shared" si="56"/>
        <v>"%USERPROFILE%\Documents\GitHub\eaglep3\Utilities\RefineRTDCRunTimes.py" --tripid 1816-07 --locoid 4013 --swversion DE.1.0.8.0 --startMP 300:58609 --initTime 2017-01-07T13:39:17 --startdatetime 2017-01-07T13:41:21 --delay 1 --endMP 204:650 --enddatetime 2017-01-07T13:57:07 --enforcementcount 0 &gt;&gt;C:\Users\stu\Documents\GitHub\eaglep3-reporting\EC\2017-01-07-refined-times.txt</v>
      </c>
      <c r="AI173" s="115" t="str">
        <f t="shared" si="57"/>
        <v>echo {"issue":{"subject":"Banner without braking for BNSF FUEL YARD signal","project_id":79,"tracker_id":40,"status_id":1,"priority_id":2,"assigned_to_id":23,"start_date":"2017-01-07","description":"","custom_fields":[{"id":1,"name":"Subdivision","value":"NW"},{"id":4,"name":"Milepost","value":"0.065"},{"id":17,"name":"Train ID","value":"1816-07"},{"id":16,"name":"Locomotive ID","value":"4013"},{"id":130,"name":"Impact","value":""},{"id":150,"name":"Time of Event (Mountain Time)","value":"13:57:07"},{"id":151,"name":"Denver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8"/>
        <v>start /low /b %USERPROFILE%\Documents\GitHub\eaglep3\Utilities\DownloadLogsFromS3.py --loco 4013 --day 2017-01-07</v>
      </c>
    </row>
    <row r="174" spans="1:91" x14ac:dyDescent="0.25">
      <c r="A174" s="34" t="s">
        <v>574</v>
      </c>
      <c r="B174" s="7">
        <v>4014</v>
      </c>
      <c r="C174" s="22" t="s">
        <v>203</v>
      </c>
      <c r="D174" s="22" t="s">
        <v>725</v>
      </c>
      <c r="E174" s="13">
        <v>42742.592152777775</v>
      </c>
      <c r="F174" s="13">
        <v>42742.598124999997</v>
      </c>
      <c r="G174" s="7">
        <v>1</v>
      </c>
      <c r="H174" s="22" t="s">
        <v>726</v>
      </c>
      <c r="I174" s="13">
        <v>42742.60800925926</v>
      </c>
      <c r="J174" s="7">
        <v>0</v>
      </c>
      <c r="K174" s="105" t="str">
        <f t="shared" si="43"/>
        <v>4013/4014</v>
      </c>
      <c r="L174" s="22" t="str">
        <f>VLOOKUP(A174,'Trips&amp;Operators'!$C$1:$G$99999,5,FALSE)</f>
        <v>HELVIE ADAM</v>
      </c>
      <c r="M174" s="6">
        <f t="shared" si="44"/>
        <v>9.8842592633445747E-3</v>
      </c>
      <c r="N174" s="7">
        <f t="shared" si="65"/>
        <v>14.233333339216188</v>
      </c>
      <c r="O174" s="7"/>
      <c r="P174" s="7"/>
      <c r="Q174" s="23"/>
      <c r="R174" s="23"/>
      <c r="S174" s="32">
        <f t="shared" si="60"/>
        <v>1</v>
      </c>
      <c r="T174" s="47" t="str">
        <f t="shared" si="45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13:12:42-700',mode:absolute,to:'2017-01-07 15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49" t="str">
        <f t="shared" si="47"/>
        <v>N</v>
      </c>
      <c r="X174" s="173">
        <f t="shared" si="69"/>
        <v>1</v>
      </c>
      <c r="Y174" s="64">
        <f t="shared" si="49"/>
        <v>9.5799999999999996E-2</v>
      </c>
      <c r="Z174" s="64">
        <f t="shared" si="50"/>
        <v>5.8944000000000001</v>
      </c>
      <c r="AA174" s="64">
        <f t="shared" si="51"/>
        <v>5.7986000000000004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 t="shared" si="52"/>
        <v>1817-07</v>
      </c>
      <c r="AE174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4" s="84" t="str">
        <f t="shared" si="54"/>
        <v>"C:\Program Files (x86)\AstroGrep\AstroGrep.exe" /spath="%USERPROFILE%\AppData\Local\Temp\OnboardLogs" /stypes="app*4014*20170107*" /stext=" 21:.+((SYSTEM_STATE.+slice.+state.+changed )|(ment ac)|(multiple cpu faults)|(system.+state.+changed )|(\[timeout)|(PRM\|1\|D)|(kpr)|(kdp)|(\|lc)|(penalty))" /e /r /s</v>
      </c>
      <c r="AG174" s="1" t="str">
        <f t="shared" si="55"/>
        <v>NW</v>
      </c>
      <c r="AH174" s="88" t="str">
        <f t="shared" si="56"/>
        <v>"%USERPROFILE%\Documents\GitHub\eaglep3\Utilities\RefineRTDCRunTimes.py" --tripid 1817-07 --locoid 4014 --swversion DE.1.0.8.0 --startMP 204:958 --initTime 2017-01-07T14:12:42 --startdatetime 2017-01-07T14:21:18 --delay 1 --endMP 300:58944 --enddatetime 2017-01-07T14:35:32 --enforcementcount 0 &gt;&gt;C:\Users\stu\Documents\GitHub\eaglep3-reporting\EC\2017-01-07-refined-times.txt</v>
      </c>
      <c r="AI174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{"issue":{"subject":"","project_id":79,"tracker_id":40,"status_id":1,"priority_id":2,"assigned_to_id":23,"start_date":"2017-01-07","description":"","custom_fields":[{"id":1,"name":"Subdivision","value":"NW"},{"id":4,"name":"Milepost","value":"5.8944"},{"id":17,"name":"Train ID","value":"1817-07"},{"id":16,"name":"Locomotive ID","value":"4014"},{"id":130,"name":"Impact","value":""},{"id":150,"name":"Time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8"/>
        <v>start /low /b %USERPROFILE%\Documents\GitHub\eaglep3\Utilities\DownloadLogsFromS3.py --loco 4014 --day 2017-01-07</v>
      </c>
    </row>
    <row r="175" spans="1:91" x14ac:dyDescent="0.25">
      <c r="A175" s="34" t="s">
        <v>578</v>
      </c>
      <c r="B175" s="7">
        <v>4013</v>
      </c>
      <c r="C175" s="22" t="s">
        <v>203</v>
      </c>
      <c r="D175" s="22" t="s">
        <v>727</v>
      </c>
      <c r="E175" s="13">
        <v>42742.610219907408</v>
      </c>
      <c r="F175" s="13">
        <v>42742.611990740741</v>
      </c>
      <c r="G175" s="7">
        <v>1</v>
      </c>
      <c r="H175" s="22" t="s">
        <v>701</v>
      </c>
      <c r="I175" s="13">
        <v>42742.621736111112</v>
      </c>
      <c r="J175" s="7">
        <v>0</v>
      </c>
      <c r="K175" s="105" t="str">
        <f t="shared" si="43"/>
        <v>4013/4014</v>
      </c>
      <c r="L175" s="22" t="str">
        <f>VLOOKUP(A175,'Trips&amp;Operators'!$C$1:$G$99999,5,FALSE)</f>
        <v>HELVIE ADAM</v>
      </c>
      <c r="M175" s="6">
        <f t="shared" si="44"/>
        <v>9.7453703710925765E-3</v>
      </c>
      <c r="N175" s="7">
        <f t="shared" si="65"/>
        <v>14.03333333437331</v>
      </c>
      <c r="O175" s="7"/>
      <c r="P175" s="7"/>
      <c r="Q175" s="23"/>
      <c r="R175" s="23"/>
      <c r="S175" s="32">
        <f t="shared" si="60"/>
        <v>1</v>
      </c>
      <c r="T175" s="47" t="str">
        <f t="shared" si="45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13:38:43-700',mode:absolute,to:'2017-01-07 15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49" t="str">
        <f t="shared" si="47"/>
        <v>N</v>
      </c>
      <c r="X175" s="173">
        <f t="shared" si="69"/>
        <v>1</v>
      </c>
      <c r="Y175" s="64">
        <f t="shared" si="49"/>
        <v>5.8624000000000001</v>
      </c>
      <c r="Z175" s="64">
        <f t="shared" si="50"/>
        <v>7.6100000000000001E-2</v>
      </c>
      <c r="AA175" s="64">
        <f t="shared" si="51"/>
        <v>5.7862999999999998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 t="shared" si="52"/>
        <v>1818-07</v>
      </c>
      <c r="AE175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5" s="84" t="str">
        <f t="shared" si="54"/>
        <v>"C:\Program Files (x86)\AstroGrep\AstroGrep.exe" /spath="%USERPROFILE%\AppData\Local\Temp\OnboardLogs" /stypes="app*4013*20170107*" /stext=" 21:.+((SYSTEM_STATE.+slice.+state.+changed )|(ment ac)|(multiple cpu faults)|(system.+state.+changed )|(\[timeout)|(PRM\|1\|D)|(kpr)|(kdp)|(\|lc)|(penalty))" /e /r /s</v>
      </c>
      <c r="AG175" s="1" t="str">
        <f t="shared" si="55"/>
        <v>NW</v>
      </c>
      <c r="AH175" s="88" t="str">
        <f t="shared" si="56"/>
        <v>"%USERPROFILE%\Documents\GitHub\eaglep3\Utilities\RefineRTDCRunTimes.py" --tripid 1818-07 --locoid 4013 --swversion DE.1.0.8.0 --startMP 300:58624 --initTime 2017-01-07T14:38:43 --startdatetime 2017-01-07T14:41:16 --delay 1 --endMP 204:761 --enddatetime 2017-01-07T14:55:18 --enforcementcount 0 &gt;&gt;C:\Users\stu\Documents\GitHub\eaglep3-reporting\EC\2017-01-07-refined-times.txt</v>
      </c>
      <c r="AI175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ID","value":"1818-07"},{"id":16,"name":"Locomotive ID","value":"4013"},{"id":130,"name":"Impact","value":""},{"id":150,"name":"Time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8"/>
        <v>start /low /b %USERPROFILE%\Documents\GitHub\eaglep3\Utilities\DownloadLogsFromS3.py --loco 4013 --day 2017-01-07</v>
      </c>
    </row>
    <row r="176" spans="1:91" x14ac:dyDescent="0.25">
      <c r="A176" s="34" t="s">
        <v>584</v>
      </c>
      <c r="B176" s="7">
        <v>4014</v>
      </c>
      <c r="C176" s="22" t="s">
        <v>203</v>
      </c>
      <c r="D176" s="22" t="s">
        <v>728</v>
      </c>
      <c r="E176" s="13">
        <v>42742.637048611112</v>
      </c>
      <c r="F176" s="13">
        <v>42742.639814814815</v>
      </c>
      <c r="G176" s="7">
        <v>1</v>
      </c>
      <c r="H176" s="22" t="s">
        <v>360</v>
      </c>
      <c r="I176" s="13">
        <v>42742.650104166663</v>
      </c>
      <c r="J176" s="7">
        <v>0</v>
      </c>
      <c r="K176" s="105" t="str">
        <f t="shared" si="43"/>
        <v>4013/4014</v>
      </c>
      <c r="L176" s="22" t="str">
        <f>VLOOKUP(A176,'Trips&amp;Operators'!$C$1:$G$99999,5,FALSE)</f>
        <v>HELVIE ADAM</v>
      </c>
      <c r="M176" s="6">
        <f t="shared" si="44"/>
        <v>1.0289351848769002E-2</v>
      </c>
      <c r="N176" s="7">
        <f t="shared" si="65"/>
        <v>14.816666662227362</v>
      </c>
      <c r="O176" s="7"/>
      <c r="P176" s="7"/>
      <c r="Q176" s="23"/>
      <c r="R176" s="23"/>
      <c r="S176" s="32">
        <f t="shared" si="60"/>
        <v>1</v>
      </c>
      <c r="T176" s="47" t="str">
        <f t="shared" si="45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14:17:21-700',mode:absolute,to:'2017-01-07 16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49" t="str">
        <f t="shared" si="47"/>
        <v>N</v>
      </c>
      <c r="X176" s="173">
        <f t="shared" si="69"/>
        <v>1</v>
      </c>
      <c r="Y176" s="64">
        <f t="shared" si="49"/>
        <v>0.10199999999999999</v>
      </c>
      <c r="Z176" s="64">
        <f t="shared" si="50"/>
        <v>5.8933</v>
      </c>
      <c r="AA176" s="64">
        <f t="shared" si="51"/>
        <v>5.7912999999999997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 t="shared" si="52"/>
        <v>1819-07</v>
      </c>
      <c r="AE176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6" s="84" t="str">
        <f t="shared" si="54"/>
        <v>"C:\Program Files (x86)\AstroGrep\AstroGrep.exe" /spath="%USERPROFILE%\AppData\Local\Temp\OnboardLogs" /stypes="app*4014*20170107*" /stext=" 22:.+((SYSTEM_STATE.+slice.+state.+changed )|(ment ac)|(multiple cpu faults)|(system.+state.+changed )|(\[timeout)|(PRM\|1\|D)|(kpr)|(kdp)|(\|lc)|(penalty))" /e /r /s</v>
      </c>
      <c r="AG176" s="1" t="str">
        <f t="shared" si="55"/>
        <v>NW</v>
      </c>
      <c r="AH176" s="88" t="str">
        <f t="shared" si="56"/>
        <v>"%USERPROFILE%\Documents\GitHub\eaglep3\Utilities\RefineRTDCRunTimes.py" --tripid 1819-07 --locoid 4014 --swversion DE.1.0.8.0 --startMP 204:1020 --initTime 2017-01-07T15:17:21 --startdatetime 2017-01-07T15:21:20 --delay 1 --endMP 300:58933 --enddatetime 2017-01-07T15:36:09 --enforcementcount 0 &gt;&gt;C:\Users\stu\Documents\GitHub\eaglep3-reporting\EC\2017-01-07-refined-times.txt</v>
      </c>
      <c r="AI176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{"issue":{"subject":"","project_id":79,"tracker_id":40,"status_id":1,"priority_id":2,"assigned_to_id":23,"start_date":"2017-01-07","description":"","custom_fields":[{"id":1,"name":"Subdivision","value":"NW"},{"id":4,"name":"Milepost","value":"5.8933"},{"id":17,"name":"Train ID","value":"1819-07"},{"id":16,"name":"Locomotive ID","value":"4014"},{"id":130,"name":"Impact","value":""},{"id":150,"name":"Time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58"/>
        <v>start /low /b %USERPROFILE%\Documents\GitHub\eaglep3\Utilities\DownloadLogsFromS3.py --loco 4014 --day 2017-01-07</v>
      </c>
    </row>
    <row r="177" spans="1:91" x14ac:dyDescent="0.25">
      <c r="A177" s="34" t="s">
        <v>586</v>
      </c>
      <c r="B177" s="7">
        <v>4013</v>
      </c>
      <c r="C177" s="22" t="s">
        <v>203</v>
      </c>
      <c r="D177" s="22" t="s">
        <v>727</v>
      </c>
      <c r="E177" s="13">
        <v>42742.651307870372</v>
      </c>
      <c r="F177" s="13">
        <v>42742.652997685182</v>
      </c>
      <c r="G177" s="7">
        <v>1</v>
      </c>
      <c r="H177" s="22" t="s">
        <v>668</v>
      </c>
      <c r="I177" s="13">
        <v>42742.663356481484</v>
      </c>
      <c r="J177" s="7">
        <v>0</v>
      </c>
      <c r="K177" s="105" t="str">
        <f t="shared" si="43"/>
        <v>4013/4014</v>
      </c>
      <c r="L177" s="22" t="str">
        <f>VLOOKUP(A177,'Trips&amp;Operators'!$C$1:$G$99999,5,FALSE)</f>
        <v>HELVIE ADAM</v>
      </c>
      <c r="M177" s="6">
        <f t="shared" si="44"/>
        <v>1.0358796302170958E-2</v>
      </c>
      <c r="N177" s="7">
        <f t="shared" si="65"/>
        <v>14.91666667512618</v>
      </c>
      <c r="O177" s="7"/>
      <c r="P177" s="7"/>
      <c r="Q177" s="23"/>
      <c r="R177" s="23"/>
      <c r="S177" s="32">
        <f t="shared" si="60"/>
        <v>1</v>
      </c>
      <c r="T177" s="47" t="str">
        <f t="shared" si="45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14:37:53-700',mode:absolute,to:'2017-01-07 16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49" t="str">
        <f t="shared" si="47"/>
        <v>N</v>
      </c>
      <c r="X177" s="173">
        <f t="shared" si="69"/>
        <v>1</v>
      </c>
      <c r="Y177" s="64">
        <f t="shared" si="49"/>
        <v>5.8624000000000001</v>
      </c>
      <c r="Z177" s="64">
        <f t="shared" si="50"/>
        <v>7.4800000000000005E-2</v>
      </c>
      <c r="AA177" s="64">
        <f t="shared" si="51"/>
        <v>5.7876000000000003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 t="shared" si="52"/>
        <v>1820-07</v>
      </c>
      <c r="AE177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7" s="84" t="str">
        <f t="shared" si="54"/>
        <v>"C:\Program Files (x86)\AstroGrep\AstroGrep.exe" /spath="%USERPROFILE%\AppData\Local\Temp\OnboardLogs" /stypes="app*4013*20170107*" /stext=" 22:.+((SYSTEM_STATE.+slice.+state.+changed )|(ment ac)|(multiple cpu faults)|(system.+state.+changed )|(\[timeout)|(PRM\|1\|D)|(kpr)|(kdp)|(\|lc)|(penalty))" /e /r /s</v>
      </c>
      <c r="AG177" s="1" t="str">
        <f t="shared" si="55"/>
        <v>NW</v>
      </c>
      <c r="AH177" s="88" t="str">
        <f t="shared" si="56"/>
        <v>"%USERPROFILE%\Documents\GitHub\eaglep3\Utilities\RefineRTDCRunTimes.py" --tripid 1820-07 --locoid 4013 --swversion DE.1.0.8.0 --startMP 300:58624 --initTime 2017-01-07T15:37:53 --startdatetime 2017-01-07T15:40:19 --delay 1 --endMP 204:748 --enddatetime 2017-01-07T15:55:14 --enforcementcount 0 &gt;&gt;C:\Users\stu\Documents\GitHub\eaglep3-reporting\EC\2017-01-07-refined-times.txt</v>
      </c>
      <c r="AI177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{"issue":{"subject":"","project_id":79,"tracker_id":40,"status_id":1,"priority_id":2,"assigned_to_id":23,"start_date":"2017-01-07","description":"","custom_fields":[{"id":1,"name":"Subdivision","value":"NW"},{"id":4,"name":"Milepost","value":"0.0748"},{"id":17,"name":"Train ID","value":"1820-07"},{"id":16,"name":"Locomotive ID","value":"4013"},{"id":130,"name":"Impact","value":""},{"id":150,"name":"Time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8"/>
        <v>start /low /b %USERPROFILE%\Documents\GitHub\eaglep3\Utilities\DownloadLogsFromS3.py --loco 4013 --day 2017-01-07</v>
      </c>
    </row>
    <row r="178" spans="1:91" x14ac:dyDescent="0.25">
      <c r="A178" s="34" t="s">
        <v>593</v>
      </c>
      <c r="B178" s="7">
        <v>4014</v>
      </c>
      <c r="C178" s="22" t="s">
        <v>203</v>
      </c>
      <c r="D178" s="22" t="s">
        <v>729</v>
      </c>
      <c r="E178" s="13">
        <v>42742.677106481482</v>
      </c>
      <c r="F178" s="13">
        <v>42742.681967592594</v>
      </c>
      <c r="G178" s="7">
        <v>1</v>
      </c>
      <c r="H178" s="22" t="s">
        <v>730</v>
      </c>
      <c r="I178" s="13">
        <v>42742.692199074074</v>
      </c>
      <c r="J178" s="7">
        <v>0</v>
      </c>
      <c r="K178" s="105" t="str">
        <f t="shared" si="43"/>
        <v>4013/4014</v>
      </c>
      <c r="L178" s="22" t="str">
        <f>VLOOKUP(A178,'Trips&amp;Operators'!$C$1:$G$99999,5,FALSE)</f>
        <v>HELVIE ADAM</v>
      </c>
      <c r="M178" s="6">
        <f t="shared" si="44"/>
        <v>1.0231481479422655E-2</v>
      </c>
      <c r="N178" s="7">
        <f t="shared" si="65"/>
        <v>14.733333330368623</v>
      </c>
      <c r="O178" s="7"/>
      <c r="P178" s="7"/>
      <c r="Q178" s="23"/>
      <c r="R178" s="23"/>
      <c r="S178" s="32">
        <f t="shared" si="60"/>
        <v>1</v>
      </c>
      <c r="T178" s="47" t="str">
        <f t="shared" si="45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15:15:02-700',mode:absolute,to:'2017-01-07 17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49" t="str">
        <f t="shared" si="47"/>
        <v>N</v>
      </c>
      <c r="X178" s="173">
        <f t="shared" si="69"/>
        <v>1</v>
      </c>
      <c r="Y178" s="64">
        <f t="shared" si="49"/>
        <v>0.1028</v>
      </c>
      <c r="Z178" s="64">
        <f t="shared" si="50"/>
        <v>5.8943000000000003</v>
      </c>
      <c r="AA178" s="64">
        <f t="shared" si="51"/>
        <v>5.7915000000000001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 t="shared" si="52"/>
        <v>1821-07</v>
      </c>
      <c r="AE178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8" s="84" t="str">
        <f t="shared" si="54"/>
        <v>"C:\Program Files (x86)\AstroGrep\AstroGrep.exe" /spath="%USERPROFILE%\AppData\Local\Temp\OnboardLogs" /stypes="app*4014*20170107*" /stext=" 23:.+((SYSTEM_STATE.+slice.+state.+changed )|(ment ac)|(multiple cpu faults)|(system.+state.+changed )|(\[timeout)|(PRM\|1\|D)|(kpr)|(kdp)|(\|lc)|(penalty))" /e /r /s</v>
      </c>
      <c r="AG178" s="1" t="str">
        <f t="shared" si="55"/>
        <v>NW</v>
      </c>
      <c r="AH178" s="88" t="str">
        <f t="shared" si="56"/>
        <v>"%USERPROFILE%\Documents\GitHub\eaglep3\Utilities\RefineRTDCRunTimes.py" --tripid 1821-07 --locoid 4014 --swversion DE.1.0.8.0 --startMP 204:1028 --initTime 2017-01-07T16:15:02 --startdatetime 2017-01-07T16:22:02 --delay 1 --endMP 300:58943 --enddatetime 2017-01-07T16:36:46 --enforcementcount 0 &gt;&gt;C:\Users\stu\Documents\GitHub\eaglep3-reporting\EC\2017-01-07-refined-times.txt</v>
      </c>
      <c r="AI178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{"issue":{"subject":"","project_id":79,"tracker_id":40,"status_id":1,"priority_id":2,"assigned_to_id":23,"start_date":"2017-01-07","description":"","custom_fields":[{"id":1,"name":"Subdivision","value":"NW"},{"id":4,"name":"Milepost","value":"5.8943"},{"id":17,"name":"Train ID","value":"1821-07"},{"id":16,"name":"Locomotive ID","value":"4014"},{"id":130,"name":"Impact","value":""},{"id":150,"name":"Time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8"/>
        <v>start /low /b %USERPROFILE%\Documents\GitHub\eaglep3\Utilities\DownloadLogsFromS3.py --loco 4014 --day 2017-01-07</v>
      </c>
    </row>
    <row r="179" spans="1:91" s="21" customFormat="1" x14ac:dyDescent="0.25">
      <c r="A179" s="34" t="s">
        <v>598</v>
      </c>
      <c r="B179" s="7">
        <v>4013</v>
      </c>
      <c r="C179" s="22" t="s">
        <v>203</v>
      </c>
      <c r="D179" s="22" t="s">
        <v>334</v>
      </c>
      <c r="E179" s="13">
        <v>42742.693206018521</v>
      </c>
      <c r="F179" s="13">
        <v>42742.69494212963</v>
      </c>
      <c r="G179" s="7">
        <v>1</v>
      </c>
      <c r="H179" s="22" t="s">
        <v>731</v>
      </c>
      <c r="I179" s="13">
        <v>42742.705266203702</v>
      </c>
      <c r="J179" s="7">
        <v>0</v>
      </c>
      <c r="K179" s="105" t="str">
        <f t="shared" si="43"/>
        <v>4013/4014</v>
      </c>
      <c r="L179" s="22" t="str">
        <f>VLOOKUP(A179,'Trips&amp;Operators'!$C$1:$G$99999,5,FALSE)</f>
        <v>HELVIE ADAM</v>
      </c>
      <c r="M179" s="6">
        <f t="shared" si="44"/>
        <v>1.0324074071832001E-2</v>
      </c>
      <c r="N179" s="7">
        <f t="shared" si="65"/>
        <v>14.866666663438082</v>
      </c>
      <c r="O179" s="7"/>
      <c r="P179" s="7"/>
      <c r="Q179" s="23"/>
      <c r="R179" s="23"/>
      <c r="S179" s="32">
        <f t="shared" si="60"/>
        <v>1</v>
      </c>
      <c r="T179" s="47" t="str">
        <f t="shared" si="45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15:38:13-700',mode:absolute,to:'2017-01-07 17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49" t="str">
        <f t="shared" si="47"/>
        <v>N</v>
      </c>
      <c r="X179" s="173">
        <f t="shared" si="69"/>
        <v>1</v>
      </c>
      <c r="Y179" s="64">
        <f t="shared" si="49"/>
        <v>5.8619000000000003</v>
      </c>
      <c r="Z179" s="64">
        <f t="shared" si="50"/>
        <v>7.4300000000000005E-2</v>
      </c>
      <c r="AA179" s="64">
        <f t="shared" si="51"/>
        <v>5.7876000000000003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 t="shared" si="52"/>
        <v>1822-07</v>
      </c>
      <c r="AE179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9" s="84" t="str">
        <f t="shared" si="54"/>
        <v>"C:\Program Files (x86)\AstroGrep\AstroGrep.exe" /spath="%USERPROFILE%\AppData\Local\Temp\OnboardLogs" /stypes="app*4013*20170107*" /stext=" 23:.+((SYSTEM_STATE.+slice.+state.+changed )|(ment ac)|(multiple cpu faults)|(system.+state.+changed )|(\[timeout)|(PRM\|1\|D)|(kpr)|(kdp)|(\|lc)|(penalty))" /e /r /s</v>
      </c>
      <c r="AG179" s="1" t="str">
        <f t="shared" si="55"/>
        <v>NW</v>
      </c>
      <c r="AH179" s="88" t="str">
        <f t="shared" si="56"/>
        <v>"%USERPROFILE%\Documents\GitHub\eaglep3\Utilities\RefineRTDCRunTimes.py" --tripid 1822-07 --locoid 4013 --swversion DE.1.0.8.0 --startMP 300:58619 --initTime 2017-01-07T16:38:13 --startdatetime 2017-01-07T16:40:43 --delay 1 --endMP 204:743 --enddatetime 2017-01-07T16:55:35 --enforcementcount 0 &gt;&gt;C:\Users\stu\Documents\GitHub\eaglep3-reporting\EC\2017-01-07-refined-times.txt</v>
      </c>
      <c r="AI179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{"issue":{"subject":"","project_id":79,"tracker_id":40,"status_id":1,"priority_id":2,"assigned_to_id":23,"start_date":"2017-01-07","description":"","custom_fields":[{"id":1,"name":"Subdivision","value":"NW"},{"id":4,"name":"Milepost","value":"0.0743"},{"id":17,"name":"Train ID","value":"1822-07"},{"id":16,"name":"Locomotive ID","value":"4013"},{"id":130,"name":"Impact","value":""},{"id":150,"name":"Time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8"/>
        <v>start /low /b %USERPROFILE%\Documents\GitHub\eaglep3\Utilities\DownloadLogsFromS3.py --loco 4013 --day 2017-01-07</v>
      </c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4" t="s">
        <v>605</v>
      </c>
      <c r="B180" s="7">
        <v>4014</v>
      </c>
      <c r="C180" s="22" t="s">
        <v>203</v>
      </c>
      <c r="D180" s="22" t="s">
        <v>732</v>
      </c>
      <c r="E180" s="13">
        <v>42742.721435185187</v>
      </c>
      <c r="F180" s="13">
        <v>42742.723182870373</v>
      </c>
      <c r="G180" s="7">
        <v>1</v>
      </c>
      <c r="H180" s="22" t="s">
        <v>359</v>
      </c>
      <c r="I180" s="13">
        <v>42742.733217592591</v>
      </c>
      <c r="J180" s="7">
        <v>0</v>
      </c>
      <c r="K180" s="105" t="str">
        <f t="shared" si="43"/>
        <v>4013/4014</v>
      </c>
      <c r="L180" s="22" t="str">
        <f>VLOOKUP(A180,'Trips&amp;Operators'!$C$1:$G$99999,5,FALSE)</f>
        <v>HELVIE ADAM</v>
      </c>
      <c r="M180" s="6">
        <f t="shared" si="44"/>
        <v>1.003472221782431E-2</v>
      </c>
      <c r="N180" s="7">
        <f t="shared" si="65"/>
        <v>14.449999993667006</v>
      </c>
      <c r="O180" s="7"/>
      <c r="P180" s="7"/>
      <c r="Q180" s="23"/>
      <c r="R180" s="23"/>
      <c r="S180" s="32">
        <f t="shared" si="60"/>
        <v>1</v>
      </c>
      <c r="T180" s="47" t="str">
        <f t="shared" si="45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16:18:52-700',mode:absolute,to:'2017-01-07 18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49" t="str">
        <f t="shared" si="47"/>
        <v>N</v>
      </c>
      <c r="X180" s="173">
        <f t="shared" si="69"/>
        <v>1</v>
      </c>
      <c r="Y180" s="64">
        <f t="shared" si="49"/>
        <v>0.1032</v>
      </c>
      <c r="Z180" s="64">
        <f t="shared" si="50"/>
        <v>5.8945999999999996</v>
      </c>
      <c r="AA180" s="64">
        <f t="shared" si="51"/>
        <v>5.7913999999999994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 t="shared" si="52"/>
        <v>1823-07</v>
      </c>
      <c r="AE180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0" s="84" t="str">
        <f t="shared" si="54"/>
        <v>"C:\Program Files (x86)\AstroGrep\AstroGrep.exe" /spath="%USERPROFILE%\AppData\Local\Temp\OnboardLogs" /stypes="app*4014*20170108*" /stext=" 00:.+((SYSTEM_STATE.+slice.+state.+changed )|(ment ac)|(multiple cpu faults)|(system.+state.+changed )|(\[timeout)|(PRM\|1\|D)|(kpr)|(kdp)|(\|lc)|(penalty))" /e /r /s</v>
      </c>
      <c r="AG180" s="1" t="str">
        <f t="shared" si="55"/>
        <v>NW</v>
      </c>
      <c r="AH180" s="88" t="str">
        <f t="shared" si="56"/>
        <v>"%USERPROFILE%\Documents\GitHub\eaglep3\Utilities\RefineRTDCRunTimes.py" --tripid 1823-07 --locoid 4014 --swversion DE.1.0.8.0 --startMP 204:1032 --initTime 2017-01-07T17:18:52 --startdatetime 2017-01-07T17:21:23 --delay 1 --endMP 300:58946 --enddatetime 2017-01-07T17:35:50 --enforcementcount 0 &gt;&gt;C:\Users\stu\Documents\GitHub\eaglep3-reporting\EC\2017-01-07-refined-times.txt</v>
      </c>
      <c r="AI180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{"issue":{"subject":"","project_id":79,"tracker_id":40,"status_id":1,"priority_id":2,"assigned_to_id":23,"start_date":"2017-01-07","description":"","custom_fields":[{"id":1,"name":"Subdivision","value":"NW"},{"id":4,"name":"Milepost","value":"5.8946"},{"id":17,"name":"Train ID","value":"1823-07"},{"id":16,"name":"Locomotive ID","value":"4014"},{"id":130,"name":"Impact","value":""},{"id":150,"name":"Time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8"/>
        <v>start /low /b %USERPROFILE%\Documents\GitHub\eaglep3\Utilities\DownloadLogsFromS3.py --loco 4014 --day 2017-01-07</v>
      </c>
    </row>
    <row r="181" spans="1:91" s="21" customFormat="1" x14ac:dyDescent="0.25">
      <c r="A181" s="34" t="s">
        <v>608</v>
      </c>
      <c r="B181" s="7">
        <v>4013</v>
      </c>
      <c r="C181" s="22" t="s">
        <v>203</v>
      </c>
      <c r="D181" s="22" t="s">
        <v>727</v>
      </c>
      <c r="E181" s="13">
        <v>42742.734143518515</v>
      </c>
      <c r="F181" s="13">
        <v>42742.735856481479</v>
      </c>
      <c r="G181" s="7">
        <v>1</v>
      </c>
      <c r="H181" s="22" t="s">
        <v>420</v>
      </c>
      <c r="I181" s="13">
        <v>42742.747118055559</v>
      </c>
      <c r="J181" s="7">
        <v>0</v>
      </c>
      <c r="K181" s="105" t="str">
        <f t="shared" si="43"/>
        <v>4013/4014</v>
      </c>
      <c r="L181" s="22" t="str">
        <f>VLOOKUP(A181,'Trips&amp;Operators'!$C$1:$G$99999,5,FALSE)</f>
        <v>HELVIE ADAM</v>
      </c>
      <c r="M181" s="6">
        <f t="shared" si="44"/>
        <v>1.1261574079981074E-2</v>
      </c>
      <c r="N181" s="7">
        <f t="shared" si="65"/>
        <v>16.216666675172746</v>
      </c>
      <c r="O181" s="7"/>
      <c r="P181" s="7"/>
      <c r="Q181" s="23"/>
      <c r="R181" s="23"/>
      <c r="S181" s="32">
        <f t="shared" si="60"/>
        <v>1</v>
      </c>
      <c r="T181" s="47" t="str">
        <f t="shared" si="45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16:37:10-700',mode:absolute,to:'2017-01-07 18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49" t="str">
        <f t="shared" si="47"/>
        <v>N</v>
      </c>
      <c r="X181" s="173">
        <f t="shared" si="69"/>
        <v>1</v>
      </c>
      <c r="Y181" s="64">
        <f t="shared" si="49"/>
        <v>5.8624000000000001</v>
      </c>
      <c r="Z181" s="64">
        <f t="shared" si="50"/>
        <v>7.0999999999999994E-2</v>
      </c>
      <c r="AA181" s="64">
        <f t="shared" si="51"/>
        <v>5.7914000000000003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 t="shared" si="52"/>
        <v>1824-07</v>
      </c>
      <c r="AE181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1" s="84" t="str">
        <f t="shared" si="54"/>
        <v>"C:\Program Files (x86)\AstroGrep\AstroGrep.exe" /spath="%USERPROFILE%\AppData\Local\Temp\OnboardLogs" /stypes="app*4013*20170108*" /stext=" 00:.+((SYSTEM_STATE.+slice.+state.+changed )|(ment ac)|(multiple cpu faults)|(system.+state.+changed )|(\[timeout)|(PRM\|1\|D)|(kpr)|(kdp)|(\|lc)|(penalty))" /e /r /s</v>
      </c>
      <c r="AG181" s="1" t="str">
        <f t="shared" si="55"/>
        <v>NW</v>
      </c>
      <c r="AH181" s="88" t="str">
        <f t="shared" si="56"/>
        <v>"%USERPROFILE%\Documents\GitHub\eaglep3\Utilities\RefineRTDCRunTimes.py" --tripid 1824-07 --locoid 4013 --swversion DE.1.0.8.0 --startMP 300:58624 --initTime 2017-01-07T17:37:10 --startdatetime 2017-01-07T17:39:38 --delay 1 --endMP 204:710 --enddatetime 2017-01-07T17:55:51 --enforcementcount 0 &gt;&gt;C:\Users\stu\Documents\GitHub\eaglep3-reporting\EC\2017-01-07-refined-times.txt</v>
      </c>
      <c r="AI181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{"issue":{"subject":"","project_id":79,"tracker_id":40,"status_id":1,"priority_id":2,"assigned_to_id":23,"start_date":"2017-01-07","description":"","custom_fields":[{"id":1,"name":"Subdivision","value":"NW"},{"id":4,"name":"Milepost","value":"0.071"},{"id":17,"name":"Train ID","value":"1824-07"},{"id":16,"name":"Locomotive ID","value":"4013"},{"id":130,"name":"Impact","value":""},{"id":150,"name":"Time of Event (Mountain Time)","value":"17:55:51"},{"id":151,"name":"Denver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8"/>
        <v>start /low /b %USERPROFILE%\Documents\GitHub\eaglep3\Utilities\DownloadLogsFromS3.py --loco 4013 --day 2017-01-07</v>
      </c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620</v>
      </c>
      <c r="B182" s="7">
        <v>4014</v>
      </c>
      <c r="C182" s="22" t="s">
        <v>203</v>
      </c>
      <c r="D182" s="22" t="s">
        <v>733</v>
      </c>
      <c r="E182" s="13">
        <v>42742.762731481482</v>
      </c>
      <c r="F182" s="13">
        <v>42742.764826388891</v>
      </c>
      <c r="G182" s="7">
        <v>1</v>
      </c>
      <c r="H182" s="22" t="s">
        <v>734</v>
      </c>
      <c r="I182" s="13">
        <v>42742.774699074071</v>
      </c>
      <c r="J182" s="7">
        <v>0</v>
      </c>
      <c r="K182" s="105" t="str">
        <f t="shared" si="43"/>
        <v>4013/4014</v>
      </c>
      <c r="L182" s="22" t="str">
        <f>VLOOKUP(A182,'Trips&amp;Operators'!$C$1:$G$99999,5,FALSE)</f>
        <v>HELVIE ADAM</v>
      </c>
      <c r="M182" s="6">
        <f t="shared" si="44"/>
        <v>9.8726851792889647E-3</v>
      </c>
      <c r="N182" s="7">
        <f t="shared" si="65"/>
        <v>14.216666658176109</v>
      </c>
      <c r="O182" s="7"/>
      <c r="P182" s="7"/>
      <c r="Q182" s="23"/>
      <c r="R182" s="23"/>
      <c r="S182" s="32">
        <f t="shared" si="60"/>
        <v>1</v>
      </c>
      <c r="T182" s="47" t="str">
        <f t="shared" si="45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17:18:20-700',mode:absolute,to:'2017-01-07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49" t="str">
        <f t="shared" si="47"/>
        <v>N</v>
      </c>
      <c r="X182" s="173">
        <f t="shared" si="69"/>
        <v>1</v>
      </c>
      <c r="Y182" s="64">
        <f t="shared" si="49"/>
        <v>0.1016</v>
      </c>
      <c r="Z182" s="64">
        <f t="shared" si="50"/>
        <v>5.8948</v>
      </c>
      <c r="AA182" s="64">
        <f t="shared" si="51"/>
        <v>5.7931999999999997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 t="shared" si="52"/>
        <v>1825-07</v>
      </c>
      <c r="AE182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2" s="84" t="str">
        <f t="shared" si="54"/>
        <v>"C:\Program Files (x86)\AstroGrep\AstroGrep.exe" /spath="%USERPROFILE%\AppData\Local\Temp\OnboardLogs" /stypes="app*4014*20170108*" /stext=" 01:.+((SYSTEM_STATE.+slice.+state.+changed )|(ment ac)|(multiple cpu faults)|(system.+state.+changed )|(\[timeout)|(PRM\|1\|D)|(kpr)|(kdp)|(\|lc)|(penalty))" /e /r /s</v>
      </c>
      <c r="AG182" s="1" t="str">
        <f t="shared" si="55"/>
        <v>NW</v>
      </c>
      <c r="AH182" s="88" t="str">
        <f t="shared" si="56"/>
        <v>"%USERPROFILE%\Documents\GitHub\eaglep3\Utilities\RefineRTDCRunTimes.py" --tripid 1825-07 --locoid 4014 --swversion DE.1.0.8.0 --startMP 204:1016 --initTime 2017-01-07T18:18:20 --startdatetime 2017-01-07T18:21:21 --delay 1 --endMP 300:58948 --enddatetime 2017-01-07T18:35:34 --enforcementcount 0 &gt;&gt;C:\Users\stu\Documents\GitHub\eaglep3-reporting\EC\2017-01-07-refined-times.txt</v>
      </c>
      <c r="AI182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{"issue":{"subject":"","project_id":79,"tracker_id":40,"status_id":1,"priority_id":2,"assigned_to_id":23,"start_date":"2017-01-07","description":"","custom_fields":[{"id":1,"name":"Subdivision","value":"NW"},{"id":4,"name":"Milepost","value":"5.8948"},{"id":17,"name":"Train ID","value":"1825-07"},{"id":16,"name":"Locomotive ID","value":"4014"},{"id":130,"name":"Impact","value":""},{"id":150,"name":"Time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8"/>
        <v>start /low /b %USERPROFILE%\Documents\GitHub\eaglep3\Utilities\DownloadLogsFromS3.py --loco 4014 --day 2017-01-07</v>
      </c>
    </row>
    <row r="183" spans="1:91" x14ac:dyDescent="0.25">
      <c r="A183" s="34" t="s">
        <v>624</v>
      </c>
      <c r="B183" s="7">
        <v>4013</v>
      </c>
      <c r="C183" s="22" t="s">
        <v>203</v>
      </c>
      <c r="D183" s="22" t="s">
        <v>422</v>
      </c>
      <c r="E183" s="13">
        <v>42742.775740740741</v>
      </c>
      <c r="F183" s="13">
        <v>42742.777094907404</v>
      </c>
      <c r="G183" s="7">
        <v>1</v>
      </c>
      <c r="H183" s="22" t="s">
        <v>735</v>
      </c>
      <c r="I183" s="13">
        <v>42742.790150462963</v>
      </c>
      <c r="J183" s="7">
        <v>0</v>
      </c>
      <c r="K183" s="105" t="str">
        <f t="shared" si="43"/>
        <v>4013/4014</v>
      </c>
      <c r="L183" s="22" t="str">
        <f>VLOOKUP(A183,'Trips&amp;Operators'!$C$1:$G$99999,5,FALSE)</f>
        <v>HELVIE ADAM</v>
      </c>
      <c r="M183" s="6">
        <f t="shared" si="44"/>
        <v>1.3055555558821652E-2</v>
      </c>
      <c r="N183" s="7">
        <f t="shared" si="65"/>
        <v>18.800000004703179</v>
      </c>
      <c r="O183" s="7"/>
      <c r="P183" s="7"/>
      <c r="Q183" s="23"/>
      <c r="R183" s="23"/>
      <c r="S183" s="32">
        <f t="shared" si="60"/>
        <v>1</v>
      </c>
      <c r="T183" s="47" t="str">
        <f t="shared" si="45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17:37:04-700',mode:absolute,to:'2017-01-07 19:57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49" t="str">
        <f t="shared" si="47"/>
        <v>N</v>
      </c>
      <c r="X183" s="173">
        <f t="shared" si="69"/>
        <v>1</v>
      </c>
      <c r="Y183" s="64">
        <f t="shared" si="49"/>
        <v>5.8630000000000004</v>
      </c>
      <c r="Z183" s="64">
        <f t="shared" si="50"/>
        <v>7.3999999999999996E-2</v>
      </c>
      <c r="AA183" s="64">
        <f t="shared" si="51"/>
        <v>5.7890000000000006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 t="shared" si="52"/>
        <v>1826-07</v>
      </c>
      <c r="AE183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3" s="84" t="str">
        <f t="shared" si="54"/>
        <v>"C:\Program Files (x86)\AstroGrep\AstroGrep.exe" /spath="%USERPROFILE%\AppData\Local\Temp\OnboardLogs" /stypes="app*4013*20170108*" /stext=" 01:.+((SYSTEM_STATE.+slice.+state.+changed )|(ment ac)|(multiple cpu faults)|(system.+state.+changed )|(\[timeout)|(PRM\|1\|D)|(kpr)|(kdp)|(\|lc)|(penalty))" /e /r /s</v>
      </c>
      <c r="AG183" s="1" t="str">
        <f t="shared" si="55"/>
        <v>NW</v>
      </c>
      <c r="AH183" s="88" t="str">
        <f t="shared" si="56"/>
        <v>"%USERPROFILE%\Documents\GitHub\eaglep3\Utilities\RefineRTDCRunTimes.py" --tripid 1826-07 --locoid 4013 --swversion DE.1.0.8.0 --startMP 300:58630 --initTime 2017-01-07T18:37:04 --startdatetime 2017-01-07T18:39:01 --delay 1 --endMP 204:740 --enddatetime 2017-01-07T18:57:49 --enforcementcount 0 &gt;&gt;C:\Users\stu\Documents\GitHub\eaglep3-reporting\EC\2017-01-07-refined-times.txt</v>
      </c>
      <c r="AI183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{"issue":{"subject":"","project_id":79,"tracker_id":40,"status_id":1,"priority_id":2,"assigned_to_id":23,"start_date":"2017-01-07","description":"","custom_fields":[{"id":1,"name":"Subdivision","value":"NW"},{"id":4,"name":"Milepost","value":"0.074"},{"id":17,"name":"Train ID","value":"1826-07"},{"id":16,"name":"Locomotive ID","value":"4013"},{"id":130,"name":"Impact","value":""},{"id":150,"name":"Time of Event (Mountain Time)","value":"18:57:49"},{"id":151,"name":"Denver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8"/>
        <v>start /low /b %USERPROFILE%\Documents\GitHub\eaglep3\Utilities\DownloadLogsFromS3.py --loco 4013 --day 2017-01-07</v>
      </c>
    </row>
    <row r="184" spans="1:91" x14ac:dyDescent="0.25">
      <c r="A184" s="34" t="s">
        <v>455</v>
      </c>
      <c r="B184" s="7">
        <v>4014</v>
      </c>
      <c r="C184" s="22" t="s">
        <v>203</v>
      </c>
      <c r="D184" s="22" t="s">
        <v>736</v>
      </c>
      <c r="E184" s="13">
        <v>42742.800995370373</v>
      </c>
      <c r="F184" s="13">
        <v>42742.806435185186</v>
      </c>
      <c r="G184" s="7">
        <v>1</v>
      </c>
      <c r="H184" s="22" t="s">
        <v>734</v>
      </c>
      <c r="I184" s="13">
        <v>42742.817083333335</v>
      </c>
      <c r="J184" s="7">
        <v>0</v>
      </c>
      <c r="K184" s="105" t="str">
        <f t="shared" si="43"/>
        <v>4013/4014</v>
      </c>
      <c r="L184" s="22" t="str">
        <f>VLOOKUP(A184,'Trips&amp;Operators'!$C$1:$G$99999,5,FALSE)</f>
        <v>HELVIE ADAM</v>
      </c>
      <c r="M184" s="6">
        <f t="shared" si="44"/>
        <v>1.0648148148902692E-2</v>
      </c>
      <c r="N184" s="7">
        <f t="shared" si="65"/>
        <v>15.333333334419876</v>
      </c>
      <c r="O184" s="7"/>
      <c r="P184" s="7"/>
      <c r="Q184" s="23"/>
      <c r="R184" s="23"/>
      <c r="S184" s="32">
        <f t="shared" si="60"/>
        <v>1</v>
      </c>
      <c r="T184" s="47" t="str">
        <f t="shared" si="45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18:13:26-700',mode:absolute,to:'2017-01-07 20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49" t="str">
        <f t="shared" si="47"/>
        <v>N</v>
      </c>
      <c r="X184" s="173">
        <f t="shared" si="69"/>
        <v>1</v>
      </c>
      <c r="Y184" s="64">
        <f t="shared" si="49"/>
        <v>0.10340000000000001</v>
      </c>
      <c r="Z184" s="64">
        <f t="shared" si="50"/>
        <v>5.8948</v>
      </c>
      <c r="AA184" s="64">
        <f t="shared" si="51"/>
        <v>5.7914000000000003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 t="shared" si="52"/>
        <v>1827-07</v>
      </c>
      <c r="AE184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4" s="84" t="str">
        <f t="shared" si="54"/>
        <v>"C:\Program Files (x86)\AstroGrep\AstroGrep.exe" /spath="%USERPROFILE%\AppData\Local\Temp\OnboardLogs" /stypes="app*4014*20170108*" /stext=" 02:.+((SYSTEM_STATE.+slice.+state.+changed )|(ment ac)|(multiple cpu faults)|(system.+state.+changed )|(\[timeout)|(PRM\|1\|D)|(kpr)|(kdp)|(\|lc)|(penalty))" /e /r /s</v>
      </c>
      <c r="AG184" s="1" t="str">
        <f t="shared" si="55"/>
        <v>NW</v>
      </c>
      <c r="AH184" s="88" t="str">
        <f t="shared" si="56"/>
        <v>"%USERPROFILE%\Documents\GitHub\eaglep3\Utilities\RefineRTDCRunTimes.py" --tripid 1827-07 --locoid 4014 --swversion DE.1.0.8.0 --startMP 204:1034 --initTime 2017-01-07T19:13:26 --startdatetime 2017-01-07T19:21:16 --delay 1 --endMP 300:58948 --enddatetime 2017-01-07T19:36:36 --enforcementcount 0 &gt;&gt;C:\Users\stu\Documents\GitHub\eaglep3-reporting\EC\2017-01-07-refined-times.txt</v>
      </c>
      <c r="AI184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{"issue":{"subject":"","project_id":79,"tracker_id":40,"status_id":1,"priority_id":2,"assigned_to_id":23,"start_date":"2017-01-07","description":"","custom_fields":[{"id":1,"name":"Subdivision","value":"NW"},{"id":4,"name":"Milepost","value":"5.8948"},{"id":17,"name":"Train ID","value":"1827-07"},{"id":16,"name":"Locomotive ID","value":"4014"},{"id":130,"name":"Impact","value":""},{"id":150,"name":"Time of Event (Mountain Time)","value":"19:36:36"},{"id":151,"name":"Denver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8"/>
        <v>start /low /b %USERPROFILE%\Documents\GitHub\eaglep3\Utilities\DownloadLogsFromS3.py --loco 4014 --day 2017-01-07</v>
      </c>
    </row>
    <row r="185" spans="1:91" s="21" customFormat="1" x14ac:dyDescent="0.25">
      <c r="A185" s="34" t="s">
        <v>631</v>
      </c>
      <c r="B185" s="7">
        <v>4013</v>
      </c>
      <c r="C185" s="22" t="s">
        <v>203</v>
      </c>
      <c r="D185" s="22" t="s">
        <v>737</v>
      </c>
      <c r="E185" s="13">
        <v>42742.818784722222</v>
      </c>
      <c r="F185" s="13">
        <v>42742.820104166669</v>
      </c>
      <c r="G185" s="7">
        <v>1</v>
      </c>
      <c r="H185" s="22" t="s">
        <v>738</v>
      </c>
      <c r="I185" s="13">
        <v>42742.830636574072</v>
      </c>
      <c r="J185" s="7">
        <v>0</v>
      </c>
      <c r="K185" s="105" t="str">
        <f t="shared" si="43"/>
        <v>4013/4014</v>
      </c>
      <c r="L185" s="22" t="str">
        <f>VLOOKUP(A185,'Trips&amp;Operators'!$C$1:$G$99999,5,FALSE)</f>
        <v>HELVIE ADAM</v>
      </c>
      <c r="M185" s="6">
        <f t="shared" si="44"/>
        <v>1.0532407402934041E-2</v>
      </c>
      <c r="N185" s="7">
        <f t="shared" si="65"/>
        <v>15.166666660225019</v>
      </c>
      <c r="O185" s="7"/>
      <c r="P185" s="7"/>
      <c r="Q185" s="23"/>
      <c r="R185" s="23"/>
      <c r="S185" s="32">
        <f t="shared" si="60"/>
        <v>1</v>
      </c>
      <c r="T185" s="47" t="str">
        <f t="shared" si="45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18:39:03-700',mode:absolute,to:'2017-01-07 20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49" t="str">
        <f t="shared" si="47"/>
        <v>N</v>
      </c>
      <c r="X185" s="173">
        <f t="shared" si="69"/>
        <v>1</v>
      </c>
      <c r="Y185" s="64">
        <f t="shared" si="49"/>
        <v>5.8639999999999999</v>
      </c>
      <c r="Z185" s="64">
        <f t="shared" si="50"/>
        <v>7.5399999999999995E-2</v>
      </c>
      <c r="AA185" s="64">
        <f t="shared" si="51"/>
        <v>5.7885999999999997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 t="shared" si="52"/>
        <v>1828-07</v>
      </c>
      <c r="AE185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5" s="84" t="str">
        <f t="shared" si="54"/>
        <v>"C:\Program Files (x86)\AstroGrep\AstroGrep.exe" /spath="%USERPROFILE%\AppData\Local\Temp\OnboardLogs" /stypes="app*4013*20170108*" /stext=" 02:.+((SYSTEM_STATE.+slice.+state.+changed )|(ment ac)|(multiple cpu faults)|(system.+state.+changed )|(\[timeout)|(PRM\|1\|D)|(kpr)|(kdp)|(\|lc)|(penalty))" /e /r /s</v>
      </c>
      <c r="AG185" s="1" t="str">
        <f t="shared" si="55"/>
        <v>NW</v>
      </c>
      <c r="AH185" s="88" t="str">
        <f t="shared" si="56"/>
        <v>"%USERPROFILE%\Documents\GitHub\eaglep3\Utilities\RefineRTDCRunTimes.py" --tripid 1828-07 --locoid 4013 --swversion DE.1.0.8.0 --startMP 300:58640 --initTime 2017-01-07T19:39:03 --startdatetime 2017-01-07T19:40:57 --delay 1 --endMP 204:754 --enddatetime 2017-01-07T19:56:07 --enforcementcount 0 &gt;&gt;C:\Users\stu\Documents\GitHub\eaglep3-reporting\EC\2017-01-07-refined-times.txt</v>
      </c>
      <c r="AI185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{"issue":{"subject":"","project_id":79,"tracker_id":40,"status_id":1,"priority_id":2,"assigned_to_id":23,"start_date":"2017-01-07","description":"","custom_fields":[{"id":1,"name":"Subdivision","value":"NW"},{"id":4,"name":"Milepost","value":"0.0754"},{"id":17,"name":"Train ID","value":"1828-07"},{"id":16,"name":"Locomotive ID","value":"4013"},{"id":130,"name":"Impact","value":""},{"id":150,"name":"Time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8"/>
        <v>start /low /b %USERPROFILE%\Documents\GitHub\eaglep3\Utilities\DownloadLogsFromS3.py --loco 4013 --day 2017-01-07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635</v>
      </c>
      <c r="B186" s="7">
        <v>4014</v>
      </c>
      <c r="C186" s="22" t="s">
        <v>203</v>
      </c>
      <c r="D186" s="22" t="s">
        <v>739</v>
      </c>
      <c r="E186" s="13">
        <v>42742.845243055555</v>
      </c>
      <c r="F186" s="13">
        <v>42742.848194444443</v>
      </c>
      <c r="G186" s="7">
        <v>1</v>
      </c>
      <c r="H186" s="22" t="s">
        <v>424</v>
      </c>
      <c r="I186" s="13">
        <v>42742.858229166668</v>
      </c>
      <c r="J186" s="7">
        <v>0</v>
      </c>
      <c r="K186" s="105" t="str">
        <f t="shared" si="43"/>
        <v>4013/4014</v>
      </c>
      <c r="L186" s="22" t="str">
        <f>VLOOKUP(A186,'Trips&amp;Operators'!$C$1:$G$99999,5,FALSE)</f>
        <v>HELVIE ADAM</v>
      </c>
      <c r="M186" s="6">
        <f t="shared" si="44"/>
        <v>1.0034722225100268E-2</v>
      </c>
      <c r="N186" s="7">
        <f t="shared" si="65"/>
        <v>14.450000004144385</v>
      </c>
      <c r="O186" s="7"/>
      <c r="P186" s="7"/>
      <c r="Q186" s="23"/>
      <c r="R186" s="23"/>
      <c r="S186" s="32">
        <f t="shared" si="60"/>
        <v>1</v>
      </c>
      <c r="T186" s="47" t="str">
        <f t="shared" si="45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19:17:09-700',mode:absolute,to:'2017-01-07 21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6" s="49" t="str">
        <f t="shared" si="47"/>
        <v>N</v>
      </c>
      <c r="X186" s="173">
        <f t="shared" si="69"/>
        <v>1</v>
      </c>
      <c r="Y186" s="64">
        <f t="shared" si="49"/>
        <v>0.1041</v>
      </c>
      <c r="Z186" s="64">
        <f t="shared" si="50"/>
        <v>5.8936999999999999</v>
      </c>
      <c r="AA186" s="64">
        <f t="shared" si="51"/>
        <v>5.7896000000000001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 t="shared" si="52"/>
        <v>1829-07</v>
      </c>
      <c r="AE186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6" s="84" t="str">
        <f t="shared" si="54"/>
        <v>"C:\Program Files (x86)\AstroGrep\AstroGrep.exe" /spath="%USERPROFILE%\AppData\Local\Temp\OnboardLogs" /stypes="app*4014*20170108*" /stext=" 03:.+((SYSTEM_STATE.+slice.+state.+changed )|(ment ac)|(multiple cpu faults)|(system.+state.+changed )|(\[timeout)|(PRM\|1\|D)|(kpr)|(kdp)|(\|lc)|(penalty))" /e /r /s</v>
      </c>
      <c r="AG186" s="1" t="str">
        <f t="shared" si="55"/>
        <v>NW</v>
      </c>
      <c r="AH186" s="88" t="str">
        <f t="shared" si="56"/>
        <v>"%USERPROFILE%\Documents\GitHub\eaglep3\Utilities\RefineRTDCRunTimes.py" --tripid 1829-07 --locoid 4014 --swversion DE.1.0.8.0 --startMP 204:1041 --initTime 2017-01-07T20:17:09 --startdatetime 2017-01-07T20:21:24 --delay 1 --endMP 300:58937 --enddatetime 2017-01-07T20:35:51 --enforcementcount 0 &gt;&gt;C:\Users\stu\Documents\GitHub\eaglep3-reporting\EC\2017-01-07-refined-times.txt</v>
      </c>
      <c r="AI186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{"issue":{"subject":"","project_id":79,"tracker_id":40,"status_id":1,"priority_id":2,"assigned_to_id":23,"start_date":"2017-01-07","description":"","custom_fields":[{"id":1,"name":"Subdivision","value":"NW"},{"id":4,"name":"Milepost","value":"5.8937"},{"id":17,"name":"Train ID","value":"1829-07"},{"id":16,"name":"Locomotive ID","value":"4014"},{"id":130,"name":"Impact","value":""},{"id":150,"name":"Time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8"/>
        <v>start /low /b %USERPROFILE%\Documents\GitHub\eaglep3\Utilities\DownloadLogsFromS3.py --loco 4014 --day 2017-01-07</v>
      </c>
    </row>
    <row r="187" spans="1:91" x14ac:dyDescent="0.25">
      <c r="A187" s="34" t="s">
        <v>636</v>
      </c>
      <c r="B187" s="7">
        <v>4013</v>
      </c>
      <c r="C187" s="22" t="s">
        <v>203</v>
      </c>
      <c r="D187" s="22" t="s">
        <v>427</v>
      </c>
      <c r="E187" s="13">
        <v>42742.859166666669</v>
      </c>
      <c r="F187" s="13">
        <v>42742.860682870371</v>
      </c>
      <c r="G187" s="7">
        <v>1</v>
      </c>
      <c r="H187" s="22" t="s">
        <v>740</v>
      </c>
      <c r="I187" s="13">
        <v>42742.871898148151</v>
      </c>
      <c r="J187" s="7">
        <v>0</v>
      </c>
      <c r="K187" s="105" t="str">
        <f t="shared" si="43"/>
        <v>4013/4014</v>
      </c>
      <c r="L187" s="22" t="str">
        <f>VLOOKUP(A187,'Trips&amp;Operators'!$C$1:$G$99999,5,FALSE)</f>
        <v>HELVIE ADAM</v>
      </c>
      <c r="M187" s="6">
        <f t="shared" si="44"/>
        <v>1.1215277780138422E-2</v>
      </c>
      <c r="N187" s="7">
        <f t="shared" si="65"/>
        <v>16.150000003399327</v>
      </c>
      <c r="O187" s="7"/>
      <c r="P187" s="7"/>
      <c r="Q187" s="23"/>
      <c r="R187" s="23"/>
      <c r="S187" s="32">
        <f t="shared" si="60"/>
        <v>1</v>
      </c>
      <c r="T187" s="47" t="str">
        <f t="shared" si="45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19:37:12-700',mode:absolute,to:'2017-01-07 21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7" s="49" t="str">
        <f t="shared" si="47"/>
        <v>N</v>
      </c>
      <c r="X187" s="173">
        <f t="shared" si="69"/>
        <v>1</v>
      </c>
      <c r="Y187" s="64">
        <f t="shared" si="49"/>
        <v>5.8623000000000003</v>
      </c>
      <c r="Z187" s="64">
        <f t="shared" si="50"/>
        <v>7.3099999999999998E-2</v>
      </c>
      <c r="AA187" s="64">
        <f t="shared" si="51"/>
        <v>5.7892000000000001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 t="shared" si="52"/>
        <v>1830-07</v>
      </c>
      <c r="AE187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7" s="84" t="str">
        <f t="shared" si="54"/>
        <v>"C:\Program Files (x86)\AstroGrep\AstroGrep.exe" /spath="%USERPROFILE%\AppData\Local\Temp\OnboardLogs" /stypes="app*4013*20170108*" /stext=" 03:.+((SYSTEM_STATE.+slice.+state.+changed )|(ment ac)|(multiple cpu faults)|(system.+state.+changed )|(\[timeout)|(PRM\|1\|D)|(kpr)|(kdp)|(\|lc)|(penalty))" /e /r /s</v>
      </c>
      <c r="AG187" s="1" t="str">
        <f t="shared" si="55"/>
        <v>NW</v>
      </c>
      <c r="AH187" s="88" t="str">
        <f t="shared" si="56"/>
        <v>"%USERPROFILE%\Documents\GitHub\eaglep3\Utilities\RefineRTDCRunTimes.py" --tripid 1830-07 --locoid 4013 --swversion DE.1.0.8.0 --startMP 300:58623 --initTime 2017-01-07T20:37:12 --startdatetime 2017-01-07T20:39:23 --delay 1 --endMP 204:731 --enddatetime 2017-01-07T20:55:32 --enforcementcount 0 &gt;&gt;C:\Users\stu\Documents\GitHub\eaglep3-reporting\EC\2017-01-07-refined-times.txt</v>
      </c>
      <c r="AI187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{"issue":{"subject":"","project_id":79,"tracker_id":40,"status_id":1,"priority_id":2,"assigned_to_id":23,"start_date":"2017-01-07","description":"","custom_fields":[{"id":1,"name":"Subdivision","value":"NW"},{"id":4,"name":"Milepost","value":"0.0731"},{"id":17,"name":"Train ID","value":"1830-07"},{"id":16,"name":"Locomotive ID","value":"4013"},{"id":130,"name":"Impact","value":""},{"id":150,"name":"Time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8"/>
        <v>start /low /b %USERPROFILE%\Documents\GitHub\eaglep3\Utilities\DownloadLogsFromS3.py --loco 4013 --day 2017-01-07</v>
      </c>
    </row>
    <row r="188" spans="1:91" x14ac:dyDescent="0.25">
      <c r="A188" s="34" t="s">
        <v>640</v>
      </c>
      <c r="B188" s="7">
        <v>4014</v>
      </c>
      <c r="C188" s="22" t="s">
        <v>203</v>
      </c>
      <c r="D188" s="22" t="s">
        <v>741</v>
      </c>
      <c r="E188" s="13">
        <v>42742.88590277778</v>
      </c>
      <c r="F188" s="13">
        <v>42742.889907407407</v>
      </c>
      <c r="G188" s="7">
        <v>1</v>
      </c>
      <c r="H188" s="22" t="s">
        <v>742</v>
      </c>
      <c r="I188" s="13">
        <v>42742.899907407409</v>
      </c>
      <c r="J188" s="7">
        <v>0</v>
      </c>
      <c r="K188" s="105" t="str">
        <f t="shared" si="43"/>
        <v>4013/4014</v>
      </c>
      <c r="L188" s="22" t="str">
        <f>VLOOKUP(A188,'Trips&amp;Operators'!$C$1:$G$99999,5,FALSE)</f>
        <v>HELVIE ADAM</v>
      </c>
      <c r="M188" s="6">
        <f t="shared" si="44"/>
        <v>1.0000000002037268E-2</v>
      </c>
      <c r="N188" s="7">
        <f t="shared" si="65"/>
        <v>14.400000002933666</v>
      </c>
      <c r="O188" s="7"/>
      <c r="P188" s="7"/>
      <c r="Q188" s="23"/>
      <c r="R188" s="23"/>
      <c r="S188" s="32">
        <f t="shared" si="60"/>
        <v>1</v>
      </c>
      <c r="T188" s="47" t="str">
        <f t="shared" si="45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20:15:42-700',mode:absolute,to:'2017-01-07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8" s="49" t="str">
        <f t="shared" si="47"/>
        <v>N</v>
      </c>
      <c r="X188" s="173">
        <f t="shared" si="69"/>
        <v>1</v>
      </c>
      <c r="Y188" s="64">
        <f t="shared" si="49"/>
        <v>0.1011</v>
      </c>
      <c r="Z188" s="64">
        <f t="shared" si="50"/>
        <v>5.8940999999999999</v>
      </c>
      <c r="AA188" s="64">
        <f t="shared" si="51"/>
        <v>5.7930000000000001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 t="shared" si="52"/>
        <v>1831-07</v>
      </c>
      <c r="AE188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8" s="84" t="str">
        <f t="shared" si="54"/>
        <v>"C:\Program Files (x86)\AstroGrep\AstroGrep.exe" /spath="%USERPROFILE%\AppData\Local\Temp\OnboardLogs" /stypes="app*4014*20170108*" /stext=" 04:.+((SYSTEM_STATE.+slice.+state.+changed )|(ment ac)|(multiple cpu faults)|(system.+state.+changed )|(\[timeout)|(PRM\|1\|D)|(kpr)|(kdp)|(\|lc)|(penalty))" /e /r /s</v>
      </c>
      <c r="AG188" s="1" t="str">
        <f t="shared" si="55"/>
        <v>NW</v>
      </c>
      <c r="AH188" s="88" t="str">
        <f t="shared" si="56"/>
        <v>"%USERPROFILE%\Documents\GitHub\eaglep3\Utilities\RefineRTDCRunTimes.py" --tripid 1831-07 --locoid 4014 --swversion DE.1.0.8.0 --startMP 204:1011 --initTime 2017-01-07T21:15:42 --startdatetime 2017-01-07T21:21:28 --delay 1 --endMP 300:58941 --enddatetime 2017-01-07T21:35:52 --enforcementcount 0 &gt;&gt;C:\Users\stu\Documents\GitHub\eaglep3-reporting\EC\2017-01-07-refined-times.txt</v>
      </c>
      <c r="AI188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{"issue":{"subject":"","project_id":79,"tracker_id":40,"status_id":1,"priority_id":2,"assigned_to_id":23,"start_date":"2017-01-07","description":"","custom_fields":[{"id":1,"name":"Subdivision","value":"NW"},{"id":4,"name":"Milepost","value":"5.8941"},{"id":17,"name":"Train ID","value":"1831-07"},{"id":16,"name":"Locomotive ID","value":"4014"},{"id":130,"name":"Impact","value":""},{"id":150,"name":"Time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8"/>
        <v>start /low /b %USERPROFILE%\Documents\GitHub\eaglep3\Utilities\DownloadLogsFromS3.py --loco 4014 --day 2017-01-07</v>
      </c>
    </row>
    <row r="189" spans="1:91" x14ac:dyDescent="0.25">
      <c r="A189" s="34" t="s">
        <v>643</v>
      </c>
      <c r="B189" s="7">
        <v>4013</v>
      </c>
      <c r="C189" s="22" t="s">
        <v>203</v>
      </c>
      <c r="D189" s="22" t="s">
        <v>743</v>
      </c>
      <c r="E189" s="13">
        <v>42742.900856481479</v>
      </c>
      <c r="F189" s="13">
        <v>42742.903368055559</v>
      </c>
      <c r="G189" s="7">
        <v>1</v>
      </c>
      <c r="H189" s="22" t="s">
        <v>744</v>
      </c>
      <c r="I189" s="13">
        <v>42742.913252314815</v>
      </c>
      <c r="J189" s="7">
        <v>0</v>
      </c>
      <c r="K189" s="105" t="str">
        <f t="shared" si="43"/>
        <v>4013/4014</v>
      </c>
      <c r="L189" s="22" t="str">
        <f>VLOOKUP(A189,'Trips&amp;Operators'!$C$1:$G$99999,5,FALSE)</f>
        <v>HELVIE ADAM</v>
      </c>
      <c r="M189" s="6">
        <f t="shared" si="44"/>
        <v>9.8842592560686171E-3</v>
      </c>
      <c r="N189" s="7">
        <f t="shared" ref="N189:N215" si="70">24*60*SUM($M189:$M189)</f>
        <v>14.233333328738809</v>
      </c>
      <c r="O189" s="7"/>
      <c r="P189" s="7"/>
      <c r="Q189" s="23"/>
      <c r="R189" s="23"/>
      <c r="S189" s="32">
        <f t="shared" si="60"/>
        <v>1</v>
      </c>
      <c r="T189" s="47" t="str">
        <f t="shared" si="45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20:37:14-700',mode:absolute,to:'2017-01-07 22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9" s="49" t="str">
        <f t="shared" si="47"/>
        <v>N</v>
      </c>
      <c r="X189" s="173">
        <f t="shared" si="69"/>
        <v>1</v>
      </c>
      <c r="Y189" s="64">
        <f t="shared" si="49"/>
        <v>5.8635999999999999</v>
      </c>
      <c r="Z189" s="64">
        <f t="shared" si="50"/>
        <v>7.5700000000000003E-2</v>
      </c>
      <c r="AA189" s="64">
        <f t="shared" si="51"/>
        <v>5.7878999999999996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 t="shared" si="52"/>
        <v>1832-07</v>
      </c>
      <c r="AE189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9" s="84" t="str">
        <f t="shared" si="54"/>
        <v>"C:\Program Files (x86)\AstroGrep\AstroGrep.exe" /spath="%USERPROFILE%\AppData\Local\Temp\OnboardLogs" /stypes="app*4013*20170108*" /stext=" 04:.+((SYSTEM_STATE.+slice.+state.+changed )|(ment ac)|(multiple cpu faults)|(system.+state.+changed )|(\[timeout)|(PRM\|1\|D)|(kpr)|(kdp)|(\|lc)|(penalty))" /e /r /s</v>
      </c>
      <c r="AG189" s="1" t="str">
        <f t="shared" si="55"/>
        <v>NW</v>
      </c>
      <c r="AH189" s="88" t="str">
        <f t="shared" si="56"/>
        <v>"%USERPROFILE%\Documents\GitHub\eaglep3\Utilities\RefineRTDCRunTimes.py" --tripid 1832-07 --locoid 4013 --swversion DE.1.0.8.0 --startMP 300:58636 --initTime 2017-01-07T21:37:14 --startdatetime 2017-01-07T21:40:51 --delay 1 --endMP 204:757 --enddatetime 2017-01-07T21:55:05 --enforcementcount 0 &gt;&gt;C:\Users\stu\Documents\GitHub\eaglep3-reporting\EC\2017-01-07-refined-times.txt</v>
      </c>
      <c r="AI189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{"issue":{"subject":"","project_id":79,"tracker_id":40,"status_id":1,"priority_id":2,"assigned_to_id":23,"start_date":"2017-01-07","description":"","custom_fields":[{"id":1,"name":"Subdivision","value":"NW"},{"id":4,"name":"Milepost","value":"0.0757"},{"id":17,"name":"Train ID","value":"1832-07"},{"id":16,"name":"Locomotive ID","value":"4013"},{"id":130,"name":"Impact","value":""},{"id":150,"name":"Time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8"/>
        <v>start /low /b %USERPROFILE%\Documents\GitHub\eaglep3\Utilities\DownloadLogsFromS3.py --loco 4013 --day 2017-01-07</v>
      </c>
    </row>
    <row r="190" spans="1:91" s="21" customFormat="1" x14ac:dyDescent="0.25">
      <c r="A190" s="34" t="s">
        <v>645</v>
      </c>
      <c r="B190" s="7">
        <v>4014</v>
      </c>
      <c r="C190" s="22" t="s">
        <v>203</v>
      </c>
      <c r="D190" s="22" t="s">
        <v>745</v>
      </c>
      <c r="E190" s="13">
        <v>42742.927256944444</v>
      </c>
      <c r="F190" s="13">
        <v>42742.931458333333</v>
      </c>
      <c r="G190" s="7">
        <v>1</v>
      </c>
      <c r="H190" s="22" t="s">
        <v>359</v>
      </c>
      <c r="I190" s="13">
        <v>42742.942303240743</v>
      </c>
      <c r="J190" s="7">
        <v>0</v>
      </c>
      <c r="K190" s="105" t="str">
        <f t="shared" si="43"/>
        <v>4013/4014</v>
      </c>
      <c r="L190" s="22" t="str">
        <f>VLOOKUP(A190,'Trips&amp;Operators'!$C$1:$G$99999,5,FALSE)</f>
        <v>HELVIE ADAM</v>
      </c>
      <c r="M190" s="6">
        <f t="shared" si="44"/>
        <v>1.0844907410501037E-2</v>
      </c>
      <c r="N190" s="7">
        <f t="shared" si="70"/>
        <v>15.616666671121493</v>
      </c>
      <c r="O190" s="7"/>
      <c r="P190" s="7"/>
      <c r="Q190" s="23"/>
      <c r="R190" s="23"/>
      <c r="S190" s="32">
        <f t="shared" si="60"/>
        <v>1</v>
      </c>
      <c r="T190" s="47" t="str">
        <f t="shared" si="45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21:15:15-700',mode:absolute,to:'2017-01-07 23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49" t="str">
        <f t="shared" si="47"/>
        <v>N</v>
      </c>
      <c r="X190" s="173">
        <f t="shared" si="69"/>
        <v>1</v>
      </c>
      <c r="Y190" s="64">
        <f t="shared" si="49"/>
        <v>0.1046</v>
      </c>
      <c r="Z190" s="64">
        <f t="shared" si="50"/>
        <v>5.8945999999999996</v>
      </c>
      <c r="AA190" s="64">
        <f t="shared" si="51"/>
        <v>5.79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 t="shared" si="52"/>
        <v>1833-07</v>
      </c>
      <c r="AE190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90" s="84" t="str">
        <f t="shared" si="54"/>
        <v>"C:\Program Files (x86)\AstroGrep\AstroGrep.exe" /spath="%USERPROFILE%\AppData\Local\Temp\OnboardLogs" /stypes="app*4014*20170108*" /stext=" 05:.+((SYSTEM_STATE.+slice.+state.+changed )|(ment ac)|(multiple cpu faults)|(system.+state.+changed )|(\[timeout)|(PRM\|1\|D)|(kpr)|(kdp)|(\|lc)|(penalty))" /e /r /s</v>
      </c>
      <c r="AG190" s="1" t="str">
        <f t="shared" si="55"/>
        <v>NW</v>
      </c>
      <c r="AH190" s="88" t="str">
        <f t="shared" si="56"/>
        <v>"%USERPROFILE%\Documents\GitHub\eaglep3\Utilities\RefineRTDCRunTimes.py" --tripid 1833-07 --locoid 4014 --swversion DE.1.0.8.0 --startMP 204:1046 --initTime 2017-01-07T22:15:15 --startdatetime 2017-01-07T22:21:18 --delay 1 --endMP 300:58946 --enddatetime 2017-01-07T22:36:55 --enforcementcount 0 &gt;&gt;C:\Users\stu\Documents\GitHub\eaglep3-reporting\EC\2017-01-07-refined-times.txt</v>
      </c>
      <c r="AI190" s="115" t="str">
        <f t="shared" si="57"/>
        <v>echo {"issue":{"subject":"","project_id":79,"tracker_id":40,"status_id":1,"priority_id":2,"assigned_to_id":23,"start_date":"2017-01-07","description":"","custom_fields":[{"id":1,"name":"Subdivision","value":"NW"},{"id":4,"name":"Milepost","value":"5.8946"},{"id":17,"name":"Train ID","value":"1833-07"},{"id":16,"name":"Locomotive ID","value":"4014"},{"id":130,"name":"Impact","value":""},{"id":150,"name":"Time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8"/>
        <v>start /low /b %USERPROFILE%\Documents\GitHub\eaglep3\Utilities\DownloadLogsFromS3.py --loco 4014 --day 2017-01-07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468</v>
      </c>
      <c r="B191" s="7">
        <v>4043</v>
      </c>
      <c r="C191" s="22" t="s">
        <v>203</v>
      </c>
      <c r="D191" s="22" t="s">
        <v>776</v>
      </c>
      <c r="E191" s="13">
        <v>42742.120752314811</v>
      </c>
      <c r="F191" s="13">
        <v>42742.122372685182</v>
      </c>
      <c r="G191" s="7">
        <v>1</v>
      </c>
      <c r="H191" s="22" t="s">
        <v>278</v>
      </c>
      <c r="I191" s="13">
        <v>42742.128564814811</v>
      </c>
      <c r="J191" s="7">
        <v>0</v>
      </c>
      <c r="K191" s="105" t="str">
        <f t="shared" si="43"/>
        <v>4043/4044</v>
      </c>
      <c r="L191" s="22" t="str">
        <f>VLOOKUP(A191,'Trips&amp;Operators'!$C$1:$G$99999,5,FALSE)</f>
        <v>ISHMAEL JOSEPH</v>
      </c>
      <c r="M191" s="6">
        <f t="shared" si="44"/>
        <v>6.1921296291984618E-3</v>
      </c>
      <c r="N191" s="7">
        <f t="shared" si="70"/>
        <v>8.916666666045785</v>
      </c>
      <c r="O191" s="7"/>
      <c r="P191" s="7"/>
      <c r="Q191" s="23"/>
      <c r="R191" s="23"/>
      <c r="S191" s="32">
        <f t="shared" si="60"/>
        <v>1</v>
      </c>
      <c r="T191" s="47" t="str">
        <f t="shared" si="45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01:53:53-700',mode:absolute,to:'2017-01-07 04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49" t="str">
        <f t="shared" si="47"/>
        <v>Y</v>
      </c>
      <c r="X191" s="173">
        <f t="shared" si="69"/>
        <v>-1531</v>
      </c>
      <c r="Y191" s="64">
        <f t="shared" si="49"/>
        <v>2.1303000000000001</v>
      </c>
      <c r="Z191" s="64">
        <f t="shared" si="50"/>
        <v>1.52E-2</v>
      </c>
      <c r="AA191" s="64">
        <f t="shared" si="51"/>
        <v>2.1151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 t="shared" si="52"/>
        <v>0302-07</v>
      </c>
      <c r="AE191" s="87" t="str">
        <f t="shared" si="53"/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191" s="84" t="str">
        <f t="shared" si="54"/>
        <v>"C:\Program Files (x86)\AstroGrep\AstroGrep.exe" /spath="%USERPROFILE%\AppData\Local\Temp\OnboardLogs" /stypes="app*4043*20170107*" /stext=" 10:.+((SYSTEM_STATE.+slice.+state.+changed )|(ment ac)|(multiple cpu faults)|(system.+state.+changed )|(\[timeout)|(PRM\|1\|D)|(kpr)|(kdp)|(\|lc)|(penalty))" /e /r /s</v>
      </c>
      <c r="AG191" s="1" t="str">
        <f t="shared" si="55"/>
        <v>Other</v>
      </c>
      <c r="AH191" s="88" t="str">
        <f t="shared" si="56"/>
        <v>"%USERPROFILE%\Documents\GitHub\eaglep3\Utilities\RefineRTDCRunTimes.py" --tripid 302-07 --locoid 4043 --swversion DE.1.0.8.0 --startMP 300:21303 --initTime 2017-01-07T02:53:53 --startdatetime 2017-01-07T02:56:13 --delay 1 --endMP 204:152 --enddatetime 2017-01-07T03:05:08 --enforcementcount 0 &gt;&gt;C:\Users\stu\Documents\GitHub\eaglep3-reporting\EC\2017-01-07-refined-times.txt</v>
      </c>
      <c r="AI191" s="115" t="str">
        <f t="shared" si="57"/>
        <v>echo {"issue":{"subject":"","project_id":79,"tracker_id":40,"status_id":1,"priority_id":2,"assigned_to_id":23,"start_date":"2017-01-07","description":"","custom_fields":[{"id":1,"name":"Subdivision","value":"Other"},{"id":4,"name":"Milepost","value":"0.0152"},{"id":17,"name":"Train ID","value":"302-07"},{"id":16,"name":"Locomotive ID","value":"4043"},{"id":130,"name":"Impact","value":""},{"id":150,"name":"Time of Event (Mountain Time)","value":"03:05:08"},{"id":151,"name":"Denver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8"/>
        <v>start /low /b %USERPROFILE%\Documents\GitHub\eaglep3\Utilities\DownloadLogsFromS3.py --loco 4043 --day 2017-01-07</v>
      </c>
    </row>
    <row r="192" spans="1:91" s="21" customFormat="1" x14ac:dyDescent="0.25">
      <c r="A192" s="34" t="s">
        <v>626</v>
      </c>
      <c r="B192" s="7">
        <v>4040</v>
      </c>
      <c r="C192" s="22" t="s">
        <v>203</v>
      </c>
      <c r="D192" s="22" t="s">
        <v>243</v>
      </c>
      <c r="E192" s="13">
        <v>42742.780069444445</v>
      </c>
      <c r="F192" s="13">
        <v>25568.708333333332</v>
      </c>
      <c r="G192" s="7">
        <v>1</v>
      </c>
      <c r="H192" s="22" t="s">
        <v>421</v>
      </c>
      <c r="I192" s="13">
        <v>25568.708333333332</v>
      </c>
      <c r="J192" s="7">
        <v>0</v>
      </c>
      <c r="K192" s="105" t="str">
        <f t="shared" si="43"/>
        <v>4039/4040</v>
      </c>
      <c r="L192" s="22" t="str">
        <f>VLOOKUP(A192,'Trips&amp;Operators'!$C$1:$G$99999,5,FALSE)</f>
        <v>KILLION DAVID</v>
      </c>
      <c r="M192" s="6">
        <f t="shared" si="44"/>
        <v>0</v>
      </c>
      <c r="N192" s="7">
        <f t="shared" si="70"/>
        <v>0</v>
      </c>
      <c r="O192" s="7"/>
      <c r="P192" s="7"/>
      <c r="Q192" s="23"/>
      <c r="R192" s="23"/>
      <c r="S192" s="32">
        <f t="shared" si="60"/>
        <v>1</v>
      </c>
      <c r="T192" s="47" t="str">
        <f t="shared" si="45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17:43:18-700',mode:absolute,to:'1969-12-31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49" t="str">
        <f t="shared" si="47"/>
        <v>Y</v>
      </c>
      <c r="X192" s="173">
        <f t="shared" si="69"/>
        <v>1</v>
      </c>
      <c r="Y192" s="64">
        <f t="shared" si="49"/>
        <v>4.6399999999999997E-2</v>
      </c>
      <c r="Z192" s="64">
        <f t="shared" si="50"/>
        <v>2.3346</v>
      </c>
      <c r="AA192" s="64">
        <f t="shared" si="51"/>
        <v>2.2881999999999998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 t="shared" si="52"/>
        <v>0303-07</v>
      </c>
      <c r="AE192" s="87" t="str">
        <f t="shared" si="53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92" s="84" t="str">
        <f t="shared" si="54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192" s="1" t="str">
        <f t="shared" si="55"/>
        <v>Other</v>
      </c>
      <c r="AH192" s="88" t="str">
        <f t="shared" si="56"/>
        <v>"%USERPROFILE%\Documents\GitHub\eaglep3\Utilities\RefineRTDCRunTimes.py" --tripid 303-07 --locoid 4040 --swversion DE.1.0.8.0 --startMP 204:464 --initTime 2017-01-07T18:43:18 --startdatetime 1969-12-31T17:00:00 --delay 1 --endMP 300:23346 --enddatetime 1969-12-31T17:00:00 --enforcementcount 0 &gt;&gt;C:\Users\stu\Documents\GitHub\eaglep3-reporting\EC\2017-01-07-refined-times.txt</v>
      </c>
      <c r="AI192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ID","value":"303-07"},{"id":16,"name":"Locomotive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8"/>
        <v>start /low /b %USERPROFILE%\Documents\GitHub\eaglep3\Utilities\DownloadLogsFromS3.py --loco 4040 --day 1969-12-31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39" x14ac:dyDescent="0.25">
      <c r="A193" s="34" t="s">
        <v>469</v>
      </c>
      <c r="B193" s="7">
        <v>4015</v>
      </c>
      <c r="C193" s="22" t="s">
        <v>203</v>
      </c>
      <c r="D193" s="22" t="s">
        <v>777</v>
      </c>
      <c r="E193" s="13">
        <v>42742.137731481482</v>
      </c>
      <c r="F193" s="13">
        <v>42742.138993055552</v>
      </c>
      <c r="G193" s="7">
        <v>1</v>
      </c>
      <c r="H193" s="22" t="s">
        <v>284</v>
      </c>
      <c r="I193" s="13">
        <v>42742.145891203705</v>
      </c>
      <c r="J193" s="7">
        <v>0</v>
      </c>
      <c r="K193" s="105" t="str">
        <f t="shared" si="43"/>
        <v>4015/4016</v>
      </c>
      <c r="L193" s="22" t="str">
        <f>VLOOKUP(A193,'Trips&amp;Operators'!$C$1:$G$99999,5,FALSE)</f>
        <v>ROBINSON KADDIBA</v>
      </c>
      <c r="M193" s="6">
        <f t="shared" si="44"/>
        <v>6.8981481526861899E-3</v>
      </c>
      <c r="N193" s="7">
        <f t="shared" si="70"/>
        <v>9.9333333398681134</v>
      </c>
      <c r="O193" s="7"/>
      <c r="P193" s="7"/>
      <c r="Q193" s="23"/>
      <c r="R193" s="23"/>
      <c r="S193" s="32">
        <f t="shared" si="60"/>
        <v>1</v>
      </c>
      <c r="T193" s="47" t="str">
        <f t="shared" si="45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02:18:20-700',mode:absolute,to:'2017-01-07 04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3" s="49" t="str">
        <f t="shared" si="47"/>
        <v>Y</v>
      </c>
      <c r="X193" s="173">
        <f t="shared" si="69"/>
        <v>1</v>
      </c>
      <c r="Y193" s="64">
        <f t="shared" si="49"/>
        <v>2.1985999999999999</v>
      </c>
      <c r="Z193" s="64">
        <f t="shared" si="50"/>
        <v>1.5800000000000002E-2</v>
      </c>
      <c r="AA193" s="64">
        <f t="shared" si="51"/>
        <v>2.1827999999999999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 t="shared" si="52"/>
        <v>0304-07</v>
      </c>
      <c r="AE193" s="87" t="str">
        <f t="shared" si="53"/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93" s="84" t="str">
        <f t="shared" si="54"/>
        <v>"C:\Program Files (x86)\AstroGrep\AstroGrep.exe" /spath="%USERPROFILE%\AppData\Local\Temp\OnboardLogs" /stypes="app*4015*20170107*" /stext=" 10:.+((SYSTEM_STATE.+slice.+state.+changed )|(ment ac)|(multiple cpu faults)|(system.+state.+changed )|(\[timeout)|(PRM\|1\|D)|(kpr)|(kdp)|(\|lc)|(penalty))" /e /r /s</v>
      </c>
      <c r="AG193" s="1" t="str">
        <f t="shared" si="55"/>
        <v>Other</v>
      </c>
      <c r="AH193" s="88" t="str">
        <f t="shared" si="56"/>
        <v>"%USERPROFILE%\Documents\GitHub\eaglep3\Utilities\RefineRTDCRunTimes.py" --tripid 304-07 --locoid 4015 --swversion DE.1.0.8.0 --startMP 300:21986 --initTime 2017-01-07T03:18:20 --startdatetime 2017-01-07T03:20:09 --delay 1 --endMP 204:158 --enddatetime 2017-01-07T03:30:05 --enforcementcount 0 &gt;&gt;C:\Users\stu\Documents\GitHub\eaglep3-reporting\EC\2017-01-07-refined-times.txt</v>
      </c>
      <c r="AI193" s="115" t="str">
        <f t="shared" si="57"/>
        <v>echo {"issue":{"subject":"","project_id":79,"tracker_id":40,"status_id":1,"priority_id":2,"assigned_to_id":23,"start_date":"2017-01-07","description":"","custom_fields":[{"id":1,"name":"Subdivision","value":"Other"},{"id":4,"name":"Milepost","value":"0.0158"},{"id":17,"name":"Train ID","value":"304-07"},{"id":16,"name":"Locomotive ID","value":"4015"},{"id":130,"name":"Impact","value":""},{"id":150,"name":"Time of Event (Mountain Time)","value":"03:30:05"},{"id":151,"name":"Denver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8"/>
        <v>start /low /b %USERPROFILE%\Documents\GitHub\eaglep3\Utilities\DownloadLogsFromS3.py --loco 4015 --day 2017-01-07</v>
      </c>
    </row>
    <row r="194" spans="1:39" x14ac:dyDescent="0.25">
      <c r="A194" s="34" t="s">
        <v>629</v>
      </c>
      <c r="B194" s="7">
        <v>4007</v>
      </c>
      <c r="C194" s="22" t="s">
        <v>203</v>
      </c>
      <c r="D194" s="22" t="s">
        <v>318</v>
      </c>
      <c r="E194" s="13">
        <v>42742.798564814817</v>
      </c>
      <c r="F194" s="13">
        <v>25568.708333333332</v>
      </c>
      <c r="G194" s="7">
        <v>1</v>
      </c>
      <c r="H194" s="22" t="s">
        <v>778</v>
      </c>
      <c r="I194" s="13">
        <v>25568.708333333332</v>
      </c>
      <c r="J194" s="7">
        <v>0</v>
      </c>
      <c r="K194" s="105" t="str">
        <f t="shared" si="43"/>
        <v>4007/4008</v>
      </c>
      <c r="L194" s="22" t="str">
        <f>VLOOKUP(A194,'Trips&amp;Operators'!$C$1:$G$99999,5,FALSE)</f>
        <v>BRANDNER MELINDA</v>
      </c>
      <c r="M194" s="6">
        <f t="shared" si="44"/>
        <v>0</v>
      </c>
      <c r="N194" s="7">
        <f t="shared" si="70"/>
        <v>0</v>
      </c>
      <c r="O194" s="7"/>
      <c r="P194" s="7"/>
      <c r="Q194" s="23"/>
      <c r="R194" s="23"/>
      <c r="S194" s="32">
        <f t="shared" si="60"/>
        <v>1</v>
      </c>
      <c r="T194" s="47" t="str">
        <f t="shared" si="45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18:09:56-700',mode:absolute,to:'1969-12-31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4" s="49" t="str">
        <f t="shared" si="47"/>
        <v>Y</v>
      </c>
      <c r="X194" s="173">
        <f t="shared" si="69"/>
        <v>1</v>
      </c>
      <c r="Y194" s="64">
        <f t="shared" si="49"/>
        <v>4.58E-2</v>
      </c>
      <c r="Z194" s="64">
        <f t="shared" si="50"/>
        <v>2.3089</v>
      </c>
      <c r="AA194" s="64">
        <f t="shared" si="51"/>
        <v>2.2631000000000001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 t="shared" si="52"/>
        <v>0305-07</v>
      </c>
      <c r="AE194" s="87" t="str">
        <f t="shared" si="53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94" s="84" t="str">
        <f t="shared" si="54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194" s="1" t="str">
        <f t="shared" si="55"/>
        <v>Other</v>
      </c>
      <c r="AH194" s="88" t="str">
        <f t="shared" si="56"/>
        <v>"%USERPROFILE%\Documents\GitHub\eaglep3\Utilities\RefineRTDCRunTimes.py" --tripid 305-07 --locoid 4007 --swversion DE.1.0.8.0 --startMP 204:458 --initTime 2017-01-07T19:09:56 --startdatetime 1969-12-31T17:00:00 --delay 1 --endMP 300:23089 --enddatetime 1969-12-31T17:00:00 --enforcementcount 0 &gt;&gt;C:\Users\stu\Documents\GitHub\eaglep3-reporting\EC\2017-01-07-refined-times.txt</v>
      </c>
      <c r="AI194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{"issue":{"subject":"","project_id":79,"tracker_id":40,"status_id":1,"priority_id":2,"assigned_to_id":23,"start_date":"1969-12-31","description":"","custom_fields":[{"id":1,"name":"Subdivision","value":"Other"},{"id":4,"name":"Milepost","value":"2.3089"},{"id":17,"name":"Train ID","value":"305-07"},{"id":16,"name":"Locomotive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8"/>
        <v>start /low /b %USERPROFILE%\Documents\GitHub\eaglep3\Utilities\DownloadLogsFromS3.py --loco 4007 --day 1969-12-31</v>
      </c>
    </row>
    <row r="195" spans="1:39" x14ac:dyDescent="0.25">
      <c r="A195" s="34" t="s">
        <v>471</v>
      </c>
      <c r="B195" s="7">
        <v>4030</v>
      </c>
      <c r="C195" s="22" t="s">
        <v>203</v>
      </c>
      <c r="D195" s="22" t="s">
        <v>779</v>
      </c>
      <c r="E195" s="13">
        <v>42742.163761574076</v>
      </c>
      <c r="F195" s="13">
        <v>42742.165925925925</v>
      </c>
      <c r="G195" s="7">
        <v>3</v>
      </c>
      <c r="H195" s="22" t="s">
        <v>192</v>
      </c>
      <c r="I195" s="13">
        <v>42742.171655092592</v>
      </c>
      <c r="J195" s="7">
        <v>0</v>
      </c>
      <c r="K195" s="105" t="str">
        <f t="shared" si="43"/>
        <v>4029/4030</v>
      </c>
      <c r="L195" s="22" t="str">
        <f>VLOOKUP(A195,'Trips&amp;Operators'!$C$1:$G$99999,5,FALSE)</f>
        <v>MAELZER KURT</v>
      </c>
      <c r="M195" s="6">
        <f t="shared" si="44"/>
        <v>5.7291666671517305E-3</v>
      </c>
      <c r="N195" s="7">
        <f t="shared" si="70"/>
        <v>8.2500000006984919</v>
      </c>
      <c r="O195" s="7"/>
      <c r="P195" s="7"/>
      <c r="Q195" s="23"/>
      <c r="R195" s="23"/>
      <c r="S195" s="32">
        <f t="shared" si="60"/>
        <v>1</v>
      </c>
      <c r="T195" s="47" t="str">
        <f t="shared" si="45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02:55:49-700',mode:absolute,to:'2017-01-07 05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49" t="str">
        <f t="shared" si="47"/>
        <v>Y</v>
      </c>
      <c r="X195" s="173">
        <f t="shared" ref="X195:X215" si="71">VALUE(LEFT(AD195,4))-VALUE(LEFT(AD194,4))</f>
        <v>1</v>
      </c>
      <c r="Y195" s="64">
        <f t="shared" si="49"/>
        <v>2.0005999999999999</v>
      </c>
      <c r="Z195" s="64">
        <f t="shared" si="50"/>
        <v>1.43E-2</v>
      </c>
      <c r="AA195" s="64">
        <f t="shared" si="51"/>
        <v>1.9863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 t="shared" si="52"/>
        <v>0306-07</v>
      </c>
      <c r="AE195" s="87" t="str">
        <f t="shared" si="53"/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AF195" s="84" t="str">
        <f t="shared" si="54"/>
        <v>"C:\Program Files (x86)\AstroGrep\AstroGrep.exe" /spath="%USERPROFILE%\AppData\Local\Temp\OnboardLogs" /stypes="app*4030*20170107*" /stext=" 11:.+((SYSTEM_STATE.+slice.+state.+changed )|(ment ac)|(multiple cpu faults)|(system.+state.+changed )|(\[timeout)|(PRM\|1\|D)|(kpr)|(kdp)|(\|lc)|(penalty))" /e /r /s</v>
      </c>
      <c r="AG195" s="1" t="str">
        <f t="shared" si="55"/>
        <v>Other</v>
      </c>
      <c r="AH195" s="88" t="str">
        <f t="shared" si="56"/>
        <v>"%USERPROFILE%\Documents\GitHub\eaglep3\Utilities\RefineRTDCRunTimes.py" --tripid 306-07 --locoid 4030 --swversion DE.1.0.8.0 --startMP 300:20006 --initTime 2017-01-07T03:55:49 --startdatetime 2017-01-07T03:58:56 --delay 3 --endMP 204:143 --enddatetime 2017-01-07T04:07:11 --enforcementcount 0 &gt;&gt;C:\Users\stu\Documents\GitHub\eaglep3-reporting\EC\2017-01-07-refined-times.txt</v>
      </c>
      <c r="AI195" s="115" t="str">
        <f t="shared" si="57"/>
        <v>echo {"issue":{"subject":"","project_id":79,"tracker_id":40,"status_id":1,"priority_id":2,"assigned_to_id":23,"start_date":"2017-01-07","description":"","custom_fields":[{"id":1,"name":"Subdivision","value":"Other"},{"id":4,"name":"Milepost","value":"0.0143"},{"id":17,"name":"Train ID","value":"306-07"},{"id":16,"name":"Locomotive ID","value":"4030"},{"id":130,"name":"Impact","value":""},{"id":150,"name":"Time of Event (Mountain Time)","value":"04:07:11"},{"id":151,"name":"Denver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8"/>
        <v>start /low /b %USERPROFILE%\Documents\GitHub\eaglep3\Utilities\DownloadLogsFromS3.py --loco 4030 --day 2017-01-07</v>
      </c>
    </row>
    <row r="196" spans="1:39" x14ac:dyDescent="0.25">
      <c r="A196" s="34" t="s">
        <v>633</v>
      </c>
      <c r="B196" s="7">
        <v>4011</v>
      </c>
      <c r="C196" s="22" t="s">
        <v>203</v>
      </c>
      <c r="D196" s="22" t="s">
        <v>780</v>
      </c>
      <c r="E196" s="13">
        <v>42742.826574074075</v>
      </c>
      <c r="F196" s="13">
        <v>25568.708333333332</v>
      </c>
      <c r="G196" s="7">
        <v>1</v>
      </c>
      <c r="H196" s="22" t="s">
        <v>421</v>
      </c>
      <c r="I196" s="13">
        <v>25568.708333333332</v>
      </c>
      <c r="J196" s="7">
        <v>0</v>
      </c>
      <c r="K196" s="105" t="str">
        <f t="shared" si="43"/>
        <v>4011/4012</v>
      </c>
      <c r="L196" s="22" t="str">
        <f>VLOOKUP(A196,'Trips&amp;Operators'!$C$1:$G$99999,5,FALSE)</f>
        <v>BRANNON JEFFREY</v>
      </c>
      <c r="M196" s="6">
        <f t="shared" si="44"/>
        <v>0</v>
      </c>
      <c r="N196" s="7">
        <f t="shared" si="70"/>
        <v>0</v>
      </c>
      <c r="O196" s="7"/>
      <c r="P196" s="7"/>
      <c r="Q196" s="23"/>
      <c r="R196" s="23"/>
      <c r="S196" s="32">
        <f t="shared" si="60"/>
        <v>1</v>
      </c>
      <c r="T196" s="47" t="str">
        <f t="shared" si="45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18:50:16-700',mode:absolute,to:'1969-12-31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6" s="49" t="str">
        <f t="shared" si="47"/>
        <v>Y</v>
      </c>
      <c r="X196" s="173">
        <f t="shared" si="71"/>
        <v>1</v>
      </c>
      <c r="Y196" s="64">
        <f t="shared" si="49"/>
        <v>0.15029999999999999</v>
      </c>
      <c r="Z196" s="64">
        <f t="shared" si="50"/>
        <v>2.3346</v>
      </c>
      <c r="AA196" s="64">
        <f t="shared" si="51"/>
        <v>2.1842999999999999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 t="shared" si="52"/>
        <v>0307-07</v>
      </c>
      <c r="AE196" s="87" t="str">
        <f t="shared" si="53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6" s="84" t="str">
        <f t="shared" si="54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196" s="1" t="str">
        <f t="shared" si="55"/>
        <v>Other</v>
      </c>
      <c r="AH196" s="88" t="str">
        <f t="shared" si="56"/>
        <v>"%USERPROFILE%\Documents\GitHub\eaglep3\Utilities\RefineRTDCRunTimes.py" --tripid 307-07 --locoid 4011 --swversion DE.1.0.8.0 --startMP 204:1503 --initTime 2017-01-07T19:50:16 --startdatetime 1969-12-31T17:00:00 --delay 1 --endMP 300:23346 --enddatetime 1969-12-31T17:00:00 --enforcementcount 0 &gt;&gt;C:\Users\stu\Documents\GitHub\eaglep3-reporting\EC\2017-01-07-refined-times.txt</v>
      </c>
      <c r="AI196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8"/>
        <v>start /low /b %USERPROFILE%\Documents\GitHub\eaglep3\Utilities\DownloadLogsFromS3.py --loco 4011 --day 1969-12-31</v>
      </c>
    </row>
    <row r="197" spans="1:39" x14ac:dyDescent="0.25">
      <c r="A197" s="34" t="s">
        <v>476</v>
      </c>
      <c r="B197" s="7">
        <v>4041</v>
      </c>
      <c r="C197" s="22" t="s">
        <v>203</v>
      </c>
      <c r="D197" s="22" t="s">
        <v>781</v>
      </c>
      <c r="E197" s="13">
        <v>42742.178460648145</v>
      </c>
      <c r="F197" s="13">
        <v>42742.1796875</v>
      </c>
      <c r="G197" s="7">
        <v>1</v>
      </c>
      <c r="H197" s="22" t="s">
        <v>209</v>
      </c>
      <c r="I197" s="13">
        <v>42742.186018518521</v>
      </c>
      <c r="J197" s="7">
        <v>0</v>
      </c>
      <c r="K197" s="105" t="str">
        <f t="shared" si="43"/>
        <v>4041/4042</v>
      </c>
      <c r="L197" s="22" t="str">
        <f>VLOOKUP(A197,'Trips&amp;Operators'!$C$1:$G$99999,5,FALSE)</f>
        <v>DAVIS WENDY</v>
      </c>
      <c r="M197" s="6">
        <f t="shared" si="44"/>
        <v>6.33101852145046E-3</v>
      </c>
      <c r="N197" s="7">
        <f t="shared" si="70"/>
        <v>9.1166666708886623</v>
      </c>
      <c r="O197" s="7"/>
      <c r="P197" s="7"/>
      <c r="Q197" s="23"/>
      <c r="R197" s="23"/>
      <c r="S197" s="32">
        <f t="shared" si="60"/>
        <v>1</v>
      </c>
      <c r="T197" s="47" t="str">
        <f t="shared" si="45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03:16:59-700',mode:absolute,to:'2017-01-07 05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49" t="str">
        <f t="shared" si="47"/>
        <v>Y</v>
      </c>
      <c r="X197" s="173">
        <f t="shared" si="71"/>
        <v>1</v>
      </c>
      <c r="Y197" s="64">
        <f t="shared" si="49"/>
        <v>2.2157</v>
      </c>
      <c r="Z197" s="64">
        <f t="shared" si="50"/>
        <v>1.4999999999999999E-2</v>
      </c>
      <c r="AA197" s="64">
        <f t="shared" si="51"/>
        <v>2.2006999999999999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 t="shared" si="52"/>
        <v>0308-07</v>
      </c>
      <c r="AE197" s="87" t="str">
        <f t="shared" si="53"/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97" s="84" t="str">
        <f t="shared" si="54"/>
        <v>"C:\Program Files (x86)\AstroGrep\AstroGrep.exe" /spath="%USERPROFILE%\AppData\Local\Temp\OnboardLogs" /stypes="app*4041*20170107*" /stext=" 11:.+((SYSTEM_STATE.+slice.+state.+changed )|(ment ac)|(multiple cpu faults)|(system.+state.+changed )|(\[timeout)|(PRM\|1\|D)|(kpr)|(kdp)|(\|lc)|(penalty))" /e /r /s</v>
      </c>
      <c r="AG197" s="1" t="str">
        <f t="shared" si="55"/>
        <v>Other</v>
      </c>
      <c r="AH197" s="88" t="str">
        <f t="shared" si="56"/>
        <v>"%USERPROFILE%\Documents\GitHub\eaglep3\Utilities\RefineRTDCRunTimes.py" --tripid 308-07 --locoid 4041 --swversion DE.1.0.8.0 --startMP 300:22157 --initTime 2017-01-07T04:16:59 --startdatetime 2017-01-07T04:18:45 --delay 1 --endMP 204:150 --enddatetime 2017-01-07T04:27:52 --enforcementcount 0 &gt;&gt;C:\Users\stu\Documents\GitHub\eaglep3-reporting\EC\2017-01-07-refined-times.txt</v>
      </c>
      <c r="AI197" s="115" t="str">
        <f t="shared" si="57"/>
        <v>echo {"issue":{"subject":"","project_id":79,"tracker_id":40,"status_id":1,"priority_id":2,"assigned_to_id":23,"start_date":"2017-01-07","description":"","custom_fields":[{"id":1,"name":"Subdivision","value":"Other"},{"id":4,"name":"Milepost","value":"0.015"},{"id":17,"name":"Train ID","value":"308-07"},{"id":16,"name":"Locomotive ID","value":"4041"},{"id":130,"name":"Impact","value":""},{"id":150,"name":"Time of Event (Mountain Time)","value":"04:27:52"},{"id":151,"name":"Denver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8"/>
        <v>start /low /b %USERPROFILE%\Documents\GitHub\eaglep3\Utilities\DownloadLogsFromS3.py --loco 4041 --day 2017-01-07</v>
      </c>
    </row>
    <row r="198" spans="1:39" x14ac:dyDescent="0.25">
      <c r="A198" s="34" t="s">
        <v>479</v>
      </c>
      <c r="B198" s="7">
        <v>4039</v>
      </c>
      <c r="C198" s="22" t="s">
        <v>203</v>
      </c>
      <c r="D198" s="22" t="s">
        <v>782</v>
      </c>
      <c r="E198" s="13">
        <v>42742.181157407409</v>
      </c>
      <c r="F198" s="13">
        <v>42742.186840277776</v>
      </c>
      <c r="G198" s="7">
        <v>7</v>
      </c>
      <c r="H198" s="22" t="s">
        <v>783</v>
      </c>
      <c r="I198" s="13">
        <v>42742.193402777775</v>
      </c>
      <c r="J198" s="7">
        <v>0</v>
      </c>
      <c r="K198" s="105" t="str">
        <f t="shared" si="43"/>
        <v>4039/4040</v>
      </c>
      <c r="L198" s="22" t="str">
        <f>VLOOKUP(A198,'Trips&amp;Operators'!$C$1:$G$99999,5,FALSE)</f>
        <v>OUN ZACK</v>
      </c>
      <c r="M198" s="6">
        <f t="shared" si="44"/>
        <v>6.5624999988358468E-3</v>
      </c>
      <c r="N198" s="7">
        <f t="shared" si="70"/>
        <v>9.4499999983236194</v>
      </c>
      <c r="O198" s="7"/>
      <c r="P198" s="7"/>
      <c r="Q198" s="23"/>
      <c r="R198" s="23"/>
      <c r="S198" s="32">
        <f t="shared" si="60"/>
        <v>1</v>
      </c>
      <c r="T198" s="47" t="str">
        <f t="shared" si="45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03:20:52-700',mode:absolute,to:'2017-01-07 05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8" s="49" t="str">
        <f t="shared" si="47"/>
        <v>Y</v>
      </c>
      <c r="X198" s="173">
        <f t="shared" si="71"/>
        <v>2</v>
      </c>
      <c r="Y198" s="64">
        <f t="shared" si="49"/>
        <v>2.1993999999999998</v>
      </c>
      <c r="Z198" s="64">
        <f t="shared" si="50"/>
        <v>1.2500000000000001E-2</v>
      </c>
      <c r="AA198" s="64">
        <f t="shared" si="51"/>
        <v>2.1868999999999996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 t="shared" si="52"/>
        <v>0310-07</v>
      </c>
      <c r="AE198" s="87" t="str">
        <f t="shared" si="53"/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98" s="84" t="str">
        <f t="shared" si="54"/>
        <v>"C:\Program Files (x86)\AstroGrep\AstroGrep.exe" /spath="%USERPROFILE%\AppData\Local\Temp\OnboardLogs" /stypes="app*4039*20170107*" /stext=" 11:.+((SYSTEM_STATE.+slice.+state.+changed )|(ment ac)|(multiple cpu faults)|(system.+state.+changed )|(\[timeout)|(PRM\|1\|D)|(kpr)|(kdp)|(\|lc)|(penalty))" /e /r /s</v>
      </c>
      <c r="AG198" s="1" t="str">
        <f t="shared" si="55"/>
        <v>Other</v>
      </c>
      <c r="AH198" s="88" t="str">
        <f t="shared" si="56"/>
        <v>"%USERPROFILE%\Documents\GitHub\eaglep3\Utilities\RefineRTDCRunTimes.py" --tripid 310-07 --locoid 4039 --swversion DE.1.0.8.0 --startMP 300:21994 --initTime 2017-01-07T04:20:52 --startdatetime 2017-01-07T04:29:03 --delay 7 --endMP 204:125 --enddatetime 2017-01-07T04:38:30 --enforcementcount 0 &gt;&gt;C:\Users\stu\Documents\GitHub\eaglep3-reporting\EC\2017-01-07-refined-times.txt</v>
      </c>
      <c r="AI198" s="115" t="str">
        <f t="shared" si="57"/>
        <v>echo {"issue":{"subject":"","project_id":79,"tracker_id":40,"status_id":1,"priority_id":2,"assigned_to_id":23,"start_date":"2017-01-07","description":"","custom_fields":[{"id":1,"name":"Subdivision","value":"Other"},{"id":4,"name":"Milepost","value":"0.0125"},{"id":17,"name":"Train ID","value":"310-07"},{"id":16,"name":"Locomotive ID","value":"4039"},{"id":130,"name":"Impact","value":""},{"id":150,"name":"Time of Event (Mountain Time)","value":"04:38:30"},{"id":151,"name":"Denver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8"/>
        <v>start /low /b %USERPROFILE%\Documents\GitHub\eaglep3\Utilities\DownloadLogsFromS3.py --loco 4039 --day 2017-01-07</v>
      </c>
    </row>
    <row r="199" spans="1:39" x14ac:dyDescent="0.25">
      <c r="A199" s="34" t="s">
        <v>467</v>
      </c>
      <c r="B199" s="7">
        <v>4018</v>
      </c>
      <c r="C199" s="22" t="s">
        <v>203</v>
      </c>
      <c r="D199" s="22" t="s">
        <v>194</v>
      </c>
      <c r="E199" s="13">
        <v>42742.088541666664</v>
      </c>
      <c r="F199" s="13">
        <v>25568.708333333332</v>
      </c>
      <c r="G199" s="7">
        <v>1</v>
      </c>
      <c r="H199" s="22" t="s">
        <v>784</v>
      </c>
      <c r="I199" s="13">
        <v>25568.708333333332</v>
      </c>
      <c r="J199" s="7">
        <v>0</v>
      </c>
      <c r="K199" s="105" t="str">
        <f t="shared" si="43"/>
        <v>4017/4018</v>
      </c>
      <c r="L199" s="22" t="str">
        <f>VLOOKUP(A199,'Trips&amp;Operators'!$C$1:$G$99999,5,FALSE)</f>
        <v>HILLS DUSTIN</v>
      </c>
      <c r="M199" s="6">
        <f t="shared" si="44"/>
        <v>0</v>
      </c>
      <c r="N199" s="7">
        <f t="shared" si="70"/>
        <v>0</v>
      </c>
      <c r="O199" s="7"/>
      <c r="P199" s="7"/>
      <c r="Q199" s="23"/>
      <c r="R199" s="23"/>
      <c r="S199" s="32">
        <f t="shared" si="60"/>
        <v>1</v>
      </c>
      <c r="T199" s="47" t="str">
        <f t="shared" si="45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01:07:30-700',mode:absolute,to:'1969-12-31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49" t="str">
        <f t="shared" si="47"/>
        <v>Y</v>
      </c>
      <c r="X199" s="173">
        <f t="shared" si="71"/>
        <v>3</v>
      </c>
      <c r="Y199" s="64">
        <f t="shared" si="49"/>
        <v>4.5100000000000001E-2</v>
      </c>
      <c r="Z199" s="64">
        <f t="shared" si="50"/>
        <v>2.4214000000000002</v>
      </c>
      <c r="AA199" s="64">
        <f t="shared" si="51"/>
        <v>2.3763000000000001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 t="shared" si="52"/>
        <v>0313-06</v>
      </c>
      <c r="AE199" s="87" t="str">
        <f t="shared" si="5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9" s="84" t="str">
        <f t="shared" si="5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9" s="1" t="str">
        <f t="shared" si="55"/>
        <v>Other</v>
      </c>
      <c r="AH199" s="88" t="str">
        <f t="shared" si="56"/>
        <v>"%USERPROFILE%\Documents\GitHub\eaglep3\Utilities\RefineRTDCRunTimes.py" --tripid 313-06 --locoid 4018 --swversion DE.1.0.8.0 --startMP 204:451 --initTime 2017-01-07T02:07:30 --startdatetime 1969-12-31T17:00:00 --delay 1 --endMP 300:24214 --enddatetime 1969-12-31T17:00:00 --enforcementcount 0 &gt;&gt;C:\Users\stu\Documents\GitHub\eaglep3-reporting\EC\2017-01-07-refined-times.txt</v>
      </c>
      <c r="AI199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ID","value":"313-06"},{"id":16,"name":"Locomotive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8"/>
        <v>start /low /b %USERPROFILE%\Documents\GitHub\eaglep3\Utilities\DownloadLogsFromS3.py --loco 4018 --day 1969-12-31</v>
      </c>
    </row>
    <row r="200" spans="1:39" x14ac:dyDescent="0.25">
      <c r="A200" s="34" t="s">
        <v>656</v>
      </c>
      <c r="B200" s="7">
        <v>4042</v>
      </c>
      <c r="C200" s="22" t="s">
        <v>203</v>
      </c>
      <c r="D200" s="22" t="s">
        <v>785</v>
      </c>
      <c r="E200" s="13">
        <v>42743.106064814812</v>
      </c>
      <c r="F200" s="13">
        <v>25568.708333333332</v>
      </c>
      <c r="G200" s="7">
        <v>1</v>
      </c>
      <c r="H200" s="22" t="s">
        <v>786</v>
      </c>
      <c r="I200" s="13">
        <v>25568.708333333332</v>
      </c>
      <c r="J200" s="7">
        <v>0</v>
      </c>
      <c r="K200" s="105" t="str">
        <f t="shared" si="43"/>
        <v>4041/4042</v>
      </c>
      <c r="L200" s="22" t="str">
        <f>VLOOKUP(A200,'Trips&amp;Operators'!$C$1:$G$99999,5,FALSE)</f>
        <v>HILLS DUSTIN</v>
      </c>
      <c r="M200" s="6">
        <f t="shared" si="44"/>
        <v>0</v>
      </c>
      <c r="N200" s="7">
        <f t="shared" si="70"/>
        <v>0</v>
      </c>
      <c r="O200" s="7"/>
      <c r="P200" s="7"/>
      <c r="Q200" s="23"/>
      <c r="R200" s="23"/>
      <c r="S200" s="32">
        <f t="shared" si="60"/>
        <v>1</v>
      </c>
      <c r="T200" s="47" t="str">
        <f t="shared" si="45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01:32:44-700',mode:absolute,to:'1969-12-31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49" t="str">
        <f t="shared" si="47"/>
        <v>Y</v>
      </c>
      <c r="X200" s="173">
        <f t="shared" si="71"/>
        <v>0</v>
      </c>
      <c r="Y200" s="64">
        <f t="shared" si="49"/>
        <v>0.1051</v>
      </c>
      <c r="Z200" s="64">
        <f t="shared" si="50"/>
        <v>2.3306</v>
      </c>
      <c r="AA200" s="64">
        <f t="shared" si="51"/>
        <v>2.2254999999999998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 t="shared" si="52"/>
        <v>0313-07</v>
      </c>
      <c r="AE200" s="87" t="str">
        <f t="shared" si="5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0" s="84" t="str">
        <f t="shared" si="5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0" s="1" t="str">
        <f t="shared" si="55"/>
        <v>Other</v>
      </c>
      <c r="AH200" s="88" t="str">
        <f t="shared" si="56"/>
        <v>"%USERPROFILE%\Documents\GitHub\eaglep3\Utilities\RefineRTDCRunTimes.py" --tripid 313-07 --locoid 4042 --swversion DE.1.0.8.0 --startMP 204:1051 --initTime 2017-01-08T02:32:44 --startdatetime 1969-12-31T17:00:00 --delay 1 --endMP 300:23306 --enddatetime 1969-12-31T17:00:00 --enforcementcount 0 &gt;&gt;C:\Users\stu\Documents\GitHub\eaglep3-reporting\EC\2017-01-07-refined-times.txt</v>
      </c>
      <c r="AI200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8"/>
        <v>start /low /b %USERPROFILE%\Documents\GitHub\eaglep3\Utilities\DownloadLogsFromS3.py --loco 4042 --day 1969-12-31</v>
      </c>
    </row>
    <row r="201" spans="1:39" x14ac:dyDescent="0.25">
      <c r="A201" s="34" t="s">
        <v>656</v>
      </c>
      <c r="B201" s="7">
        <v>4042</v>
      </c>
      <c r="C201" s="22" t="s">
        <v>203</v>
      </c>
      <c r="D201" s="22" t="s">
        <v>787</v>
      </c>
      <c r="E201" s="13">
        <v>42743.088055555556</v>
      </c>
      <c r="F201" s="13">
        <v>25568.708333333332</v>
      </c>
      <c r="G201" s="7">
        <v>13</v>
      </c>
      <c r="H201" s="22" t="s">
        <v>788</v>
      </c>
      <c r="I201" s="13">
        <v>25568.708333333332</v>
      </c>
      <c r="J201" s="7">
        <v>0</v>
      </c>
      <c r="K201" s="105" t="str">
        <f t="shared" si="43"/>
        <v>4041/4042</v>
      </c>
      <c r="L201" s="22" t="str">
        <f>VLOOKUP(A201,'Trips&amp;Operators'!$C$1:$G$99999,5,FALSE)</f>
        <v>HILLS DUSTIN</v>
      </c>
      <c r="M201" s="6">
        <f t="shared" si="44"/>
        <v>0</v>
      </c>
      <c r="N201" s="7">
        <f t="shared" si="70"/>
        <v>0</v>
      </c>
      <c r="O201" s="7"/>
      <c r="P201" s="7"/>
      <c r="Q201" s="23"/>
      <c r="R201" s="23"/>
      <c r="S201" s="32">
        <f t="shared" si="60"/>
        <v>0</v>
      </c>
      <c r="T201" s="47" t="str">
        <f t="shared" si="45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1" s="49" t="str">
        <f t="shared" si="47"/>
        <v>Y</v>
      </c>
      <c r="X201" s="173">
        <f t="shared" si="71"/>
        <v>0</v>
      </c>
      <c r="Y201" s="64">
        <f t="shared" si="49"/>
        <v>7.3700000000000002E-2</v>
      </c>
      <c r="Z201" s="64">
        <f t="shared" si="50"/>
        <v>0.34029999999999999</v>
      </c>
      <c r="AA201" s="64">
        <f t="shared" si="51"/>
        <v>0.2666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 t="shared" si="52"/>
        <v>0313-07</v>
      </c>
      <c r="AE201" s="87" t="str">
        <f t="shared" si="5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1" s="84" t="str">
        <f t="shared" si="5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1" s="1" t="str">
        <f t="shared" si="55"/>
        <v>Other</v>
      </c>
      <c r="AH201" s="88" t="str">
        <f t="shared" si="56"/>
        <v>"%USERPROFILE%\Documents\GitHub\eaglep3\Utilities\RefineRTDCRunTimes.py" --tripid 313-07 --locoid 4042 --swversion DE.1.0.8.0 --startMP 204:737 --initTime 2017-01-08T02:06:48 --startdatetime 1969-12-31T17:00:00 --delay 13 --endMP 204:3403 --enddatetime 1969-12-31T17:00:00 --enforcementcount 0 &gt;&gt;C:\Users\stu\Documents\GitHub\eaglep3-reporting\EC\2017-01-07-refined-times.txt</v>
      </c>
      <c r="AI201" s="115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8"/>
        <v>start /low /b %USERPROFILE%\Documents\GitHub\eaglep3\Utilities\DownloadLogsFromS3.py --loco 4042 --day 1969-12-31</v>
      </c>
    </row>
    <row r="202" spans="1:39" x14ac:dyDescent="0.25">
      <c r="A202" s="34" t="s">
        <v>656</v>
      </c>
      <c r="B202" s="7">
        <v>4042</v>
      </c>
      <c r="C202" s="22" t="s">
        <v>203</v>
      </c>
      <c r="D202" s="22" t="s">
        <v>731</v>
      </c>
      <c r="E202" s="13">
        <v>42743.088055555556</v>
      </c>
      <c r="F202" s="13">
        <v>25568.708333333332</v>
      </c>
      <c r="G202" s="7">
        <v>2</v>
      </c>
      <c r="H202" s="22" t="s">
        <v>788</v>
      </c>
      <c r="I202" s="13">
        <v>25568.708333333332</v>
      </c>
      <c r="J202" s="7">
        <v>0</v>
      </c>
      <c r="K202" s="105" t="str">
        <f t="shared" si="43"/>
        <v>4041/4042</v>
      </c>
      <c r="L202" s="22" t="str">
        <f>VLOOKUP(A202,'Trips&amp;Operators'!$C$1:$G$99999,5,FALSE)</f>
        <v>HILLS DUSTIN</v>
      </c>
      <c r="M202" s="6">
        <f t="shared" si="44"/>
        <v>0</v>
      </c>
      <c r="N202" s="7">
        <f t="shared" si="70"/>
        <v>0</v>
      </c>
      <c r="O202" s="7"/>
      <c r="P202" s="7"/>
      <c r="Q202" s="23"/>
      <c r="R202" s="23"/>
      <c r="S202" s="32">
        <f t="shared" si="60"/>
        <v>0</v>
      </c>
      <c r="T202" s="47" t="str">
        <f t="shared" si="45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49" t="str">
        <f t="shared" si="47"/>
        <v>Y</v>
      </c>
      <c r="X202" s="173">
        <f t="shared" si="71"/>
        <v>0</v>
      </c>
      <c r="Y202" s="64">
        <f t="shared" si="49"/>
        <v>7.4300000000000005E-2</v>
      </c>
      <c r="Z202" s="64">
        <f t="shared" si="50"/>
        <v>0.34029999999999999</v>
      </c>
      <c r="AA202" s="64">
        <f t="shared" si="51"/>
        <v>0.26600000000000001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 t="shared" si="52"/>
        <v>0313-07</v>
      </c>
      <c r="AE202" s="87" t="str">
        <f t="shared" si="5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4" t="str">
        <f t="shared" si="5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2" s="1" t="str">
        <f t="shared" si="55"/>
        <v>Other</v>
      </c>
      <c r="AH202" s="88" t="str">
        <f t="shared" ref="AH202:AH215" si="72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313-07 --locoid 4042 --swversion DE.1.0.8.0 --startMP 204:743 --initTime 2017-01-08T02:06:48 --startdatetime 1969-12-31T17:00:00 --delay 2 --endMP 204:3403 --enddatetime 1969-12-31T17:00:00 --enforcementcount 0 &gt;&gt;C:\Users\stu\Documents\GitHub\eaglep3-reporting\EC\2017-01-07-refined-times.txt</v>
      </c>
      <c r="AI202" s="115" t="str">
        <f t="shared" ref="AI202:AI215" si="73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ref="AM202:AM215" si="74">"start /low /b "&amp;dls3logs&amp;" --loco "&amp;B202&amp;" --day "&amp;TEXT(F202,"YYYY-MM-DD")</f>
        <v>start /low /b %USERPROFILE%\Documents\GitHub\eaglep3\Utilities\DownloadLogsFromS3.py --loco 4042 --day 1969-12-31</v>
      </c>
    </row>
    <row r="203" spans="1:39" x14ac:dyDescent="0.25">
      <c r="A203" s="34" t="s">
        <v>490</v>
      </c>
      <c r="B203" s="7">
        <v>4014</v>
      </c>
      <c r="C203" s="22" t="s">
        <v>203</v>
      </c>
      <c r="D203" s="22" t="s">
        <v>750</v>
      </c>
      <c r="E203" s="13">
        <v>42742.231851851851</v>
      </c>
      <c r="F203" s="13">
        <v>42742.233194444445</v>
      </c>
      <c r="G203" s="7">
        <v>1</v>
      </c>
      <c r="H203" s="22" t="s">
        <v>358</v>
      </c>
      <c r="I203" s="13">
        <v>42742.238993055558</v>
      </c>
      <c r="J203" s="7">
        <v>0</v>
      </c>
      <c r="K203" s="105" t="str">
        <f t="shared" si="43"/>
        <v>4013/4014</v>
      </c>
      <c r="L203" s="22" t="str">
        <f>VLOOKUP(A203,'Trips&amp;Operators'!$C$1:$G$99999,5,FALSE)</f>
        <v>ARVIDSON DANIEL</v>
      </c>
      <c r="M203" s="6">
        <f t="shared" si="44"/>
        <v>5.7986111132777296E-3</v>
      </c>
      <c r="N203" s="7">
        <f t="shared" si="70"/>
        <v>8.3500000031199306</v>
      </c>
      <c r="O203" s="7"/>
      <c r="P203" s="7"/>
      <c r="Q203" s="23"/>
      <c r="R203" s="23"/>
      <c r="S203" s="32">
        <f t="shared" si="60"/>
        <v>0</v>
      </c>
      <c r="T203" s="47" t="str">
        <f t="shared" si="45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04:33:52-700',mode:absolute,to:'2017-01-07 06:44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49" t="str">
        <f t="shared" si="47"/>
        <v>Y</v>
      </c>
      <c r="X203" s="173">
        <f t="shared" si="71"/>
        <v>1588</v>
      </c>
      <c r="Y203" s="64">
        <f t="shared" si="49"/>
        <v>2.9962</v>
      </c>
      <c r="Z203" s="64">
        <f t="shared" si="50"/>
        <v>5.8917999999999999</v>
      </c>
      <c r="AA203" s="64">
        <f t="shared" si="51"/>
        <v>2.8956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 t="shared" si="52"/>
        <v>1901-07</v>
      </c>
      <c r="AE203" s="87" t="str">
        <f t="shared" si="53"/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203" s="84" t="str">
        <f t="shared" si="54"/>
        <v>"C:\Program Files (x86)\AstroGrep\AstroGrep.exe" /spath="%USERPROFILE%\AppData\Local\Temp\OnboardLogs" /stypes="app*4014*20170107*" /stext=" 12:.+((SYSTEM_STATE.+slice.+state.+changed )|(ment ac)|(multiple cpu faults)|(system.+state.+changed )|(\[timeout)|(PRM\|1\|D)|(kpr)|(kdp)|(\|lc)|(penalty))" /e /r /s</v>
      </c>
      <c r="AG203" s="1" t="str">
        <f t="shared" si="55"/>
        <v>Other</v>
      </c>
      <c r="AH203" s="88" t="str">
        <f t="shared" si="72"/>
        <v>"%USERPROFILE%\Documents\GitHub\eaglep3\Utilities\RefineRTDCRunTimes.py" --tripid 1901-07 --locoid 4014 --swversion DE.1.0.8.0 --startMP 300:29962 --initTime 2017-01-07T05:33:52 --startdatetime 2017-01-07T05:35:48 --delay 1 --endMP 300:58918 --enddatetime 2017-01-07T05:44:09 --enforcementcount 0 &gt;&gt;C:\Users\stu\Documents\GitHub\eaglep3-reporting\EC\2017-01-07-refined-times.txt</v>
      </c>
      <c r="AI203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{"issue":{"subject":"","project_id":79,"tracker_id":40,"status_id":1,"priority_id":2,"assigned_to_id":23,"start_date":"2017-01-07","description":"","custom_fields":[{"id":1,"name":"Subdivision","value":"Other"},{"id":4,"name":"Milepost","value":"5.8918"},{"id":17,"name":"Train ID","value":"1901-07"},{"id":16,"name":"Locomotive ID","value":"4014"},{"id":130,"name":"Impact","value":""},{"id":150,"name":"Time of Event (Mountain Time)","value":"05:44:09"},{"id":151,"name":"Denver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74"/>
        <v>start /low /b %USERPROFILE%\Documents\GitHub\eaglep3\Utilities\DownloadLogsFromS3.py --loco 4014 --day 2017-01-07</v>
      </c>
    </row>
    <row r="204" spans="1:39" x14ac:dyDescent="0.25">
      <c r="A204" s="34" t="s">
        <v>647</v>
      </c>
      <c r="B204" s="7">
        <v>4013</v>
      </c>
      <c r="C204" s="22" t="s">
        <v>203</v>
      </c>
      <c r="D204" s="22" t="s">
        <v>751</v>
      </c>
      <c r="E204" s="13">
        <v>42742.943252314813</v>
      </c>
      <c r="F204" s="13">
        <v>42742.944537037038</v>
      </c>
      <c r="G204" s="7">
        <v>1</v>
      </c>
      <c r="H204" s="22" t="s">
        <v>752</v>
      </c>
      <c r="I204" s="13">
        <v>42742.949236111112</v>
      </c>
      <c r="J204" s="7">
        <v>0</v>
      </c>
      <c r="K204" s="105" t="str">
        <f t="shared" si="43"/>
        <v>4013/4014</v>
      </c>
      <c r="L204" s="22" t="str">
        <f>VLOOKUP(A204,'Trips&amp;Operators'!$C$1:$G$99999,5,FALSE)</f>
        <v>HELVIE ADAM</v>
      </c>
      <c r="M204" s="6">
        <f t="shared" si="44"/>
        <v>4.6990740738692693E-3</v>
      </c>
      <c r="N204" s="7">
        <f t="shared" si="70"/>
        <v>6.7666666663717479</v>
      </c>
      <c r="O204" s="7"/>
      <c r="P204" s="7"/>
      <c r="Q204" s="23"/>
      <c r="R204" s="23"/>
      <c r="S204" s="32">
        <f t="shared" si="60"/>
        <v>0</v>
      </c>
      <c r="T204" s="47" t="str">
        <f t="shared" si="45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46"/>
        <v>https://search-rtdc-monitor-bjffxe2xuh6vdkpspy63sjmuny.us-east-1.es.amazonaws.com/_plugin/kibana/#/discover/Steve-Slow-Train-Analysis-(2080s-and-2083s)?_g=(refreshInterval:(display:Off,section:0,value:0),time:(from:'2017-01-07 21:38:17-700',mode:absolute,to:'2017-01-07 23:46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4" s="49" t="str">
        <f t="shared" si="47"/>
        <v>Y</v>
      </c>
      <c r="X204" s="173">
        <f t="shared" si="71"/>
        <v>1</v>
      </c>
      <c r="Y204" s="64">
        <f t="shared" si="49"/>
        <v>5.8638000000000003</v>
      </c>
      <c r="Z204" s="64">
        <f t="shared" si="50"/>
        <v>2.1684999999999999</v>
      </c>
      <c r="AA204" s="64">
        <f t="shared" si="51"/>
        <v>3.6953000000000005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 t="shared" si="52"/>
        <v>1902-07</v>
      </c>
      <c r="AE204" s="87" t="str">
        <f t="shared" si="53"/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204" s="84" t="str">
        <f t="shared" si="54"/>
        <v>"C:\Program Files (x86)\AstroGrep\AstroGrep.exe" /spath="%USERPROFILE%\AppData\Local\Temp\OnboardLogs" /stypes="app*4013*20170108*" /stext=" 05:.+((SYSTEM_STATE.+slice.+state.+changed )|(ment ac)|(multiple cpu faults)|(system.+state.+changed )|(\[timeout)|(PRM\|1\|D)|(kpr)|(kdp)|(\|lc)|(penalty))" /e /r /s</v>
      </c>
      <c r="AG204" s="1" t="str">
        <f t="shared" si="55"/>
        <v>Other</v>
      </c>
      <c r="AH204" s="88" t="str">
        <f t="shared" si="72"/>
        <v>"%USERPROFILE%\Documents\GitHub\eaglep3\Utilities\RefineRTDCRunTimes.py" --tripid 1902-07 --locoid 4013 --swversion DE.1.0.8.0 --startMP 300:58638 --initTime 2017-01-07T22:38:17 --startdatetime 2017-01-07T22:40:08 --delay 1 --endMP 300:21685 --enddatetime 2017-01-07T22:46:54 --enforcementcount 0 &gt;&gt;C:\Users\stu\Documents\GitHub\eaglep3-reporting\EC\2017-01-07-refined-times.txt</v>
      </c>
      <c r="AI204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{"issue":{"subject":"","project_id":79,"tracker_id":40,"status_id":1,"priority_id":2,"assigned_to_id":23,"start_date":"2017-01-07","description":"","custom_fields":[{"id":1,"name":"Subdivision","value":"Other"},{"id":4,"name":"Milepost","value":"2.1685"},{"id":17,"name":"Train ID","value":"1902-07"},{"id":16,"name":"Locomotive ID","value":"4013"},{"id":130,"name":"Impact","value":""},{"id":150,"name":"Time of Event (Mountain Time)","value":"22:46:54"},{"id":151,"name":"Denver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74"/>
        <v>start /low /b %USERPROFILE%\Documents\GitHub\eaglep3\Utilities\DownloadLogsFromS3.py --loco 4013 --day 2017-01-07</v>
      </c>
    </row>
    <row r="205" spans="1:39" x14ac:dyDescent="0.25">
      <c r="A205" s="34" t="s">
        <v>532</v>
      </c>
      <c r="B205" s="7">
        <v>4021</v>
      </c>
      <c r="C205" s="22" t="s">
        <v>203</v>
      </c>
      <c r="D205" s="22" t="s">
        <v>789</v>
      </c>
      <c r="E205" s="13">
        <v>42742.420254629629</v>
      </c>
      <c r="F205" s="13">
        <v>42742.421886574077</v>
      </c>
      <c r="G205" s="7">
        <v>1</v>
      </c>
      <c r="H205" s="22" t="s">
        <v>790</v>
      </c>
      <c r="I205" s="13">
        <v>42742.464108796295</v>
      </c>
      <c r="J205" s="7">
        <v>0</v>
      </c>
      <c r="K205" s="105" t="str">
        <f t="shared" ref="K205:K215" si="75">IF(ISEVEN(B205),(B205-1)&amp;"/"&amp;B205,B205&amp;"/"&amp;(B205+1))</f>
        <v>4021/4022</v>
      </c>
      <c r="L205" s="22" t="str">
        <f>VLOOKUP(A205,'Trips&amp;Operators'!$C$1:$G$99999,5,FALSE)</f>
        <v>BRANDNER MELINDA</v>
      </c>
      <c r="M205" s="6">
        <f t="shared" ref="M205:M215" si="76">I205-F205</f>
        <v>4.2222222218697425E-2</v>
      </c>
      <c r="N205" s="7">
        <f t="shared" si="70"/>
        <v>60.799999994924292</v>
      </c>
      <c r="O205" s="7"/>
      <c r="P205" s="7"/>
      <c r="Q205" s="23"/>
      <c r="R205" s="23"/>
      <c r="S205" s="32">
        <f t="shared" si="60"/>
        <v>0</v>
      </c>
      <c r="T205" s="47" t="e">
        <f t="shared" ref="T205:T215" si="77">IF(ISEVEN(LEFT(AD205,4)),"Southbound","NorthBound")</f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ref="V205:V215" si="78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https://search-rtdc-monitor-bjffxe2xuh6vdkpspy63sjmuny.us-east-1.es.amazonaws.com/_plugin/kibana/#/discover/Steve-Slow-Train-Analysis-(2080s-and-2083s)?_g=(refreshInterval:(display:Off,section:0,value:0),time:(from:'2017-01-07 09:05:10-700',mode:absolute,to:'2017-01-07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5" s="49" t="str">
        <f t="shared" ref="W205:W215" si="79">IF(AA205&lt;IF(AG205="EC",23,5.65),"Y","N")</f>
        <v>Y</v>
      </c>
      <c r="X205" s="173" t="e">
        <f t="shared" si="71"/>
        <v>#VALUE!</v>
      </c>
      <c r="Y205" s="64">
        <f t="shared" ref="Y205:Y215" si="80">RIGHT(D205,LEN(D205)-4)/10000</f>
        <v>2.1941000000000002</v>
      </c>
      <c r="Z205" s="64">
        <f t="shared" ref="Z205:Z215" si="81">RIGHT(H205,LEN(H205)-4)/10000</f>
        <v>9.7000000000000003E-3</v>
      </c>
      <c r="AA205" s="64">
        <f t="shared" ref="AA205:AA215" si="82">ABS(Z205-Y205)</f>
        <v>2.1844000000000001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 t="shared" ref="AD205:AD215" si="83">IF(LEN(A205)=6,"0"&amp;A205,A205)</f>
        <v>50-07</v>
      </c>
      <c r="AE205" s="87" t="str">
        <f t="shared" ref="AE205:AE215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05" s="84" t="str">
        <f t="shared" ref="AF205:AF215" si="8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/stypes="app*4021*20170107*" /stext=" 18:.+((SYSTEM_STATE.+slice.+state.+changed )|(ment ac)|(multiple cpu faults)|(system.+state.+changed )|(\[timeout)|(PRM\|1\|D)|(kpr)|(kdp)|(\|lc)|(penalty))" /e /r /s</v>
      </c>
      <c r="AG205" s="1" t="str">
        <f t="shared" ref="AG205:AG215" si="86">IFERROR(IF(VALUE(LEFT(AD205,2))&lt;=2,"EC",IF(OR(VALUE(LEFT(AD205,2))=8,VALUE(LEFT(AD205,2))=18),"NW","Other")),"Other")</f>
        <v>Other</v>
      </c>
      <c r="AH205" s="88" t="str">
        <f t="shared" si="72"/>
        <v>"%USERPROFILE%\Documents\GitHub\eaglep3\Utilities\RefineRTDCRunTimes.py" --tripid 50-07 --locoid 4021 --swversion DE.1.0.8.0 --startMP 300:21941 --initTime 2017-01-07T10:05:10 --startdatetime 2017-01-07T10:07:31 --delay 1 --endMP 204:97 --enddatetime 2017-01-07T11:08:19 --enforcementcount 0 &gt;&gt;C:\Users\stu\Documents\GitHub\eaglep3-reporting\EC\2017-01-07-refined-times.txt</v>
      </c>
      <c r="AI205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{"issue":{"subject":"","project_id":79,"tracker_id":40,"status_id":1,"priority_id":2,"assigned_to_id":23,"start_date":"2017-01-07","description":"","custom_fields":[{"id":1,"name":"Subdivision","value":"Other"},{"id":4,"name":"Milepost","value":"0.0097"},{"id":17,"name":"Train ID","value":"50-07"},{"id":16,"name":"Locomotive ID","value":"4021"},{"id":130,"name":"Impact","value":""},{"id":150,"name":"Time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4"/>
        <v>start /low /b %USERPROFILE%\Documents\GitHub\eaglep3\Utilities\DownloadLogsFromS3.py --loco 4021 --day 2017-01-07</v>
      </c>
    </row>
    <row r="206" spans="1:39" x14ac:dyDescent="0.25">
      <c r="A206" s="34" t="s">
        <v>537</v>
      </c>
      <c r="B206" s="7">
        <v>4022</v>
      </c>
      <c r="C206" s="22" t="s">
        <v>203</v>
      </c>
      <c r="D206" s="22" t="s">
        <v>791</v>
      </c>
      <c r="E206" s="13">
        <v>42742.434444444443</v>
      </c>
      <c r="F206" s="13">
        <v>42742.435381944444</v>
      </c>
      <c r="G206" s="7">
        <v>0</v>
      </c>
      <c r="H206" s="22" t="s">
        <v>792</v>
      </c>
      <c r="I206" s="13">
        <v>42742.441435185188</v>
      </c>
      <c r="J206" s="7">
        <v>0</v>
      </c>
      <c r="K206" s="105" t="str">
        <f t="shared" si="75"/>
        <v>4021/4022</v>
      </c>
      <c r="L206" s="22" t="str">
        <f>VLOOKUP(A206,'Trips&amp;Operators'!$C$1:$G$99999,5,FALSE)</f>
        <v>ISHMAEL JOSEPH</v>
      </c>
      <c r="M206" s="6">
        <f t="shared" si="76"/>
        <v>6.0532407442224212E-3</v>
      </c>
      <c r="N206" s="7">
        <f t="shared" si="70"/>
        <v>8.7166666716802865</v>
      </c>
      <c r="O206" s="7"/>
      <c r="P206" s="7"/>
      <c r="Q206" s="23"/>
      <c r="R206" s="23"/>
      <c r="S206" s="32">
        <f t="shared" si="60"/>
        <v>0</v>
      </c>
      <c r="T206" s="47" t="e">
        <f t="shared" si="77"/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09:25:36-700',mode:absolute,to:'2017-01-07 11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6" s="49" t="str">
        <f t="shared" si="79"/>
        <v>Y</v>
      </c>
      <c r="X206" s="173" t="e">
        <f t="shared" si="71"/>
        <v>#VALUE!</v>
      </c>
      <c r="Y206" s="64">
        <f t="shared" si="80"/>
        <v>3.7499999999999999E-2</v>
      </c>
      <c r="Z206" s="64">
        <f t="shared" si="81"/>
        <v>2.4247999999999998</v>
      </c>
      <c r="AA206" s="64">
        <f t="shared" si="82"/>
        <v>2.3872999999999998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 t="shared" si="83"/>
        <v>51-07</v>
      </c>
      <c r="AE206" s="87" t="str">
        <f t="shared" si="84"/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AF206" s="84" t="str">
        <f t="shared" si="85"/>
        <v>"C:\Program Files (x86)\AstroGrep\AstroGrep.exe" /spath="%USERPROFILE%\AppData\Local\Temp\OnboardLogs" /stypes="app*4022*20170107*" /stext=" 17:.+((SYSTEM_STATE.+slice.+state.+changed )|(ment ac)|(multiple cpu faults)|(system.+state.+changed )|(\[timeout)|(PRM\|1\|D)|(kpr)|(kdp)|(\|lc)|(penalty))" /e /r /s</v>
      </c>
      <c r="AG206" s="1" t="str">
        <f t="shared" si="86"/>
        <v>Other</v>
      </c>
      <c r="AH206" s="88" t="str">
        <f t="shared" si="72"/>
        <v>"%USERPROFILE%\Documents\GitHub\eaglep3\Utilities\RefineRTDCRunTimes.py" --tripid 51-07 --locoid 4022 --swversion DE.1.0.8.0 --startMP 204:375 --initTime 2017-01-07T10:25:36 --startdatetime 2017-01-07T10:26:57 --delay 0 --endMP 300:24248 --enddatetime 2017-01-07T10:35:40 --enforcementcount 0 &gt;&gt;C:\Users\stu\Documents\GitHub\eaglep3-reporting\EC\2017-01-07-refined-times.txt</v>
      </c>
      <c r="AI206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{"issue":{"subject":"","project_id":79,"tracker_id":40,"status_id":1,"priority_id":2,"assigned_to_id":23,"start_date":"2017-01-07","description":"","custom_fields":[{"id":1,"name":"Subdivision","value":"Other"},{"id":4,"name":"Milepost","value":"2.4248"},{"id":17,"name":"Train ID","value":"51-07"},{"id":16,"name":"Locomotive ID","value":"4022"},{"id":130,"name":"Impact","value":""},{"id":150,"name":"Time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4"/>
        <v>start /low /b %USERPROFILE%\Documents\GitHub\eaglep3\Utilities\DownloadLogsFromS3.py --loco 4022 --day 2017-01-07</v>
      </c>
    </row>
    <row r="207" spans="1:39" x14ac:dyDescent="0.25">
      <c r="A207" s="34" t="s">
        <v>438</v>
      </c>
      <c r="B207" s="7">
        <v>4021</v>
      </c>
      <c r="C207" s="22" t="s">
        <v>203</v>
      </c>
      <c r="D207" s="22" t="s">
        <v>793</v>
      </c>
      <c r="E207" s="13">
        <v>42742.449641203704</v>
      </c>
      <c r="F207" s="13">
        <v>42742.457314814812</v>
      </c>
      <c r="G207" s="7">
        <v>10</v>
      </c>
      <c r="H207" s="22" t="s">
        <v>794</v>
      </c>
      <c r="I207" s="13">
        <v>42742.464108796295</v>
      </c>
      <c r="J207" s="7">
        <v>0</v>
      </c>
      <c r="K207" s="105" t="str">
        <f t="shared" si="75"/>
        <v>4021/4022</v>
      </c>
      <c r="L207" s="22" t="str">
        <f>VLOOKUP(A207,'Trips&amp;Operators'!$C$1:$G$99999,5,FALSE)</f>
        <v>KILLION DAVID</v>
      </c>
      <c r="M207" s="6">
        <f t="shared" si="76"/>
        <v>6.7939814834971912E-3</v>
      </c>
      <c r="N207" s="7">
        <f t="shared" si="70"/>
        <v>9.7833333362359554</v>
      </c>
      <c r="O207" s="7"/>
      <c r="P207" s="7"/>
      <c r="Q207" s="23"/>
      <c r="R207" s="23"/>
      <c r="S207" s="32">
        <f t="shared" ref="S207:S215" si="87">SUM(U207:U207)/IF(AG207="EC",12,1)</f>
        <v>0</v>
      </c>
      <c r="T207" s="47" t="e">
        <f t="shared" si="77"/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09:47:29-700',mode:absolute,to:'2017-01-07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7" s="49" t="str">
        <f t="shared" si="79"/>
        <v>Y</v>
      </c>
      <c r="X207" s="173" t="e">
        <f t="shared" si="71"/>
        <v>#VALUE!</v>
      </c>
      <c r="Y207" s="64">
        <f t="shared" si="80"/>
        <v>2.3182</v>
      </c>
      <c r="Z207" s="64">
        <f t="shared" si="81"/>
        <v>3.1600000000000003E-2</v>
      </c>
      <c r="AA207" s="64">
        <f t="shared" si="82"/>
        <v>2.2866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 t="shared" si="83"/>
        <v>52-07</v>
      </c>
      <c r="AE207" s="87" t="str">
        <f t="shared" si="84"/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07" s="84" t="str">
        <f t="shared" si="85"/>
        <v>"C:\Program Files (x86)\AstroGrep\AstroGrep.exe" /spath="%USERPROFILE%\AppData\Local\Temp\OnboardLogs" /stypes="app*4021*20170107*" /stext=" 18:.+((SYSTEM_STATE.+slice.+state.+changed )|(ment ac)|(multiple cpu faults)|(system.+state.+changed )|(\[timeout)|(PRM\|1\|D)|(kpr)|(kdp)|(\|lc)|(penalty))" /e /r /s</v>
      </c>
      <c r="AG207" s="1" t="str">
        <f t="shared" si="86"/>
        <v>Other</v>
      </c>
      <c r="AH207" s="88" t="str">
        <f t="shared" si="72"/>
        <v>"%USERPROFILE%\Documents\GitHub\eaglep3\Utilities\RefineRTDCRunTimes.py" --tripid 52-07 --locoid 4021 --swversion DE.1.0.8.0 --startMP 300:23182 --initTime 2017-01-07T10:47:29 --startdatetime 2017-01-07T10:58:32 --delay 10 --endMP 204:316 --enddatetime 2017-01-07T11:08:19 --enforcementcount 0 &gt;&gt;C:\Users\stu\Documents\GitHub\eaglep3-reporting\EC\2017-01-07-refined-times.txt</v>
      </c>
      <c r="AI207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{"issue":{"subject":"","project_id":79,"tracker_id":40,"status_id":1,"priority_id":2,"assigned_to_id":23,"start_date":"2017-01-07","description":"","custom_fields":[{"id":1,"name":"Subdivision","value":"Other"},{"id":4,"name":"Milepost","value":"0.0316"},{"id":17,"name":"Train ID","value":"52-07"},{"id":16,"name":"Locomotive ID","value":"4021"},{"id":130,"name":"Impact","value":""},{"id":150,"name":"Time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4"/>
        <v>start /low /b %USERPROFILE%\Documents\GitHub\eaglep3\Utilities\DownloadLogsFromS3.py --loco 4021 --day 2017-01-07</v>
      </c>
    </row>
    <row r="208" spans="1:39" x14ac:dyDescent="0.25">
      <c r="A208" s="34" t="s">
        <v>442</v>
      </c>
      <c r="B208" s="7">
        <v>4022</v>
      </c>
      <c r="C208" s="22" t="s">
        <v>203</v>
      </c>
      <c r="D208" s="22" t="s">
        <v>795</v>
      </c>
      <c r="E208" s="13">
        <v>42742.479629629626</v>
      </c>
      <c r="F208" s="13">
        <v>42742.484872685185</v>
      </c>
      <c r="G208" s="7">
        <v>2</v>
      </c>
      <c r="H208" s="22" t="s">
        <v>796</v>
      </c>
      <c r="I208" s="13">
        <v>42742.491805555554</v>
      </c>
      <c r="J208" s="7">
        <v>0</v>
      </c>
      <c r="K208" s="105" t="str">
        <f t="shared" si="75"/>
        <v>4021/4022</v>
      </c>
      <c r="L208" s="22" t="str">
        <f>VLOOKUP(A208,'Trips&amp;Operators'!$C$1:$G$99999,5,FALSE)</f>
        <v>DAVIS WENDY</v>
      </c>
      <c r="M208" s="6">
        <f t="shared" si="76"/>
        <v>6.9328703684732318E-3</v>
      </c>
      <c r="N208" s="7">
        <f t="shared" si="70"/>
        <v>9.9833333306014538</v>
      </c>
      <c r="O208" s="7"/>
      <c r="P208" s="7"/>
      <c r="Q208" s="23"/>
      <c r="R208" s="23"/>
      <c r="S208" s="32">
        <f t="shared" si="87"/>
        <v>0</v>
      </c>
      <c r="T208" s="47" t="e">
        <f t="shared" si="77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49" t="str">
        <f t="shared" si="79"/>
        <v>Y</v>
      </c>
      <c r="X208" s="173" t="e">
        <f t="shared" si="71"/>
        <v>#VALUE!</v>
      </c>
      <c r="Y208" s="64">
        <f t="shared" si="80"/>
        <v>3.1399999999999997E-2</v>
      </c>
      <c r="Z208" s="64">
        <f t="shared" si="81"/>
        <v>2.5567000000000002</v>
      </c>
      <c r="AA208" s="64">
        <f t="shared" si="82"/>
        <v>2.5253000000000001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 t="shared" si="83"/>
        <v>53-07</v>
      </c>
      <c r="AE208" s="87" t="str">
        <f t="shared" si="84"/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AF208" s="84" t="str">
        <f t="shared" si="85"/>
        <v>"C:\Program Files (x86)\AstroGrep\AstroGrep.exe" /spath="%USERPROFILE%\AppData\Local\Temp\OnboardLogs" /stypes="app*4022*20170107*" /stext=" 18:.+((SYSTEM_STATE.+slice.+state.+changed )|(ment ac)|(multiple cpu faults)|(system.+state.+changed )|(\[timeout)|(PRM\|1\|D)|(kpr)|(kdp)|(\|lc)|(penalty))" /e /r /s</v>
      </c>
      <c r="AG208" s="1" t="str">
        <f t="shared" si="86"/>
        <v>Other</v>
      </c>
      <c r="AH208" s="88" t="str">
        <f t="shared" si="72"/>
        <v>"%USERPROFILE%\Documents\GitHub\eaglep3\Utilities\RefineRTDCRunTimes.py" --tripid 53-07 --locoid 4022 --swversion DE.1.0.8.0 --startMP 204:314 --initTime 2017-01-07T11:30:40 --startdatetime 2017-01-07T11:38:13 --delay 2 --endMP 300:25567 --enddatetime 2017-01-07T11:48:12 --enforcementcount 0 &gt;&gt;C:\Users\stu\Documents\GitHub\eaglep3-reporting\EC\2017-01-07-refined-times.txt</v>
      </c>
      <c r="AI208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{"issue":{"subject":"","project_id":79,"tracker_id":40,"status_id":1,"priority_id":2,"assigned_to_id":23,"start_date":"2017-01-07","description":"","custom_fields":[{"id":1,"name":"Subdivision","value":"Other"},{"id":4,"name":"Milepost","value":"2.5567"},{"id":17,"name":"Train ID","value":"53-07"},{"id":16,"name":"Locomotive ID","value":"4022"},{"id":130,"name":"Impact","value":""},{"id":150,"name":"Time of Event (Mountain Time)","value":"11:48:12"},{"id":151,"name":"Denver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4"/>
        <v>start /low /b %USERPROFILE%\Documents\GitHub\eaglep3\Utilities\DownloadLogsFromS3.py --loco 4022 --day 2017-01-07</v>
      </c>
    </row>
    <row r="209" spans="1:39" x14ac:dyDescent="0.25">
      <c r="A209" s="34" t="s">
        <v>439</v>
      </c>
      <c r="B209" s="7">
        <v>4032</v>
      </c>
      <c r="C209" s="22" t="s">
        <v>203</v>
      </c>
      <c r="D209" s="22" t="s">
        <v>797</v>
      </c>
      <c r="E209" s="13">
        <v>42742.473402777781</v>
      </c>
      <c r="F209" s="13">
        <v>42742.474641203706</v>
      </c>
      <c r="G209" s="7">
        <v>1</v>
      </c>
      <c r="H209" s="22" t="s">
        <v>798</v>
      </c>
      <c r="I209" s="13">
        <v>42742.480497685188</v>
      </c>
      <c r="J209" s="7">
        <v>0</v>
      </c>
      <c r="K209" s="105" t="str">
        <f t="shared" si="75"/>
        <v>4031/4032</v>
      </c>
      <c r="L209" s="22" t="str">
        <f>VLOOKUP(A209,'Trips&amp;Operators'!$C$1:$G$99999,5,FALSE)</f>
        <v>LEVIN SCOTT</v>
      </c>
      <c r="M209" s="6">
        <f t="shared" si="76"/>
        <v>5.8564814826240763E-3</v>
      </c>
      <c r="N209" s="7">
        <f t="shared" si="70"/>
        <v>8.4333333349786699</v>
      </c>
      <c r="O209" s="7"/>
      <c r="P209" s="7"/>
      <c r="Q209" s="23"/>
      <c r="R209" s="23"/>
      <c r="S209" s="32">
        <f t="shared" si="87"/>
        <v>0</v>
      </c>
      <c r="T209" s="47" t="e">
        <f t="shared" si="77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10:21:42-700',mode:absolute,to:'2017-01-07 12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9" s="49" t="str">
        <f t="shared" si="79"/>
        <v>Y</v>
      </c>
      <c r="X209" s="173" t="e">
        <f t="shared" si="71"/>
        <v>#VALUE!</v>
      </c>
      <c r="Y209" s="64">
        <f t="shared" si="80"/>
        <v>2.2313999999999998</v>
      </c>
      <c r="Z209" s="64">
        <f t="shared" si="81"/>
        <v>9.0200000000000002E-2</v>
      </c>
      <c r="AA209" s="64">
        <f t="shared" si="82"/>
        <v>2.1412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 t="shared" si="83"/>
        <v>54-07</v>
      </c>
      <c r="AE209" s="87" t="str">
        <f t="shared" si="84"/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AF209" s="84" t="str">
        <f t="shared" si="85"/>
        <v>"C:\Program Files (x86)\AstroGrep\AstroGrep.exe" /spath="%USERPROFILE%\AppData\Local\Temp\OnboardLogs" /stypes="app*4032*20170107*" /stext=" 18:.+((SYSTEM_STATE.+slice.+state.+changed )|(ment ac)|(multiple cpu faults)|(system.+state.+changed )|(\[timeout)|(PRM\|1\|D)|(kpr)|(kdp)|(\|lc)|(penalty))" /e /r /s</v>
      </c>
      <c r="AG209" s="1" t="str">
        <f t="shared" si="86"/>
        <v>Other</v>
      </c>
      <c r="AH209" s="88" t="str">
        <f t="shared" si="72"/>
        <v>"%USERPROFILE%\Documents\GitHub\eaglep3\Utilities\RefineRTDCRunTimes.py" --tripid 54-07 --locoid 4032 --swversion DE.1.0.8.0 --startMP 300:22314 --initTime 2017-01-07T11:21:42 --startdatetime 2017-01-07T11:23:29 --delay 1 --endMP 204:902 --enddatetime 2017-01-07T11:31:55 --enforcementcount 0 &gt;&gt;C:\Users\stu\Documents\GitHub\eaglep3-reporting\EC\2017-01-07-refined-times.txt</v>
      </c>
      <c r="AI209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{"issue":{"subject":"","project_id":79,"tracker_id":40,"status_id":1,"priority_id":2,"assigned_to_id":23,"start_date":"2017-01-07","description":"","custom_fields":[{"id":1,"name":"Subdivision","value":"Other"},{"id":4,"name":"Milepost","value":"0.0902"},{"id":17,"name":"Train ID","value":"54-07"},{"id":16,"name":"Locomotive ID","value":"4032"},{"id":130,"name":"Impact","value":""},{"id":150,"name":"Time of Event (Mountain Time)","value":"11:31:55"},{"id":151,"name":"Denver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4"/>
        <v>start /low /b %USERPROFILE%\Documents\GitHub\eaglep3\Utilities\DownloadLogsFromS3.py --loco 4032 --day 2017-01-07</v>
      </c>
    </row>
    <row r="210" spans="1:39" x14ac:dyDescent="0.25">
      <c r="A210" s="34" t="s">
        <v>555</v>
      </c>
      <c r="B210" s="7">
        <v>4031</v>
      </c>
      <c r="C210" s="22" t="s">
        <v>203</v>
      </c>
      <c r="D210" s="22" t="s">
        <v>799</v>
      </c>
      <c r="E210" s="13">
        <v>42742.501018518517</v>
      </c>
      <c r="F210" s="13">
        <v>42742.502546296295</v>
      </c>
      <c r="G210" s="7">
        <v>1</v>
      </c>
      <c r="H210" s="22" t="s">
        <v>800</v>
      </c>
      <c r="I210" s="13">
        <v>42742.508055555554</v>
      </c>
      <c r="J210" s="7">
        <v>0</v>
      </c>
      <c r="K210" s="105" t="str">
        <f t="shared" si="75"/>
        <v>4031/4032</v>
      </c>
      <c r="L210" s="22" t="str">
        <f>VLOOKUP(A210,'Trips&amp;Operators'!$C$1:$G$99999,5,FALSE)</f>
        <v>LOZA FIDEL</v>
      </c>
      <c r="M210" s="6">
        <f t="shared" si="76"/>
        <v>5.5092592592700385E-3</v>
      </c>
      <c r="N210" s="7">
        <f t="shared" si="70"/>
        <v>7.9333333333488554</v>
      </c>
      <c r="O210" s="7"/>
      <c r="P210" s="7"/>
      <c r="Q210" s="23"/>
      <c r="R210" s="23"/>
      <c r="S210" s="32">
        <f t="shared" si="87"/>
        <v>0</v>
      </c>
      <c r="T210" s="47" t="e">
        <f t="shared" si="77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11:01:28-700',mode:absolute,to:'2017-01-07 13:11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0" s="49" t="str">
        <f t="shared" si="79"/>
        <v>Y</v>
      </c>
      <c r="X210" s="173" t="e">
        <f t="shared" si="71"/>
        <v>#VALUE!</v>
      </c>
      <c r="Y210" s="64">
        <f t="shared" si="80"/>
        <v>0.12139999999999999</v>
      </c>
      <c r="Z210" s="64">
        <f t="shared" si="81"/>
        <v>2.4235000000000002</v>
      </c>
      <c r="AA210" s="64">
        <f t="shared" si="82"/>
        <v>2.3021000000000003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 t="shared" si="83"/>
        <v>55-07</v>
      </c>
      <c r="AE210" s="87" t="str">
        <f t="shared" si="84"/>
        <v>aws s3 cp s3://rtdc.mdm.uploadarchive.raw/RTDC4031/ "%USERPROFILE%\AppData\Local\Temp\OnboardLogs"\RTDC4031\2017-01-07 --exclude "*" --recursive --include "*20170107*" &amp; "%USERPROFILE%\Documents\GitHub\mrs-test-scripts\Headless Mode &amp; Sideloading\WalkAndUnGZ.bat" "%USERPROFILE%\AppData\Local\Temp\OnboardLogs"\RTDC4031\2017-01-07 &amp; 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</v>
      </c>
      <c r="AF210" s="84" t="str">
        <f t="shared" si="85"/>
        <v>"C:\Program Files (x86)\AstroGrep\AstroGrep.exe" /spath="%USERPROFILE%\AppData\Local\Temp\OnboardLogs" /stypes="app*4031*20170107*" /stext=" 19:.+((SYSTEM_STATE.+slice.+state.+changed )|(ment ac)|(multiple cpu faults)|(system.+state.+changed )|(\[timeout)|(PRM\|1\|D)|(kpr)|(kdp)|(\|lc)|(penalty))" /e /r /s</v>
      </c>
      <c r="AG210" s="1" t="str">
        <f t="shared" si="86"/>
        <v>Other</v>
      </c>
      <c r="AH210" s="88" t="str">
        <f t="shared" si="72"/>
        <v>"%USERPROFILE%\Documents\GitHub\eaglep3\Utilities\RefineRTDCRunTimes.py" --tripid 55-07 --locoid 4031 --swversion DE.1.0.8.0 --startMP 204:1214 --initTime 2017-01-07T12:01:28 --startdatetime 2017-01-07T12:03:40 --delay 1 --endMP 300:24235 --enddatetime 2017-01-07T12:11:36 --enforcementcount 0 &gt;&gt;C:\Users\stu\Documents\GitHub\eaglep3-reporting\EC\2017-01-07-refined-times.txt</v>
      </c>
      <c r="AI210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{"issue":{"subject":"","project_id":79,"tracker_id":40,"status_id":1,"priority_id":2,"assigned_to_id":23,"start_date":"2017-01-07","description":"","custom_fields":[{"id":1,"name":"Subdivision","value":"Other"},{"id":4,"name":"Milepost","value":"2.4235"},{"id":17,"name":"Train ID","value":"55-07"},{"id":16,"name":"Locomotive ID","value":"4031"},{"id":130,"name":"Impact","value":""},{"id":150,"name":"Time of Event (Mountain Time)","value":"12:11:36"},{"id":151,"name":"Denver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4"/>
        <v>start /low /b %USERPROFILE%\Documents\GitHub\eaglep3\Utilities\DownloadLogsFromS3.py --loco 4031 --day 2017-01-07</v>
      </c>
    </row>
    <row r="211" spans="1:39" x14ac:dyDescent="0.25">
      <c r="A211" s="34" t="s">
        <v>452</v>
      </c>
      <c r="B211" s="7">
        <v>4032</v>
      </c>
      <c r="C211" s="22" t="s">
        <v>203</v>
      </c>
      <c r="D211" s="22" t="s">
        <v>801</v>
      </c>
      <c r="E211" s="13">
        <v>42742.743969907409</v>
      </c>
      <c r="F211" s="13">
        <v>42742.745127314818</v>
      </c>
      <c r="G211" s="7">
        <v>1</v>
      </c>
      <c r="H211" s="22" t="s">
        <v>802</v>
      </c>
      <c r="I211" s="13">
        <v>42742.750671296293</v>
      </c>
      <c r="J211" s="7">
        <v>0</v>
      </c>
      <c r="K211" s="105" t="str">
        <f t="shared" si="75"/>
        <v>4031/4032</v>
      </c>
      <c r="L211" s="22" t="str">
        <f>VLOOKUP(A211,'Trips&amp;Operators'!$C$1:$G$99999,5,FALSE)</f>
        <v>STAMBAUGH JAMES</v>
      </c>
      <c r="M211" s="6">
        <f t="shared" si="76"/>
        <v>5.5439814750570804E-3</v>
      </c>
      <c r="N211" s="7">
        <f t="shared" si="70"/>
        <v>7.9833333240821958</v>
      </c>
      <c r="O211" s="7"/>
      <c r="P211" s="7"/>
      <c r="Q211" s="23"/>
      <c r="R211" s="23"/>
      <c r="S211" s="32">
        <f t="shared" si="87"/>
        <v>0</v>
      </c>
      <c r="T211" s="47" t="e">
        <f t="shared" si="77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16:51:19-700',mode:absolute,to:'2017-01-07 19:00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49" t="str">
        <f t="shared" si="79"/>
        <v>Y</v>
      </c>
      <c r="X211" s="173" t="e">
        <f t="shared" si="71"/>
        <v>#VALUE!</v>
      </c>
      <c r="Y211" s="64">
        <f t="shared" si="80"/>
        <v>2.3134999999999999</v>
      </c>
      <c r="Z211" s="64">
        <f t="shared" si="81"/>
        <v>1.78E-2</v>
      </c>
      <c r="AA211" s="64">
        <f t="shared" si="82"/>
        <v>2.2957000000000001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 t="shared" si="83"/>
        <v>70-07</v>
      </c>
      <c r="AE211" s="87" t="str">
        <f t="shared" si="84"/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AF211" s="84" t="str">
        <f t="shared" si="85"/>
        <v>"C:\Program Files (x86)\AstroGrep\AstroGrep.exe" /spath="%USERPROFILE%\AppData\Local\Temp\OnboardLogs" /stypes="app*4032*20170108*" /stext=" 01:.+((SYSTEM_STATE.+slice.+state.+changed )|(ment ac)|(multiple cpu faults)|(system.+state.+changed )|(\[timeout)|(PRM\|1\|D)|(kpr)|(kdp)|(\|lc)|(penalty))" /e /r /s</v>
      </c>
      <c r="AG211" s="1" t="str">
        <f t="shared" si="86"/>
        <v>Other</v>
      </c>
      <c r="AH211" s="88" t="str">
        <f t="shared" si="72"/>
        <v>"%USERPROFILE%\Documents\GitHub\eaglep3\Utilities\RefineRTDCRunTimes.py" --tripid 70-07 --locoid 4032 --swversion DE.1.0.8.0 --startMP 300:23135 --initTime 2017-01-07T17:51:19 --startdatetime 2017-01-07T17:52:59 --delay 1 --endMP 204:178 --enddatetime 2017-01-07T18:00:58 --enforcementcount 0 &gt;&gt;C:\Users\stu\Documents\GitHub\eaglep3-reporting\EC\2017-01-07-refined-times.txt</v>
      </c>
      <c r="AI211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{"issue":{"subject":"","project_id":79,"tracker_id":40,"status_id":1,"priority_id":2,"assigned_to_id":23,"start_date":"2017-01-07","description":"","custom_fields":[{"id":1,"name":"Subdivision","value":"Other"},{"id":4,"name":"Milepost","value":"0.0178"},{"id":17,"name":"Train ID","value":"70-07"},{"id":16,"name":"Locomotive ID","value":"4032"},{"id":130,"name":"Impact","value":""},{"id":150,"name":"Time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4"/>
        <v>start /low /b %USERPROFILE%\Documents\GitHub\eaglep3\Utilities\DownloadLogsFromS3.py --loco 4032 --day 2017-01-07</v>
      </c>
    </row>
    <row r="212" spans="1:39" x14ac:dyDescent="0.25">
      <c r="A212" s="34" t="s">
        <v>612</v>
      </c>
      <c r="B212" s="7">
        <v>4021</v>
      </c>
      <c r="C212" s="22" t="s">
        <v>203</v>
      </c>
      <c r="D212" s="22" t="s">
        <v>803</v>
      </c>
      <c r="E212" s="13">
        <v>42742.751585648148</v>
      </c>
      <c r="F212" s="13">
        <v>42742.752638888887</v>
      </c>
      <c r="G212" s="7">
        <v>1</v>
      </c>
      <c r="H212" s="22" t="s">
        <v>804</v>
      </c>
      <c r="I212" s="13">
        <v>42742.758634259262</v>
      </c>
      <c r="J212" s="7">
        <v>0</v>
      </c>
      <c r="K212" s="105" t="str">
        <f t="shared" si="75"/>
        <v>4021/4022</v>
      </c>
      <c r="L212" s="22" t="str">
        <f>VLOOKUP(A212,'Trips&amp;Operators'!$C$1:$G$99999,5,FALSE)</f>
        <v>HILLS DUSTIN</v>
      </c>
      <c r="M212" s="6">
        <f t="shared" si="76"/>
        <v>5.9953703748760745E-3</v>
      </c>
      <c r="N212" s="7">
        <f t="shared" si="70"/>
        <v>8.6333333398215473</v>
      </c>
      <c r="O212" s="7"/>
      <c r="P212" s="7"/>
      <c r="Q212" s="23"/>
      <c r="R212" s="23"/>
      <c r="S212" s="32">
        <f t="shared" si="87"/>
        <v>0</v>
      </c>
      <c r="T212" s="47" t="e">
        <f t="shared" si="77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17:02:17-700',mode:absolute,to:'2017-01-07 19:12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2" s="49" t="str">
        <f t="shared" si="79"/>
        <v>Y</v>
      </c>
      <c r="X212" s="173" t="e">
        <f t="shared" si="71"/>
        <v>#VALUE!</v>
      </c>
      <c r="Y212" s="64">
        <f t="shared" si="80"/>
        <v>2.3140999999999998</v>
      </c>
      <c r="Z212" s="64">
        <f t="shared" si="81"/>
        <v>4.8899999999999999E-2</v>
      </c>
      <c r="AA212" s="64">
        <f t="shared" si="82"/>
        <v>2.2651999999999997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 t="shared" si="83"/>
        <v>72-07</v>
      </c>
      <c r="AE212" s="87" t="str">
        <f t="shared" si="84"/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12" s="84" t="str">
        <f t="shared" si="85"/>
        <v>"C:\Program Files (x86)\AstroGrep\AstroGrep.exe" /spath="%USERPROFILE%\AppData\Local\Temp\OnboardLogs" /stypes="app*4021*20170108*" /stext=" 01:.+((SYSTEM_STATE.+slice.+state.+changed )|(ment ac)|(multiple cpu faults)|(system.+state.+changed )|(\[timeout)|(PRM\|1\|D)|(kpr)|(kdp)|(\|lc)|(penalty))" /e /r /s</v>
      </c>
      <c r="AG212" s="1" t="str">
        <f t="shared" si="86"/>
        <v>Other</v>
      </c>
      <c r="AH212" s="88" t="str">
        <f t="shared" si="72"/>
        <v>"%USERPROFILE%\Documents\GitHub\eaglep3\Utilities\RefineRTDCRunTimes.py" --tripid 72-07 --locoid 4021 --swversion DE.1.0.8.0 --startMP 300:23141 --initTime 2017-01-07T18:02:17 --startdatetime 2017-01-07T18:03:48 --delay 1 --endMP 204:489 --enddatetime 2017-01-07T18:12:26 --enforcementcount 0 &gt;&gt;C:\Users\stu\Documents\GitHub\eaglep3-reporting\EC\2017-01-07-refined-times.txt</v>
      </c>
      <c r="AI212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{"issue":{"subject":"","project_id":79,"tracker_id":40,"status_id":1,"priority_id":2,"assigned_to_id":23,"start_date":"2017-01-07","description":"","custom_fields":[{"id":1,"name":"Subdivision","value":"Other"},{"id":4,"name":"Milepost","value":"0.0489"},{"id":17,"name":"Train ID","value":"72-07"},{"id":16,"name":"Locomotive ID","value":"4021"},{"id":130,"name":"Impact","value":""},{"id":150,"name":"Time of Event (Mountain Time)","value":"18:12:26"},{"id":151,"name":"Denver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4"/>
        <v>start /low /b %USERPROFILE%\Documents\GitHub\eaglep3\Utilities\DownloadLogsFromS3.py --loco 4021 --day 2017-01-07</v>
      </c>
    </row>
    <row r="213" spans="1:39" x14ac:dyDescent="0.25">
      <c r="A213" s="34" t="s">
        <v>619</v>
      </c>
      <c r="B213" s="7">
        <v>4022</v>
      </c>
      <c r="C213" s="22" t="s">
        <v>203</v>
      </c>
      <c r="D213" s="22" t="s">
        <v>805</v>
      </c>
      <c r="E213" s="13">
        <v>42742.760972222219</v>
      </c>
      <c r="F213" s="13">
        <v>25568.708333333332</v>
      </c>
      <c r="G213" s="7">
        <v>1</v>
      </c>
      <c r="H213" s="22" t="s">
        <v>806</v>
      </c>
      <c r="I213" s="13">
        <v>25568.708333333332</v>
      </c>
      <c r="J213" s="7">
        <v>0</v>
      </c>
      <c r="K213" s="105" t="str">
        <f t="shared" si="75"/>
        <v>4021/4022</v>
      </c>
      <c r="L213" s="22" t="str">
        <f>VLOOKUP(A213,'Trips&amp;Operators'!$C$1:$G$99999,5,FALSE)</f>
        <v>LOPES KIMBERLY</v>
      </c>
      <c r="M213" s="6">
        <f t="shared" si="76"/>
        <v>0</v>
      </c>
      <c r="N213" s="7">
        <f t="shared" si="70"/>
        <v>0</v>
      </c>
      <c r="O213" s="7"/>
      <c r="P213" s="7"/>
      <c r="Q213" s="23"/>
      <c r="R213" s="23"/>
      <c r="S213" s="32">
        <f t="shared" si="87"/>
        <v>0</v>
      </c>
      <c r="T213" s="47" t="e">
        <f t="shared" si="77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17:15:48-700',mode:absolute,to:'1969-12-31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49" t="str">
        <f t="shared" si="79"/>
        <v>Y</v>
      </c>
      <c r="X213" s="173" t="e">
        <f t="shared" si="71"/>
        <v>#VALUE!</v>
      </c>
      <c r="Y213" s="64">
        <f t="shared" si="80"/>
        <v>8.48E-2</v>
      </c>
      <c r="Z213" s="64">
        <f t="shared" si="81"/>
        <v>2.3066</v>
      </c>
      <c r="AA213" s="64">
        <f t="shared" si="82"/>
        <v>2.2218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 t="shared" si="83"/>
        <v>73-07</v>
      </c>
      <c r="AE213" s="87" t="str">
        <f t="shared" si="84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4" t="str">
        <f t="shared" si="85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 t="shared" si="86"/>
        <v>Other</v>
      </c>
      <c r="AH213" s="88" t="str">
        <f t="shared" si="72"/>
        <v>"%USERPROFILE%\Documents\GitHub\eaglep3\Utilities\RefineRTDCRunTimes.py" --tripid 73-07 --locoid 4022 --swversion DE.1.0.8.0 --startMP 204:848 --initTime 2017-01-07T18:15:48 --startdatetime 1969-12-31T17:00:00 --delay 1 --endMP 300:23066 --enddatetime 1969-12-31T17:00:00 --enforcementcount 0 &gt;&gt;C:\Users\stu\Documents\GitHub\eaglep3-reporting\EC\2017-01-07-refined-times.txt</v>
      </c>
      <c r="AI213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{"issue":{"subject":"","project_id":79,"tracker_id":40,"status_id":1,"priority_id":2,"assigned_to_id":23,"start_date":"1969-12-31","description":"","custom_fields":[{"id":1,"name":"Subdivision","value":"Other"},{"id":4,"name":"Milepost","value":"2.3066"},{"id":17,"name":"Train ID","value":"73-07"},{"id":16,"name":"Locomotive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4"/>
        <v>start /low /b %USERPROFILE%\Documents\GitHub\eaglep3\Utilities\DownloadLogsFromS3.py --loco 4022 --day 1969-12-31</v>
      </c>
    </row>
    <row r="214" spans="1:39" x14ac:dyDescent="0.25">
      <c r="A214" s="34" t="s">
        <v>614</v>
      </c>
      <c r="B214" s="7">
        <v>4010</v>
      </c>
      <c r="C214" s="22" t="s">
        <v>203</v>
      </c>
      <c r="D214" s="22" t="s">
        <v>807</v>
      </c>
      <c r="E214" s="13">
        <v>42742.753865740742</v>
      </c>
      <c r="F214" s="13">
        <v>25568.708333333332</v>
      </c>
      <c r="G214" s="7">
        <v>2</v>
      </c>
      <c r="H214" s="22" t="s">
        <v>798</v>
      </c>
      <c r="I214" s="13">
        <v>25568.708333333332</v>
      </c>
      <c r="J214" s="7">
        <v>0</v>
      </c>
      <c r="K214" s="105" t="str">
        <f t="shared" si="75"/>
        <v>4009/4010</v>
      </c>
      <c r="L214" s="22" t="str">
        <f>VLOOKUP(A214,'Trips&amp;Operators'!$C$1:$G$99999,5,FALSE)</f>
        <v>MAGEE KENYA</v>
      </c>
      <c r="M214" s="6">
        <f t="shared" si="76"/>
        <v>0</v>
      </c>
      <c r="N214" s="7">
        <f t="shared" si="70"/>
        <v>0</v>
      </c>
      <c r="O214" s="7"/>
      <c r="P214" s="7"/>
      <c r="Q214" s="23"/>
      <c r="R214" s="23"/>
      <c r="S214" s="32">
        <f t="shared" si="87"/>
        <v>0</v>
      </c>
      <c r="T214" s="47" t="e">
        <f t="shared" si="77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17:05:34-700',mode:absolute,to:'1969-12-31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49" t="str">
        <f t="shared" si="79"/>
        <v>Y</v>
      </c>
      <c r="X214" s="173" t="e">
        <f t="shared" si="71"/>
        <v>#VALUE!</v>
      </c>
      <c r="Y214" s="64">
        <f t="shared" si="80"/>
        <v>2.3083999999999998</v>
      </c>
      <c r="Z214" s="64">
        <f t="shared" si="81"/>
        <v>9.0200000000000002E-2</v>
      </c>
      <c r="AA214" s="64">
        <f t="shared" si="82"/>
        <v>2.2181999999999999</v>
      </c>
      <c r="AB214" s="61" t="e">
        <f>VLOOKUP(A214,Enforcements!$C$7:$K$18,8,0)</f>
        <v>#N/A</v>
      </c>
      <c r="AC214" s="57" t="e">
        <f>VLOOKUP(A214,Enforcements!$C$7:$E$18,3,0)</f>
        <v>#N/A</v>
      </c>
      <c r="AD214" s="58" t="str">
        <f t="shared" si="83"/>
        <v>74-07</v>
      </c>
      <c r="AE214" s="87" t="str">
        <f t="shared" si="84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14" s="84" t="str">
        <f t="shared" si="85"/>
        <v>"C:\Program Files (x86)\AstroGrep\AstroGrep.exe" /spath="%USERPROFILE%\AppData\Local\Temp\OnboardLogs" /stypes="app*4010*19700101*" /stext=" 00:.+((SYSTEM_STATE.+slice.+state.+changed )|(ment ac)|(multiple cpu faults)|(system.+state.+changed )|(\[timeout)|(PRM\|1\|D)|(kpr)|(kdp)|(\|lc)|(penalty))" /e /r /s</v>
      </c>
      <c r="AG214" s="1" t="str">
        <f t="shared" si="86"/>
        <v>Other</v>
      </c>
      <c r="AH214" s="88" t="str">
        <f t="shared" si="72"/>
        <v>"%USERPROFILE%\Documents\GitHub\eaglep3\Utilities\RefineRTDCRunTimes.py" --tripid 74-07 --locoid 4010 --swversion DE.1.0.8.0 --startMP 300:23084 --initTime 2017-01-07T18:05:34 --startdatetime 1969-12-31T17:00:00 --delay 2 --endMP 204:902 --enddatetime 1969-12-31T17:00:00 --enforcementcount 0 &gt;&gt;C:\Users\stu\Documents\GitHub\eaglep3-reporting\EC\2017-01-07-refined-times.txt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{"issue":{"subject":"","project_id":79,"tracker_id":40,"status_id":1,"priority_id":2,"assigned_to_id":23,"start_date":"1969-12-31","description":"","custom_fields":[{"id":1,"name":"Subdivision","value":"Other"},{"id":4,"name":"Milepost","value":"0.0902"},{"id":17,"name":"Train ID","value":"74-07"},{"id":16,"name":"Locomotive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4"/>
        <v>start /low /b %USERPROFILE%\Documents\GitHub\eaglep3\Utilities\DownloadLogsFromS3.py --loco 4010 --day 1969-12-31</v>
      </c>
    </row>
    <row r="215" spans="1:39" x14ac:dyDescent="0.25">
      <c r="A215" s="34" t="s">
        <v>622</v>
      </c>
      <c r="B215" s="7">
        <v>4031</v>
      </c>
      <c r="C215" s="22" t="s">
        <v>203</v>
      </c>
      <c r="D215" s="22" t="s">
        <v>694</v>
      </c>
      <c r="E215" s="13">
        <v>42742.769652777781</v>
      </c>
      <c r="F215" s="13">
        <v>42742.772094907406</v>
      </c>
      <c r="G215" s="7">
        <v>2</v>
      </c>
      <c r="H215" s="22" t="s">
        <v>357</v>
      </c>
      <c r="I215" s="13">
        <v>42742.777557870373</v>
      </c>
      <c r="J215" s="7">
        <v>0</v>
      </c>
      <c r="K215" s="105" t="str">
        <f t="shared" si="75"/>
        <v>4031/4032</v>
      </c>
      <c r="L215" s="22" t="str">
        <f>VLOOKUP(A215,'Trips&amp;Operators'!$C$1:$G$99999,5,FALSE)</f>
        <v>BRUDER RICHARD</v>
      </c>
      <c r="M215" s="6">
        <f t="shared" si="76"/>
        <v>5.4629629667033441E-3</v>
      </c>
      <c r="N215" s="7">
        <f t="shared" si="70"/>
        <v>7.8666666720528156</v>
      </c>
      <c r="O215" s="7"/>
      <c r="P215" s="7"/>
      <c r="Q215" s="23"/>
      <c r="R215" s="23"/>
      <c r="S215" s="32">
        <f t="shared" si="87"/>
        <v>0</v>
      </c>
      <c r="T215" s="47" t="e">
        <f t="shared" si="77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78"/>
        <v>https://search-rtdc-monitor-bjffxe2xuh6vdkpspy63sjmuny.us-east-1.es.amazonaws.com/_plugin/kibana/#/discover/Steve-Slow-Train-Analysis-(2080s-and-2083s)?_g=(refreshInterval:(display:Off,section:0,value:0),time:(from:'2017-01-07 17:28:18-700',mode:absolute,to:'2017-01-07 19:39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5" s="49" t="str">
        <f t="shared" si="79"/>
        <v>Y</v>
      </c>
      <c r="X215" s="173" t="e">
        <f t="shared" si="71"/>
        <v>#VALUE!</v>
      </c>
      <c r="Y215" s="64">
        <f t="shared" si="80"/>
        <v>4.7699999999999999E-2</v>
      </c>
      <c r="Z215" s="64">
        <f t="shared" si="81"/>
        <v>2.3308</v>
      </c>
      <c r="AA215" s="64">
        <f t="shared" si="82"/>
        <v>2.2831000000000001</v>
      </c>
      <c r="AB215" s="61" t="e">
        <f>VLOOKUP(A215,Enforcements!$C$7:$K$18,8,0)</f>
        <v>#N/A</v>
      </c>
      <c r="AC215" s="57" t="e">
        <f>VLOOKUP(A215,Enforcements!$C$7:$E$18,3,0)</f>
        <v>#N/A</v>
      </c>
      <c r="AD215" s="58" t="str">
        <f t="shared" si="83"/>
        <v>75-07</v>
      </c>
      <c r="AE215" s="87" t="str">
        <f t="shared" si="84"/>
        <v>aws s3 cp s3://rtdc.mdm.uploadarchive.raw/RTDC4031/ "%USERPROFILE%\AppData\Local\Temp\OnboardLogs"\RTDC4031\2017-01-07 --exclude "*" --recursive --include "*20170107*" &amp; "%USERPROFILE%\Documents\GitHub\mrs-test-scripts\Headless Mode &amp; Sideloading\WalkAndUnGZ.bat" "%USERPROFILE%\AppData\Local\Temp\OnboardLogs"\RTDC4031\2017-01-07 &amp; 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</v>
      </c>
      <c r="AF215" s="84" t="str">
        <f t="shared" si="85"/>
        <v>"C:\Program Files (x86)\AstroGrep\AstroGrep.exe" /spath="%USERPROFILE%\AppData\Local\Temp\OnboardLogs" /stypes="app*4031*20170108*" /stext=" 01:.+((SYSTEM_STATE.+slice.+state.+changed )|(ment ac)|(multiple cpu faults)|(system.+state.+changed )|(\[timeout)|(PRM\|1\|D)|(kpr)|(kdp)|(\|lc)|(penalty))" /e /r /s</v>
      </c>
      <c r="AG215" s="1" t="str">
        <f t="shared" si="86"/>
        <v>Other</v>
      </c>
      <c r="AH215" s="88" t="str">
        <f t="shared" si="72"/>
        <v>"%USERPROFILE%\Documents\GitHub\eaglep3\Utilities\RefineRTDCRunTimes.py" --tripid 75-07 --locoid 4031 --swversion DE.1.0.8.0 --startMP 204:477 --initTime 2017-01-07T18:28:18 --startdatetime 2017-01-07T18:31:49 --delay 2 --endMP 300:23308 --enddatetime 2017-01-07T18:39:41 --enforcementcount 0 &gt;&gt;C:\Users\stu\Documents\GitHub\eaglep3-reporting\EC\2017-01-07-refined-times.txt</v>
      </c>
      <c r="AI215" s="115" t="str">
        <f t="shared" si="73"/>
        <v>echo {"issue":{"subject":"","project_id":79,"tracker_id":40,"status_id":1,"priority_id":2,"assigned_to_id":23,"start_date":"2017-01-07","description":"","custom_fields":[{"id":1,"name":"Subdivision","value":"Other"},{"id":4,"name":"Milepost","value":"2.3308"},{"id":17,"name":"Train ID","value":"75-07"},{"id":16,"name":"Locomotive ID","value":"4031"},{"id":130,"name":"Impact","value":""},{"id":150,"name":"Time of Event (Mountain Time)","value":"18:39:41"},{"id":151,"name":"Denver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4"/>
        <v>start /low /b %USERPROFILE%\Documents\GitHub\eaglep3\Utilities\DownloadLogsFromS3.py --loco 4031 --day 2017-01-07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</sheetData>
  <autoFilter ref="A12:AG215">
    <sortState ref="A13:AG219">
      <sortCondition ref="AG13:AG219"/>
      <sortCondition ref="AD13:AD219"/>
    </sortState>
  </autoFilter>
  <sortState ref="A13:AH200">
    <sortCondition ref="AG13:AG200"/>
    <sortCondition ref="AD13:AD200"/>
  </sortState>
  <mergeCells count="1">
    <mergeCell ref="A11:P11"/>
  </mergeCells>
  <conditionalFormatting sqref="W11:W12 W232:X1048576 W13:X215">
    <cfRule type="cellIs" dxfId="10" priority="352" operator="equal">
      <formula>"Y"</formula>
    </cfRule>
  </conditionalFormatting>
  <conditionalFormatting sqref="X232:X1048576 X13:X215">
    <cfRule type="cellIs" dxfId="9" priority="335" operator="greaterThan">
      <formula>1</formula>
    </cfRule>
  </conditionalFormatting>
  <conditionalFormatting sqref="X232:X1048576 X12:X215">
    <cfRule type="cellIs" dxfId="8" priority="332" operator="equal">
      <formula>0</formula>
    </cfRule>
  </conditionalFormatting>
  <conditionalFormatting sqref="A13:S215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opLeftCell="A2" zoomScaleNormal="100" workbookViewId="0">
      <selection activeCell="K12" sqref="K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2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32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- 2017-01-07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301</v>
      </c>
    </row>
    <row r="7" spans="1:31" s="1" customFormat="1" x14ac:dyDescent="0.25">
      <c r="A7" s="33">
        <v>42742.533009259256</v>
      </c>
      <c r="B7" s="31" t="s">
        <v>252</v>
      </c>
      <c r="C7" s="31" t="s">
        <v>445</v>
      </c>
      <c r="D7" s="31" t="s">
        <v>49</v>
      </c>
      <c r="E7" s="31" t="s">
        <v>236</v>
      </c>
      <c r="F7" s="44">
        <v>0</v>
      </c>
      <c r="G7" s="44">
        <v>120</v>
      </c>
      <c r="H7" s="44">
        <v>30302</v>
      </c>
      <c r="I7" s="44">
        <v>30454</v>
      </c>
      <c r="J7" s="31" t="s">
        <v>237</v>
      </c>
      <c r="K7" s="44">
        <v>30830</v>
      </c>
      <c r="L7" s="150" t="s">
        <v>50</v>
      </c>
      <c r="M7" s="151">
        <f t="shared" ref="M7:M40" si="0">CONVERT((I7-K7)/10000,"mi","ft")*IF(L7="Increasing Mileposts (1)",-1,1)</f>
        <v>198.52799999999999</v>
      </c>
      <c r="N7" s="152" t="str">
        <f>VLOOKUP(C7,'Trips&amp;Operators'!$C$1:$G$99999,5,FALSE)</f>
        <v>NELSON ARIANE</v>
      </c>
      <c r="O7" s="179" t="s">
        <v>195</v>
      </c>
      <c r="P7" s="153" t="s">
        <v>830</v>
      </c>
      <c r="Q7" s="31"/>
      <c r="R7" s="96" t="str">
        <f>VLOOKUP(C7,'Train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7" s="99" t="str">
        <f>VLOOKUP(C7,'Train Runs'!$A$13:$AE$9959,22,0)</f>
        <v>https://search-rtdc-monitor-bjffxe2xuh6vdkpspy63sjmuny.us-east-1.es.amazonaws.com/_plugin/kibana/#/discover/Steve-Slow-Train-Analysis-(2080s-and-2083s)?_g=(refreshInterval:(display:Off,section:0,value:0),time:(from:'2017-01-07 11:23:42-700',mode:absolute,to:'2017-01-07 14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7" s="101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/stypes="*4003*201701071*" /stext=" 19:.+((SYSTEM_STATE.+slice.+state.+changed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4003</v>
      </c>
      <c r="V7" s="33">
        <f t="shared" ref="V7:V40" si="3">A7-utc_offset/24</f>
        <v>42742.82467592592</v>
      </c>
      <c r="W7" s="47" t="str">
        <f t="shared" ref="W7:W40" si="4">IF(VALUE(LEFT(IF(LEN(C7)=6,"0"&amp;C7,C7),2))&lt;=2,"EC",IF(OR(VALUE(LEFT(IF(LEN(C7)=6,"0"&amp;C7,C7),2))=8,VALUE(LEFT(IF(LEN(C7)=6,"0"&amp;C7,C7),2))=18),"NW","Other"))</f>
        <v>EC</v>
      </c>
      <c r="X7" s="47" t="str">
        <f t="shared" ref="X7:X40" si="5">IF(AND(E7="TRACK WARRANT AUTHORITY",G7&lt;10),"OMIT","KEEP")</f>
        <v>KEEP</v>
      </c>
      <c r="Y7" s="115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C","project_id":79,"tracker_id":40,"status_id":1,"priority_id":2,"assigned_to_id":23,"start_date":"2017-01-07","description":"","custom_fields":[{"id":1,"name":"Subdivision","value":"EC"},{"id":4,"name":"Milepost","value":"3.083"},{"id":17,"name":"Train ID","value":"171-07"},{"id":16,"name":"Locomotive ID","value":"4003"},{"id":130,"name":"Impact","value":""},{"id":150,"name":"Time of Event (Mountain Time)","value":"12:47:32"},{"id":151,"name":"Denver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"%USERPROFILE%\AppData\Local\Temp\OnboardLogs"\RTDC4003\*4003*201701071*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"%USERPROFILE%\AppData\Local\Temp\OnboardLogs"\RTDC4003\*4003*201701071* &gt;&gt; 42742-slicedisagreementcheck.txt</v>
      </c>
      <c r="AE7" s="183" t="str">
        <f t="shared" ref="AE7:AE40" si="8">"start /low /b "&amp;dls3logs&amp;" --loco "&amp;U7&amp;" --day "&amp;TEXT(V7,"YYYY-MM-DD")</f>
        <v>start /low /b %USERPROFILE%\Documents\GitHub\eaglep3\Utilities\DownloadLogsFromS3.py --loco 4003 --day 2017-01-07</v>
      </c>
    </row>
    <row r="8" spans="1:31" s="1" customFormat="1" x14ac:dyDescent="0.25">
      <c r="A8" s="33">
        <v>42742.535104166665</v>
      </c>
      <c r="B8" s="31" t="s">
        <v>208</v>
      </c>
      <c r="C8" s="31" t="s">
        <v>446</v>
      </c>
      <c r="D8" s="31" t="s">
        <v>49</v>
      </c>
      <c r="E8" s="31" t="s">
        <v>236</v>
      </c>
      <c r="F8" s="44">
        <v>0</v>
      </c>
      <c r="G8" s="44">
        <v>198</v>
      </c>
      <c r="H8" s="44">
        <v>33130</v>
      </c>
      <c r="I8" s="44">
        <v>32767</v>
      </c>
      <c r="J8" s="31" t="s">
        <v>237</v>
      </c>
      <c r="K8" s="44">
        <v>30970</v>
      </c>
      <c r="L8" s="150" t="s">
        <v>51</v>
      </c>
      <c r="M8" s="151">
        <f t="shared" si="0"/>
        <v>948.81600000000003</v>
      </c>
      <c r="N8" s="152" t="str">
        <f>VLOOKUP(C8,'Trips&amp;Operators'!$C$1:$G$99999,5,FALSE)</f>
        <v>LOPES KIMBERLY</v>
      </c>
      <c r="O8" s="179" t="s">
        <v>195</v>
      </c>
      <c r="P8" s="153" t="s">
        <v>830</v>
      </c>
      <c r="Q8" s="31"/>
      <c r="R8" s="96" t="str">
        <f>VLOOKUP(C8,'Train Runs'!$A$13:$AE$9959,31,0)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S8" s="99" t="str">
        <f>VLOOKUP(C8,'Train Runs'!$A$13:$AE$9959,22,0)</f>
        <v>https://search-rtdc-monitor-bjffxe2xuh6vdkpspy63sjmuny.us-east-1.es.amazonaws.com/_plugin/kibana/#/discover/Steve-Slow-Train-Analysis-(2080s-and-2083s)?_g=(refreshInterval:(display:Off,section:0,value:0),time:(from:'2017-01-07 11:00:33-700',mode:absolute,to:'2017-01-07 14:02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1" t="str">
        <f t="shared" si="1"/>
        <v>"C:\Program Files (x86)\AstroGrep\AstroGrep.exe" /spath="%USERPROFILE%\AppData\Local\Temp\OnboardLogs" /stypes="*4012*201701071*" /stext=" 19:.+((SYSTEM_STATE.+slice.+state.+changed )|(ment ac)|(multiple cpu faults)|(system.+state.+changed )|(\[timeout)|(PRM\|1\|D)|(kpr)|(kdp)|(\|lc)|(penalty))" /e /r /s</v>
      </c>
      <c r="U8" s="9" t="str">
        <f t="shared" si="2"/>
        <v>4012</v>
      </c>
      <c r="V8" s="33">
        <f t="shared" si="3"/>
        <v>42742.82677083333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C","project_id":79,"tracker_id":40,"status_id":1,"priority_id":2,"assigned_to_id":23,"start_date":"2017-01-07","description":"","custom_fields":[{"id":1,"name":"Subdivision","value":"EC"},{"id":4,"name":"Milepost","value":"3.097"},{"id":17,"name":"Train ID","value":"162-07"},{"id":16,"name":"Locomotive ID","value":"4012"},{"id":130,"name":"Impact","value":""},{"id":150,"name":"Time of Event (Mountain Time)","value":"12:50:33"},{"id":151,"name":"Denver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"%USERPROFILE%\AppData\Local\Temp\OnboardLogs"\RTDC4012\*4012*201701071*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"%USERPROFILE%\AppData\Local\Temp\OnboardLogs"\RTDC4012\*4012*201701071* &gt;&gt; 42742-slicedisagreementcheck.txt</v>
      </c>
      <c r="AE8" s="183" t="str">
        <f t="shared" si="8"/>
        <v>start /low /b %USERPROFILE%\Documents\GitHub\eaglep3\Utilities\DownloadLogsFromS3.py --loco 4012 --day 2017-01-07</v>
      </c>
    </row>
    <row r="9" spans="1:31" s="1" customFormat="1" x14ac:dyDescent="0.25">
      <c r="A9" s="33">
        <v>42742.594039351854</v>
      </c>
      <c r="B9" s="31" t="s">
        <v>315</v>
      </c>
      <c r="C9" s="31" t="s">
        <v>448</v>
      </c>
      <c r="D9" s="31" t="s">
        <v>49</v>
      </c>
      <c r="E9" s="31" t="s">
        <v>236</v>
      </c>
      <c r="F9" s="44">
        <v>0</v>
      </c>
      <c r="G9" s="44">
        <v>217</v>
      </c>
      <c r="H9" s="44">
        <v>32501</v>
      </c>
      <c r="I9" s="44">
        <v>32022</v>
      </c>
      <c r="J9" s="31" t="s">
        <v>237</v>
      </c>
      <c r="K9" s="44">
        <v>30970</v>
      </c>
      <c r="L9" s="150" t="s">
        <v>51</v>
      </c>
      <c r="M9" s="151">
        <f t="shared" si="0"/>
        <v>555.45600000000002</v>
      </c>
      <c r="N9" s="152" t="str">
        <f>VLOOKUP(C9,'Trips&amp;Operators'!$C$1:$G$99999,5,FALSE)</f>
        <v>STEWART MICHAEL</v>
      </c>
      <c r="O9" s="179" t="s">
        <v>195</v>
      </c>
      <c r="P9" s="153" t="s">
        <v>830</v>
      </c>
      <c r="Q9" s="31"/>
      <c r="R9" s="96" t="str">
        <f>VLOOKUP(C9,'Train Runs'!$A$13:$AE$9959,31,0)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S9" s="99" t="str">
        <f>VLOOKUP(C9,'Train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12:38:38-700',mode:absolute,to:'2017-01-07 15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1" t="str">
        <f t="shared" si="1"/>
        <v>"C:\Program Files (x86)\AstroGrep\AstroGrep.exe" /spath="%USERPROFILE%\AppData\Local\Temp\OnboardLogs" /stypes="*4015*201701072*" /stext=" 21:.+((SYSTEM_STATE.+slice.+state.+changed )|(ment ac)|(multiple cpu faults)|(system.+state.+changed )|(\[timeout)|(PRM\|1\|D)|(kpr)|(kdp)|(\|lc)|(penalty))" /e /r /s</v>
      </c>
      <c r="U9" s="9" t="str">
        <f t="shared" si="2"/>
        <v>4015</v>
      </c>
      <c r="V9" s="33">
        <f t="shared" si="3"/>
        <v>42742.885706018518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C","project_id":79,"tracker_id":40,"status_id":1,"priority_id":2,"assigned_to_id":23,"start_date":"2017-01-07","description":"","custom_fields":[{"id":1,"name":"Subdivision","value":"EC"},{"id":4,"name":"Milepost","value":"3.097"},{"id":17,"name":"Train ID","value":"174-07"},{"id":16,"name":"Locomotive ID","value":"4015"},{"id":130,"name":"Impact","value":""},{"id":150,"name":"Time of Event (Mountain Time)","value":"14:15:25"},{"id":151,"name":"Denver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"%USERPROFILE%\AppData\Local\Temp\OnboardLogs"\RTDC4015\*4015*201701072*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"%USERPROFILE%\AppData\Local\Temp\OnboardLogs"\RTDC4015\*4015*201701072* &gt;&gt; 42742-slicedisagreementcheck.txt</v>
      </c>
      <c r="AE9" s="183" t="str">
        <f t="shared" si="8"/>
        <v>start /low /b %USERPROFILE%\Documents\GitHub\eaglep3\Utilities\DownloadLogsFromS3.py --loco 4015 --day 2017-01-07</v>
      </c>
    </row>
    <row r="10" spans="1:31" s="1" customFormat="1" x14ac:dyDescent="0.25">
      <c r="A10" s="33">
        <v>42742.141319444447</v>
      </c>
      <c r="B10" s="31" t="s">
        <v>224</v>
      </c>
      <c r="C10" s="31" t="s">
        <v>429</v>
      </c>
      <c r="D10" s="31" t="s">
        <v>49</v>
      </c>
      <c r="E10" s="31" t="s">
        <v>236</v>
      </c>
      <c r="F10" s="44">
        <v>40</v>
      </c>
      <c r="G10" s="44">
        <v>221</v>
      </c>
      <c r="H10" s="44">
        <v>32324</v>
      </c>
      <c r="I10" s="44">
        <v>32817</v>
      </c>
      <c r="J10" s="31" t="s">
        <v>237</v>
      </c>
      <c r="K10" s="44">
        <v>33137</v>
      </c>
      <c r="L10" s="150" t="s">
        <v>50</v>
      </c>
      <c r="M10" s="151">
        <f t="shared" si="0"/>
        <v>168.96</v>
      </c>
      <c r="N10" s="152" t="str">
        <f>VLOOKUP(C10,'Trips&amp;Operators'!$C$1:$G$99999,5,FALSE)</f>
        <v>ISHMAEL JOSEPH</v>
      </c>
      <c r="O10" s="179" t="s">
        <v>195</v>
      </c>
      <c r="P10" s="153" t="s">
        <v>831</v>
      </c>
      <c r="Q10" s="31"/>
      <c r="R10" s="96" t="str">
        <f>VLOOKUP(C10,'Train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10" s="99" t="str">
        <f>VLOOKUP(C10,'Train Runs'!$A$13:$AE$9959,22,0)</f>
        <v>https://search-rtdc-monitor-bjffxe2xuh6vdkpspy63sjmuny.us-east-1.es.amazonaws.com/_plugin/kibana/#/discover/Steve-Slow-Train-Analysis-(2080s-and-2083s)?_g=(refreshInterval:(display:Off,section:0,value:0),time:(from:'2017-01-07 02:33:26-700',mode:absolute,to:'2017-01-07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0" s="101" t="str">
        <f t="shared" si="1"/>
        <v>"C:\Program Files (x86)\AstroGrep\AstroGrep.exe" /spath="%USERPROFILE%\AppData\Local\Temp\OnboardLogs" /stypes="*4046*201701071*" /stext=" 10:.+((SYSTEM_STATE.+slice.+state.+changed )|(ment ac)|(multiple cpu faults)|(system.+state.+changed )|(\[timeout)|(PRM\|1\|D)|(kpr)|(kdp)|(\|lc)|(penalty))" /e /r /s</v>
      </c>
      <c r="U10" s="9" t="str">
        <f t="shared" si="2"/>
        <v>4046</v>
      </c>
      <c r="V10" s="33">
        <f t="shared" si="3"/>
        <v>42742.432986111111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arrival","project_id":79,"tracker_id":40,"status_id":1,"priority_id":2,"assigned_to_id":23,"start_date":"2017-01-07","description":"","custom_fields":[{"id":1,"name":"Subdivision","value":"EC"},{"id":4,"name":"Milepost","value":"3.3137"},{"id":17,"name":"Train ID","value":"101-07"},{"id":16,"name":"Locomotive ID","value":"4046"},{"id":130,"name":"Impact","value":""},{"id":150,"name":"Time of Event (Mountain Time)","value":"03:23:30"},{"id":151,"name":"Denver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"%USERPROFILE%\AppData\Local\Temp\OnboardLogs"\RTDC4046\*4046*201701071*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"%USERPROFILE%\AppData\Local\Temp\OnboardLogs"\RTDC4046\*4046*201701071* &gt;&gt; 42742-slicedisagreementcheck.txt</v>
      </c>
      <c r="AE10" s="183" t="str">
        <f t="shared" si="8"/>
        <v>start /low /b %USERPROFILE%\Documents\GitHub\eaglep3\Utilities\DownloadLogsFromS3.py --loco 4046 --day 2017-01-07</v>
      </c>
    </row>
    <row r="11" spans="1:31" s="1" customFormat="1" x14ac:dyDescent="0.25">
      <c r="A11" s="33">
        <v>42742.587233796294</v>
      </c>
      <c r="B11" s="31" t="s">
        <v>251</v>
      </c>
      <c r="C11" s="31" t="s">
        <v>447</v>
      </c>
      <c r="D11" s="31" t="s">
        <v>49</v>
      </c>
      <c r="E11" s="31" t="s">
        <v>236</v>
      </c>
      <c r="F11" s="44">
        <v>0</v>
      </c>
      <c r="G11" s="44">
        <v>125</v>
      </c>
      <c r="H11" s="44">
        <v>33737</v>
      </c>
      <c r="I11" s="44">
        <v>33501</v>
      </c>
      <c r="J11" s="31" t="s">
        <v>237</v>
      </c>
      <c r="K11" s="44">
        <v>33257</v>
      </c>
      <c r="L11" s="150" t="s">
        <v>51</v>
      </c>
      <c r="M11" s="151">
        <f t="shared" si="0"/>
        <v>128.83199999999999</v>
      </c>
      <c r="N11" s="152" t="str">
        <f>VLOOKUP(C11,'Trips&amp;Operators'!$C$1:$G$99999,5,FALSE)</f>
        <v>NELSON ARIANE</v>
      </c>
      <c r="O11" s="179" t="s">
        <v>195</v>
      </c>
      <c r="P11" s="153" t="s">
        <v>830</v>
      </c>
      <c r="Q11" s="31"/>
      <c r="R11" s="96" t="str">
        <f>VLOOKUP(C11,'Train Runs'!$A$13:$AE$9959,31,0)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S11" s="99" t="str">
        <f>VLOOKUP(C11,'Train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1" t="str">
        <f t="shared" si="1"/>
        <v>"C:\Program Files (x86)\AstroGrep\AstroGrep.exe" /spath="%USERPROFILE%\AppData\Local\Temp\OnboardLogs" /stypes="*4004*201701072*" /stext=" 21:.+((SYSTEM_STATE.+slice.+state.+changed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3">
        <f t="shared" si="3"/>
        <v>42742.878900462958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{"issue":{"subject":"Form C","project_id":79,"tracker_id":40,"status_id":1,"priority_id":2,"assigned_to_id":23,"start_date":"2017-01-07","description":"","custom_fields":[{"id":1,"name":"Subdivision","value":"EC"},{"id":4,"name":"Milepost","value":"3.3257"},{"id":17,"name":"Train ID","value":"172-07"},{"id":16,"name":"Locomotive ID","value":"4004"},{"id":130,"name":"Impact","value":""},{"id":150,"name":"Time of Event (Mountain Time)","value":"14:05:37"},{"id":151,"name":"Denver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"%USERPROFILE%\AppData\Local\Temp\OnboardLogs"\RTDC4004\*4004*201701072*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"%USERPROFILE%\AppData\Local\Temp\OnboardLogs"\RTDC4004\*4004*201701072* &gt;&gt; 42742-slicedisagreementcheck.txt</v>
      </c>
      <c r="AE11" s="183" t="str">
        <f t="shared" si="8"/>
        <v>start /low /b %USERPROFILE%\Documents\GitHub\eaglep3\Utilities\DownloadLogsFromS3.py --loco 4004 --day 2017-01-07</v>
      </c>
    </row>
    <row r="12" spans="1:31" s="1" customFormat="1" x14ac:dyDescent="0.25">
      <c r="A12" s="33">
        <v>42742.58394675926</v>
      </c>
      <c r="B12" s="31" t="s">
        <v>251</v>
      </c>
      <c r="C12" s="31" t="s">
        <v>447</v>
      </c>
      <c r="D12" s="31" t="s">
        <v>49</v>
      </c>
      <c r="E12" s="31" t="s">
        <v>236</v>
      </c>
      <c r="F12" s="44">
        <v>0</v>
      </c>
      <c r="G12" s="44">
        <v>75</v>
      </c>
      <c r="H12" s="44">
        <v>43410</v>
      </c>
      <c r="I12" s="44">
        <v>43353</v>
      </c>
      <c r="J12" s="31" t="s">
        <v>237</v>
      </c>
      <c r="K12" s="44">
        <v>42961</v>
      </c>
      <c r="L12" s="150" t="s">
        <v>51</v>
      </c>
      <c r="M12" s="151">
        <f t="shared" si="0"/>
        <v>206.976</v>
      </c>
      <c r="N12" s="152" t="str">
        <f>VLOOKUP(C12,'Trips&amp;Operators'!$C$1:$G$99999,5,FALSE)</f>
        <v>NELSON ARIANE</v>
      </c>
      <c r="O12" s="179" t="s">
        <v>195</v>
      </c>
      <c r="P12" s="153" t="s">
        <v>830</v>
      </c>
      <c r="Q12" s="31"/>
      <c r="R12" s="96" t="str">
        <f>VLOOKUP(C12,'Train Runs'!$A$13:$AE$9959,31,0)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S12" s="99" t="str">
        <f>VLOOKUP(C12,'Train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2" s="101" t="str">
        <f t="shared" si="1"/>
        <v>"C:\Program Files (x86)\AstroGrep\AstroGrep.exe" /spath="%USERPROFILE%\AppData\Local\Temp\OnboardLogs" /stypes="*4004*201701072*" /stext=" 21:.+((SYSTEM_STATE.+slice.+state.+changed )|(ment ac)|(multiple cpu faults)|(system.+state.+changed )|(\[timeout)|(PRM\|1\|D)|(kpr)|(kdp)|(\|lc)|(penalty))" /e /r /s</v>
      </c>
      <c r="U12" s="9" t="str">
        <f t="shared" si="2"/>
        <v>4004</v>
      </c>
      <c r="V12" s="33">
        <f t="shared" si="3"/>
        <v>42742.875613425924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{"issue":{"subject":"Form C","project_id":79,"tracker_id":40,"status_id":1,"priority_id":2,"assigned_to_id":23,"start_date":"2017-01-07","description":"","custom_fields":[{"id":1,"name":"Subdivision","value":"EC"},{"id":4,"name":"Milepost","value":"4.2961"},{"id":17,"name":"Train ID","value":"172-07"},{"id":16,"name":"Locomotive ID","value":"4004"},{"id":130,"name":"Impact","value":""},{"id":150,"name":"Time of Event (Mountain Time)","value":"14:00:53"},{"id":151,"name":"Denver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"%USERPROFILE%\AppData\Local\Temp\OnboardLogs"\RTDC4004\*4004*201701072*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"%USERPROFILE%\AppData\Local\Temp\OnboardLogs"\RTDC4004\*4004*201701072* &gt;&gt; 42742-slicedisagreementcheck.txt</v>
      </c>
      <c r="AE12" s="183" t="str">
        <f t="shared" si="8"/>
        <v>start /low /b %USERPROFILE%\Documents\GitHub\eaglep3\Utilities\DownloadLogsFromS3.py --loco 4004 --day 2017-01-07</v>
      </c>
    </row>
    <row r="13" spans="1:31" s="1" customFormat="1" x14ac:dyDescent="0.25">
      <c r="A13" s="33">
        <v>42742.440555555557</v>
      </c>
      <c r="B13" s="31" t="s">
        <v>315</v>
      </c>
      <c r="C13" s="31" t="s">
        <v>437</v>
      </c>
      <c r="D13" s="31" t="s">
        <v>49</v>
      </c>
      <c r="E13" s="31" t="s">
        <v>236</v>
      </c>
      <c r="F13" s="44">
        <v>150</v>
      </c>
      <c r="G13" s="44">
        <v>203</v>
      </c>
      <c r="H13" s="44">
        <v>63860</v>
      </c>
      <c r="I13" s="44">
        <v>63452</v>
      </c>
      <c r="J13" s="31" t="s">
        <v>237</v>
      </c>
      <c r="K13" s="44">
        <v>63309</v>
      </c>
      <c r="L13" s="150" t="s">
        <v>51</v>
      </c>
      <c r="M13" s="151">
        <f t="shared" si="0"/>
        <v>75.504000000000005</v>
      </c>
      <c r="N13" s="152" t="str">
        <f>VLOOKUP(C13,'Trips&amp;Operators'!$C$1:$G$99999,5,FALSE)</f>
        <v>ROBINSON KADDIBA</v>
      </c>
      <c r="O13" s="179" t="s">
        <v>195</v>
      </c>
      <c r="P13" s="153" t="s">
        <v>831</v>
      </c>
      <c r="Q13" s="31"/>
      <c r="R13" s="96" t="str">
        <f>VLOOKUP(C13,'Train Runs'!$A$13:$AE$9959,31,0)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S13" s="99" t="str">
        <f>VLOOKUP(C13,'Train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09:02:50-700',mode:absolute,to:'2017-01-07 11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3" s="101" t="str">
        <f t="shared" si="1"/>
        <v>"C:\Program Files (x86)\AstroGrep\AstroGrep.exe" /spath="%USERPROFILE%\AppData\Local\Temp\OnboardLogs" /stypes="*4015*201701071*" /stext=" 17:.+((SYSTEM_STATE.+slice.+state.+changed )|(ment ac)|(multiple cpu faults)|(system.+state.+changed )|(\[timeout)|(PRM\|1\|D)|(kpr)|(kdp)|(\|lc)|(penalty))" /e /r /s</v>
      </c>
      <c r="U13" s="9" t="str">
        <f t="shared" si="2"/>
        <v>4015</v>
      </c>
      <c r="V13" s="33">
        <f t="shared" si="3"/>
        <v>42742.732222222221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{"issue":{"subject":"Early arrival","project_id":79,"tracker_id":40,"status_id":1,"priority_id":2,"assigned_to_id":23,"start_date":"2017-01-07","description":"","custom_fields":[{"id":1,"name":"Subdivision","value":"EC"},{"id":4,"name":"Milepost","value":"6.3309"},{"id":17,"name":"Train ID","value":"146-07"},{"id":16,"name":"Locomotive ID","value":"4015"},{"id":130,"name":"Impact","value":""},{"id":150,"name":"Time of Event (Mountain Time)","value":"10:34:24"},{"id":151,"name":"Denver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"%USERPROFILE%\AppData\Local\Temp\OnboardLogs"\RTDC4015\*4015*201701071*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"%USERPROFILE%\AppData\Local\Temp\OnboardLogs"\RTDC4015\*4015*201701071* &gt;&gt; 42742-slicedisagreementcheck.txt</v>
      </c>
      <c r="AE13" s="183" t="str">
        <f t="shared" si="8"/>
        <v>start /low /b %USERPROFILE%\Documents\GitHub\eaglep3\Utilities\DownloadLogsFromS3.py --loco 4015 --day 2017-01-07</v>
      </c>
    </row>
    <row r="14" spans="1:31" s="1" customFormat="1" x14ac:dyDescent="0.25">
      <c r="A14" s="33">
        <v>42742.673692129632</v>
      </c>
      <c r="B14" s="31" t="s">
        <v>252</v>
      </c>
      <c r="C14" s="31" t="s">
        <v>451</v>
      </c>
      <c r="D14" s="31" t="s">
        <v>98</v>
      </c>
      <c r="E14" s="31" t="s">
        <v>320</v>
      </c>
      <c r="F14" s="44">
        <v>150</v>
      </c>
      <c r="G14" s="44">
        <v>200</v>
      </c>
      <c r="H14" s="44">
        <v>2856</v>
      </c>
      <c r="I14" s="44">
        <v>3251</v>
      </c>
      <c r="J14" s="31" t="s">
        <v>321</v>
      </c>
      <c r="K14" s="44">
        <v>0</v>
      </c>
      <c r="L14" s="150" t="s">
        <v>50</v>
      </c>
      <c r="M14" s="151">
        <f t="shared" si="0"/>
        <v>-1716.528</v>
      </c>
      <c r="N14" s="152" t="str">
        <f>VLOOKUP(C14,'Trips&amp;Operators'!$C$1:$G$99999,5,FALSE)</f>
        <v>BRANNON JEFFREY</v>
      </c>
      <c r="O14" s="179" t="s">
        <v>195</v>
      </c>
      <c r="P14" s="153"/>
      <c r="Q14" s="31"/>
      <c r="R14" s="96" t="str">
        <f>VLOOKUP(C14,'Train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14" s="99" t="str">
        <f>VLOOKUP(C14,'Train Runs'!$A$13:$AE$9959,22,0)</f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1" t="str">
        <f t="shared" si="1"/>
        <v>"C:\Program Files (x86)\AstroGrep\AstroGrep.exe" /spath="%USERPROFILE%\AppData\Local\Temp\OnboardLogs" /stypes="*4003*201701072*" /stext=" 23:.+((SYSTEM_STATE.+slice.+state.+changed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3">
        <f t="shared" si="3"/>
        <v>42742.965358796297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{"issue":{"subject":"","project_id":79,"tracker_id":40,"status_id":1,"priority_id":2,"assigned_to_id":23,"start_date":"2017-01-07","description":"","custom_fields":[{"id":1,"name":"Subdivision","value":"EC"},{"id":4,"name":"Milepost","value":"0"},{"id":17,"name":"Train ID","value":"199-07"},{"id":16,"name":"Locomotive ID","value":"4003"},{"id":130,"name":"Impact","value":""},{"id":150,"name":"Time of Event (Mountain Time)","value":"16:10:07"},{"id":151,"name":"Denver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"%USERPROFILE%\AppData\Local\Temp\OnboardLogs"\RTDC4003\*4003*201701072*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"%USERPROFILE%\AppData\Local\Temp\OnboardLogs"\RTDC4003\*4003*201701072* &gt;&gt; 42742-slicedisagreementcheck.txt</v>
      </c>
      <c r="AE14" s="183" t="str">
        <f t="shared" si="8"/>
        <v>start /low /b %USERPROFILE%\Documents\GitHub\eaglep3\Utilities\DownloadLogsFromS3.py --loco 4003 --day 2017-01-07</v>
      </c>
    </row>
    <row r="15" spans="1:31" s="1" customFormat="1" x14ac:dyDescent="0.25">
      <c r="A15" s="33">
        <v>42742.837361111109</v>
      </c>
      <c r="B15" s="31" t="s">
        <v>235</v>
      </c>
      <c r="C15" s="31" t="s">
        <v>456</v>
      </c>
      <c r="D15" s="31" t="s">
        <v>98</v>
      </c>
      <c r="E15" s="31" t="s">
        <v>320</v>
      </c>
      <c r="F15" s="44">
        <v>300</v>
      </c>
      <c r="G15" s="44">
        <v>352</v>
      </c>
      <c r="H15" s="44">
        <v>21217</v>
      </c>
      <c r="I15" s="44">
        <v>22022</v>
      </c>
      <c r="J15" s="31" t="s">
        <v>321</v>
      </c>
      <c r="K15" s="44">
        <v>20338</v>
      </c>
      <c r="L15" s="150" t="s">
        <v>50</v>
      </c>
      <c r="M15" s="151">
        <f t="shared" si="0"/>
        <v>-889.15200000000004</v>
      </c>
      <c r="N15" s="152" t="str">
        <f>VLOOKUP(C15,'Trips&amp;Operators'!$C$1:$G$99999,5,FALSE)</f>
        <v>STAMBAUGH JAMES</v>
      </c>
      <c r="O15" s="179" t="s">
        <v>195</v>
      </c>
      <c r="P15" s="153"/>
      <c r="Q15" s="31"/>
      <c r="R15" s="96" t="str">
        <f>VLOOKUP(C15,'Train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15" s="99" t="str">
        <f>VLOOKUP(C15,'Train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18:56:05-700',mode:absolute,to:'2017-01-07 21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5" s="101" t="str">
        <f t="shared" si="1"/>
        <v>"C:\Program Files (x86)\AstroGrep\AstroGrep.exe" /spath="%USERPROFILE%\AppData\Local\Temp\OnboardLogs" /stypes="*4016*201701080*" /stext=" 03:.+((SYSTEM_STATE.+slice.+state.+changed )|(ment ac)|(multiple cpu faults)|(system.+state.+changed )|(\[timeout)|(PRM\|1\|D)|(kpr)|(kdp)|(\|lc)|(penalty))" /e /r /s</v>
      </c>
      <c r="U15" s="9" t="str">
        <f t="shared" si="2"/>
        <v>4016</v>
      </c>
      <c r="V15" s="33">
        <f t="shared" si="3"/>
        <v>42743.129027777773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{"issue":{"subject":"","project_id":79,"tracker_id":40,"status_id":1,"priority_id":2,"assigned_to_id":23,"start_date":"2017-01-07","description":"","custom_fields":[{"id":1,"name":"Subdivision","value":"EC"},{"id":4,"name":"Milepost","value":"2.0338"},{"id":17,"name":"Train ID","value":"225-07"},{"id":16,"name":"Locomotive ID","value":"4016"},{"id":130,"name":"Impact","value":""},{"id":150,"name":"Time of Event (Mountain Time)","value":"20:05:48"},{"id":151,"name":"Denver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"%USERPROFILE%\AppData\Local\Temp\OnboardLogs"\RTDC4016\*4016*201701080*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"%USERPROFILE%\AppData\Local\Temp\OnboardLogs"\RTDC4016\*4016*201701080* &gt;&gt; 42742-slicedisagreementcheck.txt</v>
      </c>
      <c r="AE15" s="183" t="str">
        <f t="shared" si="8"/>
        <v>start /low /b %USERPROFILE%\Documents\GitHub\eaglep3\Utilities\DownloadLogsFromS3.py --loco 4016 --day 2017-01-08</v>
      </c>
    </row>
    <row r="16" spans="1:31" s="1" customFormat="1" x14ac:dyDescent="0.25">
      <c r="A16" s="33">
        <v>42742.617627314816</v>
      </c>
      <c r="B16" s="31" t="s">
        <v>244</v>
      </c>
      <c r="C16" s="31" t="s">
        <v>449</v>
      </c>
      <c r="D16" s="31" t="s">
        <v>98</v>
      </c>
      <c r="E16" s="31" t="s">
        <v>320</v>
      </c>
      <c r="F16" s="44">
        <v>700</v>
      </c>
      <c r="G16" s="44">
        <v>750</v>
      </c>
      <c r="H16" s="44">
        <v>180694</v>
      </c>
      <c r="I16" s="44">
        <v>177135</v>
      </c>
      <c r="J16" s="31" t="s">
        <v>321</v>
      </c>
      <c r="K16" s="44">
        <v>183829</v>
      </c>
      <c r="L16" s="150" t="s">
        <v>51</v>
      </c>
      <c r="M16" s="151">
        <f t="shared" si="0"/>
        <v>-3534.4319999999998</v>
      </c>
      <c r="N16" s="152" t="str">
        <f>VLOOKUP(C16,'Trips&amp;Operators'!$C$1:$G$99999,5,FALSE)</f>
        <v>LEVIN SCOTT</v>
      </c>
      <c r="O16" s="179" t="s">
        <v>195</v>
      </c>
      <c r="P16" s="153"/>
      <c r="Q16" s="31"/>
      <c r="R16" s="96" t="str">
        <f>VLOOKUP(C16,'Train Runs'!$A$13:$AE$9959,31,0)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S16" s="99" t="str">
        <f>VLOOKUP(C16,'Train Runs'!$A$13:$AE$9959,22,0)</f>
        <v>https://search-rtdc-monitor-bjffxe2xuh6vdkpspy63sjmuny.us-east-1.es.amazonaws.com/_plugin/kibana/#/discover/Steve-Slow-Train-Analysis-(2080s-and-2083s)?_g=(refreshInterval:(display:Off,section:0,value:0),time:(from:'2017-01-07 13:35:07-700',mode:absolute,to:'2017-01-07 16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1" t="str">
        <f t="shared" si="1"/>
        <v>"C:\Program Files (x86)\AstroGrep\AstroGrep.exe" /spath="%USERPROFILE%\AppData\Local\Temp\OnboardLogs" /stypes="*4045*201701072*" /stext=" 21:.+((SYSTEM_STATE.+slice.+state.+changed )|(ment ac)|(multiple cpu faults)|(system.+state.+changed )|(\[timeout)|(PRM\|1\|D)|(kpr)|(kdp)|(\|lc)|(penalty))" /e /r /s</v>
      </c>
      <c r="U16" s="9" t="str">
        <f t="shared" si="2"/>
        <v>4045</v>
      </c>
      <c r="V16" s="33">
        <f t="shared" si="3"/>
        <v>42742.90929398148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{"issue":{"subject":"","project_id":79,"tracker_id":40,"status_id":1,"priority_id":2,"assigned_to_id":23,"start_date":"2017-01-07","description":"","custom_fields":[{"id":1,"name":"Subdivision","value":"EC"},{"id":4,"name":"Milepost","value":"18.3829"},{"id":17,"name":"Train ID","value":"182-07"},{"id":16,"name":"Locomotive ID","value":"4045"},{"id":130,"name":"Impact","value":""},{"id":150,"name":"Time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"%USERPROFILE%\AppData\Local\Temp\OnboardLogs"\RTDC4045\*4045*201701072*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"%USERPROFILE%\AppData\Local\Temp\OnboardLogs"\RTDC4045\*4045*201701072* &gt;&gt; 42742-slicedisagreementcheck.txt</v>
      </c>
      <c r="AE16" s="183" t="str">
        <f t="shared" si="8"/>
        <v>start /low /b %USERPROFILE%\Documents\GitHub\eaglep3\Utilities\DownloadLogsFromS3.py --loco 4045 --day 2017-01-07</v>
      </c>
    </row>
    <row r="17" spans="1:32" s="1" customFormat="1" x14ac:dyDescent="0.25">
      <c r="A17" s="33">
        <v>42742.335868055554</v>
      </c>
      <c r="B17" s="31" t="s">
        <v>260</v>
      </c>
      <c r="C17" s="31" t="s">
        <v>433</v>
      </c>
      <c r="D17" s="31" t="s">
        <v>98</v>
      </c>
      <c r="E17" s="31" t="s">
        <v>320</v>
      </c>
      <c r="F17" s="44">
        <v>600</v>
      </c>
      <c r="G17" s="44">
        <v>650</v>
      </c>
      <c r="H17" s="44">
        <v>184495</v>
      </c>
      <c r="I17" s="44">
        <v>181255</v>
      </c>
      <c r="J17" s="31" t="s">
        <v>321</v>
      </c>
      <c r="K17" s="44">
        <v>190834</v>
      </c>
      <c r="L17" s="150" t="s">
        <v>51</v>
      </c>
      <c r="M17" s="151">
        <f t="shared" si="0"/>
        <v>-5057.7120000000004</v>
      </c>
      <c r="N17" s="152" t="str">
        <f>VLOOKUP(C17,'Trips&amp;Operators'!$C$1:$G$99999,5,FALSE)</f>
        <v>ISHMAEL JOSEPH</v>
      </c>
      <c r="O17" s="179" t="s">
        <v>195</v>
      </c>
      <c r="P17" s="153"/>
      <c r="Q17" s="31"/>
      <c r="R17" s="96" t="str">
        <f>VLOOKUP(C17,'Train Runs'!$A$13:$AE$9959,31,0)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S17" s="99" t="str">
        <f>VLOOKUP(C17,'Train Runs'!$A$13:$AE$9959,22,0)</f>
        <v>https://search-rtdc-monitor-bjffxe2xuh6vdkpspy63sjmuny.us-east-1.es.amazonaws.com/_plugin/kibana/#/discover/Steve-Slow-Train-Analysis-(2080s-and-2083s)?_g=(refreshInterval:(display:Off,section:0,value:0),time:(from:'2017-01-07 06:42:54-700',mode:absolute,to:'2017-01-07 09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7" s="101" t="str">
        <f t="shared" si="1"/>
        <v>"C:\Program Files (x86)\AstroGrep\AstroGrep.exe" /spath="%USERPROFILE%\AppData\Local\Temp\OnboardLogs" /stypes="*4043*201701071*" /stext=" 15:.+((SYSTEM_STATE.+slice.+state.+changed )|(ment ac)|(multiple cpu faults)|(system.+state.+changed )|(\[timeout)|(PRM\|1\|D)|(kpr)|(kdp)|(\|lc)|(penalty))" /e /r /s</v>
      </c>
      <c r="U17" s="9" t="str">
        <f t="shared" si="2"/>
        <v>4043</v>
      </c>
      <c r="V17" s="33">
        <f t="shared" si="3"/>
        <v>42742.627534722218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{"issue":{"subject":"","project_id":79,"tracker_id":40,"status_id":1,"priority_id":2,"assigned_to_id":23,"start_date":"2017-01-07","description":"","custom_fields":[{"id":1,"name":"Subdivision","value":"EC"},{"id":4,"name":"Milepost","value":"19.0834"},{"id":17,"name":"Train ID","value":"128-07"},{"id":16,"name":"Locomotive ID","value":"4043"},{"id":130,"name":"Impact","value":""},{"id":150,"name":"Time of Event (Mountain Time)","value":"08:03:39"},{"id":151,"name":"Denver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"%USERPROFILE%\AppData\Local\Temp\OnboardLogs"\RTDC4043\*4043*201701071*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"%USERPROFILE%\AppData\Local\Temp\OnboardLogs"\RTDC4043\*4043*201701071* &gt;&gt; 42742-slicedisagreementcheck.txt</v>
      </c>
      <c r="AE17" s="183" t="str">
        <f t="shared" si="8"/>
        <v>start /low /b %USERPROFILE%\Documents\GitHub\eaglep3\Utilities\DownloadLogsFromS3.py --loco 4043 --day 2017-01-07</v>
      </c>
    </row>
    <row r="18" spans="1:32" s="1" customFormat="1" x14ac:dyDescent="0.25">
      <c r="A18" s="33">
        <v>42742.810706018521</v>
      </c>
      <c r="B18" s="31" t="s">
        <v>295</v>
      </c>
      <c r="C18" s="31" t="s">
        <v>454</v>
      </c>
      <c r="D18" s="31" t="s">
        <v>98</v>
      </c>
      <c r="E18" s="31" t="s">
        <v>320</v>
      </c>
      <c r="F18" s="44">
        <v>150</v>
      </c>
      <c r="G18" s="44">
        <v>213</v>
      </c>
      <c r="H18" s="44">
        <v>232494</v>
      </c>
      <c r="I18" s="44">
        <v>232281</v>
      </c>
      <c r="J18" s="31" t="s">
        <v>321</v>
      </c>
      <c r="K18" s="44">
        <v>233492</v>
      </c>
      <c r="L18" s="150" t="s">
        <v>51</v>
      </c>
      <c r="M18" s="151">
        <f t="shared" si="0"/>
        <v>-639.40800000000002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18" s="99" t="str">
        <f>VLOOKUP(C18,'Train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1" t="str">
        <f t="shared" si="1"/>
        <v>"C:\Program Files (x86)\AstroGrep\AstroGrep.exe" /spath="%USERPROFILE%\AppData\Local\Temp\OnboardLogs" /stypes="*4041*201701080*" /stext=" 02:.+((SYSTEM_STATE.+slice.+state.+changed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42743.102372685185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{"issue":{"subject":"","project_id":79,"tracker_id":40,"status_id":1,"priority_id":2,"assigned_to_id":23,"start_date":"2017-01-07","description":"","custom_fields":[{"id":1,"name":"Subdivision","value":"EC"},{"id":4,"name":"Milepost","value":"23.3492"},{"id":17,"name":"Train ID","value":"220-07"},{"id":16,"name":"Locomotive ID","value":"4041"},{"id":130,"name":"Impact","value":""},{"id":150,"name":"Time of Event (Mountain Time)","value":"19:27:25"},{"id":151,"name":"Denver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"%USERPROFILE%\AppData\Local\Temp\OnboardLogs"\RTDC4041\*4041*201701080*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18" s="183" t="str">
        <f t="shared" si="8"/>
        <v>start /low /b %USERPROFILE%\Documents\GitHub\eaglep3\Utilities\DownloadLogsFromS3.py --loco 4041 --day 2017-01-08</v>
      </c>
    </row>
    <row r="19" spans="1:32" x14ac:dyDescent="0.25">
      <c r="A19" s="33">
        <v>42742.998437499999</v>
      </c>
      <c r="B19" s="31" t="s">
        <v>295</v>
      </c>
      <c r="C19" s="31" t="s">
        <v>459</v>
      </c>
      <c r="D19" s="31" t="s">
        <v>98</v>
      </c>
      <c r="E19" s="31" t="s">
        <v>196</v>
      </c>
      <c r="F19" s="44">
        <v>200</v>
      </c>
      <c r="G19" s="44">
        <v>383</v>
      </c>
      <c r="H19" s="44">
        <v>23392</v>
      </c>
      <c r="I19" s="44">
        <v>22261</v>
      </c>
      <c r="J19" s="31" t="s">
        <v>197</v>
      </c>
      <c r="K19" s="44">
        <v>28061</v>
      </c>
      <c r="L19" s="150" t="s">
        <v>51</v>
      </c>
      <c r="M19" s="151">
        <f t="shared" si="0"/>
        <v>-3062.4</v>
      </c>
      <c r="N19" s="152" t="str">
        <f>VLOOKUP(C19,'Trips&amp;Operators'!$C$1:$G$99999,5,FALSE)</f>
        <v>HILLS DUSTIN</v>
      </c>
      <c r="O19" s="179" t="s">
        <v>195</v>
      </c>
      <c r="P19" s="153" t="s">
        <v>832</v>
      </c>
      <c r="Q19" s="31"/>
      <c r="R19" s="96" t="str">
        <f>VLOOKUP(C19,'Train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19" s="99" t="str">
        <f>VLOOKUP(C19,'Train Runs'!$A$13:$AE$9959,22,0)</f>
        <v>https://search-rtdc-monitor-bjffxe2xuh6vdkpspy63sjmuny.us-east-1.es.amazonaws.com/_plugin/kibana/#/discover/Steve-Slow-Train-Analysis-(2080s-and-2083s)?_g=(refreshInterval:(display:Off,section:0,value:0),time:(from:'2017-01-07 22:18:17-700',mode:absolute,to:'2017-01-08 00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1" t="str">
        <f t="shared" si="1"/>
        <v>"C:\Program Files (x86)\AstroGrep\AstroGrep.exe" /spath="%USERPROFILE%\AppData\Local\Temp\OnboardLogs" /stypes="*4041*201701080*" /stext=" 06:.+((SYSTEM_STATE.+slice.+state.+changed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42743.290104166663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{"issue":{"subject":"Wheel tach readings dropped out","project_id":79,"tracker_id":40,"status_id":1,"priority_id":2,"assigned_to_id":23,"start_date":"2017-01-07","description":"","custom_fields":[{"id":1,"name":"Subdivision","value":"EC"},{"id":4,"name":"Milepost","value":"2.8061"},{"id":17,"name":"Train ID","value":"236-07"},{"id":16,"name":"Locomotive ID","value":"4041"},{"id":130,"name":"Impact","value":""},{"id":150,"name":"Time of Event (Mountain Time)","value":"23:57:45"},{"id":151,"name":"Denver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"%USERPROFILE%\AppData\Local\Temp\OnboardLogs"\RTDC4041\*4041*201701080*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19" s="183" t="str">
        <f t="shared" si="8"/>
        <v>start /low /b %USERPROFILE%\Documents\GitHub\eaglep3\Utilities\DownloadLogsFromS3.py --loco 4041 --day 2017-01-08</v>
      </c>
      <c r="AF19" s="1"/>
    </row>
    <row r="20" spans="1:32" x14ac:dyDescent="0.25">
      <c r="A20" s="33">
        <v>42743.021354166667</v>
      </c>
      <c r="B20" s="31" t="s">
        <v>244</v>
      </c>
      <c r="C20" s="31" t="s">
        <v>460</v>
      </c>
      <c r="D20" s="31" t="s">
        <v>98</v>
      </c>
      <c r="E20" s="31" t="s">
        <v>196</v>
      </c>
      <c r="F20" s="44">
        <v>200</v>
      </c>
      <c r="G20" s="44">
        <v>333</v>
      </c>
      <c r="H20" s="44">
        <v>23412</v>
      </c>
      <c r="I20" s="44">
        <v>22518</v>
      </c>
      <c r="J20" s="31" t="s">
        <v>197</v>
      </c>
      <c r="K20" s="44">
        <v>28061</v>
      </c>
      <c r="L20" s="150" t="s">
        <v>51</v>
      </c>
      <c r="M20" s="151">
        <f t="shared" si="0"/>
        <v>-2926.7040000000002</v>
      </c>
      <c r="N20" s="152" t="str">
        <f>VLOOKUP(C20,'Trips&amp;Operators'!$C$1:$G$99999,5,FALSE)</f>
        <v>BROWN JACOB</v>
      </c>
      <c r="O20" s="179" t="s">
        <v>195</v>
      </c>
      <c r="P20" s="153" t="s">
        <v>832</v>
      </c>
      <c r="Q20" s="31"/>
      <c r="R20" s="96" t="str">
        <f>VLOOKUP(C20,'Train Runs'!$A$13:$AE$9959,31,0)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S20" s="99" t="str">
        <f>VLOOKUP(C20,'Train Runs'!$A$13:$AE$9959,22,0)</f>
        <v>https://search-rtdc-monitor-bjffxe2xuh6vdkpspy63sjmuny.us-east-1.es.amazonaws.com/_plugin/kibana/#/discover/Steve-Slow-Train-Analysis-(2080s-and-2083s)?_g=(refreshInterval:(display:Off,section:0,value:0),time:(from:'2017-01-07 22:48:39-700',mode:absolute,to:'2017-01-08 01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1" t="str">
        <f t="shared" si="1"/>
        <v>"C:\Program Files (x86)\AstroGrep\AstroGrep.exe" /spath="%USERPROFILE%\AppData\Local\Temp\OnboardLogs" /stypes="*4045*201701080*" /stext=" 07:.+((SYSTEM_STATE.+slice.+state.+changed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3">
        <f t="shared" si="3"/>
        <v>42743.313020833331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{"issue":{"subject":"Wheel tach readings dropped out","project_id":79,"tracker_id":40,"status_id":1,"priority_id":2,"assigned_to_id":23,"start_date":"2017-01-08","description":"","custom_fields":[{"id":1,"name":"Subdivision","value":"EC"},{"id":4,"name":"Milepost","value":"2.8061"},{"id":17,"name":"Train ID","value":"238-07"},{"id":16,"name":"Locomotive ID","value":"4045"},{"id":130,"name":"Impact","value":""},{"id":150,"name":"Time of Event (Mountain Time)","value":"00:30:45"},{"id":151,"name":"Denver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"%USERPROFILE%\AppData\Local\Temp\OnboardLogs"\RTDC4045\*4045*201701080*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"%USERPROFILE%\AppData\Local\Temp\OnboardLogs"\RTDC4045\*4045*201701080* &gt;&gt; 42742-slicedisagreementcheck.txt</v>
      </c>
      <c r="AE20" s="183" t="str">
        <f t="shared" si="8"/>
        <v>start /low /b %USERPROFILE%\Documents\GitHub\eaglep3\Utilities\DownloadLogsFromS3.py --loco 4045 --day 2017-01-08</v>
      </c>
      <c r="AF20" s="1"/>
    </row>
    <row r="21" spans="1:32" ht="15" customHeight="1" x14ac:dyDescent="0.25">
      <c r="A21" s="33">
        <v>42742.484467592592</v>
      </c>
      <c r="B21" s="31" t="s">
        <v>235</v>
      </c>
      <c r="C21" s="31" t="s">
        <v>441</v>
      </c>
      <c r="D21" s="31" t="s">
        <v>49</v>
      </c>
      <c r="E21" s="31" t="s">
        <v>196</v>
      </c>
      <c r="F21" s="44">
        <v>0</v>
      </c>
      <c r="G21" s="44">
        <v>38</v>
      </c>
      <c r="H21" s="44">
        <v>227920</v>
      </c>
      <c r="I21" s="44">
        <v>228091</v>
      </c>
      <c r="J21" s="31" t="s">
        <v>197</v>
      </c>
      <c r="K21" s="44">
        <v>228572</v>
      </c>
      <c r="L21" s="150" t="s">
        <v>50</v>
      </c>
      <c r="M21" s="151">
        <f t="shared" si="0"/>
        <v>253.96799999999999</v>
      </c>
      <c r="N21" s="152" t="str">
        <f>VLOOKUP(C21,'Trips&amp;Operators'!$C$1:$G$99999,5,FALSE)</f>
        <v>STEWART MICHAEL</v>
      </c>
      <c r="O21" s="179" t="s">
        <v>195</v>
      </c>
      <c r="P21" s="153" t="s">
        <v>833</v>
      </c>
      <c r="Q21" s="31"/>
      <c r="R21" s="96" t="str">
        <f>VLOOKUP(C21,'Train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21" s="99" t="str">
        <f>VLOOKUP(C21,'Train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09:52:38-700',mode:absolute,to:'2017-01-07 12:41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1" s="101" t="str">
        <f t="shared" si="1"/>
        <v>"C:\Program Files (x86)\AstroGrep\AstroGrep.exe" /spath="%USERPROFILE%\AppData\Local\Temp\OnboardLogs" /stypes="*4016*201701071*" /stext=" 18:.+((SYSTEM_STATE.+slice.+state.+changed )|(ment ac)|(multiple cpu faults)|(system.+state.+changed )|(\[timeout)|(PRM\|1\|D)|(kpr)|(kdp)|(\|lc)|(penalty))" /e /r /s</v>
      </c>
      <c r="U21" s="9" t="str">
        <f t="shared" si="2"/>
        <v>4016</v>
      </c>
      <c r="V21" s="33">
        <f t="shared" si="3"/>
        <v>42742.776134259257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{"issue":{"subject":"DIA 2N STOP, cleared afterward","project_id":79,"tracker_id":40,"status_id":1,"priority_id":2,"assigned_to_id":23,"start_date":"2017-01-07","description":"","custom_fields":[{"id":1,"name":"Subdivision","value":"EC"},{"id":4,"name":"Milepost","value":"22.8572"},{"id":17,"name":"Train ID","value":"159-07"},{"id":16,"name":"Locomotive ID","value":"4016"},{"id":130,"name":"Impact","value":""},{"id":150,"name":"Time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"%USERPROFILE%\AppData\Local\Temp\OnboardLogs"\RTDC4016\*4016*201701071*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"%USERPROFILE%\AppData\Local\Temp\OnboardLogs"\RTDC4016\*4016*201701071* &gt;&gt; 42742-slicedisagreementcheck.txt</v>
      </c>
      <c r="AE21" s="183" t="str">
        <f t="shared" si="8"/>
        <v>start /low /b %USERPROFILE%\Documents\GitHub\eaglep3\Utilities\DownloadLogsFromS3.py --loco 4016 --day 2017-01-07</v>
      </c>
      <c r="AF21" s="1"/>
    </row>
    <row r="22" spans="1:32" x14ac:dyDescent="0.25">
      <c r="A22" s="33">
        <v>42742.340613425928</v>
      </c>
      <c r="B22" s="31" t="s">
        <v>202</v>
      </c>
      <c r="C22" s="31" t="s">
        <v>434</v>
      </c>
      <c r="D22" s="31" t="s">
        <v>98</v>
      </c>
      <c r="E22" s="31" t="s">
        <v>435</v>
      </c>
      <c r="F22" s="44">
        <v>790</v>
      </c>
      <c r="G22" s="44">
        <v>840</v>
      </c>
      <c r="H22" s="44">
        <v>140933</v>
      </c>
      <c r="I22" s="44">
        <v>145589</v>
      </c>
      <c r="J22" s="31" t="s">
        <v>321</v>
      </c>
      <c r="K22" s="44">
        <v>110617</v>
      </c>
      <c r="L22" s="150" t="s">
        <v>50</v>
      </c>
      <c r="M22" s="151">
        <f t="shared" si="0"/>
        <v>-18465.216</v>
      </c>
      <c r="N22" s="152" t="str">
        <f>VLOOKUP(C22,'Trips&amp;Operators'!$C$1:$G$99999,5,FALSE)</f>
        <v>MAELZER KURT</v>
      </c>
      <c r="O22" s="179" t="s">
        <v>195</v>
      </c>
      <c r="P22" s="153"/>
      <c r="Q22" s="31"/>
      <c r="R22" s="96" t="str">
        <f>VLOOKUP(C22,'Train Runs'!$A$13:$AE$9959,31,0)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S22" s="99" t="str">
        <f>VLOOKUP(C22,'Train Runs'!$A$13:$AE$9959,22,0)</f>
        <v>https://search-rtdc-monitor-bjffxe2xuh6vdkpspy63sjmuny.us-east-1.es.amazonaws.com/_plugin/kibana/#/discover/Steve-Slow-Train-Analysis-(2080s-and-2083s)?_g=(refreshInterval:(display:Off,section:0,value:0),time:(from:'2017-01-07 06:38:21-700',mode:absolute,to:'2017-01-07 09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2" s="101" t="str">
        <f t="shared" si="1"/>
        <v>"C:\Program Files (x86)\AstroGrep\AstroGrep.exe" /spath="%USERPROFILE%\AppData\Local\Temp\OnboardLogs" /stypes="*4011*201701071*" /stext=" 15:.+((SYSTEM_STATE.+slice.+state.+changed )|(ment ac)|(multiple cpu faults)|(system.+state.+changed )|(\[timeout)|(PRM\|1\|D)|(kpr)|(kdp)|(\|lc)|(penalty))" /e /r /s</v>
      </c>
      <c r="U22" s="9" t="str">
        <f t="shared" si="2"/>
        <v>4011</v>
      </c>
      <c r="V22" s="33">
        <f t="shared" si="3"/>
        <v>42742.632280092592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{"issue":{"subject":"","project_id":79,"tracker_id":40,"status_id":1,"priority_id":2,"assigned_to_id":23,"start_date":"2017-01-07","description":"","custom_fields":[{"id":1,"name":"Subdivision","value":"EC"},{"id":4,"name":"Milepost","value":"11.0617"},{"id":17,"name":"Train ID","value":"133-07"},{"id":16,"name":"Locomotive ID","value":"4011"},{"id":130,"name":"Impact","value":""},{"id":150,"name":"Time of Event (Mountain Time)","value":"08:10:29"},{"id":151,"name":"Denver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"%USERPROFILE%\AppData\Local\Temp\OnboardLogs"\RTDC4011\*4011*201701071*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"%USERPROFILE%\AppData\Local\Temp\OnboardLogs"\RTDC4011\*4011*201701071* &gt;&gt; 42742-slicedisagreementcheck.txt</v>
      </c>
      <c r="AE22" s="183" t="str">
        <f t="shared" si="8"/>
        <v>start /low /b %USERPROFILE%\Documents\GitHub\eaglep3\Utilities\DownloadLogsFromS3.py --loco 4011 --day 2017-01-07</v>
      </c>
      <c r="AF22" s="1"/>
    </row>
    <row r="23" spans="1:32" x14ac:dyDescent="0.25">
      <c r="A23" s="33">
        <v>42742.482789351852</v>
      </c>
      <c r="B23" s="31" t="s">
        <v>205</v>
      </c>
      <c r="C23" s="31" t="s">
        <v>440</v>
      </c>
      <c r="D23" s="31" t="s">
        <v>49</v>
      </c>
      <c r="E23" s="31" t="s">
        <v>198</v>
      </c>
      <c r="F23" s="44">
        <v>0</v>
      </c>
      <c r="G23" s="44">
        <v>42</v>
      </c>
      <c r="H23" s="44">
        <v>141</v>
      </c>
      <c r="I23" s="44">
        <v>114</v>
      </c>
      <c r="J23" s="31" t="s">
        <v>199</v>
      </c>
      <c r="K23" s="44">
        <v>1</v>
      </c>
      <c r="L23" s="150" t="s">
        <v>51</v>
      </c>
      <c r="M23" s="151">
        <f t="shared" si="0"/>
        <v>59.664000000000001</v>
      </c>
      <c r="N23" s="152" t="str">
        <f>VLOOKUP(C23,'Trips&amp;Operators'!$C$1:$G$99999,5,FALSE)</f>
        <v>OUN ZACK</v>
      </c>
      <c r="O23" s="179" t="s">
        <v>195</v>
      </c>
      <c r="P23" s="153"/>
      <c r="Q23" s="31"/>
      <c r="R23" s="96" t="str">
        <f>VLOOKUP(C23,'Train Runs'!$A$13:$AE$9959,31,0)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S23" s="99" t="str">
        <f>VLOOKUP(C23,'Train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09:50:07-700',mode:absolute,to:'2017-01-07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1" t="str">
        <f t="shared" si="1"/>
        <v>"C:\Program Files (x86)\AstroGrep\AstroGrep.exe" /spath="%USERPROFILE%\AppData\Local\Temp\OnboardLogs" /stypes="*4039*201701071*" /stext=" 18:.+((SYSTEM_STATE.+slice.+state.+changed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42742.774456018517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{"issue":{"subject":"","project_id":79,"tracker_id":40,"status_id":1,"priority_id":2,"assigned_to_id":23,"start_date":"2017-01-07","description":"","custom_fields":[{"id":1,"name":"Subdivision","value":"EC"},{"id":4,"name":"Milepost","value":"0.0001"},{"id":17,"name":"Train ID","value":"152-07"},{"id":16,"name":"Locomotive ID","value":"4039"},{"id":130,"name":"Impact","value":""},{"id":150,"name":"Time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"%USERPROFILE%\AppData\Local\Temp\OnboardLogs"\RTDC4039\*4039*201701071* &gt;&gt; 42742-slicedisagreementcheck.txt</v>
      </c>
      <c r="AE23" s="183" t="str">
        <f t="shared" si="8"/>
        <v>start /low /b %USERPROFILE%\Documents\GitHub\eaglep3\Utilities\DownloadLogsFromS3.py --loco 4039 --day 2017-01-07</v>
      </c>
      <c r="AF23" s="1"/>
    </row>
    <row r="24" spans="1:32" x14ac:dyDescent="0.25">
      <c r="A24" s="33">
        <v>42742.763761574075</v>
      </c>
      <c r="B24" s="31" t="s">
        <v>295</v>
      </c>
      <c r="C24" s="31" t="s">
        <v>453</v>
      </c>
      <c r="D24" s="31" t="s">
        <v>49</v>
      </c>
      <c r="E24" s="31" t="s">
        <v>198</v>
      </c>
      <c r="F24" s="44">
        <v>0</v>
      </c>
      <c r="G24" s="44">
        <v>42</v>
      </c>
      <c r="H24" s="44">
        <v>150</v>
      </c>
      <c r="I24" s="44">
        <v>112</v>
      </c>
      <c r="J24" s="31" t="s">
        <v>199</v>
      </c>
      <c r="K24" s="44">
        <v>1</v>
      </c>
      <c r="L24" s="150" t="s">
        <v>51</v>
      </c>
      <c r="M24" s="151">
        <f t="shared" si="0"/>
        <v>58.607999999999997</v>
      </c>
      <c r="N24" s="152" t="str">
        <f>VLOOKUP(C24,'Trips&amp;Operators'!$C$1:$G$99999,5,FALSE)</f>
        <v>BRUDER RICHARD</v>
      </c>
      <c r="O24" s="179" t="s">
        <v>195</v>
      </c>
      <c r="P24" s="153"/>
      <c r="Q24" s="31"/>
      <c r="R24" s="96" t="str">
        <f>VLOOKUP(C24,'Train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24" s="99" t="str">
        <f>VLOOKUP(C24,'Train Runs'!$A$13:$AE$9959,22,0)</f>
        <v>https://search-rtdc-monitor-bjffxe2xuh6vdkpspy63sjmuny.us-east-1.es.amazonaws.com/_plugin/kibana/#/discover/Steve-Slow-Train-Analysis-(2080s-and-2083s)?_g=(refreshInterval:(display:Off,section:0,value:0),time:(from:'2017-01-07 16:33:10-700',mode:absolute,to:'2017-01-07 19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1" t="str">
        <f t="shared" si="1"/>
        <v>"C:\Program Files (x86)\AstroGrep\AstroGrep.exe" /spath="%USERPROFILE%\AppData\Local\Temp\OnboardLogs" /stypes="*4041*201701080*" /stext=" 01:.+((SYSTEM_STATE.+slice.+state.+changed )|(ment ac)|(multiple cpu faults)|(system.+state.+changed )|(\[timeout)|(PRM\|1\|D)|(kpr)|(kdp)|(\|lc)|(penalty))" /e /r /s</v>
      </c>
      <c r="U24" s="9" t="str">
        <f t="shared" si="2"/>
        <v>4041</v>
      </c>
      <c r="V24" s="33">
        <f t="shared" si="3"/>
        <v>42743.055428240739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{"issue":{"subject":"","project_id":79,"tracker_id":40,"status_id":1,"priority_id":2,"assigned_to_id":23,"start_date":"2017-01-07","description":"","custom_fields":[{"id":1,"name":"Subdivision","value":"EC"},{"id":4,"name":"Milepost","value":"0.0001"},{"id":17,"name":"Train ID","value":"206-07"},{"id":16,"name":"Locomotive ID","value":"4041"},{"id":130,"name":"Impact","value":""},{"id":150,"name":"Time of Event (Mountain Time)","value":"18:19:49"},{"id":151,"name":"Denver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"%USERPROFILE%\AppData\Local\Temp\OnboardLogs"\RTDC4041\*4041*201701080*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24" s="183" t="str">
        <f t="shared" si="8"/>
        <v>start /low /b %USERPROFILE%\Documents\GitHub\eaglep3\Utilities\DownloadLogsFromS3.py --loco 4041 --day 2017-01-08</v>
      </c>
      <c r="AF24" s="1"/>
    </row>
    <row r="25" spans="1:32" x14ac:dyDescent="0.25">
      <c r="A25" s="33">
        <v>42742.836435185185</v>
      </c>
      <c r="B25" s="31" t="s">
        <v>295</v>
      </c>
      <c r="C25" s="31" t="s">
        <v>454</v>
      </c>
      <c r="D25" s="31" t="s">
        <v>49</v>
      </c>
      <c r="E25" s="31" t="s">
        <v>198</v>
      </c>
      <c r="F25" s="44">
        <v>0</v>
      </c>
      <c r="G25" s="44">
        <v>53</v>
      </c>
      <c r="H25" s="44">
        <v>116</v>
      </c>
      <c r="I25" s="44">
        <v>63</v>
      </c>
      <c r="J25" s="31" t="s">
        <v>199</v>
      </c>
      <c r="K25" s="44">
        <v>1</v>
      </c>
      <c r="L25" s="150" t="s">
        <v>51</v>
      </c>
      <c r="M25" s="151">
        <f t="shared" si="0"/>
        <v>32.735999999999997</v>
      </c>
      <c r="N25" s="152" t="str">
        <f>VLOOKUP(C25,'Trips&amp;Operators'!$C$1:$G$99999,5,FALSE)</f>
        <v>HILLS DUSTIN</v>
      </c>
      <c r="O25" s="179" t="s">
        <v>322</v>
      </c>
      <c r="P25" s="153" t="s">
        <v>904</v>
      </c>
      <c r="Q25" s="31"/>
      <c r="R25" s="96" t="str">
        <f>VLOOKUP(C25,'Train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25" s="99" t="str">
        <f>VLOOKUP(C25,'Train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1" t="str">
        <f t="shared" si="1"/>
        <v>"C:\Program Files (x86)\AstroGrep\AstroGrep.exe" /spath="%USERPROFILE%\AppData\Local\Temp\OnboardLogs" /stypes="*4041*201701080*" /stext=" 03:.+((SYSTEM_STATE.+slice.+state.+changed )|(ment ac)|(multiple cpu faults)|(system.+state.+changed )|(\[timeout)|(PRM\|1\|D)|(kpr)|(kdp)|(\|lc)|(penalty))" /e /r /s</v>
      </c>
      <c r="U25" s="9" t="str">
        <f t="shared" si="2"/>
        <v>4041</v>
      </c>
      <c r="V25" s="33">
        <f t="shared" si="3"/>
        <v>42743.128101851849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{"issue":{"subject":"Banner without braking","project_id":79,"tracker_id":40,"status_id":1,"priority_id":2,"assigned_to_id":23,"start_date":"2017-01-07","description":"","custom_fields":[{"id":1,"name":"Subdivision","value":"EC"},{"id":4,"name":"Milepost","value":"0.0001"},{"id":17,"name":"Train ID","value":"220-07"},{"id":16,"name":"Locomotive ID","value":"4041"},{"id":130,"name":"Impact","value":""},{"id":150,"name":"Time of Event (Mountain Time)","value":"20:04:28"},{"id":151,"name":"Denver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"%USERPROFILE%\AppData\Local\Temp\OnboardLogs"\RTDC4041\*4041*201701080*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25" s="183" t="str">
        <f t="shared" si="8"/>
        <v>start /low /b %USERPROFILE%\Documents\GitHub\eaglep3\Utilities\DownloadLogsFromS3.py --loco 4041 --day 2017-01-08</v>
      </c>
      <c r="AF25" s="1"/>
    </row>
    <row r="26" spans="1:32" x14ac:dyDescent="0.25">
      <c r="A26" s="33">
        <v>42742.248252314814</v>
      </c>
      <c r="B26" s="31" t="s">
        <v>298</v>
      </c>
      <c r="C26" s="31" t="s">
        <v>430</v>
      </c>
      <c r="D26" s="31" t="s">
        <v>49</v>
      </c>
      <c r="E26" s="31" t="s">
        <v>198</v>
      </c>
      <c r="F26" s="44">
        <v>0</v>
      </c>
      <c r="G26" s="44">
        <v>84</v>
      </c>
      <c r="H26" s="44">
        <v>1249</v>
      </c>
      <c r="I26" s="44">
        <v>1111</v>
      </c>
      <c r="J26" s="31" t="s">
        <v>199</v>
      </c>
      <c r="K26" s="44">
        <v>839</v>
      </c>
      <c r="L26" s="150" t="s">
        <v>51</v>
      </c>
      <c r="M26" s="151">
        <f t="shared" si="0"/>
        <v>143.61600000000001</v>
      </c>
      <c r="N26" s="152" t="str">
        <f>VLOOKUP(C26,'Trips&amp;Operators'!$C$1:$G$99999,5,FALSE)</f>
        <v>MAELZER KURT</v>
      </c>
      <c r="O26" s="179" t="s">
        <v>195</v>
      </c>
      <c r="P26" s="153"/>
      <c r="Q26" s="31"/>
      <c r="R26" s="96" t="str">
        <f>VLOOKUP(C26,'Train Runs'!$A$13:$AE$9959,31,0)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S26" s="99" t="str">
        <f>VLOOKUP(C26,'Train Runs'!$A$13:$AE$9959,22,0)</f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1" t="str">
        <f t="shared" si="1"/>
        <v>"C:\Program Files (x86)\AstroGrep\AstroGrep.exe" /spath="%USERPROFILE%\AppData\Local\Temp\OnboardLogs" /stypes="*4030*201701071*" /stext=" 12:.+((SYSTEM_STATE.+slice.+state.+changed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3">
        <f t="shared" si="3"/>
        <v>42742.539918981478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{"issue":{"subject":"","project_id":79,"tracker_id":40,"status_id":1,"priority_id":2,"assigned_to_id":23,"start_date":"2017-01-07","description":"","custom_fields":[{"id":1,"name":"Subdivision","value":"EC"},{"id":4,"name":"Milepost","value":"0.0839"},{"id":17,"name":"Train ID","value":"106-07"},{"id":16,"name":"Locomotive ID","value":"4030"},{"id":130,"name":"Impact","value":""},{"id":150,"name":"Time of Event (Mountain Time)","value":"05:57:29"},{"id":151,"name":"Denver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"%USERPROFILE%\AppData\Local\Temp\OnboardLogs"\RTDC4030\*4030*201701071*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"%USERPROFILE%\AppData\Local\Temp\OnboardLogs"\RTDC4030\*4030*201701071* &gt;&gt; 42742-slicedisagreementcheck.txt</v>
      </c>
      <c r="AE26" s="183" t="str">
        <f t="shared" si="8"/>
        <v>start /low /b %USERPROFILE%\Documents\GitHub\eaglep3\Utilities\DownloadLogsFromS3.py --loco 4030 --day 2017-01-07</v>
      </c>
      <c r="AF26" s="1"/>
    </row>
    <row r="27" spans="1:32" ht="15" customHeight="1" x14ac:dyDescent="0.25">
      <c r="A27" s="33">
        <v>42742.248773148145</v>
      </c>
      <c r="B27" s="31" t="s">
        <v>298</v>
      </c>
      <c r="C27" s="31" t="s">
        <v>430</v>
      </c>
      <c r="D27" s="31" t="s">
        <v>49</v>
      </c>
      <c r="E27" s="31" t="s">
        <v>198</v>
      </c>
      <c r="F27" s="44">
        <v>0</v>
      </c>
      <c r="G27" s="44">
        <v>40</v>
      </c>
      <c r="H27" s="44">
        <v>981</v>
      </c>
      <c r="I27" s="44">
        <v>954</v>
      </c>
      <c r="J27" s="31" t="s">
        <v>199</v>
      </c>
      <c r="K27" s="44">
        <v>839</v>
      </c>
      <c r="L27" s="150" t="s">
        <v>51</v>
      </c>
      <c r="M27" s="151">
        <f t="shared" si="0"/>
        <v>60.72</v>
      </c>
      <c r="N27" s="152" t="str">
        <f>VLOOKUP(C27,'Trips&amp;Operators'!$C$1:$G$99999,5,FALSE)</f>
        <v>MAELZER KURT</v>
      </c>
      <c r="O27" s="179" t="s">
        <v>195</v>
      </c>
      <c r="P27" s="153"/>
      <c r="Q27" s="31"/>
      <c r="R27" s="96" t="str">
        <f>VLOOKUP(C27,'Train Runs'!$A$13:$AE$9959,31,0)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S27" s="99" t="str">
        <f>VLOOKUP(C27,'Train Runs'!$A$13:$AE$9959,22,0)</f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7" s="101" t="str">
        <f t="shared" si="1"/>
        <v>"C:\Program Files (x86)\AstroGrep\AstroGrep.exe" /spath="%USERPROFILE%\AppData\Local\Temp\OnboardLogs" /stypes="*4030*201701071*" /stext=" 12:.+((SYSTEM_STATE.+slice.+state.+changed )|(ment ac)|(multiple cpu faults)|(system.+state.+changed )|(\[timeout)|(PRM\|1\|D)|(kpr)|(kdp)|(\|lc)|(penalty))" /e /r /s</v>
      </c>
      <c r="U27" s="9" t="str">
        <f t="shared" si="2"/>
        <v>4030</v>
      </c>
      <c r="V27" s="33">
        <f t="shared" si="3"/>
        <v>42742.540439814809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{"issue":{"subject":"","project_id":79,"tracker_id":40,"status_id":1,"priority_id":2,"assigned_to_id":23,"start_date":"2017-01-07","description":"","custom_fields":[{"id":1,"name":"Subdivision","value":"EC"},{"id":4,"name":"Milepost","value":"0.0839"},{"id":17,"name":"Train ID","value":"106-07"},{"id":16,"name":"Locomotive ID","value":"4030"},{"id":130,"name":"Impact","value":""},{"id":150,"name":"Time of Event (Mountain Time)","value":"05:58:14"},{"id":151,"name":"Denver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"%USERPROFILE%\AppData\Local\Temp\OnboardLogs"\RTDC4030\*4030*201701071*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"%USERPROFILE%\AppData\Local\Temp\OnboardLogs"\RTDC4030\*4030*201701071* &gt;&gt; 42742-slicedisagreementcheck.txt</v>
      </c>
      <c r="AE27" s="183" t="str">
        <f t="shared" si="8"/>
        <v>start /low /b %USERPROFILE%\Documents\GitHub\eaglep3\Utilities\DownloadLogsFromS3.py --loco 4030 --day 2017-01-07</v>
      </c>
      <c r="AF27" s="1"/>
    </row>
    <row r="28" spans="1:32" ht="15" customHeight="1" x14ac:dyDescent="0.25">
      <c r="A28" s="33">
        <v>42742.2890162037</v>
      </c>
      <c r="B28" s="31" t="s">
        <v>226</v>
      </c>
      <c r="C28" s="31" t="s">
        <v>431</v>
      </c>
      <c r="D28" s="31" t="s">
        <v>49</v>
      </c>
      <c r="E28" s="31" t="s">
        <v>198</v>
      </c>
      <c r="F28" s="44">
        <v>0</v>
      </c>
      <c r="G28" s="44">
        <v>54</v>
      </c>
      <c r="H28" s="44">
        <v>233240</v>
      </c>
      <c r="I28" s="44">
        <v>233297</v>
      </c>
      <c r="J28" s="31" t="s">
        <v>199</v>
      </c>
      <c r="K28" s="44">
        <v>233491</v>
      </c>
      <c r="L28" s="150" t="s">
        <v>50</v>
      </c>
      <c r="M28" s="151">
        <f t="shared" si="0"/>
        <v>102.432</v>
      </c>
      <c r="N28" s="152" t="str">
        <f>VLOOKUP(C28,'Trips&amp;Operators'!$C$1:$G$99999,5,FALSE)</f>
        <v>DAVIS WENDY</v>
      </c>
      <c r="O28" s="179" t="s">
        <v>195</v>
      </c>
      <c r="P28" s="153"/>
      <c r="Q28" s="31"/>
      <c r="R28" s="96" t="str">
        <f>VLOOKUP(C28,'Train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28" s="99" t="str">
        <f>VLOOKUP(C28,'Train Runs'!$A$13:$AE$9959,22,0)</f>
        <v>https://search-rtdc-monitor-bjffxe2xuh6vdkpspy63sjmuny.us-east-1.es.amazonaws.com/_plugin/kibana/#/discover/Steve-Slow-Train-Analysis-(2080s-and-2083s)?_g=(refreshInterval:(display:Off,section:0,value:0),time:(from:'2017-01-07 05:10:57-700',mode:absolute,to:'2017-01-07 07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8" s="101" t="str">
        <f t="shared" si="1"/>
        <v>"C:\Program Files (x86)\AstroGrep\AstroGrep.exe" /spath="%USERPROFILE%\AppData\Local\Temp\OnboardLogs" /stypes="*4042*201701071*" /stext=" 13:.+((SYSTEM_STATE.+slice.+state.+changed )|(ment ac)|(multiple cpu faults)|(system.+state.+changed )|(\[timeout)|(PRM\|1\|D)|(kpr)|(kdp)|(\|lc)|(penalty))" /e /r /s</v>
      </c>
      <c r="U28" s="9" t="str">
        <f t="shared" si="2"/>
        <v>4042</v>
      </c>
      <c r="V28" s="33">
        <f t="shared" si="3"/>
        <v>42742.580682870364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ID","value":"121-07"},{"id":16,"name":"Locomotive ID","value":"4042"},{"id":130,"name":"Impact","value":""},{"id":150,"name":"Time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"%USERPROFILE%\AppData\Local\Temp\OnboardLogs"\RTDC4042\*4042*201701071*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"%USERPROFILE%\AppData\Local\Temp\OnboardLogs"\RTDC4042\*4042*201701071* &gt;&gt; 42742-slicedisagreementcheck.txt</v>
      </c>
      <c r="AE28" s="183" t="str">
        <f t="shared" si="8"/>
        <v>start /low /b %USERPROFILE%\Documents\GitHub\eaglep3\Utilities\DownloadLogsFromS3.py --loco 4042 --day 2017-01-07</v>
      </c>
      <c r="AF28" s="1"/>
    </row>
    <row r="29" spans="1:32" x14ac:dyDescent="0.25">
      <c r="A29" s="33">
        <v>42742.306851851848</v>
      </c>
      <c r="B29" s="31" t="s">
        <v>224</v>
      </c>
      <c r="C29" s="31" t="s">
        <v>432</v>
      </c>
      <c r="D29" s="31" t="s">
        <v>49</v>
      </c>
      <c r="E29" s="31" t="s">
        <v>198</v>
      </c>
      <c r="F29" s="44">
        <v>0</v>
      </c>
      <c r="G29" s="44">
        <v>140</v>
      </c>
      <c r="H29" s="44">
        <v>232551</v>
      </c>
      <c r="I29" s="44">
        <v>232706</v>
      </c>
      <c r="J29" s="31" t="s">
        <v>199</v>
      </c>
      <c r="K29" s="44">
        <v>233491</v>
      </c>
      <c r="L29" s="150" t="s">
        <v>50</v>
      </c>
      <c r="M29" s="151">
        <f t="shared" si="0"/>
        <v>414.48</v>
      </c>
      <c r="N29" s="152" t="str">
        <f>VLOOKUP(C29,'Trips&amp;Operators'!$C$1:$G$99999,5,FALSE)</f>
        <v>LOZA FIDEL</v>
      </c>
      <c r="O29" s="179" t="s">
        <v>195</v>
      </c>
      <c r="P29" s="153"/>
      <c r="Q29" s="31"/>
      <c r="R29" s="96" t="str">
        <f>VLOOKUP(C29,'Train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29" s="99" t="str">
        <f>VLOOKUP(C29,'Train Runs'!$A$13:$AE$9959,22,0)</f>
        <v>https://search-rtdc-monitor-bjffxe2xuh6vdkpspy63sjmuny.us-east-1.es.amazonaws.com/_plugin/kibana/#/discover/Steve-Slow-Train-Analysis-(2080s-and-2083s)?_g=(refreshInterval:(display:Off,section:0,value:0),time:(from:'2017-01-07 05:38:56-700',mode:absolute,to:'2017-01-07 08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9" s="101" t="str">
        <f t="shared" si="1"/>
        <v>"C:\Program Files (x86)\AstroGrep\AstroGrep.exe" /spath="%USERPROFILE%\AppData\Local\Temp\OnboardLogs" /stypes="*4046*201701071*" /stext=" 14:.+((SYSTEM_STATE.+slice.+state.+changed )|(ment ac)|(multiple cpu faults)|(system.+state.+changed )|(\[timeout)|(PRM\|1\|D)|(kpr)|(kdp)|(\|lc)|(penalty))" /e /r /s</v>
      </c>
      <c r="U29" s="9" t="str">
        <f t="shared" si="2"/>
        <v>4046</v>
      </c>
      <c r="V29" s="33">
        <f t="shared" si="3"/>
        <v>42742.598518518513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ID","value":"125-07"},{"id":16,"name":"Locomotive ID","value":"4046"},{"id":130,"name":"Impact","value":""},{"id":150,"name":"Time of Event (Mountain Time)","value":"07:21:52"},{"id":151,"name":"Denver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"%USERPROFILE%\AppData\Local\Temp\OnboardLogs"\RTDC4046\*4046*201701071*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"%USERPROFILE%\AppData\Local\Temp\OnboardLogs"\RTDC4046\*4046*201701071* &gt;&gt; 42742-slicedisagreementcheck.txt</v>
      </c>
      <c r="AE29" s="183" t="str">
        <f t="shared" si="8"/>
        <v>start /low /b %USERPROFILE%\Documents\GitHub\eaglep3\Utilities\DownloadLogsFromS3.py --loco 4046 --day 2017-01-07</v>
      </c>
      <c r="AF29" s="1"/>
    </row>
    <row r="30" spans="1:32" x14ac:dyDescent="0.25">
      <c r="A30" s="33">
        <v>42742.411423611113</v>
      </c>
      <c r="B30" s="31" t="s">
        <v>235</v>
      </c>
      <c r="C30" s="31" t="s">
        <v>436</v>
      </c>
      <c r="D30" s="31" t="s">
        <v>49</v>
      </c>
      <c r="E30" s="31" t="s">
        <v>198</v>
      </c>
      <c r="F30" s="44">
        <v>0</v>
      </c>
      <c r="G30" s="44">
        <v>139</v>
      </c>
      <c r="H30" s="44">
        <v>232356</v>
      </c>
      <c r="I30" s="44">
        <v>232556</v>
      </c>
      <c r="J30" s="31" t="s">
        <v>199</v>
      </c>
      <c r="K30" s="44">
        <v>233491</v>
      </c>
      <c r="L30" s="150" t="s">
        <v>50</v>
      </c>
      <c r="M30" s="151">
        <f t="shared" si="0"/>
        <v>493.68</v>
      </c>
      <c r="N30" s="152" t="str">
        <f>VLOOKUP(C30,'Trips&amp;Operators'!$C$1:$G$99999,5,FALSE)</f>
        <v>ROBINSON KADDIBA</v>
      </c>
      <c r="O30" s="179" t="s">
        <v>195</v>
      </c>
      <c r="P30" s="153"/>
      <c r="Q30" s="31"/>
      <c r="R30" s="96" t="str">
        <f>VLOOKUP(C30,'Train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30" s="99" t="str">
        <f>VLOOKUP(C30,'Train Runs'!$A$13:$AE$9959,22,0)</f>
        <v>https://search-rtdc-monitor-bjffxe2xuh6vdkpspy63sjmuny.us-east-1.es.amazonaws.com/_plugin/kibana/#/discover/Steve-Slow-Train-Analysis-(2080s-and-2083s)?_g=(refreshInterval:(display:Off,section:0,value:0),time:(from:'2017-01-07 08:08:55-700',mode:absolute,to:'2017-01-07 10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0" s="101" t="str">
        <f t="shared" si="1"/>
        <v>"C:\Program Files (x86)\AstroGrep\AstroGrep.exe" /spath="%USERPROFILE%\AppData\Local\Temp\OnboardLogs" /stypes="*4016*201701071*" /stext=" 16:.+((SYSTEM_STATE.+slice.+state.+changed )|(ment ac)|(multiple cpu faults)|(system.+state.+changed )|(\[timeout)|(PRM\|1\|D)|(kpr)|(kdp)|(\|lc)|(penalty))" /e /r /s</v>
      </c>
      <c r="U30" s="9" t="str">
        <f t="shared" si="2"/>
        <v>4016</v>
      </c>
      <c r="V30" s="33">
        <f t="shared" si="3"/>
        <v>42742.703090277777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ID","value":"145-07"},{"id":16,"name":"Locomotive ID","value":"4016"},{"id":130,"name":"Impact","value":""},{"id":150,"name":"Time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"%USERPROFILE%\AppData\Local\Temp\OnboardLogs"\RTDC4016\*4016*201701071*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"%USERPROFILE%\AppData\Local\Temp\OnboardLogs"\RTDC4016\*4016*201701071* &gt;&gt; 42742-slicedisagreementcheck.txt</v>
      </c>
      <c r="AE30" s="183" t="str">
        <f t="shared" si="8"/>
        <v>start /low /b %USERPROFILE%\Documents\GitHub\eaglep3\Utilities\DownloadLogsFromS3.py --loco 4016 --day 2017-01-07</v>
      </c>
      <c r="AF30" s="1"/>
    </row>
    <row r="31" spans="1:32" x14ac:dyDescent="0.25">
      <c r="A31" s="33">
        <v>42742.672256944446</v>
      </c>
      <c r="B31" s="31" t="s">
        <v>224</v>
      </c>
      <c r="C31" s="31" t="s">
        <v>450</v>
      </c>
      <c r="D31" s="31" t="s">
        <v>49</v>
      </c>
      <c r="E31" s="31" t="s">
        <v>198</v>
      </c>
      <c r="F31" s="44">
        <v>0</v>
      </c>
      <c r="G31" s="44">
        <v>74</v>
      </c>
      <c r="H31" s="44">
        <v>233193</v>
      </c>
      <c r="I31" s="44">
        <v>233274</v>
      </c>
      <c r="J31" s="31" t="s">
        <v>199</v>
      </c>
      <c r="K31" s="44">
        <v>233491</v>
      </c>
      <c r="L31" s="150" t="s">
        <v>50</v>
      </c>
      <c r="M31" s="151">
        <f t="shared" si="0"/>
        <v>114.57599999999999</v>
      </c>
      <c r="N31" s="152" t="str">
        <f>VLOOKUP(C31,'Trips&amp;Operators'!$C$1:$G$99999,5,FALSE)</f>
        <v>LEVIN SCOTT</v>
      </c>
      <c r="O31" s="179" t="s">
        <v>195</v>
      </c>
      <c r="P31" s="153"/>
      <c r="Q31" s="31"/>
      <c r="R31" s="96" t="str">
        <f>VLOOKUP(C31,'Train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31" s="99" t="str">
        <f>VLOOKUP(C31,'Train Runs'!$A$13:$AE$9959,22,0)</f>
        <v>https://search-rtdc-monitor-bjffxe2xuh6vdkpspy63sjmuny.us-east-1.es.amazonaws.com/_plugin/kibana/#/discover/Steve-Slow-Train-Analysis-(2080s-and-2083s)?_g=(refreshInterval:(display:Off,section:0,value:0),time:(from:'2017-01-07 14:26:35-700',mode:absolute,to:'2017-01-07 17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1" t="str">
        <f t="shared" si="1"/>
        <v>"C:\Program Files (x86)\AstroGrep\AstroGrep.exe" /spath="%USERPROFILE%\AppData\Local\Temp\OnboardLogs" /stypes="*4046*201701072*" /stext=" 23:.+((SYSTEM_STATE.+slice.+state.+changed )|(ment ac)|(multiple cpu faults)|(system.+state.+changed )|(\[timeout)|(PRM\|1\|D)|(kpr)|(kdp)|(\|lc)|(penalty))" /e /r /s</v>
      </c>
      <c r="U31" s="9" t="str">
        <f t="shared" si="2"/>
        <v>4046</v>
      </c>
      <c r="V31" s="33">
        <f t="shared" si="3"/>
        <v>42742.963923611111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ID","value":"195-07"},{"id":16,"name":"Locomotive ID","value":"4046"},{"id":130,"name":"Impact","value":""},{"id":150,"name":"Time of Event (Mountain Time)","value":"16:08:03"},{"id":151,"name":"Denver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"%USERPROFILE%\AppData\Local\Temp\OnboardLogs"\RTDC4046\*4046*201701072*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"%USERPROFILE%\AppData\Local\Temp\OnboardLogs"\RTDC4046\*4046*201701072* &gt;&gt; 42742-slicedisagreementcheck.txt</v>
      </c>
      <c r="AE31" s="183" t="str">
        <f t="shared" si="8"/>
        <v>start /low /b %USERPROFILE%\Documents\GitHub\eaglep3\Utilities\DownloadLogsFromS3.py --loco 4046 --day 2017-01-07</v>
      </c>
      <c r="AF31" s="1"/>
    </row>
    <row r="32" spans="1:32" x14ac:dyDescent="0.25">
      <c r="A32" s="33">
        <v>42742.701296296298</v>
      </c>
      <c r="B32" s="31" t="s">
        <v>252</v>
      </c>
      <c r="C32" s="31" t="s">
        <v>451</v>
      </c>
      <c r="D32" s="31" t="s">
        <v>49</v>
      </c>
      <c r="E32" s="31" t="s">
        <v>198</v>
      </c>
      <c r="F32" s="44">
        <v>0</v>
      </c>
      <c r="G32" s="44">
        <v>82</v>
      </c>
      <c r="H32" s="44">
        <v>233206</v>
      </c>
      <c r="I32" s="44">
        <v>233289</v>
      </c>
      <c r="J32" s="31" t="s">
        <v>199</v>
      </c>
      <c r="K32" s="44">
        <v>233491</v>
      </c>
      <c r="L32" s="150" t="s">
        <v>50</v>
      </c>
      <c r="M32" s="151">
        <f t="shared" si="0"/>
        <v>106.65600000000001</v>
      </c>
      <c r="N32" s="152" t="str">
        <f>VLOOKUP(C32,'Trips&amp;Operators'!$C$1:$G$99999,5,FALSE)</f>
        <v>BRANNON JEFFREY</v>
      </c>
      <c r="O32" s="179" t="s">
        <v>322</v>
      </c>
      <c r="P32" s="153" t="s">
        <v>904</v>
      </c>
      <c r="Q32" s="31"/>
      <c r="R32" s="96" t="str">
        <f>VLOOKUP(C32,'Train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32" s="99" t="str">
        <f>VLOOKUP(C32,'Train Runs'!$A$13:$AE$9959,22,0)</f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1" t="str">
        <f t="shared" si="1"/>
        <v>"C:\Program Files (x86)\AstroGrep\AstroGrep.exe" /spath="%USERPROFILE%\AppData\Local\Temp\OnboardLogs" /stypes="*4003*201701072*" /stext=" 23:.+((SYSTEM_STATE.+slice.+state.+changed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3">
        <f t="shared" si="3"/>
        <v>42742.992962962962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{"issue":{"subject":"Banner without braking","project_id":79,"tracker_id":40,"status_id":1,"priority_id":2,"assigned_to_id":23,"start_date":"2017-01-07","description":"","custom_fields":[{"id":1,"name":"Subdivision","value":"EC"},{"id":4,"name":"Milepost","value":"23.3491"},{"id":17,"name":"Train ID","value":"199-07"},{"id":16,"name":"Locomotive ID","value":"4003"},{"id":130,"name":"Impact","value":""},{"id":150,"name":"Time of Event (Mountain Time)","value":"16:49:52"},{"id":151,"name":"Denver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"%USERPROFILE%\AppData\Local\Temp\OnboardLogs"\RTDC4003\*4003*201701072*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"%USERPROFILE%\AppData\Local\Temp\OnboardLogs"\RTDC4003\*4003*201701072* &gt;&gt; 42742-slicedisagreementcheck.txt</v>
      </c>
      <c r="AE32" s="183" t="str">
        <f t="shared" si="8"/>
        <v>start /low /b %USERPROFILE%\Documents\GitHub\eaglep3\Utilities\DownloadLogsFromS3.py --loco 4003 --day 2017-01-07</v>
      </c>
      <c r="AF32" s="1"/>
    </row>
    <row r="33" spans="1:32" x14ac:dyDescent="0.25">
      <c r="A33" s="33">
        <v>42742.878854166665</v>
      </c>
      <c r="B33" s="31" t="s">
        <v>226</v>
      </c>
      <c r="C33" s="31" t="s">
        <v>457</v>
      </c>
      <c r="D33" s="31" t="s">
        <v>49</v>
      </c>
      <c r="E33" s="31" t="s">
        <v>198</v>
      </c>
      <c r="F33" s="44">
        <v>0</v>
      </c>
      <c r="G33" s="44">
        <v>76</v>
      </c>
      <c r="H33" s="44">
        <v>233307</v>
      </c>
      <c r="I33" s="44">
        <v>233362</v>
      </c>
      <c r="J33" s="31" t="s">
        <v>199</v>
      </c>
      <c r="K33" s="44">
        <v>233491</v>
      </c>
      <c r="L33" s="150" t="s">
        <v>50</v>
      </c>
      <c r="M33" s="151">
        <f t="shared" si="0"/>
        <v>68.111999999999995</v>
      </c>
      <c r="N33" s="152" t="str">
        <f>VLOOKUP(C33,'Trips&amp;Operators'!$C$1:$G$99999,5,FALSE)</f>
        <v>HILLS DUSTIN</v>
      </c>
      <c r="O33" s="179" t="s">
        <v>195</v>
      </c>
      <c r="P33" s="153"/>
      <c r="Q33" s="31"/>
      <c r="R33" s="96" t="str">
        <f>VLOOKUP(C33,'Train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33" s="99" t="str">
        <f>VLOOKUP(C33,'Train Runs'!$A$13:$AE$9959,22,0)</f>
        <v>https://search-rtdc-monitor-bjffxe2xuh6vdkpspy63sjmuny.us-east-1.es.amazonaws.com/_plugin/kibana/#/discover/Steve-Slow-Train-Analysis-(2080s-and-2083s)?_g=(refreshInterval:(display:Off,section:0,value:0),time:(from:'2017-01-07 19:07:30-700',mode:absolute,to:'2017-01-07 22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1" t="str">
        <f t="shared" si="1"/>
        <v>"C:\Program Files (x86)\AstroGrep\AstroGrep.exe" /spath="%USERPROFILE%\AppData\Local\Temp\OnboardLogs" /stypes="*4042*201701080*" /stext=" 04:.+((SYSTEM_STATE.+slice.+state.+changed )|(ment ac)|(multiple cpu faults)|(system.+state.+changed )|(\[timeout)|(PRM\|1\|D)|(kpr)|(kdp)|(\|lc)|(penalty))" /e /r /s</v>
      </c>
      <c r="U33" s="9" t="str">
        <f t="shared" si="2"/>
        <v>4042</v>
      </c>
      <c r="V33" s="33">
        <f t="shared" si="3"/>
        <v>42743.17052083333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ID","value":"227-07"},{"id":16,"name":"Locomotive ID","value":"4042"},{"id":130,"name":"Impact","value":""},{"id":150,"name":"Time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"%USERPROFILE%\AppData\Local\Temp\OnboardLogs"\RTDC4042\*4042*201701080*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"%USERPROFILE%\AppData\Local\Temp\OnboardLogs"\RTDC4042\*4042*201701080* &gt;&gt; 42742-slicedisagreementcheck.txt</v>
      </c>
      <c r="AE33" s="183" t="str">
        <f t="shared" si="8"/>
        <v>start /low /b %USERPROFILE%\Documents\GitHub\eaglep3\Utilities\DownloadLogsFromS3.py --loco 4042 --day 2017-01-08</v>
      </c>
      <c r="AF33" s="1"/>
    </row>
    <row r="34" spans="1:32" x14ac:dyDescent="0.25">
      <c r="A34" s="33">
        <v>42742.962812500002</v>
      </c>
      <c r="B34" s="31" t="s">
        <v>226</v>
      </c>
      <c r="C34" s="31" t="s">
        <v>458</v>
      </c>
      <c r="D34" s="31" t="s">
        <v>49</v>
      </c>
      <c r="E34" s="31" t="s">
        <v>198</v>
      </c>
      <c r="F34" s="44">
        <v>0</v>
      </c>
      <c r="G34" s="44">
        <v>182</v>
      </c>
      <c r="H34" s="44">
        <v>232509</v>
      </c>
      <c r="I34" s="44">
        <v>232721</v>
      </c>
      <c r="J34" s="31" t="s">
        <v>199</v>
      </c>
      <c r="K34" s="44">
        <v>233491</v>
      </c>
      <c r="L34" s="150" t="s">
        <v>50</v>
      </c>
      <c r="M34" s="151">
        <f t="shared" si="0"/>
        <v>406.56</v>
      </c>
      <c r="N34" s="152" t="str">
        <f>VLOOKUP(C34,'Trips&amp;Operators'!$C$1:$G$99999,5,FALSE)</f>
        <v>HILLS DUSTIN</v>
      </c>
      <c r="O34" s="179" t="s">
        <v>195</v>
      </c>
      <c r="P34" s="153"/>
      <c r="Q34" s="31"/>
      <c r="R34" s="96" t="str">
        <f>VLOOKUP(C34,'Train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34" s="99" t="str">
        <f>VLOOKUP(C34,'Train Runs'!$A$13:$AE$9959,22,0)</f>
        <v>https://search-rtdc-monitor-bjffxe2xuh6vdkpspy63sjmuny.us-east-1.es.amazonaws.com/_plugin/kibana/#/discover/Steve-Slow-Train-Analysis-(2080s-and-2083s)?_g=(refreshInterval:(display:Off,section:0,value:0),time:(from:'2017-01-07 21:06:10-700',mode:absolute,to:'2017-01-08 00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1" t="str">
        <f t="shared" si="1"/>
        <v>"C:\Program Files (x86)\AstroGrep\AstroGrep.exe" /spath="%USERPROFILE%\AppData\Local\Temp\OnboardLogs" /stypes="*4042*201701080*" /stext=" 06:.+((SYSTEM_STATE.+slice.+state.+changed )|(ment ac)|(multiple cpu faults)|(system.+state.+changed )|(\[timeout)|(PRM\|1\|D)|(kpr)|(kdp)|(\|lc)|(penalty))" /e /r /s</v>
      </c>
      <c r="U34" s="9" t="str">
        <f t="shared" si="2"/>
        <v>4042</v>
      </c>
      <c r="V34" s="33">
        <f t="shared" si="3"/>
        <v>42743.254479166666</v>
      </c>
      <c r="W34" s="47" t="str">
        <f t="shared" si="4"/>
        <v>EC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ID","value":"235-07"},{"id":16,"name":"Locomotive ID","value":"4042"},{"id":130,"name":"Impact","value":""},{"id":150,"name":"Time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"%USERPROFILE%\AppData\Local\Temp\OnboardLogs"\RTDC4042\*4042*201701080*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"%USERPROFILE%\AppData\Local\Temp\OnboardLogs"\RTDC4042\*4042*201701080* &gt;&gt; 42742-slicedisagreementcheck.txt</v>
      </c>
      <c r="AE34" s="183" t="str">
        <f t="shared" si="8"/>
        <v>start /low /b %USERPROFILE%\Documents\GitHub\eaglep3\Utilities\DownloadLogsFromS3.py --loco 4042 --day 2017-01-08</v>
      </c>
      <c r="AF34" s="1"/>
    </row>
    <row r="35" spans="1:32" x14ac:dyDescent="0.25">
      <c r="A35" s="33">
        <v>42742.816967592589</v>
      </c>
      <c r="B35" s="31" t="s">
        <v>222</v>
      </c>
      <c r="C35" s="31" t="s">
        <v>455</v>
      </c>
      <c r="D35" s="31" t="s">
        <v>49</v>
      </c>
      <c r="E35" s="31" t="s">
        <v>198</v>
      </c>
      <c r="F35" s="44">
        <v>0</v>
      </c>
      <c r="G35" s="44">
        <v>27</v>
      </c>
      <c r="H35" s="44">
        <v>58961</v>
      </c>
      <c r="I35" s="44">
        <v>58978</v>
      </c>
      <c r="J35" s="31" t="s">
        <v>199</v>
      </c>
      <c r="K35" s="44">
        <v>59048</v>
      </c>
      <c r="L35" s="150" t="s">
        <v>50</v>
      </c>
      <c r="M35" s="151">
        <f t="shared" si="0"/>
        <v>36.96</v>
      </c>
      <c r="N35" s="152" t="str">
        <f>VLOOKUP(C35,'Trips&amp;Operators'!$C$1:$G$99999,5,FALSE)</f>
        <v>HELVIE ADAM</v>
      </c>
      <c r="O35" s="179" t="s">
        <v>195</v>
      </c>
      <c r="P35" s="153"/>
      <c r="Q35" s="31"/>
      <c r="R35" s="96" t="str">
        <f>VLOOKUP(C35,'Train Runs'!$A$13:$AE$9959,31,0)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S35" s="99" t="str">
        <f>VLOOKUP(C35,'Train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18:13:26-700',mode:absolute,to:'2017-01-07 20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5" s="101" t="str">
        <f t="shared" si="1"/>
        <v>"C:\Program Files (x86)\AstroGrep\AstroGrep.exe" /spath="%USERPROFILE%\AppData\Local\Temp\OnboardLogs" /stypes="*4014*201701080*" /stext=" 02:.+((SYSTEM_STATE.+slice.+state.+changed )|(ment ac)|(multiple cpu faults)|(system.+state.+changed )|(\[timeout)|(PRM\|1\|D)|(kpr)|(kdp)|(\|lc)|(penalty))" /e /r /s</v>
      </c>
      <c r="U35" s="9" t="str">
        <f t="shared" si="2"/>
        <v>4014</v>
      </c>
      <c r="V35" s="33">
        <f t="shared" si="3"/>
        <v>42743.108634259253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{"issue":{"subject":"","project_id":79,"tracker_id":40,"status_id":1,"priority_id":2,"assigned_to_id":23,"start_date":"2017-01-07","description":"","custom_fields":[{"id":1,"name":"Subdivision","value":"NW"},{"id":4,"name":"Milepost","value":"5.9048"},{"id":17,"name":"Train ID","value":"1827-07"},{"id":16,"name":"Locomotive ID","value":"4014"},{"id":130,"name":"Impact","value":""},{"id":150,"name":"Time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"%USERPROFILE%\AppData\Local\Temp\OnboardLogs"\RTDC4014\*4014*201701080*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"%USERPROFILE%\AppData\Local\Temp\OnboardLogs"\RTDC4014\*4014*201701080* &gt;&gt; 42742-slicedisagreementcheck.txt</v>
      </c>
      <c r="AE35" s="183" t="str">
        <f t="shared" si="8"/>
        <v>start /low /b %USERPROFILE%\Documents\GitHub\eaglep3\Utilities\DownloadLogsFromS3.py --loco 4014 --day 2017-01-08</v>
      </c>
      <c r="AF35" s="1"/>
    </row>
    <row r="36" spans="1:32" x14ac:dyDescent="0.25">
      <c r="A36" s="33">
        <v>42742.493414351855</v>
      </c>
      <c r="B36" s="31" t="s">
        <v>212</v>
      </c>
      <c r="C36" s="31" t="s">
        <v>442</v>
      </c>
      <c r="D36" s="31" t="s">
        <v>49</v>
      </c>
      <c r="E36" s="31" t="s">
        <v>196</v>
      </c>
      <c r="F36" s="44">
        <v>0</v>
      </c>
      <c r="G36" s="44">
        <v>49</v>
      </c>
      <c r="H36" s="44">
        <v>25543</v>
      </c>
      <c r="I36" s="44">
        <v>25601</v>
      </c>
      <c r="J36" s="31" t="s">
        <v>197</v>
      </c>
      <c r="K36" s="44">
        <v>25696</v>
      </c>
      <c r="L36" s="150" t="s">
        <v>50</v>
      </c>
      <c r="M36" s="151">
        <f t="shared" si="0"/>
        <v>50.16</v>
      </c>
      <c r="N36" s="152" t="str">
        <f>VLOOKUP(C36,'Trips&amp;Operators'!$C$1:$G$99999,5,FALSE)</f>
        <v>DAVIS WENDY</v>
      </c>
      <c r="O36" s="179" t="s">
        <v>195</v>
      </c>
      <c r="P36" s="153"/>
      <c r="Q36" s="31"/>
      <c r="R36" s="96" t="str">
        <f>VLOOKUP(C36,'Train Runs'!$A$13:$AE$9959,31,0)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S36" s="99" t="str">
        <f>VLOOKUP(C36,'Train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6" s="101" t="str">
        <f t="shared" si="1"/>
        <v>"C:\Program Files (x86)\AstroGrep\AstroGrep.exe" /spath="%USERPROFILE%\AppData\Local\Temp\OnboardLogs" /stypes="*4022*201701071*" /stext=" 18:.+((SYSTEM_STATE.+slice.+state.+changed )|(ment ac)|(multiple cpu faults)|(system.+state.+changed )|(\[timeout)|(PRM\|1\|D)|(kpr)|(kdp)|(\|lc)|(penalty))" /e /r /s</v>
      </c>
      <c r="U36" s="9" t="str">
        <f t="shared" si="2"/>
        <v>4022</v>
      </c>
      <c r="V36" s="33">
        <f t="shared" si="3"/>
        <v>42742.785081018519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{"issue":{"subject":"","project_id":79,"tracker_id":40,"status_id":1,"priority_id":2,"assigned_to_id":23,"start_date":"2017-01-07","description":"","custom_fields":[{"id":1,"name":"Subdivision","value":"Other"},{"id":4,"name":"Milepost","value":"2.5696"},{"id":17,"name":"Train ID","value":"53-07"},{"id":16,"name":"Locomotive ID","value":"4022"},{"id":130,"name":"Impact","value":""},{"id":150,"name":"Time of Event (Mountain Time)","value":"11:50:31"},{"id":151,"name":"Denver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"%USERPROFILE%\AppData\Local\Temp\OnboardLogs"\RTDC4022\*4022*201701071*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"%USERPROFILE%\AppData\Local\Temp\OnboardLogs"\RTDC4022\*4022*201701071* &gt;&gt; 42742-slicedisagreementcheck.txt</v>
      </c>
      <c r="AE36" s="183" t="str">
        <f t="shared" si="8"/>
        <v>start /low /b %USERPROFILE%\Documents\GitHub\eaglep3\Utilities\DownloadLogsFromS3.py --loco 4022 --day 2017-01-07</v>
      </c>
      <c r="AF36" s="1"/>
    </row>
    <row r="37" spans="1:32" x14ac:dyDescent="0.25">
      <c r="A37" s="33">
        <v>42742.492488425924</v>
      </c>
      <c r="B37" s="31" t="s">
        <v>212</v>
      </c>
      <c r="C37" s="31" t="s">
        <v>442</v>
      </c>
      <c r="D37" s="31" t="s">
        <v>49</v>
      </c>
      <c r="E37" s="31" t="s">
        <v>443</v>
      </c>
      <c r="F37" s="44">
        <v>0</v>
      </c>
      <c r="G37" s="44">
        <v>56</v>
      </c>
      <c r="H37" s="44">
        <v>24622</v>
      </c>
      <c r="I37" s="44">
        <v>24758</v>
      </c>
      <c r="J37" s="31" t="s">
        <v>361</v>
      </c>
      <c r="K37" s="44">
        <v>24235</v>
      </c>
      <c r="L37" s="150" t="s">
        <v>444</v>
      </c>
      <c r="M37" s="151">
        <f t="shared" si="0"/>
        <v>276.14400000000001</v>
      </c>
      <c r="N37" s="152" t="str">
        <f>VLOOKUP(C37,'Trips&amp;Operators'!$C$1:$G$99999,5,FALSE)</f>
        <v>DAVIS WENDY</v>
      </c>
      <c r="O37" s="179" t="s">
        <v>195</v>
      </c>
      <c r="P37" s="153"/>
      <c r="Q37" s="31"/>
      <c r="R37" s="96" t="str">
        <f>VLOOKUP(C37,'Train Runs'!$A$13:$AE$9959,31,0)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S37" s="99" t="str">
        <f>VLOOKUP(C37,'Train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7" s="101" t="str">
        <f t="shared" si="1"/>
        <v>"C:\Program Files (x86)\AstroGrep\AstroGrep.exe" /spath="%USERPROFILE%\AppData\Local\Temp\OnboardLogs" /stypes="*4022*201701071*" /stext=" 18:.+((SYSTEM_STATE.+slice.+state.+changed )|(ment ac)|(multiple cpu faults)|(system.+state.+changed )|(\[timeout)|(PRM\|1\|D)|(kpr)|(kdp)|(\|lc)|(penalty))" /e /r /s</v>
      </c>
      <c r="U37" s="9" t="str">
        <f t="shared" si="2"/>
        <v>4022</v>
      </c>
      <c r="V37" s="33">
        <f t="shared" si="3"/>
        <v>42742.784155092588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{"issue":{"subject":"","project_id":79,"tracker_id":40,"status_id":1,"priority_id":2,"assigned_to_id":23,"start_date":"2017-01-07","description":"","custom_fields":[{"id":1,"name":"Subdivision","value":"Other"},{"id":4,"name":"Milepost","value":"2.4235"},{"id":17,"name":"Train ID","value":"53-07"},{"id":16,"name":"Locomotive ID","value":"4022"},{"id":130,"name":"Impact","value":""},{"id":150,"name":"Time of Event (Mountain Time)","value":"11:49:11"},{"id":151,"name":"Denver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"%USERPROFILE%\AppData\Local\Temp\OnboardLogs"\RTDC4022\*4022*201701071*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"%USERPROFILE%\AppData\Local\Temp\OnboardLogs"\RTDC4022\*4022*201701071* &gt;&gt; 42742-slicedisagreementcheck.txt</v>
      </c>
      <c r="AE37" s="183" t="str">
        <f t="shared" si="8"/>
        <v>start /low /b %USERPROFILE%\Documents\GitHub\eaglep3\Utilities\DownloadLogsFromS3.py --loco 4022 --day 2017-01-07</v>
      </c>
      <c r="AF37" s="1"/>
    </row>
    <row r="38" spans="1:32" x14ac:dyDescent="0.25">
      <c r="A38" s="33">
        <v>42742.464120370372</v>
      </c>
      <c r="B38" s="31" t="s">
        <v>306</v>
      </c>
      <c r="C38" s="31" t="s">
        <v>438</v>
      </c>
      <c r="D38" s="31" t="s">
        <v>98</v>
      </c>
      <c r="E38" s="31" t="s">
        <v>198</v>
      </c>
      <c r="F38" s="44">
        <v>0</v>
      </c>
      <c r="G38" s="44">
        <v>6</v>
      </c>
      <c r="H38" s="44">
        <v>1</v>
      </c>
      <c r="I38" s="44">
        <v>0</v>
      </c>
      <c r="J38" s="31" t="s">
        <v>199</v>
      </c>
      <c r="K38" s="44">
        <v>1</v>
      </c>
      <c r="L38" s="150" t="s">
        <v>51</v>
      </c>
      <c r="M38" s="151">
        <f t="shared" si="0"/>
        <v>-0.52800000000000002</v>
      </c>
      <c r="N38" s="152" t="str">
        <f>VLOOKUP(C38,'Trips&amp;Operators'!$C$1:$G$99999,5,FALSE)</f>
        <v>KILLION DAVID</v>
      </c>
      <c r="O38" s="179" t="s">
        <v>195</v>
      </c>
      <c r="P38" s="153"/>
      <c r="Q38" s="31"/>
      <c r="R38" s="96" t="str">
        <f>VLOOKUP(C38,'Train Runs'!$A$13:$AE$9959,31,0)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S38" s="99" t="str">
        <f>VLOOKUP(C38,'Train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09:47:29-700',mode:absolute,to:'2017-01-07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8" s="101" t="str">
        <f t="shared" si="1"/>
        <v>"C:\Program Files (x86)\AstroGrep\AstroGrep.exe" /spath="%USERPROFILE%\AppData\Local\Temp\OnboardLogs" /stypes="*4021*201701071*" /stext=" 18:.+((SYSTEM_STATE.+slice.+state.+changed )|(ment ac)|(multiple cpu faults)|(system.+state.+changed )|(\[timeout)|(PRM\|1\|D)|(kpr)|(kdp)|(\|lc)|(penalty))" /e /r /s</v>
      </c>
      <c r="U38" s="9" t="str">
        <f t="shared" si="2"/>
        <v>4021</v>
      </c>
      <c r="V38" s="33">
        <f t="shared" si="3"/>
        <v>42742.755787037036</v>
      </c>
      <c r="W38" s="47" t="str">
        <f t="shared" si="4"/>
        <v>Other</v>
      </c>
      <c r="X38" s="47" t="str">
        <f t="shared" si="5"/>
        <v>OMIT</v>
      </c>
      <c r="Y38" s="115" t="str">
        <f t="shared" si="6"/>
        <v>echo {"issue":{"subject":"","project_id":79,"tracker_id":40,"status_id":1,"priority_id":2,"assigned_to_id":23,"start_date":"2017-01-07","description":"","custom_fields":[{"id":1,"name":"Subdivision","value":"Other"},{"id":4,"name":"Milepost","value":"0.0001"},{"id":17,"name":"Train ID","value":"52-07"},{"id":16,"name":"Locomotive ID","value":"4021"},{"id":130,"name":"Impact","value":""},{"id":150,"name":"Time of Event (Mountain Time)","value":"11:08:20"},{"id":151,"name":"Denver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"%USERPROFILE%\AppData\Local\Temp\OnboardLogs"\RTDC4021\*4021*201701071*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"%USERPROFILE%\AppData\Local\Temp\OnboardLogs"\RTDC4021\*4021*201701071* &gt;&gt; 42742-slicedisagreementcheck.txt</v>
      </c>
      <c r="AE38" s="183" t="str">
        <f t="shared" si="8"/>
        <v>start /low /b %USERPROFILE%\Documents\GitHub\eaglep3\Utilities\DownloadLogsFromS3.py --loco 4021 --day 2017-01-07</v>
      </c>
      <c r="AF38" s="1"/>
    </row>
    <row r="39" spans="1:32" x14ac:dyDescent="0.25">
      <c r="A39" s="33">
        <v>42742.750671296293</v>
      </c>
      <c r="B39" s="31" t="s">
        <v>314</v>
      </c>
      <c r="C39" s="31" t="s">
        <v>452</v>
      </c>
      <c r="D39" s="31" t="s">
        <v>49</v>
      </c>
      <c r="E39" s="31" t="s">
        <v>198</v>
      </c>
      <c r="F39" s="44">
        <v>0</v>
      </c>
      <c r="G39" s="44">
        <v>52</v>
      </c>
      <c r="H39" s="44">
        <v>196</v>
      </c>
      <c r="I39" s="44">
        <v>148</v>
      </c>
      <c r="J39" s="31" t="s">
        <v>199</v>
      </c>
      <c r="K39" s="44">
        <v>1</v>
      </c>
      <c r="L39" s="150" t="s">
        <v>51</v>
      </c>
      <c r="M39" s="151">
        <f t="shared" si="0"/>
        <v>77.616</v>
      </c>
      <c r="N39" s="152" t="str">
        <f>VLOOKUP(C39,'Trips&amp;Operators'!$C$1:$G$99999,5,FALSE)</f>
        <v>STAMBAUGH JAMES</v>
      </c>
      <c r="O39" s="179" t="s">
        <v>195</v>
      </c>
      <c r="P39" s="153"/>
      <c r="Q39" s="31"/>
      <c r="R39" s="96" t="str">
        <f>VLOOKUP(C39,'Train Runs'!$A$13:$AE$9959,31,0)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S39" s="99" t="str">
        <f>VLOOKUP(C39,'Train Runs'!$A$13:$AE$9959,22,0)</f>
        <v>https://search-rtdc-monitor-bjffxe2xuh6vdkpspy63sjmuny.us-east-1.es.amazonaws.com/_plugin/kibana/#/discover/Steve-Slow-Train-Analysis-(2080s-and-2083s)?_g=(refreshInterval:(display:Off,section:0,value:0),time:(from:'2017-01-07 16:51:19-700',mode:absolute,to:'2017-01-07 19:00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1" t="str">
        <f t="shared" si="1"/>
        <v>"C:\Program Files (x86)\AstroGrep\AstroGrep.exe" /spath="%USERPROFILE%\AppData\Local\Temp\OnboardLogs" /stypes="*4032*201701080*" /stext=" 01:.+((SYSTEM_STATE.+slice.+state.+changed )|(ment ac)|(multiple cpu faults)|(system.+state.+changed )|(\[timeout)|(PRM\|1\|D)|(kpr)|(kdp)|(\|lc)|(penalty))" /e /r /s</v>
      </c>
      <c r="U39" s="9" t="str">
        <f t="shared" si="2"/>
        <v>4032</v>
      </c>
      <c r="V39" s="33">
        <f t="shared" si="3"/>
        <v>42743.042337962957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{"issue":{"subject":"","project_id":79,"tracker_id":40,"status_id":1,"priority_id":2,"assigned_to_id":23,"start_date":"2017-01-07","description":"","custom_fields":[{"id":1,"name":"Subdivision","value":"Other"},{"id":4,"name":"Milepost","value":"0.0001"},{"id":17,"name":"Train ID","value":"70-07"},{"id":16,"name":"Locomotive ID","value":"4032"},{"id":130,"name":"Impact","value":""},{"id":150,"name":"Time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"%USERPROFILE%\AppData\Local\Temp\OnboardLogs"\RTDC4032\*4032*201701080*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"%USERPROFILE%\AppData\Local\Temp\OnboardLogs"\RTDC4032\*4032*201701080* &gt;&gt; 42742-slicedisagreementcheck.txt</v>
      </c>
      <c r="AE39" s="183" t="str">
        <f t="shared" si="8"/>
        <v>start /low /b %USERPROFILE%\Documents\GitHub\eaglep3\Utilities\DownloadLogsFromS3.py --loco 4032 --day 2017-01-08</v>
      </c>
      <c r="AF39" s="1"/>
    </row>
    <row r="40" spans="1:32" x14ac:dyDescent="0.25">
      <c r="A40" s="33">
        <v>42742.480497685188</v>
      </c>
      <c r="B40" s="31" t="s">
        <v>314</v>
      </c>
      <c r="C40" s="31" t="s">
        <v>439</v>
      </c>
      <c r="D40" s="31" t="s">
        <v>49</v>
      </c>
      <c r="E40" s="31" t="s">
        <v>198</v>
      </c>
      <c r="F40" s="44">
        <v>0</v>
      </c>
      <c r="G40" s="44">
        <v>31</v>
      </c>
      <c r="H40" s="44">
        <v>897</v>
      </c>
      <c r="I40" s="44">
        <v>871</v>
      </c>
      <c r="J40" s="31" t="s">
        <v>199</v>
      </c>
      <c r="K40" s="44">
        <v>826</v>
      </c>
      <c r="L40" s="150" t="s">
        <v>51</v>
      </c>
      <c r="M40" s="151">
        <f t="shared" si="0"/>
        <v>23.76</v>
      </c>
      <c r="N40" s="152" t="str">
        <f>VLOOKUP(C40,'Trips&amp;Operators'!$C$1:$G$99999,5,FALSE)</f>
        <v>LEVIN SCOTT</v>
      </c>
      <c r="O40" s="179" t="s">
        <v>195</v>
      </c>
      <c r="P40" s="153"/>
      <c r="Q40" s="31"/>
      <c r="R40" s="96" t="str">
        <f>VLOOKUP(C40,'Train Runs'!$A$13:$AE$9959,31,0)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S40" s="99" t="str">
        <f>VLOOKUP(C40,'Train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10:21:42-700',mode:absolute,to:'2017-01-07 12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0" s="101" t="str">
        <f t="shared" si="1"/>
        <v>"C:\Program Files (x86)\AstroGrep\AstroGrep.exe" /spath="%USERPROFILE%\AppData\Local\Temp\OnboardLogs" /stypes="*4032*201701071*" /stext=" 18:.+((SYSTEM_STATE.+slice.+state.+changed )|(ment ac)|(multiple cpu faults)|(system.+state.+changed )|(\[timeout)|(PRM\|1\|D)|(kpr)|(kdp)|(\|lc)|(penalty))" /e /r /s</v>
      </c>
      <c r="U40" s="9" t="str">
        <f t="shared" si="2"/>
        <v>4032</v>
      </c>
      <c r="V40" s="33">
        <f t="shared" si="3"/>
        <v>42742.772164351853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{"issue":{"subject":"","project_id":79,"tracker_id":40,"status_id":1,"priority_id":2,"assigned_to_id":23,"start_date":"2017-01-07","description":"","custom_fields":[{"id":1,"name":"Subdivision","value":"Other"},{"id":4,"name":"Milepost","value":"0.0826"},{"id":17,"name":"Train ID","value":"54-07"},{"id":16,"name":"Locomotive ID","value":"4032"},{"id":130,"name":"Impact","value":""},{"id":150,"name":"Time of Event (Mountain Time)","value":"11:31:55"},{"id":151,"name":"Denver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"%USERPROFILE%\AppData\Local\Temp\OnboardLogs"\RTDC4032\*4032*201701071*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"%USERPROFILE%\AppData\Local\Temp\OnboardLogs"\RTDC4032\*4032*201701071* &gt;&gt; 42742-slicedisagreementcheck.txt</v>
      </c>
      <c r="AE40" s="183" t="str">
        <f t="shared" si="8"/>
        <v>start /low /b %USERPROFILE%\Documents\GitHub\eaglep3\Utilities\DownloadLogsFromS3.py --loco 4032 --day 2017-01-07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3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2017-01-07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242</v>
      </c>
      <c r="B3" s="44" t="str">
        <f>A3&amp;"-"&amp;IF(DAY(Variables!$A$2)&lt;10,0,"")&amp;DAY(Variables!$A$2)</f>
        <v>242-07</v>
      </c>
      <c r="C3" s="154"/>
      <c r="D3" s="159"/>
      <c r="E3" s="31" t="s">
        <v>428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-07%22)),sort:!(Time,asc))</v>
      </c>
      <c r="J3" s="31" t="e">
        <f>VLOOKUP(B3,'Train Runs'!$A$13:$A$99956,1,FALSE)</f>
        <v>#N/A</v>
      </c>
    </row>
    <row r="4" spans="1:11" x14ac:dyDescent="0.25">
      <c r="A4" s="167">
        <v>243</v>
      </c>
      <c r="B4" s="44" t="str">
        <f>A4&amp;"-"&amp;IF(DAY(Variables!$A$2)&lt;10,0,"")&amp;DAY(Variables!$A$2)</f>
        <v>243-07</v>
      </c>
      <c r="C4" s="154"/>
      <c r="D4" s="159"/>
      <c r="E4" s="31" t="s">
        <v>428</v>
      </c>
      <c r="F4" s="22" t="str">
        <f>VLOOKUP(B4,'Trips&amp;Operators'!$C$2:$E$10000,3,FALSE)</f>
        <v>HILLS</v>
      </c>
      <c r="G4" s="22" t="str">
        <f>VLOOKUP(B4,'Trips&amp;Operators'!$C$1:$F$10000,4,FALSE)</f>
        <v>DUSTIN</v>
      </c>
      <c r="H4" s="30" t="str">
        <f>VLOOKUP(B4,'Trips&amp;Operators'!$C$1:$H$10000,5,FALSE)</f>
        <v>HILLS DUSTIN</v>
      </c>
      <c r="I4" s="47" t="str">
        <f t="shared" ref="I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22243-07%22)),sort:!(Time,asc))</v>
      </c>
      <c r="J4" s="31" t="str">
        <f>VLOOKUP(B4,'Train Runs'!$A$13:$A$99956,1,FALSE)</f>
        <v>243-07</v>
      </c>
      <c r="K4" s="21"/>
    </row>
    <row r="5" spans="1:11" x14ac:dyDescent="0.25">
      <c r="A5" s="167">
        <v>245</v>
      </c>
      <c r="B5" s="44" t="str">
        <f>A5&amp;"-"&amp;IF(DAY(Variables!$A$2)&lt;10,0,"")&amp;DAY(Variables!$A$2)</f>
        <v>245-07</v>
      </c>
      <c r="C5" s="154"/>
      <c r="D5" s="159"/>
      <c r="E5" s="31" t="s">
        <v>428</v>
      </c>
      <c r="F5" s="22" t="str">
        <f>VLOOKUP(B5,'Trips&amp;Operators'!$C$2:$E$10000,3,FALSE)</f>
        <v>BROWN</v>
      </c>
      <c r="G5" s="22" t="str">
        <f>VLOOKUP(B5,'Trips&amp;Operators'!$C$1:$F$10000,4,FALSE)</f>
        <v>JACOB</v>
      </c>
      <c r="H5" s="30" t="str">
        <f>VLOOKUP(B5,'Trips&amp;Operators'!$C$1:$H$10000,5,FALSE)</f>
        <v>BROWN JACOB</v>
      </c>
      <c r="I5" s="47" t="str">
        <f t="shared" ref="I5:I9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-07%22)),sort:!(Time,asc))</v>
      </c>
      <c r="J5" s="31" t="e">
        <f>VLOOKUP(B5,'Train Runs'!$A$13:$A$99956,1,FALSE)</f>
        <v>#N/A</v>
      </c>
      <c r="K5" s="21"/>
    </row>
    <row r="6" spans="1:11" x14ac:dyDescent="0.25">
      <c r="A6" s="167">
        <v>246</v>
      </c>
      <c r="B6" s="44" t="str">
        <f>A6&amp;"-"&amp;IF(DAY(Variables!$A$2)&lt;10,0,"")&amp;DAY(Variables!$A$2)</f>
        <v>246-07</v>
      </c>
      <c r="C6" s="154"/>
      <c r="D6" s="159"/>
      <c r="E6" s="31" t="s">
        <v>428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22246-07%22)),sort:!(Time,asc))</v>
      </c>
      <c r="J6" s="31" t="e">
        <f>VLOOKUP(B6,'Train Runs'!$A$13:$A$99956,1,FALSE)</f>
        <v>#N/A</v>
      </c>
      <c r="K6" s="21"/>
    </row>
    <row r="7" spans="1:11" x14ac:dyDescent="0.25">
      <c r="A7" s="167"/>
      <c r="B7" s="44" t="str">
        <f>A7&amp;"-"&amp;IF(DAY(Variables!$A$2)&lt;10,0,"")&amp;DAY(Variables!$A$2)</f>
        <v>-07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31" t="e">
        <f>VLOOKUP(B7,'Train Runs'!$A$13:$A$99956,1,FALSE)</f>
        <v>#N/A</v>
      </c>
      <c r="K7" s="21"/>
    </row>
    <row r="8" spans="1:11" x14ac:dyDescent="0.25">
      <c r="A8" s="167"/>
      <c r="B8" s="44" t="str">
        <f>A8&amp;"-"&amp;IF(DAY(Variables!$A$2)&lt;10,0,"")&amp;DAY(Variables!$A$2)</f>
        <v>-07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31" t="e">
        <f>VLOOKUP(B8,'Train Runs'!$A$13:$A$99956,1,FALSE)</f>
        <v>#N/A</v>
      </c>
      <c r="K8" s="21"/>
    </row>
    <row r="9" spans="1:11" x14ac:dyDescent="0.25">
      <c r="A9" s="167"/>
      <c r="B9" s="44" t="str">
        <f>A9&amp;"-"&amp;IF(DAY(Variables!$A$2)&lt;10,0,"")&amp;DAY(Variables!$A$2)</f>
        <v>-07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31" t="e">
        <f>VLOOKUP(B9,'Train Runs'!$A$13:$A$99956,1,FALSE)</f>
        <v>#N/A</v>
      </c>
      <c r="K9" s="21"/>
    </row>
  </sheetData>
  <autoFilter ref="B2:I2"/>
  <mergeCells count="1">
    <mergeCell ref="B1:F1"/>
  </mergeCells>
  <pageMargins left="0.7" right="0.7" top="0.75" bottom="0.75" header="0.3" footer="0.3"/>
  <pageSetup orientation="portrait" r:id="rId1"/>
  <ignoredErrors>
    <ignoredError sqref="F9:H9 J9 J3 F4:H4 J4 F5:H5 J5 F6:H6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240</v>
      </c>
      <c r="G1" s="8" t="s">
        <v>239</v>
      </c>
    </row>
    <row r="2" spans="1:7" x14ac:dyDescent="0.25">
      <c r="A2" s="8">
        <v>42742.035462962966</v>
      </c>
      <c r="B2" s="21" t="s">
        <v>210</v>
      </c>
      <c r="C2" s="21" t="s">
        <v>461</v>
      </c>
      <c r="D2" s="160">
        <v>2270000</v>
      </c>
      <c r="E2" s="21" t="s">
        <v>282</v>
      </c>
      <c r="F2" s="21" t="s">
        <v>283</v>
      </c>
      <c r="G2" s="8" t="str">
        <f>E2&amp;" "&amp;F2</f>
        <v>BROWN JACOB</v>
      </c>
    </row>
    <row r="3" spans="1:7" x14ac:dyDescent="0.25">
      <c r="A3" s="8">
        <v>42742.049224537041</v>
      </c>
      <c r="B3" s="21" t="s">
        <v>183</v>
      </c>
      <c r="C3" s="21" t="s">
        <v>462</v>
      </c>
      <c r="D3" s="160">
        <v>2680000</v>
      </c>
      <c r="E3" s="21" t="s">
        <v>327</v>
      </c>
      <c r="F3" s="21" t="s">
        <v>328</v>
      </c>
      <c r="G3" s="8" t="str">
        <f t="shared" ref="G3:G66" si="0">E3&amp;" "&amp;F3</f>
        <v>DUNCAN SHEILA</v>
      </c>
    </row>
    <row r="4" spans="1:7" x14ac:dyDescent="0.25">
      <c r="A4" s="8">
        <v>42742.050439814811</v>
      </c>
      <c r="B4" s="21" t="s">
        <v>463</v>
      </c>
      <c r="C4" s="21" t="s">
        <v>464</v>
      </c>
      <c r="D4" s="160">
        <v>2220000</v>
      </c>
      <c r="E4" s="21" t="s">
        <v>280</v>
      </c>
      <c r="F4" s="21" t="s">
        <v>281</v>
      </c>
      <c r="G4" s="8" t="str">
        <f t="shared" si="0"/>
        <v>HILLS DUSTIN</v>
      </c>
    </row>
    <row r="5" spans="1:7" x14ac:dyDescent="0.25">
      <c r="A5" s="8">
        <v>42742.069907407407</v>
      </c>
      <c r="B5" s="21" t="s">
        <v>374</v>
      </c>
      <c r="C5" s="21" t="s">
        <v>465</v>
      </c>
      <c r="D5" s="160">
        <v>2000000</v>
      </c>
      <c r="E5" s="21" t="s">
        <v>207</v>
      </c>
      <c r="F5" s="21" t="s">
        <v>238</v>
      </c>
      <c r="G5" s="8" t="str">
        <f t="shared" si="0"/>
        <v>STAMBAUGH JAMES</v>
      </c>
    </row>
    <row r="6" spans="1:7" x14ac:dyDescent="0.25">
      <c r="A6" s="8">
        <v>42742.077106481483</v>
      </c>
      <c r="B6" s="21" t="s">
        <v>335</v>
      </c>
      <c r="C6" s="21" t="s">
        <v>466</v>
      </c>
      <c r="D6" s="160">
        <v>2270000</v>
      </c>
      <c r="E6" s="21" t="s">
        <v>282</v>
      </c>
      <c r="F6" s="21" t="s">
        <v>283</v>
      </c>
      <c r="G6" s="8" t="str">
        <f t="shared" si="0"/>
        <v>BROWN JACOB</v>
      </c>
    </row>
    <row r="7" spans="1:7" x14ac:dyDescent="0.25">
      <c r="A7" s="8">
        <v>42742.089201388888</v>
      </c>
      <c r="B7" s="21" t="s">
        <v>292</v>
      </c>
      <c r="C7" s="21" t="s">
        <v>467</v>
      </c>
      <c r="D7" s="160">
        <v>2220000</v>
      </c>
      <c r="E7" s="21" t="s">
        <v>280</v>
      </c>
      <c r="F7" s="21" t="s">
        <v>281</v>
      </c>
      <c r="G7" s="8" t="str">
        <f t="shared" si="0"/>
        <v>HILLS DUSTIN</v>
      </c>
    </row>
    <row r="8" spans="1:7" x14ac:dyDescent="0.25">
      <c r="A8" s="8">
        <v>42742.111377314817</v>
      </c>
      <c r="B8" s="21" t="s">
        <v>210</v>
      </c>
      <c r="C8" s="21" t="s">
        <v>185</v>
      </c>
      <c r="D8" s="160">
        <v>2270000</v>
      </c>
      <c r="E8" s="21" t="s">
        <v>282</v>
      </c>
      <c r="F8" s="21" t="s">
        <v>283</v>
      </c>
      <c r="G8" s="8" t="str">
        <f t="shared" si="0"/>
        <v>BROWN JACOB</v>
      </c>
    </row>
    <row r="9" spans="1:7" ht="15.75" thickBot="1" x14ac:dyDescent="0.3">
      <c r="A9" s="25">
        <v>42742.121215277781</v>
      </c>
      <c r="B9" s="21" t="s">
        <v>260</v>
      </c>
      <c r="C9" s="21" t="s">
        <v>468</v>
      </c>
      <c r="D9" s="160">
        <v>2100000</v>
      </c>
      <c r="E9" s="21" t="s">
        <v>336</v>
      </c>
      <c r="F9" s="21" t="s">
        <v>337</v>
      </c>
      <c r="G9" s="8" t="str">
        <f t="shared" si="0"/>
        <v>ISHMAEL JOSEPH</v>
      </c>
    </row>
    <row r="10" spans="1:7" x14ac:dyDescent="0.25">
      <c r="A10" s="8">
        <v>42742.130937499998</v>
      </c>
      <c r="B10" s="21" t="s">
        <v>224</v>
      </c>
      <c r="C10" s="21" t="s">
        <v>429</v>
      </c>
      <c r="D10" s="160">
        <v>2100000</v>
      </c>
      <c r="E10" s="21" t="s">
        <v>336</v>
      </c>
      <c r="F10" s="21" t="s">
        <v>337</v>
      </c>
      <c r="G10" s="8" t="str">
        <f t="shared" si="0"/>
        <v>ISHMAEL JOSEPH</v>
      </c>
    </row>
    <row r="11" spans="1:7" x14ac:dyDescent="0.25">
      <c r="A11" s="8">
        <v>42742.138252314813</v>
      </c>
      <c r="B11" s="21" t="s">
        <v>315</v>
      </c>
      <c r="C11" s="21" t="s">
        <v>469</v>
      </c>
      <c r="D11" s="160">
        <v>2140000</v>
      </c>
      <c r="E11" s="21" t="s">
        <v>366</v>
      </c>
      <c r="F11" s="21" t="s">
        <v>367</v>
      </c>
      <c r="G11" s="8" t="str">
        <f t="shared" si="0"/>
        <v>ROBINSON KADDIBA</v>
      </c>
    </row>
    <row r="12" spans="1:7" x14ac:dyDescent="0.25">
      <c r="A12" s="8">
        <v>42742.1483912037</v>
      </c>
      <c r="B12" s="21" t="s">
        <v>224</v>
      </c>
      <c r="C12" s="21" t="s">
        <v>429</v>
      </c>
      <c r="D12" s="160">
        <v>2100000</v>
      </c>
      <c r="E12" s="21" t="s">
        <v>336</v>
      </c>
      <c r="F12" s="21" t="s">
        <v>337</v>
      </c>
      <c r="G12" s="8" t="str">
        <f t="shared" si="0"/>
        <v>ISHMAEL JOSEPH</v>
      </c>
    </row>
    <row r="13" spans="1:7" x14ac:dyDescent="0.25">
      <c r="A13" s="8">
        <v>42742.14980324074</v>
      </c>
      <c r="B13" s="21" t="s">
        <v>252</v>
      </c>
      <c r="C13" s="21" t="s">
        <v>470</v>
      </c>
      <c r="D13" s="160">
        <v>2140000</v>
      </c>
      <c r="E13" s="21" t="s">
        <v>366</v>
      </c>
      <c r="F13" s="21" t="s">
        <v>367</v>
      </c>
      <c r="G13" s="8" t="str">
        <f t="shared" si="0"/>
        <v>ROBINSON KADDIBA</v>
      </c>
    </row>
    <row r="14" spans="1:7" x14ac:dyDescent="0.25">
      <c r="A14" s="8">
        <v>42742.164131944446</v>
      </c>
      <c r="B14" s="21" t="s">
        <v>298</v>
      </c>
      <c r="C14" s="21" t="s">
        <v>471</v>
      </c>
      <c r="D14" s="160">
        <v>2010000</v>
      </c>
      <c r="E14" s="21" t="s">
        <v>472</v>
      </c>
      <c r="F14" s="21" t="s">
        <v>473</v>
      </c>
      <c r="G14" s="8" t="str">
        <f t="shared" si="0"/>
        <v>MAELZER KURT</v>
      </c>
    </row>
    <row r="15" spans="1:7" x14ac:dyDescent="0.25">
      <c r="A15" s="8">
        <v>42742.168599537035</v>
      </c>
      <c r="B15" s="21" t="s">
        <v>260</v>
      </c>
      <c r="C15" s="21" t="s">
        <v>474</v>
      </c>
      <c r="D15" s="160">
        <v>2100000</v>
      </c>
      <c r="E15" s="21" t="s">
        <v>336</v>
      </c>
      <c r="F15" s="21" t="s">
        <v>337</v>
      </c>
      <c r="G15" s="8" t="str">
        <f t="shared" si="0"/>
        <v>ISHMAEL JOSEPH</v>
      </c>
    </row>
    <row r="16" spans="1:7" x14ac:dyDescent="0.25">
      <c r="A16" s="8">
        <v>42742.174085648148</v>
      </c>
      <c r="B16" s="21" t="s">
        <v>307</v>
      </c>
      <c r="C16" s="21" t="s">
        <v>475</v>
      </c>
      <c r="D16" s="160">
        <v>2010000</v>
      </c>
      <c r="E16" s="21" t="s">
        <v>472</v>
      </c>
      <c r="F16" s="21" t="s">
        <v>473</v>
      </c>
      <c r="G16" s="8" t="str">
        <f t="shared" si="0"/>
        <v>MAELZER KURT</v>
      </c>
    </row>
    <row r="17" spans="1:7" x14ac:dyDescent="0.25">
      <c r="A17" s="8">
        <v>42742.178912037038</v>
      </c>
      <c r="B17" s="21" t="s">
        <v>295</v>
      </c>
      <c r="C17" s="21" t="s">
        <v>476</v>
      </c>
      <c r="D17" s="160">
        <v>1990000</v>
      </c>
      <c r="E17" s="21" t="s">
        <v>477</v>
      </c>
      <c r="F17" s="21" t="s">
        <v>478</v>
      </c>
      <c r="G17" s="8" t="str">
        <f t="shared" si="0"/>
        <v>DAVIS WENDY</v>
      </c>
    </row>
    <row r="18" spans="1:7" x14ac:dyDescent="0.25">
      <c r="A18" s="8">
        <v>42742.186030092591</v>
      </c>
      <c r="B18" s="21" t="s">
        <v>205</v>
      </c>
      <c r="C18" s="21" t="s">
        <v>479</v>
      </c>
      <c r="D18" s="160">
        <v>2110000</v>
      </c>
      <c r="E18" s="21" t="s">
        <v>261</v>
      </c>
      <c r="F18" s="21" t="s">
        <v>262</v>
      </c>
      <c r="G18" s="8" t="str">
        <f t="shared" si="0"/>
        <v>OUN ZACK</v>
      </c>
    </row>
    <row r="19" spans="1:7" x14ac:dyDescent="0.25">
      <c r="A19" s="8">
        <v>42742.187337962961</v>
      </c>
      <c r="B19" s="21" t="s">
        <v>226</v>
      </c>
      <c r="C19" s="21" t="s">
        <v>480</v>
      </c>
      <c r="D19" s="160">
        <v>1990000</v>
      </c>
      <c r="E19" s="21" t="s">
        <v>477</v>
      </c>
      <c r="F19" s="21" t="s">
        <v>478</v>
      </c>
      <c r="G19" s="8" t="str">
        <f t="shared" si="0"/>
        <v>DAVIS WENDY</v>
      </c>
    </row>
    <row r="20" spans="1:7" x14ac:dyDescent="0.25">
      <c r="A20" s="8">
        <v>42742.190682870372</v>
      </c>
      <c r="B20" s="21" t="s">
        <v>315</v>
      </c>
      <c r="C20" s="21" t="s">
        <v>481</v>
      </c>
      <c r="D20" s="160">
        <v>2140000</v>
      </c>
      <c r="E20" s="21" t="s">
        <v>366</v>
      </c>
      <c r="F20" s="21" t="s">
        <v>367</v>
      </c>
      <c r="G20" s="8" t="str">
        <f t="shared" si="0"/>
        <v>ROBINSON KADDIBA</v>
      </c>
    </row>
    <row r="21" spans="1:7" x14ac:dyDescent="0.25">
      <c r="A21" s="8">
        <v>42742.195706018516</v>
      </c>
      <c r="B21" s="21" t="s">
        <v>204</v>
      </c>
      <c r="C21" s="21" t="s">
        <v>482</v>
      </c>
      <c r="D21" s="160">
        <v>2110000</v>
      </c>
      <c r="E21" s="21" t="s">
        <v>261</v>
      </c>
      <c r="F21" s="21" t="s">
        <v>262</v>
      </c>
      <c r="G21" s="8" t="str">
        <f t="shared" si="0"/>
        <v>OUN ZACK</v>
      </c>
    </row>
    <row r="22" spans="1:7" x14ac:dyDescent="0.25">
      <c r="A22" s="27">
        <v>42742.206770833334</v>
      </c>
      <c r="B22" s="21" t="s">
        <v>224</v>
      </c>
      <c r="C22" s="21" t="s">
        <v>483</v>
      </c>
      <c r="D22" s="160">
        <v>890000</v>
      </c>
      <c r="E22" s="21" t="s">
        <v>323</v>
      </c>
      <c r="F22" s="21" t="s">
        <v>324</v>
      </c>
      <c r="G22" s="8" t="str">
        <f t="shared" si="0"/>
        <v>LOZA FIDEL</v>
      </c>
    </row>
    <row r="23" spans="1:7" x14ac:dyDescent="0.25">
      <c r="A23" s="8">
        <v>42742.211898148147</v>
      </c>
      <c r="B23" s="21" t="s">
        <v>259</v>
      </c>
      <c r="C23" s="21" t="s">
        <v>484</v>
      </c>
      <c r="D23" s="160">
        <v>2100000</v>
      </c>
      <c r="E23" s="21" t="s">
        <v>336</v>
      </c>
      <c r="F23" s="21" t="s">
        <v>337</v>
      </c>
      <c r="G23" s="8" t="str">
        <f t="shared" si="0"/>
        <v>ISHMAEL JOSEPH</v>
      </c>
    </row>
    <row r="24" spans="1:7" x14ac:dyDescent="0.25">
      <c r="A24" s="8">
        <v>42742.219872685186</v>
      </c>
      <c r="B24" s="21" t="s">
        <v>298</v>
      </c>
      <c r="C24" s="21" t="s">
        <v>430</v>
      </c>
      <c r="D24" s="160">
        <v>2010000</v>
      </c>
      <c r="E24" s="21" t="s">
        <v>472</v>
      </c>
      <c r="F24" s="21" t="s">
        <v>473</v>
      </c>
      <c r="G24" s="8" t="str">
        <f t="shared" si="0"/>
        <v>MAELZER KURT</v>
      </c>
    </row>
    <row r="25" spans="1:7" x14ac:dyDescent="0.25">
      <c r="A25" s="8">
        <v>42742.221516203703</v>
      </c>
      <c r="B25" s="21" t="s">
        <v>295</v>
      </c>
      <c r="C25" s="21" t="s">
        <v>485</v>
      </c>
      <c r="D25" s="160">
        <v>1990000</v>
      </c>
      <c r="E25" s="21" t="s">
        <v>477</v>
      </c>
      <c r="F25" s="21" t="s">
        <v>478</v>
      </c>
      <c r="G25" s="8" t="str">
        <f t="shared" si="0"/>
        <v>DAVIS WENDY</v>
      </c>
    </row>
    <row r="26" spans="1:7" x14ac:dyDescent="0.25">
      <c r="A26" s="8">
        <v>42742.225659722222</v>
      </c>
      <c r="B26" s="21" t="s">
        <v>252</v>
      </c>
      <c r="C26" s="21" t="s">
        <v>486</v>
      </c>
      <c r="D26" s="160">
        <v>1100000</v>
      </c>
      <c r="E26" s="21" t="s">
        <v>487</v>
      </c>
      <c r="F26" s="21" t="s">
        <v>488</v>
      </c>
      <c r="G26" s="8" t="str">
        <f t="shared" si="0"/>
        <v>GEBRETEKLE DAGNEW</v>
      </c>
    </row>
    <row r="27" spans="1:7" x14ac:dyDescent="0.25">
      <c r="A27" s="8">
        <v>42742.227824074071</v>
      </c>
      <c r="B27" s="21" t="s">
        <v>235</v>
      </c>
      <c r="C27" s="21" t="s">
        <v>489</v>
      </c>
      <c r="D27" s="160">
        <v>2140000</v>
      </c>
      <c r="E27" s="21" t="s">
        <v>366</v>
      </c>
      <c r="F27" s="21" t="s">
        <v>367</v>
      </c>
      <c r="G27" s="8" t="str">
        <f t="shared" si="0"/>
        <v>ROBINSON KADDIBA</v>
      </c>
    </row>
    <row r="28" spans="1:7" x14ac:dyDescent="0.25">
      <c r="A28" s="8">
        <v>42742.232499999998</v>
      </c>
      <c r="B28" s="21" t="s">
        <v>222</v>
      </c>
      <c r="C28" s="21" t="s">
        <v>490</v>
      </c>
      <c r="D28" s="160">
        <v>2260000</v>
      </c>
      <c r="E28" s="21" t="s">
        <v>491</v>
      </c>
      <c r="F28" s="21" t="s">
        <v>492</v>
      </c>
      <c r="G28" s="8" t="str">
        <f t="shared" si="0"/>
        <v>ARVIDSON DANIEL</v>
      </c>
    </row>
    <row r="29" spans="1:7" x14ac:dyDescent="0.25">
      <c r="A29" s="8">
        <v>42742.233310185184</v>
      </c>
      <c r="B29" s="21" t="s">
        <v>205</v>
      </c>
      <c r="C29" s="21" t="s">
        <v>493</v>
      </c>
      <c r="D29" s="160">
        <v>2110000</v>
      </c>
      <c r="E29" s="21" t="s">
        <v>261</v>
      </c>
      <c r="F29" s="21" t="s">
        <v>262</v>
      </c>
      <c r="G29" s="8" t="str">
        <f t="shared" si="0"/>
        <v>OUN ZACK</v>
      </c>
    </row>
    <row r="30" spans="1:7" x14ac:dyDescent="0.25">
      <c r="A30" s="8">
        <v>42742.240659722222</v>
      </c>
      <c r="B30" s="21" t="s">
        <v>250</v>
      </c>
      <c r="C30" s="21" t="s">
        <v>494</v>
      </c>
      <c r="D30" s="160">
        <v>2260000</v>
      </c>
      <c r="E30" s="21" t="s">
        <v>491</v>
      </c>
      <c r="F30" s="21" t="s">
        <v>492</v>
      </c>
      <c r="G30" s="8" t="str">
        <f t="shared" si="0"/>
        <v>ARVIDSON DANIEL</v>
      </c>
    </row>
    <row r="31" spans="1:7" x14ac:dyDescent="0.25">
      <c r="A31" s="8">
        <v>42742.245856481481</v>
      </c>
      <c r="B31" s="21" t="s">
        <v>244</v>
      </c>
      <c r="C31" s="21" t="s">
        <v>495</v>
      </c>
      <c r="D31" s="160">
        <v>890000</v>
      </c>
      <c r="E31" s="21" t="s">
        <v>323</v>
      </c>
      <c r="F31" s="21" t="s">
        <v>324</v>
      </c>
      <c r="G31" s="8" t="str">
        <f t="shared" si="0"/>
        <v>LOZA FIDEL</v>
      </c>
    </row>
    <row r="32" spans="1:7" x14ac:dyDescent="0.25">
      <c r="A32" s="8">
        <v>42742.248159722221</v>
      </c>
      <c r="B32" s="21" t="s">
        <v>202</v>
      </c>
      <c r="C32" s="21" t="s">
        <v>496</v>
      </c>
      <c r="D32" s="160">
        <v>1340000</v>
      </c>
      <c r="E32" s="21" t="s">
        <v>338</v>
      </c>
      <c r="F32" s="21" t="s">
        <v>339</v>
      </c>
      <c r="G32" s="8" t="str">
        <f t="shared" si="0"/>
        <v>BEAM ROSS</v>
      </c>
    </row>
    <row r="33" spans="1:7" x14ac:dyDescent="0.25">
      <c r="A33" s="8">
        <v>42742.253310185188</v>
      </c>
      <c r="B33" s="21" t="s">
        <v>260</v>
      </c>
      <c r="C33" s="21" t="s">
        <v>497</v>
      </c>
      <c r="D33" s="160">
        <v>2100000</v>
      </c>
      <c r="E33" s="21" t="s">
        <v>336</v>
      </c>
      <c r="F33" s="21" t="s">
        <v>337</v>
      </c>
      <c r="G33" s="8" t="str">
        <f t="shared" si="0"/>
        <v>ISHMAEL JOSEPH</v>
      </c>
    </row>
    <row r="34" spans="1:7" x14ac:dyDescent="0.25">
      <c r="A34" s="8">
        <v>42742.255393518521</v>
      </c>
      <c r="B34" s="21" t="s">
        <v>222</v>
      </c>
      <c r="C34" s="21" t="s">
        <v>498</v>
      </c>
      <c r="D34" s="160">
        <v>2260000</v>
      </c>
      <c r="E34" s="21" t="s">
        <v>491</v>
      </c>
      <c r="F34" s="21" t="s">
        <v>492</v>
      </c>
      <c r="G34" s="8" t="str">
        <f t="shared" si="0"/>
        <v>ARVIDSON DANIEL</v>
      </c>
    </row>
    <row r="35" spans="1:7" x14ac:dyDescent="0.25">
      <c r="A35" s="8">
        <v>42742.257951388892</v>
      </c>
      <c r="B35" s="21" t="s">
        <v>226</v>
      </c>
      <c r="C35" s="21" t="s">
        <v>431</v>
      </c>
      <c r="D35" s="160">
        <v>1990000</v>
      </c>
      <c r="E35" s="21" t="s">
        <v>477</v>
      </c>
      <c r="F35" s="21" t="s">
        <v>478</v>
      </c>
      <c r="G35" s="8" t="str">
        <f t="shared" si="0"/>
        <v>DAVIS WENDY</v>
      </c>
    </row>
    <row r="36" spans="1:7" x14ac:dyDescent="0.25">
      <c r="A36" s="8">
        <v>42742.263680555552</v>
      </c>
      <c r="B36" s="21" t="s">
        <v>251</v>
      </c>
      <c r="C36" s="21" t="s">
        <v>499</v>
      </c>
      <c r="D36" s="160">
        <v>1100000</v>
      </c>
      <c r="E36" s="21" t="s">
        <v>487</v>
      </c>
      <c r="F36" s="21" t="s">
        <v>488</v>
      </c>
      <c r="G36" s="8" t="str">
        <f t="shared" si="0"/>
        <v>GEBRETEKLE DAGNEW</v>
      </c>
    </row>
    <row r="37" spans="1:7" x14ac:dyDescent="0.25">
      <c r="A37" s="8">
        <v>42742.268692129626</v>
      </c>
      <c r="B37" s="21" t="s">
        <v>204</v>
      </c>
      <c r="C37" s="21" t="s">
        <v>500</v>
      </c>
      <c r="D37" s="160">
        <v>2110000</v>
      </c>
      <c r="E37" s="21" t="s">
        <v>261</v>
      </c>
      <c r="F37" s="21" t="s">
        <v>262</v>
      </c>
      <c r="G37" s="8" t="str">
        <f t="shared" si="0"/>
        <v>OUN ZACK</v>
      </c>
    </row>
    <row r="38" spans="1:7" x14ac:dyDescent="0.25">
      <c r="A38" s="8">
        <v>42742.272372685184</v>
      </c>
      <c r="B38" s="21" t="s">
        <v>315</v>
      </c>
      <c r="C38" s="21" t="s">
        <v>501</v>
      </c>
      <c r="D38" s="160">
        <v>2140000</v>
      </c>
      <c r="E38" s="21" t="s">
        <v>366</v>
      </c>
      <c r="F38" s="21" t="s">
        <v>367</v>
      </c>
      <c r="G38" s="8" t="str">
        <f t="shared" si="0"/>
        <v>ROBINSON KADDIBA</v>
      </c>
    </row>
    <row r="39" spans="1:7" x14ac:dyDescent="0.25">
      <c r="A39" s="8">
        <v>42742.277499999997</v>
      </c>
      <c r="B39" s="21" t="s">
        <v>224</v>
      </c>
      <c r="C39" s="21" t="s">
        <v>432</v>
      </c>
      <c r="D39" s="160">
        <v>890000</v>
      </c>
      <c r="E39" s="21" t="s">
        <v>323</v>
      </c>
      <c r="F39" s="21" t="s">
        <v>324</v>
      </c>
      <c r="G39" s="8" t="str">
        <f t="shared" si="0"/>
        <v>LOZA FIDEL</v>
      </c>
    </row>
    <row r="40" spans="1:7" x14ac:dyDescent="0.25">
      <c r="A40" s="8">
        <v>42742.277581018519</v>
      </c>
      <c r="B40" s="26" t="s">
        <v>250</v>
      </c>
      <c r="C40" s="21" t="s">
        <v>502</v>
      </c>
      <c r="D40" s="160">
        <v>2260000</v>
      </c>
      <c r="E40" s="21" t="s">
        <v>491</v>
      </c>
      <c r="F40" s="21" t="s">
        <v>492</v>
      </c>
      <c r="G40" s="8" t="str">
        <f t="shared" si="0"/>
        <v>ARVIDSON DANIEL</v>
      </c>
    </row>
    <row r="41" spans="1:7" x14ac:dyDescent="0.25">
      <c r="A41" s="8">
        <v>42742.283645833333</v>
      </c>
      <c r="B41" s="21" t="s">
        <v>208</v>
      </c>
      <c r="C41" s="21" t="s">
        <v>503</v>
      </c>
      <c r="D41" s="160">
        <v>1340000</v>
      </c>
      <c r="E41" s="21" t="s">
        <v>338</v>
      </c>
      <c r="F41" s="21" t="s">
        <v>339</v>
      </c>
      <c r="G41" s="8" t="str">
        <f t="shared" si="0"/>
        <v>BEAM ROSS</v>
      </c>
    </row>
    <row r="42" spans="1:7" x14ac:dyDescent="0.25">
      <c r="A42" s="8">
        <v>42742.285474537035</v>
      </c>
      <c r="B42" s="21" t="s">
        <v>259</v>
      </c>
      <c r="C42" s="21" t="s">
        <v>504</v>
      </c>
      <c r="D42" s="160">
        <v>2100000</v>
      </c>
      <c r="E42" s="21" t="s">
        <v>336</v>
      </c>
      <c r="F42" s="21" t="s">
        <v>337</v>
      </c>
      <c r="G42" s="8" t="str">
        <f t="shared" si="0"/>
        <v>ISHMAEL JOSEPH</v>
      </c>
    </row>
    <row r="43" spans="1:7" x14ac:dyDescent="0.25">
      <c r="A43" s="8">
        <v>42742.295370370368</v>
      </c>
      <c r="B43" s="21" t="s">
        <v>295</v>
      </c>
      <c r="C43" s="21" t="s">
        <v>505</v>
      </c>
      <c r="D43" s="160">
        <v>1990000</v>
      </c>
      <c r="E43" s="21" t="s">
        <v>477</v>
      </c>
      <c r="F43" s="21" t="s">
        <v>478</v>
      </c>
      <c r="G43" s="8" t="str">
        <f t="shared" si="0"/>
        <v>DAVIS WENDY</v>
      </c>
    </row>
    <row r="44" spans="1:7" x14ac:dyDescent="0.25">
      <c r="A44" s="8">
        <v>42742.298645833333</v>
      </c>
      <c r="B44" s="21" t="s">
        <v>252</v>
      </c>
      <c r="C44" s="21" t="s">
        <v>506</v>
      </c>
      <c r="D44" s="160">
        <v>1100000</v>
      </c>
      <c r="E44" s="21" t="s">
        <v>487</v>
      </c>
      <c r="F44" s="21" t="s">
        <v>488</v>
      </c>
      <c r="G44" s="8" t="str">
        <f t="shared" si="0"/>
        <v>GEBRETEKLE DAGNEW</v>
      </c>
    </row>
    <row r="45" spans="1:7" x14ac:dyDescent="0.25">
      <c r="A45" s="8">
        <v>42742.30190972222</v>
      </c>
      <c r="B45" s="21" t="s">
        <v>222</v>
      </c>
      <c r="C45" s="21" t="s">
        <v>507</v>
      </c>
      <c r="D45" s="160">
        <v>2260000</v>
      </c>
      <c r="E45" s="21" t="s">
        <v>491</v>
      </c>
      <c r="F45" s="21" t="s">
        <v>492</v>
      </c>
      <c r="G45" s="8" t="str">
        <f t="shared" si="0"/>
        <v>ARVIDSON DANIEL</v>
      </c>
    </row>
    <row r="46" spans="1:7" x14ac:dyDescent="0.25">
      <c r="A46" s="8">
        <v>42742.30537037037</v>
      </c>
      <c r="B46" s="21" t="s">
        <v>205</v>
      </c>
      <c r="C46" s="21" t="s">
        <v>508</v>
      </c>
      <c r="D46" s="160">
        <v>2110000</v>
      </c>
      <c r="E46" s="21" t="s">
        <v>261</v>
      </c>
      <c r="F46" s="21" t="s">
        <v>262</v>
      </c>
      <c r="G46" s="8" t="str">
        <f t="shared" si="0"/>
        <v>OUN ZACK</v>
      </c>
    </row>
    <row r="47" spans="1:7" x14ac:dyDescent="0.25">
      <c r="A47" s="8">
        <v>42742.310069444444</v>
      </c>
      <c r="B47" s="21" t="s">
        <v>235</v>
      </c>
      <c r="C47" s="21" t="s">
        <v>509</v>
      </c>
      <c r="D47" s="160">
        <v>2140000</v>
      </c>
      <c r="E47" s="21" t="s">
        <v>366</v>
      </c>
      <c r="F47" s="21" t="s">
        <v>367</v>
      </c>
      <c r="G47" s="8" t="str">
        <f t="shared" si="0"/>
        <v>ROBINSON KADDIBA</v>
      </c>
    </row>
    <row r="48" spans="1:7" x14ac:dyDescent="0.25">
      <c r="A48" s="8">
        <v>42742.315393518518</v>
      </c>
      <c r="B48" s="21" t="s">
        <v>244</v>
      </c>
      <c r="C48" s="21" t="s">
        <v>510</v>
      </c>
      <c r="D48" s="160">
        <v>890000</v>
      </c>
      <c r="E48" s="21" t="s">
        <v>323</v>
      </c>
      <c r="F48" s="21" t="s">
        <v>324</v>
      </c>
      <c r="G48" s="8" t="str">
        <f t="shared" si="0"/>
        <v>LOZA FIDEL</v>
      </c>
    </row>
    <row r="49" spans="1:7" x14ac:dyDescent="0.25">
      <c r="A49" s="8">
        <v>42742.318657407406</v>
      </c>
      <c r="B49" s="21" t="s">
        <v>202</v>
      </c>
      <c r="C49" s="21" t="s">
        <v>434</v>
      </c>
      <c r="D49" s="160">
        <v>2010000</v>
      </c>
      <c r="E49" s="21" t="s">
        <v>472</v>
      </c>
      <c r="F49" s="21" t="s">
        <v>473</v>
      </c>
      <c r="G49" s="8" t="str">
        <f t="shared" si="0"/>
        <v>MAELZER KURT</v>
      </c>
    </row>
    <row r="50" spans="1:7" x14ac:dyDescent="0.25">
      <c r="A50" s="8">
        <v>42742.319525462961</v>
      </c>
      <c r="B50" s="21" t="s">
        <v>250</v>
      </c>
      <c r="C50" s="21" t="s">
        <v>511</v>
      </c>
      <c r="D50" s="160">
        <v>2260000</v>
      </c>
      <c r="E50" s="21" t="s">
        <v>491</v>
      </c>
      <c r="F50" s="21" t="s">
        <v>492</v>
      </c>
      <c r="G50" s="8" t="str">
        <f t="shared" si="0"/>
        <v>ARVIDSON DANIEL</v>
      </c>
    </row>
    <row r="51" spans="1:7" x14ac:dyDescent="0.25">
      <c r="A51" s="8">
        <v>42742.321875000001</v>
      </c>
      <c r="B51" s="21" t="s">
        <v>260</v>
      </c>
      <c r="C51" s="21" t="s">
        <v>433</v>
      </c>
      <c r="D51" s="160">
        <v>2100000</v>
      </c>
      <c r="E51" s="21" t="s">
        <v>336</v>
      </c>
      <c r="F51" s="21" t="s">
        <v>337</v>
      </c>
      <c r="G51" s="8" t="str">
        <f t="shared" si="0"/>
        <v>ISHMAEL JOSEPH</v>
      </c>
    </row>
    <row r="52" spans="1:7" x14ac:dyDescent="0.25">
      <c r="A52" s="8">
        <v>42742.328877314816</v>
      </c>
      <c r="B52" s="21" t="s">
        <v>226</v>
      </c>
      <c r="C52" s="21" t="s">
        <v>512</v>
      </c>
      <c r="D52" s="160">
        <v>1990000</v>
      </c>
      <c r="E52" s="21" t="s">
        <v>477</v>
      </c>
      <c r="F52" s="21" t="s">
        <v>478</v>
      </c>
      <c r="G52" s="8" t="str">
        <f t="shared" si="0"/>
        <v>DAVIS WENDY</v>
      </c>
    </row>
    <row r="53" spans="1:7" x14ac:dyDescent="0.25">
      <c r="A53" s="8">
        <v>42742.338796296295</v>
      </c>
      <c r="B53" s="21" t="s">
        <v>251</v>
      </c>
      <c r="C53" s="21" t="s">
        <v>513</v>
      </c>
      <c r="D53" s="160">
        <v>1100000</v>
      </c>
      <c r="E53" s="21" t="s">
        <v>487</v>
      </c>
      <c r="F53" s="21" t="s">
        <v>488</v>
      </c>
      <c r="G53" s="8" t="str">
        <f t="shared" si="0"/>
        <v>GEBRETEKLE DAGNEW</v>
      </c>
    </row>
    <row r="54" spans="1:7" x14ac:dyDescent="0.25">
      <c r="A54" s="8">
        <v>42742.340520833335</v>
      </c>
      <c r="B54" s="21" t="s">
        <v>204</v>
      </c>
      <c r="C54" s="21" t="s">
        <v>514</v>
      </c>
      <c r="D54" s="160">
        <v>2110000</v>
      </c>
      <c r="E54" s="21" t="s">
        <v>261</v>
      </c>
      <c r="F54" s="21" t="s">
        <v>262</v>
      </c>
      <c r="G54" s="8" t="str">
        <f t="shared" si="0"/>
        <v>OUN ZACK</v>
      </c>
    </row>
    <row r="55" spans="1:7" x14ac:dyDescent="0.25">
      <c r="A55" s="8">
        <v>42742.3434837963</v>
      </c>
      <c r="B55" s="21" t="s">
        <v>222</v>
      </c>
      <c r="C55" s="21" t="s">
        <v>515</v>
      </c>
      <c r="D55" s="160">
        <v>2260000</v>
      </c>
      <c r="E55" s="21" t="s">
        <v>491</v>
      </c>
      <c r="F55" s="21" t="s">
        <v>492</v>
      </c>
      <c r="G55" s="8" t="str">
        <f t="shared" si="0"/>
        <v>ARVIDSON DANIEL</v>
      </c>
    </row>
    <row r="56" spans="1:7" x14ac:dyDescent="0.25">
      <c r="A56" s="8">
        <v>42742.344189814816</v>
      </c>
      <c r="B56" s="21" t="s">
        <v>315</v>
      </c>
      <c r="C56" s="21" t="s">
        <v>516</v>
      </c>
      <c r="D56" s="160">
        <v>2140000</v>
      </c>
      <c r="E56" s="21" t="s">
        <v>366</v>
      </c>
      <c r="F56" s="21" t="s">
        <v>367</v>
      </c>
      <c r="G56" s="8" t="str">
        <f t="shared" si="0"/>
        <v>ROBINSON KADDIBA</v>
      </c>
    </row>
    <row r="57" spans="1:7" x14ac:dyDescent="0.25">
      <c r="A57" s="8">
        <v>42742.352210648147</v>
      </c>
      <c r="B57" s="21" t="s">
        <v>224</v>
      </c>
      <c r="C57" s="21" t="s">
        <v>517</v>
      </c>
      <c r="D57" s="160">
        <v>890000</v>
      </c>
      <c r="E57" s="21" t="s">
        <v>323</v>
      </c>
      <c r="F57" s="21" t="s">
        <v>324</v>
      </c>
      <c r="G57" s="8" t="str">
        <f t="shared" si="0"/>
        <v>LOZA FIDEL</v>
      </c>
    </row>
    <row r="58" spans="1:7" x14ac:dyDescent="0.25">
      <c r="A58" s="8">
        <v>42742.355613425927</v>
      </c>
      <c r="B58" s="21" t="s">
        <v>208</v>
      </c>
      <c r="C58" s="21" t="s">
        <v>518</v>
      </c>
      <c r="D58" s="160">
        <v>2010000</v>
      </c>
      <c r="E58" s="21" t="s">
        <v>472</v>
      </c>
      <c r="F58" s="21" t="s">
        <v>473</v>
      </c>
      <c r="G58" s="8" t="str">
        <f t="shared" si="0"/>
        <v>MAELZER KURT</v>
      </c>
    </row>
    <row r="59" spans="1:7" x14ac:dyDescent="0.25">
      <c r="A59" s="8">
        <v>42742.358865740738</v>
      </c>
      <c r="B59" s="21" t="s">
        <v>259</v>
      </c>
      <c r="C59" s="21" t="s">
        <v>519</v>
      </c>
      <c r="D59" s="160">
        <v>2100000</v>
      </c>
      <c r="E59" s="21" t="s">
        <v>336</v>
      </c>
      <c r="F59" s="21" t="s">
        <v>337</v>
      </c>
      <c r="G59" s="8" t="str">
        <f t="shared" si="0"/>
        <v>ISHMAEL JOSEPH</v>
      </c>
    </row>
    <row r="60" spans="1:7" x14ac:dyDescent="0.25">
      <c r="A60" s="8">
        <v>42742.360763888886</v>
      </c>
      <c r="B60" s="21" t="s">
        <v>250</v>
      </c>
      <c r="C60" s="21" t="s">
        <v>520</v>
      </c>
      <c r="D60" s="160">
        <v>2260000</v>
      </c>
      <c r="E60" s="21" t="s">
        <v>491</v>
      </c>
      <c r="F60" s="21" t="s">
        <v>492</v>
      </c>
      <c r="G60" s="8" t="str">
        <f t="shared" si="0"/>
        <v>ARVIDSON DANIEL</v>
      </c>
    </row>
    <row r="61" spans="1:7" x14ac:dyDescent="0.25">
      <c r="A61" s="8">
        <v>42742.368113425924</v>
      </c>
      <c r="B61" s="21" t="s">
        <v>295</v>
      </c>
      <c r="C61" s="21" t="s">
        <v>521</v>
      </c>
      <c r="D61" s="160">
        <v>1990000</v>
      </c>
      <c r="E61" s="21" t="s">
        <v>477</v>
      </c>
      <c r="F61" s="21" t="s">
        <v>478</v>
      </c>
      <c r="G61" s="8" t="str">
        <f t="shared" si="0"/>
        <v>DAVIS WENDY</v>
      </c>
    </row>
    <row r="62" spans="1:7" x14ac:dyDescent="0.25">
      <c r="A62" s="8">
        <v>42742.371168981481</v>
      </c>
      <c r="B62" s="21" t="s">
        <v>252</v>
      </c>
      <c r="C62" s="21" t="s">
        <v>522</v>
      </c>
      <c r="D62" s="160">
        <v>1100000</v>
      </c>
      <c r="E62" s="21" t="s">
        <v>487</v>
      </c>
      <c r="F62" s="21" t="s">
        <v>488</v>
      </c>
      <c r="G62" s="8" t="str">
        <f t="shared" si="0"/>
        <v>GEBRETEKLE DAGNEW</v>
      </c>
    </row>
    <row r="63" spans="1:7" x14ac:dyDescent="0.25">
      <c r="A63" s="8">
        <v>42742.378449074073</v>
      </c>
      <c r="B63" s="21" t="s">
        <v>205</v>
      </c>
      <c r="C63" s="21" t="s">
        <v>523</v>
      </c>
      <c r="D63" s="160">
        <v>2110000</v>
      </c>
      <c r="E63" s="21" t="s">
        <v>261</v>
      </c>
      <c r="F63" s="21" t="s">
        <v>262</v>
      </c>
      <c r="G63" s="8" t="str">
        <f t="shared" si="0"/>
        <v>OUN ZACK</v>
      </c>
    </row>
    <row r="64" spans="1:7" x14ac:dyDescent="0.25">
      <c r="A64" s="27">
        <v>42742.381678240738</v>
      </c>
      <c r="B64" s="21" t="s">
        <v>235</v>
      </c>
      <c r="C64" s="21" t="s">
        <v>436</v>
      </c>
      <c r="D64" s="160">
        <v>2140000</v>
      </c>
      <c r="E64" s="21" t="s">
        <v>366</v>
      </c>
      <c r="F64" s="21" t="s">
        <v>367</v>
      </c>
      <c r="G64" s="8" t="str">
        <f t="shared" si="0"/>
        <v>ROBINSON KADDIBA</v>
      </c>
    </row>
    <row r="65" spans="1:7" x14ac:dyDescent="0.25">
      <c r="A65" s="8">
        <v>42742.38354166667</v>
      </c>
      <c r="B65" s="21" t="s">
        <v>222</v>
      </c>
      <c r="C65" s="21" t="s">
        <v>524</v>
      </c>
      <c r="D65" s="160">
        <v>2260000</v>
      </c>
      <c r="E65" s="21" t="s">
        <v>491</v>
      </c>
      <c r="F65" s="21" t="s">
        <v>492</v>
      </c>
      <c r="G65" s="8" t="str">
        <f t="shared" si="0"/>
        <v>ARVIDSON DANIEL</v>
      </c>
    </row>
    <row r="66" spans="1:7" x14ac:dyDescent="0.25">
      <c r="A66" s="8">
        <v>42742.390104166669</v>
      </c>
      <c r="B66" s="21" t="s">
        <v>244</v>
      </c>
      <c r="C66" s="21" t="s">
        <v>525</v>
      </c>
      <c r="D66" s="160">
        <v>890000</v>
      </c>
      <c r="E66" s="21" t="s">
        <v>323</v>
      </c>
      <c r="F66" s="21" t="s">
        <v>324</v>
      </c>
      <c r="G66" s="8" t="str">
        <f t="shared" si="0"/>
        <v>LOZA FIDEL</v>
      </c>
    </row>
    <row r="67" spans="1:7" x14ac:dyDescent="0.25">
      <c r="A67" s="8">
        <v>42742.390810185185</v>
      </c>
      <c r="B67" s="21" t="s">
        <v>202</v>
      </c>
      <c r="C67" s="21" t="s">
        <v>526</v>
      </c>
      <c r="D67" s="160">
        <v>2010000</v>
      </c>
      <c r="E67" s="21" t="s">
        <v>472</v>
      </c>
      <c r="F67" s="21" t="s">
        <v>473</v>
      </c>
      <c r="G67" s="8" t="str">
        <f t="shared" ref="G67:G130" si="1">E67&amp;" "&amp;F67</f>
        <v>MAELZER KURT</v>
      </c>
    </row>
    <row r="68" spans="1:7" x14ac:dyDescent="0.25">
      <c r="A68" s="8">
        <v>42742.396273148152</v>
      </c>
      <c r="B68" s="21" t="s">
        <v>260</v>
      </c>
      <c r="C68" s="21" t="s">
        <v>527</v>
      </c>
      <c r="D68" s="160">
        <v>2100000</v>
      </c>
      <c r="E68" s="21" t="s">
        <v>336</v>
      </c>
      <c r="F68" s="21" t="s">
        <v>337</v>
      </c>
      <c r="G68" s="8" t="str">
        <f t="shared" si="1"/>
        <v>ISHMAEL JOSEPH</v>
      </c>
    </row>
    <row r="69" spans="1:7" x14ac:dyDescent="0.25">
      <c r="A69" s="8">
        <v>42742.402326388888</v>
      </c>
      <c r="B69" s="21" t="s">
        <v>226</v>
      </c>
      <c r="C69" s="21" t="s">
        <v>528</v>
      </c>
      <c r="D69" s="160">
        <v>1990000</v>
      </c>
      <c r="E69" s="21" t="s">
        <v>477</v>
      </c>
      <c r="F69" s="21" t="s">
        <v>478</v>
      </c>
      <c r="G69" s="8" t="str">
        <f t="shared" si="1"/>
        <v>DAVIS WENDY</v>
      </c>
    </row>
    <row r="70" spans="1:7" x14ac:dyDescent="0.25">
      <c r="A70" s="8">
        <v>42742.402442129627</v>
      </c>
      <c r="B70" s="21" t="s">
        <v>250</v>
      </c>
      <c r="C70" s="21" t="s">
        <v>529</v>
      </c>
      <c r="D70" s="160">
        <v>2260000</v>
      </c>
      <c r="E70" s="21" t="s">
        <v>491</v>
      </c>
      <c r="F70" s="21" t="s">
        <v>492</v>
      </c>
      <c r="G70" s="8" t="str">
        <f t="shared" si="1"/>
        <v>ARVIDSON DANIEL</v>
      </c>
    </row>
    <row r="71" spans="1:7" x14ac:dyDescent="0.25">
      <c r="A71" s="8">
        <v>42742.411909722221</v>
      </c>
      <c r="B71" s="21" t="s">
        <v>251</v>
      </c>
      <c r="C71" s="21" t="s">
        <v>530</v>
      </c>
      <c r="D71" s="160">
        <v>1100000</v>
      </c>
      <c r="E71" s="21" t="s">
        <v>487</v>
      </c>
      <c r="F71" s="21" t="s">
        <v>488</v>
      </c>
      <c r="G71" s="8" t="str">
        <f t="shared" si="1"/>
        <v>GEBRETEKLE DAGNEW</v>
      </c>
    </row>
    <row r="72" spans="1:7" x14ac:dyDescent="0.25">
      <c r="A72" s="8">
        <v>42742.41207175926</v>
      </c>
      <c r="B72" s="21" t="s">
        <v>204</v>
      </c>
      <c r="C72" s="21" t="s">
        <v>531</v>
      </c>
      <c r="D72" s="160">
        <v>2110000</v>
      </c>
      <c r="E72" s="21" t="s">
        <v>261</v>
      </c>
      <c r="F72" s="21" t="s">
        <v>262</v>
      </c>
      <c r="G72" s="8" t="str">
        <f t="shared" si="1"/>
        <v>OUN ZACK</v>
      </c>
    </row>
    <row r="73" spans="1:7" x14ac:dyDescent="0.25">
      <c r="A73" s="8">
        <v>42742.419027777774</v>
      </c>
      <c r="B73" s="21" t="s">
        <v>315</v>
      </c>
      <c r="C73" s="21" t="s">
        <v>437</v>
      </c>
      <c r="D73" s="160">
        <v>2140000</v>
      </c>
      <c r="E73" s="21" t="s">
        <v>366</v>
      </c>
      <c r="F73" s="21" t="s">
        <v>367</v>
      </c>
      <c r="G73" s="8" t="str">
        <f t="shared" si="1"/>
        <v>ROBINSON KADDIBA</v>
      </c>
    </row>
    <row r="74" spans="1:7" x14ac:dyDescent="0.25">
      <c r="A74" s="8">
        <v>42742.42087962963</v>
      </c>
      <c r="B74" s="21" t="s">
        <v>306</v>
      </c>
      <c r="C74" s="21" t="s">
        <v>532</v>
      </c>
      <c r="D74" s="160">
        <v>2360000</v>
      </c>
      <c r="E74" s="21" t="s">
        <v>370</v>
      </c>
      <c r="F74" s="21" t="s">
        <v>371</v>
      </c>
      <c r="G74" s="8" t="str">
        <f t="shared" si="1"/>
        <v>BRANDNER MELINDA</v>
      </c>
    </row>
    <row r="75" spans="1:7" x14ac:dyDescent="0.25">
      <c r="A75" s="8">
        <v>42742.423518518517</v>
      </c>
      <c r="B75" s="21" t="s">
        <v>224</v>
      </c>
      <c r="C75" s="21" t="s">
        <v>533</v>
      </c>
      <c r="D75" s="160">
        <v>890000</v>
      </c>
      <c r="E75" s="21" t="s">
        <v>323</v>
      </c>
      <c r="F75" s="21" t="s">
        <v>324</v>
      </c>
      <c r="G75" s="8" t="str">
        <f t="shared" si="1"/>
        <v>LOZA FIDEL</v>
      </c>
    </row>
    <row r="76" spans="1:7" x14ac:dyDescent="0.25">
      <c r="A76" s="8">
        <v>42742.42465277778</v>
      </c>
      <c r="B76" s="21" t="s">
        <v>222</v>
      </c>
      <c r="C76" s="21" t="s">
        <v>534</v>
      </c>
      <c r="D76" s="160">
        <v>2260000</v>
      </c>
      <c r="E76" s="21" t="s">
        <v>491</v>
      </c>
      <c r="F76" s="21" t="s">
        <v>492</v>
      </c>
      <c r="G76" s="8" t="str">
        <f t="shared" si="1"/>
        <v>ARVIDSON DANIEL</v>
      </c>
    </row>
    <row r="77" spans="1:7" x14ac:dyDescent="0.25">
      <c r="A77" s="8">
        <v>42742.425659722219</v>
      </c>
      <c r="B77" s="21" t="s">
        <v>208</v>
      </c>
      <c r="C77" s="21" t="s">
        <v>535</v>
      </c>
      <c r="D77" s="160">
        <v>2010000</v>
      </c>
      <c r="E77" s="21" t="s">
        <v>472</v>
      </c>
      <c r="F77" s="21" t="s">
        <v>473</v>
      </c>
      <c r="G77" s="8" t="str">
        <f t="shared" si="1"/>
        <v>MAELZER KURT</v>
      </c>
    </row>
    <row r="78" spans="1:7" x14ac:dyDescent="0.25">
      <c r="A78" s="8">
        <v>42742.433495370373</v>
      </c>
      <c r="B78" s="21" t="s">
        <v>259</v>
      </c>
      <c r="C78" s="21" t="s">
        <v>536</v>
      </c>
      <c r="D78" s="160">
        <v>2360000</v>
      </c>
      <c r="E78" s="21" t="s">
        <v>370</v>
      </c>
      <c r="F78" s="21" t="s">
        <v>371</v>
      </c>
      <c r="G78" s="8" t="str">
        <f t="shared" si="1"/>
        <v>BRANDNER MELINDA</v>
      </c>
    </row>
    <row r="79" spans="1:7" x14ac:dyDescent="0.25">
      <c r="A79" s="8">
        <v>42742.434814814813</v>
      </c>
      <c r="B79" s="21" t="s">
        <v>212</v>
      </c>
      <c r="C79" s="21" t="s">
        <v>537</v>
      </c>
      <c r="D79" s="160">
        <v>2100000</v>
      </c>
      <c r="E79" s="21" t="s">
        <v>336</v>
      </c>
      <c r="F79" s="21" t="s">
        <v>337</v>
      </c>
      <c r="G79" s="8" t="str">
        <f t="shared" si="1"/>
        <v>ISHMAEL JOSEPH</v>
      </c>
    </row>
    <row r="80" spans="1:7" x14ac:dyDescent="0.25">
      <c r="A80" s="8">
        <v>42742.441099537034</v>
      </c>
      <c r="B80" s="21" t="s">
        <v>295</v>
      </c>
      <c r="C80" s="21" t="s">
        <v>538</v>
      </c>
      <c r="D80" s="160">
        <v>1990000</v>
      </c>
      <c r="E80" s="21" t="s">
        <v>477</v>
      </c>
      <c r="F80" s="21" t="s">
        <v>478</v>
      </c>
      <c r="G80" s="8" t="str">
        <f t="shared" si="1"/>
        <v>DAVIS WENDY</v>
      </c>
    </row>
    <row r="81" spans="1:7" x14ac:dyDescent="0.25">
      <c r="A81" s="8">
        <v>42742.444780092592</v>
      </c>
      <c r="B81" s="21" t="s">
        <v>252</v>
      </c>
      <c r="C81" s="21" t="s">
        <v>539</v>
      </c>
      <c r="D81" s="160">
        <v>1100000</v>
      </c>
      <c r="E81" s="21" t="s">
        <v>487</v>
      </c>
      <c r="F81" s="21" t="s">
        <v>488</v>
      </c>
      <c r="G81" s="8" t="str">
        <f t="shared" si="1"/>
        <v>GEBRETEKLE DAGNEW</v>
      </c>
    </row>
    <row r="82" spans="1:7" x14ac:dyDescent="0.25">
      <c r="A82" s="8">
        <v>42742.446076388886</v>
      </c>
      <c r="B82" s="21" t="s">
        <v>250</v>
      </c>
      <c r="C82" s="21" t="s">
        <v>540</v>
      </c>
      <c r="D82" s="160">
        <v>2260000</v>
      </c>
      <c r="E82" s="21" t="s">
        <v>491</v>
      </c>
      <c r="F82" s="21" t="s">
        <v>492</v>
      </c>
      <c r="G82" s="8" t="str">
        <f t="shared" si="1"/>
        <v>ARVIDSON DANIEL</v>
      </c>
    </row>
    <row r="83" spans="1:7" x14ac:dyDescent="0.25">
      <c r="A83" s="8">
        <v>42742.450983796298</v>
      </c>
      <c r="B83" s="21" t="s">
        <v>306</v>
      </c>
      <c r="C83" s="21" t="s">
        <v>438</v>
      </c>
      <c r="D83" s="160">
        <v>2030000</v>
      </c>
      <c r="E83" s="21" t="s">
        <v>368</v>
      </c>
      <c r="F83" s="21" t="s">
        <v>369</v>
      </c>
      <c r="G83" s="8" t="str">
        <f t="shared" si="1"/>
        <v>KILLION DAVID</v>
      </c>
    </row>
    <row r="84" spans="1:7" x14ac:dyDescent="0.25">
      <c r="A84" s="8">
        <v>42742.451967592591</v>
      </c>
      <c r="B84" s="21" t="s">
        <v>205</v>
      </c>
      <c r="C84" s="21" t="s">
        <v>440</v>
      </c>
      <c r="D84" s="160">
        <v>2110000</v>
      </c>
      <c r="E84" s="21" t="s">
        <v>261</v>
      </c>
      <c r="F84" s="21" t="s">
        <v>262</v>
      </c>
      <c r="G84" s="8" t="str">
        <f t="shared" si="1"/>
        <v>OUN ZACK</v>
      </c>
    </row>
    <row r="85" spans="1:7" x14ac:dyDescent="0.25">
      <c r="A85" s="8">
        <v>42742.454189814816</v>
      </c>
      <c r="B85" s="21" t="s">
        <v>235</v>
      </c>
      <c r="C85" s="21" t="s">
        <v>441</v>
      </c>
      <c r="D85" s="160">
        <v>880000</v>
      </c>
      <c r="E85" s="21" t="s">
        <v>541</v>
      </c>
      <c r="F85" s="21" t="s">
        <v>247</v>
      </c>
      <c r="G85" s="8" t="str">
        <f t="shared" si="1"/>
        <v>STEWART MICHAEL</v>
      </c>
    </row>
    <row r="86" spans="1:7" x14ac:dyDescent="0.25">
      <c r="A86" s="8">
        <v>42742.463587962964</v>
      </c>
      <c r="B86" s="21" t="s">
        <v>244</v>
      </c>
      <c r="C86" s="21" t="s">
        <v>542</v>
      </c>
      <c r="D86" s="160">
        <v>890000</v>
      </c>
      <c r="E86" s="21" t="s">
        <v>323</v>
      </c>
      <c r="F86" s="21" t="s">
        <v>324</v>
      </c>
      <c r="G86" s="8" t="str">
        <f t="shared" si="1"/>
        <v>LOZA FIDEL</v>
      </c>
    </row>
    <row r="87" spans="1:7" x14ac:dyDescent="0.25">
      <c r="A87" s="8">
        <v>42742.463969907411</v>
      </c>
      <c r="B87" s="21" t="s">
        <v>202</v>
      </c>
      <c r="C87" s="21" t="s">
        <v>543</v>
      </c>
      <c r="D87" s="160">
        <v>2440000</v>
      </c>
      <c r="E87" s="21" t="s">
        <v>544</v>
      </c>
      <c r="F87" s="21" t="s">
        <v>545</v>
      </c>
      <c r="G87" s="8" t="str">
        <f t="shared" si="1"/>
        <v>LOPES KIMBERLY</v>
      </c>
    </row>
    <row r="88" spans="1:7" x14ac:dyDescent="0.25">
      <c r="A88" s="8">
        <v>42742.470543981479</v>
      </c>
      <c r="B88" s="21" t="s">
        <v>260</v>
      </c>
      <c r="C88" s="21" t="s">
        <v>546</v>
      </c>
      <c r="D88" s="160">
        <v>2360000</v>
      </c>
      <c r="E88" s="21" t="s">
        <v>370</v>
      </c>
      <c r="F88" s="21" t="s">
        <v>371</v>
      </c>
      <c r="G88" s="8" t="str">
        <f t="shared" si="1"/>
        <v>BRANDNER MELINDA</v>
      </c>
    </row>
    <row r="89" spans="1:7" x14ac:dyDescent="0.25">
      <c r="A89" s="8">
        <v>42742.470613425925</v>
      </c>
      <c r="B89" s="21" t="s">
        <v>222</v>
      </c>
      <c r="C89" s="21" t="s">
        <v>547</v>
      </c>
      <c r="D89" s="160">
        <v>2260000</v>
      </c>
      <c r="E89" s="21" t="s">
        <v>491</v>
      </c>
      <c r="F89" s="21" t="s">
        <v>492</v>
      </c>
      <c r="G89" s="8" t="str">
        <f t="shared" si="1"/>
        <v>ARVIDSON DANIEL</v>
      </c>
    </row>
    <row r="90" spans="1:7" x14ac:dyDescent="0.25">
      <c r="A90" s="8">
        <v>42742.473912037036</v>
      </c>
      <c r="B90" s="21" t="s">
        <v>314</v>
      </c>
      <c r="C90" s="21" t="s">
        <v>439</v>
      </c>
      <c r="D90" s="160">
        <v>1300000</v>
      </c>
      <c r="E90" s="21" t="s">
        <v>113</v>
      </c>
      <c r="F90" s="21" t="s">
        <v>548</v>
      </c>
      <c r="G90" s="8" t="str">
        <f t="shared" si="1"/>
        <v>LEVIN SCOTT</v>
      </c>
    </row>
    <row r="91" spans="1:7" x14ac:dyDescent="0.25">
      <c r="A91" s="8">
        <v>42742.47761574074</v>
      </c>
      <c r="B91" s="21" t="s">
        <v>226</v>
      </c>
      <c r="C91" s="21" t="s">
        <v>549</v>
      </c>
      <c r="D91" s="160">
        <v>1770000</v>
      </c>
      <c r="E91" s="21" t="s">
        <v>342</v>
      </c>
      <c r="F91" s="21" t="s">
        <v>343</v>
      </c>
      <c r="G91" s="8" t="str">
        <f t="shared" si="1"/>
        <v>BRUDER RICHARD</v>
      </c>
    </row>
    <row r="92" spans="1:7" x14ac:dyDescent="0.25">
      <c r="A92" s="8">
        <v>42742.480763888889</v>
      </c>
      <c r="B92" s="21" t="s">
        <v>212</v>
      </c>
      <c r="C92" s="21" t="s">
        <v>442</v>
      </c>
      <c r="D92" s="160">
        <v>1990000</v>
      </c>
      <c r="E92" s="21" t="s">
        <v>477</v>
      </c>
      <c r="F92" s="21" t="s">
        <v>478</v>
      </c>
      <c r="G92" s="8" t="str">
        <f t="shared" si="1"/>
        <v>DAVIS WENDY</v>
      </c>
    </row>
    <row r="93" spans="1:7" x14ac:dyDescent="0.25">
      <c r="A93" s="8">
        <v>42742.484826388885</v>
      </c>
      <c r="B93" s="21" t="s">
        <v>251</v>
      </c>
      <c r="C93" s="21" t="s">
        <v>550</v>
      </c>
      <c r="D93" s="160">
        <v>1100000</v>
      </c>
      <c r="E93" s="21" t="s">
        <v>487</v>
      </c>
      <c r="F93" s="21" t="s">
        <v>488</v>
      </c>
      <c r="G93" s="8" t="str">
        <f t="shared" si="1"/>
        <v>GEBRETEKLE DAGNEW</v>
      </c>
    </row>
    <row r="94" spans="1:7" x14ac:dyDescent="0.25">
      <c r="A94" s="8">
        <v>42742.485011574077</v>
      </c>
      <c r="B94" s="21" t="s">
        <v>204</v>
      </c>
      <c r="C94" s="21" t="s">
        <v>551</v>
      </c>
      <c r="D94" s="160">
        <v>2030000</v>
      </c>
      <c r="E94" s="21" t="s">
        <v>368</v>
      </c>
      <c r="F94" s="21" t="s">
        <v>369</v>
      </c>
      <c r="G94" s="8" t="str">
        <f t="shared" si="1"/>
        <v>KILLION DAVID</v>
      </c>
    </row>
    <row r="95" spans="1:7" x14ac:dyDescent="0.25">
      <c r="A95" s="8">
        <v>42742.485625000001</v>
      </c>
      <c r="B95" s="21" t="s">
        <v>250</v>
      </c>
      <c r="C95" s="21" t="s">
        <v>552</v>
      </c>
      <c r="D95" s="160">
        <v>2260000</v>
      </c>
      <c r="E95" s="21" t="s">
        <v>491</v>
      </c>
      <c r="F95" s="21" t="s">
        <v>492</v>
      </c>
      <c r="G95" s="8" t="str">
        <f t="shared" si="1"/>
        <v>ARVIDSON DANIEL</v>
      </c>
    </row>
    <row r="96" spans="1:7" x14ac:dyDescent="0.25">
      <c r="A96" s="8">
        <v>42742.495370370372</v>
      </c>
      <c r="B96" s="21" t="s">
        <v>224</v>
      </c>
      <c r="C96" s="21" t="s">
        <v>553</v>
      </c>
      <c r="D96" s="160">
        <v>1300000</v>
      </c>
      <c r="E96" s="21" t="s">
        <v>113</v>
      </c>
      <c r="F96" s="21" t="s">
        <v>548</v>
      </c>
      <c r="G96" s="8" t="str">
        <f t="shared" si="1"/>
        <v>LEVIN SCOTT</v>
      </c>
    </row>
    <row r="97" spans="1:7" x14ac:dyDescent="0.25">
      <c r="A97" s="8">
        <v>42742.495381944442</v>
      </c>
      <c r="B97" s="21" t="s">
        <v>315</v>
      </c>
      <c r="C97" s="21" t="s">
        <v>554</v>
      </c>
      <c r="D97" s="160">
        <v>880000</v>
      </c>
      <c r="E97" s="21" t="s">
        <v>541</v>
      </c>
      <c r="F97" s="21" t="s">
        <v>247</v>
      </c>
      <c r="G97" s="8" t="str">
        <f t="shared" si="1"/>
        <v>STEWART MICHAEL</v>
      </c>
    </row>
    <row r="98" spans="1:7" x14ac:dyDescent="0.25">
      <c r="A98" s="8">
        <v>42742.500914351855</v>
      </c>
      <c r="B98" s="21" t="s">
        <v>208</v>
      </c>
      <c r="C98" s="21" t="s">
        <v>446</v>
      </c>
      <c r="D98" s="160">
        <v>2440000</v>
      </c>
      <c r="E98" s="21" t="s">
        <v>544</v>
      </c>
      <c r="F98" s="21" t="s">
        <v>545</v>
      </c>
      <c r="G98" s="8" t="str">
        <f t="shared" si="1"/>
        <v>LOPES KIMBERLY</v>
      </c>
    </row>
    <row r="99" spans="1:7" x14ac:dyDescent="0.25">
      <c r="A99" s="8">
        <v>42742.501504629632</v>
      </c>
      <c r="B99" s="21" t="s">
        <v>308</v>
      </c>
      <c r="C99" s="21" t="s">
        <v>555</v>
      </c>
      <c r="D99" s="160">
        <v>890000</v>
      </c>
      <c r="E99" s="21" t="s">
        <v>323</v>
      </c>
      <c r="F99" s="21" t="s">
        <v>324</v>
      </c>
      <c r="G99" s="8" t="str">
        <f t="shared" si="1"/>
        <v>LOZA FIDEL</v>
      </c>
    </row>
    <row r="100" spans="1:7" x14ac:dyDescent="0.25">
      <c r="A100" s="8">
        <v>42742.509571759256</v>
      </c>
      <c r="B100" s="21" t="s">
        <v>259</v>
      </c>
      <c r="C100" s="21" t="s">
        <v>556</v>
      </c>
      <c r="D100" s="160">
        <v>2360000</v>
      </c>
      <c r="E100" s="21" t="s">
        <v>370</v>
      </c>
      <c r="F100" s="21" t="s">
        <v>371</v>
      </c>
      <c r="G100" s="8" t="str">
        <f t="shared" si="1"/>
        <v>BRANDNER MELINDA</v>
      </c>
    </row>
    <row r="101" spans="1:7" x14ac:dyDescent="0.25">
      <c r="A101" s="8">
        <v>42742.510243055556</v>
      </c>
      <c r="B101" s="21" t="s">
        <v>222</v>
      </c>
      <c r="C101" s="21" t="s">
        <v>557</v>
      </c>
      <c r="D101" s="160">
        <v>2260000</v>
      </c>
      <c r="E101" s="21" t="s">
        <v>491</v>
      </c>
      <c r="F101" s="21" t="s">
        <v>492</v>
      </c>
      <c r="G101" s="8" t="str">
        <f t="shared" si="1"/>
        <v>ARVIDSON DANIEL</v>
      </c>
    </row>
    <row r="102" spans="1:7" x14ac:dyDescent="0.25">
      <c r="A102" s="8">
        <v>42742.511944444443</v>
      </c>
      <c r="B102" s="21" t="s">
        <v>295</v>
      </c>
      <c r="C102" s="21" t="s">
        <v>558</v>
      </c>
      <c r="D102" s="160">
        <v>1770000</v>
      </c>
      <c r="E102" s="21" t="s">
        <v>342</v>
      </c>
      <c r="F102" s="21" t="s">
        <v>343</v>
      </c>
      <c r="G102" s="8" t="str">
        <f t="shared" si="1"/>
        <v>BRUDER RICHARD</v>
      </c>
    </row>
    <row r="103" spans="1:7" x14ac:dyDescent="0.25">
      <c r="A103" s="8">
        <v>42742.517523148148</v>
      </c>
      <c r="B103" s="21" t="s">
        <v>252</v>
      </c>
      <c r="C103" s="21" t="s">
        <v>445</v>
      </c>
      <c r="D103" s="160">
        <v>2450000</v>
      </c>
      <c r="E103" s="21" t="s">
        <v>344</v>
      </c>
      <c r="F103" s="21" t="s">
        <v>345</v>
      </c>
      <c r="G103" s="8" t="str">
        <f t="shared" si="1"/>
        <v>NELSON ARIANE</v>
      </c>
    </row>
    <row r="104" spans="1:7" x14ac:dyDescent="0.25">
      <c r="A104" s="8">
        <v>42742.524421296293</v>
      </c>
      <c r="B104" s="21" t="s">
        <v>205</v>
      </c>
      <c r="C104" s="21" t="s">
        <v>559</v>
      </c>
      <c r="D104" s="160">
        <v>2030000</v>
      </c>
      <c r="E104" s="21" t="s">
        <v>368</v>
      </c>
      <c r="F104" s="21" t="s">
        <v>369</v>
      </c>
      <c r="G104" s="8" t="str">
        <f t="shared" si="1"/>
        <v>KILLION DAVID</v>
      </c>
    </row>
    <row r="105" spans="1:7" x14ac:dyDescent="0.25">
      <c r="A105" s="8">
        <v>42742.527928240743</v>
      </c>
      <c r="B105" s="21" t="s">
        <v>250</v>
      </c>
      <c r="C105" s="21" t="s">
        <v>560</v>
      </c>
      <c r="D105" s="160">
        <v>2260000</v>
      </c>
      <c r="E105" s="21" t="s">
        <v>491</v>
      </c>
      <c r="F105" s="21" t="s">
        <v>492</v>
      </c>
      <c r="G105" s="8" t="str">
        <f t="shared" si="1"/>
        <v>ARVIDSON DANIEL</v>
      </c>
    </row>
    <row r="106" spans="1:7" x14ac:dyDescent="0.25">
      <c r="A106" s="8">
        <v>42742.529895833337</v>
      </c>
      <c r="B106" s="21" t="s">
        <v>235</v>
      </c>
      <c r="C106" s="21" t="s">
        <v>561</v>
      </c>
      <c r="D106" s="160">
        <v>880000</v>
      </c>
      <c r="E106" s="21" t="s">
        <v>541</v>
      </c>
      <c r="F106" s="21" t="s">
        <v>247</v>
      </c>
      <c r="G106" s="8" t="str">
        <f t="shared" si="1"/>
        <v>STEWART MICHAEL</v>
      </c>
    </row>
    <row r="107" spans="1:7" x14ac:dyDescent="0.25">
      <c r="A107" s="8">
        <v>42742.539236111108</v>
      </c>
      <c r="B107" s="21" t="s">
        <v>244</v>
      </c>
      <c r="C107" s="21" t="s">
        <v>562</v>
      </c>
      <c r="D107" s="160">
        <v>1300000</v>
      </c>
      <c r="E107" s="21" t="s">
        <v>113</v>
      </c>
      <c r="F107" s="21" t="s">
        <v>548</v>
      </c>
      <c r="G107" s="8" t="str">
        <f t="shared" si="1"/>
        <v>LEVIN SCOTT</v>
      </c>
    </row>
    <row r="108" spans="1:7" x14ac:dyDescent="0.25">
      <c r="A108" s="8">
        <v>42742.546770833331</v>
      </c>
      <c r="B108" s="21" t="s">
        <v>202</v>
      </c>
      <c r="C108" s="21" t="s">
        <v>563</v>
      </c>
      <c r="D108" s="160">
        <v>2480000</v>
      </c>
      <c r="E108" s="21" t="s">
        <v>564</v>
      </c>
      <c r="F108" s="21" t="s">
        <v>281</v>
      </c>
      <c r="G108" s="8" t="str">
        <f t="shared" si="1"/>
        <v>WHITED DUSTIN</v>
      </c>
    </row>
    <row r="109" spans="1:7" x14ac:dyDescent="0.25">
      <c r="A109" s="8">
        <v>42742.547824074078</v>
      </c>
      <c r="B109" s="21" t="s">
        <v>222</v>
      </c>
      <c r="C109" s="21" t="s">
        <v>565</v>
      </c>
      <c r="D109" s="160">
        <v>2260000</v>
      </c>
      <c r="E109" s="21" t="s">
        <v>491</v>
      </c>
      <c r="F109" s="21" t="s">
        <v>492</v>
      </c>
      <c r="G109" s="8" t="str">
        <f t="shared" si="1"/>
        <v>ARVIDSON DANIEL</v>
      </c>
    </row>
    <row r="110" spans="1:7" x14ac:dyDescent="0.25">
      <c r="A110" s="8">
        <v>42742.55060185185</v>
      </c>
      <c r="B110" s="21" t="s">
        <v>260</v>
      </c>
      <c r="C110" s="21" t="s">
        <v>566</v>
      </c>
      <c r="D110" s="160">
        <v>2360000</v>
      </c>
      <c r="E110" s="21" t="s">
        <v>370</v>
      </c>
      <c r="F110" s="21" t="s">
        <v>371</v>
      </c>
      <c r="G110" s="8" t="str">
        <f t="shared" si="1"/>
        <v>BRANDNER MELINDA</v>
      </c>
    </row>
    <row r="111" spans="1:7" x14ac:dyDescent="0.25">
      <c r="A111" s="8">
        <v>42742.555868055555</v>
      </c>
      <c r="B111" s="21" t="s">
        <v>226</v>
      </c>
      <c r="C111" s="21" t="s">
        <v>567</v>
      </c>
      <c r="D111" s="160">
        <v>2370000</v>
      </c>
      <c r="E111" s="21" t="s">
        <v>372</v>
      </c>
      <c r="F111" s="21" t="s">
        <v>373</v>
      </c>
      <c r="G111" s="8" t="str">
        <f t="shared" si="1"/>
        <v>DELGADO DIANAH</v>
      </c>
    </row>
    <row r="112" spans="1:7" x14ac:dyDescent="0.25">
      <c r="A112" s="8">
        <v>42742.560601851852</v>
      </c>
      <c r="B112" s="21" t="s">
        <v>251</v>
      </c>
      <c r="C112" s="21" t="s">
        <v>447</v>
      </c>
      <c r="D112" s="160">
        <v>2450000</v>
      </c>
      <c r="E112" s="21" t="s">
        <v>344</v>
      </c>
      <c r="F112" s="21" t="s">
        <v>345</v>
      </c>
      <c r="G112" s="8" t="str">
        <f t="shared" si="1"/>
        <v>NELSON ARIANE</v>
      </c>
    </row>
    <row r="113" spans="1:7" x14ac:dyDescent="0.25">
      <c r="A113" s="8">
        <v>42742.563831018517</v>
      </c>
      <c r="B113" s="21" t="s">
        <v>204</v>
      </c>
      <c r="C113" s="21" t="s">
        <v>568</v>
      </c>
      <c r="D113" s="160">
        <v>2030000</v>
      </c>
      <c r="E113" s="21" t="s">
        <v>368</v>
      </c>
      <c r="F113" s="21" t="s">
        <v>369</v>
      </c>
      <c r="G113" s="8" t="str">
        <f t="shared" si="1"/>
        <v>KILLION DAVID</v>
      </c>
    </row>
    <row r="114" spans="1:7" x14ac:dyDescent="0.25">
      <c r="A114" s="8">
        <v>42742.569120370368</v>
      </c>
      <c r="B114" s="21" t="s">
        <v>315</v>
      </c>
      <c r="C114" s="21" t="s">
        <v>448</v>
      </c>
      <c r="D114" s="160">
        <v>880000</v>
      </c>
      <c r="E114" s="21" t="s">
        <v>541</v>
      </c>
      <c r="F114" s="21" t="s">
        <v>247</v>
      </c>
      <c r="G114" s="8" t="str">
        <f t="shared" si="1"/>
        <v>STEWART MICHAEL</v>
      </c>
    </row>
    <row r="115" spans="1:7" x14ac:dyDescent="0.25">
      <c r="A115" s="8">
        <v>42742.569386574076</v>
      </c>
      <c r="B115" s="21" t="s">
        <v>250</v>
      </c>
      <c r="C115" s="21" t="s">
        <v>569</v>
      </c>
      <c r="D115" s="160">
        <v>2260000</v>
      </c>
      <c r="E115" s="21" t="s">
        <v>491</v>
      </c>
      <c r="F115" s="21" t="s">
        <v>492</v>
      </c>
      <c r="G115" s="8" t="str">
        <f t="shared" si="1"/>
        <v>ARVIDSON DANIEL</v>
      </c>
    </row>
    <row r="116" spans="1:7" x14ac:dyDescent="0.25">
      <c r="A116" s="8">
        <v>42742.573101851849</v>
      </c>
      <c r="B116" s="21" t="s">
        <v>224</v>
      </c>
      <c r="C116" s="21" t="s">
        <v>570</v>
      </c>
      <c r="D116" s="160">
        <v>1300000</v>
      </c>
      <c r="E116" s="21" t="s">
        <v>113</v>
      </c>
      <c r="F116" s="21" t="s">
        <v>548</v>
      </c>
      <c r="G116" s="8" t="str">
        <f t="shared" si="1"/>
        <v>LEVIN SCOTT</v>
      </c>
    </row>
    <row r="117" spans="1:7" x14ac:dyDescent="0.25">
      <c r="A117" s="8">
        <v>42742.586145833331</v>
      </c>
      <c r="B117" s="21" t="s">
        <v>208</v>
      </c>
      <c r="C117" s="21" t="s">
        <v>571</v>
      </c>
      <c r="D117" s="160">
        <v>2480000</v>
      </c>
      <c r="E117" s="21" t="s">
        <v>564</v>
      </c>
      <c r="F117" s="21" t="s">
        <v>281</v>
      </c>
      <c r="G117" s="8" t="str">
        <f t="shared" si="1"/>
        <v>WHITED DUSTIN</v>
      </c>
    </row>
    <row r="118" spans="1:7" x14ac:dyDescent="0.25">
      <c r="A118" s="8">
        <v>42742.58829861111</v>
      </c>
      <c r="B118" s="21" t="s">
        <v>259</v>
      </c>
      <c r="C118" s="21" t="s">
        <v>572</v>
      </c>
      <c r="D118" s="160">
        <v>2360000</v>
      </c>
      <c r="E118" s="21" t="s">
        <v>370</v>
      </c>
      <c r="F118" s="21" t="s">
        <v>371</v>
      </c>
      <c r="G118" s="8" t="str">
        <f t="shared" si="1"/>
        <v>BRANDNER MELINDA</v>
      </c>
    </row>
    <row r="119" spans="1:7" x14ac:dyDescent="0.25">
      <c r="A119" s="8">
        <v>42742.590115740742</v>
      </c>
      <c r="B119" s="21" t="s">
        <v>295</v>
      </c>
      <c r="C119" s="21" t="s">
        <v>573</v>
      </c>
      <c r="D119" s="160">
        <v>2370000</v>
      </c>
      <c r="E119" s="21" t="s">
        <v>372</v>
      </c>
      <c r="F119" s="21" t="s">
        <v>373</v>
      </c>
      <c r="G119" s="8" t="str">
        <f t="shared" si="1"/>
        <v>DELGADO DIANAH</v>
      </c>
    </row>
    <row r="120" spans="1:7" x14ac:dyDescent="0.25">
      <c r="A120" s="8">
        <v>42742.592731481483</v>
      </c>
      <c r="B120" s="21" t="s">
        <v>222</v>
      </c>
      <c r="C120" s="21" t="s">
        <v>574</v>
      </c>
      <c r="D120" s="160">
        <v>1540000</v>
      </c>
      <c r="E120" s="21" t="s">
        <v>340</v>
      </c>
      <c r="F120" s="21" t="s">
        <v>341</v>
      </c>
      <c r="G120" s="8" t="str">
        <f t="shared" si="1"/>
        <v>HELVIE ADAM</v>
      </c>
    </row>
    <row r="121" spans="1:7" x14ac:dyDescent="0.25">
      <c r="A121" s="8">
        <v>42742.599374999998</v>
      </c>
      <c r="B121" s="21" t="s">
        <v>205</v>
      </c>
      <c r="C121" s="21" t="s">
        <v>575</v>
      </c>
      <c r="D121" s="160">
        <v>2030000</v>
      </c>
      <c r="E121" s="21" t="s">
        <v>368</v>
      </c>
      <c r="F121" s="21" t="s">
        <v>369</v>
      </c>
      <c r="G121" s="8" t="str">
        <f t="shared" si="1"/>
        <v>KILLION DAVID</v>
      </c>
    </row>
    <row r="122" spans="1:7" x14ac:dyDescent="0.25">
      <c r="A122" s="8">
        <v>42742.600856481484</v>
      </c>
      <c r="B122" s="26" t="s">
        <v>252</v>
      </c>
      <c r="C122" s="21" t="s">
        <v>576</v>
      </c>
      <c r="D122" s="160">
        <v>1190000</v>
      </c>
      <c r="E122" s="21" t="s">
        <v>325</v>
      </c>
      <c r="F122" s="21" t="s">
        <v>326</v>
      </c>
      <c r="G122" s="8" t="str">
        <f t="shared" si="1"/>
        <v>BRANNON JEFFREY</v>
      </c>
    </row>
    <row r="123" spans="1:7" x14ac:dyDescent="0.25">
      <c r="A123" s="8">
        <v>42742.604409722226</v>
      </c>
      <c r="B123" s="21" t="s">
        <v>235</v>
      </c>
      <c r="C123" s="21" t="s">
        <v>577</v>
      </c>
      <c r="D123" s="160">
        <v>880000</v>
      </c>
      <c r="E123" s="21" t="s">
        <v>541</v>
      </c>
      <c r="F123" s="21" t="s">
        <v>247</v>
      </c>
      <c r="G123" s="8" t="str">
        <f t="shared" si="1"/>
        <v>STEWART MICHAEL</v>
      </c>
    </row>
    <row r="124" spans="1:7" x14ac:dyDescent="0.25">
      <c r="A124" s="8">
        <v>42742.608055555553</v>
      </c>
      <c r="B124" s="21" t="s">
        <v>244</v>
      </c>
      <c r="C124" s="21" t="s">
        <v>449</v>
      </c>
      <c r="D124" s="160">
        <v>1300000</v>
      </c>
      <c r="E124" s="21" t="s">
        <v>113</v>
      </c>
      <c r="F124" s="21" t="s">
        <v>548</v>
      </c>
      <c r="G124" s="8" t="str">
        <f t="shared" si="1"/>
        <v>LEVIN SCOTT</v>
      </c>
    </row>
    <row r="125" spans="1:7" x14ac:dyDescent="0.25">
      <c r="A125" s="8">
        <v>42742.61078703704</v>
      </c>
      <c r="B125" s="21" t="s">
        <v>250</v>
      </c>
      <c r="C125" s="21" t="s">
        <v>578</v>
      </c>
      <c r="D125" s="160">
        <v>1540000</v>
      </c>
      <c r="E125" s="21" t="s">
        <v>340</v>
      </c>
      <c r="F125" s="21" t="s">
        <v>341</v>
      </c>
      <c r="G125" s="8" t="str">
        <f t="shared" si="1"/>
        <v>HELVIE ADAM</v>
      </c>
    </row>
    <row r="126" spans="1:7" x14ac:dyDescent="0.25">
      <c r="A126" s="8">
        <v>42742.622650462959</v>
      </c>
      <c r="B126" s="21" t="s">
        <v>202</v>
      </c>
      <c r="C126" s="21" t="s">
        <v>579</v>
      </c>
      <c r="D126" s="160">
        <v>2440000</v>
      </c>
      <c r="E126" s="21" t="s">
        <v>544</v>
      </c>
      <c r="F126" s="21" t="s">
        <v>545</v>
      </c>
      <c r="G126" s="8" t="str">
        <f t="shared" si="1"/>
        <v>LOPES KIMBERLY</v>
      </c>
    </row>
    <row r="127" spans="1:7" x14ac:dyDescent="0.25">
      <c r="A127" s="8">
        <v>42742.625844907408</v>
      </c>
      <c r="B127" s="21" t="s">
        <v>260</v>
      </c>
      <c r="C127" s="21" t="s">
        <v>580</v>
      </c>
      <c r="D127" s="160">
        <v>2360000</v>
      </c>
      <c r="E127" s="21" t="s">
        <v>370</v>
      </c>
      <c r="F127" s="21" t="s">
        <v>371</v>
      </c>
      <c r="G127" s="8" t="str">
        <f t="shared" si="1"/>
        <v>BRANDNER MELINDA</v>
      </c>
    </row>
    <row r="128" spans="1:7" x14ac:dyDescent="0.25">
      <c r="A128" s="8">
        <v>42742.626006944447</v>
      </c>
      <c r="B128" s="21" t="s">
        <v>226</v>
      </c>
      <c r="C128" s="21" t="s">
        <v>581</v>
      </c>
      <c r="D128" s="160">
        <v>1770000</v>
      </c>
      <c r="E128" s="21" t="s">
        <v>342</v>
      </c>
      <c r="F128" s="21" t="s">
        <v>343</v>
      </c>
      <c r="G128" s="8" t="str">
        <f t="shared" si="1"/>
        <v>BRUDER RICHARD</v>
      </c>
    </row>
    <row r="129" spans="1:7" x14ac:dyDescent="0.25">
      <c r="A129" s="8">
        <v>42742.629062499997</v>
      </c>
      <c r="B129" s="21" t="s">
        <v>260</v>
      </c>
      <c r="C129" s="21" t="s">
        <v>580</v>
      </c>
      <c r="D129" s="160">
        <v>2360000</v>
      </c>
      <c r="E129" s="21" t="s">
        <v>370</v>
      </c>
      <c r="F129" s="21" t="s">
        <v>371</v>
      </c>
      <c r="G129" s="8" t="str">
        <f t="shared" si="1"/>
        <v>BRANDNER MELINDA</v>
      </c>
    </row>
    <row r="130" spans="1:7" x14ac:dyDescent="0.25">
      <c r="A130" s="8">
        <v>42742.633912037039</v>
      </c>
      <c r="B130" s="21" t="s">
        <v>204</v>
      </c>
      <c r="C130" s="21" t="s">
        <v>582</v>
      </c>
      <c r="D130" s="160">
        <v>2030000</v>
      </c>
      <c r="E130" s="21" t="s">
        <v>368</v>
      </c>
      <c r="F130" s="21" t="s">
        <v>369</v>
      </c>
      <c r="G130" s="8" t="str">
        <f t="shared" si="1"/>
        <v>KILLION DAVID</v>
      </c>
    </row>
    <row r="131" spans="1:7" x14ac:dyDescent="0.25">
      <c r="A131" s="8">
        <v>42742.634363425925</v>
      </c>
      <c r="B131" s="21" t="s">
        <v>251</v>
      </c>
      <c r="C131" s="21" t="s">
        <v>583</v>
      </c>
      <c r="D131" s="160">
        <v>1190000</v>
      </c>
      <c r="E131" s="21" t="s">
        <v>325</v>
      </c>
      <c r="F131" s="21" t="s">
        <v>326</v>
      </c>
      <c r="G131" s="8" t="str">
        <f t="shared" ref="G131:G194" si="2">E131&amp;" "&amp;F131</f>
        <v>BRANNON JEFFREY</v>
      </c>
    </row>
    <row r="132" spans="1:7" x14ac:dyDescent="0.25">
      <c r="A132" s="8">
        <v>42742.637499999997</v>
      </c>
      <c r="B132" s="21" t="s">
        <v>222</v>
      </c>
      <c r="C132" s="21" t="s">
        <v>584</v>
      </c>
      <c r="D132" s="160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42742.642118055555</v>
      </c>
      <c r="B133" s="21" t="s">
        <v>315</v>
      </c>
      <c r="C133" s="21" t="s">
        <v>585</v>
      </c>
      <c r="D133" s="160">
        <v>880000</v>
      </c>
      <c r="E133" s="21" t="s">
        <v>541</v>
      </c>
      <c r="F133" s="21" t="s">
        <v>247</v>
      </c>
      <c r="G133" s="8" t="str">
        <f t="shared" si="2"/>
        <v>STEWART MICHAEL</v>
      </c>
    </row>
    <row r="134" spans="1:7" x14ac:dyDescent="0.25">
      <c r="A134" s="8">
        <v>42742.643923611111</v>
      </c>
      <c r="B134" s="21" t="s">
        <v>224</v>
      </c>
      <c r="C134" s="21" t="s">
        <v>450</v>
      </c>
      <c r="D134" s="160">
        <v>1300000</v>
      </c>
      <c r="E134" s="21" t="s">
        <v>113</v>
      </c>
      <c r="F134" s="21" t="s">
        <v>548</v>
      </c>
      <c r="G134" s="8" t="str">
        <f t="shared" si="2"/>
        <v>LEVIN SCOTT</v>
      </c>
    </row>
    <row r="135" spans="1:7" x14ac:dyDescent="0.25">
      <c r="A135" s="8">
        <v>42742.651967592596</v>
      </c>
      <c r="B135" s="21" t="s">
        <v>250</v>
      </c>
      <c r="C135" s="21" t="s">
        <v>586</v>
      </c>
      <c r="D135" s="160">
        <v>1540000</v>
      </c>
      <c r="E135" s="21" t="s">
        <v>340</v>
      </c>
      <c r="F135" s="21" t="s">
        <v>341</v>
      </c>
      <c r="G135" s="8" t="str">
        <f t="shared" si="2"/>
        <v>HELVIE ADAM</v>
      </c>
    </row>
    <row r="136" spans="1:7" x14ac:dyDescent="0.25">
      <c r="A136" s="8">
        <v>42742.652395833335</v>
      </c>
      <c r="B136" s="21" t="s">
        <v>307</v>
      </c>
      <c r="C136" s="21" t="s">
        <v>587</v>
      </c>
      <c r="D136" s="160">
        <v>2470000</v>
      </c>
      <c r="E136" s="21" t="s">
        <v>588</v>
      </c>
      <c r="F136" s="21" t="s">
        <v>589</v>
      </c>
      <c r="G136" s="8" t="str">
        <f t="shared" si="2"/>
        <v>ROMERO CHAD</v>
      </c>
    </row>
    <row r="137" spans="1:7" x14ac:dyDescent="0.25">
      <c r="A137" s="8">
        <v>42742.654282407406</v>
      </c>
      <c r="B137" s="21" t="s">
        <v>208</v>
      </c>
      <c r="C137" s="21" t="s">
        <v>590</v>
      </c>
      <c r="D137" s="160">
        <v>2440000</v>
      </c>
      <c r="E137" s="21" t="s">
        <v>544</v>
      </c>
      <c r="F137" s="21" t="s">
        <v>545</v>
      </c>
      <c r="G137" s="8" t="str">
        <f t="shared" si="2"/>
        <v>LOPES KIMBERLY</v>
      </c>
    </row>
    <row r="138" spans="1:7" x14ac:dyDescent="0.25">
      <c r="A138" s="8">
        <v>42742.66302083333</v>
      </c>
      <c r="B138" s="21" t="s">
        <v>295</v>
      </c>
      <c r="C138" s="21" t="s">
        <v>591</v>
      </c>
      <c r="D138" s="160">
        <v>1770000</v>
      </c>
      <c r="E138" s="21" t="s">
        <v>342</v>
      </c>
      <c r="F138" s="21" t="s">
        <v>343</v>
      </c>
      <c r="G138" s="8" t="str">
        <f t="shared" si="2"/>
        <v>BRUDER RICHARD</v>
      </c>
    </row>
    <row r="139" spans="1:7" x14ac:dyDescent="0.25">
      <c r="A139" s="8">
        <v>42742.671365740738</v>
      </c>
      <c r="B139" s="21" t="s">
        <v>252</v>
      </c>
      <c r="C139" s="21" t="s">
        <v>451</v>
      </c>
      <c r="D139" s="160">
        <v>1190000</v>
      </c>
      <c r="E139" s="21" t="s">
        <v>325</v>
      </c>
      <c r="F139" s="21" t="s">
        <v>326</v>
      </c>
      <c r="G139" s="8" t="str">
        <f t="shared" si="2"/>
        <v>BRANNON JEFFREY</v>
      </c>
    </row>
    <row r="140" spans="1:7" x14ac:dyDescent="0.25">
      <c r="A140" s="8">
        <v>42742.674004629633</v>
      </c>
      <c r="B140" s="21" t="s">
        <v>205</v>
      </c>
      <c r="C140" s="21" t="s">
        <v>592</v>
      </c>
      <c r="D140" s="160">
        <v>2030000</v>
      </c>
      <c r="E140" s="21" t="s">
        <v>368</v>
      </c>
      <c r="F140" s="21" t="s">
        <v>369</v>
      </c>
      <c r="G140" s="8" t="str">
        <f t="shared" si="2"/>
        <v>KILLION DAVID</v>
      </c>
    </row>
    <row r="141" spans="1:7" x14ac:dyDescent="0.25">
      <c r="A141" s="8">
        <v>42742.677418981482</v>
      </c>
      <c r="B141" s="21" t="s">
        <v>222</v>
      </c>
      <c r="C141" s="21" t="s">
        <v>593</v>
      </c>
      <c r="D141" s="160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42742.677511574075</v>
      </c>
      <c r="B142" s="21" t="s">
        <v>235</v>
      </c>
      <c r="C142" s="21" t="s">
        <v>594</v>
      </c>
      <c r="D142" s="160">
        <v>880000</v>
      </c>
      <c r="E142" s="21" t="s">
        <v>541</v>
      </c>
      <c r="F142" s="21" t="s">
        <v>247</v>
      </c>
      <c r="G142" s="8" t="str">
        <f t="shared" si="2"/>
        <v>STEWART MICHAEL</v>
      </c>
    </row>
    <row r="143" spans="1:7" x14ac:dyDescent="0.25">
      <c r="A143" s="8">
        <v>42742.684398148151</v>
      </c>
      <c r="B143" s="21" t="s">
        <v>244</v>
      </c>
      <c r="C143" s="21" t="s">
        <v>595</v>
      </c>
      <c r="D143" s="160">
        <v>1300000</v>
      </c>
      <c r="E143" s="21" t="s">
        <v>113</v>
      </c>
      <c r="F143" s="21" t="s">
        <v>548</v>
      </c>
      <c r="G143" s="8" t="str">
        <f t="shared" si="2"/>
        <v>LEVIN SCOTT</v>
      </c>
    </row>
    <row r="144" spans="1:7" x14ac:dyDescent="0.25">
      <c r="A144" s="8">
        <v>42742.684432870374</v>
      </c>
      <c r="B144" s="21" t="s">
        <v>305</v>
      </c>
      <c r="C144" s="21" t="s">
        <v>596</v>
      </c>
      <c r="D144" s="160">
        <v>2470000</v>
      </c>
      <c r="E144" s="21" t="s">
        <v>588</v>
      </c>
      <c r="F144" s="21" t="s">
        <v>589</v>
      </c>
      <c r="G144" s="8" t="str">
        <f t="shared" si="2"/>
        <v>ROMERO CHAD</v>
      </c>
    </row>
    <row r="145" spans="1:7" x14ac:dyDescent="0.25">
      <c r="A145" s="8">
        <v>42742.686793981484</v>
      </c>
      <c r="B145" s="21" t="s">
        <v>202</v>
      </c>
      <c r="C145" s="21" t="s">
        <v>597</v>
      </c>
      <c r="D145" s="160">
        <v>2440000</v>
      </c>
      <c r="E145" s="21" t="s">
        <v>544</v>
      </c>
      <c r="F145" s="21" t="s">
        <v>545</v>
      </c>
      <c r="G145" s="8" t="str">
        <f t="shared" si="2"/>
        <v>LOPES KIMBERLY</v>
      </c>
    </row>
    <row r="146" spans="1:7" x14ac:dyDescent="0.25">
      <c r="A146" s="8">
        <v>42742.693657407406</v>
      </c>
      <c r="B146" s="21" t="s">
        <v>250</v>
      </c>
      <c r="C146" s="21" t="s">
        <v>598</v>
      </c>
      <c r="D146" s="160">
        <v>1540000</v>
      </c>
      <c r="E146" s="21" t="s">
        <v>340</v>
      </c>
      <c r="F146" s="21" t="s">
        <v>341</v>
      </c>
      <c r="G146" s="8" t="str">
        <f t="shared" si="2"/>
        <v>HELVIE ADAM</v>
      </c>
    </row>
    <row r="147" spans="1:7" x14ac:dyDescent="0.25">
      <c r="A147" s="8">
        <v>42742.694351851853</v>
      </c>
      <c r="B147" s="21" t="s">
        <v>226</v>
      </c>
      <c r="C147" s="21" t="s">
        <v>599</v>
      </c>
      <c r="D147" s="160">
        <v>1770000</v>
      </c>
      <c r="E147" s="21" t="s">
        <v>342</v>
      </c>
      <c r="F147" s="21" t="s">
        <v>343</v>
      </c>
      <c r="G147" s="8" t="str">
        <f t="shared" si="2"/>
        <v>BRUDER RICHARD</v>
      </c>
    </row>
    <row r="148" spans="1:7" x14ac:dyDescent="0.25">
      <c r="A148" s="8">
        <v>42742.704351851855</v>
      </c>
      <c r="B148" s="21" t="s">
        <v>204</v>
      </c>
      <c r="C148" s="21" t="s">
        <v>600</v>
      </c>
      <c r="D148" s="160">
        <v>2030000</v>
      </c>
      <c r="E148" s="21" t="s">
        <v>368</v>
      </c>
      <c r="F148" s="21" t="s">
        <v>369</v>
      </c>
      <c r="G148" s="8" t="str">
        <f t="shared" si="2"/>
        <v>KILLION DAVID</v>
      </c>
    </row>
    <row r="149" spans="1:7" x14ac:dyDescent="0.25">
      <c r="A149" s="8">
        <v>42742.705648148149</v>
      </c>
      <c r="B149" s="21" t="s">
        <v>251</v>
      </c>
      <c r="C149" s="21" t="s">
        <v>601</v>
      </c>
      <c r="D149" s="160">
        <v>1190000</v>
      </c>
      <c r="E149" s="21" t="s">
        <v>325</v>
      </c>
      <c r="F149" s="21" t="s">
        <v>326</v>
      </c>
      <c r="G149" s="8" t="str">
        <f t="shared" si="2"/>
        <v>BRANNON JEFFREY</v>
      </c>
    </row>
    <row r="150" spans="1:7" x14ac:dyDescent="0.25">
      <c r="A150" s="8">
        <v>42742.713379629633</v>
      </c>
      <c r="B150" s="21" t="s">
        <v>315</v>
      </c>
      <c r="C150" s="21" t="s">
        <v>602</v>
      </c>
      <c r="D150" s="160">
        <v>880000</v>
      </c>
      <c r="E150" s="21" t="s">
        <v>541</v>
      </c>
      <c r="F150" s="21" t="s">
        <v>247</v>
      </c>
      <c r="G150" s="8" t="str">
        <f t="shared" si="2"/>
        <v>STEWART MICHAEL</v>
      </c>
    </row>
    <row r="151" spans="1:7" x14ac:dyDescent="0.25">
      <c r="A151" s="8">
        <v>42742.716145833336</v>
      </c>
      <c r="B151" s="21" t="s">
        <v>224</v>
      </c>
      <c r="C151" s="21" t="s">
        <v>603</v>
      </c>
      <c r="D151" s="160">
        <v>1300000</v>
      </c>
      <c r="E151" s="21" t="s">
        <v>113</v>
      </c>
      <c r="F151" s="21" t="s">
        <v>548</v>
      </c>
      <c r="G151" s="8" t="str">
        <f t="shared" si="2"/>
        <v>LEVIN SCOTT</v>
      </c>
    </row>
    <row r="152" spans="1:7" x14ac:dyDescent="0.25">
      <c r="A152" s="8">
        <v>42742.716874999998</v>
      </c>
      <c r="B152" s="21" t="s">
        <v>208</v>
      </c>
      <c r="C152" s="21" t="s">
        <v>604</v>
      </c>
      <c r="D152" s="160">
        <v>2440000</v>
      </c>
      <c r="E152" s="21" t="s">
        <v>544</v>
      </c>
      <c r="F152" s="21" t="s">
        <v>545</v>
      </c>
      <c r="G152" s="8" t="str">
        <f t="shared" si="2"/>
        <v>LOPES KIMBERLY</v>
      </c>
    </row>
    <row r="153" spans="1:7" x14ac:dyDescent="0.25">
      <c r="A153" s="8">
        <v>42742.721724537034</v>
      </c>
      <c r="B153" s="21" t="s">
        <v>222</v>
      </c>
      <c r="C153" s="21" t="s">
        <v>605</v>
      </c>
      <c r="D153" s="160">
        <v>1540000</v>
      </c>
      <c r="E153" s="21" t="s">
        <v>340</v>
      </c>
      <c r="F153" s="21" t="s">
        <v>341</v>
      </c>
      <c r="G153" s="8" t="str">
        <f t="shared" si="2"/>
        <v>HELVIE ADAM</v>
      </c>
    </row>
    <row r="154" spans="1:7" x14ac:dyDescent="0.25">
      <c r="A154" s="8">
        <v>42742.726342592592</v>
      </c>
      <c r="B154" s="21" t="s">
        <v>307</v>
      </c>
      <c r="C154" s="21" t="s">
        <v>606</v>
      </c>
      <c r="D154" s="160">
        <v>2360000</v>
      </c>
      <c r="E154" s="21" t="s">
        <v>370</v>
      </c>
      <c r="F154" s="21" t="s">
        <v>371</v>
      </c>
      <c r="G154" s="8" t="str">
        <f t="shared" si="2"/>
        <v>BRANDNER MELINDA</v>
      </c>
    </row>
    <row r="155" spans="1:7" x14ac:dyDescent="0.25">
      <c r="A155" s="8">
        <v>42742.728888888887</v>
      </c>
      <c r="B155" s="21" t="s">
        <v>259</v>
      </c>
      <c r="C155" s="21" t="s">
        <v>607</v>
      </c>
      <c r="D155" s="160">
        <v>2370000</v>
      </c>
      <c r="E155" s="21" t="s">
        <v>372</v>
      </c>
      <c r="F155" s="21" t="s">
        <v>373</v>
      </c>
      <c r="G155" s="8" t="str">
        <f t="shared" si="2"/>
        <v>DELGADO DIANAH</v>
      </c>
    </row>
    <row r="156" spans="1:7" x14ac:dyDescent="0.25">
      <c r="A156" s="8">
        <v>42742.731782407405</v>
      </c>
      <c r="B156" s="21" t="s">
        <v>295</v>
      </c>
      <c r="C156" s="21" t="s">
        <v>453</v>
      </c>
      <c r="D156" s="160">
        <v>1770000</v>
      </c>
      <c r="E156" s="21" t="s">
        <v>342</v>
      </c>
      <c r="F156" s="21" t="s">
        <v>343</v>
      </c>
      <c r="G156" s="8" t="str">
        <f t="shared" si="2"/>
        <v>BRUDER RICHARD</v>
      </c>
    </row>
    <row r="157" spans="1:7" x14ac:dyDescent="0.25">
      <c r="A157" s="8">
        <v>42742.734710648147</v>
      </c>
      <c r="B157" s="21" t="s">
        <v>250</v>
      </c>
      <c r="C157" s="21" t="s">
        <v>608</v>
      </c>
      <c r="D157" s="160">
        <v>1540000</v>
      </c>
      <c r="E157" s="21" t="s">
        <v>340</v>
      </c>
      <c r="F157" s="21" t="s">
        <v>341</v>
      </c>
      <c r="G157" s="8" t="str">
        <f t="shared" si="2"/>
        <v>HELVIE ADAM</v>
      </c>
    </row>
    <row r="158" spans="1:7" x14ac:dyDescent="0.25">
      <c r="A158" s="8">
        <v>42742.737557870372</v>
      </c>
      <c r="B158" s="21" t="s">
        <v>252</v>
      </c>
      <c r="C158" s="21" t="s">
        <v>609</v>
      </c>
      <c r="D158" s="160">
        <v>2230000</v>
      </c>
      <c r="E158" s="21" t="s">
        <v>255</v>
      </c>
      <c r="F158" s="21" t="s">
        <v>247</v>
      </c>
      <c r="G158" s="8" t="str">
        <f t="shared" si="2"/>
        <v>SMITH MICHAEL</v>
      </c>
    </row>
    <row r="159" spans="1:7" x14ac:dyDescent="0.25">
      <c r="A159" s="8">
        <v>42742.740902777776</v>
      </c>
      <c r="B159" s="21" t="s">
        <v>205</v>
      </c>
      <c r="C159" s="21" t="s">
        <v>610</v>
      </c>
      <c r="D159" s="160">
        <v>2030000</v>
      </c>
      <c r="E159" s="21" t="s">
        <v>368</v>
      </c>
      <c r="F159" s="21" t="s">
        <v>369</v>
      </c>
      <c r="G159" s="8" t="str">
        <f t="shared" si="2"/>
        <v>KILLION DAVID</v>
      </c>
    </row>
    <row r="160" spans="1:7" x14ac:dyDescent="0.25">
      <c r="A160" s="8">
        <v>42742.744351851848</v>
      </c>
      <c r="B160" s="21" t="s">
        <v>314</v>
      </c>
      <c r="C160" s="21" t="s">
        <v>452</v>
      </c>
      <c r="D160" s="160">
        <v>2000000</v>
      </c>
      <c r="E160" s="21" t="s">
        <v>207</v>
      </c>
      <c r="F160" s="21" t="s">
        <v>238</v>
      </c>
      <c r="G160" s="8" t="str">
        <f t="shared" si="2"/>
        <v>STAMBAUGH JAMES</v>
      </c>
    </row>
    <row r="161" spans="1:7" x14ac:dyDescent="0.25">
      <c r="A161" s="8">
        <v>42742.745844907404</v>
      </c>
      <c r="B161" s="21" t="s">
        <v>235</v>
      </c>
      <c r="C161" s="21" t="s">
        <v>611</v>
      </c>
      <c r="D161" s="160">
        <v>1190000</v>
      </c>
      <c r="E161" s="21" t="s">
        <v>325</v>
      </c>
      <c r="F161" s="21" t="s">
        <v>326</v>
      </c>
      <c r="G161" s="8" t="str">
        <f t="shared" si="2"/>
        <v>BRANNON JEFFREY</v>
      </c>
    </row>
    <row r="162" spans="1:7" x14ac:dyDescent="0.25">
      <c r="A162" s="8">
        <v>42742.752013888887</v>
      </c>
      <c r="B162" s="21" t="s">
        <v>306</v>
      </c>
      <c r="C162" s="21" t="s">
        <v>612</v>
      </c>
      <c r="D162" s="160">
        <v>2220000</v>
      </c>
      <c r="E162" s="21" t="s">
        <v>280</v>
      </c>
      <c r="F162" s="21" t="s">
        <v>281</v>
      </c>
      <c r="G162" s="8" t="str">
        <f t="shared" si="2"/>
        <v>HILLS DUSTIN</v>
      </c>
    </row>
    <row r="163" spans="1:7" x14ac:dyDescent="0.25">
      <c r="A163" s="8">
        <v>42742.752152777779</v>
      </c>
      <c r="B163" s="21" t="s">
        <v>244</v>
      </c>
      <c r="C163" s="21" t="s">
        <v>613</v>
      </c>
      <c r="D163" s="160">
        <v>1300000</v>
      </c>
      <c r="E163" s="21" t="s">
        <v>113</v>
      </c>
      <c r="F163" s="21" t="s">
        <v>548</v>
      </c>
      <c r="G163" s="8" t="str">
        <f t="shared" si="2"/>
        <v>LEVIN SCOTT</v>
      </c>
    </row>
    <row r="164" spans="1:7" x14ac:dyDescent="0.25">
      <c r="A164" s="8">
        <v>42742.75503472222</v>
      </c>
      <c r="B164" s="21" t="s">
        <v>319</v>
      </c>
      <c r="C164" s="21" t="s">
        <v>614</v>
      </c>
      <c r="D164" s="160">
        <v>2610000</v>
      </c>
      <c r="E164" s="21" t="s">
        <v>615</v>
      </c>
      <c r="F164" s="21" t="s">
        <v>616</v>
      </c>
      <c r="G164" s="8" t="str">
        <f t="shared" si="2"/>
        <v>MAGEE KENYA</v>
      </c>
    </row>
    <row r="165" spans="1:7" x14ac:dyDescent="0.25">
      <c r="A165" s="8">
        <v>42742.75571759259</v>
      </c>
      <c r="B165" s="21" t="s">
        <v>202</v>
      </c>
      <c r="C165" s="21" t="s">
        <v>617</v>
      </c>
      <c r="D165" s="160">
        <v>2000000</v>
      </c>
      <c r="E165" s="21" t="s">
        <v>207</v>
      </c>
      <c r="F165" s="21" t="s">
        <v>238</v>
      </c>
      <c r="G165" s="8" t="str">
        <f t="shared" si="2"/>
        <v>STAMBAUGH JAMES</v>
      </c>
    </row>
    <row r="166" spans="1:7" x14ac:dyDescent="0.25">
      <c r="A166" s="8">
        <v>42742.761006944442</v>
      </c>
      <c r="B166" s="21" t="s">
        <v>305</v>
      </c>
      <c r="C166" s="21" t="s">
        <v>618</v>
      </c>
      <c r="D166" s="160">
        <v>2360000</v>
      </c>
      <c r="E166" s="21" t="s">
        <v>370</v>
      </c>
      <c r="F166" s="21" t="s">
        <v>371</v>
      </c>
      <c r="G166" s="8" t="str">
        <f t="shared" si="2"/>
        <v>BRANDNER MELINDA</v>
      </c>
    </row>
    <row r="167" spans="1:7" x14ac:dyDescent="0.25">
      <c r="A167" s="8">
        <v>42742.761493055557</v>
      </c>
      <c r="B167" s="21" t="s">
        <v>212</v>
      </c>
      <c r="C167" s="21" t="s">
        <v>619</v>
      </c>
      <c r="D167" s="160">
        <v>2440000</v>
      </c>
      <c r="E167" s="21" t="s">
        <v>544</v>
      </c>
      <c r="F167" s="21" t="s">
        <v>545</v>
      </c>
      <c r="G167" s="8" t="str">
        <f t="shared" si="2"/>
        <v>LOPES KIMBERLY</v>
      </c>
    </row>
    <row r="168" spans="1:7" x14ac:dyDescent="0.25">
      <c r="A168" s="8">
        <v>42742.763032407405</v>
      </c>
      <c r="B168" s="21" t="s">
        <v>222</v>
      </c>
      <c r="C168" s="21" t="s">
        <v>620</v>
      </c>
      <c r="D168" s="160">
        <v>1540000</v>
      </c>
      <c r="E168" s="21" t="s">
        <v>340</v>
      </c>
      <c r="F168" s="21" t="s">
        <v>341</v>
      </c>
      <c r="G168" s="8" t="str">
        <f t="shared" si="2"/>
        <v>HELVIE ADAM</v>
      </c>
    </row>
    <row r="169" spans="1:7" x14ac:dyDescent="0.25">
      <c r="A169" s="8">
        <v>42742.768530092595</v>
      </c>
      <c r="B169" s="21" t="s">
        <v>226</v>
      </c>
      <c r="C169" s="21" t="s">
        <v>621</v>
      </c>
      <c r="D169" s="160">
        <v>2220000</v>
      </c>
      <c r="E169" s="21" t="s">
        <v>280</v>
      </c>
      <c r="F169" s="21" t="s">
        <v>281</v>
      </c>
      <c r="G169" s="8" t="str">
        <f t="shared" si="2"/>
        <v>HILLS DUSTIN</v>
      </c>
    </row>
    <row r="170" spans="1:7" x14ac:dyDescent="0.25">
      <c r="A170" s="8">
        <v>42742.770636574074</v>
      </c>
      <c r="B170" s="21" t="s">
        <v>308</v>
      </c>
      <c r="C170" s="21" t="s">
        <v>622</v>
      </c>
      <c r="D170" s="160">
        <v>1770000</v>
      </c>
      <c r="E170" s="21" t="s">
        <v>342</v>
      </c>
      <c r="F170" s="21" t="s">
        <v>343</v>
      </c>
      <c r="G170" s="8" t="str">
        <f t="shared" si="2"/>
        <v>BRUDER RICHARD</v>
      </c>
    </row>
    <row r="171" spans="1:7" x14ac:dyDescent="0.25">
      <c r="A171" s="8">
        <v>42742.771145833336</v>
      </c>
      <c r="B171" s="21" t="s">
        <v>251</v>
      </c>
      <c r="C171" s="21" t="s">
        <v>623</v>
      </c>
      <c r="D171" s="160">
        <v>2230000</v>
      </c>
      <c r="E171" s="21" t="s">
        <v>255</v>
      </c>
      <c r="F171" s="21" t="s">
        <v>247</v>
      </c>
      <c r="G171" s="8" t="str">
        <f t="shared" si="2"/>
        <v>SMITH MICHAEL</v>
      </c>
    </row>
    <row r="172" spans="1:7" x14ac:dyDescent="0.25">
      <c r="A172" s="8">
        <v>42742.776099537034</v>
      </c>
      <c r="B172" s="21" t="s">
        <v>250</v>
      </c>
      <c r="C172" s="21" t="s">
        <v>624</v>
      </c>
      <c r="D172" s="160">
        <v>1540000</v>
      </c>
      <c r="E172" s="21" t="s">
        <v>340</v>
      </c>
      <c r="F172" s="21" t="s">
        <v>341</v>
      </c>
      <c r="G172" s="8" t="str">
        <f t="shared" si="2"/>
        <v>HELVIE ADAM</v>
      </c>
    </row>
    <row r="173" spans="1:7" x14ac:dyDescent="0.25">
      <c r="A173" s="8">
        <v>42742.77957175926</v>
      </c>
      <c r="B173" s="21" t="s">
        <v>315</v>
      </c>
      <c r="C173" s="21" t="s">
        <v>625</v>
      </c>
      <c r="D173" s="160">
        <v>1190000</v>
      </c>
      <c r="E173" s="21" t="s">
        <v>325</v>
      </c>
      <c r="F173" s="21" t="s">
        <v>326</v>
      </c>
      <c r="G173" s="8" t="str">
        <f t="shared" si="2"/>
        <v>BRANNON JEFFREY</v>
      </c>
    </row>
    <row r="174" spans="1:7" x14ac:dyDescent="0.25">
      <c r="A174" s="8">
        <v>42742.780474537038</v>
      </c>
      <c r="B174" s="21" t="s">
        <v>204</v>
      </c>
      <c r="C174" s="21" t="s">
        <v>626</v>
      </c>
      <c r="D174" s="160">
        <v>2030000</v>
      </c>
      <c r="E174" s="21" t="s">
        <v>368</v>
      </c>
      <c r="F174" s="21" t="s">
        <v>369</v>
      </c>
      <c r="G174" s="8" t="str">
        <f t="shared" si="2"/>
        <v>KILLION DAVID</v>
      </c>
    </row>
    <row r="175" spans="1:7" x14ac:dyDescent="0.25">
      <c r="A175" s="8">
        <v>42742.787546296298</v>
      </c>
      <c r="B175" s="21" t="s">
        <v>224</v>
      </c>
      <c r="C175" s="21" t="s">
        <v>627</v>
      </c>
      <c r="D175" s="160">
        <v>2270000</v>
      </c>
      <c r="E175" s="21" t="s">
        <v>282</v>
      </c>
      <c r="F175" s="21" t="s">
        <v>283</v>
      </c>
      <c r="G175" s="8" t="str">
        <f t="shared" si="2"/>
        <v>BROWN JACOB</v>
      </c>
    </row>
    <row r="176" spans="1:7" x14ac:dyDescent="0.25">
      <c r="A176" s="8">
        <v>42742.788564814815</v>
      </c>
      <c r="B176" s="21" t="s">
        <v>208</v>
      </c>
      <c r="C176" s="21" t="s">
        <v>628</v>
      </c>
      <c r="D176" s="160">
        <v>2000000</v>
      </c>
      <c r="E176" s="21" t="s">
        <v>207</v>
      </c>
      <c r="F176" s="21" t="s">
        <v>238</v>
      </c>
      <c r="G176" s="8" t="str">
        <f t="shared" si="2"/>
        <v>STAMBAUGH JAMES</v>
      </c>
    </row>
    <row r="177" spans="1:7" x14ac:dyDescent="0.25">
      <c r="A177" s="8">
        <v>42742.798993055556</v>
      </c>
      <c r="B177" s="21" t="s">
        <v>307</v>
      </c>
      <c r="C177" s="21" t="s">
        <v>629</v>
      </c>
      <c r="D177" s="160">
        <v>2360000</v>
      </c>
      <c r="E177" s="21" t="s">
        <v>370</v>
      </c>
      <c r="F177" s="21" t="s">
        <v>371</v>
      </c>
      <c r="G177" s="8" t="str">
        <f t="shared" si="2"/>
        <v>BRANDNER MELINDA</v>
      </c>
    </row>
    <row r="178" spans="1:7" x14ac:dyDescent="0.25">
      <c r="A178" s="8">
        <v>42742.801342592589</v>
      </c>
      <c r="B178" s="21" t="s">
        <v>222</v>
      </c>
      <c r="C178" s="21" t="s">
        <v>455</v>
      </c>
      <c r="D178" s="160">
        <v>1540000</v>
      </c>
      <c r="E178" s="21" t="s">
        <v>340</v>
      </c>
      <c r="F178" s="21" t="s">
        <v>341</v>
      </c>
      <c r="G178" s="8" t="str">
        <f t="shared" si="2"/>
        <v>HELVIE ADAM</v>
      </c>
    </row>
    <row r="179" spans="1:7" x14ac:dyDescent="0.25">
      <c r="A179" s="8">
        <v>42742.80164351852</v>
      </c>
      <c r="B179" s="21" t="s">
        <v>295</v>
      </c>
      <c r="C179" s="21" t="s">
        <v>454</v>
      </c>
      <c r="D179" s="160">
        <v>2220000</v>
      </c>
      <c r="E179" s="21" t="s">
        <v>280</v>
      </c>
      <c r="F179" s="21" t="s">
        <v>281</v>
      </c>
      <c r="G179" s="8" t="str">
        <f t="shared" si="2"/>
        <v>HILLS DUSTIN</v>
      </c>
    </row>
    <row r="180" spans="1:7" x14ac:dyDescent="0.25">
      <c r="A180" s="8">
        <v>42742.808113425926</v>
      </c>
      <c r="B180" s="21" t="s">
        <v>252</v>
      </c>
      <c r="C180" s="21" t="s">
        <v>630</v>
      </c>
      <c r="D180" s="160">
        <v>2230000</v>
      </c>
      <c r="E180" s="21" t="s">
        <v>255</v>
      </c>
      <c r="F180" s="21" t="s">
        <v>247</v>
      </c>
      <c r="G180" s="8" t="str">
        <f t="shared" si="2"/>
        <v>SMITH MICHAEL</v>
      </c>
    </row>
    <row r="181" spans="1:7" x14ac:dyDescent="0.25">
      <c r="A181" s="8">
        <v>42742.819143518522</v>
      </c>
      <c r="B181" s="21" t="s">
        <v>250</v>
      </c>
      <c r="C181" s="21" t="s">
        <v>631</v>
      </c>
      <c r="D181" s="160">
        <v>1540000</v>
      </c>
      <c r="E181" s="21" t="s">
        <v>340</v>
      </c>
      <c r="F181" s="21" t="s">
        <v>341</v>
      </c>
      <c r="G181" s="8" t="str">
        <f t="shared" si="2"/>
        <v>HELVIE ADAM</v>
      </c>
    </row>
    <row r="182" spans="1:7" x14ac:dyDescent="0.25">
      <c r="A182" s="8">
        <v>42742.823877314811</v>
      </c>
      <c r="B182" s="21" t="s">
        <v>244</v>
      </c>
      <c r="C182" s="21" t="s">
        <v>632</v>
      </c>
      <c r="D182" s="160">
        <v>2270000</v>
      </c>
      <c r="E182" s="21" t="s">
        <v>282</v>
      </c>
      <c r="F182" s="21" t="s">
        <v>283</v>
      </c>
      <c r="G182" s="8" t="str">
        <f t="shared" si="2"/>
        <v>BROWN JACOB</v>
      </c>
    </row>
    <row r="183" spans="1:7" x14ac:dyDescent="0.25">
      <c r="A183" s="8">
        <v>42742.82708333333</v>
      </c>
      <c r="B183" s="21" t="s">
        <v>202</v>
      </c>
      <c r="C183" s="21" t="s">
        <v>633</v>
      </c>
      <c r="D183" s="160">
        <v>1190000</v>
      </c>
      <c r="E183" s="21" t="s">
        <v>325</v>
      </c>
      <c r="F183" s="21" t="s">
        <v>326</v>
      </c>
      <c r="G183" s="8" t="str">
        <f t="shared" si="2"/>
        <v>BRANNON JEFFREY</v>
      </c>
    </row>
    <row r="184" spans="1:7" x14ac:dyDescent="0.25">
      <c r="A184" s="8">
        <v>42742.831064814818</v>
      </c>
      <c r="B184" s="21" t="s">
        <v>235</v>
      </c>
      <c r="C184" s="21" t="s">
        <v>456</v>
      </c>
      <c r="D184" s="160">
        <v>2000000</v>
      </c>
      <c r="E184" s="21" t="s">
        <v>207</v>
      </c>
      <c r="F184" s="21" t="s">
        <v>238</v>
      </c>
      <c r="G184" s="8" t="str">
        <f t="shared" si="2"/>
        <v>STAMBAUGH JAMES</v>
      </c>
    </row>
    <row r="185" spans="1:7" x14ac:dyDescent="0.25">
      <c r="A185" s="8">
        <v>42742.839120370372</v>
      </c>
      <c r="B185" s="21" t="s">
        <v>226</v>
      </c>
      <c r="C185" s="21" t="s">
        <v>457</v>
      </c>
      <c r="D185" s="160">
        <v>2220000</v>
      </c>
      <c r="E185" s="21" t="s">
        <v>280</v>
      </c>
      <c r="F185" s="21" t="s">
        <v>281</v>
      </c>
      <c r="G185" s="8" t="str">
        <f t="shared" si="2"/>
        <v>HILLS DUSTIN</v>
      </c>
    </row>
    <row r="186" spans="1:7" x14ac:dyDescent="0.25">
      <c r="A186" s="8">
        <v>42742.843923611108</v>
      </c>
      <c r="B186" s="21" t="s">
        <v>251</v>
      </c>
      <c r="C186" s="21" t="s">
        <v>634</v>
      </c>
      <c r="D186" s="160">
        <v>2230000</v>
      </c>
      <c r="E186" s="21" t="s">
        <v>255</v>
      </c>
      <c r="F186" s="21" t="s">
        <v>247</v>
      </c>
      <c r="G186" s="8" t="str">
        <f t="shared" si="2"/>
        <v>SMITH MICHAEL</v>
      </c>
    </row>
    <row r="187" spans="1:7" x14ac:dyDescent="0.25">
      <c r="A187" s="8">
        <v>42742.845590277779</v>
      </c>
      <c r="B187" s="21" t="s">
        <v>222</v>
      </c>
      <c r="C187" s="21" t="s">
        <v>635</v>
      </c>
      <c r="D187" s="160">
        <v>1540000</v>
      </c>
      <c r="E187" s="21" t="s">
        <v>340</v>
      </c>
      <c r="F187" s="21" t="s">
        <v>341</v>
      </c>
      <c r="G187" s="8" t="str">
        <f t="shared" si="2"/>
        <v>HELVIE ADAM</v>
      </c>
    </row>
    <row r="188" spans="1:7" x14ac:dyDescent="0.25">
      <c r="A188" s="8">
        <v>42742.859537037039</v>
      </c>
      <c r="B188" s="21" t="s">
        <v>250</v>
      </c>
      <c r="C188" s="21" t="s">
        <v>636</v>
      </c>
      <c r="D188" s="160">
        <v>1540000</v>
      </c>
      <c r="E188" s="21" t="s">
        <v>340</v>
      </c>
      <c r="F188" s="21" t="s">
        <v>341</v>
      </c>
      <c r="G188" s="8" t="str">
        <f t="shared" si="2"/>
        <v>HELVIE ADAM</v>
      </c>
    </row>
    <row r="189" spans="1:7" x14ac:dyDescent="0.25">
      <c r="A189" s="8">
        <v>42742.861284722225</v>
      </c>
      <c r="B189" s="21" t="s">
        <v>315</v>
      </c>
      <c r="C189" s="21" t="s">
        <v>637</v>
      </c>
      <c r="D189" s="160">
        <v>2000000</v>
      </c>
      <c r="E189" s="21" t="s">
        <v>207</v>
      </c>
      <c r="F189" s="21" t="s">
        <v>238</v>
      </c>
      <c r="G189" s="8" t="str">
        <f t="shared" si="2"/>
        <v>STAMBAUGH JAMES</v>
      </c>
    </row>
    <row r="190" spans="1:7" x14ac:dyDescent="0.25">
      <c r="A190" s="8">
        <v>42742.868854166663</v>
      </c>
      <c r="B190" s="21" t="s">
        <v>224</v>
      </c>
      <c r="C190" s="21" t="s">
        <v>638</v>
      </c>
      <c r="D190" s="160">
        <v>2270000</v>
      </c>
      <c r="E190" s="21" t="s">
        <v>282</v>
      </c>
      <c r="F190" s="21" t="s">
        <v>283</v>
      </c>
      <c r="G190" s="8" t="str">
        <f t="shared" si="2"/>
        <v>BROWN JACOB</v>
      </c>
    </row>
    <row r="191" spans="1:7" x14ac:dyDescent="0.25">
      <c r="A191" s="8">
        <v>42742.881921296299</v>
      </c>
      <c r="B191" s="21" t="s">
        <v>295</v>
      </c>
      <c r="C191" s="21" t="s">
        <v>639</v>
      </c>
      <c r="D191" s="160">
        <v>2220000</v>
      </c>
      <c r="E191" s="21" t="s">
        <v>280</v>
      </c>
      <c r="F191" s="21" t="s">
        <v>281</v>
      </c>
      <c r="G191" s="8" t="str">
        <f t="shared" si="2"/>
        <v>HILLS DUSTIN</v>
      </c>
    </row>
    <row r="192" spans="1:7" x14ac:dyDescent="0.25">
      <c r="A192" s="8">
        <v>42742.886192129627</v>
      </c>
      <c r="B192" s="21" t="s">
        <v>222</v>
      </c>
      <c r="C192" s="21" t="s">
        <v>640</v>
      </c>
      <c r="D192" s="160">
        <v>1540000</v>
      </c>
      <c r="E192" s="21" t="s">
        <v>340</v>
      </c>
      <c r="F192" s="21" t="s">
        <v>341</v>
      </c>
      <c r="G192" s="8" t="str">
        <f t="shared" si="2"/>
        <v>HELVIE ADAM</v>
      </c>
    </row>
    <row r="193" spans="1:7" x14ac:dyDescent="0.25">
      <c r="A193" s="8">
        <v>42742.886296296296</v>
      </c>
      <c r="B193" s="21" t="s">
        <v>252</v>
      </c>
      <c r="C193" s="21" t="s">
        <v>641</v>
      </c>
      <c r="D193" s="160">
        <v>2230000</v>
      </c>
      <c r="E193" s="21" t="s">
        <v>255</v>
      </c>
      <c r="F193" s="21" t="s">
        <v>247</v>
      </c>
      <c r="G193" s="8" t="str">
        <f t="shared" si="2"/>
        <v>SMITH MICHAEL</v>
      </c>
    </row>
    <row r="194" spans="1:7" x14ac:dyDescent="0.25">
      <c r="A194" s="8">
        <v>42742.90121527778</v>
      </c>
      <c r="B194" s="21" t="s">
        <v>235</v>
      </c>
      <c r="C194" s="21" t="s">
        <v>642</v>
      </c>
      <c r="D194" s="160">
        <v>2000000</v>
      </c>
      <c r="E194" s="21" t="s">
        <v>207</v>
      </c>
      <c r="F194" s="21" t="s">
        <v>238</v>
      </c>
      <c r="G194" s="8" t="str">
        <f t="shared" si="2"/>
        <v>STAMBAUGH JAMES</v>
      </c>
    </row>
    <row r="195" spans="1:7" x14ac:dyDescent="0.25">
      <c r="A195" s="8">
        <v>42742.901585648149</v>
      </c>
      <c r="B195" s="21" t="s">
        <v>250</v>
      </c>
      <c r="C195" s="21" t="s">
        <v>643</v>
      </c>
      <c r="D195" s="160">
        <v>1540000</v>
      </c>
      <c r="E195" s="21" t="s">
        <v>340</v>
      </c>
      <c r="F195" s="21" t="s">
        <v>341</v>
      </c>
      <c r="G195" s="8" t="str">
        <f t="shared" ref="G195:G258" si="3">E195&amp;" "&amp;F195</f>
        <v>HELVIE ADAM</v>
      </c>
    </row>
    <row r="196" spans="1:7" x14ac:dyDescent="0.25">
      <c r="A196" s="8">
        <v>42742.906574074077</v>
      </c>
      <c r="B196" s="21" t="s">
        <v>244</v>
      </c>
      <c r="C196" s="21" t="s">
        <v>644</v>
      </c>
      <c r="D196" s="160">
        <v>2270000</v>
      </c>
      <c r="E196" s="21" t="s">
        <v>282</v>
      </c>
      <c r="F196" s="21" t="s">
        <v>283</v>
      </c>
      <c r="G196" s="8" t="str">
        <f t="shared" si="3"/>
        <v>BROWN JACOB</v>
      </c>
    </row>
    <row r="197" spans="1:7" x14ac:dyDescent="0.25">
      <c r="A197" s="8">
        <v>42742.921296296299</v>
      </c>
      <c r="B197" s="21" t="s">
        <v>226</v>
      </c>
      <c r="C197" s="21" t="s">
        <v>458</v>
      </c>
      <c r="D197" s="160">
        <v>2220000</v>
      </c>
      <c r="E197" s="21" t="s">
        <v>280</v>
      </c>
      <c r="F197" s="21" t="s">
        <v>281</v>
      </c>
      <c r="G197" s="8" t="str">
        <f t="shared" si="3"/>
        <v>HILLS DUSTIN</v>
      </c>
    </row>
    <row r="198" spans="1:7" x14ac:dyDescent="0.25">
      <c r="A198" s="8">
        <v>42742.927627314813</v>
      </c>
      <c r="B198" s="21" t="s">
        <v>222</v>
      </c>
      <c r="C198" s="21" t="s">
        <v>645</v>
      </c>
      <c r="D198" s="160">
        <v>1540000</v>
      </c>
      <c r="E198" s="21" t="s">
        <v>340</v>
      </c>
      <c r="F198" s="21" t="s">
        <v>341</v>
      </c>
      <c r="G198" s="8" t="str">
        <f t="shared" si="3"/>
        <v>HELVIE ADAM</v>
      </c>
    </row>
    <row r="199" spans="1:7" x14ac:dyDescent="0.25">
      <c r="A199" s="8">
        <v>42742.929224537038</v>
      </c>
      <c r="B199" s="21" t="s">
        <v>251</v>
      </c>
      <c r="C199" s="21" t="s">
        <v>646</v>
      </c>
      <c r="D199" s="160">
        <v>2230000</v>
      </c>
      <c r="E199" s="21" t="s">
        <v>255</v>
      </c>
      <c r="F199" s="21" t="s">
        <v>247</v>
      </c>
      <c r="G199" s="8" t="str">
        <f t="shared" si="3"/>
        <v>SMITH MICHAEL</v>
      </c>
    </row>
    <row r="200" spans="1:7" x14ac:dyDescent="0.25">
      <c r="A200" s="8">
        <v>42742.943645833337</v>
      </c>
      <c r="B200" s="21" t="s">
        <v>250</v>
      </c>
      <c r="C200" s="21" t="s">
        <v>647</v>
      </c>
      <c r="D200" s="160">
        <v>1540000</v>
      </c>
      <c r="E200" s="21" t="s">
        <v>340</v>
      </c>
      <c r="F200" s="21" t="s">
        <v>341</v>
      </c>
      <c r="G200" s="8" t="str">
        <f t="shared" si="3"/>
        <v>HELVIE ADAM</v>
      </c>
    </row>
    <row r="201" spans="1:7" x14ac:dyDescent="0.25">
      <c r="A201" s="8">
        <v>42742.944224537037</v>
      </c>
      <c r="B201" s="21" t="s">
        <v>315</v>
      </c>
      <c r="C201" s="21" t="s">
        <v>648</v>
      </c>
      <c r="D201" s="160">
        <v>2000000</v>
      </c>
      <c r="E201" s="21" t="s">
        <v>207</v>
      </c>
      <c r="F201" s="21" t="s">
        <v>238</v>
      </c>
      <c r="G201" s="8" t="str">
        <f t="shared" si="3"/>
        <v>STAMBAUGH JAMES</v>
      </c>
    </row>
    <row r="202" spans="1:7" x14ac:dyDescent="0.25">
      <c r="A202" s="27">
        <v>42742.954398148147</v>
      </c>
      <c r="B202" s="21" t="s">
        <v>224</v>
      </c>
      <c r="C202" s="21" t="s">
        <v>649</v>
      </c>
      <c r="D202" s="160">
        <v>2270000</v>
      </c>
      <c r="E202" s="21" t="s">
        <v>282</v>
      </c>
      <c r="F202" s="21" t="s">
        <v>283</v>
      </c>
      <c r="G202" s="8" t="str">
        <f t="shared" si="3"/>
        <v>BROWN JACOB</v>
      </c>
    </row>
    <row r="203" spans="1:7" x14ac:dyDescent="0.25">
      <c r="A203" s="8">
        <v>42742.965775462966</v>
      </c>
      <c r="B203" s="21" t="s">
        <v>252</v>
      </c>
      <c r="C203" s="21" t="s">
        <v>650</v>
      </c>
      <c r="D203" s="160">
        <v>2230000</v>
      </c>
      <c r="E203" s="21" t="s">
        <v>255</v>
      </c>
      <c r="F203" s="21" t="s">
        <v>247</v>
      </c>
      <c r="G203" s="8" t="str">
        <f t="shared" si="3"/>
        <v>SMITH MICHAEL</v>
      </c>
    </row>
    <row r="204" spans="1:7" x14ac:dyDescent="0.25">
      <c r="A204" s="8">
        <v>42742.971724537034</v>
      </c>
      <c r="B204" s="21" t="s">
        <v>295</v>
      </c>
      <c r="C204" s="21" t="s">
        <v>459</v>
      </c>
      <c r="D204" s="160">
        <v>2220000</v>
      </c>
      <c r="E204" s="21" t="s">
        <v>280</v>
      </c>
      <c r="F204" s="21" t="s">
        <v>281</v>
      </c>
      <c r="G204" s="8" t="str">
        <f t="shared" si="3"/>
        <v>HILLS DUSTIN</v>
      </c>
    </row>
    <row r="205" spans="1:7" x14ac:dyDescent="0.25">
      <c r="A205" s="8">
        <v>42742.987847222219</v>
      </c>
      <c r="B205" s="21" t="s">
        <v>235</v>
      </c>
      <c r="C205" s="21" t="s">
        <v>651</v>
      </c>
      <c r="D205" s="160">
        <v>2000000</v>
      </c>
      <c r="E205" s="21" t="s">
        <v>207</v>
      </c>
      <c r="F205" s="21" t="s">
        <v>238</v>
      </c>
      <c r="G205" s="8" t="str">
        <f t="shared" si="3"/>
        <v>STAMBAUGH JAMES</v>
      </c>
    </row>
    <row r="206" spans="1:7" x14ac:dyDescent="0.25">
      <c r="A206" s="8">
        <v>42742.990856481483</v>
      </c>
      <c r="B206" s="21" t="s">
        <v>235</v>
      </c>
      <c r="C206" s="21" t="s">
        <v>651</v>
      </c>
      <c r="D206" s="160">
        <v>2000000</v>
      </c>
      <c r="E206" s="21" t="s">
        <v>207</v>
      </c>
      <c r="F206" s="21" t="s">
        <v>238</v>
      </c>
      <c r="G206" s="8" t="str">
        <f t="shared" si="3"/>
        <v>STAMBAUGH JAMES</v>
      </c>
    </row>
    <row r="207" spans="1:7" x14ac:dyDescent="0.25">
      <c r="A207" s="8">
        <v>42742.992997685185</v>
      </c>
      <c r="B207" s="21" t="s">
        <v>244</v>
      </c>
      <c r="C207" s="21" t="s">
        <v>460</v>
      </c>
      <c r="D207" s="160">
        <v>2270000</v>
      </c>
      <c r="E207" s="21" t="s">
        <v>282</v>
      </c>
      <c r="F207" s="21" t="s">
        <v>283</v>
      </c>
      <c r="G207" s="8" t="str">
        <f t="shared" si="3"/>
        <v>BROWN JACOB</v>
      </c>
    </row>
    <row r="208" spans="1:7" x14ac:dyDescent="0.25">
      <c r="A208" s="8">
        <v>42743.009502314817</v>
      </c>
      <c r="B208" s="21" t="s">
        <v>251</v>
      </c>
      <c r="C208" s="21" t="s">
        <v>652</v>
      </c>
      <c r="D208" s="160">
        <v>2230000</v>
      </c>
      <c r="E208" s="21" t="s">
        <v>255</v>
      </c>
      <c r="F208" s="21" t="s">
        <v>247</v>
      </c>
      <c r="G208" s="8" t="str">
        <f t="shared" si="3"/>
        <v>SMITH MICHAEL</v>
      </c>
    </row>
    <row r="209" spans="1:7" x14ac:dyDescent="0.25">
      <c r="A209" s="8">
        <v>42743.013148148151</v>
      </c>
      <c r="B209" s="21" t="s">
        <v>226</v>
      </c>
      <c r="C209" s="21" t="s">
        <v>653</v>
      </c>
      <c r="D209" s="160">
        <v>2220000</v>
      </c>
      <c r="E209" s="21" t="s">
        <v>280</v>
      </c>
      <c r="F209" s="21" t="s">
        <v>281</v>
      </c>
      <c r="G209" s="8" t="str">
        <f t="shared" si="3"/>
        <v>HILLS DUSTIN</v>
      </c>
    </row>
    <row r="210" spans="1:7" x14ac:dyDescent="0.25">
      <c r="A210" s="8">
        <v>42743.045798611114</v>
      </c>
      <c r="B210" s="21" t="s">
        <v>224</v>
      </c>
      <c r="C210" s="21" t="s">
        <v>654</v>
      </c>
      <c r="D210" s="160">
        <v>2270000</v>
      </c>
      <c r="E210" s="21" t="s">
        <v>282</v>
      </c>
      <c r="F210" s="21" t="s">
        <v>283</v>
      </c>
      <c r="G210" s="8" t="str">
        <f t="shared" si="3"/>
        <v>BROWN JACOB</v>
      </c>
    </row>
    <row r="211" spans="1:7" x14ac:dyDescent="0.25">
      <c r="A211" s="8">
        <v>42743.072048611109</v>
      </c>
      <c r="B211" s="21" t="s">
        <v>295</v>
      </c>
      <c r="C211" s="21" t="s">
        <v>655</v>
      </c>
      <c r="D211" s="160">
        <v>2220000</v>
      </c>
      <c r="E211" s="21" t="s">
        <v>280</v>
      </c>
      <c r="F211" s="21" t="s">
        <v>281</v>
      </c>
      <c r="G211" s="8" t="str">
        <f t="shared" si="3"/>
        <v>HILLS DUSTIN</v>
      </c>
    </row>
    <row r="212" spans="1:7" x14ac:dyDescent="0.25">
      <c r="A212" s="8">
        <v>42743.087569444448</v>
      </c>
      <c r="B212" s="21" t="s">
        <v>226</v>
      </c>
      <c r="C212" s="21" t="s">
        <v>656</v>
      </c>
      <c r="D212" s="160">
        <v>2220000</v>
      </c>
      <c r="E212" s="21" t="s">
        <v>280</v>
      </c>
      <c r="F212" s="21" t="s">
        <v>281</v>
      </c>
      <c r="G212" s="8" t="str">
        <f t="shared" si="3"/>
        <v>HILLS DUSTIN</v>
      </c>
    </row>
    <row r="213" spans="1:7" x14ac:dyDescent="0.25">
      <c r="A213" s="8">
        <v>42743.08865740741</v>
      </c>
      <c r="B213" s="21" t="s">
        <v>226</v>
      </c>
      <c r="C213" s="21" t="s">
        <v>656</v>
      </c>
      <c r="D213" s="160">
        <v>2220000</v>
      </c>
      <c r="E213" s="21" t="s">
        <v>280</v>
      </c>
      <c r="F213" s="21" t="s">
        <v>281</v>
      </c>
      <c r="G213" s="8" t="str">
        <f t="shared" si="3"/>
        <v>HILLS DUSTIN</v>
      </c>
    </row>
    <row r="214" spans="1:7" x14ac:dyDescent="0.25">
      <c r="A214" s="8">
        <v>42743.09652777778</v>
      </c>
      <c r="B214" s="21" t="s">
        <v>226</v>
      </c>
      <c r="C214" s="21" t="s">
        <v>656</v>
      </c>
      <c r="D214" s="160">
        <v>2220000</v>
      </c>
      <c r="E214" s="21" t="s">
        <v>280</v>
      </c>
      <c r="F214" s="21" t="s">
        <v>281</v>
      </c>
      <c r="G214" s="8" t="str">
        <f t="shared" si="3"/>
        <v>HILLS DUSTIN</v>
      </c>
    </row>
    <row r="215" spans="1:7" x14ac:dyDescent="0.25">
      <c r="A215" s="8">
        <v>42743.102453703701</v>
      </c>
      <c r="B215" s="21" t="s">
        <v>295</v>
      </c>
      <c r="C215" s="21" t="s">
        <v>655</v>
      </c>
      <c r="D215" s="160">
        <v>2220000</v>
      </c>
      <c r="E215" s="21" t="s">
        <v>280</v>
      </c>
      <c r="F215" s="21" t="s">
        <v>281</v>
      </c>
      <c r="G215" s="8" t="str">
        <f t="shared" si="3"/>
        <v>HILLS DUSTIN</v>
      </c>
    </row>
    <row r="216" spans="1:7" x14ac:dyDescent="0.25">
      <c r="A216" s="8">
        <v>42743.106412037036</v>
      </c>
      <c r="B216" s="21" t="s">
        <v>226</v>
      </c>
      <c r="C216" s="21" t="s">
        <v>656</v>
      </c>
      <c r="D216" s="160">
        <v>2220000</v>
      </c>
      <c r="E216" s="21" t="s">
        <v>280</v>
      </c>
      <c r="F216" s="21" t="s">
        <v>281</v>
      </c>
      <c r="G216" s="8" t="str">
        <f t="shared" si="3"/>
        <v>HILLS DUSTIN</v>
      </c>
    </row>
    <row r="217" spans="1:7" x14ac:dyDescent="0.25">
      <c r="A217" s="8">
        <v>42740.903553240743</v>
      </c>
      <c r="B217" s="21" t="s">
        <v>260</v>
      </c>
      <c r="C217" s="21" t="s">
        <v>376</v>
      </c>
      <c r="D217" s="160">
        <v>2550000</v>
      </c>
      <c r="E217" s="21" t="s">
        <v>211</v>
      </c>
      <c r="F217" s="21" t="s">
        <v>375</v>
      </c>
      <c r="G217" s="8" t="str">
        <f t="shared" si="3"/>
        <v>BADERTSCHER DIANE</v>
      </c>
    </row>
    <row r="218" spans="1:7" x14ac:dyDescent="0.25">
      <c r="A218" s="8">
        <v>42740.911145833335</v>
      </c>
      <c r="B218" s="21" t="s">
        <v>224</v>
      </c>
      <c r="C218" s="21" t="s">
        <v>377</v>
      </c>
      <c r="D218" s="160">
        <v>2270000</v>
      </c>
      <c r="E218" s="21" t="s">
        <v>282</v>
      </c>
      <c r="F218" s="21" t="s">
        <v>283</v>
      </c>
      <c r="G218" s="8" t="str">
        <f t="shared" si="3"/>
        <v>BROWN JACOB</v>
      </c>
    </row>
    <row r="219" spans="1:7" x14ac:dyDescent="0.25">
      <c r="A219" s="8">
        <v>42740.912592592591</v>
      </c>
      <c r="B219" s="21" t="s">
        <v>335</v>
      </c>
      <c r="C219" s="21" t="s">
        <v>378</v>
      </c>
      <c r="D219" s="160">
        <v>1800000</v>
      </c>
      <c r="E219" s="21" t="s">
        <v>229</v>
      </c>
      <c r="F219" s="21" t="s">
        <v>241</v>
      </c>
      <c r="G219" s="8" t="str">
        <f t="shared" si="3"/>
        <v>CHANDLER KELVIN</v>
      </c>
    </row>
    <row r="220" spans="1:7" x14ac:dyDescent="0.25">
      <c r="A220" s="8">
        <v>42740.920763888891</v>
      </c>
      <c r="B220" s="21" t="s">
        <v>259</v>
      </c>
      <c r="C220" s="21" t="s">
        <v>362</v>
      </c>
      <c r="D220" s="160">
        <v>2550000</v>
      </c>
      <c r="E220" s="21" t="s">
        <v>211</v>
      </c>
      <c r="F220" s="21" t="s">
        <v>375</v>
      </c>
      <c r="G220" s="8" t="str">
        <f t="shared" si="3"/>
        <v>BADERTSCHER DIANE</v>
      </c>
    </row>
    <row r="221" spans="1:7" x14ac:dyDescent="0.25">
      <c r="A221" s="8">
        <v>42740.929016203707</v>
      </c>
      <c r="B221" s="21" t="s">
        <v>212</v>
      </c>
      <c r="C221" s="21" t="s">
        <v>363</v>
      </c>
      <c r="D221" s="160">
        <v>2220000</v>
      </c>
      <c r="E221" s="21" t="s">
        <v>280</v>
      </c>
      <c r="F221" s="21" t="s">
        <v>281</v>
      </c>
      <c r="G221" s="8" t="str">
        <f t="shared" si="3"/>
        <v>HILLS DUSTIN</v>
      </c>
    </row>
    <row r="222" spans="1:7" x14ac:dyDescent="0.25">
      <c r="A222" s="8">
        <v>42740.932870370372</v>
      </c>
      <c r="B222" s="21" t="s">
        <v>298</v>
      </c>
      <c r="C222" s="21" t="s">
        <v>379</v>
      </c>
      <c r="D222" s="160">
        <v>1810000</v>
      </c>
      <c r="E222" s="21" t="s">
        <v>256</v>
      </c>
      <c r="F222" s="21" t="s">
        <v>238</v>
      </c>
      <c r="G222" s="8" t="str">
        <f t="shared" si="3"/>
        <v>NEWELL JAMES</v>
      </c>
    </row>
    <row r="223" spans="1:7" x14ac:dyDescent="0.25">
      <c r="A223" s="8">
        <v>42740.944120370368</v>
      </c>
      <c r="B223" s="21" t="s">
        <v>260</v>
      </c>
      <c r="C223" s="21" t="s">
        <v>380</v>
      </c>
      <c r="D223" s="160">
        <v>2550000</v>
      </c>
      <c r="E223" s="21" t="s">
        <v>211</v>
      </c>
      <c r="F223" s="21" t="s">
        <v>375</v>
      </c>
      <c r="G223" s="8" t="str">
        <f t="shared" si="3"/>
        <v>BADERTSCHER DIANE</v>
      </c>
    </row>
    <row r="224" spans="1:7" x14ac:dyDescent="0.25">
      <c r="A224" s="8">
        <v>42740.951215277775</v>
      </c>
      <c r="B224" t="s">
        <v>244</v>
      </c>
      <c r="C224" t="s">
        <v>381</v>
      </c>
      <c r="D224" s="160">
        <v>2270000</v>
      </c>
      <c r="E224" t="s">
        <v>282</v>
      </c>
      <c r="F224" s="21" t="s">
        <v>283</v>
      </c>
      <c r="G224" s="8" t="str">
        <f t="shared" si="3"/>
        <v>BROWN JACOB</v>
      </c>
    </row>
    <row r="225" spans="1:7" x14ac:dyDescent="0.25">
      <c r="A225" s="8">
        <v>42740.952291666668</v>
      </c>
      <c r="B225" t="s">
        <v>244</v>
      </c>
      <c r="C225" t="s">
        <v>381</v>
      </c>
      <c r="D225" s="160">
        <v>2270000</v>
      </c>
      <c r="E225" t="s">
        <v>282</v>
      </c>
      <c r="F225" s="21" t="s">
        <v>283</v>
      </c>
      <c r="G225" s="8" t="str">
        <f t="shared" si="3"/>
        <v>BROWN JACOB</v>
      </c>
    </row>
    <row r="226" spans="1:7" x14ac:dyDescent="0.25">
      <c r="A226" s="8">
        <v>42740.953101851854</v>
      </c>
      <c r="B226" t="s">
        <v>259</v>
      </c>
      <c r="C226" t="s">
        <v>380</v>
      </c>
      <c r="D226" s="160">
        <v>2550000</v>
      </c>
      <c r="E226" t="s">
        <v>211</v>
      </c>
      <c r="F226" s="21" t="s">
        <v>375</v>
      </c>
      <c r="G226" s="8" t="str">
        <f t="shared" si="3"/>
        <v>BADERTSCHER DIANE</v>
      </c>
    </row>
    <row r="227" spans="1:7" x14ac:dyDescent="0.25">
      <c r="A227" s="8">
        <v>42740.953773148147</v>
      </c>
      <c r="B227" t="s">
        <v>259</v>
      </c>
      <c r="C227" t="s">
        <v>380</v>
      </c>
      <c r="D227" s="160">
        <v>2550000</v>
      </c>
      <c r="E227" t="s">
        <v>211</v>
      </c>
      <c r="F227" s="21" t="s">
        <v>375</v>
      </c>
      <c r="G227" s="8" t="str">
        <f t="shared" si="3"/>
        <v>BADERTSCHER DIANE</v>
      </c>
    </row>
    <row r="228" spans="1:7" x14ac:dyDescent="0.25">
      <c r="A228" s="8">
        <v>42740.958310185182</v>
      </c>
      <c r="B228" t="s">
        <v>210</v>
      </c>
      <c r="C228" t="s">
        <v>382</v>
      </c>
      <c r="D228" s="160">
        <v>1800000</v>
      </c>
      <c r="E228" t="s">
        <v>229</v>
      </c>
      <c r="F228" s="21" t="s">
        <v>241</v>
      </c>
      <c r="G228" s="8" t="str">
        <f t="shared" si="3"/>
        <v>CHANDLER KELVIN</v>
      </c>
    </row>
    <row r="229" spans="1:7" x14ac:dyDescent="0.25">
      <c r="A229" s="8">
        <v>42740.967326388891</v>
      </c>
      <c r="B229" t="s">
        <v>306</v>
      </c>
      <c r="C229" t="s">
        <v>365</v>
      </c>
      <c r="D229" s="160">
        <v>2220000</v>
      </c>
      <c r="E229" t="s">
        <v>280</v>
      </c>
      <c r="F229" s="21" t="s">
        <v>281</v>
      </c>
      <c r="G229" s="8" t="str">
        <f t="shared" si="3"/>
        <v>HILLS DUSTIN</v>
      </c>
    </row>
    <row r="230" spans="1:7" x14ac:dyDescent="0.25">
      <c r="A230" s="8">
        <v>42740.974074074074</v>
      </c>
      <c r="B230" t="s">
        <v>202</v>
      </c>
      <c r="C230" t="s">
        <v>364</v>
      </c>
      <c r="D230" s="160">
        <v>1810000</v>
      </c>
      <c r="E230" t="s">
        <v>256</v>
      </c>
      <c r="F230" s="21" t="s">
        <v>238</v>
      </c>
      <c r="G230" s="8" t="str">
        <f t="shared" si="3"/>
        <v>NEWELL JAMES</v>
      </c>
    </row>
    <row r="231" spans="1:7" x14ac:dyDescent="0.25">
      <c r="A231" s="8">
        <v>42740.995856481481</v>
      </c>
      <c r="B231" t="s">
        <v>335</v>
      </c>
      <c r="C231" t="s">
        <v>383</v>
      </c>
      <c r="D231" s="160">
        <v>1800000</v>
      </c>
      <c r="E231" t="s">
        <v>229</v>
      </c>
      <c r="F231" s="21" t="s">
        <v>241</v>
      </c>
      <c r="G231" s="8" t="str">
        <f t="shared" si="3"/>
        <v>CHANDLER KELVIN</v>
      </c>
    </row>
    <row r="232" spans="1:7" x14ac:dyDescent="0.25">
      <c r="A232" s="8">
        <v>42740.998900462961</v>
      </c>
      <c r="B232" t="s">
        <v>224</v>
      </c>
      <c r="C232" t="s">
        <v>384</v>
      </c>
      <c r="D232" s="160">
        <v>2270000</v>
      </c>
      <c r="E232" t="s">
        <v>282</v>
      </c>
      <c r="F232" s="21" t="s">
        <v>283</v>
      </c>
      <c r="G232" s="8" t="str">
        <f t="shared" si="3"/>
        <v>BROWN JACOB</v>
      </c>
    </row>
    <row r="233" spans="1:7" x14ac:dyDescent="0.25">
      <c r="A233" s="8">
        <v>42741.006111111114</v>
      </c>
      <c r="B233" t="s">
        <v>212</v>
      </c>
      <c r="C233" t="s">
        <v>385</v>
      </c>
      <c r="D233" s="160">
        <v>2220000</v>
      </c>
      <c r="E233" t="s">
        <v>280</v>
      </c>
      <c r="F233" s="21" t="s">
        <v>281</v>
      </c>
      <c r="G233" s="8" t="str">
        <f t="shared" si="3"/>
        <v>HILLS DUSTIN</v>
      </c>
    </row>
    <row r="234" spans="1:7" x14ac:dyDescent="0.25">
      <c r="A234" s="8">
        <v>42741.01666666667</v>
      </c>
      <c r="B234" t="s">
        <v>208</v>
      </c>
      <c r="C234" t="s">
        <v>386</v>
      </c>
      <c r="D234" s="160">
        <v>1810000</v>
      </c>
      <c r="E234" t="s">
        <v>256</v>
      </c>
      <c r="F234" s="21" t="s">
        <v>238</v>
      </c>
      <c r="G234" s="8" t="str">
        <f t="shared" si="3"/>
        <v>NEWELL JAMES</v>
      </c>
    </row>
    <row r="235" spans="1:7" x14ac:dyDescent="0.25">
      <c r="A235" s="8">
        <v>42741.02820601852</v>
      </c>
      <c r="B235" t="s">
        <v>210</v>
      </c>
      <c r="C235" t="s">
        <v>387</v>
      </c>
      <c r="D235" s="160">
        <v>1800000</v>
      </c>
      <c r="E235" t="s">
        <v>229</v>
      </c>
      <c r="F235" s="21" t="s">
        <v>241</v>
      </c>
      <c r="G235" s="8" t="str">
        <f t="shared" si="3"/>
        <v>CHANDLER KELVIN</v>
      </c>
    </row>
    <row r="236" spans="1:7" x14ac:dyDescent="0.25">
      <c r="A236" s="8">
        <v>42741.028275462966</v>
      </c>
      <c r="B236" t="s">
        <v>299</v>
      </c>
      <c r="C236" t="s">
        <v>388</v>
      </c>
      <c r="D236" s="160">
        <v>2560000</v>
      </c>
      <c r="E236" t="s">
        <v>389</v>
      </c>
      <c r="F236" s="21" t="s">
        <v>390</v>
      </c>
      <c r="G236" s="8" t="str">
        <f t="shared" si="3"/>
        <v>MACDONALD THOMAS</v>
      </c>
    </row>
    <row r="237" spans="1:7" x14ac:dyDescent="0.25">
      <c r="A237" s="8">
        <v>42741.033402777779</v>
      </c>
      <c r="B237" t="s">
        <v>244</v>
      </c>
      <c r="C237" t="s">
        <v>391</v>
      </c>
      <c r="D237" s="160">
        <v>2270000</v>
      </c>
      <c r="E237" t="s">
        <v>282</v>
      </c>
      <c r="F237" s="21" t="s">
        <v>283</v>
      </c>
      <c r="G237" s="8" t="str">
        <f t="shared" si="3"/>
        <v>BROWN JACOB</v>
      </c>
    </row>
    <row r="238" spans="1:7" x14ac:dyDescent="0.25">
      <c r="A238" s="8">
        <v>42741.046944444446</v>
      </c>
      <c r="B238" t="s">
        <v>202</v>
      </c>
      <c r="C238" t="s">
        <v>392</v>
      </c>
      <c r="D238" s="160">
        <v>1810000</v>
      </c>
      <c r="E238" t="s">
        <v>256</v>
      </c>
      <c r="F238" s="21" t="s">
        <v>238</v>
      </c>
      <c r="G238" s="8" t="str">
        <f t="shared" si="3"/>
        <v>NEWELL JAMES</v>
      </c>
    </row>
    <row r="239" spans="1:7" x14ac:dyDescent="0.25">
      <c r="A239" s="8">
        <v>42741.048819444448</v>
      </c>
      <c r="B239" t="s">
        <v>306</v>
      </c>
      <c r="C239" t="s">
        <v>393</v>
      </c>
      <c r="D239" s="160">
        <v>2220000</v>
      </c>
      <c r="E239" t="s">
        <v>280</v>
      </c>
      <c r="F239" s="21" t="s">
        <v>281</v>
      </c>
      <c r="G239" s="8" t="str">
        <f t="shared" si="3"/>
        <v>HILLS DUSTIN</v>
      </c>
    </row>
    <row r="240" spans="1:7" x14ac:dyDescent="0.25">
      <c r="A240" s="8">
        <v>42741.071840277778</v>
      </c>
      <c r="B240" t="s">
        <v>224</v>
      </c>
      <c r="C240" t="s">
        <v>394</v>
      </c>
      <c r="D240" s="160">
        <v>2270000</v>
      </c>
      <c r="E240" t="s">
        <v>282</v>
      </c>
      <c r="F240" s="21" t="s">
        <v>283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298</v>
      </c>
      <c r="C241" t="s">
        <v>395</v>
      </c>
      <c r="D241" s="160">
        <v>2560000</v>
      </c>
      <c r="E241" t="s">
        <v>389</v>
      </c>
      <c r="F241" s="21" t="s">
        <v>390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396</v>
      </c>
      <c r="D242" s="160">
        <v>2220000</v>
      </c>
      <c r="E242" t="s">
        <v>280</v>
      </c>
      <c r="F242" s="21" t="s">
        <v>281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396</v>
      </c>
      <c r="D243" s="160">
        <v>2220000</v>
      </c>
      <c r="E243" t="s">
        <v>280</v>
      </c>
      <c r="F243" s="21" t="s">
        <v>281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299</v>
      </c>
      <c r="C244" t="s">
        <v>346</v>
      </c>
      <c r="D244" s="160">
        <v>2680000</v>
      </c>
      <c r="E244" t="s">
        <v>327</v>
      </c>
      <c r="F244" s="21" t="s">
        <v>328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287</v>
      </c>
      <c r="C245" t="s">
        <v>288</v>
      </c>
      <c r="D245" s="160">
        <v>2270000</v>
      </c>
      <c r="E245" t="s">
        <v>282</v>
      </c>
      <c r="F245" s="21" t="s">
        <v>283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260</v>
      </c>
      <c r="C246" t="s">
        <v>263</v>
      </c>
      <c r="D246" s="160">
        <v>2000000</v>
      </c>
      <c r="E246" t="s">
        <v>207</v>
      </c>
      <c r="F246" s="21" t="s">
        <v>238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252</v>
      </c>
      <c r="C247" t="s">
        <v>264</v>
      </c>
      <c r="D247" s="160">
        <v>1810000</v>
      </c>
      <c r="E247" t="s">
        <v>256</v>
      </c>
      <c r="F247" s="21" t="s">
        <v>238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265</v>
      </c>
      <c r="D248" s="160">
        <v>2230000</v>
      </c>
      <c r="E248" t="s">
        <v>255</v>
      </c>
      <c r="F248" s="21" t="s">
        <v>247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266</v>
      </c>
      <c r="D249" s="160">
        <v>1800000</v>
      </c>
      <c r="E249" t="s">
        <v>229</v>
      </c>
      <c r="F249" s="21" t="s">
        <v>241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251</v>
      </c>
      <c r="C250" t="s">
        <v>267</v>
      </c>
      <c r="D250" s="160">
        <v>1810000</v>
      </c>
      <c r="E250" t="s">
        <v>256</v>
      </c>
      <c r="F250" s="21" t="s">
        <v>238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259</v>
      </c>
      <c r="C251" t="s">
        <v>268</v>
      </c>
      <c r="D251" s="160">
        <v>2000000</v>
      </c>
      <c r="E251" t="s">
        <v>207</v>
      </c>
      <c r="F251" s="21" t="s">
        <v>238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269</v>
      </c>
      <c r="D252" s="160">
        <v>1800000</v>
      </c>
      <c r="E252" t="s">
        <v>229</v>
      </c>
      <c r="F252" s="21" t="s">
        <v>241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250</v>
      </c>
      <c r="C253" t="s">
        <v>270</v>
      </c>
      <c r="D253" s="160">
        <v>2230000</v>
      </c>
      <c r="E253" t="s">
        <v>255</v>
      </c>
      <c r="F253" s="21" t="s">
        <v>247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252</v>
      </c>
      <c r="C254" t="s">
        <v>271</v>
      </c>
      <c r="D254" s="160">
        <v>1810000</v>
      </c>
      <c r="E254" t="s">
        <v>256</v>
      </c>
      <c r="F254" s="21" t="s">
        <v>238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260</v>
      </c>
      <c r="C255" t="s">
        <v>272</v>
      </c>
      <c r="D255" s="160">
        <v>2000000</v>
      </c>
      <c r="E255" t="s">
        <v>207</v>
      </c>
      <c r="F255" s="21" t="s">
        <v>238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273</v>
      </c>
      <c r="D256" s="160">
        <v>2230000</v>
      </c>
      <c r="E256" t="s">
        <v>255</v>
      </c>
      <c r="F256" s="21" t="s">
        <v>247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259</v>
      </c>
      <c r="C257" t="s">
        <v>274</v>
      </c>
      <c r="D257" s="160">
        <v>2000000</v>
      </c>
      <c r="E257" t="s">
        <v>207</v>
      </c>
      <c r="F257" s="21" t="s">
        <v>238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275</v>
      </c>
      <c r="D258" s="160">
        <v>2110000</v>
      </c>
      <c r="E258" t="s">
        <v>261</v>
      </c>
      <c r="F258" s="21" t="s">
        <v>262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275</v>
      </c>
      <c r="D259" s="160">
        <v>2110000</v>
      </c>
      <c r="E259" t="s">
        <v>261</v>
      </c>
      <c r="F259" s="21" t="s">
        <v>262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226</v>
      </c>
      <c r="C260" t="s">
        <v>232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231</v>
      </c>
      <c r="D261" s="160">
        <v>2530000</v>
      </c>
      <c r="E261" t="s">
        <v>230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233</v>
      </c>
      <c r="D262" s="160">
        <v>2600000</v>
      </c>
      <c r="E262" t="s">
        <v>227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3.34</v>
      </c>
      <c r="B2" s="165">
        <v>0.37</v>
      </c>
      <c r="C2" s="165">
        <v>1.66</v>
      </c>
      <c r="D2" s="8">
        <v>42742</v>
      </c>
      <c r="E2" s="165">
        <v>0.69</v>
      </c>
      <c r="F2" s="165" t="s">
        <v>234</v>
      </c>
      <c r="G2" s="165">
        <v>329.76</v>
      </c>
      <c r="H2" s="165">
        <v>0</v>
      </c>
      <c r="I2" s="165">
        <v>0</v>
      </c>
      <c r="J2" s="165">
        <v>1034.92</v>
      </c>
      <c r="K2" s="165" t="s">
        <v>657</v>
      </c>
      <c r="L2" s="165">
        <v>9.7899999999999991</v>
      </c>
      <c r="M2" s="165">
        <v>1483772400</v>
      </c>
      <c r="N2" s="165">
        <v>7.16</v>
      </c>
      <c r="O2" s="165">
        <v>232</v>
      </c>
      <c r="P2" s="165">
        <v>3.45</v>
      </c>
      <c r="Q2"/>
      <c r="R2"/>
    </row>
    <row r="3" spans="1:18" x14ac:dyDescent="0.25">
      <c r="A3" s="165">
        <v>3.13</v>
      </c>
      <c r="B3" s="165">
        <v>0.37</v>
      </c>
      <c r="C3" s="165">
        <v>0.64</v>
      </c>
      <c r="D3" s="8">
        <v>42742.041666666664</v>
      </c>
      <c r="E3" s="165">
        <v>0.67</v>
      </c>
      <c r="F3" s="165" t="s">
        <v>234</v>
      </c>
      <c r="G3" s="165">
        <v>329.4</v>
      </c>
      <c r="H3" s="165">
        <v>0</v>
      </c>
      <c r="I3" s="165">
        <v>0</v>
      </c>
      <c r="J3" s="165">
        <v>1035.93</v>
      </c>
      <c r="K3" s="165" t="s">
        <v>657</v>
      </c>
      <c r="L3" s="165">
        <v>9.3000000000000007</v>
      </c>
      <c r="M3" s="165">
        <v>1483776000</v>
      </c>
      <c r="N3" s="165">
        <v>6.89</v>
      </c>
      <c r="O3" s="165">
        <v>227</v>
      </c>
      <c r="P3" s="165">
        <v>3.26</v>
      </c>
      <c r="Q3"/>
      <c r="R3"/>
    </row>
    <row r="4" spans="1:18" x14ac:dyDescent="0.25">
      <c r="A4" s="165">
        <v>3.33</v>
      </c>
      <c r="B4" s="165">
        <v>0.37</v>
      </c>
      <c r="C4" s="165">
        <v>1.22</v>
      </c>
      <c r="D4" s="8">
        <v>42742.083333333336</v>
      </c>
      <c r="E4" s="165">
        <v>0.68</v>
      </c>
      <c r="F4" s="165" t="s">
        <v>234</v>
      </c>
      <c r="G4" s="165">
        <v>329.04</v>
      </c>
      <c r="H4" s="165">
        <v>0</v>
      </c>
      <c r="I4" s="165">
        <v>0</v>
      </c>
      <c r="J4" s="165">
        <v>1036.8599999999999</v>
      </c>
      <c r="K4" s="165" t="s">
        <v>657</v>
      </c>
      <c r="L4" s="165">
        <v>9.76</v>
      </c>
      <c r="M4" s="165">
        <v>1483779600</v>
      </c>
      <c r="N4" s="165">
        <v>6.06</v>
      </c>
      <c r="O4" s="165">
        <v>223</v>
      </c>
      <c r="P4" s="165">
        <v>3.44</v>
      </c>
      <c r="Q4"/>
      <c r="R4"/>
    </row>
    <row r="5" spans="1:18" x14ac:dyDescent="0.25">
      <c r="A5" s="165">
        <v>0.66</v>
      </c>
      <c r="B5" s="165">
        <v>0.36</v>
      </c>
      <c r="C5" s="165">
        <v>-0.13</v>
      </c>
      <c r="D5" s="8">
        <v>42742.125</v>
      </c>
      <c r="E5" s="165">
        <v>0.67</v>
      </c>
      <c r="F5" s="165" t="s">
        <v>234</v>
      </c>
      <c r="G5" s="165">
        <v>327.72</v>
      </c>
      <c r="H5" s="165">
        <v>0</v>
      </c>
      <c r="I5" s="165">
        <v>0</v>
      </c>
      <c r="J5" s="165">
        <v>1036.74</v>
      </c>
      <c r="K5" s="165" t="s">
        <v>657</v>
      </c>
      <c r="L5" s="165">
        <v>8.48</v>
      </c>
      <c r="M5" s="165">
        <v>1483783200</v>
      </c>
      <c r="N5" s="165">
        <v>5.51</v>
      </c>
      <c r="O5" s="165">
        <v>229</v>
      </c>
      <c r="P5" s="165">
        <v>4.1500000000000004</v>
      </c>
      <c r="Q5"/>
      <c r="R5"/>
    </row>
    <row r="6" spans="1:18" x14ac:dyDescent="0.25">
      <c r="A6" s="165">
        <v>0.24</v>
      </c>
      <c r="B6" s="165">
        <v>0.32</v>
      </c>
      <c r="C6" s="165">
        <v>-1.46</v>
      </c>
      <c r="D6" s="8">
        <v>42742.166666666664</v>
      </c>
      <c r="E6" s="165">
        <v>0.67</v>
      </c>
      <c r="F6" s="165" t="s">
        <v>234</v>
      </c>
      <c r="G6" s="165">
        <v>325.94</v>
      </c>
      <c r="H6" s="165">
        <v>0</v>
      </c>
      <c r="I6" s="165">
        <v>0</v>
      </c>
      <c r="J6" s="165">
        <v>1036.23</v>
      </c>
      <c r="K6" s="165" t="s">
        <v>657</v>
      </c>
      <c r="L6" s="165">
        <v>7.08</v>
      </c>
      <c r="M6" s="165">
        <v>1483786800</v>
      </c>
      <c r="N6" s="165">
        <v>5.75</v>
      </c>
      <c r="O6" s="165">
        <v>221</v>
      </c>
      <c r="P6" s="165">
        <v>3.45</v>
      </c>
      <c r="Q6"/>
      <c r="R6"/>
    </row>
    <row r="7" spans="1:18" x14ac:dyDescent="0.25">
      <c r="A7" s="165">
        <v>2.06</v>
      </c>
      <c r="B7" s="165">
        <v>0.33</v>
      </c>
      <c r="C7" s="165">
        <v>-0.11</v>
      </c>
      <c r="D7" s="8">
        <v>42742.208333333336</v>
      </c>
      <c r="E7" s="165">
        <v>0.68</v>
      </c>
      <c r="F7" s="165" t="s">
        <v>234</v>
      </c>
      <c r="G7" s="165">
        <v>323.94</v>
      </c>
      <c r="H7" s="165">
        <v>0</v>
      </c>
      <c r="I7" s="165">
        <v>0</v>
      </c>
      <c r="J7" s="165">
        <v>1036.01</v>
      </c>
      <c r="K7" s="165" t="s">
        <v>657</v>
      </c>
      <c r="L7" s="165">
        <v>8.39</v>
      </c>
      <c r="M7" s="165">
        <v>1483790400</v>
      </c>
      <c r="N7" s="165">
        <v>7.35</v>
      </c>
      <c r="O7" s="165">
        <v>227</v>
      </c>
      <c r="P7" s="165">
        <v>3.28</v>
      </c>
      <c r="Q7"/>
      <c r="R7"/>
    </row>
    <row r="8" spans="1:18" x14ac:dyDescent="0.25">
      <c r="A8" s="165">
        <v>8.75</v>
      </c>
      <c r="B8" s="165">
        <v>0.35</v>
      </c>
      <c r="C8" s="165">
        <v>0.15</v>
      </c>
      <c r="D8" s="8">
        <v>42742.25</v>
      </c>
      <c r="E8" s="165">
        <v>0.67</v>
      </c>
      <c r="F8" s="165" t="s">
        <v>234</v>
      </c>
      <c r="G8" s="165">
        <v>321.55</v>
      </c>
      <c r="H8" s="165">
        <v>0</v>
      </c>
      <c r="I8" s="165">
        <v>0</v>
      </c>
      <c r="J8" s="165">
        <v>1036.6300000000001</v>
      </c>
      <c r="K8" s="165" t="s">
        <v>657</v>
      </c>
      <c r="L8" s="165">
        <v>8.75</v>
      </c>
      <c r="M8" s="165">
        <v>1483794000</v>
      </c>
      <c r="N8" s="165">
        <v>6.73</v>
      </c>
      <c r="O8" s="165">
        <v>223</v>
      </c>
      <c r="P8" s="165">
        <v>2.57</v>
      </c>
      <c r="Q8"/>
      <c r="R8"/>
    </row>
    <row r="9" spans="1:18" x14ac:dyDescent="0.25">
      <c r="A9" s="165">
        <v>1.85</v>
      </c>
      <c r="B9" s="165">
        <v>0.43</v>
      </c>
      <c r="C9" s="165">
        <v>0.91</v>
      </c>
      <c r="D9" s="8">
        <v>42742.291666666664</v>
      </c>
      <c r="E9" s="165">
        <v>0.68</v>
      </c>
      <c r="F9" s="165" t="s">
        <v>234</v>
      </c>
      <c r="G9" s="165">
        <v>318.92</v>
      </c>
      <c r="H9" s="165">
        <v>0</v>
      </c>
      <c r="I9" s="165">
        <v>0</v>
      </c>
      <c r="J9" s="165">
        <v>1037.5</v>
      </c>
      <c r="K9" s="165" t="s">
        <v>657</v>
      </c>
      <c r="L9" s="165">
        <v>9.41</v>
      </c>
      <c r="M9" s="165">
        <v>1483797600</v>
      </c>
      <c r="N9" s="165">
        <v>5.85</v>
      </c>
      <c r="O9" s="165">
        <v>225</v>
      </c>
      <c r="P9" s="165">
        <v>4.09</v>
      </c>
      <c r="Q9"/>
      <c r="R9"/>
    </row>
    <row r="10" spans="1:18" x14ac:dyDescent="0.25">
      <c r="A10" s="165">
        <v>2.54</v>
      </c>
      <c r="B10" s="165">
        <v>0.46</v>
      </c>
      <c r="C10" s="165">
        <v>0.71</v>
      </c>
      <c r="D10" s="8">
        <v>42742.333333333336</v>
      </c>
      <c r="E10" s="165">
        <v>0.67</v>
      </c>
      <c r="F10" s="165" t="s">
        <v>658</v>
      </c>
      <c r="G10" s="165">
        <v>316.74</v>
      </c>
      <c r="H10" s="165">
        <v>0</v>
      </c>
      <c r="I10" s="165">
        <v>0</v>
      </c>
      <c r="J10" s="165">
        <v>1037.7</v>
      </c>
      <c r="K10" s="165" t="s">
        <v>657</v>
      </c>
      <c r="L10" s="165">
        <v>9.35</v>
      </c>
      <c r="M10" s="165">
        <v>1483801200</v>
      </c>
      <c r="N10" s="165">
        <v>5.5</v>
      </c>
      <c r="O10" s="165">
        <v>223</v>
      </c>
      <c r="P10" s="165">
        <v>3.63</v>
      </c>
      <c r="Q10"/>
      <c r="R10"/>
    </row>
    <row r="11" spans="1:18" x14ac:dyDescent="0.25">
      <c r="A11" s="165">
        <v>9.2899999999999991</v>
      </c>
      <c r="B11" s="165">
        <v>0.47</v>
      </c>
      <c r="C11" s="165">
        <v>4.5199999999999996</v>
      </c>
      <c r="D11" s="8">
        <v>42742.375</v>
      </c>
      <c r="E11" s="165">
        <v>0.63</v>
      </c>
      <c r="F11" s="165" t="s">
        <v>658</v>
      </c>
      <c r="G11" s="165">
        <v>315.44</v>
      </c>
      <c r="H11" s="165">
        <v>0</v>
      </c>
      <c r="I11" s="165">
        <v>0</v>
      </c>
      <c r="J11" s="165">
        <v>1036.74</v>
      </c>
      <c r="K11" s="165" t="s">
        <v>657</v>
      </c>
      <c r="L11" s="165">
        <v>14.92</v>
      </c>
      <c r="M11" s="165">
        <v>1483804800</v>
      </c>
      <c r="N11" s="165">
        <v>5.49</v>
      </c>
      <c r="O11" s="165">
        <v>230</v>
      </c>
      <c r="P11" s="165">
        <v>3.4</v>
      </c>
      <c r="Q11"/>
      <c r="R11"/>
    </row>
    <row r="12" spans="1:18" x14ac:dyDescent="0.25">
      <c r="A12" s="165">
        <v>23.53</v>
      </c>
      <c r="B12" s="165">
        <v>0.49</v>
      </c>
      <c r="C12" s="165">
        <v>10.01</v>
      </c>
      <c r="D12" s="8">
        <v>42742.416666666664</v>
      </c>
      <c r="E12" s="165">
        <v>0.56000000000000005</v>
      </c>
      <c r="F12" s="165" t="s">
        <v>658</v>
      </c>
      <c r="G12" s="165">
        <v>314.58</v>
      </c>
      <c r="H12" s="165">
        <v>0</v>
      </c>
      <c r="I12" s="165">
        <v>0</v>
      </c>
      <c r="J12" s="165">
        <v>1034.92</v>
      </c>
      <c r="K12" s="165" t="s">
        <v>657</v>
      </c>
      <c r="L12" s="165">
        <v>23.53</v>
      </c>
      <c r="M12" s="165">
        <v>1483808400</v>
      </c>
      <c r="N12" s="165">
        <v>5.47</v>
      </c>
      <c r="O12" s="165">
        <v>246</v>
      </c>
      <c r="P12" s="165">
        <v>2.68</v>
      </c>
      <c r="Q12"/>
      <c r="R12"/>
    </row>
    <row r="13" spans="1:18" x14ac:dyDescent="0.25">
      <c r="A13" s="165">
        <v>28.5</v>
      </c>
      <c r="B13" s="165">
        <v>0.54</v>
      </c>
      <c r="C13" s="165">
        <v>11.98</v>
      </c>
      <c r="D13" s="8">
        <v>42742.458333333336</v>
      </c>
      <c r="E13" s="165">
        <v>0.49</v>
      </c>
      <c r="F13" s="165" t="s">
        <v>658</v>
      </c>
      <c r="G13" s="165">
        <v>313.52</v>
      </c>
      <c r="H13" s="165">
        <v>0</v>
      </c>
      <c r="I13" s="165">
        <v>0</v>
      </c>
      <c r="J13" s="165">
        <v>1032.96</v>
      </c>
      <c r="K13" s="165" t="s">
        <v>657</v>
      </c>
      <c r="L13" s="165">
        <v>28.5</v>
      </c>
      <c r="M13" s="165">
        <v>1483812000</v>
      </c>
      <c r="N13" s="165">
        <v>5.55</v>
      </c>
      <c r="O13" s="165">
        <v>290</v>
      </c>
      <c r="P13" s="165">
        <v>0.65</v>
      </c>
      <c r="Q13"/>
      <c r="R13"/>
    </row>
    <row r="14" spans="1:18" x14ac:dyDescent="0.25">
      <c r="A14" s="165">
        <v>31.6</v>
      </c>
      <c r="B14" s="165">
        <v>0.56000000000000005</v>
      </c>
      <c r="C14" s="165">
        <v>14.36</v>
      </c>
      <c r="D14" s="8">
        <v>42742.5</v>
      </c>
      <c r="E14" s="165">
        <v>0.48</v>
      </c>
      <c r="F14" s="165" t="s">
        <v>658</v>
      </c>
      <c r="G14" s="165">
        <v>312.12</v>
      </c>
      <c r="H14" s="165">
        <v>0</v>
      </c>
      <c r="I14" s="165">
        <v>0</v>
      </c>
      <c r="J14" s="165">
        <v>1031.3</v>
      </c>
      <c r="K14" s="165" t="s">
        <v>657</v>
      </c>
      <c r="L14" s="165">
        <v>31.6</v>
      </c>
      <c r="M14" s="165">
        <v>1483815600</v>
      </c>
      <c r="N14" s="165">
        <v>5.67</v>
      </c>
      <c r="O14" s="165">
        <v>351</v>
      </c>
      <c r="P14" s="165">
        <v>2.48</v>
      </c>
      <c r="Q14"/>
      <c r="R14"/>
    </row>
    <row r="15" spans="1:18" x14ac:dyDescent="0.25">
      <c r="A15" s="165">
        <v>32</v>
      </c>
      <c r="B15" s="165">
        <v>0.6</v>
      </c>
      <c r="C15" s="165">
        <v>16.73</v>
      </c>
      <c r="D15" s="8">
        <v>42742.541666666664</v>
      </c>
      <c r="E15" s="165">
        <v>0.53</v>
      </c>
      <c r="F15" s="165" t="s">
        <v>658</v>
      </c>
      <c r="G15" s="165">
        <v>310.52999999999997</v>
      </c>
      <c r="H15" s="165">
        <v>0</v>
      </c>
      <c r="I15" s="165">
        <v>0</v>
      </c>
      <c r="J15" s="165">
        <v>1029.97</v>
      </c>
      <c r="K15" s="165" t="s">
        <v>397</v>
      </c>
      <c r="L15" s="165">
        <v>32</v>
      </c>
      <c r="M15" s="165">
        <v>1483819200</v>
      </c>
      <c r="N15" s="165">
        <v>5.72</v>
      </c>
      <c r="O15" s="165">
        <v>20</v>
      </c>
      <c r="P15" s="165">
        <v>2.4700000000000002</v>
      </c>
      <c r="Q15"/>
      <c r="R15"/>
    </row>
    <row r="16" spans="1:18" x14ac:dyDescent="0.25">
      <c r="A16" s="165">
        <v>30.63</v>
      </c>
      <c r="B16" s="165">
        <v>0.48</v>
      </c>
      <c r="C16" s="165">
        <v>16.170000000000002</v>
      </c>
      <c r="D16" s="8">
        <v>42742.583333333336</v>
      </c>
      <c r="E16" s="165">
        <v>0.54</v>
      </c>
      <c r="F16" s="165" t="s">
        <v>658</v>
      </c>
      <c r="G16" s="165">
        <v>308.58</v>
      </c>
      <c r="H16" s="165">
        <v>0</v>
      </c>
      <c r="I16" s="165">
        <v>0</v>
      </c>
      <c r="J16" s="165">
        <v>1029.1600000000001</v>
      </c>
      <c r="K16" s="165" t="s">
        <v>657</v>
      </c>
      <c r="L16" s="165">
        <v>30.63</v>
      </c>
      <c r="M16" s="165">
        <v>1483822800</v>
      </c>
      <c r="N16" s="165">
        <v>7.08</v>
      </c>
      <c r="O16" s="165">
        <v>50</v>
      </c>
      <c r="P16" s="165">
        <v>2.54</v>
      </c>
      <c r="Q16"/>
      <c r="R16"/>
    </row>
    <row r="17" spans="1:18" x14ac:dyDescent="0.25">
      <c r="A17" s="165">
        <v>28.79</v>
      </c>
      <c r="B17" s="165">
        <v>0.51</v>
      </c>
      <c r="C17" s="165">
        <v>15.39</v>
      </c>
      <c r="D17" s="8">
        <v>42742.625</v>
      </c>
      <c r="E17" s="165">
        <v>0.56999999999999995</v>
      </c>
      <c r="F17" s="165" t="s">
        <v>658</v>
      </c>
      <c r="G17" s="165">
        <v>305.94</v>
      </c>
      <c r="H17" s="165">
        <v>0</v>
      </c>
      <c r="I17" s="165">
        <v>0</v>
      </c>
      <c r="J17" s="165">
        <v>1029.23</v>
      </c>
      <c r="K17" s="165" t="s">
        <v>657</v>
      </c>
      <c r="L17" s="165">
        <v>28.79</v>
      </c>
      <c r="M17" s="165">
        <v>1483826400</v>
      </c>
      <c r="N17" s="165">
        <v>7.24</v>
      </c>
      <c r="O17" s="165">
        <v>58</v>
      </c>
      <c r="P17" s="165">
        <v>2.4300000000000002</v>
      </c>
      <c r="Q17"/>
      <c r="R17"/>
    </row>
    <row r="18" spans="1:18" x14ac:dyDescent="0.25">
      <c r="A18" s="165">
        <v>26.62</v>
      </c>
      <c r="B18" s="165">
        <v>0.55000000000000004</v>
      </c>
      <c r="C18" s="165">
        <v>14.19</v>
      </c>
      <c r="D18" s="8">
        <v>42742.666666666664</v>
      </c>
      <c r="E18" s="165">
        <v>0.59</v>
      </c>
      <c r="F18" s="165" t="s">
        <v>658</v>
      </c>
      <c r="G18" s="165">
        <v>302.95999999999998</v>
      </c>
      <c r="H18" s="165">
        <v>0</v>
      </c>
      <c r="I18" s="165">
        <v>0</v>
      </c>
      <c r="J18" s="165">
        <v>1029.95</v>
      </c>
      <c r="K18" s="165" t="s">
        <v>657</v>
      </c>
      <c r="L18" s="165">
        <v>26.62</v>
      </c>
      <c r="M18" s="165">
        <v>1483830000</v>
      </c>
      <c r="N18" s="165">
        <v>7.52</v>
      </c>
      <c r="O18" s="165">
        <v>33</v>
      </c>
      <c r="P18" s="165">
        <v>2.0699999999999998</v>
      </c>
      <c r="Q18"/>
      <c r="R18"/>
    </row>
    <row r="19" spans="1:18" x14ac:dyDescent="0.25">
      <c r="A19" s="165">
        <v>22.37</v>
      </c>
      <c r="B19" s="165">
        <v>0.5</v>
      </c>
      <c r="C19" s="165">
        <v>11.61</v>
      </c>
      <c r="D19" s="8">
        <v>42742.708333333336</v>
      </c>
      <c r="E19" s="165">
        <v>0.63</v>
      </c>
      <c r="F19" s="165" t="s">
        <v>234</v>
      </c>
      <c r="G19" s="165">
        <v>300.54000000000002</v>
      </c>
      <c r="H19" s="165">
        <v>0</v>
      </c>
      <c r="I19" s="165">
        <v>0</v>
      </c>
      <c r="J19" s="165">
        <v>1030.68</v>
      </c>
      <c r="K19" s="165" t="s">
        <v>657</v>
      </c>
      <c r="L19" s="165">
        <v>22.37</v>
      </c>
      <c r="M19" s="165">
        <v>1483833600</v>
      </c>
      <c r="N19" s="165">
        <v>7.88</v>
      </c>
      <c r="O19" s="165">
        <v>21</v>
      </c>
      <c r="P19" s="165">
        <v>1.18</v>
      </c>
      <c r="Q19"/>
      <c r="R19"/>
    </row>
    <row r="20" spans="1:18" x14ac:dyDescent="0.25">
      <c r="A20" s="165">
        <v>18.38</v>
      </c>
      <c r="B20" s="165">
        <v>0.38</v>
      </c>
      <c r="C20" s="165">
        <v>8.67</v>
      </c>
      <c r="D20" s="8">
        <v>42742.75</v>
      </c>
      <c r="E20" s="165">
        <v>0.65</v>
      </c>
      <c r="F20" s="165" t="s">
        <v>234</v>
      </c>
      <c r="G20" s="165">
        <v>299.27</v>
      </c>
      <c r="H20" s="165">
        <v>0</v>
      </c>
      <c r="I20" s="165">
        <v>0</v>
      </c>
      <c r="J20" s="165">
        <v>1031.21</v>
      </c>
      <c r="K20" s="165" t="s">
        <v>657</v>
      </c>
      <c r="L20" s="165">
        <v>18.38</v>
      </c>
      <c r="M20" s="165">
        <v>1483837200</v>
      </c>
      <c r="N20" s="165">
        <v>8.39</v>
      </c>
      <c r="O20" s="165">
        <v>48</v>
      </c>
      <c r="P20" s="165">
        <v>1.04</v>
      </c>
      <c r="Q20"/>
      <c r="R20"/>
    </row>
    <row r="21" spans="1:18" x14ac:dyDescent="0.25">
      <c r="A21" s="165">
        <v>16.25</v>
      </c>
      <c r="B21" s="165">
        <v>0.37</v>
      </c>
      <c r="C21" s="165">
        <v>7.05</v>
      </c>
      <c r="D21" s="8">
        <v>42742.791666666664</v>
      </c>
      <c r="E21" s="165">
        <v>0.66</v>
      </c>
      <c r="F21" s="165" t="s">
        <v>234</v>
      </c>
      <c r="G21" s="165">
        <v>298.56</v>
      </c>
      <c r="H21" s="165">
        <v>0</v>
      </c>
      <c r="I21" s="165">
        <v>0</v>
      </c>
      <c r="J21" s="165">
        <v>1031.9000000000001</v>
      </c>
      <c r="K21" s="165" t="s">
        <v>657</v>
      </c>
      <c r="L21" s="165">
        <v>16.25</v>
      </c>
      <c r="M21" s="165">
        <v>1483840800</v>
      </c>
      <c r="N21" s="165">
        <v>9</v>
      </c>
      <c r="O21" s="165">
        <v>243</v>
      </c>
      <c r="P21" s="165">
        <v>0.87</v>
      </c>
      <c r="Q21"/>
      <c r="R21"/>
    </row>
    <row r="22" spans="1:18" x14ac:dyDescent="0.25">
      <c r="A22" s="165">
        <v>14.84</v>
      </c>
      <c r="B22" s="165">
        <v>0.43</v>
      </c>
      <c r="C22" s="165">
        <v>5.98</v>
      </c>
      <c r="D22" s="8">
        <v>42742.833333333336</v>
      </c>
      <c r="E22" s="165">
        <v>0.67</v>
      </c>
      <c r="F22" s="165" t="s">
        <v>234</v>
      </c>
      <c r="G22" s="165">
        <v>297.56</v>
      </c>
      <c r="H22" s="165">
        <v>0</v>
      </c>
      <c r="I22" s="165">
        <v>0</v>
      </c>
      <c r="J22" s="165">
        <v>1031.92</v>
      </c>
      <c r="K22" s="165" t="s">
        <v>657</v>
      </c>
      <c r="L22" s="165">
        <v>14.84</v>
      </c>
      <c r="M22" s="165">
        <v>1483844400</v>
      </c>
      <c r="N22" s="165">
        <v>8.51</v>
      </c>
      <c r="O22" s="165">
        <v>225</v>
      </c>
      <c r="P22" s="165">
        <v>1.54</v>
      </c>
      <c r="Q22"/>
      <c r="R22"/>
    </row>
    <row r="23" spans="1:18" x14ac:dyDescent="0.25">
      <c r="A23" s="165">
        <v>14.24</v>
      </c>
      <c r="B23" s="165">
        <v>0.48</v>
      </c>
      <c r="C23" s="165">
        <v>5.94</v>
      </c>
      <c r="D23" s="8">
        <v>42742.875</v>
      </c>
      <c r="E23" s="165">
        <v>0.69</v>
      </c>
      <c r="F23" s="165" t="s">
        <v>234</v>
      </c>
      <c r="G23" s="165">
        <v>296.02</v>
      </c>
      <c r="H23" s="165">
        <v>0</v>
      </c>
      <c r="I23" s="165">
        <v>0</v>
      </c>
      <c r="J23" s="165">
        <v>1030.69</v>
      </c>
      <c r="K23" s="165" t="s">
        <v>657</v>
      </c>
      <c r="L23" s="165">
        <v>14.24</v>
      </c>
      <c r="M23" s="165">
        <v>1483848000</v>
      </c>
      <c r="N23" s="165">
        <v>8.07</v>
      </c>
      <c r="O23" s="165">
        <v>240</v>
      </c>
      <c r="P23" s="165">
        <v>1.38</v>
      </c>
      <c r="Q23"/>
      <c r="R23"/>
    </row>
    <row r="24" spans="1:18" x14ac:dyDescent="0.25">
      <c r="A24" s="165">
        <v>13.97</v>
      </c>
      <c r="B24" s="165">
        <v>0.54</v>
      </c>
      <c r="C24" s="165">
        <v>6.3</v>
      </c>
      <c r="D24" s="8">
        <v>42742.916666666664</v>
      </c>
      <c r="E24" s="165">
        <v>0.71</v>
      </c>
      <c r="F24" s="165" t="s">
        <v>234</v>
      </c>
      <c r="G24" s="165">
        <v>294.19</v>
      </c>
      <c r="H24" s="165">
        <v>0</v>
      </c>
      <c r="I24" s="165">
        <v>0</v>
      </c>
      <c r="J24" s="165">
        <v>1028.6400000000001</v>
      </c>
      <c r="K24" s="165" t="s">
        <v>657</v>
      </c>
      <c r="L24" s="165">
        <v>13.97</v>
      </c>
      <c r="M24" s="165">
        <v>1483851600</v>
      </c>
      <c r="N24" s="165">
        <v>8.19</v>
      </c>
      <c r="O24" s="165">
        <v>252</v>
      </c>
      <c r="P24" s="165">
        <v>1.33</v>
      </c>
      <c r="Q24"/>
      <c r="R24"/>
    </row>
    <row r="25" spans="1:18" x14ac:dyDescent="0.25">
      <c r="A25" s="165">
        <v>14.17</v>
      </c>
      <c r="B25" s="165">
        <v>0.53</v>
      </c>
      <c r="C25" s="165">
        <v>6.41</v>
      </c>
      <c r="D25" s="8">
        <v>42742.958333333336</v>
      </c>
      <c r="E25" s="165">
        <v>0.71</v>
      </c>
      <c r="F25" s="165" t="s">
        <v>234</v>
      </c>
      <c r="G25" s="165">
        <v>291.95999999999998</v>
      </c>
      <c r="H25" s="165">
        <v>0</v>
      </c>
      <c r="I25" s="165">
        <v>0</v>
      </c>
      <c r="J25" s="165">
        <v>1026.68</v>
      </c>
      <c r="K25" s="165" t="s">
        <v>657</v>
      </c>
      <c r="L25" s="165">
        <v>14.17</v>
      </c>
      <c r="M25" s="165">
        <v>1483855200</v>
      </c>
      <c r="N25" s="165">
        <v>8.5299999999999994</v>
      </c>
      <c r="O25" s="165">
        <v>242</v>
      </c>
      <c r="P25" s="165">
        <v>0.71</v>
      </c>
      <c r="Q25"/>
      <c r="R25"/>
    </row>
    <row r="26" spans="1:18" x14ac:dyDescent="0.25">
      <c r="A26" s="165">
        <v>15.38</v>
      </c>
      <c r="B26" s="165">
        <v>0.64</v>
      </c>
      <c r="C26" s="165">
        <v>7.54</v>
      </c>
      <c r="D26" s="8">
        <v>42743</v>
      </c>
      <c r="E26" s="165">
        <v>0.71</v>
      </c>
      <c r="F26" s="165" t="s">
        <v>234</v>
      </c>
      <c r="G26" s="165">
        <v>288.89</v>
      </c>
      <c r="H26" s="165">
        <v>0</v>
      </c>
      <c r="I26" s="165">
        <v>0</v>
      </c>
      <c r="J26" s="165">
        <v>1025.42</v>
      </c>
      <c r="K26" s="165" t="s">
        <v>397</v>
      </c>
      <c r="L26" s="165">
        <v>15.38</v>
      </c>
      <c r="M26" s="165">
        <v>1483858800</v>
      </c>
      <c r="N26" s="165">
        <v>8.73</v>
      </c>
      <c r="O26" s="165">
        <v>261</v>
      </c>
      <c r="P26" s="165">
        <v>1.65</v>
      </c>
      <c r="Q26"/>
      <c r="R26"/>
    </row>
    <row r="27" spans="1:18" x14ac:dyDescent="0.25">
      <c r="A27" s="165">
        <v>15.14</v>
      </c>
      <c r="B27" s="165">
        <v>0.68</v>
      </c>
      <c r="C27" s="165">
        <v>6.68</v>
      </c>
      <c r="D27" s="8">
        <v>42743.041666666664</v>
      </c>
      <c r="E27" s="165">
        <v>0.69</v>
      </c>
      <c r="F27" s="165" t="s">
        <v>234</v>
      </c>
      <c r="G27" s="165">
        <v>285.82</v>
      </c>
      <c r="H27" s="165">
        <v>0</v>
      </c>
      <c r="I27" s="165">
        <v>0</v>
      </c>
      <c r="J27" s="165">
        <v>1024.1099999999999</v>
      </c>
      <c r="K27" s="165" t="s">
        <v>397</v>
      </c>
      <c r="L27" s="165">
        <v>15.14</v>
      </c>
      <c r="M27" s="165">
        <v>1483862400</v>
      </c>
      <c r="N27" s="165">
        <v>8.75</v>
      </c>
      <c r="O27" s="165">
        <v>253</v>
      </c>
      <c r="P27" s="165">
        <v>2.4500000000000002</v>
      </c>
      <c r="Q27"/>
      <c r="R27"/>
    </row>
    <row r="28" spans="1:18" x14ac:dyDescent="0.25">
      <c r="A28" s="165">
        <v>11.05</v>
      </c>
      <c r="B28" s="165">
        <v>0.62</v>
      </c>
      <c r="C28" s="165">
        <v>8.31</v>
      </c>
      <c r="D28" s="8">
        <v>42743.083333333336</v>
      </c>
      <c r="E28" s="165">
        <v>0.7</v>
      </c>
      <c r="F28" s="165" t="s">
        <v>234</v>
      </c>
      <c r="G28" s="165">
        <v>282.75</v>
      </c>
      <c r="H28" s="165">
        <v>0</v>
      </c>
      <c r="I28" s="165">
        <v>0</v>
      </c>
      <c r="J28" s="165">
        <v>1022.85</v>
      </c>
      <c r="K28" s="165" t="s">
        <v>397</v>
      </c>
      <c r="L28" s="165">
        <v>16.190000000000001</v>
      </c>
      <c r="M28" s="165">
        <v>1483866000</v>
      </c>
      <c r="N28" s="165">
        <v>7.23</v>
      </c>
      <c r="O28" s="165">
        <v>232</v>
      </c>
      <c r="P28" s="165">
        <v>3.22</v>
      </c>
      <c r="Q28"/>
      <c r="R28"/>
    </row>
    <row r="29" spans="1:18" x14ac:dyDescent="0.25">
      <c r="A29" s="165">
        <v>11.36</v>
      </c>
      <c r="B29" s="165">
        <v>0.76</v>
      </c>
      <c r="C29" s="165">
        <v>10.14</v>
      </c>
      <c r="D29" s="8">
        <v>42743.125</v>
      </c>
      <c r="E29" s="165">
        <v>0.7</v>
      </c>
      <c r="F29" s="165" t="s">
        <v>234</v>
      </c>
      <c r="G29" s="165">
        <v>278.87</v>
      </c>
      <c r="H29" s="165">
        <v>0</v>
      </c>
      <c r="I29" s="165">
        <v>0</v>
      </c>
      <c r="J29" s="165">
        <v>1022.4</v>
      </c>
      <c r="K29" s="165" t="s">
        <v>397</v>
      </c>
      <c r="L29" s="165">
        <v>18.27</v>
      </c>
      <c r="M29" s="165">
        <v>1483869600</v>
      </c>
      <c r="N29" s="165">
        <v>8.19</v>
      </c>
      <c r="O29" s="165">
        <v>231</v>
      </c>
      <c r="P29" s="165">
        <v>4.6500000000000004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42742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808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809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818</v>
      </c>
      <c r="J20" s="165" t="s">
        <v>87</v>
      </c>
      <c r="M20" s="165" t="s">
        <v>304</v>
      </c>
    </row>
    <row r="21" spans="3:13" x14ac:dyDescent="0.25">
      <c r="C21" t="s">
        <v>811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812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826</v>
      </c>
      <c r="J23" s="188" t="s">
        <v>95</v>
      </c>
      <c r="M23" s="165">
        <v>-7</v>
      </c>
    </row>
    <row r="24" spans="3:13" x14ac:dyDescent="0.25">
      <c r="C24" t="s">
        <v>813</v>
      </c>
      <c r="J24" s="165" t="s">
        <v>108</v>
      </c>
      <c r="M24" s="165" t="s">
        <v>110</v>
      </c>
    </row>
    <row r="25" spans="3:13" x14ac:dyDescent="0.25">
      <c r="C25" t="s">
        <v>814</v>
      </c>
      <c r="J25" s="165" t="s">
        <v>151</v>
      </c>
      <c r="M25" s="165" t="b">
        <v>1</v>
      </c>
    </row>
    <row r="26" spans="3:13" x14ac:dyDescent="0.25">
      <c r="C26" t="s">
        <v>815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C:\Users\stu\Documents\GitHub\eaglep3-reporting\EC\2017-01-07-refined-times.txt</v>
      </c>
    </row>
    <row r="27" spans="3:13" x14ac:dyDescent="0.25">
      <c r="C27" t="s">
        <v>816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C:\Users\stu\Documents\GitHub\eaglep3-reporting\EC\2017-01-07-Enforcements.txt</v>
      </c>
    </row>
    <row r="28" spans="3:13" x14ac:dyDescent="0.25">
      <c r="C28" t="s">
        <v>817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C:\Users\stu\Documents\GitHub\eaglep3-reporting\EC\2017-01-07-Runs-refined.txt</v>
      </c>
    </row>
    <row r="29" spans="3:13" x14ac:dyDescent="0.25">
      <c r="C29" t="s">
        <v>819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C:\Users\stu\Documents\GitHub\eaglep3-reporting\EC\2017-01-07-Trips.txt</v>
      </c>
    </row>
    <row r="30" spans="3:13" x14ac:dyDescent="0.25">
      <c r="C30" t="s">
        <v>820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C:\Users\stu\Documents\GitHub\eaglep3-reporting\EC\2017-01-07-Weather.txt</v>
      </c>
    </row>
    <row r="31" spans="3:13" x14ac:dyDescent="0.25">
      <c r="C31" t="s">
        <v>810</v>
      </c>
      <c r="J31" s="165" t="s">
        <v>302</v>
      </c>
      <c r="M31" s="165" t="s">
        <v>303</v>
      </c>
    </row>
    <row r="32" spans="3:13" x14ac:dyDescent="0.25">
      <c r="C32" t="s">
        <v>821</v>
      </c>
    </row>
    <row r="33" spans="3:3" x14ac:dyDescent="0.25">
      <c r="C33" t="s">
        <v>822</v>
      </c>
    </row>
    <row r="34" spans="3:3" x14ac:dyDescent="0.25">
      <c r="C34" t="s">
        <v>823</v>
      </c>
    </row>
    <row r="35" spans="3:3" x14ac:dyDescent="0.25">
      <c r="C35" t="s">
        <v>824</v>
      </c>
    </row>
    <row r="36" spans="3:3" x14ac:dyDescent="0.25">
      <c r="C36" t="s">
        <v>825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836</v>
      </c>
      <c r="B1" t="str">
        <f t="shared" ref="B1:B52" si="0">MID(A1,6,23)</f>
        <v>2017/01/07 10:23:17.241</v>
      </c>
      <c r="C1" t="e">
        <f>ABS(B1-#REF!)</f>
        <v>#REF!</v>
      </c>
    </row>
    <row r="2" spans="1:3" x14ac:dyDescent="0.25">
      <c r="A2" t="s">
        <v>837</v>
      </c>
      <c r="B2" s="21" t="str">
        <f t="shared" si="0"/>
        <v>2017/01/07 10:23:17.374</v>
      </c>
      <c r="C2">
        <f>ABS(B2-B1)</f>
        <v>1.5393525245599449E-6</v>
      </c>
    </row>
    <row r="3" spans="1:3" x14ac:dyDescent="0.25">
      <c r="A3" t="s">
        <v>838</v>
      </c>
      <c r="B3" s="21" t="str">
        <f t="shared" si="0"/>
        <v>2017/01/07 12:57:19.874</v>
      </c>
      <c r="C3" s="21">
        <f t="shared" ref="C3:C52" si="1">ABS(B3-B2)</f>
        <v>0.10697337963210884</v>
      </c>
    </row>
    <row r="4" spans="1:3" x14ac:dyDescent="0.25">
      <c r="A4" t="s">
        <v>839</v>
      </c>
      <c r="B4" s="21" t="str">
        <f t="shared" si="0"/>
        <v>2017/01/07 12:57:20.565</v>
      </c>
      <c r="C4" s="21">
        <f t="shared" si="1"/>
        <v>7.9976889537647367E-6</v>
      </c>
    </row>
    <row r="5" spans="1:3" x14ac:dyDescent="0.25">
      <c r="A5" t="s">
        <v>840</v>
      </c>
      <c r="B5" s="21" t="str">
        <f t="shared" si="0"/>
        <v>2017/01/07 12:57:21.078</v>
      </c>
      <c r="C5" s="21">
        <f t="shared" si="1"/>
        <v>5.9374942793510854E-6</v>
      </c>
    </row>
    <row r="6" spans="1:3" x14ac:dyDescent="0.25">
      <c r="A6" t="s">
        <v>841</v>
      </c>
      <c r="B6" s="21" t="str">
        <f t="shared" si="0"/>
        <v>2017/01/07 12:58:08.568</v>
      </c>
      <c r="C6" s="21">
        <f t="shared" si="1"/>
        <v>5.4965278104646131E-4</v>
      </c>
    </row>
    <row r="7" spans="1:3" x14ac:dyDescent="0.25">
      <c r="A7" t="s">
        <v>842</v>
      </c>
      <c r="B7" s="21" t="str">
        <f t="shared" si="0"/>
        <v>2017/01/07 12:58:08.873</v>
      </c>
      <c r="C7" s="21">
        <f t="shared" si="1"/>
        <v>3.5300909075886011E-6</v>
      </c>
    </row>
    <row r="8" spans="1:3" x14ac:dyDescent="0.25">
      <c r="A8" t="s">
        <v>843</v>
      </c>
      <c r="B8" s="21" t="str">
        <f t="shared" si="0"/>
        <v>2017/01/07 12:58:09.071</v>
      </c>
      <c r="C8" s="21">
        <f t="shared" si="1"/>
        <v>2.2916647139936686E-6</v>
      </c>
    </row>
    <row r="9" spans="1:3" x14ac:dyDescent="0.25">
      <c r="A9" t="s">
        <v>844</v>
      </c>
      <c r="B9" s="21" t="str">
        <f t="shared" si="0"/>
        <v>2017/01/07 14:21:42.361</v>
      </c>
      <c r="C9" s="21">
        <f t="shared" si="1"/>
        <v>5.8024189820571337E-2</v>
      </c>
    </row>
    <row r="10" spans="1:3" x14ac:dyDescent="0.25">
      <c r="A10" t="s">
        <v>845</v>
      </c>
      <c r="B10" s="21" t="str">
        <f t="shared" si="0"/>
        <v>2017/01/07 14:21:42.943</v>
      </c>
      <c r="C10" s="21">
        <f t="shared" si="1"/>
        <v>6.7361106630414724E-6</v>
      </c>
    </row>
    <row r="11" spans="1:3" x14ac:dyDescent="0.25">
      <c r="A11" t="s">
        <v>846</v>
      </c>
      <c r="B11" s="21" t="str">
        <f t="shared" si="0"/>
        <v>2017/01/07 14:21:43.203</v>
      </c>
      <c r="C11" s="21">
        <f t="shared" si="1"/>
        <v>3.0092560336925089E-6</v>
      </c>
    </row>
    <row r="12" spans="1:3" x14ac:dyDescent="0.25">
      <c r="A12" t="s">
        <v>847</v>
      </c>
      <c r="B12" s="21" t="str">
        <f t="shared" si="0"/>
        <v>2017/01/07 15:03:06.754</v>
      </c>
      <c r="C12" s="21">
        <f t="shared" si="1"/>
        <v>2.8744803239533212E-2</v>
      </c>
    </row>
    <row r="13" spans="1:3" x14ac:dyDescent="0.25">
      <c r="A13" t="s">
        <v>848</v>
      </c>
      <c r="B13" s="21" t="str">
        <f t="shared" si="0"/>
        <v>2017/01/07 15:03:06.949</v>
      </c>
      <c r="C13" s="21">
        <f t="shared" si="1"/>
        <v>2.2569438442587852E-6</v>
      </c>
    </row>
    <row r="14" spans="1:3" x14ac:dyDescent="0.25">
      <c r="A14" t="s">
        <v>849</v>
      </c>
      <c r="B14" s="21" t="str">
        <f t="shared" si="0"/>
        <v>2017/01/07 15:03:07.193</v>
      </c>
      <c r="C14" s="21">
        <f t="shared" si="1"/>
        <v>2.8240756364539266E-6</v>
      </c>
    </row>
    <row r="15" spans="1:3" x14ac:dyDescent="0.25">
      <c r="A15" t="s">
        <v>850</v>
      </c>
      <c r="B15" s="21" t="str">
        <f t="shared" si="0"/>
        <v>2017/01/07 15:09:48.116</v>
      </c>
      <c r="C15" s="21">
        <f t="shared" si="1"/>
        <v>4.6403125015785918E-3</v>
      </c>
    </row>
    <row r="16" spans="1:3" x14ac:dyDescent="0.25">
      <c r="A16" t="s">
        <v>851</v>
      </c>
      <c r="B16" s="21" t="str">
        <f t="shared" si="0"/>
        <v>2017/01/07 15:09:49.190</v>
      </c>
      <c r="C16" s="21">
        <f t="shared" si="1"/>
        <v>1.2430551578290761E-5</v>
      </c>
    </row>
    <row r="17" spans="1:3" x14ac:dyDescent="0.25">
      <c r="A17" t="s">
        <v>852</v>
      </c>
      <c r="B17" s="21" t="str">
        <f t="shared" si="0"/>
        <v>2017/01/07 15:09:49.233</v>
      </c>
      <c r="C17" s="21">
        <f t="shared" si="1"/>
        <v>4.976900527253747E-7</v>
      </c>
    </row>
    <row r="18" spans="1:3" x14ac:dyDescent="0.25">
      <c r="A18" t="s">
        <v>853</v>
      </c>
      <c r="B18" s="21" t="str">
        <f t="shared" si="0"/>
        <v>2017/01/07 16:52:17.073</v>
      </c>
      <c r="C18" s="21">
        <f t="shared" si="1"/>
        <v>7.115555555355968E-2</v>
      </c>
    </row>
    <row r="19" spans="1:3" x14ac:dyDescent="0.25">
      <c r="A19" t="s">
        <v>854</v>
      </c>
      <c r="B19" s="21" t="str">
        <f t="shared" si="0"/>
        <v>2017/01/07 16:52:17.186</v>
      </c>
      <c r="C19" s="21">
        <f t="shared" si="1"/>
        <v>1.3078679330646992E-6</v>
      </c>
    </row>
    <row r="20" spans="1:3" x14ac:dyDescent="0.25">
      <c r="A20" t="s">
        <v>855</v>
      </c>
      <c r="B20" s="21" t="str">
        <f t="shared" si="0"/>
        <v>2017/01/07 16:52:17.484</v>
      </c>
      <c r="C20" s="21">
        <f t="shared" si="1"/>
        <v>3.4490731195546687E-6</v>
      </c>
    </row>
    <row r="21" spans="1:3" x14ac:dyDescent="0.25">
      <c r="A21" t="s">
        <v>856</v>
      </c>
      <c r="B21" s="21" t="str">
        <f t="shared" si="0"/>
        <v>2017/01/07 17:34:12.467</v>
      </c>
      <c r="C21" s="21">
        <f t="shared" si="1"/>
        <v>2.9108599541359581E-2</v>
      </c>
    </row>
    <row r="22" spans="1:3" x14ac:dyDescent="0.25">
      <c r="A22" t="s">
        <v>857</v>
      </c>
      <c r="B22" s="21" t="str">
        <f t="shared" si="0"/>
        <v>2017/01/07 17:34:12.770</v>
      </c>
      <c r="C22" s="21">
        <f t="shared" si="1"/>
        <v>3.5069460864178836E-6</v>
      </c>
    </row>
    <row r="23" spans="1:3" x14ac:dyDescent="0.25">
      <c r="A23" t="s">
        <v>858</v>
      </c>
      <c r="B23" s="21" t="str">
        <f t="shared" si="0"/>
        <v>2017/01/07 17:34:12.961</v>
      </c>
      <c r="C23" s="21">
        <f t="shared" si="1"/>
        <v>2.2106469259597361E-6</v>
      </c>
    </row>
    <row r="24" spans="1:3" x14ac:dyDescent="0.25">
      <c r="A24" t="s">
        <v>859</v>
      </c>
      <c r="B24" s="21" t="str">
        <f t="shared" si="0"/>
        <v>2017/01/07 18:35:08.487</v>
      </c>
      <c r="C24" s="21">
        <f t="shared" si="1"/>
        <v>4.2309328702685889E-2</v>
      </c>
    </row>
    <row r="25" spans="1:3" x14ac:dyDescent="0.25">
      <c r="A25" t="s">
        <v>860</v>
      </c>
      <c r="B25" s="21" t="str">
        <f t="shared" si="0"/>
        <v>2017/01/07 18:35:08.746</v>
      </c>
      <c r="C25" s="21">
        <f t="shared" si="1"/>
        <v>2.9976872610859573E-6</v>
      </c>
    </row>
    <row r="26" spans="1:3" x14ac:dyDescent="0.25">
      <c r="A26" t="s">
        <v>861</v>
      </c>
      <c r="B26" s="21" t="str">
        <f t="shared" si="0"/>
        <v>2017/01/07 18:35:08.968</v>
      </c>
      <c r="C26" s="21">
        <f t="shared" si="1"/>
        <v>2.5694389478303492E-6</v>
      </c>
    </row>
    <row r="27" spans="1:3" x14ac:dyDescent="0.25">
      <c r="A27" t="s">
        <v>862</v>
      </c>
      <c r="B27" s="21" t="str">
        <f t="shared" si="0"/>
        <v>2017/01/07 18:37:25.480</v>
      </c>
      <c r="C27" s="21">
        <f t="shared" si="1"/>
        <v>1.5800000037415884E-3</v>
      </c>
    </row>
    <row r="28" spans="1:3" x14ac:dyDescent="0.25">
      <c r="A28" t="s">
        <v>863</v>
      </c>
      <c r="B28" s="21" t="str">
        <f t="shared" si="0"/>
        <v>2017/01/07 18:37:26.085</v>
      </c>
      <c r="C28" s="21">
        <f t="shared" si="1"/>
        <v>7.0023161242716014E-6</v>
      </c>
    </row>
    <row r="29" spans="1:3" x14ac:dyDescent="0.25">
      <c r="A29" t="s">
        <v>864</v>
      </c>
      <c r="B29" s="21" t="str">
        <f t="shared" si="0"/>
        <v>2017/01/07 18:37:26.209</v>
      </c>
      <c r="C29" s="21">
        <f t="shared" si="1"/>
        <v>1.4351826393976808E-6</v>
      </c>
    </row>
    <row r="30" spans="1:3" x14ac:dyDescent="0.25">
      <c r="A30" t="s">
        <v>865</v>
      </c>
      <c r="B30" s="21" t="str">
        <f t="shared" si="0"/>
        <v>2017/01/07 19:47:24.782</v>
      </c>
      <c r="C30" s="21">
        <f t="shared" si="1"/>
        <v>4.8594594911264721E-2</v>
      </c>
    </row>
    <row r="31" spans="1:3" x14ac:dyDescent="0.25">
      <c r="A31" t="s">
        <v>866</v>
      </c>
      <c r="B31" s="21" t="str">
        <f t="shared" si="0"/>
        <v>2017/01/07 19:47:25.775</v>
      </c>
      <c r="C31" s="21">
        <f t="shared" si="1"/>
        <v>1.149305171566084E-5</v>
      </c>
    </row>
    <row r="32" spans="1:3" x14ac:dyDescent="0.25">
      <c r="A32" t="s">
        <v>867</v>
      </c>
      <c r="B32" s="21" t="str">
        <f t="shared" si="0"/>
        <v>2017/01/07 19:50:20.704</v>
      </c>
      <c r="C32" s="21">
        <f t="shared" si="1"/>
        <v>2.0246412022970617E-3</v>
      </c>
    </row>
    <row r="33" spans="1:3" x14ac:dyDescent="0.25">
      <c r="A33" t="s">
        <v>868</v>
      </c>
      <c r="B33" s="21" t="str">
        <f t="shared" si="0"/>
        <v>2017/01/07 19:50:21.059</v>
      </c>
      <c r="C33" s="21">
        <f t="shared" si="1"/>
        <v>4.1087987483479083E-6</v>
      </c>
    </row>
    <row r="34" spans="1:3" x14ac:dyDescent="0.25">
      <c r="A34" t="s">
        <v>869</v>
      </c>
      <c r="B34" s="21" t="str">
        <f t="shared" si="0"/>
        <v>2017/01/07 19:50:21.167</v>
      </c>
      <c r="C34" s="21">
        <f t="shared" si="1"/>
        <v>1.2500022421590984E-6</v>
      </c>
    </row>
    <row r="35" spans="1:3" x14ac:dyDescent="0.25">
      <c r="A35" t="s">
        <v>870</v>
      </c>
      <c r="B35" s="21" t="str">
        <f t="shared" si="0"/>
        <v>2017/01/07 21:00:47.148</v>
      </c>
      <c r="C35" s="21">
        <f t="shared" si="1"/>
        <v>4.8911817124462686E-2</v>
      </c>
    </row>
    <row r="36" spans="1:3" x14ac:dyDescent="0.25">
      <c r="A36" t="s">
        <v>871</v>
      </c>
      <c r="B36" s="21" t="str">
        <f t="shared" si="0"/>
        <v>2017/01/07 21:00:47.358</v>
      </c>
      <c r="C36" s="21">
        <f t="shared" si="1"/>
        <v>2.430555468890816E-6</v>
      </c>
    </row>
    <row r="37" spans="1:3" x14ac:dyDescent="0.25">
      <c r="A37" t="s">
        <v>872</v>
      </c>
      <c r="B37" s="21" t="str">
        <f t="shared" si="0"/>
        <v>2017/01/07 21:00:47.617</v>
      </c>
      <c r="C37" s="21">
        <f t="shared" si="1"/>
        <v>2.9976872610859573E-6</v>
      </c>
    </row>
    <row r="38" spans="1:3" x14ac:dyDescent="0.25">
      <c r="A38" t="s">
        <v>873</v>
      </c>
      <c r="B38" s="21" t="str">
        <f t="shared" si="0"/>
        <v>2017/01/07 21:05:26.145</v>
      </c>
      <c r="C38" s="21">
        <f t="shared" si="1"/>
        <v>3.2237037012237124E-3</v>
      </c>
    </row>
    <row r="39" spans="1:3" x14ac:dyDescent="0.25">
      <c r="A39" t="s">
        <v>874</v>
      </c>
      <c r="B39" s="21" t="str">
        <f t="shared" si="0"/>
        <v>2017/01/07 21:05:26.359</v>
      </c>
      <c r="C39" s="21">
        <f t="shared" si="1"/>
        <v>2.4768523871898651E-6</v>
      </c>
    </row>
    <row r="40" spans="1:3" x14ac:dyDescent="0.25">
      <c r="A40" t="s">
        <v>875</v>
      </c>
      <c r="B40" s="21" t="str">
        <f t="shared" si="0"/>
        <v>2017/01/07 21:05:26.612</v>
      </c>
      <c r="C40" s="21">
        <f t="shared" si="1"/>
        <v>2.9282455216161907E-6</v>
      </c>
    </row>
    <row r="41" spans="1:3" x14ac:dyDescent="0.25">
      <c r="A41" t="s">
        <v>876</v>
      </c>
      <c r="B41" s="21" t="str">
        <f t="shared" si="0"/>
        <v>2017/01/07 21:15:12.766</v>
      </c>
      <c r="C41" s="21">
        <f t="shared" si="1"/>
        <v>6.7841898126062006E-3</v>
      </c>
    </row>
    <row r="42" spans="1:3" x14ac:dyDescent="0.25">
      <c r="A42" t="s">
        <v>877</v>
      </c>
      <c r="B42" s="21" t="str">
        <f t="shared" si="0"/>
        <v>2017/01/07 21:15:12.952</v>
      </c>
      <c r="C42" s="21">
        <f t="shared" si="1"/>
        <v>2.1527812350541353E-6</v>
      </c>
    </row>
    <row r="43" spans="1:3" x14ac:dyDescent="0.25">
      <c r="A43" t="s">
        <v>878</v>
      </c>
      <c r="B43" s="21" t="str">
        <f t="shared" si="0"/>
        <v>2017/01/07 21:15:13.463</v>
      </c>
      <c r="C43" s="21">
        <f t="shared" si="1"/>
        <v>5.9143494581803679E-6</v>
      </c>
    </row>
    <row r="44" spans="1:3" x14ac:dyDescent="0.25">
      <c r="A44" t="s">
        <v>879</v>
      </c>
      <c r="B44" s="21" t="str">
        <f t="shared" si="0"/>
        <v>2017/01/07 21:48:46.399</v>
      </c>
      <c r="C44" s="21">
        <f t="shared" si="1"/>
        <v>2.3297870371607132E-2</v>
      </c>
    </row>
    <row r="45" spans="1:3" x14ac:dyDescent="0.25">
      <c r="A45" t="s">
        <v>880</v>
      </c>
      <c r="B45" s="21" t="str">
        <f t="shared" si="0"/>
        <v>2017/01/07 21:48:46.928</v>
      </c>
      <c r="C45" s="21">
        <f t="shared" si="1"/>
        <v>6.122681952547282E-6</v>
      </c>
    </row>
    <row r="46" spans="1:3" x14ac:dyDescent="0.25">
      <c r="A46" t="s">
        <v>881</v>
      </c>
      <c r="B46" s="21" t="str">
        <f t="shared" si="0"/>
        <v>2017/01/07 21:48:47.452</v>
      </c>
      <c r="C46" s="21">
        <f t="shared" si="1"/>
        <v>6.0648162616416812E-6</v>
      </c>
    </row>
    <row r="47" spans="1:3" x14ac:dyDescent="0.25">
      <c r="A47" t="s">
        <v>882</v>
      </c>
      <c r="B47" s="21" t="str">
        <f t="shared" si="0"/>
        <v>2017/01/07 23:07:56.942</v>
      </c>
      <c r="C47" s="21">
        <f t="shared" si="1"/>
        <v>5.4970949073322117E-2</v>
      </c>
    </row>
    <row r="48" spans="1:3" x14ac:dyDescent="0.25">
      <c r="A48" t="s">
        <v>883</v>
      </c>
      <c r="B48" s="21" t="str">
        <f t="shared" si="0"/>
        <v>2017/01/07 23:07:57.193</v>
      </c>
      <c r="C48" s="21">
        <f t="shared" si="1"/>
        <v>2.905093424487859E-6</v>
      </c>
    </row>
    <row r="49" spans="1:3" x14ac:dyDescent="0.25">
      <c r="A49" t="s">
        <v>884</v>
      </c>
      <c r="B49" s="21" t="str">
        <f t="shared" si="0"/>
        <v>2017/01/07 23:09:55.788</v>
      </c>
      <c r="C49" s="21">
        <f t="shared" si="1"/>
        <v>1.3726273173233494E-3</v>
      </c>
    </row>
    <row r="50" spans="1:3" x14ac:dyDescent="0.25">
      <c r="A50" t="s">
        <v>885</v>
      </c>
      <c r="B50" s="21" t="str">
        <f t="shared" si="0"/>
        <v>2017/01/07 23:09:55.794</v>
      </c>
      <c r="C50" s="21">
        <f t="shared" si="1"/>
        <v>6.9441739469766617E-8</v>
      </c>
    </row>
    <row r="51" spans="1:3" x14ac:dyDescent="0.25">
      <c r="A51" t="s">
        <v>886</v>
      </c>
      <c r="B51" s="21" t="str">
        <f t="shared" si="0"/>
        <v>2017/01/07 23:49:45.777</v>
      </c>
      <c r="C51" s="21">
        <f t="shared" si="1"/>
        <v>2.7661840278597083E-2</v>
      </c>
    </row>
    <row r="52" spans="1:3" x14ac:dyDescent="0.25">
      <c r="A52" t="s">
        <v>887</v>
      </c>
      <c r="B52" s="21" t="str">
        <f t="shared" si="0"/>
        <v>2017/01/08 01:19:42.918</v>
      </c>
      <c r="C52" s="21">
        <f t="shared" si="1"/>
        <v>6.2466909723298158E-2</v>
      </c>
    </row>
    <row r="53" spans="1:3" x14ac:dyDescent="0.25">
      <c r="A53" t="s">
        <v>888</v>
      </c>
      <c r="B53" s="21" t="str">
        <f t="shared" ref="B53:B55" si="2">MID(A53,6,23)</f>
        <v>2017/01/08 01:19:43.419</v>
      </c>
      <c r="C53" s="21">
        <f t="shared" ref="C53:C55" si="3">ABS(B53-B52)</f>
        <v>5.7986108004115522E-6</v>
      </c>
    </row>
    <row r="54" spans="1:3" x14ac:dyDescent="0.25">
      <c r="A54" t="s">
        <v>889</v>
      </c>
      <c r="B54" s="21" t="str">
        <f t="shared" si="2"/>
        <v>2017/01/08 02:27:16.928</v>
      </c>
      <c r="C54" s="21">
        <f t="shared" si="3"/>
        <v>4.6915613420424052E-2</v>
      </c>
    </row>
    <row r="55" spans="1:3" x14ac:dyDescent="0.25">
      <c r="A55" t="s">
        <v>890</v>
      </c>
      <c r="B55" s="21" t="str">
        <f t="shared" si="2"/>
        <v>2017/01/08 02:27:17.426</v>
      </c>
      <c r="C55" s="21">
        <f t="shared" si="3"/>
        <v>5.7638899306766689E-6</v>
      </c>
    </row>
    <row r="56" spans="1:3" x14ac:dyDescent="0.25">
      <c r="A56" t="s">
        <v>891</v>
      </c>
      <c r="B56" s="21" t="str">
        <f t="shared" ref="B56:B57" si="4">MID(A56,6,23)</f>
        <v>2017/01/08 02:36:21.658</v>
      </c>
      <c r="C56" s="21">
        <f t="shared" ref="C56:C57" si="5">ABS(B56-B55)</f>
        <v>6.2989814832690172E-3</v>
      </c>
    </row>
    <row r="57" spans="1:3" x14ac:dyDescent="0.25">
      <c r="A57" t="s">
        <v>892</v>
      </c>
      <c r="B57" s="21" t="str">
        <f t="shared" si="4"/>
        <v>2017/01/08 02:36:22.279</v>
      </c>
      <c r="C57" s="21">
        <f t="shared" si="5"/>
        <v>7.187503797467798E-6</v>
      </c>
    </row>
    <row r="58" spans="1:3" x14ac:dyDescent="0.25">
      <c r="A58" t="s">
        <v>893</v>
      </c>
      <c r="B58" s="21" t="str">
        <f t="shared" ref="B58:B69" si="6">MID(A58,6,23)</f>
        <v>2017/01/08 02:36:22.295</v>
      </c>
      <c r="C58" s="21">
        <f t="shared" ref="C58:C69" si="7">ABS(B58-B57)</f>
        <v>1.8518039723858237E-7</v>
      </c>
    </row>
    <row r="59" spans="1:3" x14ac:dyDescent="0.25">
      <c r="A59" t="s">
        <v>894</v>
      </c>
      <c r="B59" s="21" t="str">
        <f t="shared" si="6"/>
        <v>2017/01/08 03:04:21.421</v>
      </c>
      <c r="C59" s="21">
        <f t="shared" si="7"/>
        <v>1.9434328707575332E-2</v>
      </c>
    </row>
    <row r="60" spans="1:3" x14ac:dyDescent="0.25">
      <c r="A60" t="s">
        <v>895</v>
      </c>
      <c r="B60" s="21" t="str">
        <f t="shared" si="6"/>
        <v>2017/01/08 03:05:30.483</v>
      </c>
      <c r="C60" s="21">
        <f t="shared" si="7"/>
        <v>7.9932869994081557E-4</v>
      </c>
    </row>
    <row r="61" spans="1:3" x14ac:dyDescent="0.25">
      <c r="A61" t="s">
        <v>896</v>
      </c>
      <c r="B61" s="21" t="str">
        <f t="shared" si="6"/>
        <v>2017/01/08 03:05:31.086</v>
      </c>
      <c r="C61" s="21">
        <f t="shared" si="7"/>
        <v>6.979171303100884E-6</v>
      </c>
    </row>
    <row r="62" spans="1:3" x14ac:dyDescent="0.25">
      <c r="A62" t="s">
        <v>897</v>
      </c>
      <c r="B62" s="21" t="str">
        <f t="shared" si="6"/>
        <v>2017/01/08 04:05:26.359</v>
      </c>
      <c r="C62" s="21">
        <f t="shared" si="7"/>
        <v>4.1611956017732155E-2</v>
      </c>
    </row>
    <row r="63" spans="1:3" x14ac:dyDescent="0.25">
      <c r="A63" t="s">
        <v>898</v>
      </c>
      <c r="B63" s="21" t="str">
        <f t="shared" si="6"/>
        <v>2017/01/08 04:05:26.456</v>
      </c>
      <c r="C63" s="21">
        <f t="shared" si="7"/>
        <v>1.1226802598685026E-6</v>
      </c>
    </row>
    <row r="64" spans="1:3" x14ac:dyDescent="0.25">
      <c r="A64" t="s">
        <v>899</v>
      </c>
      <c r="B64" s="21" t="str">
        <f t="shared" si="6"/>
        <v>2017/01/08 06:06:17.362</v>
      </c>
      <c r="C64" s="21">
        <f t="shared" si="7"/>
        <v>8.3922523153887596E-2</v>
      </c>
    </row>
    <row r="65" spans="1:3" x14ac:dyDescent="0.25">
      <c r="A65" t="s">
        <v>900</v>
      </c>
      <c r="B65" s="21" t="str">
        <f t="shared" si="6"/>
        <v>2017/01/08 06:06:17.464</v>
      </c>
      <c r="C65" s="21">
        <f t="shared" si="7"/>
        <v>1.1805532267317176E-6</v>
      </c>
    </row>
    <row r="66" spans="1:3" x14ac:dyDescent="0.25">
      <c r="A66" t="s">
        <v>901</v>
      </c>
      <c r="B66" s="21" t="str">
        <f t="shared" si="6"/>
        <v>2017/01/08 06:57:24.919</v>
      </c>
      <c r="C66" s="21">
        <f t="shared" si="7"/>
        <v>3.5502951388480142E-2</v>
      </c>
    </row>
    <row r="67" spans="1:3" x14ac:dyDescent="0.25">
      <c r="A67" t="s">
        <v>902</v>
      </c>
      <c r="B67" s="21" t="str">
        <f t="shared" si="6"/>
        <v>2017/01/08 06:57:25.420</v>
      </c>
      <c r="C67" s="21">
        <f t="shared" si="7"/>
        <v>5.7986108004115522E-6</v>
      </c>
    </row>
    <row r="68" spans="1:3" x14ac:dyDescent="0.25">
      <c r="A68" t="s">
        <v>903</v>
      </c>
      <c r="B68" s="21" t="str">
        <f t="shared" si="6"/>
        <v>2017/01/08 07:30:25.919</v>
      </c>
      <c r="C68" s="21">
        <f t="shared" si="7"/>
        <v>2.2922442127310205E-2</v>
      </c>
    </row>
    <row r="69" spans="1:3" x14ac:dyDescent="0.25">
      <c r="B69" s="21" t="str">
        <f t="shared" si="6"/>
        <v/>
      </c>
      <c r="C69" s="21" t="e">
        <f t="shared" si="7"/>
        <v>#VALUE!</v>
      </c>
    </row>
    <row r="70" spans="1:3" x14ac:dyDescent="0.25">
      <c r="B70" s="21"/>
      <c r="C70" s="21"/>
    </row>
    <row r="71" spans="1:3" x14ac:dyDescent="0.25">
      <c r="B71" s="21"/>
      <c r="C71" s="21"/>
    </row>
    <row r="72" spans="1:3" x14ac:dyDescent="0.25">
      <c r="B72" s="21"/>
      <c r="C72" s="21"/>
    </row>
    <row r="73" spans="1:3" x14ac:dyDescent="0.25">
      <c r="B73" s="21"/>
      <c r="C73" s="21"/>
    </row>
    <row r="74" spans="1:3" x14ac:dyDescent="0.25">
      <c r="B74" s="21"/>
      <c r="C74" s="21"/>
    </row>
    <row r="75" spans="1:3" x14ac:dyDescent="0.25">
      <c r="B75" s="21"/>
      <c r="C75" s="21"/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2017-01-25T18:19:14Z</dcterms:modified>
</cp:coreProperties>
</file>