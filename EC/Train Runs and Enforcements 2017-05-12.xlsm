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Enforcements!$A$6:$AC$62</definedName>
    <definedName name="_xlnm._FilterDatabase" localSheetId="2" hidden="1">'Missing Trips'!$A$2:$J$78</definedName>
    <definedName name="_xlnm._FilterDatabase" localSheetId="0" hidden="1">'Train Runs'!$A$12:$AG$270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34" i="1" l="1"/>
  <c r="P263" i="1"/>
  <c r="P202" i="1" l="1"/>
  <c r="P200" i="1"/>
  <c r="P153" i="1"/>
  <c r="P95" i="1"/>
  <c r="S71" i="1"/>
  <c r="P71" i="1"/>
  <c r="X58" i="1"/>
  <c r="X59" i="1"/>
  <c r="X60" i="1"/>
  <c r="X61" i="1"/>
  <c r="X62" i="1"/>
  <c r="P25" i="1"/>
  <c r="K14" i="1"/>
  <c r="L14" i="1"/>
  <c r="M14" i="1"/>
  <c r="N14" i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X15" i="1"/>
  <c r="Y15" i="1"/>
  <c r="Z15" i="1"/>
  <c r="AA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A19" i="1" s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AA20" i="1" s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X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A23" i="1" s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X24" i="1"/>
  <c r="Y24" i="1"/>
  <c r="Z24" i="1"/>
  <c r="AA24" i="1"/>
  <c r="W24" i="1" s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T25" i="1"/>
  <c r="V25" i="1"/>
  <c r="S21" i="3" s="1"/>
  <c r="X25" i="1"/>
  <c r="Y25" i="1"/>
  <c r="Z25" i="1"/>
  <c r="AB25" i="1"/>
  <c r="AC25" i="1"/>
  <c r="AD25" i="1"/>
  <c r="AE25" i="1"/>
  <c r="AF25" i="1"/>
  <c r="AG25" i="1"/>
  <c r="AH25" i="1"/>
  <c r="AI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AA29" i="1" s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A31" i="1" s="1"/>
  <c r="AB31" i="1"/>
  <c r="AC31" i="1"/>
  <c r="AD31" i="1"/>
  <c r="T31" i="1" s="1"/>
  <c r="AE31" i="1"/>
  <c r="AF31" i="1"/>
  <c r="AG31" i="1"/>
  <c r="AH31" i="1"/>
  <c r="AM31" i="1"/>
  <c r="AN31" i="1"/>
  <c r="K32" i="1"/>
  <c r="L32" i="1"/>
  <c r="M32" i="1"/>
  <c r="N32" i="1" s="1"/>
  <c r="V32" i="1"/>
  <c r="S17" i="3" s="1"/>
  <c r="X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AA33" i="1" s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Y35" i="1"/>
  <c r="AA35" i="1" s="1"/>
  <c r="Z35" i="1"/>
  <c r="AB35" i="1"/>
  <c r="AC35" i="1"/>
  <c r="AD35" i="1"/>
  <c r="T35" i="1" s="1"/>
  <c r="AE35" i="1"/>
  <c r="AF35" i="1"/>
  <c r="AG35" i="1"/>
  <c r="AI35" i="1" s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P38" i="1" s="1"/>
  <c r="V38" i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V39" i="1"/>
  <c r="Y39" i="1"/>
  <c r="Z39" i="1"/>
  <c r="AA39" i="1" s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X42" i="1"/>
  <c r="Y42" i="1"/>
  <c r="Z42" i="1"/>
  <c r="AB42" i="1"/>
  <c r="AC42" i="1"/>
  <c r="AD42" i="1"/>
  <c r="AG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A43" i="1" s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X49" i="1"/>
  <c r="Y49" i="1"/>
  <c r="Z49" i="1"/>
  <c r="AB49" i="1"/>
  <c r="AC49" i="1"/>
  <c r="AD49" i="1"/>
  <c r="T49" i="1" s="1"/>
  <c r="AE49" i="1"/>
  <c r="AF49" i="1"/>
  <c r="AG49" i="1"/>
  <c r="AI49" i="1" s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A51" i="1" s="1"/>
  <c r="W51" i="1" s="1"/>
  <c r="AB51" i="1"/>
  <c r="AC51" i="1"/>
  <c r="AD51" i="1"/>
  <c r="T51" i="1" s="1"/>
  <c r="AE51" i="1"/>
  <c r="AF51" i="1"/>
  <c r="AG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A53" i="1" s="1"/>
  <c r="W53" i="1" s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T54" i="1"/>
  <c r="V54" i="1"/>
  <c r="Y54" i="1"/>
  <c r="Z54" i="1"/>
  <c r="AA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T55" i="1"/>
  <c r="V55" i="1"/>
  <c r="Y55" i="1"/>
  <c r="Z55" i="1"/>
  <c r="AB55" i="1"/>
  <c r="AC55" i="1"/>
  <c r="AD55" i="1"/>
  <c r="X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A56" i="1" s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T62" i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X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T65" i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T66" i="1"/>
  <c r="V66" i="1"/>
  <c r="X66" i="1"/>
  <c r="Y66" i="1"/>
  <c r="Z66" i="1"/>
  <c r="AB66" i="1"/>
  <c r="AC66" i="1"/>
  <c r="AD66" i="1"/>
  <c r="AE66" i="1"/>
  <c r="AF66" i="1"/>
  <c r="AG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A68" i="1" s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AA70" i="1" s="1"/>
  <c r="Z70" i="1"/>
  <c r="AB70" i="1"/>
  <c r="AC70" i="1"/>
  <c r="AD70" i="1"/>
  <c r="AG70" i="1" s="1"/>
  <c r="AE70" i="1"/>
  <c r="AF70" i="1"/>
  <c r="AH70" i="1"/>
  <c r="AM70" i="1"/>
  <c r="AN70" i="1"/>
  <c r="K71" i="1"/>
  <c r="L71" i="1"/>
  <c r="M71" i="1"/>
  <c r="V71" i="1"/>
  <c r="Y71" i="1"/>
  <c r="Z71" i="1"/>
  <c r="AB71" i="1"/>
  <c r="AC71" i="1"/>
  <c r="AD71" i="1"/>
  <c r="X71" i="1" s="1"/>
  <c r="AE71" i="1"/>
  <c r="AF71" i="1"/>
  <c r="AH71" i="1"/>
  <c r="AM71" i="1"/>
  <c r="AN71" i="1"/>
  <c r="K72" i="1"/>
  <c r="L72" i="1"/>
  <c r="M72" i="1"/>
  <c r="V72" i="1"/>
  <c r="Y72" i="1"/>
  <c r="Z72" i="1"/>
  <c r="AB72" i="1"/>
  <c r="AC72" i="1"/>
  <c r="AD72" i="1"/>
  <c r="AG72" i="1" s="1"/>
  <c r="AE72" i="1"/>
  <c r="R16" i="3" s="1"/>
  <c r="AF72" i="1"/>
  <c r="AH72" i="1"/>
  <c r="AM72" i="1"/>
  <c r="AN72" i="1"/>
  <c r="K73" i="1"/>
  <c r="L73" i="1"/>
  <c r="M73" i="1"/>
  <c r="N73" i="1" s="1"/>
  <c r="V73" i="1"/>
  <c r="S19" i="3" s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R10" i="3" s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A78" i="1" s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T79" i="1"/>
  <c r="V79" i="1"/>
  <c r="Y79" i="1"/>
  <c r="Z79" i="1"/>
  <c r="AA79" i="1" s="1"/>
  <c r="AB79" i="1"/>
  <c r="AC79" i="1"/>
  <c r="AD79" i="1"/>
  <c r="AE79" i="1"/>
  <c r="AF79" i="1"/>
  <c r="AG79" i="1"/>
  <c r="U79" i="1" s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A82" i="1"/>
  <c r="W82" i="1" s="1"/>
  <c r="AB82" i="1"/>
  <c r="AC82" i="1"/>
  <c r="AD82" i="1"/>
  <c r="T82" i="1" s="1"/>
  <c r="AE82" i="1"/>
  <c r="AF82" i="1"/>
  <c r="AG82" i="1"/>
  <c r="AH82" i="1"/>
  <c r="AI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A85" i="1" s="1"/>
  <c r="AB85" i="1"/>
  <c r="AC85" i="1"/>
  <c r="AD85" i="1"/>
  <c r="T85" i="1" s="1"/>
  <c r="AE85" i="1"/>
  <c r="AF85" i="1"/>
  <c r="AG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A94" i="1" s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S15" i="3" s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A98" i="1" s="1"/>
  <c r="AB98" i="1"/>
  <c r="AC98" i="1"/>
  <c r="AD98" i="1"/>
  <c r="T98" i="1" s="1"/>
  <c r="AE98" i="1"/>
  <c r="R22" i="3" s="1"/>
  <c r="AF98" i="1"/>
  <c r="AH98" i="1"/>
  <c r="AM98" i="1"/>
  <c r="AN98" i="1"/>
  <c r="K99" i="1"/>
  <c r="L99" i="1"/>
  <c r="M99" i="1"/>
  <c r="N99" i="1" s="1"/>
  <c r="V99" i="1"/>
  <c r="S13" i="3" s="1"/>
  <c r="Y99" i="1"/>
  <c r="Z99" i="1"/>
  <c r="AA99" i="1" s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A101" i="1" s="1"/>
  <c r="AB101" i="1"/>
  <c r="AC101" i="1"/>
  <c r="AD101" i="1"/>
  <c r="T101" i="1" s="1"/>
  <c r="AE101" i="1"/>
  <c r="AF101" i="1"/>
  <c r="AG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S29" i="3" s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A110" i="1" s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T111" i="1"/>
  <c r="V111" i="1"/>
  <c r="Y111" i="1"/>
  <c r="Z111" i="1"/>
  <c r="AA111" i="1"/>
  <c r="W111" i="1" s="1"/>
  <c r="AB111" i="1"/>
  <c r="AC111" i="1"/>
  <c r="AD111" i="1"/>
  <c r="AE111" i="1"/>
  <c r="AF111" i="1"/>
  <c r="AG111" i="1"/>
  <c r="AH111" i="1"/>
  <c r="AI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X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S30" i="3" s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A115" i="1" s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A117" i="1" s="1"/>
  <c r="AB117" i="1"/>
  <c r="AC117" i="1"/>
  <c r="AD117" i="1"/>
  <c r="T117" i="1" s="1"/>
  <c r="AE117" i="1"/>
  <c r="R25" i="3" s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T120" i="1"/>
  <c r="V120" i="1"/>
  <c r="Y120" i="1"/>
  <c r="Z120" i="1"/>
  <c r="AA120" i="1" s="1"/>
  <c r="AB120" i="1"/>
  <c r="AC120" i="1"/>
  <c r="AD120" i="1"/>
  <c r="X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A122" i="1" s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T123" i="1"/>
  <c r="V123" i="1"/>
  <c r="Y123" i="1"/>
  <c r="Z123" i="1"/>
  <c r="AB123" i="1"/>
  <c r="AC123" i="1"/>
  <c r="AD123" i="1"/>
  <c r="AG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R12" i="3" s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T132" i="1"/>
  <c r="V132" i="1"/>
  <c r="X132" i="1"/>
  <c r="Y132" i="1"/>
  <c r="Z132" i="1"/>
  <c r="AA132" i="1" s="1"/>
  <c r="W132" i="1" s="1"/>
  <c r="AB132" i="1"/>
  <c r="AC132" i="1"/>
  <c r="AD132" i="1"/>
  <c r="AG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A136" i="1" s="1"/>
  <c r="W136" i="1" s="1"/>
  <c r="AB136" i="1"/>
  <c r="AC136" i="1"/>
  <c r="AD136" i="1"/>
  <c r="AG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A138" i="1" s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T139" i="1"/>
  <c r="V139" i="1"/>
  <c r="Y139" i="1"/>
  <c r="Z139" i="1"/>
  <c r="AA139" i="1"/>
  <c r="W139" i="1" s="1"/>
  <c r="AB139" i="1"/>
  <c r="AC139" i="1"/>
  <c r="AD139" i="1"/>
  <c r="AE139" i="1"/>
  <c r="AF139" i="1"/>
  <c r="AG139" i="1"/>
  <c r="AH139" i="1"/>
  <c r="AI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X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AA143" i="1" s="1"/>
  <c r="Z143" i="1"/>
  <c r="AB143" i="1"/>
  <c r="AC143" i="1"/>
  <c r="AD143" i="1"/>
  <c r="AG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X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A147" i="1" s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X148" i="1" s="1"/>
  <c r="AE148" i="1"/>
  <c r="AF148" i="1"/>
  <c r="AH148" i="1"/>
  <c r="AM148" i="1"/>
  <c r="AN148" i="1"/>
  <c r="K149" i="1"/>
  <c r="L149" i="1"/>
  <c r="M149" i="1"/>
  <c r="N149" i="1" s="1"/>
  <c r="T149" i="1"/>
  <c r="V149" i="1"/>
  <c r="Y149" i="1"/>
  <c r="Z149" i="1"/>
  <c r="AA149" i="1" s="1"/>
  <c r="AB149" i="1"/>
  <c r="AC149" i="1"/>
  <c r="AD149" i="1"/>
  <c r="X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V154" i="1"/>
  <c r="Y154" i="1"/>
  <c r="Z154" i="1"/>
  <c r="AA154" i="1" s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V155" i="1"/>
  <c r="Y155" i="1"/>
  <c r="AA155" i="1" s="1"/>
  <c r="Z155" i="1"/>
  <c r="AB155" i="1"/>
  <c r="AC155" i="1"/>
  <c r="AD155" i="1"/>
  <c r="AG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A156" i="1" s="1"/>
  <c r="AB156" i="1"/>
  <c r="AC156" i="1"/>
  <c r="AD156" i="1"/>
  <c r="AG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K159" i="1"/>
  <c r="L159" i="1"/>
  <c r="M159" i="1"/>
  <c r="N159" i="1" s="1"/>
  <c r="V159" i="1"/>
  <c r="S9" i="3" s="1"/>
  <c r="Y159" i="1"/>
  <c r="Z159" i="1"/>
  <c r="AB159" i="1"/>
  <c r="AC159" i="1"/>
  <c r="AD159" i="1"/>
  <c r="AG159" i="1" s="1"/>
  <c r="AE159" i="1"/>
  <c r="AF159" i="1"/>
  <c r="AH159" i="1"/>
  <c r="AM159" i="1"/>
  <c r="AN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60" i="1"/>
  <c r="AM160" i="1"/>
  <c r="AN160" i="1"/>
  <c r="K161" i="1"/>
  <c r="L161" i="1"/>
  <c r="M161" i="1"/>
  <c r="N161" i="1" s="1"/>
  <c r="T161" i="1"/>
  <c r="V161" i="1"/>
  <c r="Y161" i="1"/>
  <c r="Z161" i="1"/>
  <c r="AA161" i="1" s="1"/>
  <c r="AB161" i="1"/>
  <c r="AC161" i="1"/>
  <c r="AD161" i="1"/>
  <c r="X161" i="1" s="1"/>
  <c r="AE161" i="1"/>
  <c r="AF161" i="1"/>
  <c r="AH161" i="1"/>
  <c r="AM161" i="1"/>
  <c r="AN161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62" i="1"/>
  <c r="AM162" i="1"/>
  <c r="AN162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163" i="1"/>
  <c r="AI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A214" i="1" s="1"/>
  <c r="W214" i="1" s="1"/>
  <c r="AB214" i="1"/>
  <c r="AC214" i="1"/>
  <c r="AD214" i="1"/>
  <c r="AG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G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A219" i="1" s="1"/>
  <c r="AB219" i="1"/>
  <c r="AC219" i="1"/>
  <c r="AD219" i="1"/>
  <c r="T219" i="1" s="1"/>
  <c r="AE219" i="1"/>
  <c r="AF219" i="1"/>
  <c r="AH172" i="1"/>
  <c r="AM172" i="1"/>
  <c r="AN172" i="1"/>
  <c r="K220" i="1"/>
  <c r="L220" i="1"/>
  <c r="M220" i="1"/>
  <c r="N220" i="1" s="1"/>
  <c r="T220" i="1"/>
  <c r="V220" i="1"/>
  <c r="Y220" i="1"/>
  <c r="Z220" i="1"/>
  <c r="AA220" i="1" s="1"/>
  <c r="AB220" i="1"/>
  <c r="AC220" i="1"/>
  <c r="AD220" i="1"/>
  <c r="X220" i="1" s="1"/>
  <c r="AE220" i="1"/>
  <c r="AF220" i="1"/>
  <c r="AH173" i="1"/>
  <c r="AM173" i="1"/>
  <c r="AN173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174" i="1"/>
  <c r="AM174" i="1"/>
  <c r="AN174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75" i="1"/>
  <c r="AM175" i="1"/>
  <c r="AN175" i="1"/>
  <c r="K229" i="1"/>
  <c r="L229" i="1"/>
  <c r="M229" i="1"/>
  <c r="N229" i="1" s="1"/>
  <c r="V229" i="1"/>
  <c r="Y229" i="1"/>
  <c r="Z229" i="1"/>
  <c r="AA229" i="1" s="1"/>
  <c r="AB229" i="1"/>
  <c r="AC229" i="1"/>
  <c r="AD229" i="1"/>
  <c r="AG229" i="1" s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AG231" i="1" s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A233" i="1" s="1"/>
  <c r="AB233" i="1"/>
  <c r="AC233" i="1"/>
  <c r="AD233" i="1"/>
  <c r="T233" i="1" s="1"/>
  <c r="AE233" i="1"/>
  <c r="AF233" i="1"/>
  <c r="AH180" i="1"/>
  <c r="AM180" i="1"/>
  <c r="AN180" i="1"/>
  <c r="K234" i="1"/>
  <c r="L234" i="1"/>
  <c r="M234" i="1"/>
  <c r="V234" i="1"/>
  <c r="Y234" i="1"/>
  <c r="Z234" i="1"/>
  <c r="AB234" i="1"/>
  <c r="AC234" i="1"/>
  <c r="AD234" i="1"/>
  <c r="AE234" i="1"/>
  <c r="AF234" i="1"/>
  <c r="AH181" i="1"/>
  <c r="AM181" i="1"/>
  <c r="AN181" i="1"/>
  <c r="K235" i="1"/>
  <c r="L235" i="1"/>
  <c r="M235" i="1"/>
  <c r="N235" i="1" s="1"/>
  <c r="V235" i="1"/>
  <c r="Y235" i="1"/>
  <c r="Z235" i="1"/>
  <c r="AB235" i="1"/>
  <c r="AC235" i="1"/>
  <c r="AD235" i="1"/>
  <c r="AG235" i="1" s="1"/>
  <c r="AE235" i="1"/>
  <c r="AF235" i="1"/>
  <c r="AH182" i="1"/>
  <c r="AM182" i="1"/>
  <c r="AN182" i="1"/>
  <c r="K236" i="1"/>
  <c r="L236" i="1"/>
  <c r="M236" i="1"/>
  <c r="N236" i="1" s="1"/>
  <c r="V236" i="1"/>
  <c r="Y236" i="1"/>
  <c r="AA236" i="1" s="1"/>
  <c r="Z236" i="1"/>
  <c r="AB236" i="1"/>
  <c r="AC236" i="1"/>
  <c r="AD236" i="1"/>
  <c r="T236" i="1" s="1"/>
  <c r="AE236" i="1"/>
  <c r="AF236" i="1"/>
  <c r="AH183" i="1"/>
  <c r="AM183" i="1"/>
  <c r="AN183" i="1"/>
  <c r="K237" i="1"/>
  <c r="L237" i="1"/>
  <c r="M237" i="1"/>
  <c r="N237" i="1" s="1"/>
  <c r="V237" i="1"/>
  <c r="Y237" i="1"/>
  <c r="Z237" i="1"/>
  <c r="AA237" i="1" s="1"/>
  <c r="AB237" i="1"/>
  <c r="AC237" i="1"/>
  <c r="AD237" i="1"/>
  <c r="AG237" i="1" s="1"/>
  <c r="AE237" i="1"/>
  <c r="AF237" i="1"/>
  <c r="AH184" i="1"/>
  <c r="AM184" i="1"/>
  <c r="AN184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5" i="1"/>
  <c r="AM185" i="1"/>
  <c r="AN185" i="1"/>
  <c r="K239" i="1"/>
  <c r="L239" i="1"/>
  <c r="M239" i="1"/>
  <c r="N239" i="1" s="1"/>
  <c r="V239" i="1"/>
  <c r="Y239" i="1"/>
  <c r="Z239" i="1"/>
  <c r="AB239" i="1"/>
  <c r="AC239" i="1"/>
  <c r="AD239" i="1"/>
  <c r="AG239" i="1" s="1"/>
  <c r="AI239" i="1" s="1"/>
  <c r="AE239" i="1"/>
  <c r="AF239" i="1"/>
  <c r="AH186" i="1"/>
  <c r="AM186" i="1"/>
  <c r="AN186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7" i="1"/>
  <c r="AM187" i="1"/>
  <c r="AN187" i="1"/>
  <c r="K241" i="1"/>
  <c r="L241" i="1"/>
  <c r="M241" i="1"/>
  <c r="N241" i="1" s="1"/>
  <c r="V241" i="1"/>
  <c r="Y241" i="1"/>
  <c r="Z241" i="1"/>
  <c r="AA241" i="1" s="1"/>
  <c r="W241" i="1" s="1"/>
  <c r="AB241" i="1"/>
  <c r="AC241" i="1"/>
  <c r="AD241" i="1"/>
  <c r="T241" i="1" s="1"/>
  <c r="AE241" i="1"/>
  <c r="AF241" i="1"/>
  <c r="AG241" i="1"/>
  <c r="AH188" i="1"/>
  <c r="AM188" i="1"/>
  <c r="AN188" i="1"/>
  <c r="K242" i="1"/>
  <c r="L242" i="1"/>
  <c r="M242" i="1"/>
  <c r="N242" i="1" s="1"/>
  <c r="V242" i="1"/>
  <c r="Y242" i="1"/>
  <c r="Z242" i="1"/>
  <c r="AB242" i="1"/>
  <c r="AC242" i="1"/>
  <c r="AD242" i="1"/>
  <c r="X242" i="1" s="1"/>
  <c r="AE242" i="1"/>
  <c r="AF242" i="1"/>
  <c r="AH189" i="1"/>
  <c r="AM189" i="1"/>
  <c r="AN189" i="1"/>
  <c r="K243" i="1"/>
  <c r="L243" i="1"/>
  <c r="M243" i="1"/>
  <c r="N243" i="1" s="1"/>
  <c r="V243" i="1"/>
  <c r="Y243" i="1"/>
  <c r="Z243" i="1"/>
  <c r="AA243" i="1" s="1"/>
  <c r="W243" i="1" s="1"/>
  <c r="AB243" i="1"/>
  <c r="AC243" i="1"/>
  <c r="AD243" i="1"/>
  <c r="AG243" i="1" s="1"/>
  <c r="AE243" i="1"/>
  <c r="AF243" i="1"/>
  <c r="AH190" i="1"/>
  <c r="AM190" i="1"/>
  <c r="AN190" i="1"/>
  <c r="K244" i="1"/>
  <c r="L244" i="1"/>
  <c r="M244" i="1"/>
  <c r="N244" i="1"/>
  <c r="V244" i="1"/>
  <c r="Y244" i="1"/>
  <c r="AA244" i="1" s="1"/>
  <c r="Z244" i="1"/>
  <c r="AB244" i="1"/>
  <c r="AC244" i="1"/>
  <c r="AD244" i="1"/>
  <c r="T244" i="1" s="1"/>
  <c r="AE244" i="1"/>
  <c r="AF244" i="1"/>
  <c r="AH191" i="1"/>
  <c r="AM191" i="1"/>
  <c r="AN191" i="1"/>
  <c r="K245" i="1"/>
  <c r="L245" i="1"/>
  <c r="M245" i="1"/>
  <c r="N245" i="1" s="1"/>
  <c r="V245" i="1"/>
  <c r="Y245" i="1"/>
  <c r="Z245" i="1"/>
  <c r="AB245" i="1"/>
  <c r="AC245" i="1"/>
  <c r="AD245" i="1"/>
  <c r="AG245" i="1" s="1"/>
  <c r="AE245" i="1"/>
  <c r="AF245" i="1"/>
  <c r="AH192" i="1"/>
  <c r="AM192" i="1"/>
  <c r="AN192" i="1"/>
  <c r="K246" i="1"/>
  <c r="L246" i="1"/>
  <c r="M246" i="1"/>
  <c r="N246" i="1" s="1"/>
  <c r="V246" i="1"/>
  <c r="Y246" i="1"/>
  <c r="Z246" i="1"/>
  <c r="AB246" i="1"/>
  <c r="AC246" i="1"/>
  <c r="AD246" i="1"/>
  <c r="T246" i="1" s="1"/>
  <c r="AE246" i="1"/>
  <c r="AF246" i="1"/>
  <c r="AH193" i="1"/>
  <c r="AM193" i="1"/>
  <c r="AN193" i="1"/>
  <c r="K247" i="1"/>
  <c r="L247" i="1"/>
  <c r="M247" i="1"/>
  <c r="N247" i="1"/>
  <c r="V247" i="1"/>
  <c r="S54" i="3" s="1"/>
  <c r="Y247" i="1"/>
  <c r="Z247" i="1"/>
  <c r="AB247" i="1"/>
  <c r="AC247" i="1"/>
  <c r="AD247" i="1"/>
  <c r="AG247" i="1" s="1"/>
  <c r="AE247" i="1"/>
  <c r="AF247" i="1"/>
  <c r="AH194" i="1"/>
  <c r="AM194" i="1"/>
  <c r="AN194" i="1"/>
  <c r="K248" i="1"/>
  <c r="L248" i="1"/>
  <c r="M248" i="1"/>
  <c r="N248" i="1" s="1"/>
  <c r="V248" i="1"/>
  <c r="Y248" i="1"/>
  <c r="Z248" i="1"/>
  <c r="AB248" i="1"/>
  <c r="AC248" i="1"/>
  <c r="AD248" i="1"/>
  <c r="T248" i="1" s="1"/>
  <c r="AE248" i="1"/>
  <c r="AF248" i="1"/>
  <c r="AH195" i="1"/>
  <c r="AM195" i="1"/>
  <c r="AN195" i="1"/>
  <c r="K249" i="1"/>
  <c r="L249" i="1"/>
  <c r="M249" i="1"/>
  <c r="N249" i="1" s="1"/>
  <c r="V249" i="1"/>
  <c r="Y249" i="1"/>
  <c r="Z249" i="1"/>
  <c r="AA249" i="1"/>
  <c r="W249" i="1" s="1"/>
  <c r="AB249" i="1"/>
  <c r="AC249" i="1"/>
  <c r="AD249" i="1"/>
  <c r="T249" i="1" s="1"/>
  <c r="AE249" i="1"/>
  <c r="AF249" i="1"/>
  <c r="AG249" i="1"/>
  <c r="AH196" i="1"/>
  <c r="AM196" i="1"/>
  <c r="AN196" i="1"/>
  <c r="K250" i="1"/>
  <c r="L250" i="1"/>
  <c r="M250" i="1"/>
  <c r="N250" i="1" s="1"/>
  <c r="V250" i="1"/>
  <c r="Y250" i="1"/>
  <c r="Z250" i="1"/>
  <c r="AB250" i="1"/>
  <c r="AC250" i="1"/>
  <c r="AD250" i="1"/>
  <c r="AE250" i="1"/>
  <c r="AF250" i="1"/>
  <c r="AH197" i="1"/>
  <c r="AM197" i="1"/>
  <c r="AN197" i="1"/>
  <c r="K251" i="1"/>
  <c r="L251" i="1"/>
  <c r="M251" i="1"/>
  <c r="N251" i="1" s="1"/>
  <c r="V251" i="1"/>
  <c r="Y251" i="1"/>
  <c r="Z251" i="1"/>
  <c r="AA251" i="1" s="1"/>
  <c r="AB251" i="1"/>
  <c r="AC251" i="1"/>
  <c r="AD251" i="1"/>
  <c r="AG251" i="1" s="1"/>
  <c r="AE251" i="1"/>
  <c r="AF251" i="1"/>
  <c r="AH198" i="1"/>
  <c r="AM198" i="1"/>
  <c r="AN198" i="1"/>
  <c r="K252" i="1"/>
  <c r="L252" i="1"/>
  <c r="M252" i="1"/>
  <c r="N252" i="1"/>
  <c r="V252" i="1"/>
  <c r="Y252" i="1"/>
  <c r="Z252" i="1"/>
  <c r="AB252" i="1"/>
  <c r="AC252" i="1"/>
  <c r="AD252" i="1"/>
  <c r="T252" i="1" s="1"/>
  <c r="AE252" i="1"/>
  <c r="AF252" i="1"/>
  <c r="AH199" i="1"/>
  <c r="AM199" i="1"/>
  <c r="AN199" i="1"/>
  <c r="K253" i="1"/>
  <c r="L253" i="1"/>
  <c r="M253" i="1"/>
  <c r="N253" i="1" s="1"/>
  <c r="V253" i="1"/>
  <c r="Y253" i="1"/>
  <c r="Z253" i="1"/>
  <c r="AB253" i="1"/>
  <c r="AC253" i="1"/>
  <c r="AD253" i="1"/>
  <c r="X253" i="1" s="1"/>
  <c r="AE253" i="1"/>
  <c r="AF253" i="1"/>
  <c r="AH200" i="1"/>
  <c r="AM200" i="1"/>
  <c r="AN200" i="1"/>
  <c r="K254" i="1"/>
  <c r="L254" i="1"/>
  <c r="M254" i="1"/>
  <c r="N254" i="1" s="1"/>
  <c r="V254" i="1"/>
  <c r="Y254" i="1"/>
  <c r="Z254" i="1"/>
  <c r="AB254" i="1"/>
  <c r="AC254" i="1"/>
  <c r="AD254" i="1"/>
  <c r="AE254" i="1"/>
  <c r="AF254" i="1"/>
  <c r="AH201" i="1"/>
  <c r="AM201" i="1"/>
  <c r="AN201" i="1"/>
  <c r="K255" i="1"/>
  <c r="L255" i="1"/>
  <c r="M255" i="1"/>
  <c r="N255" i="1" s="1"/>
  <c r="V255" i="1"/>
  <c r="Y255" i="1"/>
  <c r="Z255" i="1"/>
  <c r="AB255" i="1"/>
  <c r="AC255" i="1"/>
  <c r="AD255" i="1"/>
  <c r="AG255" i="1" s="1"/>
  <c r="AE255" i="1"/>
  <c r="AF255" i="1"/>
  <c r="AH202" i="1"/>
  <c r="AM202" i="1"/>
  <c r="AN202" i="1"/>
  <c r="K256" i="1"/>
  <c r="L256" i="1"/>
  <c r="M256" i="1"/>
  <c r="N256" i="1" s="1"/>
  <c r="V256" i="1"/>
  <c r="Y256" i="1"/>
  <c r="Z256" i="1"/>
  <c r="AA256" i="1" s="1"/>
  <c r="AB256" i="1"/>
  <c r="AC256" i="1"/>
  <c r="AD256" i="1"/>
  <c r="T256" i="1" s="1"/>
  <c r="AE256" i="1"/>
  <c r="AF256" i="1"/>
  <c r="AH203" i="1"/>
  <c r="AM203" i="1"/>
  <c r="AN203" i="1"/>
  <c r="K164" i="1"/>
  <c r="L164" i="1"/>
  <c r="M164" i="1"/>
  <c r="N164" i="1" s="1"/>
  <c r="V164" i="1"/>
  <c r="X164" i="1"/>
  <c r="Y164" i="1"/>
  <c r="Z164" i="1"/>
  <c r="AA164" i="1"/>
  <c r="W164" i="1" s="1"/>
  <c r="AB164" i="1"/>
  <c r="AC164" i="1"/>
  <c r="AD164" i="1"/>
  <c r="T164" i="1" s="1"/>
  <c r="AE164" i="1"/>
  <c r="AF164" i="1"/>
  <c r="AG164" i="1"/>
  <c r="AH204" i="1"/>
  <c r="AM204" i="1"/>
  <c r="AN204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205" i="1"/>
  <c r="AM205" i="1"/>
  <c r="AN205" i="1"/>
  <c r="K166" i="1"/>
  <c r="L166" i="1"/>
  <c r="M166" i="1"/>
  <c r="N166" i="1" s="1"/>
  <c r="V166" i="1"/>
  <c r="Y166" i="1"/>
  <c r="Z166" i="1"/>
  <c r="AA166" i="1" s="1"/>
  <c r="W166" i="1" s="1"/>
  <c r="AB166" i="1"/>
  <c r="AC166" i="1"/>
  <c r="AD166" i="1"/>
  <c r="AG166" i="1" s="1"/>
  <c r="AE166" i="1"/>
  <c r="AF166" i="1"/>
  <c r="AH206" i="1"/>
  <c r="AM206" i="1"/>
  <c r="AN206" i="1"/>
  <c r="K167" i="1"/>
  <c r="L167" i="1"/>
  <c r="M167" i="1"/>
  <c r="N167" i="1"/>
  <c r="V167" i="1"/>
  <c r="Y167" i="1"/>
  <c r="Z167" i="1"/>
  <c r="AB167" i="1"/>
  <c r="AC167" i="1"/>
  <c r="AD167" i="1"/>
  <c r="T167" i="1" s="1"/>
  <c r="AE167" i="1"/>
  <c r="AF167" i="1"/>
  <c r="AH207" i="1"/>
  <c r="AM207" i="1"/>
  <c r="AN207" i="1"/>
  <c r="K168" i="1"/>
  <c r="L168" i="1"/>
  <c r="M168" i="1"/>
  <c r="N168" i="1" s="1"/>
  <c r="V168" i="1"/>
  <c r="X168" i="1"/>
  <c r="Y168" i="1"/>
  <c r="Z168" i="1"/>
  <c r="AB168" i="1"/>
  <c r="AC168" i="1"/>
  <c r="AD168" i="1"/>
  <c r="AG168" i="1" s="1"/>
  <c r="AE168" i="1"/>
  <c r="AF168" i="1"/>
  <c r="AH208" i="1"/>
  <c r="AM208" i="1"/>
  <c r="AN208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209" i="1"/>
  <c r="AM209" i="1"/>
  <c r="AN209" i="1"/>
  <c r="K170" i="1"/>
  <c r="L170" i="1"/>
  <c r="M170" i="1"/>
  <c r="N170" i="1"/>
  <c r="V170" i="1"/>
  <c r="Y170" i="1"/>
  <c r="Z170" i="1"/>
  <c r="AB170" i="1"/>
  <c r="AC170" i="1"/>
  <c r="AD170" i="1"/>
  <c r="AG170" i="1" s="1"/>
  <c r="AE170" i="1"/>
  <c r="AF170" i="1"/>
  <c r="AH210" i="1"/>
  <c r="AM210" i="1"/>
  <c r="AN210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11" i="1"/>
  <c r="AM211" i="1"/>
  <c r="AN211" i="1"/>
  <c r="K172" i="1"/>
  <c r="L172" i="1"/>
  <c r="M172" i="1"/>
  <c r="N172" i="1" s="1"/>
  <c r="V172" i="1"/>
  <c r="Y172" i="1"/>
  <c r="Z172" i="1"/>
  <c r="AA172" i="1"/>
  <c r="AB172" i="1"/>
  <c r="AC172" i="1"/>
  <c r="AD172" i="1"/>
  <c r="T172" i="1" s="1"/>
  <c r="AE172" i="1"/>
  <c r="AF172" i="1"/>
  <c r="AH212" i="1"/>
  <c r="AM212" i="1"/>
  <c r="AN212" i="1"/>
  <c r="K173" i="1"/>
  <c r="L173" i="1"/>
  <c r="M173" i="1"/>
  <c r="N173" i="1" s="1"/>
  <c r="V173" i="1"/>
  <c r="Y173" i="1"/>
  <c r="Z173" i="1"/>
  <c r="AB173" i="1"/>
  <c r="AC173" i="1"/>
  <c r="AD173" i="1"/>
  <c r="X173" i="1" s="1"/>
  <c r="AE173" i="1"/>
  <c r="AF173" i="1"/>
  <c r="AH213" i="1"/>
  <c r="AM213" i="1"/>
  <c r="AN213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214" i="1"/>
  <c r="AM214" i="1"/>
  <c r="AN214" i="1"/>
  <c r="K175" i="1"/>
  <c r="L175" i="1"/>
  <c r="M175" i="1"/>
  <c r="N175" i="1" s="1"/>
  <c r="V175" i="1"/>
  <c r="Y175" i="1"/>
  <c r="AA175" i="1" s="1"/>
  <c r="Z175" i="1"/>
  <c r="AB175" i="1"/>
  <c r="AC175" i="1"/>
  <c r="AD175" i="1"/>
  <c r="T175" i="1" s="1"/>
  <c r="AE175" i="1"/>
  <c r="AF175" i="1"/>
  <c r="AH215" i="1"/>
  <c r="AM215" i="1"/>
  <c r="AN215" i="1"/>
  <c r="K176" i="1"/>
  <c r="L176" i="1"/>
  <c r="M176" i="1"/>
  <c r="N176" i="1" s="1"/>
  <c r="V176" i="1"/>
  <c r="Y176" i="1"/>
  <c r="Z176" i="1"/>
  <c r="AA176" i="1" s="1"/>
  <c r="W176" i="1" s="1"/>
  <c r="AB176" i="1"/>
  <c r="AC176" i="1"/>
  <c r="AD176" i="1"/>
  <c r="AG176" i="1" s="1"/>
  <c r="AE176" i="1"/>
  <c r="AF176" i="1"/>
  <c r="AH216" i="1"/>
  <c r="AM216" i="1"/>
  <c r="AN216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17" i="1"/>
  <c r="AM217" i="1"/>
  <c r="AN217" i="1"/>
  <c r="K178" i="1"/>
  <c r="L178" i="1"/>
  <c r="M178" i="1"/>
  <c r="N178" i="1" s="1"/>
  <c r="V178" i="1"/>
  <c r="Y178" i="1"/>
  <c r="Z178" i="1"/>
  <c r="AA178" i="1" s="1"/>
  <c r="W178" i="1" s="1"/>
  <c r="AB178" i="1"/>
  <c r="AC178" i="1"/>
  <c r="AD178" i="1"/>
  <c r="AG178" i="1" s="1"/>
  <c r="AE178" i="1"/>
  <c r="AF178" i="1"/>
  <c r="AH218" i="1"/>
  <c r="AM218" i="1"/>
  <c r="AN218" i="1"/>
  <c r="K179" i="1"/>
  <c r="L179" i="1"/>
  <c r="M179" i="1"/>
  <c r="N179" i="1"/>
  <c r="V179" i="1"/>
  <c r="Y179" i="1"/>
  <c r="Z179" i="1"/>
  <c r="AB179" i="1"/>
  <c r="AC179" i="1"/>
  <c r="AD179" i="1"/>
  <c r="T179" i="1" s="1"/>
  <c r="AE179" i="1"/>
  <c r="AF179" i="1"/>
  <c r="AH219" i="1"/>
  <c r="AM219" i="1"/>
  <c r="AN219" i="1"/>
  <c r="K180" i="1"/>
  <c r="L180" i="1"/>
  <c r="M180" i="1"/>
  <c r="N180" i="1" s="1"/>
  <c r="V180" i="1"/>
  <c r="X180" i="1"/>
  <c r="Y180" i="1"/>
  <c r="Z180" i="1"/>
  <c r="AB180" i="1"/>
  <c r="AC180" i="1"/>
  <c r="AD180" i="1"/>
  <c r="AG180" i="1" s="1"/>
  <c r="AE180" i="1"/>
  <c r="AF180" i="1"/>
  <c r="AH220" i="1"/>
  <c r="AM220" i="1"/>
  <c r="AN22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21" i="1"/>
  <c r="AM221" i="1"/>
  <c r="AN221" i="1"/>
  <c r="K182" i="1"/>
  <c r="L182" i="1"/>
  <c r="M182" i="1"/>
  <c r="N182" i="1" s="1"/>
  <c r="V182" i="1"/>
  <c r="Y182" i="1"/>
  <c r="Z182" i="1"/>
  <c r="AA182" i="1" s="1"/>
  <c r="AB182" i="1"/>
  <c r="AC182" i="1"/>
  <c r="AD182" i="1"/>
  <c r="AG182" i="1" s="1"/>
  <c r="AE182" i="1"/>
  <c r="AF182" i="1"/>
  <c r="AH222" i="1"/>
  <c r="AM222" i="1"/>
  <c r="AN222" i="1"/>
  <c r="K183" i="1"/>
  <c r="L183" i="1"/>
  <c r="M183" i="1"/>
  <c r="N183" i="1"/>
  <c r="V183" i="1"/>
  <c r="Y183" i="1"/>
  <c r="AA183" i="1" s="1"/>
  <c r="Z183" i="1"/>
  <c r="AB183" i="1"/>
  <c r="AC183" i="1"/>
  <c r="AD183" i="1"/>
  <c r="T183" i="1" s="1"/>
  <c r="AE183" i="1"/>
  <c r="AF183" i="1"/>
  <c r="AH223" i="1"/>
  <c r="AM223" i="1"/>
  <c r="AN223" i="1"/>
  <c r="K184" i="1"/>
  <c r="L184" i="1"/>
  <c r="M184" i="1"/>
  <c r="N184" i="1" s="1"/>
  <c r="V184" i="1"/>
  <c r="X184" i="1"/>
  <c r="Y184" i="1"/>
  <c r="Z184" i="1"/>
  <c r="AB184" i="1"/>
  <c r="AC184" i="1"/>
  <c r="AD184" i="1"/>
  <c r="AG184" i="1" s="1"/>
  <c r="AE184" i="1"/>
  <c r="AF184" i="1"/>
  <c r="AH224" i="1"/>
  <c r="AM224" i="1"/>
  <c r="AN224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25" i="1"/>
  <c r="AM225" i="1"/>
  <c r="AN22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G186" i="1"/>
  <c r="AH226" i="1"/>
  <c r="AM226" i="1"/>
  <c r="AN226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27" i="1"/>
  <c r="AM227" i="1"/>
  <c r="AN227" i="1"/>
  <c r="K188" i="1"/>
  <c r="L188" i="1"/>
  <c r="M188" i="1"/>
  <c r="N188" i="1" s="1"/>
  <c r="V188" i="1"/>
  <c r="Y188" i="1"/>
  <c r="Z188" i="1"/>
  <c r="AA188" i="1" s="1"/>
  <c r="AB188" i="1"/>
  <c r="AC188" i="1"/>
  <c r="AD188" i="1"/>
  <c r="AG188" i="1" s="1"/>
  <c r="AE188" i="1"/>
  <c r="AF188" i="1"/>
  <c r="AH228" i="1"/>
  <c r="AM228" i="1"/>
  <c r="AN228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29" i="1"/>
  <c r="AM229" i="1"/>
  <c r="AN229" i="1"/>
  <c r="K190" i="1"/>
  <c r="L190" i="1"/>
  <c r="M190" i="1"/>
  <c r="N190" i="1" s="1"/>
  <c r="V190" i="1"/>
  <c r="Y190" i="1"/>
  <c r="Z190" i="1"/>
  <c r="AA190" i="1" s="1"/>
  <c r="AB190" i="1"/>
  <c r="AC190" i="1"/>
  <c r="AD190" i="1"/>
  <c r="T190" i="1" s="1"/>
  <c r="AE190" i="1"/>
  <c r="AF190" i="1"/>
  <c r="AH230" i="1"/>
  <c r="AM230" i="1"/>
  <c r="AN230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31" i="1"/>
  <c r="AM231" i="1"/>
  <c r="AN23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232" i="1"/>
  <c r="AM232" i="1"/>
  <c r="AN232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33" i="1"/>
  <c r="AM233" i="1"/>
  <c r="AN233" i="1"/>
  <c r="K257" i="1"/>
  <c r="L257" i="1"/>
  <c r="M257" i="1"/>
  <c r="N257" i="1" s="1"/>
  <c r="V257" i="1"/>
  <c r="Y257" i="1"/>
  <c r="Z257" i="1"/>
  <c r="AB257" i="1"/>
  <c r="AC257" i="1"/>
  <c r="AD257" i="1"/>
  <c r="T257" i="1" s="1"/>
  <c r="AE257" i="1"/>
  <c r="AF257" i="1"/>
  <c r="AH234" i="1"/>
  <c r="AM234" i="1"/>
  <c r="AN234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35" i="1"/>
  <c r="AM235" i="1"/>
  <c r="AN235" i="1"/>
  <c r="K195" i="1"/>
  <c r="L195" i="1"/>
  <c r="M195" i="1"/>
  <c r="N195" i="1" s="1"/>
  <c r="V195" i="1"/>
  <c r="Y195" i="1"/>
  <c r="AA195" i="1" s="1"/>
  <c r="Z195" i="1"/>
  <c r="AB195" i="1"/>
  <c r="AC195" i="1"/>
  <c r="AD195" i="1"/>
  <c r="T195" i="1" s="1"/>
  <c r="AE195" i="1"/>
  <c r="AF195" i="1"/>
  <c r="AG195" i="1"/>
  <c r="AH236" i="1"/>
  <c r="AM236" i="1"/>
  <c r="AN236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37" i="1"/>
  <c r="AM237" i="1"/>
  <c r="AN237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38" i="1"/>
  <c r="AM238" i="1"/>
  <c r="AN238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39" i="1"/>
  <c r="AM239" i="1"/>
  <c r="AN239" i="1"/>
  <c r="K199" i="1"/>
  <c r="L199" i="1"/>
  <c r="M199" i="1"/>
  <c r="N199" i="1" s="1"/>
  <c r="V199" i="1"/>
  <c r="Y199" i="1"/>
  <c r="Z199" i="1"/>
  <c r="AB199" i="1"/>
  <c r="AC199" i="1"/>
  <c r="AD199" i="1"/>
  <c r="X199" i="1" s="1"/>
  <c r="AE199" i="1"/>
  <c r="AF199" i="1"/>
  <c r="AH240" i="1"/>
  <c r="AM240" i="1"/>
  <c r="AN240" i="1"/>
  <c r="K200" i="1"/>
  <c r="L200" i="1"/>
  <c r="M200" i="1"/>
  <c r="V200" i="1"/>
  <c r="Y200" i="1"/>
  <c r="Z200" i="1"/>
  <c r="AB200" i="1"/>
  <c r="AC200" i="1"/>
  <c r="AD200" i="1"/>
  <c r="AE200" i="1"/>
  <c r="AF200" i="1"/>
  <c r="AH241" i="1"/>
  <c r="AM241" i="1"/>
  <c r="AN241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42" i="1"/>
  <c r="AM242" i="1"/>
  <c r="AN242" i="1"/>
  <c r="K202" i="1"/>
  <c r="L202" i="1"/>
  <c r="M202" i="1"/>
  <c r="V202" i="1"/>
  <c r="Y202" i="1"/>
  <c r="Z202" i="1"/>
  <c r="AA202" i="1" s="1"/>
  <c r="AB202" i="1"/>
  <c r="AC202" i="1"/>
  <c r="AD202" i="1"/>
  <c r="T202" i="1" s="1"/>
  <c r="AE202" i="1"/>
  <c r="AF202" i="1"/>
  <c r="AH243" i="1"/>
  <c r="AM243" i="1"/>
  <c r="AN243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44" i="1"/>
  <c r="AM244" i="1"/>
  <c r="AN244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45" i="1"/>
  <c r="AM245" i="1"/>
  <c r="AN245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46" i="1"/>
  <c r="AM246" i="1"/>
  <c r="AN246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47" i="1"/>
  <c r="AM247" i="1"/>
  <c r="AN247" i="1"/>
  <c r="K207" i="1"/>
  <c r="L207" i="1"/>
  <c r="M207" i="1"/>
  <c r="N207" i="1"/>
  <c r="V207" i="1"/>
  <c r="Y207" i="1"/>
  <c r="Z207" i="1"/>
  <c r="AB207" i="1"/>
  <c r="AC207" i="1"/>
  <c r="AD207" i="1"/>
  <c r="AG207" i="1" s="1"/>
  <c r="AE207" i="1"/>
  <c r="AF207" i="1"/>
  <c r="AH248" i="1"/>
  <c r="AM248" i="1"/>
  <c r="AN248" i="1"/>
  <c r="K208" i="1"/>
  <c r="L208" i="1"/>
  <c r="M208" i="1"/>
  <c r="N208" i="1" s="1"/>
  <c r="T208" i="1"/>
  <c r="V208" i="1"/>
  <c r="Y208" i="1"/>
  <c r="Z208" i="1"/>
  <c r="AB208" i="1"/>
  <c r="AC208" i="1"/>
  <c r="AD208" i="1"/>
  <c r="X208" i="1" s="1"/>
  <c r="AE208" i="1"/>
  <c r="AF208" i="1"/>
  <c r="AH249" i="1"/>
  <c r="AM249" i="1"/>
  <c r="AN249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50" i="1"/>
  <c r="AM250" i="1"/>
  <c r="AN250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251" i="1"/>
  <c r="AM251" i="1"/>
  <c r="AN251" i="1"/>
  <c r="K258" i="1"/>
  <c r="L258" i="1"/>
  <c r="M258" i="1"/>
  <c r="N258" i="1" s="1"/>
  <c r="V258" i="1"/>
  <c r="Y258" i="1"/>
  <c r="Z258" i="1"/>
  <c r="AB258" i="1"/>
  <c r="AC258" i="1"/>
  <c r="AD258" i="1"/>
  <c r="AG258" i="1" s="1"/>
  <c r="AE258" i="1"/>
  <c r="AF258" i="1"/>
  <c r="AH252" i="1"/>
  <c r="AM252" i="1"/>
  <c r="AN252" i="1"/>
  <c r="K259" i="1"/>
  <c r="L259" i="1"/>
  <c r="M259" i="1"/>
  <c r="N259" i="1" s="1"/>
  <c r="T259" i="1"/>
  <c r="V259" i="1"/>
  <c r="Y259" i="1"/>
  <c r="Z259" i="1"/>
  <c r="AB259" i="1"/>
  <c r="AC259" i="1"/>
  <c r="AD259" i="1"/>
  <c r="X259" i="1" s="1"/>
  <c r="AE259" i="1"/>
  <c r="AF259" i="1"/>
  <c r="AH253" i="1"/>
  <c r="AM253" i="1"/>
  <c r="AN253" i="1"/>
  <c r="K260" i="1"/>
  <c r="L260" i="1"/>
  <c r="M260" i="1"/>
  <c r="N260" i="1" s="1"/>
  <c r="V260" i="1"/>
  <c r="Y260" i="1"/>
  <c r="Z260" i="1"/>
  <c r="AB260" i="1"/>
  <c r="AC260" i="1"/>
  <c r="AD260" i="1"/>
  <c r="T260" i="1" s="1"/>
  <c r="AE260" i="1"/>
  <c r="R51" i="3" s="1"/>
  <c r="AF260" i="1"/>
  <c r="AH254" i="1"/>
  <c r="AM254" i="1"/>
  <c r="AN254" i="1"/>
  <c r="K261" i="1"/>
  <c r="L261" i="1"/>
  <c r="M261" i="1"/>
  <c r="N261" i="1" s="1"/>
  <c r="V261" i="1"/>
  <c r="Y261" i="1"/>
  <c r="Z261" i="1"/>
  <c r="AB261" i="1"/>
  <c r="AC261" i="1"/>
  <c r="AD261" i="1"/>
  <c r="T261" i="1" s="1"/>
  <c r="AE261" i="1"/>
  <c r="AF261" i="1"/>
  <c r="AH255" i="1"/>
  <c r="AM255" i="1"/>
  <c r="AN255" i="1"/>
  <c r="K262" i="1"/>
  <c r="L262" i="1"/>
  <c r="M262" i="1"/>
  <c r="N262" i="1" s="1"/>
  <c r="V262" i="1"/>
  <c r="Y262" i="1"/>
  <c r="Z262" i="1"/>
  <c r="AB262" i="1"/>
  <c r="AC262" i="1"/>
  <c r="AD262" i="1"/>
  <c r="AG262" i="1" s="1"/>
  <c r="AE262" i="1"/>
  <c r="AF262" i="1"/>
  <c r="AH256" i="1"/>
  <c r="AM256" i="1"/>
  <c r="AN256" i="1"/>
  <c r="K263" i="1"/>
  <c r="L263" i="1"/>
  <c r="M263" i="1"/>
  <c r="V263" i="1"/>
  <c r="Y263" i="1"/>
  <c r="Z263" i="1"/>
  <c r="AB263" i="1"/>
  <c r="AC263" i="1"/>
  <c r="AD263" i="1"/>
  <c r="X263" i="1" s="1"/>
  <c r="AE263" i="1"/>
  <c r="AF263" i="1"/>
  <c r="AH257" i="1"/>
  <c r="AM257" i="1"/>
  <c r="AN257" i="1"/>
  <c r="K264" i="1"/>
  <c r="L264" i="1"/>
  <c r="M264" i="1"/>
  <c r="N264" i="1" s="1"/>
  <c r="V264" i="1"/>
  <c r="Y264" i="1"/>
  <c r="Z264" i="1"/>
  <c r="AA264" i="1" s="1"/>
  <c r="AB264" i="1"/>
  <c r="AC264" i="1"/>
  <c r="AD264" i="1"/>
  <c r="T264" i="1" s="1"/>
  <c r="AE264" i="1"/>
  <c r="AF264" i="1"/>
  <c r="AH258" i="1"/>
  <c r="AM258" i="1"/>
  <c r="AN258" i="1"/>
  <c r="K223" i="1"/>
  <c r="L223" i="1"/>
  <c r="M223" i="1"/>
  <c r="N223" i="1"/>
  <c r="V223" i="1"/>
  <c r="Y223" i="1"/>
  <c r="AA223" i="1" s="1"/>
  <c r="Z223" i="1"/>
  <c r="AB223" i="1"/>
  <c r="AC223" i="1"/>
  <c r="AD223" i="1"/>
  <c r="T223" i="1" s="1"/>
  <c r="AE223" i="1"/>
  <c r="AF223" i="1"/>
  <c r="AH259" i="1"/>
  <c r="AM259" i="1"/>
  <c r="AN259" i="1"/>
  <c r="K224" i="1"/>
  <c r="L224" i="1"/>
  <c r="M224" i="1"/>
  <c r="N224" i="1" s="1"/>
  <c r="V224" i="1"/>
  <c r="S46" i="3" s="1"/>
  <c r="Y224" i="1"/>
  <c r="Z224" i="1"/>
  <c r="AA224" i="1" s="1"/>
  <c r="W224" i="1" s="1"/>
  <c r="AB224" i="1"/>
  <c r="AC224" i="1"/>
  <c r="AD224" i="1"/>
  <c r="AG224" i="1" s="1"/>
  <c r="AE224" i="1"/>
  <c r="AF224" i="1"/>
  <c r="AH260" i="1"/>
  <c r="AM260" i="1"/>
  <c r="AN260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61" i="1"/>
  <c r="AM261" i="1"/>
  <c r="AN261" i="1"/>
  <c r="K226" i="1"/>
  <c r="L226" i="1"/>
  <c r="M226" i="1"/>
  <c r="N226" i="1" s="1"/>
  <c r="V226" i="1"/>
  <c r="Y226" i="1"/>
  <c r="Z226" i="1"/>
  <c r="AA226" i="1" s="1"/>
  <c r="AB226" i="1"/>
  <c r="AC226" i="1"/>
  <c r="AD226" i="1"/>
  <c r="T226" i="1" s="1"/>
  <c r="AE226" i="1"/>
  <c r="AF226" i="1"/>
  <c r="AH262" i="1"/>
  <c r="AM262" i="1"/>
  <c r="AN262" i="1"/>
  <c r="K227" i="1"/>
  <c r="L227" i="1"/>
  <c r="M227" i="1"/>
  <c r="N227" i="1"/>
  <c r="V227" i="1"/>
  <c r="S43" i="3" s="1"/>
  <c r="Y227" i="1"/>
  <c r="Z227" i="1"/>
  <c r="AB227" i="1"/>
  <c r="AC227" i="1"/>
  <c r="AD227" i="1"/>
  <c r="T227" i="1" s="1"/>
  <c r="AE227" i="1"/>
  <c r="R43" i="3" s="1"/>
  <c r="AF227" i="1"/>
  <c r="AH263" i="1"/>
  <c r="AM263" i="1"/>
  <c r="AN263" i="1"/>
  <c r="K228" i="1"/>
  <c r="L228" i="1"/>
  <c r="M228" i="1"/>
  <c r="N228" i="1"/>
  <c r="V228" i="1"/>
  <c r="X228" i="1"/>
  <c r="Y228" i="1"/>
  <c r="Z228" i="1"/>
  <c r="AB228" i="1"/>
  <c r="AC228" i="1"/>
  <c r="AD228" i="1"/>
  <c r="AE228" i="1"/>
  <c r="AF228" i="1"/>
  <c r="AH264" i="1"/>
  <c r="AM264" i="1"/>
  <c r="AN264" i="1"/>
  <c r="M45" i="3"/>
  <c r="R45" i="3"/>
  <c r="S45" i="3"/>
  <c r="U45" i="3"/>
  <c r="T45" i="3" s="1"/>
  <c r="V45" i="3"/>
  <c r="W45" i="3"/>
  <c r="X45" i="3"/>
  <c r="M20" i="3"/>
  <c r="R20" i="3"/>
  <c r="S20" i="3"/>
  <c r="U20" i="3"/>
  <c r="T20" i="3" s="1"/>
  <c r="V20" i="3"/>
  <c r="W20" i="3"/>
  <c r="Y20" i="3" s="1"/>
  <c r="X20" i="3"/>
  <c r="AC20" i="3"/>
  <c r="M21" i="3"/>
  <c r="R21" i="3"/>
  <c r="U21" i="3"/>
  <c r="AC21" i="3" s="1"/>
  <c r="V21" i="3"/>
  <c r="W21" i="3"/>
  <c r="X21" i="3"/>
  <c r="Y21" i="3"/>
  <c r="M46" i="3"/>
  <c r="R46" i="3"/>
  <c r="U46" i="3"/>
  <c r="AC46" i="3" s="1"/>
  <c r="V46" i="3"/>
  <c r="W46" i="3"/>
  <c r="X46" i="3"/>
  <c r="M35" i="3"/>
  <c r="R35" i="3"/>
  <c r="S35" i="3"/>
  <c r="T35" i="3"/>
  <c r="U35" i="3"/>
  <c r="V35" i="3"/>
  <c r="W35" i="3"/>
  <c r="X35" i="3"/>
  <c r="AC35" i="3"/>
  <c r="M36" i="3"/>
  <c r="R36" i="3"/>
  <c r="S36" i="3"/>
  <c r="U36" i="3"/>
  <c r="AC36" i="3" s="1"/>
  <c r="V36" i="3"/>
  <c r="W36" i="3"/>
  <c r="Y36" i="3" s="1"/>
  <c r="X36" i="3"/>
  <c r="M17" i="3"/>
  <c r="R17" i="3"/>
  <c r="U17" i="3"/>
  <c r="AC17" i="3" s="1"/>
  <c r="V17" i="3"/>
  <c r="W17" i="3"/>
  <c r="Y17" i="3" s="1"/>
  <c r="X17" i="3"/>
  <c r="M11" i="3"/>
  <c r="R11" i="3"/>
  <c r="S11" i="3"/>
  <c r="U11" i="3"/>
  <c r="AC11" i="3" s="1"/>
  <c r="V11" i="3"/>
  <c r="W11" i="3"/>
  <c r="X11" i="3"/>
  <c r="M34" i="3"/>
  <c r="R34" i="3"/>
  <c r="S34" i="3"/>
  <c r="U34" i="3"/>
  <c r="T34" i="3" s="1"/>
  <c r="V34" i="3"/>
  <c r="W34" i="3"/>
  <c r="X34" i="3"/>
  <c r="AC34" i="3"/>
  <c r="M7" i="3"/>
  <c r="R7" i="3"/>
  <c r="S7" i="3"/>
  <c r="U7" i="3"/>
  <c r="AD17" i="3" s="1"/>
  <c r="V7" i="3"/>
  <c r="W7" i="3"/>
  <c r="X7" i="3"/>
  <c r="Y7" i="3"/>
  <c r="M19" i="3"/>
  <c r="R19" i="3"/>
  <c r="U19" i="3"/>
  <c r="AC19" i="3" s="1"/>
  <c r="V19" i="3"/>
  <c r="W19" i="3"/>
  <c r="X19" i="3"/>
  <c r="Y19" i="3"/>
  <c r="M40" i="3"/>
  <c r="R40" i="3"/>
  <c r="S40" i="3"/>
  <c r="U40" i="3"/>
  <c r="AC40" i="3" s="1"/>
  <c r="V40" i="3"/>
  <c r="W40" i="3"/>
  <c r="X40" i="3"/>
  <c r="M37" i="3"/>
  <c r="R37" i="3"/>
  <c r="S37" i="3"/>
  <c r="U37" i="3"/>
  <c r="T37" i="3" s="1"/>
  <c r="V37" i="3"/>
  <c r="AE20" i="3" s="1"/>
  <c r="W37" i="3"/>
  <c r="X37" i="3"/>
  <c r="AC37" i="3"/>
  <c r="AD20" i="3"/>
  <c r="M16" i="3"/>
  <c r="S16" i="3"/>
  <c r="U16" i="3"/>
  <c r="AD21" i="3" s="1"/>
  <c r="V16" i="3"/>
  <c r="W16" i="3"/>
  <c r="X16" i="3"/>
  <c r="AC16" i="3"/>
  <c r="M10" i="3"/>
  <c r="S10" i="3"/>
  <c r="U10" i="3"/>
  <c r="AC10" i="3" s="1"/>
  <c r="V10" i="3"/>
  <c r="W10" i="3"/>
  <c r="X10" i="3"/>
  <c r="Y10" i="3"/>
  <c r="M28" i="3"/>
  <c r="R28" i="3"/>
  <c r="S28" i="3"/>
  <c r="T28" i="3"/>
  <c r="U28" i="3"/>
  <c r="AC28" i="3" s="1"/>
  <c r="V28" i="3"/>
  <c r="W28" i="3"/>
  <c r="Y28" i="3" s="1"/>
  <c r="X28" i="3"/>
  <c r="M23" i="3"/>
  <c r="R23" i="3"/>
  <c r="S23" i="3"/>
  <c r="U23" i="3"/>
  <c r="AD23" i="3" s="1"/>
  <c r="V23" i="3"/>
  <c r="W23" i="3"/>
  <c r="X23" i="3"/>
  <c r="AC23" i="3"/>
  <c r="M14" i="3"/>
  <c r="R14" i="3"/>
  <c r="S14" i="3"/>
  <c r="U14" i="3"/>
  <c r="V14" i="3"/>
  <c r="W14" i="3"/>
  <c r="X14" i="3"/>
  <c r="M22" i="3"/>
  <c r="S22" i="3"/>
  <c r="U22" i="3"/>
  <c r="AC22" i="3" s="1"/>
  <c r="V22" i="3"/>
  <c r="W22" i="3"/>
  <c r="X22" i="3"/>
  <c r="Y22" i="3"/>
  <c r="M38" i="3"/>
  <c r="R38" i="3"/>
  <c r="S38" i="3"/>
  <c r="U38" i="3"/>
  <c r="AC38" i="3" s="1"/>
  <c r="V38" i="3"/>
  <c r="W38" i="3"/>
  <c r="X38" i="3"/>
  <c r="M15" i="3"/>
  <c r="R15" i="3"/>
  <c r="U15" i="3"/>
  <c r="AD15" i="3" s="1"/>
  <c r="V15" i="3"/>
  <c r="AE28" i="3" s="1"/>
  <c r="W15" i="3"/>
  <c r="X15" i="3"/>
  <c r="AC15" i="3"/>
  <c r="AD28" i="3"/>
  <c r="M18" i="3"/>
  <c r="R18" i="3"/>
  <c r="U18" i="3"/>
  <c r="AC18" i="3" s="1"/>
  <c r="V18" i="3"/>
  <c r="W18" i="3"/>
  <c r="X18" i="3"/>
  <c r="M29" i="3"/>
  <c r="R29" i="3"/>
  <c r="U29" i="3"/>
  <c r="AC29" i="3" s="1"/>
  <c r="V29" i="3"/>
  <c r="W29" i="3"/>
  <c r="Y29" i="3" s="1"/>
  <c r="X29" i="3"/>
  <c r="M13" i="3"/>
  <c r="R13" i="3"/>
  <c r="U13" i="3"/>
  <c r="AC13" i="3" s="1"/>
  <c r="V13" i="3"/>
  <c r="W13" i="3"/>
  <c r="X13" i="3"/>
  <c r="M33" i="3"/>
  <c r="R33" i="3"/>
  <c r="S33" i="3"/>
  <c r="U33" i="3"/>
  <c r="T33" i="3" s="1"/>
  <c r="V33" i="3"/>
  <c r="W33" i="3"/>
  <c r="X33" i="3"/>
  <c r="AC33" i="3"/>
  <c r="M30" i="3"/>
  <c r="R30" i="3"/>
  <c r="U30" i="3"/>
  <c r="AD33" i="3" s="1"/>
  <c r="V30" i="3"/>
  <c r="W30" i="3"/>
  <c r="Y30" i="3" s="1"/>
  <c r="X30" i="3"/>
  <c r="M24" i="3"/>
  <c r="R24" i="3"/>
  <c r="S24" i="3"/>
  <c r="U24" i="3"/>
  <c r="AC24" i="3" s="1"/>
  <c r="V24" i="3"/>
  <c r="W24" i="3"/>
  <c r="Y24" i="3" s="1"/>
  <c r="X24" i="3"/>
  <c r="M25" i="3"/>
  <c r="S25" i="3"/>
  <c r="U25" i="3"/>
  <c r="AC25" i="3" s="1"/>
  <c r="V25" i="3"/>
  <c r="W25" i="3"/>
  <c r="X25" i="3"/>
  <c r="AD35" i="3"/>
  <c r="M31" i="3"/>
  <c r="R31" i="3"/>
  <c r="S31" i="3"/>
  <c r="U31" i="3"/>
  <c r="AD31" i="3" s="1"/>
  <c r="V31" i="3"/>
  <c r="W31" i="3"/>
  <c r="X31" i="3"/>
  <c r="AD36" i="3"/>
  <c r="M12" i="3"/>
  <c r="S12" i="3"/>
  <c r="U12" i="3"/>
  <c r="V12" i="3"/>
  <c r="W12" i="3"/>
  <c r="Y12" i="3" s="1"/>
  <c r="X12" i="3"/>
  <c r="M27" i="3"/>
  <c r="S27" i="3"/>
  <c r="U27" i="3"/>
  <c r="AC27" i="3" s="1"/>
  <c r="V27" i="3"/>
  <c r="W27" i="3"/>
  <c r="X27" i="3"/>
  <c r="Y27" i="3"/>
  <c r="M43" i="3"/>
  <c r="U43" i="3"/>
  <c r="AC43" i="3" s="1"/>
  <c r="V43" i="3"/>
  <c r="W43" i="3"/>
  <c r="X43" i="3"/>
  <c r="M26" i="3"/>
  <c r="R26" i="3"/>
  <c r="S26" i="3"/>
  <c r="U26" i="3"/>
  <c r="V26" i="3"/>
  <c r="W26" i="3"/>
  <c r="X26" i="3"/>
  <c r="AC26" i="3"/>
  <c r="M32" i="3"/>
  <c r="R32" i="3"/>
  <c r="S32" i="3"/>
  <c r="U32" i="3"/>
  <c r="AD41" i="3" s="1"/>
  <c r="V32" i="3"/>
  <c r="W32" i="3"/>
  <c r="X32" i="3"/>
  <c r="M39" i="3"/>
  <c r="R39" i="3"/>
  <c r="S39" i="3"/>
  <c r="U39" i="3"/>
  <c r="AC39" i="3" s="1"/>
  <c r="V39" i="3"/>
  <c r="W39" i="3"/>
  <c r="Y39" i="3" s="1"/>
  <c r="X39" i="3"/>
  <c r="M52" i="3"/>
  <c r="R52" i="3"/>
  <c r="S52" i="3"/>
  <c r="U52" i="3"/>
  <c r="AC52" i="3" s="1"/>
  <c r="V52" i="3"/>
  <c r="W52" i="3"/>
  <c r="Y52" i="3" s="1"/>
  <c r="X52" i="3"/>
  <c r="M53" i="3"/>
  <c r="R53" i="3"/>
  <c r="S53" i="3"/>
  <c r="U53" i="3"/>
  <c r="T53" i="3" s="1"/>
  <c r="V53" i="3"/>
  <c r="W53" i="3"/>
  <c r="X53" i="3"/>
  <c r="AC53" i="3"/>
  <c r="M8" i="3"/>
  <c r="R8" i="3"/>
  <c r="S8" i="3"/>
  <c r="U8" i="3"/>
  <c r="V8" i="3"/>
  <c r="W8" i="3"/>
  <c r="Y8" i="3" s="1"/>
  <c r="X8" i="3"/>
  <c r="M41" i="3"/>
  <c r="R41" i="3"/>
  <c r="S41" i="3"/>
  <c r="U41" i="3"/>
  <c r="AC41" i="3" s="1"/>
  <c r="V41" i="3"/>
  <c r="W41" i="3"/>
  <c r="Y41" i="3" s="1"/>
  <c r="X41" i="3"/>
  <c r="M48" i="3"/>
  <c r="R48" i="3"/>
  <c r="S48" i="3"/>
  <c r="T48" i="3"/>
  <c r="U48" i="3"/>
  <c r="AC48" i="3" s="1"/>
  <c r="V48" i="3"/>
  <c r="W48" i="3"/>
  <c r="X48" i="3"/>
  <c r="M49" i="3"/>
  <c r="R49" i="3"/>
  <c r="S49" i="3"/>
  <c r="U49" i="3"/>
  <c r="T49" i="3" s="1"/>
  <c r="V49" i="3"/>
  <c r="W49" i="3"/>
  <c r="Y49" i="3" s="1"/>
  <c r="X49" i="3"/>
  <c r="AC49" i="3"/>
  <c r="M47" i="3"/>
  <c r="R47" i="3"/>
  <c r="S47" i="3"/>
  <c r="U47" i="3"/>
  <c r="AD49" i="3" s="1"/>
  <c r="V47" i="3"/>
  <c r="W47" i="3"/>
  <c r="Y47" i="3" s="1"/>
  <c r="X47" i="3"/>
  <c r="M42" i="3"/>
  <c r="R42" i="3"/>
  <c r="S42" i="3"/>
  <c r="U42" i="3"/>
  <c r="AC42" i="3" s="1"/>
  <c r="V42" i="3"/>
  <c r="W42" i="3"/>
  <c r="X42" i="3"/>
  <c r="M54" i="3"/>
  <c r="R54" i="3"/>
  <c r="U54" i="3"/>
  <c r="AC54" i="3" s="1"/>
  <c r="V54" i="3"/>
  <c r="W54" i="3"/>
  <c r="X54" i="3"/>
  <c r="M50" i="3"/>
  <c r="S50" i="3"/>
  <c r="U50" i="3"/>
  <c r="T50" i="3" s="1"/>
  <c r="V50" i="3"/>
  <c r="AE52" i="3" s="1"/>
  <c r="W50" i="3"/>
  <c r="X50" i="3"/>
  <c r="AC50" i="3"/>
  <c r="AD52" i="3"/>
  <c r="M51" i="3"/>
  <c r="S51" i="3"/>
  <c r="U51" i="3"/>
  <c r="AD53" i="3" s="1"/>
  <c r="V51" i="3"/>
  <c r="W51" i="3"/>
  <c r="X51" i="3"/>
  <c r="Y51" i="3"/>
  <c r="M9" i="3"/>
  <c r="R9" i="3"/>
  <c r="U9" i="3"/>
  <c r="AC9" i="3" s="1"/>
  <c r="V9" i="3"/>
  <c r="W9" i="3"/>
  <c r="X9" i="3"/>
  <c r="W233" i="1" l="1"/>
  <c r="AA258" i="1"/>
  <c r="W258" i="1" s="1"/>
  <c r="AA206" i="1"/>
  <c r="X192" i="1"/>
  <c r="AD45" i="3"/>
  <c r="AD43" i="3"/>
  <c r="Y43" i="3"/>
  <c r="R27" i="3"/>
  <c r="AE36" i="3"/>
  <c r="T13" i="3"/>
  <c r="S18" i="3"/>
  <c r="Y16" i="3"/>
  <c r="Y40" i="3"/>
  <c r="AA227" i="1"/>
  <c r="AA262" i="1"/>
  <c r="AG259" i="1"/>
  <c r="AG208" i="1"/>
  <c r="AI208" i="1" s="1"/>
  <c r="X207" i="1"/>
  <c r="AA198" i="1"/>
  <c r="W198" i="1" s="1"/>
  <c r="AA186" i="1"/>
  <c r="W186" i="1" s="1"/>
  <c r="AA184" i="1"/>
  <c r="W184" i="1" s="1"/>
  <c r="T184" i="1"/>
  <c r="U184" i="1" s="1"/>
  <c r="S184" i="1" s="1"/>
  <c r="AG172" i="1"/>
  <c r="W172" i="1" s="1"/>
  <c r="AA168" i="1"/>
  <c r="AA167" i="1"/>
  <c r="X254" i="1"/>
  <c r="AA252" i="1"/>
  <c r="X237" i="1"/>
  <c r="AA235" i="1"/>
  <c r="AG220" i="1"/>
  <c r="AA218" i="1"/>
  <c r="X212" i="1"/>
  <c r="AG211" i="1"/>
  <c r="AG161" i="1"/>
  <c r="AI161" i="1" s="1"/>
  <c r="X152" i="1"/>
  <c r="AG149" i="1"/>
  <c r="T143" i="1"/>
  <c r="U143" i="1" s="1"/>
  <c r="S143" i="1" s="1"/>
  <c r="AA142" i="1"/>
  <c r="AG133" i="1"/>
  <c r="AG131" i="1"/>
  <c r="AI131" i="1" s="1"/>
  <c r="AG127" i="1"/>
  <c r="AI127" i="1" s="1"/>
  <c r="AA123" i="1"/>
  <c r="AG117" i="1"/>
  <c r="X88" i="1"/>
  <c r="AG62" i="1"/>
  <c r="AI62" i="1" s="1"/>
  <c r="AG56" i="1"/>
  <c r="AI56" i="1" s="1"/>
  <c r="AG55" i="1"/>
  <c r="AI55" i="1" s="1"/>
  <c r="AG43" i="1"/>
  <c r="W43" i="1" s="1"/>
  <c r="X41" i="1"/>
  <c r="T30" i="1"/>
  <c r="U30" i="1" s="1"/>
  <c r="S30" i="1" s="1"/>
  <c r="Y9" i="3"/>
  <c r="R50" i="3"/>
  <c r="AD37" i="3"/>
  <c r="Y13" i="3"/>
  <c r="Y18" i="3"/>
  <c r="Y38" i="3"/>
  <c r="AA261" i="1"/>
  <c r="AA203" i="1"/>
  <c r="W203" i="1" s="1"/>
  <c r="AA257" i="1"/>
  <c r="AA192" i="1"/>
  <c r="W192" i="1" s="1"/>
  <c r="T192" i="1"/>
  <c r="U192" i="1" s="1"/>
  <c r="S192" i="1" s="1"/>
  <c r="AA191" i="1"/>
  <c r="X177" i="1"/>
  <c r="AA173" i="1"/>
  <c r="T173" i="1"/>
  <c r="AA245" i="1"/>
  <c r="W245" i="1" s="1"/>
  <c r="X238" i="1"/>
  <c r="AA213" i="1"/>
  <c r="AA163" i="1"/>
  <c r="W163" i="1" s="1"/>
  <c r="AA151" i="1"/>
  <c r="AA145" i="1"/>
  <c r="AA144" i="1"/>
  <c r="T144" i="1"/>
  <c r="AA140" i="1"/>
  <c r="W140" i="1" s="1"/>
  <c r="T140" i="1"/>
  <c r="AG129" i="1"/>
  <c r="AA128" i="1"/>
  <c r="W128" i="1" s="1"/>
  <c r="T128" i="1"/>
  <c r="U128" i="1" s="1"/>
  <c r="S128" i="1" s="1"/>
  <c r="AA126" i="1"/>
  <c r="AG120" i="1"/>
  <c r="AA112" i="1"/>
  <c r="T112" i="1"/>
  <c r="X104" i="1"/>
  <c r="AG103" i="1"/>
  <c r="AA89" i="1"/>
  <c r="W89" i="1" s="1"/>
  <c r="AA87" i="1"/>
  <c r="X79" i="1"/>
  <c r="AA71" i="1"/>
  <c r="T71" i="1"/>
  <c r="AI66" i="1"/>
  <c r="AA63" i="1"/>
  <c r="T63" i="1"/>
  <c r="T61" i="1"/>
  <c r="AA60" i="1"/>
  <c r="AA58" i="1"/>
  <c r="W35" i="1"/>
  <c r="AI31" i="1"/>
  <c r="AA30" i="1"/>
  <c r="W30" i="1" s="1"/>
  <c r="X30" i="1"/>
  <c r="AA22" i="1"/>
  <c r="T21" i="1"/>
  <c r="AA18" i="1"/>
  <c r="AA16" i="1"/>
  <c r="W20" i="1"/>
  <c r="AD40" i="3"/>
  <c r="T43" i="3"/>
  <c r="AI224" i="1"/>
  <c r="AG257" i="1"/>
  <c r="AG173" i="1"/>
  <c r="U173" i="1" s="1"/>
  <c r="X245" i="1"/>
  <c r="X234" i="1"/>
  <c r="AG233" i="1"/>
  <c r="AA160" i="1"/>
  <c r="AG145" i="1"/>
  <c r="AG144" i="1"/>
  <c r="AI144" i="1" s="1"/>
  <c r="AG140" i="1"/>
  <c r="AI140" i="1" s="1"/>
  <c r="X128" i="1"/>
  <c r="AA127" i="1"/>
  <c r="AG119" i="1"/>
  <c r="AI119" i="1" s="1"/>
  <c r="AG112" i="1"/>
  <c r="AG89" i="1"/>
  <c r="AI89" i="1" s="1"/>
  <c r="X87" i="1"/>
  <c r="AG78" i="1"/>
  <c r="AI78" i="1" s="1"/>
  <c r="AG71" i="1"/>
  <c r="AG63" i="1"/>
  <c r="U63" i="1" s="1"/>
  <c r="S63" i="1" s="1"/>
  <c r="AA61" i="1"/>
  <c r="X38" i="1"/>
  <c r="AG37" i="1"/>
  <c r="X37" i="1"/>
  <c r="AG21" i="1"/>
  <c r="AI21" i="1" s="1"/>
  <c r="U195" i="1"/>
  <c r="S195" i="1" s="1"/>
  <c r="U123" i="1"/>
  <c r="S123" i="1" s="1"/>
  <c r="AI123" i="1"/>
  <c r="AA228" i="1"/>
  <c r="AG225" i="1"/>
  <c r="X225" i="1"/>
  <c r="T263" i="1"/>
  <c r="U263" i="1" s="1"/>
  <c r="S263" i="1" s="1"/>
  <c r="AA260" i="1"/>
  <c r="AA210" i="1"/>
  <c r="X204" i="1"/>
  <c r="AA204" i="1"/>
  <c r="X200" i="1"/>
  <c r="AA194" i="1"/>
  <c r="AG190" i="1"/>
  <c r="AA187" i="1"/>
  <c r="AA180" i="1"/>
  <c r="AA179" i="1"/>
  <c r="X176" i="1"/>
  <c r="AA174" i="1"/>
  <c r="W174" i="1" s="1"/>
  <c r="X165" i="1"/>
  <c r="AG165" i="1"/>
  <c r="T165" i="1"/>
  <c r="X250" i="1"/>
  <c r="AG250" i="1"/>
  <c r="T250" i="1"/>
  <c r="W262" i="1"/>
  <c r="AA201" i="1"/>
  <c r="AG263" i="1"/>
  <c r="X262" i="1"/>
  <c r="AA209" i="1"/>
  <c r="AA207" i="1"/>
  <c r="W207" i="1" s="1"/>
  <c r="W195" i="1"/>
  <c r="AA171" i="1"/>
  <c r="AA165" i="1"/>
  <c r="W165" i="1" s="1"/>
  <c r="AA253" i="1"/>
  <c r="AA250" i="1"/>
  <c r="AA248" i="1"/>
  <c r="AA242" i="1"/>
  <c r="T242" i="1"/>
  <c r="AA240" i="1"/>
  <c r="AA234" i="1"/>
  <c r="T234" i="1"/>
  <c r="AA232" i="1"/>
  <c r="AA221" i="1"/>
  <c r="W221" i="1" s="1"/>
  <c r="AA215" i="1"/>
  <c r="W215" i="1" s="1"/>
  <c r="T212" i="1"/>
  <c r="AA162" i="1"/>
  <c r="AG153" i="1"/>
  <c r="X153" i="1"/>
  <c r="T152" i="1"/>
  <c r="T151" i="1"/>
  <c r="AA150" i="1"/>
  <c r="AA148" i="1"/>
  <c r="T148" i="1"/>
  <c r="AG147" i="1"/>
  <c r="AI147" i="1" s="1"/>
  <c r="AA137" i="1"/>
  <c r="T136" i="1"/>
  <c r="AA135" i="1"/>
  <c r="AA130" i="1"/>
  <c r="AG125" i="1"/>
  <c r="AA124" i="1"/>
  <c r="W124" i="1" s="1"/>
  <c r="T124" i="1"/>
  <c r="AA118" i="1"/>
  <c r="AA109" i="1"/>
  <c r="AA107" i="1"/>
  <c r="AA104" i="1"/>
  <c r="T104" i="1"/>
  <c r="AA102" i="1"/>
  <c r="X99" i="1"/>
  <c r="AA97" i="1"/>
  <c r="AA95" i="1"/>
  <c r="AG93" i="1"/>
  <c r="AA90" i="1"/>
  <c r="X82" i="1"/>
  <c r="AA80" i="1"/>
  <c r="W80" i="1" s="1"/>
  <c r="AA77" i="1"/>
  <c r="AA74" i="1"/>
  <c r="AA73" i="1"/>
  <c r="W73" i="1" s="1"/>
  <c r="AA69" i="1"/>
  <c r="W69" i="1" s="1"/>
  <c r="AG67" i="1"/>
  <c r="X67" i="1"/>
  <c r="AA65" i="1"/>
  <c r="W65" i="1" s="1"/>
  <c r="AG59" i="1"/>
  <c r="AI59" i="1" s="1"/>
  <c r="AA52" i="1"/>
  <c r="AA49" i="1"/>
  <c r="X48" i="1"/>
  <c r="AG47" i="1"/>
  <c r="AI47" i="1" s="1"/>
  <c r="AA46" i="1"/>
  <c r="W46" i="1" s="1"/>
  <c r="X46" i="1"/>
  <c r="AA45" i="1"/>
  <c r="T41" i="1"/>
  <c r="AA40" i="1"/>
  <c r="W40" i="1" s="1"/>
  <c r="AG27" i="1"/>
  <c r="U27" i="1" s="1"/>
  <c r="S27" i="1" s="1"/>
  <c r="AA17" i="1"/>
  <c r="W17" i="1" s="1"/>
  <c r="X17" i="1"/>
  <c r="W155" i="1"/>
  <c r="AG242" i="1"/>
  <c r="AG234" i="1"/>
  <c r="U234" i="1" s="1"/>
  <c r="S234" i="1" s="1"/>
  <c r="AA222" i="1"/>
  <c r="AG219" i="1"/>
  <c r="W219" i="1" s="1"/>
  <c r="AG212" i="1"/>
  <c r="AI212" i="1" s="1"/>
  <c r="AA211" i="1"/>
  <c r="W211" i="1" s="1"/>
  <c r="AG160" i="1"/>
  <c r="AA159" i="1"/>
  <c r="W159" i="1" s="1"/>
  <c r="AA153" i="1"/>
  <c r="W153" i="1" s="1"/>
  <c r="AG152" i="1"/>
  <c r="AI152" i="1" s="1"/>
  <c r="AG148" i="1"/>
  <c r="AI148" i="1" s="1"/>
  <c r="AA146" i="1"/>
  <c r="AG141" i="1"/>
  <c r="AA131" i="1"/>
  <c r="W131" i="1" s="1"/>
  <c r="X124" i="1"/>
  <c r="AA119" i="1"/>
  <c r="W119" i="1" s="1"/>
  <c r="AG109" i="1"/>
  <c r="AG104" i="1"/>
  <c r="U104" i="1" s="1"/>
  <c r="S104" i="1" s="1"/>
  <c r="AA103" i="1"/>
  <c r="W103" i="1" s="1"/>
  <c r="AG97" i="1"/>
  <c r="X95" i="1"/>
  <c r="AA93" i="1"/>
  <c r="AA91" i="1"/>
  <c r="AA86" i="1"/>
  <c r="AA81" i="1"/>
  <c r="X77" i="1"/>
  <c r="X74" i="1"/>
  <c r="AA72" i="1"/>
  <c r="W72" i="1" s="1"/>
  <c r="AA67" i="1"/>
  <c r="W67" i="1" s="1"/>
  <c r="AA64" i="1"/>
  <c r="W64" i="1" s="1"/>
  <c r="T58" i="1"/>
  <c r="AA57" i="1"/>
  <c r="AG52" i="1"/>
  <c r="AA47" i="1"/>
  <c r="W47" i="1" s="1"/>
  <c r="AG41" i="1"/>
  <c r="AI41" i="1" s="1"/>
  <c r="AA37" i="1"/>
  <c r="X36" i="1"/>
  <c r="AG33" i="1"/>
  <c r="AI33" i="1" s="1"/>
  <c r="X33" i="1"/>
  <c r="AA27" i="1"/>
  <c r="X26" i="1"/>
  <c r="X20" i="1"/>
  <c r="AG17" i="1"/>
  <c r="AI17" i="1" s="1"/>
  <c r="X156" i="1"/>
  <c r="T155" i="1"/>
  <c r="U155" i="1" s="1"/>
  <c r="W149" i="1"/>
  <c r="W143" i="1"/>
  <c r="U131" i="1"/>
  <c r="S131" i="1" s="1"/>
  <c r="W123" i="1"/>
  <c r="U119" i="1"/>
  <c r="S119" i="1" s="1"/>
  <c r="X108" i="1"/>
  <c r="U103" i="1"/>
  <c r="S103" i="1" s="1"/>
  <c r="X96" i="1"/>
  <c r="X91" i="1"/>
  <c r="U85" i="1"/>
  <c r="X75" i="1"/>
  <c r="X70" i="1"/>
  <c r="W70" i="1"/>
  <c r="AI51" i="1"/>
  <c r="T46" i="1"/>
  <c r="U43" i="1"/>
  <c r="S43" i="1" s="1"/>
  <c r="T40" i="1"/>
  <c r="AI37" i="1"/>
  <c r="W31" i="1"/>
  <c r="AA205" i="1"/>
  <c r="T204" i="1"/>
  <c r="AA200" i="1"/>
  <c r="AA199" i="1"/>
  <c r="T199" i="1"/>
  <c r="X198" i="1"/>
  <c r="X193" i="1"/>
  <c r="AG193" i="1"/>
  <c r="U193" i="1" s="1"/>
  <c r="T193" i="1"/>
  <c r="W190" i="1"/>
  <c r="W188" i="1"/>
  <c r="T188" i="1"/>
  <c r="AI184" i="1"/>
  <c r="W180" i="1"/>
  <c r="AI168" i="1"/>
  <c r="AA225" i="1"/>
  <c r="W225" i="1" s="1"/>
  <c r="T224" i="1"/>
  <c r="U224" i="1" s="1"/>
  <c r="S224" i="1" s="1"/>
  <c r="AA259" i="1"/>
  <c r="W259" i="1" s="1"/>
  <c r="T258" i="1"/>
  <c r="T203" i="1"/>
  <c r="W257" i="1"/>
  <c r="U188" i="1"/>
  <c r="S188" i="1" s="1"/>
  <c r="AI188" i="1"/>
  <c r="AI180" i="1"/>
  <c r="W156" i="1"/>
  <c r="AG204" i="1"/>
  <c r="AI204" i="1" s="1"/>
  <c r="AG199" i="1"/>
  <c r="U199" i="1" s="1"/>
  <c r="S199" i="1" s="1"/>
  <c r="T198" i="1"/>
  <c r="X196" i="1"/>
  <c r="AG196" i="1"/>
  <c r="AI192" i="1"/>
  <c r="X188" i="1"/>
  <c r="X185" i="1"/>
  <c r="AG185" i="1"/>
  <c r="T185" i="1"/>
  <c r="AI156" i="1"/>
  <c r="AG228" i="1"/>
  <c r="AI228" i="1" s="1"/>
  <c r="X229" i="1"/>
  <c r="T228" i="1"/>
  <c r="X224" i="1"/>
  <c r="AA263" i="1"/>
  <c r="W263" i="1" s="1"/>
  <c r="T262" i="1"/>
  <c r="X258" i="1"/>
  <c r="T210" i="1"/>
  <c r="X211" i="1"/>
  <c r="AA208" i="1"/>
  <c r="W208" i="1" s="1"/>
  <c r="T207" i="1"/>
  <c r="X203" i="1"/>
  <c r="T189" i="1"/>
  <c r="X189" i="1"/>
  <c r="AG189" i="1"/>
  <c r="AI176" i="1"/>
  <c r="W168" i="1"/>
  <c r="W237" i="1"/>
  <c r="W229" i="1"/>
  <c r="T176" i="1"/>
  <c r="U176" i="1" s="1"/>
  <c r="S176" i="1" s="1"/>
  <c r="U172" i="1"/>
  <c r="S172" i="1" s="1"/>
  <c r="T253" i="1"/>
  <c r="W250" i="1"/>
  <c r="U249" i="1"/>
  <c r="S249" i="1" s="1"/>
  <c r="T237" i="1"/>
  <c r="U237" i="1" s="1"/>
  <c r="S237" i="1" s="1"/>
  <c r="U233" i="1"/>
  <c r="S233" i="1" s="1"/>
  <c r="AI172" i="1"/>
  <c r="U215" i="1"/>
  <c r="S215" i="1" s="1"/>
  <c r="U211" i="1"/>
  <c r="S211" i="1" s="1"/>
  <c r="U160" i="1"/>
  <c r="S160" i="1" s="1"/>
  <c r="AG115" i="1"/>
  <c r="T115" i="1"/>
  <c r="AA193" i="1"/>
  <c r="W193" i="1" s="1"/>
  <c r="AA185" i="1"/>
  <c r="W185" i="1" s="1"/>
  <c r="AG181" i="1"/>
  <c r="U181" i="1" s="1"/>
  <c r="X181" i="1"/>
  <c r="AA177" i="1"/>
  <c r="T177" i="1"/>
  <c r="X172" i="1"/>
  <c r="AG169" i="1"/>
  <c r="U169" i="1" s="1"/>
  <c r="X169" i="1"/>
  <c r="AA255" i="1"/>
  <c r="W255" i="1" s="1"/>
  <c r="AA254" i="1"/>
  <c r="T254" i="1"/>
  <c r="AG253" i="1"/>
  <c r="U253" i="1" s="1"/>
  <c r="S253" i="1" s="1"/>
  <c r="X249" i="1"/>
  <c r="AG246" i="1"/>
  <c r="U246" i="1" s="1"/>
  <c r="X246" i="1"/>
  <c r="AA239" i="1"/>
  <c r="W239" i="1" s="1"/>
  <c r="AA238" i="1"/>
  <c r="T238" i="1"/>
  <c r="X233" i="1"/>
  <c r="AG230" i="1"/>
  <c r="U230" i="1" s="1"/>
  <c r="X230" i="1"/>
  <c r="AA217" i="1"/>
  <c r="W217" i="1" s="1"/>
  <c r="X215" i="1"/>
  <c r="X160" i="1"/>
  <c r="AG157" i="1"/>
  <c r="AI157" i="1" s="1"/>
  <c r="X157" i="1"/>
  <c r="AA152" i="1"/>
  <c r="AG137" i="1"/>
  <c r="W137" i="1" s="1"/>
  <c r="AG135" i="1"/>
  <c r="W135" i="1" s="1"/>
  <c r="T113" i="1"/>
  <c r="AG113" i="1"/>
  <c r="T180" i="1"/>
  <c r="U180" i="1" s="1"/>
  <c r="S180" i="1" s="1"/>
  <c r="T168" i="1"/>
  <c r="U168" i="1" s="1"/>
  <c r="S168" i="1" s="1"/>
  <c r="U164" i="1"/>
  <c r="S164" i="1" s="1"/>
  <c r="T245" i="1"/>
  <c r="U245" i="1" s="1"/>
  <c r="S245" i="1" s="1"/>
  <c r="W242" i="1"/>
  <c r="U241" i="1"/>
  <c r="S241" i="1" s="1"/>
  <c r="T229" i="1"/>
  <c r="U229" i="1" s="1"/>
  <c r="S229" i="1" s="1"/>
  <c r="U219" i="1"/>
  <c r="S219" i="1" s="1"/>
  <c r="AI164" i="1"/>
  <c r="AI160" i="1"/>
  <c r="T156" i="1"/>
  <c r="U156" i="1" s="1"/>
  <c r="S156" i="1" s="1"/>
  <c r="W148" i="1"/>
  <c r="AI143" i="1"/>
  <c r="U139" i="1"/>
  <c r="S139" i="1" s="1"/>
  <c r="T116" i="1"/>
  <c r="X116" i="1"/>
  <c r="AG116" i="1"/>
  <c r="X115" i="1"/>
  <c r="AA197" i="1"/>
  <c r="W197" i="1" s="1"/>
  <c r="AA196" i="1"/>
  <c r="W196" i="1" s="1"/>
  <c r="AA189" i="1"/>
  <c r="W189" i="1" s="1"/>
  <c r="AA181" i="1"/>
  <c r="W181" i="1" s="1"/>
  <c r="AG177" i="1"/>
  <c r="AA170" i="1"/>
  <c r="W170" i="1" s="1"/>
  <c r="AA169" i="1"/>
  <c r="W169" i="1" s="1"/>
  <c r="AG254" i="1"/>
  <c r="U254" i="1" s="1"/>
  <c r="AA247" i="1"/>
  <c r="W247" i="1" s="1"/>
  <c r="AA246" i="1"/>
  <c r="W246" i="1" s="1"/>
  <c r="X241" i="1"/>
  <c r="AG238" i="1"/>
  <c r="AA231" i="1"/>
  <c r="W231" i="1" s="1"/>
  <c r="AA230" i="1"/>
  <c r="W230" i="1" s="1"/>
  <c r="X219" i="1"/>
  <c r="AG216" i="1"/>
  <c r="AI216" i="1" s="1"/>
  <c r="X216" i="1"/>
  <c r="T159" i="1"/>
  <c r="U159" i="1" s="1"/>
  <c r="S159" i="1" s="1"/>
  <c r="AA158" i="1"/>
  <c r="AA157" i="1"/>
  <c r="AA141" i="1"/>
  <c r="W141" i="1" s="1"/>
  <c r="X136" i="1"/>
  <c r="AA134" i="1"/>
  <c r="U127" i="1"/>
  <c r="S127" i="1" s="1"/>
  <c r="W117" i="1"/>
  <c r="W115" i="1"/>
  <c r="AA114" i="1"/>
  <c r="AA113" i="1"/>
  <c r="W113" i="1" s="1"/>
  <c r="AA108" i="1"/>
  <c r="T108" i="1"/>
  <c r="AG107" i="1"/>
  <c r="AG105" i="1"/>
  <c r="U105" i="1" s="1"/>
  <c r="X103" i="1"/>
  <c r="AG100" i="1"/>
  <c r="U100" i="1" s="1"/>
  <c r="S100" i="1" s="1"/>
  <c r="X100" i="1"/>
  <c r="AA96" i="1"/>
  <c r="T96" i="1"/>
  <c r="AG95" i="1"/>
  <c r="AG92" i="1"/>
  <c r="U92" i="1" s="1"/>
  <c r="X92" i="1"/>
  <c r="AA88" i="1"/>
  <c r="T88" i="1"/>
  <c r="AG87" i="1"/>
  <c r="AG84" i="1"/>
  <c r="U84" i="1" s="1"/>
  <c r="X84" i="1"/>
  <c r="AA83" i="1"/>
  <c r="X78" i="1"/>
  <c r="AA76" i="1"/>
  <c r="AA75" i="1"/>
  <c r="T75" i="1"/>
  <c r="AG74" i="1"/>
  <c r="T73" i="1"/>
  <c r="T70" i="1"/>
  <c r="U70" i="1" s="1"/>
  <c r="S70" i="1" s="1"/>
  <c r="T69" i="1"/>
  <c r="U69" i="1" s="1"/>
  <c r="S69" i="1" s="1"/>
  <c r="AA66" i="1"/>
  <c r="W66" i="1" s="1"/>
  <c r="U51" i="1"/>
  <c r="W49" i="1"/>
  <c r="T45" i="1"/>
  <c r="U45" i="1" s="1"/>
  <c r="S45" i="1" s="1"/>
  <c r="AA44" i="1"/>
  <c r="T44" i="1"/>
  <c r="AA34" i="1"/>
  <c r="T34" i="1"/>
  <c r="U34" i="1" s="1"/>
  <c r="S34" i="1" s="1"/>
  <c r="T29" i="1"/>
  <c r="AA28" i="1"/>
  <c r="T28" i="1"/>
  <c r="T16" i="1"/>
  <c r="T99" i="1"/>
  <c r="T91" i="1"/>
  <c r="W45" i="1"/>
  <c r="AG16" i="1"/>
  <c r="T15" i="1"/>
  <c r="AA14" i="1"/>
  <c r="AA133" i="1"/>
  <c r="W133" i="1" s="1"/>
  <c r="AA129" i="1"/>
  <c r="W129" i="1" s="1"/>
  <c r="AA125" i="1"/>
  <c r="W125" i="1" s="1"/>
  <c r="AA121" i="1"/>
  <c r="W121" i="1" s="1"/>
  <c r="AA116" i="1"/>
  <c r="W116" i="1" s="1"/>
  <c r="X111" i="1"/>
  <c r="AG108" i="1"/>
  <c r="AA106" i="1"/>
  <c r="AA105" i="1"/>
  <c r="AA100" i="1"/>
  <c r="AG99" i="1"/>
  <c r="AG96" i="1"/>
  <c r="U96" i="1" s="1"/>
  <c r="AA92" i="1"/>
  <c r="AG91" i="1"/>
  <c r="W91" i="1" s="1"/>
  <c r="AG88" i="1"/>
  <c r="AA84" i="1"/>
  <c r="AG83" i="1"/>
  <c r="AI83" i="1" s="1"/>
  <c r="X83" i="1"/>
  <c r="AG75" i="1"/>
  <c r="X73" i="1"/>
  <c r="AA62" i="1"/>
  <c r="W62" i="1" s="1"/>
  <c r="AA59" i="1"/>
  <c r="AA55" i="1"/>
  <c r="W55" i="1" s="1"/>
  <c r="X52" i="1"/>
  <c r="AA50" i="1"/>
  <c r="AG45" i="1"/>
  <c r="AI45" i="1" s="1"/>
  <c r="X45" i="1"/>
  <c r="X44" i="1"/>
  <c r="AA42" i="1"/>
  <c r="W42" i="1" s="1"/>
  <c r="T42" i="1"/>
  <c r="AA41" i="1"/>
  <c r="W41" i="1" s="1"/>
  <c r="AG39" i="1"/>
  <c r="AI39" i="1" s="1"/>
  <c r="AA36" i="1"/>
  <c r="W36" i="1" s="1"/>
  <c r="T36" i="1"/>
  <c r="X34" i="1"/>
  <c r="AG29" i="1"/>
  <c r="AI29" i="1" s="1"/>
  <c r="X29" i="1"/>
  <c r="X28" i="1"/>
  <c r="AA26" i="1"/>
  <c r="W26" i="1" s="1"/>
  <c r="T26" i="1"/>
  <c r="U26" i="1" s="1"/>
  <c r="S26" i="1" s="1"/>
  <c r="AA25" i="1"/>
  <c r="W25" i="1" s="1"/>
  <c r="T24" i="1"/>
  <c r="AA21" i="1"/>
  <c r="W21" i="1" s="1"/>
  <c r="T20" i="1"/>
  <c r="U20" i="1" s="1"/>
  <c r="S20" i="1" s="1"/>
  <c r="X16" i="1"/>
  <c r="W112" i="1"/>
  <c r="U111" i="1"/>
  <c r="S111" i="1" s="1"/>
  <c r="X107" i="1"/>
  <c r="AI103" i="1"/>
  <c r="W101" i="1"/>
  <c r="W93" i="1"/>
  <c r="W85" i="1"/>
  <c r="U82" i="1"/>
  <c r="S82" i="1" s="1"/>
  <c r="W79" i="1"/>
  <c r="U78" i="1"/>
  <c r="S78" i="1" s="1"/>
  <c r="T77" i="1"/>
  <c r="U71" i="1"/>
  <c r="AI70" i="1"/>
  <c r="U67" i="1"/>
  <c r="U52" i="1"/>
  <c r="AA48" i="1"/>
  <c r="W48" i="1" s="1"/>
  <c r="T48" i="1"/>
  <c r="AI43" i="1"/>
  <c r="X40" i="1"/>
  <c r="AA38" i="1"/>
  <c r="W38" i="1" s="1"/>
  <c r="T38" i="1"/>
  <c r="W37" i="1"/>
  <c r="AA32" i="1"/>
  <c r="W32" i="1" s="1"/>
  <c r="T32" i="1"/>
  <c r="U262" i="1"/>
  <c r="S262" i="1" s="1"/>
  <c r="U207" i="1"/>
  <c r="S207" i="1" s="1"/>
  <c r="U258" i="1"/>
  <c r="S258" i="1" s="1"/>
  <c r="U203" i="1"/>
  <c r="S203" i="1" s="1"/>
  <c r="U225" i="1"/>
  <c r="S225" i="1" s="1"/>
  <c r="U259" i="1"/>
  <c r="S259" i="1" s="1"/>
  <c r="U208" i="1"/>
  <c r="S208" i="1" s="1"/>
  <c r="T194" i="1"/>
  <c r="X194" i="1"/>
  <c r="AG194" i="1"/>
  <c r="AI194" i="1" s="1"/>
  <c r="AI190" i="1"/>
  <c r="AI174" i="1"/>
  <c r="U216" i="1"/>
  <c r="AG226" i="1"/>
  <c r="AG264" i="1"/>
  <c r="AI264" i="1" s="1"/>
  <c r="AG260" i="1"/>
  <c r="W260" i="1" s="1"/>
  <c r="AG209" i="1"/>
  <c r="AG205" i="1"/>
  <c r="W205" i="1" s="1"/>
  <c r="AG201" i="1"/>
  <c r="AI201" i="1" s="1"/>
  <c r="T197" i="1"/>
  <c r="U197" i="1" s="1"/>
  <c r="S197" i="1" s="1"/>
  <c r="X197" i="1"/>
  <c r="U257" i="1"/>
  <c r="U186" i="1"/>
  <c r="W182" i="1"/>
  <c r="W251" i="1"/>
  <c r="W235" i="1"/>
  <c r="AI178" i="1"/>
  <c r="AG227" i="1"/>
  <c r="X226" i="1"/>
  <c r="AG223" i="1"/>
  <c r="X264" i="1"/>
  <c r="AI257" i="1"/>
  <c r="AG261" i="1"/>
  <c r="AI261" i="1" s="1"/>
  <c r="X260" i="1"/>
  <c r="AG210" i="1"/>
  <c r="W210" i="1" s="1"/>
  <c r="X209" i="1"/>
  <c r="AI249" i="1"/>
  <c r="AG206" i="1"/>
  <c r="AI206" i="1" s="1"/>
  <c r="X205" i="1"/>
  <c r="AI245" i="1"/>
  <c r="AG202" i="1"/>
  <c r="AI202" i="1" s="1"/>
  <c r="X201" i="1"/>
  <c r="T200" i="1"/>
  <c r="AI214" i="1"/>
  <c r="AI198" i="1"/>
  <c r="AI182" i="1"/>
  <c r="X227" i="1"/>
  <c r="X223" i="1"/>
  <c r="X261" i="1"/>
  <c r="X210" i="1"/>
  <c r="X206" i="1"/>
  <c r="X202" i="1"/>
  <c r="AG200" i="1"/>
  <c r="AI200" i="1" s="1"/>
  <c r="U198" i="1"/>
  <c r="S198" i="1" s="1"/>
  <c r="AI237" i="1"/>
  <c r="X195" i="1"/>
  <c r="U190" i="1"/>
  <c r="AI186" i="1"/>
  <c r="AI170" i="1"/>
  <c r="X257" i="1"/>
  <c r="AI233" i="1"/>
  <c r="S193" i="1"/>
  <c r="AG191" i="1"/>
  <c r="X190" i="1"/>
  <c r="AI229" i="1"/>
  <c r="AG187" i="1"/>
  <c r="W187" i="1" s="1"/>
  <c r="X186" i="1"/>
  <c r="AI225" i="1"/>
  <c r="AG183" i="1"/>
  <c r="W183" i="1" s="1"/>
  <c r="X182" i="1"/>
  <c r="T182" i="1"/>
  <c r="U182" i="1" s="1"/>
  <c r="S182" i="1" s="1"/>
  <c r="AI221" i="1"/>
  <c r="S181" i="1"/>
  <c r="AG179" i="1"/>
  <c r="X178" i="1"/>
  <c r="T178" i="1"/>
  <c r="U178" i="1" s="1"/>
  <c r="S178" i="1" s="1"/>
  <c r="AI217" i="1"/>
  <c r="AG175" i="1"/>
  <c r="X174" i="1"/>
  <c r="T174" i="1"/>
  <c r="U174" i="1" s="1"/>
  <c r="S174" i="1" s="1"/>
  <c r="S173" i="1"/>
  <c r="AG171" i="1"/>
  <c r="X170" i="1"/>
  <c r="T170" i="1"/>
  <c r="U170" i="1" s="1"/>
  <c r="S170" i="1" s="1"/>
  <c r="AI209" i="1"/>
  <c r="S169" i="1"/>
  <c r="AG167" i="1"/>
  <c r="AI167" i="1" s="1"/>
  <c r="X166" i="1"/>
  <c r="T166" i="1"/>
  <c r="U166" i="1" s="1"/>
  <c r="S166" i="1" s="1"/>
  <c r="AI205" i="1"/>
  <c r="AG256" i="1"/>
  <c r="AI256" i="1" s="1"/>
  <c r="X255" i="1"/>
  <c r="T255" i="1"/>
  <c r="U255" i="1" s="1"/>
  <c r="S255" i="1" s="1"/>
  <c r="S254" i="1"/>
  <c r="AG252" i="1"/>
  <c r="W252" i="1" s="1"/>
  <c r="X251" i="1"/>
  <c r="T251" i="1"/>
  <c r="U251" i="1" s="1"/>
  <c r="S251" i="1" s="1"/>
  <c r="AI197" i="1"/>
  <c r="AG248" i="1"/>
  <c r="AI248" i="1" s="1"/>
  <c r="X247" i="1"/>
  <c r="T247" i="1"/>
  <c r="U247" i="1" s="1"/>
  <c r="S247" i="1" s="1"/>
  <c r="AI193" i="1"/>
  <c r="S246" i="1"/>
  <c r="AG244" i="1"/>
  <c r="AI244" i="1" s="1"/>
  <c r="X243" i="1"/>
  <c r="T243" i="1"/>
  <c r="U243" i="1" s="1"/>
  <c r="S243" i="1" s="1"/>
  <c r="AI189" i="1"/>
  <c r="AG240" i="1"/>
  <c r="AI240" i="1" s="1"/>
  <c r="X239" i="1"/>
  <c r="T239" i="1"/>
  <c r="U239" i="1" s="1"/>
  <c r="S239" i="1" s="1"/>
  <c r="AI185" i="1"/>
  <c r="AG236" i="1"/>
  <c r="AI236" i="1" s="1"/>
  <c r="X235" i="1"/>
  <c r="T235" i="1"/>
  <c r="U235" i="1" s="1"/>
  <c r="S235" i="1" s="1"/>
  <c r="AI181" i="1"/>
  <c r="AG232" i="1"/>
  <c r="AI232" i="1" s="1"/>
  <c r="X231" i="1"/>
  <c r="T231" i="1"/>
  <c r="U231" i="1" s="1"/>
  <c r="S231" i="1" s="1"/>
  <c r="AI177" i="1"/>
  <c r="S230" i="1"/>
  <c r="AG222" i="1"/>
  <c r="AI222" i="1" s="1"/>
  <c r="X221" i="1"/>
  <c r="T221" i="1"/>
  <c r="U221" i="1" s="1"/>
  <c r="S221" i="1" s="1"/>
  <c r="AG218" i="1"/>
  <c r="AI218" i="1" s="1"/>
  <c r="X217" i="1"/>
  <c r="T217" i="1"/>
  <c r="U217" i="1" s="1"/>
  <c r="S217" i="1" s="1"/>
  <c r="AI169" i="1"/>
  <c r="AA216" i="1"/>
  <c r="W216" i="1" s="1"/>
  <c r="AA212" i="1"/>
  <c r="W212" i="1" s="1"/>
  <c r="AI155" i="1"/>
  <c r="AI136" i="1"/>
  <c r="U136" i="1"/>
  <c r="S136" i="1" s="1"/>
  <c r="AI132" i="1"/>
  <c r="U132" i="1"/>
  <c r="S132" i="1" s="1"/>
  <c r="AI128" i="1"/>
  <c r="AI124" i="1"/>
  <c r="U124" i="1"/>
  <c r="S124" i="1" s="1"/>
  <c r="S257" i="1"/>
  <c r="X191" i="1"/>
  <c r="AI230" i="1"/>
  <c r="S190" i="1"/>
  <c r="X187" i="1"/>
  <c r="AI226" i="1"/>
  <c r="S186" i="1"/>
  <c r="X183" i="1"/>
  <c r="X179" i="1"/>
  <c r="X175" i="1"/>
  <c r="X171" i="1"/>
  <c r="X167" i="1"/>
  <c r="X256" i="1"/>
  <c r="X252" i="1"/>
  <c r="X248" i="1"/>
  <c r="X244" i="1"/>
  <c r="X240" i="1"/>
  <c r="X236" i="1"/>
  <c r="X232" i="1"/>
  <c r="X222" i="1"/>
  <c r="X218" i="1"/>
  <c r="T213" i="1"/>
  <c r="X213" i="1"/>
  <c r="AG213" i="1"/>
  <c r="W213" i="1" s="1"/>
  <c r="AI159" i="1"/>
  <c r="W151" i="1"/>
  <c r="S216" i="1"/>
  <c r="AI165" i="1"/>
  <c r="U151" i="1"/>
  <c r="S151" i="1" s="1"/>
  <c r="AI151" i="1"/>
  <c r="X214" i="1"/>
  <c r="T214" i="1"/>
  <c r="U214" i="1" s="1"/>
  <c r="S214" i="1" s="1"/>
  <c r="X163" i="1"/>
  <c r="T163" i="1"/>
  <c r="U163" i="1" s="1"/>
  <c r="S163" i="1" s="1"/>
  <c r="X159" i="1"/>
  <c r="X155" i="1"/>
  <c r="X151" i="1"/>
  <c r="U148" i="1"/>
  <c r="S148" i="1" s="1"/>
  <c r="X147" i="1"/>
  <c r="U144" i="1"/>
  <c r="S144" i="1" s="1"/>
  <c r="X143" i="1"/>
  <c r="U140" i="1"/>
  <c r="S140" i="1" s="1"/>
  <c r="X139" i="1"/>
  <c r="X135" i="1"/>
  <c r="X131" i="1"/>
  <c r="X127" i="1"/>
  <c r="X123" i="1"/>
  <c r="T121" i="1"/>
  <c r="U121" i="1" s="1"/>
  <c r="S121" i="1" s="1"/>
  <c r="X121" i="1"/>
  <c r="AI120" i="1"/>
  <c r="X119" i="1"/>
  <c r="T118" i="1"/>
  <c r="X118" i="1"/>
  <c r="AG118" i="1"/>
  <c r="U161" i="1"/>
  <c r="S161" i="1" s="1"/>
  <c r="U153" i="1"/>
  <c r="S153" i="1" s="1"/>
  <c r="U149" i="1"/>
  <c r="S149" i="1" s="1"/>
  <c r="U145" i="1"/>
  <c r="S145" i="1" s="1"/>
  <c r="U141" i="1"/>
  <c r="S141" i="1" s="1"/>
  <c r="U137" i="1"/>
  <c r="S137" i="1" s="1"/>
  <c r="U133" i="1"/>
  <c r="S133" i="1" s="1"/>
  <c r="U129" i="1"/>
  <c r="S129" i="1" s="1"/>
  <c r="U125" i="1"/>
  <c r="S125" i="1" s="1"/>
  <c r="U117" i="1"/>
  <c r="S117" i="1" s="1"/>
  <c r="U101" i="1"/>
  <c r="U93" i="1"/>
  <c r="S93" i="1" s="1"/>
  <c r="AG162" i="1"/>
  <c r="AG158" i="1"/>
  <c r="AG154" i="1"/>
  <c r="W154" i="1" s="1"/>
  <c r="AG150" i="1"/>
  <c r="AG146" i="1"/>
  <c r="W146" i="1" s="1"/>
  <c r="X145" i="1"/>
  <c r="AG142" i="1"/>
  <c r="X141" i="1"/>
  <c r="AG138" i="1"/>
  <c r="X137" i="1"/>
  <c r="AG134" i="1"/>
  <c r="W134" i="1" s="1"/>
  <c r="X133" i="1"/>
  <c r="AG130" i="1"/>
  <c r="X129" i="1"/>
  <c r="AG126" i="1"/>
  <c r="W126" i="1" s="1"/>
  <c r="X125" i="1"/>
  <c r="AG122" i="1"/>
  <c r="W120" i="1"/>
  <c r="U120" i="1"/>
  <c r="S120" i="1" s="1"/>
  <c r="X162" i="1"/>
  <c r="X158" i="1"/>
  <c r="X154" i="1"/>
  <c r="AI153" i="1"/>
  <c r="X150" i="1"/>
  <c r="AI149" i="1"/>
  <c r="X146" i="1"/>
  <c r="AI145" i="1"/>
  <c r="X142" i="1"/>
  <c r="AI141" i="1"/>
  <c r="X138" i="1"/>
  <c r="AI137" i="1"/>
  <c r="X134" i="1"/>
  <c r="AI133" i="1"/>
  <c r="X130" i="1"/>
  <c r="AI129" i="1"/>
  <c r="X126" i="1"/>
  <c r="AI125" i="1"/>
  <c r="X122" i="1"/>
  <c r="AI121" i="1"/>
  <c r="U109" i="1"/>
  <c r="U97" i="1"/>
  <c r="S97" i="1" s="1"/>
  <c r="U89" i="1"/>
  <c r="S89" i="1" s="1"/>
  <c r="X117" i="1"/>
  <c r="AI116" i="1"/>
  <c r="AG114" i="1"/>
  <c r="W114" i="1" s="1"/>
  <c r="X113" i="1"/>
  <c r="AI112" i="1"/>
  <c r="AG110" i="1"/>
  <c r="W110" i="1" s="1"/>
  <c r="X109" i="1"/>
  <c r="AI108" i="1"/>
  <c r="AG106" i="1"/>
  <c r="X105" i="1"/>
  <c r="AG102" i="1"/>
  <c r="X101" i="1"/>
  <c r="AG98" i="1"/>
  <c r="W98" i="1" s="1"/>
  <c r="X97" i="1"/>
  <c r="AG94" i="1"/>
  <c r="W94" i="1" s="1"/>
  <c r="X93" i="1"/>
  <c r="AI92" i="1"/>
  <c r="S92" i="1"/>
  <c r="AG90" i="1"/>
  <c r="W90" i="1" s="1"/>
  <c r="X89" i="1"/>
  <c r="AI88" i="1"/>
  <c r="AG86" i="1"/>
  <c r="X85" i="1"/>
  <c r="AI84" i="1"/>
  <c r="S84" i="1"/>
  <c r="AI80" i="1"/>
  <c r="W76" i="1"/>
  <c r="AI73" i="1"/>
  <c r="U73" i="1"/>
  <c r="S73" i="1" s="1"/>
  <c r="AI65" i="1"/>
  <c r="U65" i="1"/>
  <c r="S65" i="1" s="1"/>
  <c r="AI64" i="1"/>
  <c r="AI117" i="1"/>
  <c r="X114" i="1"/>
  <c r="T114" i="1"/>
  <c r="AI113" i="1"/>
  <c r="X110" i="1"/>
  <c r="T110" i="1"/>
  <c r="AI109" i="1"/>
  <c r="S109" i="1"/>
  <c r="X106" i="1"/>
  <c r="T106" i="1"/>
  <c r="AI105" i="1"/>
  <c r="S105" i="1"/>
  <c r="X102" i="1"/>
  <c r="T102" i="1"/>
  <c r="AI101" i="1"/>
  <c r="S101" i="1"/>
  <c r="X98" i="1"/>
  <c r="AI97" i="1"/>
  <c r="X94" i="1"/>
  <c r="AI93" i="1"/>
  <c r="X90" i="1"/>
  <c r="X86" i="1"/>
  <c r="AI85" i="1"/>
  <c r="S85" i="1"/>
  <c r="AI76" i="1"/>
  <c r="AI69" i="1"/>
  <c r="W68" i="1"/>
  <c r="W61" i="1"/>
  <c r="W60" i="1"/>
  <c r="W58" i="1"/>
  <c r="W57" i="1"/>
  <c r="W54" i="1"/>
  <c r="S51" i="1"/>
  <c r="W77" i="1"/>
  <c r="AI72" i="1"/>
  <c r="AI68" i="1"/>
  <c r="S61" i="1"/>
  <c r="AI61" i="1"/>
  <c r="U61" i="1"/>
  <c r="AI60" i="1"/>
  <c r="AI58" i="1"/>
  <c r="U58" i="1"/>
  <c r="S58" i="1" s="1"/>
  <c r="AI57" i="1"/>
  <c r="AI54" i="1"/>
  <c r="U54" i="1"/>
  <c r="S54" i="1" s="1"/>
  <c r="AI53" i="1"/>
  <c r="AI77" i="1"/>
  <c r="U77" i="1"/>
  <c r="S77" i="1" s="1"/>
  <c r="AG81" i="1"/>
  <c r="X80" i="1"/>
  <c r="T80" i="1"/>
  <c r="U80" i="1" s="1"/>
  <c r="S80" i="1" s="1"/>
  <c r="AI79" i="1"/>
  <c r="S79" i="1"/>
  <c r="X76" i="1"/>
  <c r="T76" i="1"/>
  <c r="U76" i="1" s="1"/>
  <c r="S76" i="1" s="1"/>
  <c r="AI75" i="1"/>
  <c r="X72" i="1"/>
  <c r="T72" i="1"/>
  <c r="U72" i="1" s="1"/>
  <c r="AI71" i="1"/>
  <c r="X68" i="1"/>
  <c r="T68" i="1"/>
  <c r="U68" i="1" s="1"/>
  <c r="S68" i="1" s="1"/>
  <c r="AI67" i="1"/>
  <c r="S67" i="1"/>
  <c r="X64" i="1"/>
  <c r="T64" i="1"/>
  <c r="U64" i="1" s="1"/>
  <c r="S64" i="1" s="1"/>
  <c r="T60" i="1"/>
  <c r="U60" i="1" s="1"/>
  <c r="S60" i="1" s="1"/>
  <c r="X57" i="1"/>
  <c r="T57" i="1"/>
  <c r="U57" i="1" s="1"/>
  <c r="S57" i="1" s="1"/>
  <c r="X53" i="1"/>
  <c r="T53" i="1"/>
  <c r="U53" i="1" s="1"/>
  <c r="S53" i="1" s="1"/>
  <c r="AI52" i="1"/>
  <c r="W50" i="1"/>
  <c r="T50" i="1"/>
  <c r="U50" i="1" s="1"/>
  <c r="S50" i="1" s="1"/>
  <c r="U48" i="1"/>
  <c r="S48" i="1" s="1"/>
  <c r="AI48" i="1"/>
  <c r="U47" i="1"/>
  <c r="S47" i="1" s="1"/>
  <c r="W44" i="1"/>
  <c r="S38" i="1"/>
  <c r="AI38" i="1"/>
  <c r="U38" i="1"/>
  <c r="W34" i="1"/>
  <c r="U32" i="1"/>
  <c r="S32" i="1" s="1"/>
  <c r="AI32" i="1"/>
  <c r="U31" i="1"/>
  <c r="S31" i="1" s="1"/>
  <c r="W28" i="1"/>
  <c r="W15" i="1"/>
  <c r="X81" i="1"/>
  <c r="X69" i="1"/>
  <c r="U66" i="1"/>
  <c r="S66" i="1" s="1"/>
  <c r="X65" i="1"/>
  <c r="U62" i="1"/>
  <c r="S62" i="1" s="1"/>
  <c r="U55" i="1"/>
  <c r="S55" i="1" s="1"/>
  <c r="X54" i="1"/>
  <c r="AI50" i="1"/>
  <c r="U44" i="1"/>
  <c r="S44" i="1" s="1"/>
  <c r="AI44" i="1"/>
  <c r="AI34" i="1"/>
  <c r="U28" i="1"/>
  <c r="S28" i="1" s="1"/>
  <c r="AI28" i="1"/>
  <c r="U15" i="1"/>
  <c r="S15" i="1" s="1"/>
  <c r="AI15" i="1"/>
  <c r="X50" i="1"/>
  <c r="AI46" i="1"/>
  <c r="U46" i="1"/>
  <c r="S46" i="1" s="1"/>
  <c r="U40" i="1"/>
  <c r="S40" i="1" s="1"/>
  <c r="AI40" i="1"/>
  <c r="AI30" i="1"/>
  <c r="U24" i="1"/>
  <c r="S24" i="1" s="1"/>
  <c r="AI24" i="1"/>
  <c r="AI20" i="1"/>
  <c r="X56" i="1"/>
  <c r="S52" i="1"/>
  <c r="AI42" i="1"/>
  <c r="U42" i="1"/>
  <c r="S42" i="1" s="1"/>
  <c r="U36" i="1"/>
  <c r="S36" i="1" s="1"/>
  <c r="AI36" i="1"/>
  <c r="U35" i="1"/>
  <c r="S35" i="1" s="1"/>
  <c r="AI26" i="1"/>
  <c r="U49" i="1"/>
  <c r="S49" i="1" s="1"/>
  <c r="U41" i="1"/>
  <c r="S41" i="1" s="1"/>
  <c r="U37" i="1"/>
  <c r="S37" i="1" s="1"/>
  <c r="U25" i="1"/>
  <c r="S25" i="1" s="1"/>
  <c r="U21" i="1"/>
  <c r="S21" i="1" s="1"/>
  <c r="U17" i="1"/>
  <c r="S17" i="1" s="1"/>
  <c r="AG22" i="1"/>
  <c r="AG18" i="1"/>
  <c r="W18" i="1" s="1"/>
  <c r="AG14" i="1"/>
  <c r="AG23" i="1"/>
  <c r="W23" i="1" s="1"/>
  <c r="X22" i="1"/>
  <c r="AG19" i="1"/>
  <c r="X18" i="1"/>
  <c r="X51" i="1"/>
  <c r="X47" i="1"/>
  <c r="X43" i="1"/>
  <c r="X39" i="1"/>
  <c r="X35" i="1"/>
  <c r="X31" i="1"/>
  <c r="X27" i="1"/>
  <c r="X23" i="1"/>
  <c r="X19" i="1"/>
  <c r="Y48" i="3"/>
  <c r="AC31" i="3"/>
  <c r="AC51" i="3"/>
  <c r="AE47" i="3"/>
  <c r="AC8" i="3"/>
  <c r="Y32" i="3"/>
  <c r="AE39" i="3"/>
  <c r="AC12" i="3"/>
  <c r="T31" i="3"/>
  <c r="AE31" i="3"/>
  <c r="T15" i="3"/>
  <c r="Y14" i="3"/>
  <c r="AE23" i="3"/>
  <c r="Y11" i="3"/>
  <c r="Y46" i="3"/>
  <c r="AD9" i="3"/>
  <c r="AD47" i="3"/>
  <c r="AD39" i="3"/>
  <c r="Y33" i="3"/>
  <c r="AD29" i="3"/>
  <c r="AD27" i="3"/>
  <c r="AD19" i="3"/>
  <c r="AE15" i="3"/>
  <c r="AE9" i="3"/>
  <c r="Y45" i="3"/>
  <c r="AD51" i="3"/>
  <c r="AD25" i="3"/>
  <c r="AD13" i="3"/>
  <c r="AD11" i="3"/>
  <c r="Y42" i="3"/>
  <c r="AD24" i="3"/>
  <c r="T11" i="3"/>
  <c r="AD12" i="3"/>
  <c r="AE12" i="3"/>
  <c r="AD8" i="3"/>
  <c r="T54" i="3"/>
  <c r="AD48" i="3"/>
  <c r="AE48" i="3"/>
  <c r="Y53" i="3"/>
  <c r="AE43" i="3"/>
  <c r="AC32" i="3"/>
  <c r="T26" i="3"/>
  <c r="T25" i="3"/>
  <c r="AD32" i="3"/>
  <c r="AE32" i="3"/>
  <c r="Y15" i="3"/>
  <c r="AE27" i="3"/>
  <c r="AC14" i="3"/>
  <c r="T23" i="3"/>
  <c r="T40" i="3"/>
  <c r="AD16" i="3"/>
  <c r="AE16" i="3"/>
  <c r="Y35" i="3"/>
  <c r="AE11" i="3"/>
  <c r="Y26" i="3"/>
  <c r="Y25" i="3"/>
  <c r="Y23" i="3"/>
  <c r="Y54" i="3"/>
  <c r="Y50" i="3"/>
  <c r="AE51" i="3"/>
  <c r="AC47" i="3"/>
  <c r="T52" i="3"/>
  <c r="AE40" i="3"/>
  <c r="Y31" i="3"/>
  <c r="AE35" i="3"/>
  <c r="AC30" i="3"/>
  <c r="T38" i="3"/>
  <c r="AE24" i="3"/>
  <c r="Y37" i="3"/>
  <c r="AE19" i="3"/>
  <c r="AC7" i="3"/>
  <c r="T46" i="3"/>
  <c r="Y34" i="3"/>
  <c r="AE50" i="3"/>
  <c r="T42" i="3"/>
  <c r="AE42" i="3"/>
  <c r="T39" i="3"/>
  <c r="AE38" i="3"/>
  <c r="T27" i="3"/>
  <c r="AE30" i="3"/>
  <c r="T29" i="3"/>
  <c r="AE18" i="3"/>
  <c r="T19" i="3"/>
  <c r="AE14" i="3"/>
  <c r="T17" i="3"/>
  <c r="AE10" i="3"/>
  <c r="T21" i="3"/>
  <c r="AC45" i="3"/>
  <c r="AE54" i="3"/>
  <c r="T9" i="3"/>
  <c r="AE46" i="3"/>
  <c r="T41" i="3"/>
  <c r="AE34" i="3"/>
  <c r="T24" i="3"/>
  <c r="AE26" i="3"/>
  <c r="T22" i="3"/>
  <c r="AE22" i="3"/>
  <c r="T10" i="3"/>
  <c r="AD54" i="3"/>
  <c r="AE53" i="3"/>
  <c r="T51" i="3"/>
  <c r="AD50" i="3"/>
  <c r="AE49" i="3"/>
  <c r="T47" i="3"/>
  <c r="AD46" i="3"/>
  <c r="AE45" i="3"/>
  <c r="T8" i="3"/>
  <c r="AD42" i="3"/>
  <c r="AE41" i="3"/>
  <c r="T32" i="3"/>
  <c r="AD38" i="3"/>
  <c r="AE37" i="3"/>
  <c r="T12" i="3"/>
  <c r="AD34" i="3"/>
  <c r="AE33" i="3"/>
  <c r="T30" i="3"/>
  <c r="AD30" i="3"/>
  <c r="AE29" i="3"/>
  <c r="T18" i="3"/>
  <c r="AD26" i="3"/>
  <c r="AE25" i="3"/>
  <c r="T14" i="3"/>
  <c r="AD22" i="3"/>
  <c r="AE21" i="3"/>
  <c r="T16" i="3"/>
  <c r="AD18" i="3"/>
  <c r="AE17" i="3"/>
  <c r="T7" i="3"/>
  <c r="AD14" i="3"/>
  <c r="AE13" i="3"/>
  <c r="T36" i="3"/>
  <c r="AD10" i="3"/>
  <c r="AE8" i="3"/>
  <c r="U220" i="1" l="1"/>
  <c r="S220" i="1" s="1"/>
  <c r="AI220" i="1"/>
  <c r="U33" i="1"/>
  <c r="S33" i="1" s="1"/>
  <c r="W228" i="1"/>
  <c r="U56" i="1"/>
  <c r="S56" i="1" s="1"/>
  <c r="W59" i="1"/>
  <c r="W100" i="1"/>
  <c r="W157" i="1"/>
  <c r="U113" i="1"/>
  <c r="S113" i="1" s="1"/>
  <c r="W152" i="1"/>
  <c r="W161" i="1"/>
  <c r="W27" i="1"/>
  <c r="W71" i="1"/>
  <c r="W144" i="1"/>
  <c r="W56" i="1"/>
  <c r="W14" i="1"/>
  <c r="U39" i="1"/>
  <c r="AI96" i="1"/>
  <c r="AI100" i="1"/>
  <c r="AI104" i="1"/>
  <c r="W130" i="1"/>
  <c r="W162" i="1"/>
  <c r="U157" i="1"/>
  <c r="S157" i="1" s="1"/>
  <c r="U152" i="1"/>
  <c r="S152" i="1" s="1"/>
  <c r="AI234" i="1"/>
  <c r="W194" i="1"/>
  <c r="AI253" i="1"/>
  <c r="U204" i="1"/>
  <c r="S204" i="1" s="1"/>
  <c r="AI27" i="1"/>
  <c r="W63" i="1"/>
  <c r="W33" i="1"/>
  <c r="W87" i="1"/>
  <c r="U212" i="1"/>
  <c r="S212" i="1" s="1"/>
  <c r="W173" i="1"/>
  <c r="W160" i="1"/>
  <c r="U250" i="1"/>
  <c r="S250" i="1" s="1"/>
  <c r="W127" i="1"/>
  <c r="W145" i="1"/>
  <c r="U29" i="1"/>
  <c r="S29" i="1" s="1"/>
  <c r="U59" i="1"/>
  <c r="S59" i="1" s="1"/>
  <c r="AI63" i="1"/>
  <c r="W106" i="1"/>
  <c r="W118" i="1"/>
  <c r="AI173" i="1"/>
  <c r="U228" i="1"/>
  <c r="S228" i="1" s="1"/>
  <c r="U75" i="1"/>
  <c r="S75" i="1" s="1"/>
  <c r="U88" i="1"/>
  <c r="S88" i="1" s="1"/>
  <c r="U108" i="1"/>
  <c r="S108" i="1" s="1"/>
  <c r="U177" i="1"/>
  <c r="S177" i="1" s="1"/>
  <c r="U147" i="1"/>
  <c r="S147" i="1" s="1"/>
  <c r="W220" i="1"/>
  <c r="W234" i="1"/>
  <c r="U242" i="1"/>
  <c r="S242" i="1" s="1"/>
  <c r="U112" i="1"/>
  <c r="S112" i="1" s="1"/>
  <c r="W78" i="1"/>
  <c r="W96" i="1"/>
  <c r="W52" i="1"/>
  <c r="W97" i="1"/>
  <c r="W104" i="1"/>
  <c r="W264" i="1"/>
  <c r="W109" i="1"/>
  <c r="U165" i="1"/>
  <c r="S165" i="1" s="1"/>
  <c r="W147" i="1"/>
  <c r="AI213" i="1"/>
  <c r="W244" i="1"/>
  <c r="AI252" i="1"/>
  <c r="U99" i="1"/>
  <c r="S99" i="1" s="1"/>
  <c r="AI99" i="1"/>
  <c r="U238" i="1"/>
  <c r="S238" i="1" s="1"/>
  <c r="AI238" i="1"/>
  <c r="W177" i="1"/>
  <c r="U185" i="1"/>
  <c r="S185" i="1" s="1"/>
  <c r="W199" i="1"/>
  <c r="U91" i="1"/>
  <c r="S91" i="1" s="1"/>
  <c r="AI91" i="1"/>
  <c r="U16" i="1"/>
  <c r="S16" i="1" s="1"/>
  <c r="AI16" i="1"/>
  <c r="U74" i="1"/>
  <c r="S74" i="1" s="1"/>
  <c r="AI74" i="1"/>
  <c r="U87" i="1"/>
  <c r="S87" i="1" s="1"/>
  <c r="AI87" i="1"/>
  <c r="U107" i="1"/>
  <c r="S107" i="1" s="1"/>
  <c r="AI107" i="1"/>
  <c r="W99" i="1"/>
  <c r="W74" i="1"/>
  <c r="U115" i="1"/>
  <c r="S115" i="1" s="1"/>
  <c r="AI115" i="1"/>
  <c r="U196" i="1"/>
  <c r="S196" i="1" s="1"/>
  <c r="AI196" i="1"/>
  <c r="W204" i="1"/>
  <c r="W222" i="1"/>
  <c r="W167" i="1"/>
  <c r="W232" i="1"/>
  <c r="AI260" i="1"/>
  <c r="W92" i="1"/>
  <c r="W105" i="1"/>
  <c r="U83" i="1"/>
  <c r="S83" i="1" s="1"/>
  <c r="W83" i="1"/>
  <c r="U95" i="1"/>
  <c r="S95" i="1" s="1"/>
  <c r="AI95" i="1"/>
  <c r="W16" i="1"/>
  <c r="U116" i="1"/>
  <c r="S116" i="1" s="1"/>
  <c r="W254" i="1"/>
  <c r="W95" i="1"/>
  <c r="U189" i="1"/>
  <c r="S189" i="1" s="1"/>
  <c r="W253" i="1"/>
  <c r="AI210" i="1"/>
  <c r="W84" i="1"/>
  <c r="W29" i="1"/>
  <c r="W75" i="1"/>
  <c r="W88" i="1"/>
  <c r="W108" i="1"/>
  <c r="W39" i="1"/>
  <c r="U135" i="1"/>
  <c r="S135" i="1" s="1"/>
  <c r="AI135" i="1"/>
  <c r="W238" i="1"/>
  <c r="W107" i="1"/>
  <c r="AI14" i="1"/>
  <c r="U14" i="1"/>
  <c r="S14" i="1" s="1"/>
  <c r="U150" i="1"/>
  <c r="S150" i="1" s="1"/>
  <c r="AI150" i="1"/>
  <c r="W150" i="1"/>
  <c r="AI179" i="1"/>
  <c r="U232" i="1"/>
  <c r="S232" i="1" s="1"/>
  <c r="AI195" i="1"/>
  <c r="U248" i="1"/>
  <c r="S248" i="1" s="1"/>
  <c r="S171" i="1"/>
  <c r="AI211" i="1"/>
  <c r="U171" i="1"/>
  <c r="AI241" i="1"/>
  <c r="U200" i="1"/>
  <c r="S200" i="1" s="1"/>
  <c r="U206" i="1"/>
  <c r="S206" i="1" s="1"/>
  <c r="AI247" i="1"/>
  <c r="U227" i="1"/>
  <c r="S227" i="1" s="1"/>
  <c r="AI263" i="1"/>
  <c r="AI242" i="1"/>
  <c r="U201" i="1"/>
  <c r="S201" i="1" s="1"/>
  <c r="AI258" i="1"/>
  <c r="U264" i="1"/>
  <c r="S264" i="1" s="1"/>
  <c r="W171" i="1"/>
  <c r="AI235" i="1"/>
  <c r="U194" i="1"/>
  <c r="S194" i="1" s="1"/>
  <c r="W201" i="1"/>
  <c r="W206" i="1"/>
  <c r="W227" i="1"/>
  <c r="U19" i="1"/>
  <c r="S19" i="1" s="1"/>
  <c r="AI19" i="1"/>
  <c r="AI18" i="1"/>
  <c r="U18" i="1"/>
  <c r="S18" i="1" s="1"/>
  <c r="W19" i="1"/>
  <c r="U81" i="1"/>
  <c r="S81" i="1" s="1"/>
  <c r="AI81" i="1"/>
  <c r="W81" i="1"/>
  <c r="U126" i="1"/>
  <c r="S126" i="1" s="1"/>
  <c r="AI126" i="1"/>
  <c r="U134" i="1"/>
  <c r="S134" i="1" s="1"/>
  <c r="AI134" i="1"/>
  <c r="U142" i="1"/>
  <c r="S142" i="1" s="1"/>
  <c r="AI142" i="1"/>
  <c r="U154" i="1"/>
  <c r="AI154" i="1"/>
  <c r="W142" i="1"/>
  <c r="S236" i="1"/>
  <c r="AI183" i="1"/>
  <c r="U236" i="1"/>
  <c r="AI199" i="1"/>
  <c r="U252" i="1"/>
  <c r="S252" i="1" s="1"/>
  <c r="AI215" i="1"/>
  <c r="U175" i="1"/>
  <c r="S175" i="1" s="1"/>
  <c r="U202" i="1"/>
  <c r="S202" i="1" s="1"/>
  <c r="AI243" i="1"/>
  <c r="U223" i="1"/>
  <c r="S223" i="1" s="1"/>
  <c r="AI259" i="1"/>
  <c r="W236" i="1"/>
  <c r="AI246" i="1"/>
  <c r="U205" i="1"/>
  <c r="S205" i="1" s="1"/>
  <c r="AI262" i="1"/>
  <c r="U226" i="1"/>
  <c r="S226" i="1" s="1"/>
  <c r="W202" i="1"/>
  <c r="AI22" i="1"/>
  <c r="U22" i="1"/>
  <c r="S22" i="1" s="1"/>
  <c r="U158" i="1"/>
  <c r="S158" i="1" s="1"/>
  <c r="AI158" i="1"/>
  <c r="AI118" i="1"/>
  <c r="U118" i="1"/>
  <c r="S118" i="1" s="1"/>
  <c r="AI171" i="1"/>
  <c r="U218" i="1"/>
  <c r="S218" i="1" s="1"/>
  <c r="AI187" i="1"/>
  <c r="U240" i="1"/>
  <c r="S240" i="1" s="1"/>
  <c r="AI203" i="1"/>
  <c r="U256" i="1"/>
  <c r="S256" i="1" s="1"/>
  <c r="AI219" i="1"/>
  <c r="U179" i="1"/>
  <c r="S179" i="1" s="1"/>
  <c r="U261" i="1"/>
  <c r="S261" i="1" s="1"/>
  <c r="AI255" i="1"/>
  <c r="AI250" i="1"/>
  <c r="U209" i="1"/>
  <c r="S209" i="1" s="1"/>
  <c r="W261" i="1"/>
  <c r="U23" i="1"/>
  <c r="S23" i="1" s="1"/>
  <c r="AI23" i="1"/>
  <c r="W22" i="1"/>
  <c r="S86" i="1"/>
  <c r="AI86" i="1"/>
  <c r="U86" i="1"/>
  <c r="AI90" i="1"/>
  <c r="U90" i="1"/>
  <c r="S90" i="1" s="1"/>
  <c r="AI94" i="1"/>
  <c r="U94" i="1"/>
  <c r="S94" i="1" s="1"/>
  <c r="AI98" i="1"/>
  <c r="U98" i="1"/>
  <c r="S98" i="1" s="1"/>
  <c r="AI102" i="1"/>
  <c r="U102" i="1"/>
  <c r="S102" i="1" s="1"/>
  <c r="AI106" i="1"/>
  <c r="U106" i="1"/>
  <c r="S106" i="1" s="1"/>
  <c r="AI110" i="1"/>
  <c r="U110" i="1"/>
  <c r="S110" i="1" s="1"/>
  <c r="AI114" i="1"/>
  <c r="U114" i="1"/>
  <c r="S114" i="1" s="1"/>
  <c r="W86" i="1"/>
  <c r="W102" i="1"/>
  <c r="U122" i="1"/>
  <c r="S122" i="1" s="1"/>
  <c r="AI122" i="1"/>
  <c r="U130" i="1"/>
  <c r="S130" i="1" s="1"/>
  <c r="AI130" i="1"/>
  <c r="U138" i="1"/>
  <c r="S138" i="1" s="1"/>
  <c r="AI138" i="1"/>
  <c r="U146" i="1"/>
  <c r="S146" i="1" s="1"/>
  <c r="AI146" i="1"/>
  <c r="U162" i="1"/>
  <c r="S162" i="1" s="1"/>
  <c r="AI162" i="1"/>
  <c r="W122" i="1"/>
  <c r="W138" i="1"/>
  <c r="U213" i="1"/>
  <c r="S213" i="1" s="1"/>
  <c r="AI166" i="1"/>
  <c r="W158" i="1"/>
  <c r="AI175" i="1"/>
  <c r="U222" i="1"/>
  <c r="S222" i="1" s="1"/>
  <c r="AI191" i="1"/>
  <c r="U244" i="1"/>
  <c r="S244" i="1" s="1"/>
  <c r="AI207" i="1"/>
  <c r="U167" i="1"/>
  <c r="S167" i="1" s="1"/>
  <c r="AI223" i="1"/>
  <c r="U183" i="1"/>
  <c r="S183" i="1" s="1"/>
  <c r="AI227" i="1"/>
  <c r="U187" i="1"/>
  <c r="S187" i="1" s="1"/>
  <c r="AI231" i="1"/>
  <c r="U191" i="1"/>
  <c r="S191" i="1" s="1"/>
  <c r="W179" i="1"/>
  <c r="W218" i="1"/>
  <c r="W240" i="1"/>
  <c r="W256" i="1"/>
  <c r="U210" i="1"/>
  <c r="S210" i="1" s="1"/>
  <c r="AI251" i="1"/>
  <c r="W175" i="1"/>
  <c r="W191" i="1"/>
  <c r="W200" i="1"/>
  <c r="AI254" i="1"/>
  <c r="U260" i="1"/>
  <c r="S260" i="1" s="1"/>
  <c r="W248" i="1"/>
  <c r="W209" i="1"/>
  <c r="W223" i="1"/>
  <c r="W226" i="1"/>
  <c r="R44" i="3"/>
  <c r="M44" i="3"/>
  <c r="S44" i="3"/>
  <c r="U44" i="3"/>
  <c r="V44" i="3"/>
  <c r="W44" i="3"/>
  <c r="X44" i="3"/>
  <c r="AC44" i="3" l="1"/>
  <c r="AD44" i="3"/>
  <c r="AE44" i="3"/>
  <c r="B8" i="6"/>
  <c r="J8" i="6" s="1"/>
  <c r="Y44" i="3"/>
  <c r="T44" i="3"/>
  <c r="B9" i="6" l="1"/>
  <c r="F8" i="6"/>
  <c r="I8" i="6"/>
  <c r="G8" i="6"/>
  <c r="G9" i="6" l="1"/>
  <c r="I9" i="6"/>
  <c r="J9" i="6"/>
  <c r="F9" i="6"/>
  <c r="B10" i="6"/>
  <c r="F10" i="6" l="1"/>
  <c r="G10" i="6"/>
  <c r="I10" i="6"/>
  <c r="J10" i="6"/>
  <c r="B11" i="6"/>
  <c r="O2" i="3"/>
  <c r="G11" i="6" l="1"/>
  <c r="I11" i="6"/>
  <c r="J11" i="6"/>
  <c r="F11" i="6"/>
  <c r="B12" i="6"/>
  <c r="M28" i="5"/>
  <c r="B13" i="6" l="1"/>
  <c r="F12" i="6"/>
  <c r="I12" i="6"/>
  <c r="G12" i="6"/>
  <c r="J12" i="6"/>
  <c r="M23" i="5"/>
  <c r="B14" i="6" l="1"/>
  <c r="G13" i="6"/>
  <c r="I13" i="6"/>
  <c r="J13" i="6"/>
  <c r="F13" i="6"/>
  <c r="AD7" i="3"/>
  <c r="AN13" i="1"/>
  <c r="F14" i="6" l="1"/>
  <c r="I14" i="6"/>
  <c r="G14" i="6"/>
  <c r="J14" i="6"/>
  <c r="B15" i="6"/>
  <c r="AE7" i="3"/>
  <c r="G15" i="6" l="1"/>
  <c r="I15" i="6"/>
  <c r="F15" i="6"/>
  <c r="J15" i="6"/>
  <c r="B16" i="6"/>
  <c r="K13" i="1"/>
  <c r="M13" i="1"/>
  <c r="N13" i="1" s="1"/>
  <c r="Y13" i="1"/>
  <c r="Z13" i="1"/>
  <c r="AB13" i="1"/>
  <c r="AC13" i="1"/>
  <c r="AD13" i="1"/>
  <c r="X14" i="1" s="1"/>
  <c r="AE13" i="1"/>
  <c r="AM13" i="1"/>
  <c r="F16" i="6" l="1"/>
  <c r="I16" i="6"/>
  <c r="G16" i="6"/>
  <c r="J16" i="6"/>
  <c r="B17" i="6"/>
  <c r="AG13" i="1"/>
  <c r="AI13" i="1" s="1"/>
  <c r="X13" i="1"/>
  <c r="AA13" i="1"/>
  <c r="T13" i="1"/>
  <c r="G17" i="6" l="1"/>
  <c r="I17" i="6"/>
  <c r="J17" i="6"/>
  <c r="F17" i="6"/>
  <c r="B18" i="6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B19" i="6" l="1"/>
  <c r="F18" i="6"/>
  <c r="G18" i="6"/>
  <c r="I18" i="6"/>
  <c r="J18" i="6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G19" i="6" l="1"/>
  <c r="I19" i="6"/>
  <c r="J19" i="6"/>
  <c r="F19" i="6"/>
  <c r="B20" i="6"/>
  <c r="B87" i="9"/>
  <c r="B88" i="9"/>
  <c r="B89" i="9"/>
  <c r="B90" i="9"/>
  <c r="B91" i="9"/>
  <c r="B92" i="9"/>
  <c r="B21" i="6" l="1"/>
  <c r="F20" i="6"/>
  <c r="G20" i="6"/>
  <c r="I20" i="6"/>
  <c r="J20" i="6"/>
  <c r="C88" i="9"/>
  <c r="C92" i="9"/>
  <c r="C93" i="9"/>
  <c r="C90" i="9"/>
  <c r="C89" i="9"/>
  <c r="C91" i="9"/>
  <c r="B22" i="6" l="1"/>
  <c r="G21" i="6"/>
  <c r="I21" i="6"/>
  <c r="J21" i="6"/>
  <c r="F21" i="6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F22" i="6" l="1"/>
  <c r="G22" i="6"/>
  <c r="I22" i="6"/>
  <c r="J22" i="6"/>
  <c r="B23" i="6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23" i="6" l="1"/>
  <c r="F23" i="6"/>
  <c r="G23" i="6"/>
  <c r="J23" i="6"/>
  <c r="B24" i="6"/>
  <c r="B55" i="9"/>
  <c r="B56" i="9"/>
  <c r="B57" i="9"/>
  <c r="B58" i="9"/>
  <c r="B59" i="9"/>
  <c r="B60" i="9"/>
  <c r="B61" i="9"/>
  <c r="B62" i="9"/>
  <c r="C63" i="9" s="1"/>
  <c r="F24" i="6" l="1"/>
  <c r="I24" i="6"/>
  <c r="G24" i="6"/>
  <c r="J24" i="6"/>
  <c r="B25" i="6"/>
  <c r="C61" i="9"/>
  <c r="C57" i="9"/>
  <c r="C59" i="9"/>
  <c r="C62" i="9"/>
  <c r="C60" i="9"/>
  <c r="C58" i="9"/>
  <c r="C56" i="9"/>
  <c r="G25" i="6" l="1"/>
  <c r="I25" i="6"/>
  <c r="J25" i="6"/>
  <c r="F25" i="6"/>
  <c r="B26" i="6"/>
  <c r="B50" i="9"/>
  <c r="B51" i="9"/>
  <c r="B52" i="9"/>
  <c r="B53" i="9"/>
  <c r="B54" i="9"/>
  <c r="F26" i="6" l="1"/>
  <c r="G26" i="6"/>
  <c r="I26" i="6"/>
  <c r="J26" i="6"/>
  <c r="B27" i="6"/>
  <c r="C52" i="9"/>
  <c r="C54" i="9"/>
  <c r="C55" i="9"/>
  <c r="C53" i="9"/>
  <c r="C51" i="9"/>
  <c r="G27" i="6" l="1"/>
  <c r="I27" i="6"/>
  <c r="J27" i="6"/>
  <c r="F27" i="6"/>
  <c r="B28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29" i="6" l="1"/>
  <c r="F28" i="6"/>
  <c r="G28" i="6"/>
  <c r="I28" i="6"/>
  <c r="J28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29" i="6" l="1"/>
  <c r="I29" i="6"/>
  <c r="J29" i="6"/>
  <c r="F29" i="6"/>
  <c r="B30" i="6"/>
  <c r="V13" i="1"/>
  <c r="B31" i="9"/>
  <c r="B32" i="9"/>
  <c r="C33" i="9" s="1"/>
  <c r="F30" i="6" l="1"/>
  <c r="G30" i="6"/>
  <c r="I30" i="6"/>
  <c r="J30" i="6"/>
  <c r="B31" i="6"/>
  <c r="C32" i="9"/>
  <c r="G31" i="6" l="1"/>
  <c r="I31" i="6"/>
  <c r="F31" i="6"/>
  <c r="H31" i="6"/>
  <c r="J31" i="6"/>
  <c r="B32" i="6"/>
  <c r="G3" i="4"/>
  <c r="G4" i="4"/>
  <c r="G5" i="4"/>
  <c r="G6" i="4"/>
  <c r="G7" i="4"/>
  <c r="G8" i="4"/>
  <c r="G9" i="4"/>
  <c r="G10" i="4"/>
  <c r="G11" i="4"/>
  <c r="G12" i="4"/>
  <c r="G13" i="4"/>
  <c r="N45" i="3" s="1"/>
  <c r="G14" i="4"/>
  <c r="G15" i="4"/>
  <c r="G16" i="4"/>
  <c r="G17" i="4"/>
  <c r="G18" i="4"/>
  <c r="G19" i="4"/>
  <c r="N20" i="3" s="1"/>
  <c r="G20" i="4"/>
  <c r="G21" i="4"/>
  <c r="G22" i="4"/>
  <c r="G23" i="4"/>
  <c r="G24" i="4"/>
  <c r="G25" i="4"/>
  <c r="G26" i="4"/>
  <c r="G27" i="4"/>
  <c r="N21" i="3" s="1"/>
  <c r="G28" i="4"/>
  <c r="G29" i="4"/>
  <c r="G30" i="4"/>
  <c r="G31" i="4"/>
  <c r="G32" i="4"/>
  <c r="G33" i="4"/>
  <c r="G34" i="4"/>
  <c r="N46" i="3" s="1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N17" i="3" s="1"/>
  <c r="G51" i="4"/>
  <c r="G52" i="4"/>
  <c r="G53" i="4"/>
  <c r="G54" i="4"/>
  <c r="N11" i="3" s="1"/>
  <c r="G55" i="4"/>
  <c r="G56" i="4"/>
  <c r="G57" i="4"/>
  <c r="G58" i="4"/>
  <c r="G59" i="4"/>
  <c r="N34" i="3" s="1"/>
  <c r="G60" i="4"/>
  <c r="G61" i="4"/>
  <c r="G62" i="4"/>
  <c r="G63" i="4"/>
  <c r="G64" i="4"/>
  <c r="G65" i="4"/>
  <c r="G66" i="4"/>
  <c r="G67" i="4"/>
  <c r="G68" i="4"/>
  <c r="N44" i="3" s="1"/>
  <c r="G69" i="4"/>
  <c r="G70" i="4"/>
  <c r="G71" i="4"/>
  <c r="G72" i="4"/>
  <c r="G73" i="4"/>
  <c r="G74" i="4"/>
  <c r="G75" i="4"/>
  <c r="G76" i="4"/>
  <c r="G77" i="4"/>
  <c r="G78" i="4"/>
  <c r="G79" i="4"/>
  <c r="N7" i="3" s="1"/>
  <c r="G80" i="4"/>
  <c r="G81" i="4"/>
  <c r="G82" i="4"/>
  <c r="H8" i="6" s="1"/>
  <c r="G83" i="4"/>
  <c r="G84" i="4"/>
  <c r="G85" i="4"/>
  <c r="H9" i="6" s="1"/>
  <c r="G86" i="4"/>
  <c r="G87" i="4"/>
  <c r="G88" i="4"/>
  <c r="G89" i="4"/>
  <c r="G90" i="4"/>
  <c r="G91" i="4"/>
  <c r="G92" i="4"/>
  <c r="G93" i="4"/>
  <c r="G94" i="4"/>
  <c r="G95" i="4"/>
  <c r="G96" i="4"/>
  <c r="G97" i="4"/>
  <c r="H11" i="6" s="1"/>
  <c r="G98" i="4"/>
  <c r="N19" i="3" s="1"/>
  <c r="G99" i="4"/>
  <c r="G100" i="4"/>
  <c r="G101" i="4"/>
  <c r="G102" i="4"/>
  <c r="G103" i="4"/>
  <c r="N40" i="3" s="1"/>
  <c r="G104" i="4"/>
  <c r="H10" i="6" s="1"/>
  <c r="G105" i="4"/>
  <c r="G106" i="4"/>
  <c r="G107" i="4"/>
  <c r="N37" i="3" s="1"/>
  <c r="G108" i="4"/>
  <c r="N16" i="3" s="1"/>
  <c r="G109" i="4"/>
  <c r="G110" i="4"/>
  <c r="G111" i="4"/>
  <c r="G112" i="4"/>
  <c r="H15" i="6" s="1"/>
  <c r="G113" i="4"/>
  <c r="N28" i="3" s="1"/>
  <c r="G114" i="4"/>
  <c r="G115" i="4"/>
  <c r="H13" i="6" s="1"/>
  <c r="G116" i="4"/>
  <c r="H17" i="6" s="1"/>
  <c r="G117" i="4"/>
  <c r="H14" i="6" s="1"/>
  <c r="G118" i="4"/>
  <c r="G119" i="4"/>
  <c r="G120" i="4"/>
  <c r="G121" i="4"/>
  <c r="H16" i="6" s="1"/>
  <c r="G122" i="4"/>
  <c r="G123" i="4"/>
  <c r="N23" i="3" s="1"/>
  <c r="G124" i="4"/>
  <c r="H20" i="6" s="1"/>
  <c r="G125" i="4"/>
  <c r="H18" i="6" s="1"/>
  <c r="G126" i="4"/>
  <c r="G127" i="4"/>
  <c r="N14" i="3" s="1"/>
  <c r="G128" i="4"/>
  <c r="G129" i="4"/>
  <c r="H22" i="6" s="1"/>
  <c r="G130" i="4"/>
  <c r="H19" i="6" s="1"/>
  <c r="G131" i="4"/>
  <c r="G132" i="4"/>
  <c r="N22" i="3" s="1"/>
  <c r="G133" i="4"/>
  <c r="G134" i="4"/>
  <c r="G135" i="4"/>
  <c r="H21" i="6" s="1"/>
  <c r="G136" i="4"/>
  <c r="H24" i="6" s="1"/>
  <c r="G137" i="4"/>
  <c r="G138" i="4"/>
  <c r="N15" i="3" s="1"/>
  <c r="G139" i="4"/>
  <c r="N38" i="3" s="1"/>
  <c r="G140" i="4"/>
  <c r="G141" i="4"/>
  <c r="G142" i="4"/>
  <c r="G143" i="4"/>
  <c r="G144" i="4"/>
  <c r="H28" i="6" s="1"/>
  <c r="G145" i="4"/>
  <c r="G146" i="4"/>
  <c r="H25" i="6" s="1"/>
  <c r="G147" i="4"/>
  <c r="G148" i="4"/>
  <c r="G149" i="4"/>
  <c r="G150" i="4"/>
  <c r="G151" i="4"/>
  <c r="G152" i="4"/>
  <c r="H30" i="6" s="1"/>
  <c r="G153" i="4"/>
  <c r="H27" i="6" s="1"/>
  <c r="G154" i="4"/>
  <c r="N30" i="3" s="1"/>
  <c r="G155" i="4"/>
  <c r="G156" i="4"/>
  <c r="G157" i="4"/>
  <c r="N33" i="3" s="1"/>
  <c r="G158" i="4"/>
  <c r="G159" i="4"/>
  <c r="G160" i="4"/>
  <c r="H29" i="6" s="1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N31" i="3" s="1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N26" i="3" s="1"/>
  <c r="G206" i="4"/>
  <c r="N43" i="3" s="1"/>
  <c r="G207" i="4"/>
  <c r="G208" i="4"/>
  <c r="N32" i="3" s="1"/>
  <c r="G209" i="4"/>
  <c r="G210" i="4"/>
  <c r="G211" i="4"/>
  <c r="G212" i="4"/>
  <c r="G213" i="4"/>
  <c r="G214" i="4"/>
  <c r="N39" i="3" s="1"/>
  <c r="G215" i="4"/>
  <c r="G216" i="4"/>
  <c r="G217" i="4"/>
  <c r="G218" i="4"/>
  <c r="G219" i="4"/>
  <c r="G220" i="4"/>
  <c r="N42" i="3" s="1"/>
  <c r="G221" i="4"/>
  <c r="G222" i="4"/>
  <c r="G223" i="4"/>
  <c r="G224" i="4"/>
  <c r="G225" i="4"/>
  <c r="G226" i="4"/>
  <c r="G227" i="4"/>
  <c r="N8" i="3" s="1"/>
  <c r="G228" i="4"/>
  <c r="G229" i="4"/>
  <c r="G230" i="4"/>
  <c r="N41" i="3" s="1"/>
  <c r="G231" i="4"/>
  <c r="G232" i="4"/>
  <c r="N54" i="3" s="1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50" i="3" l="1"/>
  <c r="N51" i="3"/>
  <c r="N29" i="3"/>
  <c r="H26" i="6"/>
  <c r="N35" i="3"/>
  <c r="N36" i="3"/>
  <c r="N52" i="3"/>
  <c r="N53" i="3"/>
  <c r="N48" i="3"/>
  <c r="N49" i="3"/>
  <c r="N47" i="3"/>
  <c r="N12" i="3"/>
  <c r="N27" i="3"/>
  <c r="N10" i="3"/>
  <c r="H12" i="6"/>
  <c r="N24" i="3"/>
  <c r="N25" i="3"/>
  <c r="N13" i="3"/>
  <c r="N18" i="3"/>
  <c r="H23" i="6"/>
  <c r="F32" i="6"/>
  <c r="I32" i="6"/>
  <c r="G32" i="6"/>
  <c r="H32" i="6"/>
  <c r="J32" i="6"/>
  <c r="B33" i="6"/>
  <c r="L13" i="1"/>
  <c r="G33" i="6" l="1"/>
  <c r="I33" i="6"/>
  <c r="J33" i="6"/>
  <c r="F33" i="6"/>
  <c r="H33" i="6"/>
  <c r="B34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34" i="6" l="1"/>
  <c r="G34" i="6"/>
  <c r="I34" i="6"/>
  <c r="J34" i="6"/>
  <c r="H34" i="6"/>
  <c r="B35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35" i="6" l="1"/>
  <c r="H35" i="6"/>
  <c r="J35" i="6"/>
  <c r="I35" i="6"/>
  <c r="F35" i="6"/>
  <c r="B36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37" i="6" l="1"/>
  <c r="F36" i="6"/>
  <c r="G36" i="6"/>
  <c r="I36" i="6"/>
  <c r="H36" i="6"/>
  <c r="J36" i="6"/>
  <c r="M30" i="5"/>
  <c r="M29" i="5"/>
  <c r="M27" i="5"/>
  <c r="G37" i="6" l="1"/>
  <c r="I37" i="6"/>
  <c r="J37" i="6"/>
  <c r="H37" i="6"/>
  <c r="F37" i="6"/>
  <c r="B38" i="6"/>
  <c r="M26" i="5"/>
  <c r="B39" i="6" l="1"/>
  <c r="F38" i="6"/>
  <c r="G38" i="6"/>
  <c r="H38" i="6"/>
  <c r="J38" i="6"/>
  <c r="I38" i="6"/>
  <c r="AH13" i="1"/>
  <c r="J7" i="1"/>
  <c r="G39" i="6" l="1"/>
  <c r="F39" i="6"/>
  <c r="H39" i="6"/>
  <c r="J39" i="6"/>
  <c r="I39" i="6"/>
  <c r="B40" i="6"/>
  <c r="X6" i="1"/>
  <c r="W6" i="1"/>
  <c r="V6" i="1"/>
  <c r="S6" i="1"/>
  <c r="R2" i="1"/>
  <c r="I2" i="1"/>
  <c r="O6" i="1"/>
  <c r="N6" i="1"/>
  <c r="M6" i="1"/>
  <c r="J6" i="1"/>
  <c r="B41" i="6" l="1"/>
  <c r="I40" i="6"/>
  <c r="G40" i="6"/>
  <c r="H40" i="6"/>
  <c r="J40" i="6"/>
  <c r="F40" i="6"/>
  <c r="P3" i="5"/>
  <c r="G41" i="6" l="1"/>
  <c r="I41" i="6"/>
  <c r="J41" i="6"/>
  <c r="F41" i="6"/>
  <c r="H41" i="6"/>
  <c r="B42" i="6"/>
  <c r="M18" i="5"/>
  <c r="B43" i="6" l="1"/>
  <c r="F42" i="6"/>
  <c r="G42" i="6"/>
  <c r="I42" i="6"/>
  <c r="J42" i="6"/>
  <c r="H42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43" i="6" l="1"/>
  <c r="I43" i="6"/>
  <c r="J43" i="6"/>
  <c r="F43" i="6"/>
  <c r="H43" i="6"/>
  <c r="B44" i="6"/>
  <c r="V5" i="1"/>
  <c r="V8" i="1" s="1"/>
  <c r="G266" i="4"/>
  <c r="G267" i="4"/>
  <c r="G268" i="4"/>
  <c r="G269" i="4"/>
  <c r="N9" i="3" s="1"/>
  <c r="G270" i="4"/>
  <c r="G271" i="4"/>
  <c r="G272" i="4"/>
  <c r="G273" i="4"/>
  <c r="G274" i="4"/>
  <c r="G275" i="4"/>
  <c r="G276" i="4"/>
  <c r="G277" i="4"/>
  <c r="G278" i="4"/>
  <c r="G279" i="4"/>
  <c r="G280" i="4"/>
  <c r="G281" i="4"/>
  <c r="B45" i="6" l="1"/>
  <c r="F44" i="6"/>
  <c r="G44" i="6"/>
  <c r="I44" i="6"/>
  <c r="H44" i="6"/>
  <c r="J44" i="6"/>
  <c r="G259" i="4"/>
  <c r="G260" i="4"/>
  <c r="G261" i="4"/>
  <c r="G262" i="4"/>
  <c r="G263" i="4"/>
  <c r="G264" i="4"/>
  <c r="G265" i="4"/>
  <c r="B46" i="6" l="1"/>
  <c r="G45" i="6"/>
  <c r="I45" i="6"/>
  <c r="H45" i="6"/>
  <c r="J45" i="6"/>
  <c r="F45" i="6"/>
  <c r="M14" i="5"/>
  <c r="M13" i="5"/>
  <c r="M12" i="5"/>
  <c r="M11" i="5"/>
  <c r="M10" i="5"/>
  <c r="M9" i="5"/>
  <c r="M8" i="5"/>
  <c r="M7" i="5"/>
  <c r="M6" i="5"/>
  <c r="M5" i="5"/>
  <c r="M4" i="5"/>
  <c r="M3" i="5"/>
  <c r="F46" i="6" l="1"/>
  <c r="G46" i="6"/>
  <c r="I46" i="6"/>
  <c r="J46" i="6"/>
  <c r="H46" i="6"/>
  <c r="B47" i="6"/>
  <c r="U13" i="1"/>
  <c r="S13" i="1" s="1"/>
  <c r="O3" i="3"/>
  <c r="H47" i="6" l="1"/>
  <c r="I47" i="6"/>
  <c r="F47" i="6"/>
  <c r="G47" i="6"/>
  <c r="J47" i="6"/>
  <c r="B48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9" i="6" l="1"/>
  <c r="F49" i="6" s="1"/>
  <c r="F48" i="6"/>
  <c r="G48" i="6"/>
  <c r="I48" i="6"/>
  <c r="H48" i="6"/>
  <c r="J48" i="6"/>
  <c r="J8" i="1"/>
  <c r="J4" i="1"/>
  <c r="S8" i="1"/>
  <c r="S4" i="1"/>
  <c r="J49" i="6" l="1"/>
  <c r="I49" i="6"/>
  <c r="G49" i="6"/>
  <c r="H49" i="6"/>
  <c r="B50" i="6"/>
  <c r="S9" i="1"/>
  <c r="J9" i="1"/>
  <c r="B51" i="6" l="1"/>
  <c r="H50" i="6"/>
  <c r="J50" i="6"/>
  <c r="F50" i="6"/>
  <c r="G50" i="6"/>
  <c r="I50" i="6"/>
  <c r="S11" i="1"/>
  <c r="A11" i="1"/>
  <c r="B52" i="6" l="1"/>
  <c r="F51" i="6"/>
  <c r="I51" i="6"/>
  <c r="J51" i="6"/>
  <c r="G51" i="6"/>
  <c r="H51" i="6"/>
  <c r="B1" i="6"/>
  <c r="A5" i="3"/>
  <c r="B53" i="6" l="1"/>
  <c r="G52" i="6"/>
  <c r="H52" i="6"/>
  <c r="F52" i="6"/>
  <c r="I52" i="6"/>
  <c r="J52" i="6"/>
  <c r="B3" i="6"/>
  <c r="G53" i="6" l="1"/>
  <c r="H53" i="6"/>
  <c r="I53" i="6"/>
  <c r="J53" i="6"/>
  <c r="F53" i="6"/>
  <c r="B54" i="6"/>
  <c r="I3" i="6"/>
  <c r="F3" i="6"/>
  <c r="G3" i="6"/>
  <c r="H3" i="6"/>
  <c r="J3" i="6"/>
  <c r="H54" i="6" l="1"/>
  <c r="F54" i="6"/>
  <c r="G54" i="6"/>
  <c r="I54" i="6"/>
  <c r="J54" i="6"/>
  <c r="B55" i="6"/>
  <c r="B4" i="6"/>
  <c r="B56" i="6" l="1"/>
  <c r="G55" i="6"/>
  <c r="H55" i="6"/>
  <c r="I55" i="6"/>
  <c r="J55" i="6"/>
  <c r="F55" i="6"/>
  <c r="I4" i="6"/>
  <c r="F4" i="6"/>
  <c r="G4" i="6"/>
  <c r="H4" i="6"/>
  <c r="J4" i="6"/>
  <c r="B57" i="6" l="1"/>
  <c r="I56" i="6"/>
  <c r="G56" i="6"/>
  <c r="F56" i="6"/>
  <c r="H56" i="6"/>
  <c r="J56" i="6"/>
  <c r="B5" i="6"/>
  <c r="G57" i="6" l="1"/>
  <c r="F57" i="6"/>
  <c r="H57" i="6"/>
  <c r="I57" i="6"/>
  <c r="J57" i="6"/>
  <c r="B58" i="6"/>
  <c r="I5" i="6"/>
  <c r="F5" i="6"/>
  <c r="J5" i="6"/>
  <c r="G5" i="6"/>
  <c r="H5" i="6"/>
  <c r="B6" i="6"/>
  <c r="H58" i="6" l="1"/>
  <c r="J58" i="6"/>
  <c r="F58" i="6"/>
  <c r="G58" i="6"/>
  <c r="I58" i="6"/>
  <c r="B59" i="6"/>
  <c r="I6" i="6"/>
  <c r="F6" i="6"/>
  <c r="B7" i="6"/>
  <c r="G6" i="6"/>
  <c r="J6" i="6"/>
  <c r="H6" i="6"/>
  <c r="B60" i="6" l="1"/>
  <c r="F59" i="6"/>
  <c r="G59" i="6"/>
  <c r="I59" i="6"/>
  <c r="H59" i="6"/>
  <c r="J59" i="6"/>
  <c r="I7" i="6"/>
  <c r="F7" i="6"/>
  <c r="G7" i="6"/>
  <c r="J7" i="6"/>
  <c r="H7" i="6"/>
  <c r="F60" i="6" l="1"/>
  <c r="G60" i="6"/>
  <c r="J60" i="6"/>
  <c r="H60" i="6"/>
  <c r="I60" i="6"/>
  <c r="B61" i="6"/>
  <c r="G61" i="6" l="1"/>
  <c r="J61" i="6"/>
  <c r="F61" i="6"/>
  <c r="H61" i="6"/>
  <c r="I61" i="6"/>
  <c r="B62" i="6"/>
  <c r="B63" i="6" l="1"/>
  <c r="F62" i="6"/>
  <c r="G62" i="6"/>
  <c r="H62" i="6"/>
  <c r="I62" i="6"/>
  <c r="J62" i="6"/>
  <c r="B64" i="6" l="1"/>
  <c r="J63" i="6"/>
  <c r="F63" i="6"/>
  <c r="I63" i="6"/>
  <c r="G63" i="6"/>
  <c r="H63" i="6"/>
  <c r="B65" i="6" l="1"/>
  <c r="G64" i="6"/>
  <c r="H64" i="6"/>
  <c r="F64" i="6"/>
  <c r="I64" i="6"/>
  <c r="J64" i="6"/>
  <c r="G65" i="6" l="1"/>
  <c r="I65" i="6"/>
  <c r="J65" i="6"/>
  <c r="F65" i="6"/>
  <c r="H65" i="6"/>
  <c r="B66" i="6"/>
  <c r="B67" i="6" l="1"/>
  <c r="J66" i="6"/>
  <c r="F66" i="6"/>
  <c r="H66" i="6"/>
  <c r="G66" i="6"/>
  <c r="I66" i="6"/>
  <c r="B68" i="6" l="1"/>
  <c r="H67" i="6"/>
  <c r="F67" i="6"/>
  <c r="I67" i="6"/>
  <c r="J67" i="6"/>
  <c r="G67" i="6"/>
  <c r="B70" i="6" l="1"/>
  <c r="B69" i="6"/>
  <c r="G68" i="6"/>
  <c r="H68" i="6"/>
  <c r="F68" i="6"/>
  <c r="I68" i="6"/>
  <c r="J68" i="6"/>
  <c r="G69" i="6" l="1"/>
  <c r="H69" i="6"/>
  <c r="I69" i="6"/>
  <c r="J69" i="6"/>
  <c r="F69" i="6"/>
  <c r="H70" i="6"/>
  <c r="J70" i="6"/>
  <c r="G70" i="6"/>
  <c r="I70" i="6"/>
  <c r="F70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<sst xmlns="http://schemas.openxmlformats.org/spreadsheetml/2006/main" count="3058" uniqueCount="1057">
  <si>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</si>
  <si>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</si>
  <si>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</si>
  <si>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</si>
  <si>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</si>
  <si>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</si>
  <si>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</si>
  <si>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</si>
  <si>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</si>
  <si>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</si>
  <si>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</si>
  <si>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</si>
  <si>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</si>
  <si>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</si>
  <si>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</si>
  <si>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</si>
  <si>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</si>
  <si>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</si>
  <si>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</si>
  <si>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</si>
  <si>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</si>
  <si>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</si>
  <si>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</si>
  <si>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</si>
  <si>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</si>
  <si>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</si>
  <si>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</si>
  <si>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</si>
  <si>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</si>
  <si>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</si>
  <si>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</si>
  <si>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</si>
  <si>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</si>
  <si>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</si>
  <si>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</si>
  <si>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</si>
  <si>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</si>
  <si>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</si>
  <si>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</si>
  <si>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</si>
  <si>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</si>
  <si>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</si>
  <si>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</si>
  <si>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</si>
  <si>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</si>
  <si>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</si>
  <si>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</si>
  <si>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</si>
  <si>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</si>
  <si>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</si>
  <si>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</si>
  <si>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</si>
  <si>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</si>
  <si>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</si>
  <si>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</si>
  <si>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</si>
  <si>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</si>
  <si>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</si>
  <si>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</si>
  <si>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</si>
  <si>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</si>
  <si>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</si>
  <si>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</si>
  <si>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</si>
  <si>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</si>
  <si>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</si>
  <si>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</si>
  <si>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</si>
  <si>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</si>
  <si>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</si>
  <si>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</si>
  <si>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</si>
  <si>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</si>
  <si>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</si>
  <si>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</si>
  <si>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</si>
  <si>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</si>
  <si>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</si>
  <si>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</si>
  <si>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</si>
  <si>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</si>
  <si>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</si>
  <si>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</si>
  <si>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</si>
  <si>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</si>
  <si>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</si>
  <si>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</si>
  <si>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</si>
  <si>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</si>
  <si>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</si>
  <si>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</si>
  <si>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</si>
  <si>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</si>
  <si>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</si>
  <si>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</si>
  <si>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</si>
  <si>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</si>
  <si>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</si>
  <si>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</si>
  <si>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</si>
  <si>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</si>
  <si>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</si>
  <si>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</si>
  <si>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</si>
  <si>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</si>
  <si>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</si>
  <si>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</si>
  <si>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</si>
  <si>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</si>
  <si>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</si>
  <si>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</si>
  <si>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</si>
  <si>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</si>
  <si>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</si>
  <si>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</si>
  <si>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</si>
  <si>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</si>
  <si>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</si>
  <si>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</si>
  <si>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</si>
  <si>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</si>
  <si>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</si>
  <si>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</si>
  <si>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</si>
  <si>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</si>
  <si>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</si>
  <si>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</si>
  <si>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</si>
  <si>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</si>
  <si>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</si>
  <si>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</si>
  <si>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</si>
  <si>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</si>
  <si>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</si>
  <si>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</si>
  <si>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</si>
  <si>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</si>
  <si>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</si>
  <si>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</si>
  <si>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</si>
  <si>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</si>
  <si>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</si>
  <si>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</si>
  <si>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</si>
  <si>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</si>
  <si>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</si>
  <si>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</si>
  <si>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</si>
  <si>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</si>
  <si>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</si>
  <si>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</si>
  <si>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</si>
  <si>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</si>
  <si>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</si>
  <si>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</si>
  <si>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</si>
  <si>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</si>
  <si>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</si>
  <si>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</si>
  <si>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</si>
  <si>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</si>
  <si>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</si>
  <si>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</si>
  <si>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</si>
  <si>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</si>
  <si>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</si>
  <si>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</si>
  <si>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</si>
  <si>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</si>
  <si>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</si>
  <si>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</si>
  <si>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</si>
  <si>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</si>
  <si>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</si>
  <si>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</si>
  <si>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</si>
  <si>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</si>
  <si>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</si>
  <si>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</si>
  <si>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</si>
  <si>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</si>
  <si>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</si>
  <si>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</si>
  <si>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</si>
  <si>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</si>
  <si>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</si>
  <si>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</si>
  <si>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</si>
  <si>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</si>
  <si>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</si>
  <si>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</si>
  <si>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</si>
  <si>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</si>
  <si>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</si>
  <si>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</si>
  <si>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</si>
  <si>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</si>
  <si>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</si>
  <si>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</si>
  <si>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</si>
  <si>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</si>
  <si>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</si>
  <si>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</si>
  <si>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</si>
  <si>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</si>
  <si>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</si>
  <si>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</si>
  <si>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</si>
  <si>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</si>
  <si>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</si>
  <si>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</si>
  <si>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</si>
  <si>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</si>
  <si>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</si>
  <si>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</si>
  <si>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</si>
  <si>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</si>
  <si>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</si>
  <si>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</si>
  <si>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</si>
  <si>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</si>
  <si>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</si>
  <si>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</si>
  <si>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</si>
  <si>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</si>
  <si>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</si>
  <si>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</si>
  <si>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</si>
  <si>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</si>
  <si>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</si>
  <si>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</si>
  <si>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</si>
  <si>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</si>
  <si>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</si>
  <si>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</si>
  <si>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</si>
  <si>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</si>
  <si>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</si>
  <si>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</si>
  <si>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</si>
  <si>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</si>
  <si>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</si>
  <si>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</si>
  <si>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</si>
  <si>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</si>
  <si>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</si>
  <si>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</si>
  <si>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</si>
  <si>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</si>
  <si>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</si>
  <si>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</si>
  <si>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</si>
  <si>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</si>
  <si>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</si>
  <si>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</si>
  <si>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</si>
  <si>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</si>
  <si>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</si>
  <si>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</si>
  <si>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</si>
  <si>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</si>
  <si>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</si>
  <si>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</si>
  <si>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</si>
  <si>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</si>
  <si>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</si>
  <si>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</si>
  <si>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</si>
  <si>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</si>
  <si>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</si>
  <si>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</si>
  <si>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</si>
  <si>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</si>
  <si>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</si>
  <si>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</si>
  <si>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</si>
  <si>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</si>
  <si>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</si>
  <si>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</si>
  <si>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</si>
  <si>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</si>
  <si>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</si>
  <si>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</si>
  <si>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</si>
  <si>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</si>
  <si>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</si>
  <si>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</si>
  <si>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</si>
  <si>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</si>
  <si>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</si>
  <si>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</si>
  <si>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</si>
  <si>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</si>
  <si>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</si>
  <si>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</si>
  <si>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</si>
  <si>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</si>
  <si>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</si>
  <si>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</si>
  <si>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</si>
  <si>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</si>
  <si>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</si>
  <si>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</si>
  <si>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</si>
  <si>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</si>
  <si>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</si>
  <si>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</si>
  <si>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</si>
  <si>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</si>
  <si>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</si>
  <si>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</si>
  <si>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</si>
  <si>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</si>
  <si>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</si>
  <si>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</si>
  <si>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</si>
  <si>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</si>
  <si>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</si>
  <si>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</si>
  <si>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</si>
  <si>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</si>
  <si>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</si>
  <si>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</si>
  <si>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</si>
  <si>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</si>
  <si>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</si>
  <si>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</si>
  <si>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</si>
  <si>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</si>
  <si>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</si>
  <si>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</si>
  <si>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</si>
  <si>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</si>
  <si>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</si>
  <si>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</si>
  <si>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</si>
  <si>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</si>
  <si>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</si>
  <si>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</si>
  <si>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</si>
  <si>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</si>
  <si>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</si>
  <si>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</si>
  <si>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</si>
  <si>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</si>
  <si>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</si>
  <si>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</si>
  <si>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</si>
  <si>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204:138</t>
  </si>
  <si>
    <t>WCR Redmine cURL</t>
  </si>
  <si>
    <t>27f4683f8c668ceb395ce0223286e38dfe180cf8</t>
  </si>
  <si>
    <t>https://ptcsupport.wabtec.com/issues.json</t>
  </si>
  <si>
    <t>204:446</t>
  </si>
  <si>
    <t>204:145</t>
  </si>
  <si>
    <t>204:160</t>
  </si>
  <si>
    <t>204:458</t>
  </si>
  <si>
    <t>rtdc.l.rtdc.4004:itc</t>
  </si>
  <si>
    <t>rtdc.l.rtdc.4003:itc</t>
  </si>
  <si>
    <t>204:150</t>
  </si>
  <si>
    <t>204:149</t>
  </si>
  <si>
    <t>204:143</t>
  </si>
  <si>
    <t>204:466</t>
  </si>
  <si>
    <t>204:469</t>
  </si>
  <si>
    <t>204:451</t>
  </si>
  <si>
    <t>300:23346</t>
  </si>
  <si>
    <t>rtdc.l.rtdc.4018:itc</t>
  </si>
  <si>
    <t>204:233314</t>
  </si>
  <si>
    <t>204:464</t>
  </si>
  <si>
    <t>204:156</t>
  </si>
  <si>
    <t>rtdc.l.rtdc.4017:itc</t>
  </si>
  <si>
    <t>204:453</t>
  </si>
  <si>
    <t>204:444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</si>
  <si>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</si>
  <si>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</si>
  <si>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</si>
  <si>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</si>
  <si>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</si>
  <si>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</si>
  <si>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204:442</t>
  </si>
  <si>
    <t>SIGNAL</t>
  </si>
  <si>
    <t>Signal based authority (5)</t>
  </si>
  <si>
    <t>rtdc.l.rtdc.4051:itc</t>
  </si>
  <si>
    <t>Y</t>
  </si>
  <si>
    <t>rtdc.l.rtdc.4052:itc</t>
  </si>
  <si>
    <t>rtdc.l.rtdc.4041:itc</t>
  </si>
  <si>
    <t>204:233301</t>
  </si>
  <si>
    <t>204:455</t>
  </si>
  <si>
    <t>rtdc.l.rtdc.4033:itc</t>
  </si>
  <si>
    <t>rtdc.l.rtdc.4034:itc</t>
  </si>
  <si>
    <t>partly-cloudy-day</t>
  </si>
  <si>
    <t>204:233312</t>
  </si>
  <si>
    <t>204:136</t>
  </si>
  <si>
    <t>204:478</t>
  </si>
  <si>
    <t>204:232998</t>
  </si>
  <si>
    <t>rtdc.l.rtdc.4011:itc</t>
  </si>
  <si>
    <t>rtdc.l.rtdc.4021:itc</t>
  </si>
  <si>
    <t>rtdc.l.rtdc.4012:itc</t>
  </si>
  <si>
    <t>THOMAS</t>
  </si>
  <si>
    <t>NEWELL</t>
  </si>
  <si>
    <t>precipType</t>
  </si>
  <si>
    <t>rain</t>
  </si>
  <si>
    <t>rtdc.l.rtdc.4013:itc</t>
  </si>
  <si>
    <t>rtdc.l.rtdc.4039:itc</t>
  </si>
  <si>
    <t>66-08</t>
  </si>
  <si>
    <t>72-08</t>
  </si>
  <si>
    <t>rtdc.l.rtdc.4040:itc</t>
  </si>
  <si>
    <t>243-08</t>
  </si>
  <si>
    <t>244-08</t>
  </si>
  <si>
    <t>BONDS</t>
  </si>
  <si>
    <t>REYNALDO</t>
  </si>
  <si>
    <t>rtdc.l.rtdc.4014:itc</t>
  </si>
  <si>
    <t>SPECTOR</t>
  </si>
  <si>
    <t>CLARK</t>
  </si>
  <si>
    <t>KATHLEEN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</si>
  <si>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</si>
  <si>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</si>
  <si>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</si>
  <si>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</si>
  <si>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</si>
  <si>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</si>
  <si>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</si>
  <si>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</si>
  <si>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</si>
  <si>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</si>
  <si>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</si>
  <si>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236-08</t>
  </si>
  <si>
    <t>238-08</t>
  </si>
  <si>
    <t>240-08</t>
  </si>
  <si>
    <t>315-08</t>
  </si>
  <si>
    <t>242-08</t>
  </si>
  <si>
    <t>309-08</t>
  </si>
  <si>
    <t>311-08</t>
  </si>
  <si>
    <t>313-08</t>
  </si>
  <si>
    <t>204:462</t>
  </si>
  <si>
    <t>204:232978</t>
  </si>
  <si>
    <t>204:232994</t>
  </si>
  <si>
    <t>204:233293</t>
  </si>
  <si>
    <t>204:233309</t>
  </si>
  <si>
    <t>204:233280</t>
  </si>
  <si>
    <t>204:477</t>
  </si>
  <si>
    <t>300:58617</t>
  </si>
  <si>
    <t>204:979</t>
  </si>
  <si>
    <t>rtdc.l.rtdc.4005:itc</t>
  </si>
  <si>
    <t>rtdc.l.rtdc.4006:itc</t>
  </si>
  <si>
    <t>rtdc.l.rtdc.4032:itc</t>
  </si>
  <si>
    <t>LOZA</t>
  </si>
  <si>
    <t>FIDEL</t>
  </si>
  <si>
    <t>ROCHA</t>
  </si>
  <si>
    <t>YAOTL</t>
  </si>
  <si>
    <t>THOMPSON</t>
  </si>
  <si>
    <t>LESTER</t>
  </si>
  <si>
    <t>FORTUNATO</t>
  </si>
  <si>
    <t>FRANK</t>
  </si>
  <si>
    <t>204:232977</t>
  </si>
  <si>
    <t>204:438</t>
  </si>
  <si>
    <t>204:232988</t>
  </si>
  <si>
    <t>204:232996</t>
  </si>
  <si>
    <t>204:435</t>
  </si>
  <si>
    <t>204:233320</t>
  </si>
  <si>
    <t>204:692</t>
  </si>
  <si>
    <t>300:58956</t>
  </si>
  <si>
    <t>204:684</t>
  </si>
  <si>
    <t>300:58624</t>
  </si>
  <si>
    <t>300:58634</t>
  </si>
  <si>
    <t>rtdc.l.rtdc.4025:itc</t>
  </si>
  <si>
    <t>rtdc.l.rtdc.4026:itc</t>
  </si>
  <si>
    <t>rtdc.l.rtdc.4015:itc</t>
  </si>
  <si>
    <t>rtdc.l.rtdc.4001:itc</t>
  </si>
  <si>
    <t>BADERTSCHER</t>
  </si>
  <si>
    <t>DIANE</t>
  </si>
  <si>
    <t>DELGADO</t>
  </si>
  <si>
    <t>DIANAH</t>
  </si>
  <si>
    <t>rtdc.l.rtdc.4016:itc</t>
  </si>
  <si>
    <t>HELVIE</t>
  </si>
  <si>
    <t>ADAM</t>
  </si>
  <si>
    <t>LOPES</t>
  </si>
  <si>
    <t>KIMBERLY</t>
  </si>
  <si>
    <t>BROWN</t>
  </si>
  <si>
    <t>JACOB</t>
  </si>
  <si>
    <t>204:232969</t>
  </si>
  <si>
    <t>204:424</t>
  </si>
  <si>
    <t>204:232981</t>
  </si>
  <si>
    <t>204:427</t>
  </si>
  <si>
    <t>204:233006</t>
  </si>
  <si>
    <t>204:232953</t>
  </si>
  <si>
    <t>204:130</t>
  </si>
  <si>
    <t>204:233286</t>
  </si>
  <si>
    <t>204:233359</t>
  </si>
  <si>
    <t>204:500</t>
  </si>
  <si>
    <t>300:23308</t>
  </si>
  <si>
    <t>300:58647</t>
  </si>
  <si>
    <t>300:58929</t>
  </si>
  <si>
    <t>300:58619</t>
  </si>
  <si>
    <t>204:687</t>
  </si>
  <si>
    <t>SWITCH UNKNOWN</t>
  </si>
  <si>
    <t>Track device (7)</t>
  </si>
  <si>
    <t>ROBINSON</t>
  </si>
  <si>
    <t>KADDIBA</t>
  </si>
  <si>
    <t>ACKERMAN</t>
  </si>
  <si>
    <t>JARED</t>
  </si>
  <si>
    <t>MACDONALD</t>
  </si>
  <si>
    <t>YANAI</t>
  </si>
  <si>
    <t>IAN</t>
  </si>
  <si>
    <t>BRANDNER</t>
  </si>
  <si>
    <t>MELINDA</t>
  </si>
  <si>
    <t>rtdc.l.rtdc.4002:itc</t>
  </si>
  <si>
    <t>WHITED</t>
  </si>
  <si>
    <t>DUSTIN</t>
  </si>
  <si>
    <t>MOSES</t>
  </si>
  <si>
    <t>BRADLEY</t>
  </si>
  <si>
    <t>240-11</t>
  </si>
  <si>
    <t>242-11</t>
  </si>
  <si>
    <t>244-11</t>
  </si>
  <si>
    <t>309-11</t>
  </si>
  <si>
    <t>311-11</t>
  </si>
  <si>
    <t>313-11</t>
  </si>
  <si>
    <t>Partly Cloudy</t>
  </si>
  <si>
    <t>clear-day</t>
  </si>
  <si>
    <t>Clear</t>
  </si>
  <si>
    <t>clear-night</t>
  </si>
  <si>
    <t>204:233289</t>
  </si>
  <si>
    <t>204:233378</t>
  </si>
  <si>
    <t>204:233285</t>
  </si>
  <si>
    <t>204:233291</t>
  </si>
  <si>
    <t>204:154</t>
  </si>
  <si>
    <t>204:163</t>
  </si>
  <si>
    <t>204:233307</t>
  </si>
  <si>
    <t>204:232989</t>
  </si>
  <si>
    <t>300:23301</t>
  </si>
  <si>
    <t>204:140</t>
  </si>
  <si>
    <t>204:161</t>
  </si>
  <si>
    <t>204:985</t>
  </si>
  <si>
    <t>300:58944</t>
  </si>
  <si>
    <t>204:976</t>
  </si>
  <si>
    <t>204:691</t>
  </si>
  <si>
    <t>204:971</t>
  </si>
  <si>
    <t>204:705</t>
  </si>
  <si>
    <t>204:988</t>
  </si>
  <si>
    <t>204:694</t>
  </si>
  <si>
    <t>300:58948</t>
  </si>
  <si>
    <t>300:58638</t>
  </si>
  <si>
    <t>300:58958</t>
  </si>
  <si>
    <t>204:664</t>
  </si>
  <si>
    <t>300:58946</t>
  </si>
  <si>
    <t>204:974</t>
  </si>
  <si>
    <t>204:698</t>
  </si>
  <si>
    <t>300:58952</t>
  </si>
  <si>
    <t>300:58615</t>
  </si>
  <si>
    <t>300:58608</t>
  </si>
  <si>
    <t>204:670</t>
  </si>
  <si>
    <t>300:58662</t>
  </si>
  <si>
    <t>204:685</t>
  </si>
  <si>
    <t>start /low /b %USERPROFILE%\Documents\GitHub\eaglep3\Utilities\DownloadLogsFromS3.py --loco 4051 --day 2017-05-12</t>
  </si>
  <si>
    <t>start /low /b %USERPROFILE%\Documents\GitHub\eaglep3\Utilities\DownloadLogsFromS3.py --loco 4021 --day 2017-05-12</t>
  </si>
  <si>
    <t>Onboard in-route failure</t>
  </si>
  <si>
    <t>Wi-MAX data drop</t>
  </si>
  <si>
    <t>Early arrival</t>
  </si>
  <si>
    <t>Selected wrong track</t>
  </si>
  <si>
    <t>rtdc.l.rtdc.4049:itc</t>
  </si>
  <si>
    <t>306-12</t>
  </si>
  <si>
    <t>104-12</t>
  </si>
  <si>
    <t>113-12</t>
  </si>
  <si>
    <t>902-12</t>
  </si>
  <si>
    <t>804-12</t>
  </si>
  <si>
    <t>120-12</t>
  </si>
  <si>
    <t>129-12</t>
  </si>
  <si>
    <t>808-12</t>
  </si>
  <si>
    <t>145-12</t>
  </si>
  <si>
    <t>159-12</t>
  </si>
  <si>
    <t>817-12</t>
  </si>
  <si>
    <t>818-12</t>
  </si>
  <si>
    <t>158-12</t>
  </si>
  <si>
    <t>162-12</t>
  </si>
  <si>
    <t>169-12</t>
  </si>
  <si>
    <t>rtdc.l.rtdc.4031:itc</t>
  </si>
  <si>
    <t>170-12</t>
  </si>
  <si>
    <t>174-12</t>
  </si>
  <si>
    <t>183-12</t>
  </si>
  <si>
    <t>824-12</t>
  </si>
  <si>
    <t>rtdc.l.rtdc.4045:itc</t>
  </si>
  <si>
    <t>182-12</t>
  </si>
  <si>
    <t>184-12</t>
  </si>
  <si>
    <t>189-12</t>
  </si>
  <si>
    <t>828-12</t>
  </si>
  <si>
    <t>199-12</t>
  </si>
  <si>
    <t>202-12</t>
  </si>
  <si>
    <t>211-12</t>
  </si>
  <si>
    <t>212-12</t>
  </si>
  <si>
    <t>906-12</t>
  </si>
  <si>
    <t>220-12</t>
  </si>
  <si>
    <t>223-12</t>
  </si>
  <si>
    <t>840-12</t>
  </si>
  <si>
    <t>54-12</t>
  </si>
  <si>
    <t>SWITCH ALIGNMENT</t>
  </si>
  <si>
    <t>226-12</t>
  </si>
  <si>
    <t>845-12</t>
  </si>
  <si>
    <t>62-12</t>
  </si>
  <si>
    <t>63-12</t>
  </si>
  <si>
    <t>85-12</t>
  </si>
  <si>
    <t>242-12</t>
  </si>
  <si>
    <t>302-12</t>
  </si>
  <si>
    <t>rtdc.l.rtdc.4046:itc</t>
  </si>
  <si>
    <t>101-12</t>
  </si>
  <si>
    <t>304-12</t>
  </si>
  <si>
    <t>103-12</t>
  </si>
  <si>
    <t>102-12</t>
  </si>
  <si>
    <t>308-12</t>
  </si>
  <si>
    <t>105-12</t>
  </si>
  <si>
    <t>107-12</t>
  </si>
  <si>
    <t>rtdc.l.rtdc.4009:itc</t>
  </si>
  <si>
    <t>310-12</t>
  </si>
  <si>
    <t>rtdc.l.rtdc.4010:itc</t>
  </si>
  <si>
    <t>109-12</t>
  </si>
  <si>
    <t>901-12</t>
  </si>
  <si>
    <t>GEBRETEKLE</t>
  </si>
  <si>
    <t>DAGNEW</t>
  </si>
  <si>
    <t>111-12</t>
  </si>
  <si>
    <t>800-12</t>
  </si>
  <si>
    <t>106-12</t>
  </si>
  <si>
    <t>108-12</t>
  </si>
  <si>
    <t>801-12</t>
  </si>
  <si>
    <t>115-12</t>
  </si>
  <si>
    <t>117-12</t>
  </si>
  <si>
    <t>110-12</t>
  </si>
  <si>
    <t>112-12</t>
  </si>
  <si>
    <t>119-12</t>
  </si>
  <si>
    <t>114-12</t>
  </si>
  <si>
    <t>803-12</t>
  </si>
  <si>
    <t>rtdc.l.rtdc.4050:itc</t>
  </si>
  <si>
    <t>51-12</t>
  </si>
  <si>
    <t>802-12</t>
  </si>
  <si>
    <t>121-12</t>
  </si>
  <si>
    <t>118-12</t>
  </si>
  <si>
    <t>116-12</t>
  </si>
  <si>
    <t>123-12</t>
  </si>
  <si>
    <t>805-12</t>
  </si>
  <si>
    <t>125-12</t>
  </si>
  <si>
    <t>127-12</t>
  </si>
  <si>
    <t>122-12</t>
  </si>
  <si>
    <t>806-12</t>
  </si>
  <si>
    <t>807-12</t>
  </si>
  <si>
    <t>124-12</t>
  </si>
  <si>
    <t>131-12</t>
  </si>
  <si>
    <t>809-12</t>
  </si>
  <si>
    <t>126-12</t>
  </si>
  <si>
    <t>133-12</t>
  </si>
  <si>
    <t>128-12</t>
  </si>
  <si>
    <t>135-12</t>
  </si>
  <si>
    <t>811-12</t>
  </si>
  <si>
    <t>810-12</t>
  </si>
  <si>
    <t>130-12</t>
  </si>
  <si>
    <t>137-12</t>
  </si>
  <si>
    <t>132-12</t>
  </si>
  <si>
    <t>903-12</t>
  </si>
  <si>
    <t>139-12</t>
  </si>
  <si>
    <t>YOUNG</t>
  </si>
  <si>
    <t>ELIZABETH</t>
  </si>
  <si>
    <t>134-12</t>
  </si>
  <si>
    <t>812-12</t>
  </si>
  <si>
    <t>141-12</t>
  </si>
  <si>
    <t>136-12</t>
  </si>
  <si>
    <t>813-12</t>
  </si>
  <si>
    <t>143-12</t>
  </si>
  <si>
    <t>138-12</t>
  </si>
  <si>
    <t>140-12</t>
  </si>
  <si>
    <t>147-12</t>
  </si>
  <si>
    <t>142-12</t>
  </si>
  <si>
    <t>814-12</t>
  </si>
  <si>
    <t>149-12</t>
  </si>
  <si>
    <t>146-12</t>
  </si>
  <si>
    <t>151-12</t>
  </si>
  <si>
    <t>144-12</t>
  </si>
  <si>
    <t>815-12</t>
  </si>
  <si>
    <t>153-12</t>
  </si>
  <si>
    <t>50-12</t>
  </si>
  <si>
    <t>148-12</t>
  </si>
  <si>
    <t>155-12</t>
  </si>
  <si>
    <t>150-12</t>
  </si>
  <si>
    <t>816-12</t>
  </si>
  <si>
    <t>157-12</t>
  </si>
  <si>
    <t>STEWART</t>
  </si>
  <si>
    <t>152-12</t>
  </si>
  <si>
    <t>154-12</t>
  </si>
  <si>
    <t>53-12</t>
  </si>
  <si>
    <t>161-12</t>
  </si>
  <si>
    <t>156-12</t>
  </si>
  <si>
    <t>163-12</t>
  </si>
  <si>
    <t>165-12</t>
  </si>
  <si>
    <t>160-12</t>
  </si>
  <si>
    <t>819-12</t>
  </si>
  <si>
    <t>167-12</t>
  </si>
  <si>
    <t>164-12</t>
  </si>
  <si>
    <t>171-12</t>
  </si>
  <si>
    <t>166-12</t>
  </si>
  <si>
    <t>820-12</t>
  </si>
  <si>
    <t>173-12</t>
  </si>
  <si>
    <t>175-12</t>
  </si>
  <si>
    <t>168-12</t>
  </si>
  <si>
    <t>821-12</t>
  </si>
  <si>
    <t>177-12</t>
  </si>
  <si>
    <t>172-12</t>
  </si>
  <si>
    <t>179-12</t>
  </si>
  <si>
    <t>MCREYNOLDS</t>
  </si>
  <si>
    <t>KYLE</t>
  </si>
  <si>
    <t>822-12</t>
  </si>
  <si>
    <t>181-12</t>
  </si>
  <si>
    <t>176-12</t>
  </si>
  <si>
    <t>823-12</t>
  </si>
  <si>
    <t>178-12</t>
  </si>
  <si>
    <t>180-12</t>
  </si>
  <si>
    <t>185-12</t>
  </si>
  <si>
    <t>187-12</t>
  </si>
  <si>
    <t>ROMERO</t>
  </si>
  <si>
    <t>CHAD</t>
  </si>
  <si>
    <t>191-12</t>
  </si>
  <si>
    <t>186-12</t>
  </si>
  <si>
    <t>193-12</t>
  </si>
  <si>
    <t>825-12</t>
  </si>
  <si>
    <t>188-12</t>
  </si>
  <si>
    <t>904-12</t>
  </si>
  <si>
    <t>190-12</t>
  </si>
  <si>
    <t>195-12</t>
  </si>
  <si>
    <t>826-12</t>
  </si>
  <si>
    <t>827-12</t>
  </si>
  <si>
    <t>197-12</t>
  </si>
  <si>
    <t>192-12</t>
  </si>
  <si>
    <t>194-12</t>
  </si>
  <si>
    <t>829-12</t>
  </si>
  <si>
    <t>201-12</t>
  </si>
  <si>
    <t>203-12</t>
  </si>
  <si>
    <t>196-12</t>
  </si>
  <si>
    <t>198-12</t>
  </si>
  <si>
    <t>830-12</t>
  </si>
  <si>
    <t>831-12</t>
  </si>
  <si>
    <t>205-12</t>
  </si>
  <si>
    <t>207-12</t>
  </si>
  <si>
    <t>200-12</t>
  </si>
  <si>
    <t>55-12</t>
  </si>
  <si>
    <t>832-12</t>
  </si>
  <si>
    <t>204-12</t>
  </si>
  <si>
    <t>209-12</t>
  </si>
  <si>
    <t>833-12</t>
  </si>
  <si>
    <t>206-12</t>
  </si>
  <si>
    <t>835-12</t>
  </si>
  <si>
    <t>834-12</t>
  </si>
  <si>
    <t>213-12</t>
  </si>
  <si>
    <t>208-12</t>
  </si>
  <si>
    <t>219-12</t>
  </si>
  <si>
    <t>88-12</t>
  </si>
  <si>
    <t>DUNCAN</t>
  </si>
  <si>
    <t>SHEILA</t>
  </si>
  <si>
    <t>89-12</t>
  </si>
  <si>
    <t>215-12</t>
  </si>
  <si>
    <t>837-12</t>
  </si>
  <si>
    <t>836-12</t>
  </si>
  <si>
    <t>210-12</t>
  </si>
  <si>
    <t>217-12</t>
  </si>
  <si>
    <t>MAGEE</t>
  </si>
  <si>
    <t>KENYA</t>
  </si>
  <si>
    <t>214-12</t>
  </si>
  <si>
    <t>52-12</t>
  </si>
  <si>
    <t>838-12</t>
  </si>
  <si>
    <t>303-12</t>
  </si>
  <si>
    <t>58-12</t>
  </si>
  <si>
    <t>216-12</t>
  </si>
  <si>
    <t>839-12</t>
  </si>
  <si>
    <t>221-12</t>
  </si>
  <si>
    <t>218-12</t>
  </si>
  <si>
    <t>305-12</t>
  </si>
  <si>
    <t>307-12</t>
  </si>
  <si>
    <t>841-12</t>
  </si>
  <si>
    <t>225-12</t>
  </si>
  <si>
    <t>83-12</t>
  </si>
  <si>
    <t>222-12</t>
  </si>
  <si>
    <t>227-12</t>
  </si>
  <si>
    <t>224-12</t>
  </si>
  <si>
    <t>57-12</t>
  </si>
  <si>
    <t>843-12</t>
  </si>
  <si>
    <t>842-12</t>
  </si>
  <si>
    <t>229-12</t>
  </si>
  <si>
    <t>228-12</t>
  </si>
  <si>
    <t>231-12</t>
  </si>
  <si>
    <t>844-12</t>
  </si>
  <si>
    <t>230-12</t>
  </si>
  <si>
    <t>233-12</t>
  </si>
  <si>
    <t>847-12</t>
  </si>
  <si>
    <t>232-12</t>
  </si>
  <si>
    <t>235-12</t>
  </si>
  <si>
    <t>908-12</t>
  </si>
  <si>
    <t>234-12</t>
  </si>
  <si>
    <t>237-12</t>
  </si>
  <si>
    <t>236-12</t>
  </si>
  <si>
    <t>239-12</t>
  </si>
  <si>
    <t>238-12</t>
  </si>
  <si>
    <t>241-12</t>
  </si>
  <si>
    <t>87-12</t>
  </si>
  <si>
    <t>243-12</t>
  </si>
  <si>
    <t>240-12</t>
  </si>
  <si>
    <t>245-12</t>
  </si>
  <si>
    <t>309-12</t>
  </si>
  <si>
    <t>244-12</t>
  </si>
  <si>
    <t>311-12</t>
  </si>
  <si>
    <t>246-12</t>
  </si>
  <si>
    <t>313-12</t>
  </si>
  <si>
    <t>315-12</t>
  </si>
  <si>
    <t>partly-cloudy-night</t>
  </si>
  <si>
    <t>204:744</t>
  </si>
  <si>
    <t>204:233261</t>
  </si>
  <si>
    <t>204:232651</t>
  </si>
  <si>
    <t>204:737</t>
  </si>
  <si>
    <t>204:233316</t>
  </si>
  <si>
    <t>204:232656</t>
  </si>
  <si>
    <t>204:792</t>
  </si>
  <si>
    <t>204:233364</t>
  </si>
  <si>
    <t>204:232739</t>
  </si>
  <si>
    <t>204:233318</t>
  </si>
  <si>
    <t>204:232982</t>
  </si>
  <si>
    <t>204:422</t>
  </si>
  <si>
    <t>204:233300</t>
  </si>
  <si>
    <t>204:232985</t>
  </si>
  <si>
    <t>204:774</t>
  </si>
  <si>
    <t>204:193542</t>
  </si>
  <si>
    <t>204:770</t>
  </si>
  <si>
    <t>204:233303</t>
  </si>
  <si>
    <t>204:232986</t>
  </si>
  <si>
    <t>204:233310</t>
  </si>
  <si>
    <t>204:233282</t>
  </si>
  <si>
    <t>204:232971</t>
  </si>
  <si>
    <t>204:233321</t>
  </si>
  <si>
    <t>204:123</t>
  </si>
  <si>
    <t>204:226170</t>
  </si>
  <si>
    <t>204:233010</t>
  </si>
  <si>
    <t>204:231523</t>
  </si>
  <si>
    <t>204:232980</t>
  </si>
  <si>
    <t>204:233002</t>
  </si>
  <si>
    <t>204:232967</t>
  </si>
  <si>
    <t>204:233297</t>
  </si>
  <si>
    <t>204:232975</t>
  </si>
  <si>
    <t>204:233387</t>
  </si>
  <si>
    <t>204:233089</t>
  </si>
  <si>
    <t>204:233004</t>
  </si>
  <si>
    <t>204:232984</t>
  </si>
  <si>
    <t>204:233298</t>
  </si>
  <si>
    <t>204:233270</t>
  </si>
  <si>
    <t>204:233308</t>
  </si>
  <si>
    <t>204:232990</t>
  </si>
  <si>
    <t>204:18777</t>
  </si>
  <si>
    <t>204:86352</t>
  </si>
  <si>
    <t>204:429</t>
  </si>
  <si>
    <t>204:233440</t>
  </si>
  <si>
    <t>204:233136</t>
  </si>
  <si>
    <t>204:191</t>
  </si>
  <si>
    <t>204:233306</t>
  </si>
  <si>
    <t>204:233466</t>
  </si>
  <si>
    <t>204:233087</t>
  </si>
  <si>
    <t>204:170</t>
  </si>
  <si>
    <t>204:233323</t>
  </si>
  <si>
    <t>204:233328</t>
  </si>
  <si>
    <t>204:233030</t>
  </si>
  <si>
    <t>204:187</t>
  </si>
  <si>
    <t>204:504</t>
  </si>
  <si>
    <t>204:233266</t>
  </si>
  <si>
    <t>204:232950</t>
  </si>
  <si>
    <t>204:19125</t>
  </si>
  <si>
    <t>204:1324</t>
  </si>
  <si>
    <t>204:232979</t>
  </si>
  <si>
    <t>204:233412</t>
  </si>
  <si>
    <t>204:233078</t>
  </si>
  <si>
    <t>204:233038</t>
  </si>
  <si>
    <t>204:233278</t>
  </si>
  <si>
    <t>204:233410</t>
  </si>
  <si>
    <t>204:233093</t>
  </si>
  <si>
    <t>204:232957</t>
  </si>
  <si>
    <t>204:233336</t>
  </si>
  <si>
    <t>204:233025</t>
  </si>
  <si>
    <t>204:233389</t>
  </si>
  <si>
    <t>204:233085</t>
  </si>
  <si>
    <t>204:233326</t>
  </si>
  <si>
    <t>204:233021</t>
  </si>
  <si>
    <t>204:232983</t>
  </si>
  <si>
    <t>204:227</t>
  </si>
  <si>
    <t>204:233416</t>
  </si>
  <si>
    <t>204:233086</t>
  </si>
  <si>
    <t>204:125</t>
  </si>
  <si>
    <t>204:493</t>
  </si>
  <si>
    <t>204:232970</t>
  </si>
  <si>
    <t>204:165</t>
  </si>
  <si>
    <t>204:233295</t>
  </si>
  <si>
    <t>204:233017</t>
  </si>
  <si>
    <t>204:1001</t>
  </si>
  <si>
    <t>204:233342</t>
  </si>
  <si>
    <t>204:233015</t>
  </si>
  <si>
    <t>204:540</t>
  </si>
  <si>
    <t>204:172</t>
  </si>
  <si>
    <t>204:498</t>
  </si>
  <si>
    <t>204:233305</t>
  </si>
  <si>
    <t>204:233000</t>
  </si>
  <si>
    <t>204:233049</t>
  </si>
  <si>
    <t>204:232738</t>
  </si>
  <si>
    <t>204:233013</t>
  </si>
  <si>
    <t>204:233255</t>
  </si>
  <si>
    <t>204:233349</t>
  </si>
  <si>
    <t>204:233023</t>
  </si>
  <si>
    <t>204:488</t>
  </si>
  <si>
    <t>204:127861</t>
  </si>
  <si>
    <t>204:473</t>
  </si>
  <si>
    <t>204:233339</t>
  </si>
  <si>
    <t>204:233032</t>
  </si>
  <si>
    <t>204:233315</t>
  </si>
  <si>
    <t>300:22896</t>
  </si>
  <si>
    <t>204:116</t>
  </si>
  <si>
    <t>300:23297</t>
  </si>
  <si>
    <t>300:23525</t>
  </si>
  <si>
    <t>204:1316</t>
  </si>
  <si>
    <t>300:31354</t>
  </si>
  <si>
    <t>300:23004</t>
  </si>
  <si>
    <t>300:22163</t>
  </si>
  <si>
    <t>204:482</t>
  </si>
  <si>
    <t>300:23455</t>
  </si>
  <si>
    <t>300:23476</t>
  </si>
  <si>
    <t>204:440</t>
  </si>
  <si>
    <t>300:22862</t>
  </si>
  <si>
    <t>204:86</t>
  </si>
  <si>
    <t>204:3229</t>
  </si>
  <si>
    <t>204:1169</t>
  </si>
  <si>
    <t>204:3547</t>
  </si>
  <si>
    <t>300:25162</t>
  </si>
  <si>
    <t>204:397</t>
  </si>
  <si>
    <t>300:24074</t>
  </si>
  <si>
    <t>300:22775</t>
  </si>
  <si>
    <t>204:95</t>
  </si>
  <si>
    <t>300:24197</t>
  </si>
  <si>
    <t>300:23860</t>
  </si>
  <si>
    <t>300:38967</t>
  </si>
  <si>
    <t>204:408</t>
  </si>
  <si>
    <t>300:39246</t>
  </si>
  <si>
    <t>204:1079</t>
  </si>
  <si>
    <t>204:1385</t>
  </si>
  <si>
    <t>300:39288</t>
  </si>
  <si>
    <t>204:388</t>
  </si>
  <si>
    <t>300:39574</t>
  </si>
  <si>
    <t>204:679</t>
  </si>
  <si>
    <t>300:31062</t>
  </si>
  <si>
    <t>204:5056</t>
  </si>
  <si>
    <t>204:701</t>
  </si>
  <si>
    <t>204:1158</t>
  </si>
  <si>
    <t>204:5382</t>
  </si>
  <si>
    <t>204:108592</t>
  </si>
  <si>
    <t>204:232904</t>
  </si>
  <si>
    <t>204:106067</t>
  </si>
  <si>
    <t>204:153934</t>
  </si>
  <si>
    <t>204:153939</t>
  </si>
  <si>
    <t>204:153971</t>
  </si>
  <si>
    <t>204:153990</t>
  </si>
  <si>
    <t>204:153969</t>
  </si>
  <si>
    <t>204:106410</t>
  </si>
  <si>
    <t>204:108938</t>
  </si>
  <si>
    <t>204:154197</t>
  </si>
  <si>
    <t>204:154212</t>
  </si>
  <si>
    <t>204:233229</t>
  </si>
  <si>
    <t>204:154234</t>
  </si>
  <si>
    <t>204:154257</t>
  </si>
  <si>
    <t>300:58660</t>
  </si>
  <si>
    <t>204:999</t>
  </si>
  <si>
    <t>300:58984</t>
  </si>
  <si>
    <t>300:58668</t>
  </si>
  <si>
    <t>204:710</t>
  </si>
  <si>
    <t>204:899</t>
  </si>
  <si>
    <t>204:734</t>
  </si>
  <si>
    <t>204:993</t>
  </si>
  <si>
    <t>300:58986</t>
  </si>
  <si>
    <t>300:58670</t>
  </si>
  <si>
    <t>204:724</t>
  </si>
  <si>
    <t>204:1030</t>
  </si>
  <si>
    <t>204:677</t>
  </si>
  <si>
    <t>204:1002</t>
  </si>
  <si>
    <t>300:58664</t>
  </si>
  <si>
    <t>204:137</t>
  </si>
  <si>
    <t>204:962</t>
  </si>
  <si>
    <t>300:58641</t>
  </si>
  <si>
    <t>204:708</t>
  </si>
  <si>
    <t>204:1006</t>
  </si>
  <si>
    <t>300:58928</t>
  </si>
  <si>
    <t>204:736</t>
  </si>
  <si>
    <t>204:1035</t>
  </si>
  <si>
    <t>300:58628</t>
  </si>
  <si>
    <t>204:955</t>
  </si>
  <si>
    <t>300:58939</t>
  </si>
  <si>
    <t>300:58978</t>
  </si>
  <si>
    <t>300:58630</t>
  </si>
  <si>
    <t>204:696</t>
  </si>
  <si>
    <t>204:997</t>
  </si>
  <si>
    <t>300:58973</t>
  </si>
  <si>
    <t>300:58666</t>
  </si>
  <si>
    <t>204:983</t>
  </si>
  <si>
    <t>204:489</t>
  </si>
  <si>
    <t>300:58659</t>
  </si>
  <si>
    <t>300:58613</t>
  </si>
  <si>
    <t>300:9868</t>
  </si>
  <si>
    <t>300:58626</t>
  </si>
  <si>
    <t>300:14197</t>
  </si>
  <si>
    <t>300:58924</t>
  </si>
  <si>
    <t>204:727</t>
  </si>
  <si>
    <t>204:759</t>
  </si>
  <si>
    <t>300:58967</t>
  </si>
  <si>
    <t>300:58632</t>
  </si>
  <si>
    <t>204:1020</t>
  </si>
  <si>
    <t>300:58625</t>
  </si>
  <si>
    <t>300:58941</t>
  </si>
  <si>
    <t>300:59001</t>
  </si>
  <si>
    <t>300:29599</t>
  </si>
  <si>
    <t>204:104</t>
  </si>
  <si>
    <t>300:30689</t>
  </si>
  <si>
    <t>300:30818</t>
  </si>
  <si>
    <t>204:84</t>
  </si>
  <si>
    <t>204:410</t>
  </si>
  <si>
    <t>300:31136</t>
  </si>
  <si>
    <t>300:23550</t>
  </si>
  <si>
    <t>204:2037</t>
  </si>
  <si>
    <t>300:18824</t>
  </si>
  <si>
    <t>300:23027</t>
  </si>
  <si>
    <t>300:19471</t>
  </si>
  <si>
    <t>300:30070</t>
  </si>
  <si>
    <t>300:23790</t>
  </si>
  <si>
    <t>300:23303</t>
  </si>
  <si>
    <t>204:450</t>
  </si>
  <si>
    <t>300:24254</t>
  </si>
  <si>
    <t>300:23389</t>
  </si>
  <si>
    <t>204:2019</t>
  </si>
  <si>
    <t>300:58677</t>
  </si>
  <si>
    <t>300:21574</t>
  </si>
  <si>
    <t>start /low /b %USERPROFILE%\Documents\GitHub\eaglep3\Utilities\DownloadLogsFromS3.py --loco 4032 --day 2017-05-12</t>
  </si>
  <si>
    <t>start /low /b %USERPROFILE%\Documents\GitHub\eaglep3\Utilities\DownloadLogsFromS3.py --loco 4045 --day 2017-05-12</t>
  </si>
  <si>
    <t>start /low /b %USERPROFILE%\Documents\GitHub\eaglep3\Utilities\DownloadLogsFromS3.py --loco 4011 --day 2017-05-12</t>
  </si>
  <si>
    <t>start /low /b %USERPROFILE%\Documents\GitHub\eaglep3\Utilities\DownloadLogsFromS3.py --loco 4046 --day 2017-05-12</t>
  </si>
  <si>
    <t>start /low /b %USERPROFILE%\Documents\GitHub\eaglep3\Utilities\DownloadLogsFromS3.py --loco 4045 --day 2017-05-13</t>
  </si>
  <si>
    <t>start /low /b %USERPROFILE%\Documents\GitHub\eaglep3\Utilities\DownloadLogsFromS3.py --loco 4001 --day 2017-05-12</t>
  </si>
  <si>
    <t>start /low /b %USERPROFILE%\Documents\GitHub\eaglep3\Utilities\DownloadLogsFromS3.py --loco 4014 --day 2017-05-12</t>
  </si>
  <si>
    <t>start /low /b %USERPROFILE%\Documents\GitHub\eaglep3\Utilities\DownloadLogsFromS3.py --loco 4021 --day 2017-05-13</t>
  </si>
  <si>
    <t>start /low /b %USERPROFILE%\Documents\GitHub\eaglep3\Utilities\DownloadLogsFromS3.py --loco 4012 --day 2017-05-12</t>
  </si>
  <si>
    <t>start /low /b %USERPROFILE%\Documents\GitHub\eaglep3\Utilities\DownloadLogsFromS3.py --loco 4031 --day 2017-05-13</t>
  </si>
  <si>
    <t>start /low /b %USERPROFILE%\Documents\GitHub\eaglep3\Utilities\DownloadLogsFromS3.py --loco 4031 --day 2017-05-12</t>
  </si>
  <si>
    <t>start /low /b %USERPROFILE%\Documents\GitHub\eaglep3\Utilities\DownloadLogsFromS3.py --loco 4013 --day 2017-05-12</t>
  </si>
  <si>
    <t>start /low /b %USERPROFILE%\Documents\GitHub\eaglep3\Utilities\DownloadLogsFromS3.py --loco 4015 --day 2017-05-13</t>
  </si>
  <si>
    <t>start /low /b %USERPROFILE%\Documents\GitHub\eaglep3\Utilities\DownloadLogsFromS3.py --loco 4022 --day 2017-05-12</t>
  </si>
  <si>
    <t>start /low /b %USERPROFILE%\Documents\GitHub\eaglep3\Utilities\DownloadLogsFromS3.py --loco 4032 --day 2017-05-13</t>
  </si>
  <si>
    <t>start /low /b %USERPROFILE%\Documents\GitHub\eaglep3\Utilities\DownloadLogsFromS3.py --loco 4012 --day 2017-05-13</t>
  </si>
  <si>
    <t>start /low /b %USERPROFILE%\Documents\GitHub\eaglep3\Utilities\DownloadLogsFromS3.py --loco 4001 --day 2017-05-13</t>
  </si>
  <si>
    <t>start /low /b %USERPROFILE%\Documents\GitHub\eaglep3\Utilities\DownloadLogsFromS3.py --loco 4002 --day 2017-05-12</t>
  </si>
  <si>
    <t>start /low /b %USERPROFILE%\Documents\GitHub\eaglep3\Utilities\DownloadLogsFromS3.py --loco 4002 --day 2017-05-13</t>
  </si>
  <si>
    <t>CP Pena 2N premature downgrade</t>
  </si>
  <si>
    <t>05:47:25 - Pena 2N dropped from PROCEED CAB to STOP unexpectedly, do logs show anything unusual?</t>
  </si>
  <si>
    <t>Locomotive propulsion failure</t>
  </si>
  <si>
    <t>Cascade from 836-12</t>
  </si>
  <si>
    <t>Form C</t>
  </si>
  <si>
    <t>Brief Wi-MAX data drop</t>
  </si>
  <si>
    <t>ELXS DPM module disabled @ Monaco XING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</si>
</sst>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1" xfId="0" applyNumberForma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0" fillId="0" borderId="0" xfId="2" applyNumberFormat="1" applyFon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0" fontId="1" fillId="0" borderId="0" xfId="0" applyNumberFormat="1" applyFont="1"/>
    <xf numFmtId="0" fontId="0" fillId="0" borderId="0" xfId="0" applyNumberFormat="1" applyBorder="1"/>
    <xf numFmtId="9" fontId="0" fillId="0" borderId="0" xfId="2" applyFont="1" applyAlignment="1">
      <alignment horizontal="left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0"/>
  <sheetViews>
    <sheetView tabSelected="1" topLeftCell="A233" zoomScaleNormal="100" workbookViewId="0">
      <selection activeCell="N234" sqref="N234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8" customWidth="1"/>
    <col min="19" max="19" width="6" style="194" customWidth="1"/>
    <col min="20" max="20" width="3.85546875" style="168" customWidth="1"/>
    <col min="21" max="21" width="5" style="168" customWidth="1"/>
    <col min="22" max="22" width="5.7109375" style="193" customWidth="1"/>
    <col min="23" max="23" width="3.85546875" style="169" customWidth="1"/>
    <col min="24" max="24" width="6.5703125" style="169" customWidth="1"/>
    <col min="25" max="25" width="11.5703125" style="169" bestFit="1" customWidth="1"/>
    <col min="26" max="26" width="7.28515625" style="169" customWidth="1"/>
    <col min="27" max="27" width="9.140625" style="169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2"/>
      <c r="T1" s="166"/>
      <c r="U1" s="166"/>
      <c r="V1" s="167"/>
      <c r="W1" s="166"/>
      <c r="X1" s="168"/>
      <c r="Y1" s="169"/>
      <c r="Z1" s="169"/>
      <c r="AA1" s="169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42867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42867</v>
      </c>
      <c r="S2" s="197"/>
      <c r="T2" s="170"/>
      <c r="U2" s="170"/>
      <c r="V2" s="171" t="s">
        <v>8</v>
      </c>
      <c r="W2" s="172"/>
      <c r="X2" s="173"/>
      <c r="Y2" s="169"/>
      <c r="Z2" s="169"/>
      <c r="AA2" s="169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74" t="s">
        <v>10</v>
      </c>
      <c r="S3" s="198"/>
      <c r="T3" s="175"/>
      <c r="U3" s="175"/>
      <c r="V3" s="176" t="s">
        <v>11</v>
      </c>
      <c r="W3" s="177" t="s">
        <v>12</v>
      </c>
      <c r="X3" s="178" t="s">
        <v>13</v>
      </c>
      <c r="Y3" s="169"/>
      <c r="Z3" s="169"/>
      <c r="AA3" s="169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166"/>
      <c r="G4" s="36"/>
      <c r="H4" s="33"/>
      <c r="I4" s="69" t="s">
        <v>14</v>
      </c>
      <c r="J4" s="48">
        <f>SUM(J5:J7)</f>
        <v>146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77" t="s">
        <v>14</v>
      </c>
      <c r="S4" s="199">
        <f>SUM(S5:S7)</f>
        <v>47</v>
      </c>
      <c r="T4" s="179"/>
      <c r="U4" s="179"/>
      <c r="V4" s="176" t="s">
        <v>15</v>
      </c>
      <c r="W4" s="177" t="s">
        <v>15</v>
      </c>
      <c r="X4" s="178" t="s">
        <v>15</v>
      </c>
      <c r="Y4" s="169"/>
      <c r="Z4" s="169"/>
      <c r="AA4" s="169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COUNTIFS($N$13:$N$9318,"&gt;0",$AG$13:$AG$9318,I1)</f>
        <v>141</v>
      </c>
      <c r="K5" s="39"/>
      <c r="L5" s="39"/>
      <c r="M5" s="40">
        <f>AVERAGEIFS($N$13:$N$9318,$AG$13:$AG$9318,I1)</f>
        <v>38.121276596075596</v>
      </c>
      <c r="N5" s="38">
        <f t="array" ref="N5">MIN(IF($AG$13:$AG$9318=I1,IF(ISNUMBER($N$13:$N$9318),IF($N$13:$N$9318&gt;0,$N$13:$N$9318))))</f>
        <v>34.166666669771075</v>
      </c>
      <c r="O5" s="3">
        <f t="array" ref="O5">MAX(IF($AG$13:$AG$9318=I1,IF(ISNUMBER($N$13:$N$9318),IF($N$13:$N$9318&gt;0,$N$13:$N$9318))))</f>
        <v>46.583333336748183</v>
      </c>
      <c r="P5" s="2"/>
      <c r="R5" s="177" t="s">
        <v>17</v>
      </c>
      <c r="S5" s="199">
        <f>COUNTIFS($N$13:$N$9318,"&gt;0",$AG$13:$AG$9318,R1)</f>
        <v>45</v>
      </c>
      <c r="T5" s="179"/>
      <c r="U5" s="179"/>
      <c r="V5" s="176">
        <f>AVERAGEIFS($N$13:$N$9318,$AG$13:$AG$9318,R1)</f>
        <v>15.525925926398486</v>
      </c>
      <c r="W5" s="177">
        <f t="array" ref="W5">MIN(IF($AG$13:$AG$9318=R1,IF(ISNUMBER($N$13:$N$9318),IF($N$13:$N$9318&gt;0,$N$13:$N$9318))))</f>
        <v>10.28333333786577</v>
      </c>
      <c r="X5" s="178">
        <f t="array" ref="X5">MAX(IF($AG$13:$AG$9318=R1,IF(ISNUMBER($N$13:$N$9318),IF($N$13:$N$9318&gt;0,$N$13:$N$9318))))</f>
        <v>19.233333334559575</v>
      </c>
      <c r="Y5" s="169"/>
      <c r="Z5" s="169"/>
      <c r="AA5" s="169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COUNT($O$13:$O$112)</f>
        <v>0</v>
      </c>
      <c r="K6" s="39"/>
      <c r="L6" s="39"/>
      <c r="M6" s="40">
        <f>IFERROR(AVERAGE($O$13:$O$112),0)</f>
        <v>0</v>
      </c>
      <c r="N6" s="38">
        <f>MIN($O$13:$O$112)</f>
        <v>0</v>
      </c>
      <c r="O6" s="3">
        <f>MAX($O$13:$O$112)</f>
        <v>0</v>
      </c>
      <c r="P6" s="2"/>
      <c r="R6" s="180" t="s">
        <v>43</v>
      </c>
      <c r="S6" s="199">
        <f>COUNT($O$13:$O$112)</f>
        <v>0</v>
      </c>
      <c r="T6" s="179"/>
      <c r="U6" s="179"/>
      <c r="V6" s="176">
        <f>IFERROR(AVERAGE($O$13:$O$112),0)</f>
        <v>0</v>
      </c>
      <c r="W6" s="177">
        <f>MIN($O$13:$O$112)</f>
        <v>0</v>
      </c>
      <c r="X6" s="178">
        <f>MAX($O$13:$O$112)</f>
        <v>0</v>
      </c>
      <c r="Y6" s="169"/>
      <c r="Z6" s="169"/>
      <c r="AA6" s="169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COUNTIFS($P$13:$P$9318,"&gt;0",$AG$13:$AG$9318,I1)</f>
        <v>5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81" t="s">
        <v>9</v>
      </c>
      <c r="S7" s="199">
        <f>COUNTIFS($P$13:$P$9318,"&gt;0",$AG$13:$AG$9318,R1)</f>
        <v>2</v>
      </c>
      <c r="T7" s="179"/>
      <c r="U7" s="179"/>
      <c r="V7" s="176" t="s">
        <v>15</v>
      </c>
      <c r="W7" s="177" t="s">
        <v>15</v>
      </c>
      <c r="X7" s="178" t="s">
        <v>15</v>
      </c>
      <c r="Y7" s="169"/>
      <c r="Z7" s="169"/>
      <c r="AA7" s="169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141</v>
      </c>
      <c r="K8" s="39"/>
      <c r="L8" s="39"/>
      <c r="M8" s="40">
        <f>M5</f>
        <v>38.121276596075596</v>
      </c>
      <c r="N8" s="38">
        <f>N5</f>
        <v>34.166666669771075</v>
      </c>
      <c r="O8" s="3">
        <f>O5</f>
        <v>46.583333336748183</v>
      </c>
      <c r="P8" s="2"/>
      <c r="R8" s="177" t="s">
        <v>16</v>
      </c>
      <c r="S8" s="199">
        <f>S5</f>
        <v>45</v>
      </c>
      <c r="T8" s="179"/>
      <c r="U8" s="179"/>
      <c r="V8" s="176">
        <f>V5</f>
        <v>15.525925926398486</v>
      </c>
      <c r="W8" s="177">
        <f>W5</f>
        <v>10.28333333786577</v>
      </c>
      <c r="X8" s="178">
        <f>X5</f>
        <v>19.233333334559575</v>
      </c>
      <c r="Y8" s="169"/>
      <c r="Z8" s="169"/>
      <c r="AA8" s="169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0.96575342465753422</v>
      </c>
      <c r="K9" s="41"/>
      <c r="L9" s="41"/>
      <c r="M9" s="72"/>
      <c r="N9" s="36"/>
      <c r="O9" s="73"/>
      <c r="P9" s="2"/>
      <c r="R9" s="177" t="s">
        <v>19</v>
      </c>
      <c r="S9" s="203">
        <f>S8/S4</f>
        <v>0.95744680851063835</v>
      </c>
      <c r="T9" s="166"/>
      <c r="U9" s="166"/>
      <c r="V9" s="183"/>
      <c r="W9" s="166"/>
      <c r="X9" s="184"/>
      <c r="Y9" s="169"/>
      <c r="Z9" s="169"/>
      <c r="AA9" s="169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8"/>
      <c r="S10" s="200"/>
      <c r="T10" s="168"/>
      <c r="U10" s="168"/>
      <c r="V10" s="185"/>
      <c r="W10" s="169"/>
      <c r="X10" s="169"/>
      <c r="Y10" s="169"/>
      <c r="Z10" s="169"/>
      <c r="AA10" s="169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08" t="str">
        <f>"Eagle P3 System Performance - "&amp;TEXT(Variables!A2,"yyyy-mm-dd")</f>
        <v>Eagle P3 System Performance - 2017-05-12</v>
      </c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S11" s="200">
        <f>AVERAGE(S13:S88)</f>
        <v>0.98873873873873863</v>
      </c>
      <c r="V11" s="185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86" t="s">
        <v>24</v>
      </c>
      <c r="S12" s="195" t="s">
        <v>63</v>
      </c>
      <c r="T12" s="187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189" t="s">
        <v>20</v>
      </c>
      <c r="Z12" s="189" t="s">
        <v>21</v>
      </c>
      <c r="AA12" s="189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147</v>
      </c>
      <c r="AJ12" s="46" t="s">
        <v>148</v>
      </c>
      <c r="AK12" s="46" t="s">
        <v>121</v>
      </c>
      <c r="AL12" s="46" t="s">
        <v>149</v>
      </c>
      <c r="AM12" s="146" t="s">
        <v>199</v>
      </c>
      <c r="AN12" s="46" t="s">
        <v>349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602</v>
      </c>
      <c r="B13" s="7">
        <v>4046</v>
      </c>
      <c r="C13" s="21" t="s">
        <v>206</v>
      </c>
      <c r="D13" s="21" t="s">
        <v>806</v>
      </c>
      <c r="E13" s="13">
        <v>42867.130393518521</v>
      </c>
      <c r="F13" s="13">
        <v>42867.135601851849</v>
      </c>
      <c r="G13" s="7">
        <v>2</v>
      </c>
      <c r="H13" s="21" t="s">
        <v>807</v>
      </c>
      <c r="I13" s="13">
        <v>42867.163437499999</v>
      </c>
      <c r="J13" s="7">
        <v>0</v>
      </c>
      <c r="K13" s="92" t="str">
        <f t="shared" ref="K13:K76" si="0">IF(ISEVEN(B13),(B13-1)&amp;"/"&amp;B13,B13&amp;"/"&amp;(B13+1))</f>
        <v>4045/4046</v>
      </c>
      <c r="L13" s="21" t="str">
        <f>VLOOKUP(A13,'Trips&amp;Operators'!$C$1:$G$99999,5,FALSE)</f>
        <v>BADERTSCHER DIANE</v>
      </c>
      <c r="M13" s="6">
        <f t="shared" ref="M13:M76" si="1">I13-F13</f>
        <v>2.7835648150357883E-2</v>
      </c>
      <c r="N13" s="7">
        <f t="shared" ref="N13:N24" si="2">24*60*SUM($M13:$M13)</f>
        <v>40.083333336515352</v>
      </c>
      <c r="O13" s="7"/>
      <c r="P13" s="7"/>
      <c r="Q13" s="22"/>
      <c r="R13" s="190"/>
      <c r="S13" s="196">
        <f t="shared" ref="S13:S38" si="3">SUM(U13:U13)/IF(AG13="EC",12,1)</f>
        <v>1</v>
      </c>
      <c r="T13" s="190" t="str">
        <f t="shared" ref="T13:T76" si="4"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1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-05-12T02:07:46-0600',mode:absolute,to:'2017-05-12T04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" s="192" t="str">
        <f t="shared" ref="W13:W76" si="6">IF(AA13&lt;IF(AG13="EC",23,5.65),"Y","N")</f>
        <v>N</v>
      </c>
      <c r="X13" s="192" t="e">
        <f t="shared" ref="X13:X57" si="7">VALUE(LEFT(AD13,4))-VALUE(LEFT(AD12,4))</f>
        <v>#VALUE!</v>
      </c>
      <c r="Y13" s="192">
        <f t="shared" ref="Y13:Y76" si="8">RIGHT(D13,LEN(D13)-4)/10000</f>
        <v>7.4399999999999994E-2</v>
      </c>
      <c r="Z13" s="192">
        <f t="shared" ref="Z13:Z76" si="9">RIGHT(H13,LEN(H13)-4)/10000</f>
        <v>23.3261</v>
      </c>
      <c r="AA13" s="192">
        <f t="shared" ref="AA13:AA76" si="10">ABS(Z13-Y13)</f>
        <v>23.2517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6" si="11">IF(LEN(A13)=6,"0"&amp;A13,A13)</f>
        <v>0101-12</v>
      </c>
      <c r="AE13" s="80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s3://rtdc.mdm.uploadarchive.raw/RTDC4046/ "%USERPROFILE%\AppData\Local\Temp\OnboardLogs"\RTDC4046\2017-05-12 --exclude "*" --recursive --include "*20170512*" &amp; "%USERPROFILE%\Documents\GitHub\mrs-test-scripts\Headless Mode &amp; Sideloading\WalkAndUnGZ.bat" "%USERPROFILE%\AppData\Local\Temp\OnboardLogs"\RTDC4046\2017-05-12 &amp; aws s3 cp s3://rtdc.mdm.uploadarchive.raw/RTDC4046/ "%USERPROFILE%\AppData\Local\Temp\OnboardLogs"\RTDC4046\2017-05-13 --exclude "*" --recursive --include "*20170513*" &amp; "%USERPROFILE%\Documents\GitHub\mrs-test-scripts\Headless Mode &amp; Sideloading\WalkAndUnGZ.bat" "%USERPROFILE%\AppData\Local\Temp\OnboardLogs"\RTDC4046\2017-05-13</v>
      </c>
      <c r="AF13" s="77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/stypes="app*4046*20170512*" /stext=" 09:.+((SYSTEM_STATE.+slice.+state.+changed )|(ment ac)|(multiple cpu faults)|(system.+state.+changed )|(\[timeout)|(PRM\|1\|D)|(kpr)|(kdp)|(train st.+moving)|(\|lc)|(penalty))"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1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101-12 --locoid 4046 --swversion DE.1.0.9.0 --startMP 204:744 --initTime 2017-05-12T03:07:46 --startdatetime 2017-05-12T03:15:16 --delay 2 --endMP 204:233261 --enddatetime 2017-05-12T03:55:21 --enforcementcount 0 &gt;&gt;C:\Users\stu\Documents\GitHub\eaglep3-reporting\EC\2017-05-12-refined-times.txt</v>
      </c>
      <c r="AI13" s="9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{"issue":{"subject":"","project_id":79,"tracker_id":40,"status_id":1,"priority_id":2,"assigned_to_id":23,"start_date":"2017-05-12","description":"","custom_fields":[{"id":1,"name":"Subdivision","value":"EC"},{"id":4,"name":"Milepost","value":"23.3261"},{"id":17,"name":"Train ID","value":"101-12"},{"id":16,"name":"Locomotive ID","value":"4046"},{"id":130,"name":"Impact","value":""},{"id":150,"name":"Time of Event (Mountain Time)","value":"03:55:21"},{"id":151,"name":"Denver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7">"start /low /b "&amp;dls3logs&amp;" --loco "&amp;B13&amp;" --day "&amp;TEXT(F13,"YYYY-MM-DD")</f>
        <v>start /low /b %USERPROFILE%\Documents\GitHub\eaglep3\Utilities\DownloadLogsFromS3.py --loco 4046 --day 2017-05-12</v>
      </c>
      <c r="AN13" s="154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09:55:21"},{"id":29,"name":"Sharepoint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605</v>
      </c>
      <c r="B14" s="7">
        <v>4031</v>
      </c>
      <c r="C14" s="21" t="s">
        <v>206</v>
      </c>
      <c r="D14" s="21" t="s">
        <v>808</v>
      </c>
      <c r="E14" s="13">
        <v>42867.169583333336</v>
      </c>
      <c r="F14" s="13">
        <v>42867.175057870372</v>
      </c>
      <c r="G14" s="7">
        <v>1</v>
      </c>
      <c r="H14" s="21" t="s">
        <v>376</v>
      </c>
      <c r="I14" s="13">
        <v>42867.205381944441</v>
      </c>
      <c r="J14" s="7">
        <v>0</v>
      </c>
      <c r="K14" s="92" t="str">
        <f t="shared" si="0"/>
        <v>4031/4032</v>
      </c>
      <c r="L14" s="21" t="str">
        <f>VLOOKUP(A14,'Trips&amp;Operators'!$C$1:$G$99999,5,FALSE)</f>
        <v>BADERTSCHER DIANE</v>
      </c>
      <c r="M14" s="6">
        <f t="shared" si="1"/>
        <v>3.032407406863058E-2</v>
      </c>
      <c r="N14" s="7">
        <f t="shared" si="2"/>
        <v>43.666666658828035</v>
      </c>
      <c r="O14" s="7"/>
      <c r="P14" s="7"/>
      <c r="Q14" s="22"/>
      <c r="R14" s="190"/>
      <c r="S14" s="196">
        <f t="shared" si="3"/>
        <v>1</v>
      </c>
      <c r="T14" s="190" t="str">
        <f t="shared" si="4"/>
        <v>Southbound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1" t="str">
        <f t="shared" si="5"/>
        <v>https://d0f6bd738d7f1b3e5a7ca70fe4ff75f0.us-east-1.aws.found.io/app/kibana#/discover/Steve-Slow-Train-Analysis-(2080s-and-2083s)?_g=(refreshInterval:(display:Off,pause:!f,section:0,value:0),time:(from:'2017-05-12T03:04:12-0600',mode:absolute,to:'2017-05-12T05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" s="192" t="str">
        <f t="shared" si="6"/>
        <v>N</v>
      </c>
      <c r="X14" s="192">
        <f t="shared" si="7"/>
        <v>1</v>
      </c>
      <c r="Y14" s="192">
        <f t="shared" si="8"/>
        <v>23.2651</v>
      </c>
      <c r="Z14" s="192">
        <f t="shared" si="9"/>
        <v>1.47E-2</v>
      </c>
      <c r="AA14" s="192">
        <f t="shared" si="10"/>
        <v>23.250399999999999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1"/>
        <v>0102-12</v>
      </c>
      <c r="AE14" s="80" t="str">
        <f t="shared" si="12"/>
        <v>aws s3 cp s3://rtdc.mdm.uploadarchive.raw/RTDC4031/ "%USERPROFILE%\AppData\Local\Temp\OnboardLogs"\RTDC4031\2017-05-12 --exclude "*" --recursive --include "*20170512*" &amp; "%USERPROFILE%\Documents\GitHub\mrs-test-scripts\Headless Mode &amp; Sideloading\WalkAndUnGZ.bat" "%USERPROFILE%\AppData\Local\Temp\OnboardLogs"\RTDC4031\2017-05-12 &amp; aws s3 cp s3://rtdc.mdm.uploadarchive.raw/RTDC4031/ "%USERPROFILE%\AppData\Local\Temp\OnboardLogs"\RTDC4031\2017-05-13 --exclude "*" --recursive --include "*20170513*" &amp; "%USERPROFILE%\Documents\GitHub\mrs-test-scripts\Headless Mode &amp; Sideloading\WalkAndUnGZ.bat" "%USERPROFILE%\AppData\Local\Temp\OnboardLogs"\RTDC4031\2017-05-13</v>
      </c>
      <c r="AF14" s="77" t="str">
        <f t="shared" si="13"/>
        <v>"C:\Program Files (x86)\AstroGrep\AstroGrep.exe" /e /r /s /spath="%USERPROFILE%\AppData\Local\Temp\OnboardLogs" /stypes="app*4031*20170512*" /stext=" 10:.+((SYSTEM_STATE.+slice.+state.+changed )|(ment ac)|(multiple cpu faults)|(system.+state.+changed )|(\[timeout)|(PRM\|1\|D)|(kpr)|(kdp)|(train st.+moving)|(\|lc)|(penalty))"</v>
      </c>
      <c r="AG14" s="1" t="str">
        <f t="shared" si="14"/>
        <v>EC</v>
      </c>
      <c r="AH14" s="81" t="str">
        <f t="shared" ref="AH14:AH76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102-12 --locoid 4031 --swversion DE.1.0.9.0 --startMP 204:232651 --initTime 2017-05-12T04:04:12 --startdatetime 2017-05-12T04:12:05 --delay 1 --endMP 204:147 --enddatetime 2017-05-12T04:55:45 --enforcementcount 0 &gt;&gt;C:\Users\stu\Documents\GitHub\eaglep3-reporting\EC\2017-05-12-refined-times.txt</v>
      </c>
      <c r="AI14" s="99" t="str">
        <f t="shared" ref="AI14:AI76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{"issue":{"subject":"","project_id":79,"tracker_id":40,"status_id":1,"priority_id":2,"assigned_to_id":23,"start_date":"2017-05-12","description":"","custom_fields":[{"id":1,"name":"Subdivision","value":"EC"},{"id":4,"name":"Milepost","value":"0.0147"},{"id":17,"name":"Train ID","value":"102-12"},{"id":16,"name":"Locomotive ID","value":"4031"},{"id":130,"name":"Impact","value":""},{"id":150,"name":"Time of Event (Mountain Time)","value":"04:55:45"},{"id":151,"name":"Denver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6" si="21">"start /low /b "&amp;dls3logs&amp;" --loco "&amp;B14&amp;" --day "&amp;TEXT(F14,"YYYY-MM-DD")</f>
        <v>start /low /b %USERPROFILE%\Documents\GitHub\eaglep3\Utilities\DownloadLogsFromS3.py --loco 4031 --day 2017-05-12</v>
      </c>
      <c r="AN14" s="154" t="str">
        <f t="shared" ref="AN14:AN76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10:55:45"},{"id":29,"name":"Sharepoint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604</v>
      </c>
      <c r="B15" s="7">
        <v>4012</v>
      </c>
      <c r="C15" s="21" t="s">
        <v>206</v>
      </c>
      <c r="D15" s="21" t="s">
        <v>809</v>
      </c>
      <c r="E15" s="13">
        <v>42867.147326388891</v>
      </c>
      <c r="F15" s="13">
        <v>42867.156458333331</v>
      </c>
      <c r="G15" s="7">
        <v>1</v>
      </c>
      <c r="H15" s="21" t="s">
        <v>810</v>
      </c>
      <c r="I15" s="13">
        <v>42867.183287037034</v>
      </c>
      <c r="J15" s="7">
        <v>0</v>
      </c>
      <c r="K15" s="92" t="str">
        <f t="shared" si="0"/>
        <v>4011/4012</v>
      </c>
      <c r="L15" s="21" t="str">
        <f>VLOOKUP(A15,'Trips&amp;Operators'!$C$1:$G$99999,5,FALSE)</f>
        <v>YANAI IAN</v>
      </c>
      <c r="M15" s="6">
        <f t="shared" si="1"/>
        <v>2.6828703703358769E-2</v>
      </c>
      <c r="N15" s="7">
        <f t="shared" si="2"/>
        <v>38.633333332836628</v>
      </c>
      <c r="O15" s="7"/>
      <c r="P15" s="7"/>
      <c r="Q15" s="22"/>
      <c r="R15" s="190"/>
      <c r="S15" s="196">
        <f t="shared" si="3"/>
        <v>1</v>
      </c>
      <c r="T15" s="190" t="str">
        <f t="shared" si="4"/>
        <v>NorthBound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1" t="str">
        <f t="shared" si="5"/>
        <v>https://d0f6bd738d7f1b3e5a7ca70fe4ff75f0.us-east-1.aws.found.io/app/kibana#/discover/Steve-Slow-Train-Analysis-(2080s-and-2083s)?_g=(refreshInterval:(display:Off,pause:!f,section:0,value:0),time:(from:'2017-05-12T02:32:09-0600',mode:absolute,to:'2017-05-12T05:23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" s="192" t="str">
        <f t="shared" si="6"/>
        <v>N</v>
      </c>
      <c r="X15" s="192">
        <f t="shared" si="7"/>
        <v>1</v>
      </c>
      <c r="Y15" s="192">
        <f t="shared" si="8"/>
        <v>7.3700000000000002E-2</v>
      </c>
      <c r="Z15" s="192">
        <f t="shared" si="9"/>
        <v>23.331600000000002</v>
      </c>
      <c r="AA15" s="192">
        <f t="shared" si="10"/>
        <v>23.257900000000003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1"/>
        <v>0103-12</v>
      </c>
      <c r="AE15" s="80" t="str">
        <f t="shared" si="12"/>
        <v>aws s3 cp s3://rtdc.mdm.uploadarchive.raw/RTDC4012/ "%USERPROFILE%\AppData\Local\Temp\OnboardLogs"\RTDC4012\2017-05-12 --exclude "*" --recursive --include "*20170512*" &amp; "%USERPROFILE%\Documents\GitHub\mrs-test-scripts\Headless Mode &amp; Sideloading\WalkAndUnGZ.bat" "%USERPROFILE%\AppData\Local\Temp\OnboardLogs"\RTDC4012\2017-05-12 &amp; aws s3 cp s3://rtdc.mdm.uploadarchive.raw/RTDC4012/ "%USERPROFILE%\AppData\Local\Temp\OnboardLogs"\RTDC4012\2017-05-13 --exclude "*" --recursive --include "*20170513*" &amp; "%USERPROFILE%\Documents\GitHub\mrs-test-scripts\Headless Mode &amp; Sideloading\WalkAndUnGZ.bat" "%USERPROFILE%\AppData\Local\Temp\OnboardLogs"\RTDC4012\2017-05-13</v>
      </c>
      <c r="AF15" s="77" t="str">
        <f t="shared" si="13"/>
        <v>"C:\Program Files (x86)\AstroGrep\AstroGrep.exe" /e /r /s /spath="%USERPROFILE%\AppData\Local\Temp\OnboardLogs" /stypes="app*4012*20170512*" /stext=" 10:.+((SYSTEM_STATE.+slice.+state.+changed )|(ment ac)|(multiple cpu faults)|(system.+state.+changed )|(\[timeout)|(PRM\|1\|D)|(kpr)|(kdp)|(train st.+moving)|(\|lc)|(penalty))"</v>
      </c>
      <c r="AG15" s="1" t="str">
        <f t="shared" si="14"/>
        <v>EC</v>
      </c>
      <c r="AH15" s="81" t="str">
        <f t="shared" si="19"/>
        <v>"%USERPROFILE%\Documents\GitHub\eaglep3\Utilities\RefineRTDCRunTimes.py" --tripid 103-12 --locoid 4012 --swversion DE.1.0.9.0 --startMP 204:737 --initTime 2017-05-12T03:32:09 --startdatetime 2017-05-12T03:45:18 --delay 1 --endMP 204:233316 --enddatetime 2017-05-12T04:23:56 --enforcementcount 0 &gt;&gt;C:\Users\stu\Documents\GitHub\eaglep3-reporting\EC\2017-05-12-refined-times.txt</v>
      </c>
      <c r="AI15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{"issue":{"subject":"","project_id":79,"tracker_id":40,"status_id":1,"priority_id":2,"assigned_to_id":23,"start_date":"2017-05-12","description":"","custom_fields":[{"id":1,"name":"Subdivision","value":"EC"},{"id":4,"name":"Milepost","value":"23.3316"},{"id":17,"name":"Train ID","value":"103-12"},{"id":16,"name":"Locomotive ID","value":"4012"},{"id":130,"name":"Impact","value":""},{"id":150,"name":"Time of Event (Mountain Time)","value":"04:23:56"},{"id":151,"name":"Denver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4012 --day 2017-05-12</v>
      </c>
      <c r="AN15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10:23:56"},{"id":29,"name":"Sharepoint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560</v>
      </c>
      <c r="B16" s="7">
        <v>4013</v>
      </c>
      <c r="C16" s="21" t="s">
        <v>206</v>
      </c>
      <c r="D16" s="21" t="s">
        <v>811</v>
      </c>
      <c r="E16" s="13">
        <v>42867.185520833336</v>
      </c>
      <c r="F16" s="13">
        <v>42867.195416666669</v>
      </c>
      <c r="G16" s="7">
        <v>1</v>
      </c>
      <c r="H16" s="21" t="s">
        <v>359</v>
      </c>
      <c r="I16" s="13">
        <v>42867.225868055553</v>
      </c>
      <c r="J16" s="7">
        <v>0</v>
      </c>
      <c r="K16" s="92" t="str">
        <f t="shared" si="0"/>
        <v>4013/4014</v>
      </c>
      <c r="L16" s="21" t="str">
        <f>VLOOKUP(A16,'Trips&amp;Operators'!$C$1:$G$99999,5,FALSE)</f>
        <v>YANAI IAN</v>
      </c>
      <c r="M16" s="6">
        <f t="shared" si="1"/>
        <v>3.0451388884102926E-2</v>
      </c>
      <c r="N16" s="7">
        <f t="shared" si="2"/>
        <v>43.849999993108213</v>
      </c>
      <c r="O16" s="7"/>
      <c r="P16" s="7"/>
      <c r="Q16" s="22"/>
      <c r="R16" s="190"/>
      <c r="S16" s="196">
        <f t="shared" si="3"/>
        <v>1</v>
      </c>
      <c r="T16" s="190" t="str">
        <f t="shared" si="4"/>
        <v>Southbound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 t="shared" si="5"/>
        <v>https://d0f6bd738d7f1b3e5a7ca70fe4ff75f0.us-east-1.aws.found.io/app/kibana#/discover/Steve-Slow-Train-Analysis-(2080s-and-2083s)?_g=(refreshInterval:(display:Off,pause:!f,section:0,value:0),time:(from:'2017-05-12T03:27:09-0600',mode:absolute,to:'2017-05-12T06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" s="192" t="str">
        <f t="shared" si="6"/>
        <v>N</v>
      </c>
      <c r="X16" s="192">
        <f t="shared" si="7"/>
        <v>1</v>
      </c>
      <c r="Y16" s="192">
        <f t="shared" si="8"/>
        <v>23.265599999999999</v>
      </c>
      <c r="Z16" s="192">
        <f t="shared" si="9"/>
        <v>1.49E-2</v>
      </c>
      <c r="AA16" s="192">
        <f t="shared" si="10"/>
        <v>23.250699999999998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1"/>
        <v>0104-12</v>
      </c>
      <c r="AE16" s="80" t="str">
        <f t="shared" si="12"/>
        <v>aws s3 cp s3://rtdc.mdm.uploadarchive.raw/RTDC4013/ "%USERPROFILE%\AppData\Local\Temp\OnboardLogs"\RTDC4013\2017-05-12 --exclude "*" --recursive --include "*20170512*" &amp; "%USERPROFILE%\Documents\GitHub\mrs-test-scripts\Headless Mode &amp; Sideloading\WalkAndUnGZ.bat" "%USERPROFILE%\AppData\Local\Temp\OnboardLogs"\RTDC4013\2017-05-12 &amp; aws s3 cp s3://rtdc.mdm.uploadarchive.raw/RTDC4013/ "%USERPROFILE%\AppData\Local\Temp\OnboardLogs"\RTDC4013\2017-05-13 --exclude "*" --recursive --include "*20170513*" &amp; "%USERPROFILE%\Documents\GitHub\mrs-test-scripts\Headless Mode &amp; Sideloading\WalkAndUnGZ.bat" "%USERPROFILE%\AppData\Local\Temp\OnboardLogs"\RTDC4013\2017-05-13</v>
      </c>
      <c r="AF16" s="77" t="str">
        <f t="shared" si="13"/>
        <v>"C:\Program Files (x86)\AstroGrep\AstroGrep.exe" /e /r /s /spath="%USERPROFILE%\AppData\Local\Temp\OnboardLogs" /stypes="app*4013*20170512*" /stext=" 11:.+((SYSTEM_STATE.+slice.+state.+changed )|(ment ac)|(multiple cpu faults)|(system.+state.+changed )|(\[timeout)|(PRM\|1\|D)|(kpr)|(kdp)|(train st.+moving)|(\|lc)|(penalty))"</v>
      </c>
      <c r="AG16" s="1" t="str">
        <f t="shared" si="14"/>
        <v>EC</v>
      </c>
      <c r="AH16" s="81" t="str">
        <f t="shared" si="19"/>
        <v>"%USERPROFILE%\Documents\GitHub\eaglep3\Utilities\RefineRTDCRunTimes.py" --tripid 104-12 --locoid 4013 --swversion DE.1.0.9.0 --startMP 204:232656 --initTime 2017-05-12T04:27:09 --startdatetime 2017-05-12T04:41:24 --delay 1 --endMP 204:149 --enddatetime 2017-05-12T05:25:15 --enforcementcount 0 &gt;&gt;C:\Users\stu\Documents\GitHub\eaglep3-reporting\EC\2017-05-12-refined-times.txt</v>
      </c>
      <c r="AI16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{"issue":{"subject":"","project_id":79,"tracker_id":40,"status_id":1,"priority_id":2,"assigned_to_id":23,"start_date":"2017-05-12","description":"","custom_fields":[{"id":1,"name":"Subdivision","value":"EC"},{"id":4,"name":"Milepost","value":"0.0149"},{"id":17,"name":"Train ID","value":"104-12"},{"id":16,"name":"Locomotive ID","value":"4013"},{"id":130,"name":"Impact","value":""},{"id":150,"name":"Time of Event (Mountain Time)","value":"05:25:15"},{"id":151,"name":"Denver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4013 --day 2017-05-12</v>
      </c>
      <c r="AN16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11:25:15"},{"id":29,"name":"Sharepoint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607</v>
      </c>
      <c r="B17" s="7">
        <v>4022</v>
      </c>
      <c r="C17" s="21" t="s">
        <v>206</v>
      </c>
      <c r="D17" s="21" t="s">
        <v>812</v>
      </c>
      <c r="E17" s="13">
        <v>42867.176053240742</v>
      </c>
      <c r="F17" s="13">
        <v>42867.177418981482</v>
      </c>
      <c r="G17" s="7">
        <v>1</v>
      </c>
      <c r="H17" s="21" t="s">
        <v>813</v>
      </c>
      <c r="I17" s="13">
        <v>42867.205428240741</v>
      </c>
      <c r="J17" s="7">
        <v>0</v>
      </c>
      <c r="K17" s="92" t="str">
        <f t="shared" si="0"/>
        <v>4021/4022</v>
      </c>
      <c r="L17" s="21" t="str">
        <f>VLOOKUP(A17,'Trips&amp;Operators'!$C$1:$G$99999,5,FALSE)</f>
        <v>ROBINSON KADDIBA</v>
      </c>
      <c r="M17" s="6">
        <f t="shared" si="1"/>
        <v>2.8009259258396924E-2</v>
      </c>
      <c r="N17" s="7">
        <f t="shared" si="2"/>
        <v>40.33333333209157</v>
      </c>
      <c r="O17" s="7"/>
      <c r="P17" s="7"/>
      <c r="Q17" s="22"/>
      <c r="R17" s="190"/>
      <c r="S17" s="196">
        <f t="shared" si="3"/>
        <v>1</v>
      </c>
      <c r="T17" s="190" t="str">
        <f t="shared" si="4"/>
        <v>NorthBound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1" t="str">
        <f t="shared" si="5"/>
        <v>https://d0f6bd738d7f1b3e5a7ca70fe4ff75f0.us-east-1.aws.found.io/app/kibana#/discover/Steve-Slow-Train-Analysis-(2080s-and-2083s)?_g=(refreshInterval:(display:Off,pause:!f,section:0,value:0),time:(from:'2017-05-12T03:13:31-0600',mode:absolute,to:'2017-05-12T05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" s="192" t="str">
        <f t="shared" si="6"/>
        <v>N</v>
      </c>
      <c r="X17" s="192">
        <f t="shared" si="7"/>
        <v>1</v>
      </c>
      <c r="Y17" s="192">
        <f t="shared" si="8"/>
        <v>7.9200000000000007E-2</v>
      </c>
      <c r="Z17" s="192">
        <f t="shared" si="9"/>
        <v>23.336400000000001</v>
      </c>
      <c r="AA17" s="192">
        <f t="shared" si="10"/>
        <v>23.257200000000001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1"/>
        <v>0105-12</v>
      </c>
      <c r="AE17" s="80" t="str">
        <f t="shared" si="12"/>
        <v>aws s3 cp s3://rtdc.mdm.uploadarchive.raw/RTDC4022/ "%USERPROFILE%\AppData\Local\Temp\OnboardLogs"\RTDC4022\2017-05-12 --exclude "*" --recursive --include "*20170512*" &amp; "%USERPROFILE%\Documents\GitHub\mrs-test-scripts\Headless Mode &amp; Sideloading\WalkAndUnGZ.bat" "%USERPROFILE%\AppData\Local\Temp\OnboardLogs"\RTDC4022\2017-05-12 &amp; aws s3 cp s3://rtdc.mdm.uploadarchive.raw/RTDC4022/ "%USERPROFILE%\AppData\Local\Temp\OnboardLogs"\RTDC4022\2017-05-13 --exclude "*" --recursive --include "*20170513*" &amp; "%USERPROFILE%\Documents\GitHub\mrs-test-scripts\Headless Mode &amp; Sideloading\WalkAndUnGZ.bat" "%USERPROFILE%\AppData\Local\Temp\OnboardLogs"\RTDC4022\2017-05-13</v>
      </c>
      <c r="AF17" s="77" t="str">
        <f t="shared" si="13"/>
        <v>"C:\Program Files (x86)\AstroGrep\AstroGrep.exe" /e /r /s /spath="%USERPROFILE%\AppData\Local\Temp\OnboardLogs" /stypes="app*4022*20170512*" /stext=" 10:.+((SYSTEM_STATE.+slice.+state.+changed )|(ment ac)|(multiple cpu faults)|(system.+state.+changed )|(\[timeout)|(PRM\|1\|D)|(kpr)|(kdp)|(train st.+moving)|(\|lc)|(penalty))"</v>
      </c>
      <c r="AG17" s="1" t="str">
        <f t="shared" si="14"/>
        <v>EC</v>
      </c>
      <c r="AH17" s="81" t="str">
        <f t="shared" si="19"/>
        <v>"%USERPROFILE%\Documents\GitHub\eaglep3\Utilities\RefineRTDCRunTimes.py" --tripid 105-12 --locoid 4022 --swversion DE.1.0.9.0 --startMP 204:792 --initTime 2017-05-12T04:13:31 --startdatetime 2017-05-12T04:15:29 --delay 1 --endMP 204:233364 --enddatetime 2017-05-12T04:55:49 --enforcementcount 0 &gt;&gt;C:\Users\stu\Documents\GitHub\eaglep3-reporting\EC\2017-05-12-refined-times.txt</v>
      </c>
      <c r="AI17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{"issue":{"subject":"","project_id":79,"tracker_id":40,"status_id":1,"priority_id":2,"assigned_to_id":23,"start_date":"2017-05-12","description":"","custom_fields":[{"id":1,"name":"Subdivision","value":"EC"},{"id":4,"name":"Milepost","value":"23.3364"},{"id":17,"name":"Train ID","value":"105-12"},{"id":16,"name":"Locomotive ID","value":"4022"},{"id":130,"name":"Impact","value":""},{"id":150,"name":"Time of Event (Mountain Time)","value":"04:55:49"},{"id":151,"name":"Denver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4022 --day 2017-05-12</v>
      </c>
      <c r="AN17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10:55:49"},{"id":29,"name":"Sharepoint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618</v>
      </c>
      <c r="B18" s="7">
        <v>4049</v>
      </c>
      <c r="C18" s="21" t="s">
        <v>206</v>
      </c>
      <c r="D18" s="21" t="s">
        <v>814</v>
      </c>
      <c r="E18" s="13">
        <v>42867.213842592595</v>
      </c>
      <c r="F18" s="13">
        <v>42867.216180555559</v>
      </c>
      <c r="G18" s="7">
        <v>1</v>
      </c>
      <c r="H18" s="21" t="s">
        <v>197</v>
      </c>
      <c r="I18" s="13">
        <v>42867.246631944443</v>
      </c>
      <c r="J18" s="7">
        <v>0</v>
      </c>
      <c r="K18" s="92" t="str">
        <f t="shared" si="0"/>
        <v>4049/4050</v>
      </c>
      <c r="L18" s="21" t="str">
        <f>VLOOKUP(A18,'Trips&amp;Operators'!$C$1:$G$99999,5,FALSE)</f>
        <v>ROBINSON KADDIBA</v>
      </c>
      <c r="M18" s="6">
        <f t="shared" si="1"/>
        <v>3.0451388884102926E-2</v>
      </c>
      <c r="N18" s="7">
        <f t="shared" si="2"/>
        <v>43.849999993108213</v>
      </c>
      <c r="O18" s="7"/>
      <c r="P18" s="7"/>
      <c r="Q18" s="22"/>
      <c r="R18" s="190"/>
      <c r="S18" s="196">
        <f t="shared" si="3"/>
        <v>1</v>
      </c>
      <c r="T18" s="190" t="str">
        <f t="shared" si="4"/>
        <v>Southbound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 t="shared" si="5"/>
        <v>https://d0f6bd738d7f1b3e5a7ca70fe4ff75f0.us-east-1.aws.found.io/app/kibana#/discover/Steve-Slow-Train-Analysis-(2080s-and-2083s)?_g=(refreshInterval:(display:Off,pause:!f,section:0,value:0),time:(from:'2017-05-12T04:07:56-0600',mode:absolute,to:'2017-05-12T06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" s="192" t="str">
        <f t="shared" si="6"/>
        <v>N</v>
      </c>
      <c r="X18" s="192">
        <f t="shared" si="7"/>
        <v>1</v>
      </c>
      <c r="Y18" s="192">
        <f t="shared" si="8"/>
        <v>23.273900000000001</v>
      </c>
      <c r="Z18" s="192">
        <f t="shared" si="9"/>
        <v>1.52E-2</v>
      </c>
      <c r="AA18" s="192">
        <f t="shared" si="10"/>
        <v>23.258700000000001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11"/>
        <v>0106-12</v>
      </c>
      <c r="AE18" s="80" t="str">
        <f t="shared" si="12"/>
        <v>aws s3 cp s3://rtdc.mdm.uploadarchive.raw/RTDC4049/ "%USERPROFILE%\AppData\Local\Temp\OnboardLogs"\RTDC4049\2017-05-12 --exclude "*" --recursive --include "*20170512*" &amp; "%USERPROFILE%\Documents\GitHub\mrs-test-scripts\Headless Mode &amp; Sideloading\WalkAndUnGZ.bat" "%USERPROFILE%\AppData\Local\Temp\OnboardLogs"\RTDC4049\2017-05-12 &amp; aws s3 cp s3://rtdc.mdm.uploadarchive.raw/RTDC4049/ "%USERPROFILE%\AppData\Local\Temp\OnboardLogs"\RTDC4049\2017-05-13 --exclude "*" --recursive --include "*20170513*" &amp; "%USERPROFILE%\Documents\GitHub\mrs-test-scripts\Headless Mode &amp; Sideloading\WalkAndUnGZ.bat" "%USERPROFILE%\AppData\Local\Temp\OnboardLogs"\RTDC4049\2017-05-13</v>
      </c>
      <c r="AF18" s="77" t="str">
        <f t="shared" si="13"/>
        <v>"C:\Program Files (x86)\AstroGrep\AstroGrep.exe" /e /r /s /spath="%USERPROFILE%\AppData\Local\Temp\OnboardLogs" /stypes="app*4049*20170512*" /stext=" 11:.+((SYSTEM_STATE.+slice.+state.+changed )|(ment ac)|(multiple cpu faults)|(system.+state.+changed )|(\[timeout)|(PRM\|1\|D)|(kpr)|(kdp)|(train st.+moving)|(\|lc)|(penalty))"</v>
      </c>
      <c r="AG18" s="1" t="str">
        <f t="shared" si="14"/>
        <v>EC</v>
      </c>
      <c r="AH18" s="81" t="str">
        <f t="shared" si="19"/>
        <v>"%USERPROFILE%\Documents\GitHub\eaglep3\Utilities\RefineRTDCRunTimes.py" --tripid 106-12 --locoid 4049 --swversion DE.1.0.9.0 --startMP 204:232739 --initTime 2017-05-12T05:07:56 --startdatetime 2017-05-12T05:11:18 --delay 1 --endMP 204:152 --enddatetime 2017-05-12T05:55:09 --enforcementcount 0 &gt;&gt;C:\Users\stu\Documents\GitHub\eaglep3-reporting\EC\2017-05-12-refined-times.txt</v>
      </c>
      <c r="AI18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{"issue":{"subject":"","project_id":79,"tracker_id":40,"status_id":1,"priority_id":2,"assigned_to_id":23,"start_date":"2017-05-12","description":"","custom_fields":[{"id":1,"name":"Subdivision","value":"EC"},{"id":4,"name":"Milepost","value":"0.0152"},{"id":17,"name":"Train ID","value":"106-12"},{"id":16,"name":"Locomotive ID","value":"4049"},{"id":130,"name":"Impact","value":""},{"id":150,"name":"Time of Event (Mountain Time)","value":"05:55:09"},{"id":151,"name":"Denver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4049 --day 2017-05-12</v>
      </c>
      <c r="AN18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11:55:09"},{"id":29,"name":"Sharepoint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608</v>
      </c>
      <c r="B19" s="7">
        <v>4016</v>
      </c>
      <c r="C19" s="21" t="s">
        <v>206</v>
      </c>
      <c r="D19" s="21" t="s">
        <v>371</v>
      </c>
      <c r="E19" s="13">
        <v>42867.179282407407</v>
      </c>
      <c r="F19" s="13">
        <v>42867.187754629631</v>
      </c>
      <c r="G19" s="7">
        <v>1</v>
      </c>
      <c r="H19" s="21" t="s">
        <v>815</v>
      </c>
      <c r="I19" s="13">
        <v>42867.214409722219</v>
      </c>
      <c r="J19" s="7">
        <v>0</v>
      </c>
      <c r="K19" s="92" t="str">
        <f t="shared" si="0"/>
        <v>4015/4016</v>
      </c>
      <c r="L19" s="21" t="str">
        <f>VLOOKUP(A19,'Trips&amp;Operators'!$C$1:$G$99999,5,FALSE)</f>
        <v>ACKERMAN JARED</v>
      </c>
      <c r="M19" s="6">
        <f t="shared" si="1"/>
        <v>2.6655092588043772E-2</v>
      </c>
      <c r="N19" s="7">
        <f t="shared" si="2"/>
        <v>38.383333326783031</v>
      </c>
      <c r="O19" s="7"/>
      <c r="P19" s="7"/>
      <c r="Q19" s="22"/>
      <c r="R19" s="190"/>
      <c r="S19" s="196">
        <f t="shared" si="3"/>
        <v>1</v>
      </c>
      <c r="T19" s="190" t="str">
        <f t="shared" si="4"/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1" t="str">
        <f t="shared" si="5"/>
        <v>https://d0f6bd738d7f1b3e5a7ca70fe4ff75f0.us-east-1.aws.found.io/app/kibana#/discover/Steve-Slow-Train-Analysis-(2080s-and-2083s)?_g=(refreshInterval:(display:Off,pause:!f,section:0,value:0),time:(from:'2017-05-12T03:18:10-0600',mode:absolute,to:'2017-05-12T06:08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" s="192" t="str">
        <f t="shared" si="6"/>
        <v>N</v>
      </c>
      <c r="X19" s="192">
        <f t="shared" si="7"/>
        <v>1</v>
      </c>
      <c r="Y19" s="192">
        <f t="shared" si="8"/>
        <v>4.4400000000000002E-2</v>
      </c>
      <c r="Z19" s="192">
        <f t="shared" si="9"/>
        <v>23.331800000000001</v>
      </c>
      <c r="AA19" s="192">
        <f t="shared" si="10"/>
        <v>23.287400000000002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1"/>
        <v>0107-12</v>
      </c>
      <c r="AE19" s="80" t="str">
        <f t="shared" si="12"/>
        <v>aws s3 cp s3://rtdc.mdm.uploadarchive.raw/RTDC4016/ "%USERPROFILE%\AppData\Local\Temp\OnboardLogs"\RTDC4016\2017-05-12 --exclude "*" --recursive --include "*20170512*" &amp; "%USERPROFILE%\Documents\GitHub\mrs-test-scripts\Headless Mode &amp; Sideloading\WalkAndUnGZ.bat" "%USERPROFILE%\AppData\Local\Temp\OnboardLogs"\RTDC4016\2017-05-12 &amp; aws s3 cp s3://rtdc.mdm.uploadarchive.raw/RTDC4016/ "%USERPROFILE%\AppData\Local\Temp\OnboardLogs"\RTDC4016\2017-05-13 --exclude "*" --recursive --include "*20170513*" &amp; "%USERPROFILE%\Documents\GitHub\mrs-test-scripts\Headless Mode &amp; Sideloading\WalkAndUnGZ.bat" "%USERPROFILE%\AppData\Local\Temp\OnboardLogs"\RTDC4016\2017-05-13</v>
      </c>
      <c r="AF19" s="77" t="str">
        <f t="shared" si="13"/>
        <v>"C:\Program Files (x86)\AstroGrep\AstroGrep.exe" /e /r /s /spath="%USERPROFILE%\AppData\Local\Temp\OnboardLogs" /stypes="app*4016*20170512*" /stext=" 11:.+((SYSTEM_STATE.+slice.+state.+changed )|(ment ac)|(multiple cpu faults)|(system.+state.+changed )|(\[timeout)|(PRM\|1\|D)|(kpr)|(kdp)|(train st.+moving)|(\|lc)|(penalty))"</v>
      </c>
      <c r="AG19" s="1" t="str">
        <f t="shared" si="14"/>
        <v>EC</v>
      </c>
      <c r="AH19" s="81" t="str">
        <f t="shared" si="19"/>
        <v>"%USERPROFILE%\Documents\GitHub\eaglep3\Utilities\RefineRTDCRunTimes.py" --tripid 107-12 --locoid 4016 --swversion DE.1.0.9.0 --startMP 204:444 --initTime 2017-05-12T04:18:10 --startdatetime 2017-05-12T04:30:22 --delay 1 --endMP 204:233318 --enddatetime 2017-05-12T05:08:45 --enforcementcount 0 &gt;&gt;C:\Users\stu\Documents\GitHub\eaglep3-reporting\EC\2017-05-12-refined-times.txt</v>
      </c>
      <c r="AI19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{"issue":{"subject":"","project_id":79,"tracker_id":40,"status_id":1,"priority_id":2,"assigned_to_id":23,"start_date":"2017-05-12","description":"","custom_fields":[{"id":1,"name":"Subdivision","value":"EC"},{"id":4,"name":"Milepost","value":"23.3318"},{"id":17,"name":"Train ID","value":"107-12"},{"id":16,"name":"Locomotive ID","value":"4016"},{"id":130,"name":"Impact","value":""},{"id":150,"name":"Time of Event (Mountain Time)","value":"05:08:45"},{"id":151,"name":"Denver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4016 --day 2017-05-12</v>
      </c>
      <c r="AN19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11:08:45"},{"id":29,"name":"Sharepoint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619</v>
      </c>
      <c r="B20" s="7">
        <v>4015</v>
      </c>
      <c r="C20" s="21" t="s">
        <v>206</v>
      </c>
      <c r="D20" s="21" t="s">
        <v>816</v>
      </c>
      <c r="E20" s="13">
        <v>42867.220833333333</v>
      </c>
      <c r="F20" s="13">
        <v>42867.226631944446</v>
      </c>
      <c r="G20" s="7">
        <v>1</v>
      </c>
      <c r="H20" s="21" t="s">
        <v>358</v>
      </c>
      <c r="I20" s="13">
        <v>42867.258009259262</v>
      </c>
      <c r="J20" s="7">
        <v>0</v>
      </c>
      <c r="K20" s="92" t="str">
        <f t="shared" si="0"/>
        <v>4015/4016</v>
      </c>
      <c r="L20" s="21" t="str">
        <f>VLOOKUP(A20,'Trips&amp;Operators'!$C$1:$G$99999,5,FALSE)</f>
        <v>ACKERMAN JARED</v>
      </c>
      <c r="M20" s="6">
        <f t="shared" si="1"/>
        <v>3.1377314815472346E-2</v>
      </c>
      <c r="N20" s="7">
        <f t="shared" si="2"/>
        <v>45.183333334280178</v>
      </c>
      <c r="O20" s="7"/>
      <c r="P20" s="7"/>
      <c r="Q20" s="22"/>
      <c r="R20" s="190"/>
      <c r="S20" s="196">
        <f t="shared" si="3"/>
        <v>1</v>
      </c>
      <c r="T20" s="190" t="str">
        <f t="shared" si="4"/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 t="shared" si="5"/>
        <v>https://d0f6bd738d7f1b3e5a7ca70fe4ff75f0.us-east-1.aws.found.io/app/kibana#/discover/Steve-Slow-Train-Analysis-(2080s-and-2083s)?_g=(refreshInterval:(display:Off,pause:!f,section:0,value:0),time:(from:'2017-05-12T04:18:00-0600',mode:absolute,to:'2017-05-12T07:11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" s="192" t="str">
        <f t="shared" si="6"/>
        <v>N</v>
      </c>
      <c r="X20" s="192">
        <f t="shared" si="7"/>
        <v>1</v>
      </c>
      <c r="Y20" s="192">
        <f t="shared" si="8"/>
        <v>23.298200000000001</v>
      </c>
      <c r="Z20" s="192">
        <f t="shared" si="9"/>
        <v>1.4999999999999999E-2</v>
      </c>
      <c r="AA20" s="192">
        <f t="shared" si="10"/>
        <v>23.283200000000001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1"/>
        <v>0108-12</v>
      </c>
      <c r="AE20" s="80" t="str">
        <f t="shared" si="12"/>
        <v>aws s3 cp s3://rtdc.mdm.uploadarchive.raw/RTDC4015/ "%USERPROFILE%\AppData\Local\Temp\OnboardLogs"\RTDC4015\2017-05-12 --exclude "*" --recursive --include "*20170512*" &amp; "%USERPROFILE%\Documents\GitHub\mrs-test-scripts\Headless Mode &amp; Sideloading\WalkAndUnGZ.bat" "%USERPROFILE%\AppData\Local\Temp\OnboardLogs"\RTDC4015\2017-05-12 &amp; aws s3 cp s3://rtdc.mdm.uploadarchive.raw/RTDC4015/ "%USERPROFILE%\AppData\Local\Temp\OnboardLogs"\RTDC4015\2017-05-13 --exclude "*" --recursive --include "*20170513*" &amp; "%USERPROFILE%\Documents\GitHub\mrs-test-scripts\Headless Mode &amp; Sideloading\WalkAndUnGZ.bat" "%USERPROFILE%\AppData\Local\Temp\OnboardLogs"\RTDC4015\2017-05-13</v>
      </c>
      <c r="AF20" s="77" t="str">
        <f t="shared" si="13"/>
        <v>"C:\Program Files (x86)\AstroGrep\AstroGrep.exe" /e /r /s /spath="%USERPROFILE%\AppData\Local\Temp\OnboardLogs" /stypes="app*4015*20170512*" /stext=" 12:.+((SYSTEM_STATE.+slice.+state.+changed )|(ment ac)|(multiple cpu faults)|(system.+state.+changed )|(\[timeout)|(PRM\|1\|D)|(kpr)|(kdp)|(train st.+moving)|(\|lc)|(penalty))"</v>
      </c>
      <c r="AG20" s="1" t="str">
        <f t="shared" si="14"/>
        <v>EC</v>
      </c>
      <c r="AH20" s="81" t="str">
        <f t="shared" si="19"/>
        <v>"%USERPROFILE%\Documents\GitHub\eaglep3\Utilities\RefineRTDCRunTimes.py" --tripid 108-12 --locoid 4015 --swversion DE.1.0.9.0 --startMP 204:232982 --initTime 2017-05-12T05:18:00 --startdatetime 2017-05-12T05:26:21 --delay 1 --endMP 204:150 --enddatetime 2017-05-12T06:11:32 --enforcementcount 0 &gt;&gt;C:\Users\stu\Documents\GitHub\eaglep3-reporting\EC\2017-05-12-refined-times.txt</v>
      </c>
      <c r="AI20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{"issue":{"subject":"","project_id":79,"tracker_id":40,"status_id":1,"priority_id":2,"assigned_to_id":23,"start_date":"2017-05-12","description":"","custom_fields":[{"id":1,"name":"Subdivision","value":"EC"},{"id":4,"name":"Milepost","value":"0.015"},{"id":17,"name":"Train ID","value":"108-12"},{"id":16,"name":"Locomotive ID","value":"4015"},{"id":130,"name":"Impact","value":""},{"id":150,"name":"Time of Event (Mountain Time)","value":"06:11:32"},{"id":151,"name":"Denver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4015 --day 2017-05-12</v>
      </c>
      <c r="AN20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12:11:32"},{"id":29,"name":"Sharepoint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612</v>
      </c>
      <c r="B21" s="7">
        <v>4010</v>
      </c>
      <c r="C21" s="21" t="s">
        <v>206</v>
      </c>
      <c r="D21" s="21" t="s">
        <v>817</v>
      </c>
      <c r="E21" s="13">
        <v>42867.196689814817</v>
      </c>
      <c r="F21" s="13">
        <v>42867.198472222219</v>
      </c>
      <c r="G21" s="7">
        <v>1</v>
      </c>
      <c r="H21" s="21" t="s">
        <v>818</v>
      </c>
      <c r="I21" s="13">
        <v>42867.225023148145</v>
      </c>
      <c r="J21" s="7">
        <v>0</v>
      </c>
      <c r="K21" s="92" t="str">
        <f t="shared" si="0"/>
        <v>4009/4010</v>
      </c>
      <c r="L21" s="21" t="str">
        <f>VLOOKUP(A21,'Trips&amp;Operators'!$C$1:$G$99999,5,FALSE)</f>
        <v>LOZA FIDEL</v>
      </c>
      <c r="M21" s="6">
        <f t="shared" si="1"/>
        <v>2.6550925926130731E-2</v>
      </c>
      <c r="N21" s="7">
        <f t="shared" si="2"/>
        <v>38.233333333628252</v>
      </c>
      <c r="O21" s="7"/>
      <c r="P21" s="7"/>
      <c r="Q21" s="22"/>
      <c r="R21" s="190"/>
      <c r="S21" s="196">
        <f t="shared" si="3"/>
        <v>1</v>
      </c>
      <c r="T21" s="190" t="str">
        <f t="shared" si="4"/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 t="shared" si="5"/>
        <v>https://d0f6bd738d7f1b3e5a7ca70fe4ff75f0.us-east-1.aws.found.io/app/kibana#/discover/Steve-Slow-Train-Analysis-(2080s-and-2083s)?_g=(refreshInterval:(display:Off,pause:!f,section:0,value:0),time:(from:'2017-05-12T03:43:14-0600',mode:absolute,to:'2017-05-12T06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" s="192" t="str">
        <f t="shared" si="6"/>
        <v>N</v>
      </c>
      <c r="X21" s="192">
        <f t="shared" si="7"/>
        <v>1</v>
      </c>
      <c r="Y21" s="192">
        <f t="shared" si="8"/>
        <v>4.2200000000000001E-2</v>
      </c>
      <c r="Z21" s="192">
        <f t="shared" si="9"/>
        <v>23.33</v>
      </c>
      <c r="AA21" s="192">
        <f t="shared" si="10"/>
        <v>23.287799999999997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1"/>
        <v>0109-12</v>
      </c>
      <c r="AE21" s="80" t="str">
        <f t="shared" si="12"/>
        <v>aws s3 cp s3://rtdc.mdm.uploadarchive.raw/RTDC4010/ "%USERPROFILE%\AppData\Local\Temp\OnboardLogs"\RTDC4010\2017-05-12 --exclude "*" --recursive --include "*20170512*" &amp; "%USERPROFILE%\Documents\GitHub\mrs-test-scripts\Headless Mode &amp; Sideloading\WalkAndUnGZ.bat" "%USERPROFILE%\AppData\Local\Temp\OnboardLogs"\RTDC4010\2017-05-12 &amp; aws s3 cp s3://rtdc.mdm.uploadarchive.raw/RTDC4010/ "%USERPROFILE%\AppData\Local\Temp\OnboardLogs"\RTDC4010\2017-05-13 --exclude "*" --recursive --include "*20170513*" &amp; "%USERPROFILE%\Documents\GitHub\mrs-test-scripts\Headless Mode &amp; Sideloading\WalkAndUnGZ.bat" "%USERPROFILE%\AppData\Local\Temp\OnboardLogs"\RTDC4010\2017-05-13</v>
      </c>
      <c r="AF21" s="77" t="str">
        <f t="shared" si="13"/>
        <v>"C:\Program Files (x86)\AstroGrep\AstroGrep.exe" /e /r /s /spath="%USERPROFILE%\AppData\Local\Temp\OnboardLogs" /stypes="app*4010*20170512*" /stext=" 11:.+((SYSTEM_STATE.+slice.+state.+changed )|(ment ac)|(multiple cpu faults)|(system.+state.+changed )|(\[timeout)|(PRM\|1\|D)|(kpr)|(kdp)|(train st.+moving)|(\|lc)|(penalty))"</v>
      </c>
      <c r="AG21" s="1" t="str">
        <f t="shared" si="14"/>
        <v>EC</v>
      </c>
      <c r="AH21" s="81" t="str">
        <f t="shared" si="19"/>
        <v>"%USERPROFILE%\Documents\GitHub\eaglep3\Utilities\RefineRTDCRunTimes.py" --tripid 109-12 --locoid 4010 --swversion DE.1.0.9.0 --startMP 204:422 --initTime 2017-05-12T04:43:14 --startdatetime 2017-05-12T04:45:48 --delay 1 --endMP 204:233300 --enddatetime 2017-05-12T05:24:02 --enforcementcount 0 &gt;&gt;C:\Users\stu\Documents\GitHub\eaglep3-reporting\EC\2017-05-12-refined-times.txt</v>
      </c>
      <c r="AI21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{"issue":{"subject":"","project_id":79,"tracker_id":40,"status_id":1,"priority_id":2,"assigned_to_id":23,"start_date":"2017-05-12","description":"","custom_fields":[{"id":1,"name":"Subdivision","value":"EC"},{"id":4,"name":"Milepost","value":"23.33"},{"id":17,"name":"Train ID","value":"109-12"},{"id":16,"name":"Locomotive ID","value":"4010"},{"id":130,"name":"Impact","value":""},{"id":150,"name":"Time of Event (Mountain Time)","value":"05:24:02"},{"id":151,"name":"Denver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4010 --day 2017-05-12</v>
      </c>
      <c r="AN21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11:24:02"},{"id":29,"name":"Sharepoint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623</v>
      </c>
      <c r="B22" s="7">
        <v>4009</v>
      </c>
      <c r="C22" s="21" t="s">
        <v>206</v>
      </c>
      <c r="D22" s="21" t="s">
        <v>819</v>
      </c>
      <c r="E22" s="13">
        <v>42867.233298611114</v>
      </c>
      <c r="F22" s="13">
        <v>42867.237129629626</v>
      </c>
      <c r="G22" s="7">
        <v>1</v>
      </c>
      <c r="H22" s="21" t="s">
        <v>368</v>
      </c>
      <c r="I22" s="13">
        <v>42867.266504629632</v>
      </c>
      <c r="J22" s="7">
        <v>0</v>
      </c>
      <c r="K22" s="92" t="str">
        <f t="shared" si="0"/>
        <v>4009/4010</v>
      </c>
      <c r="L22" s="21" t="str">
        <f>VLOOKUP(A22,'Trips&amp;Operators'!$C$1:$G$99999,5,FALSE)</f>
        <v>LOZA FIDEL</v>
      </c>
      <c r="M22" s="6">
        <f t="shared" si="1"/>
        <v>2.9375000005529728E-2</v>
      </c>
      <c r="N22" s="7">
        <f t="shared" si="2"/>
        <v>42.300000007962808</v>
      </c>
      <c r="O22" s="7"/>
      <c r="P22" s="7"/>
      <c r="Q22" s="22"/>
      <c r="R22" s="190"/>
      <c r="S22" s="196">
        <f t="shared" si="3"/>
        <v>1</v>
      </c>
      <c r="T22" s="190" t="str">
        <f t="shared" si="4"/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1" t="str">
        <f t="shared" si="5"/>
        <v>https://d0f6bd738d7f1b3e5a7ca70fe4ff75f0.us-east-1.aws.found.io/app/kibana#/discover/Steve-Slow-Train-Analysis-(2080s-and-2083s)?_g=(refreshInterval:(display:Off,pause:!f,section:0,value:0),time:(from:'2017-05-12T04:35:57-0600',mode:absolute,to:'2017-05-12T07:23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" s="192" t="str">
        <f t="shared" si="6"/>
        <v>N</v>
      </c>
      <c r="X22" s="192">
        <f t="shared" si="7"/>
        <v>1</v>
      </c>
      <c r="Y22" s="192">
        <f t="shared" si="8"/>
        <v>23.298500000000001</v>
      </c>
      <c r="Z22" s="192">
        <f t="shared" si="9"/>
        <v>1.5599999999999999E-2</v>
      </c>
      <c r="AA22" s="192">
        <f t="shared" si="10"/>
        <v>23.282900000000001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1"/>
        <v>0110-12</v>
      </c>
      <c r="AE22" s="80" t="str">
        <f t="shared" si="12"/>
        <v>aws s3 cp s3://rtdc.mdm.uploadarchive.raw/RTDC4009/ "%USERPROFILE%\AppData\Local\Temp\OnboardLogs"\RTDC4009\2017-05-12 --exclude "*" --recursive --include "*20170512*" &amp; "%USERPROFILE%\Documents\GitHub\mrs-test-scripts\Headless Mode &amp; Sideloading\WalkAndUnGZ.bat" "%USERPROFILE%\AppData\Local\Temp\OnboardLogs"\RTDC4009\2017-05-12 &amp; aws s3 cp s3://rtdc.mdm.uploadarchive.raw/RTDC4009/ "%USERPROFILE%\AppData\Local\Temp\OnboardLogs"\RTDC4009\2017-05-13 --exclude "*" --recursive --include "*20170513*" &amp; "%USERPROFILE%\Documents\GitHub\mrs-test-scripts\Headless Mode &amp; Sideloading\WalkAndUnGZ.bat" "%USERPROFILE%\AppData\Local\Temp\OnboardLogs"\RTDC4009\2017-05-13</v>
      </c>
      <c r="AF22" s="77" t="str">
        <f t="shared" si="13"/>
        <v>"C:\Program Files (x86)\AstroGrep\AstroGrep.exe" /e /r /s /spath="%USERPROFILE%\AppData\Local\Temp\OnboardLogs" /stypes="app*4009*20170512*" /stext=" 12:.+((SYSTEM_STATE.+slice.+state.+changed )|(ment ac)|(multiple cpu faults)|(system.+state.+changed )|(\[timeout)|(PRM\|1\|D)|(kpr)|(kdp)|(train st.+moving)|(\|lc)|(penalty))"</v>
      </c>
      <c r="AG22" s="1" t="str">
        <f t="shared" si="14"/>
        <v>EC</v>
      </c>
      <c r="AH22" s="81" t="str">
        <f t="shared" si="19"/>
        <v>"%USERPROFILE%\Documents\GitHub\eaglep3\Utilities\RefineRTDCRunTimes.py" --tripid 110-12 --locoid 4009 --swversion DE.1.0.9.0 --startMP 204:232985 --initTime 2017-05-12T05:35:57 --startdatetime 2017-05-12T05:41:28 --delay 1 --endMP 204:156 --enddatetime 2017-05-12T06:23:46 --enforcementcount 0 &gt;&gt;C:\Users\stu\Documents\GitHub\eaglep3-reporting\EC\2017-05-12-refined-times.txt</v>
      </c>
      <c r="AI22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{"issue":{"subject":"","project_id":79,"tracker_id":40,"status_id":1,"priority_id":2,"assigned_to_id":23,"start_date":"2017-05-12","description":"","custom_fields":[{"id":1,"name":"Subdivision","value":"EC"},{"id":4,"name":"Milepost","value":"0.0156"},{"id":17,"name":"Train ID","value":"110-12"},{"id":16,"name":"Locomotive ID","value":"4009"},{"id":130,"name":"Impact","value":""},{"id":150,"name":"Time of Event (Mountain Time)","value":"06:23:46"},{"id":151,"name":"Denver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4009 --day 2017-05-12</v>
      </c>
      <c r="AN22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12:23:46"},{"id":29,"name":"Sharepoint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616</v>
      </c>
      <c r="B23" s="7">
        <v>4046</v>
      </c>
      <c r="C23" s="21" t="s">
        <v>206</v>
      </c>
      <c r="D23" s="21" t="s">
        <v>820</v>
      </c>
      <c r="E23" s="13">
        <v>42867.207916666666</v>
      </c>
      <c r="F23" s="13">
        <v>42867.209976851853</v>
      </c>
      <c r="G23" s="7">
        <v>1</v>
      </c>
      <c r="H23" s="21" t="s">
        <v>458</v>
      </c>
      <c r="I23" s="13">
        <v>42867.236747685187</v>
      </c>
      <c r="J23" s="7">
        <v>0</v>
      </c>
      <c r="K23" s="92" t="str">
        <f t="shared" si="0"/>
        <v>4045/4046</v>
      </c>
      <c r="L23" s="21" t="str">
        <f>VLOOKUP(A23,'Trips&amp;Operators'!$C$1:$G$99999,5,FALSE)</f>
        <v>BONDS REYNALDO</v>
      </c>
      <c r="M23" s="6">
        <f t="shared" si="1"/>
        <v>2.6770833334012423E-2</v>
      </c>
      <c r="N23" s="7">
        <f t="shared" si="2"/>
        <v>38.550000000977889</v>
      </c>
      <c r="O23" s="7"/>
      <c r="P23" s="7"/>
      <c r="Q23" s="22"/>
      <c r="R23" s="190"/>
      <c r="S23" s="196">
        <f t="shared" si="3"/>
        <v>1</v>
      </c>
      <c r="T23" s="190" t="str">
        <f t="shared" si="4"/>
        <v>NorthBound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 t="shared" si="5"/>
        <v>https://d0f6bd738d7f1b3e5a7ca70fe4ff75f0.us-east-1.aws.found.io/app/kibana#/discover/Steve-Slow-Train-Analysis-(2080s-and-2083s)?_g=(refreshInterval:(display:Off,pause:!f,section:0,value:0),time:(from:'2017-05-12T03:59:24-0600',mode:absolute,to:'2017-05-12T06:40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" s="192" t="str">
        <f t="shared" si="6"/>
        <v>N</v>
      </c>
      <c r="X23" s="192">
        <f t="shared" si="7"/>
        <v>1</v>
      </c>
      <c r="Y23" s="192">
        <f t="shared" si="8"/>
        <v>7.7399999999999997E-2</v>
      </c>
      <c r="Z23" s="192">
        <f t="shared" si="9"/>
        <v>23.332000000000001</v>
      </c>
      <c r="AA23" s="192">
        <f t="shared" si="10"/>
        <v>23.2546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1"/>
        <v>0111-12</v>
      </c>
      <c r="AE23" s="80" t="str">
        <f t="shared" si="12"/>
        <v>aws s3 cp s3://rtdc.mdm.uploadarchive.raw/RTDC4046/ "%USERPROFILE%\AppData\Local\Temp\OnboardLogs"\RTDC4046\2017-05-12 --exclude "*" --recursive --include "*20170512*" &amp; "%USERPROFILE%\Documents\GitHub\mrs-test-scripts\Headless Mode &amp; Sideloading\WalkAndUnGZ.bat" "%USERPROFILE%\AppData\Local\Temp\OnboardLogs"\RTDC4046\2017-05-12 &amp; aws s3 cp s3://rtdc.mdm.uploadarchive.raw/RTDC4046/ "%USERPROFILE%\AppData\Local\Temp\OnboardLogs"\RTDC4046\2017-05-13 --exclude "*" --recursive --include "*20170513*" &amp; "%USERPROFILE%\Documents\GitHub\mrs-test-scripts\Headless Mode &amp; Sideloading\WalkAndUnGZ.bat" "%USERPROFILE%\AppData\Local\Temp\OnboardLogs"\RTDC4046\2017-05-13</v>
      </c>
      <c r="AF23" s="77" t="str">
        <f t="shared" si="13"/>
        <v>"C:\Program Files (x86)\AstroGrep\AstroGrep.exe" /e /r /s /spath="%USERPROFILE%\AppData\Local\Temp\OnboardLogs" /stypes="app*4046*20170512*" /stext=" 11:.+((SYSTEM_STATE.+slice.+state.+changed )|(ment ac)|(multiple cpu faults)|(system.+state.+changed )|(\[timeout)|(PRM\|1\|D)|(kpr)|(kdp)|(train st.+moving)|(\|lc)|(penalty))"</v>
      </c>
      <c r="AG23" s="1" t="str">
        <f t="shared" si="14"/>
        <v>EC</v>
      </c>
      <c r="AH23" s="81" t="str">
        <f t="shared" si="19"/>
        <v>"%USERPROFILE%\Documents\GitHub\eaglep3\Utilities\RefineRTDCRunTimes.py" --tripid 111-12 --locoid 4046 --swversion DE.1.0.9.0 --startMP 204:774 --initTime 2017-05-12T04:59:24 --startdatetime 2017-05-12T05:02:22 --delay 1 --endMP 204:233320 --enddatetime 2017-05-12T05:40:55 --enforcementcount 0 &gt;&gt;C:\Users\stu\Documents\GitHub\eaglep3-reporting\EC\2017-05-12-refined-times.txt</v>
      </c>
      <c r="AI23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{"issue":{"subject":"","project_id":79,"tracker_id":40,"status_id":1,"priority_id":2,"assigned_to_id":23,"start_date":"2017-05-12","description":"","custom_fields":[{"id":1,"name":"Subdivision","value":"EC"},{"id":4,"name":"Milepost","value":"23.332"},{"id":17,"name":"Train ID","value":"111-12"},{"id":16,"name":"Locomotive ID","value":"4046"},{"id":130,"name":"Impact","value":""},{"id":150,"name":"Time of Event (Mountain Time)","value":"05:40:55"},{"id":151,"name":"Denver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4046 --day 2017-05-12</v>
      </c>
      <c r="AN23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11:40:55"},{"id":29,"name":"Sharepoint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624</v>
      </c>
      <c r="B24" s="7">
        <v>4045</v>
      </c>
      <c r="C24" s="21" t="s">
        <v>206</v>
      </c>
      <c r="D24" s="21" t="s">
        <v>435</v>
      </c>
      <c r="E24" s="13">
        <v>42867.241724537038</v>
      </c>
      <c r="F24" s="13">
        <v>42867.247395833336</v>
      </c>
      <c r="G24" s="7">
        <v>1</v>
      </c>
      <c r="H24" s="21" t="s">
        <v>359</v>
      </c>
      <c r="I24" s="13">
        <v>42867.275775462964</v>
      </c>
      <c r="J24" s="7">
        <v>0</v>
      </c>
      <c r="K24" s="92" t="str">
        <f t="shared" si="0"/>
        <v>4045/4046</v>
      </c>
      <c r="L24" s="21" t="str">
        <f>VLOOKUP(A24,'Trips&amp;Operators'!$C$1:$G$99999,5,FALSE)</f>
        <v>BONDS REYNALDO</v>
      </c>
      <c r="M24" s="6">
        <f t="shared" si="1"/>
        <v>2.8379629628034309E-2</v>
      </c>
      <c r="N24" s="7">
        <f t="shared" si="2"/>
        <v>40.866666664369404</v>
      </c>
      <c r="O24" s="7"/>
      <c r="P24" s="7"/>
      <c r="Q24" s="22"/>
      <c r="R24" s="190"/>
      <c r="S24" s="196">
        <f t="shared" si="3"/>
        <v>1</v>
      </c>
      <c r="T24" s="190" t="str">
        <f t="shared" si="4"/>
        <v>Southbound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 t="shared" si="5"/>
        <v>https://d0f6bd738d7f1b3e5a7ca70fe4ff75f0.us-east-1.aws.found.io/app/kibana#/discover/Steve-Slow-Train-Analysis-(2080s-and-2083s)?_g=(refreshInterval:(display:Off,pause:!f,section:0,value:0),time:(from:'2017-05-12T04:48:05-0600',mode:absolute,to:'2017-05-12T07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4" s="192" t="str">
        <f t="shared" si="6"/>
        <v>N</v>
      </c>
      <c r="X24" s="192">
        <f t="shared" si="7"/>
        <v>1</v>
      </c>
      <c r="Y24" s="192">
        <f t="shared" si="8"/>
        <v>23.299399999999999</v>
      </c>
      <c r="Z24" s="192">
        <f t="shared" si="9"/>
        <v>1.49E-2</v>
      </c>
      <c r="AA24" s="192">
        <f t="shared" si="10"/>
        <v>23.284499999999998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1"/>
        <v>0112-12</v>
      </c>
      <c r="AE24" s="80" t="str">
        <f t="shared" si="12"/>
        <v>aws s3 cp s3://rtdc.mdm.uploadarchive.raw/RTDC4045/ "%USERPROFILE%\AppData\Local\Temp\OnboardLogs"\RTDC4045\2017-05-12 --exclude "*" --recursive --include "*20170512*" &amp; "%USERPROFILE%\Documents\GitHub\mrs-test-scripts\Headless Mode &amp; Sideloading\WalkAndUnGZ.bat" "%USERPROFILE%\AppData\Local\Temp\OnboardLogs"\RTDC4045\2017-05-12 &amp; aws s3 cp s3://rtdc.mdm.uploadarchive.raw/RTDC4045/ "%USERPROFILE%\AppData\Local\Temp\OnboardLogs"\RTDC4045\2017-05-13 --exclude "*" --recursive --include "*20170513*" &amp; "%USERPROFILE%\Documents\GitHub\mrs-test-scripts\Headless Mode &amp; Sideloading\WalkAndUnGZ.bat" "%USERPROFILE%\AppData\Local\Temp\OnboardLogs"\RTDC4045\2017-05-13</v>
      </c>
      <c r="AF24" s="77" t="str">
        <f t="shared" si="13"/>
        <v>"C:\Program Files (x86)\AstroGrep\AstroGrep.exe" /e /r /s /spath="%USERPROFILE%\AppData\Local\Temp\OnboardLogs" /stypes="app*4045*20170512*" /stext=" 12:.+((SYSTEM_STATE.+slice.+state.+changed )|(ment ac)|(multiple cpu faults)|(system.+state.+changed )|(\[timeout)|(PRM\|1\|D)|(kpr)|(kdp)|(train st.+moving)|(\|lc)|(penalty))"</v>
      </c>
      <c r="AG24" s="1" t="str">
        <f t="shared" si="14"/>
        <v>EC</v>
      </c>
      <c r="AH24" s="81" t="str">
        <f t="shared" si="19"/>
        <v>"%USERPROFILE%\Documents\GitHub\eaglep3\Utilities\RefineRTDCRunTimes.py" --tripid 112-12 --locoid 4045 --swversion DE.1.0.9.0 --startMP 204:232994 --initTime 2017-05-12T05:48:05 --startdatetime 2017-05-12T05:56:15 --delay 1 --endMP 204:149 --enddatetime 2017-05-12T06:37:07 --enforcementcount 0 &gt;&gt;C:\Users\stu\Documents\GitHub\eaglep3-reporting\EC\2017-05-12-refined-times.txt</v>
      </c>
      <c r="AI24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{"issue":{"subject":"","project_id":79,"tracker_id":40,"status_id":1,"priority_id":2,"assigned_to_id":23,"start_date":"2017-05-12","description":"","custom_fields":[{"id":1,"name":"Subdivision","value":"EC"},{"id":4,"name":"Milepost","value":"0.0149"},{"id":17,"name":"Train ID","value":"112-12"},{"id":16,"name":"Locomotive ID","value":"4045"},{"id":130,"name":"Impact","value":""},{"id":150,"name":"Time of Event (Mountain Time)","value":"06:37:07"},{"id":151,"name":"Denver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4045 --day 2017-05-12</v>
      </c>
      <c r="AN24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12:37:07"},{"id":29,"name":"Sharepoint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561</v>
      </c>
      <c r="B25" s="7">
        <v>4032</v>
      </c>
      <c r="C25" s="21" t="s">
        <v>206</v>
      </c>
      <c r="D25" s="21" t="s">
        <v>480</v>
      </c>
      <c r="E25" s="13">
        <v>42867.209502314814</v>
      </c>
      <c r="F25" s="13">
        <v>42867.218912037039</v>
      </c>
      <c r="G25" s="7">
        <v>5</v>
      </c>
      <c r="H25" s="21" t="s">
        <v>821</v>
      </c>
      <c r="I25" s="13">
        <v>42867.241562499999</v>
      </c>
      <c r="J25" s="7">
        <v>0</v>
      </c>
      <c r="K25" s="92" t="str">
        <f t="shared" si="0"/>
        <v>4031/4032</v>
      </c>
      <c r="L25" s="21" t="str">
        <f>VLOOKUP(A25,'Trips&amp;Operators'!$C$1:$G$99999,5,FALSE)</f>
        <v>BADERTSCHER DIANE</v>
      </c>
      <c r="M25" s="6">
        <f t="shared" si="1"/>
        <v>2.2650462960882578E-2</v>
      </c>
      <c r="N25" s="7"/>
      <c r="O25" s="7"/>
      <c r="P25" s="7">
        <f>24*60*SUM($M25:$M25)</f>
        <v>32.616666663670912</v>
      </c>
      <c r="Q25" s="22"/>
      <c r="R25" s="190" t="s">
        <v>1050</v>
      </c>
      <c r="S25" s="196">
        <f t="shared" si="3"/>
        <v>1</v>
      </c>
      <c r="T25" s="190" t="str">
        <f t="shared" si="4"/>
        <v>NorthBound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 t="shared" si="5"/>
        <v>https://d0f6bd738d7f1b3e5a7ca70fe4ff75f0.us-east-1.aws.found.io/app/kibana#/discover/Steve-Slow-Train-Analysis-(2080s-and-2083s)?_g=(refreshInterval:(display:Off,pause:!f,section:0,value:0),time:(from:'2017-05-12T04:01:41-0600',mode:absolute,to:'2017-05-12T06:47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5" s="192" t="str">
        <f t="shared" si="6"/>
        <v>Y</v>
      </c>
      <c r="X25" s="192">
        <f t="shared" si="7"/>
        <v>1</v>
      </c>
      <c r="Y25" s="192">
        <f t="shared" si="8"/>
        <v>4.24E-2</v>
      </c>
      <c r="Z25" s="192">
        <f t="shared" si="9"/>
        <v>19.354199999999999</v>
      </c>
      <c r="AA25" s="192">
        <f t="shared" si="10"/>
        <v>19.311799999999998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1"/>
        <v>0113-12</v>
      </c>
      <c r="AE25" s="80" t="str">
        <f t="shared" si="12"/>
        <v>aws s3 cp s3://rtdc.mdm.uploadarchive.raw/RTDC4032/ "%USERPROFILE%\AppData\Local\Temp\OnboardLogs"\RTDC4032\2017-05-12 --exclude "*" --recursive --include "*20170512*" &amp; "%USERPROFILE%\Documents\GitHub\mrs-test-scripts\Headless Mode &amp; Sideloading\WalkAndUnGZ.bat" "%USERPROFILE%\AppData\Local\Temp\OnboardLogs"\RTDC4032\2017-05-12 &amp; aws s3 cp s3://rtdc.mdm.uploadarchive.raw/RTDC4032/ "%USERPROFILE%\AppData\Local\Temp\OnboardLogs"\RTDC4032\2017-05-13 --exclude "*" --recursive --include "*20170513*" &amp; "%USERPROFILE%\Documents\GitHub\mrs-test-scripts\Headless Mode &amp; Sideloading\WalkAndUnGZ.bat" "%USERPROFILE%\AppData\Local\Temp\OnboardLogs"\RTDC4032\2017-05-13</v>
      </c>
      <c r="AF25" s="77" t="str">
        <f t="shared" si="13"/>
        <v>"C:\Program Files (x86)\AstroGrep\AstroGrep.exe" /e /r /s /spath="%USERPROFILE%\AppData\Local\Temp\OnboardLogs" /stypes="app*4032*20170512*" /stext=" 11:.+((SYSTEM_STATE.+slice.+state.+changed )|(ment ac)|(multiple cpu faults)|(system.+state.+changed )|(\[timeout)|(PRM\|1\|D)|(kpr)|(kdp)|(train st.+moving)|(\|lc)|(penalty))"</v>
      </c>
      <c r="AG25" s="1" t="str">
        <f t="shared" si="14"/>
        <v>EC</v>
      </c>
      <c r="AH25" s="81" t="str">
        <f t="shared" si="19"/>
        <v>"%USERPROFILE%\Documents\GitHub\eaglep3\Utilities\RefineRTDCRunTimes.py" --tripid 113-12 --locoid 4032 --swversion DE.1.0.9.0 --startMP 204:424 --initTime 2017-05-12T05:01:41 --startdatetime 2017-05-12T05:15:14 --delay 5 --endMP 204:193542 --enddatetime 2017-05-12T05:47:51 --enforcementcount 0 &gt;&gt;C:\Users\stu\Documents\GitHub\eaglep3-reporting\EC\2017-05-12-refined-times.txt</v>
      </c>
      <c r="AI25" s="99" t="str">
        <f t="shared" si="20"/>
        <v>echo {"issue":{"subject":"CP Pena 2N premature downgrade","project_id":79,"tracker_id":40,"status_id":1,"priority_id":2,"assigned_to_id":23,"start_date":"2017-05-12","description":"","custom_fields":[{"id":1,"name":"Subdivision","value":"EC"},{"id":4,"name":"Milepost","value":"19.3542"},{"id":17,"name":"Train ID","value":"113-12"},{"id":16,"name":"Locomotive ID","value":"4032"},{"id":130,"name":"Impact","value":""},{"id":150,"name":"Time of Event (Mountain Time)","value":"05:47:51"},{"id":151,"name":"Denver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4032 --day 2017-05-12</v>
      </c>
      <c r="AN25" s="154" t="str">
        <f t="shared" si="22"/>
        <v>echo {"issue":{"subject":"CP Pena 2N premature downgrade","project_id":30,"tracker_id":4,"status_id":1,"priority_id":1,"assigned_to_id":10,"start_date":"2017-05-12","description":"","custom_fields":[{"id":30,"name":"Category","value":"Issue"},{"id":3,"name":"Functional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11:47:51"},{"id":29,"name":"Sharepoint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626</v>
      </c>
      <c r="B26" s="7">
        <v>4031</v>
      </c>
      <c r="C26" s="21" t="s">
        <v>206</v>
      </c>
      <c r="D26" s="21" t="s">
        <v>819</v>
      </c>
      <c r="E26" s="13">
        <v>42867.251122685186</v>
      </c>
      <c r="F26" s="13">
        <v>42867.2578125</v>
      </c>
      <c r="G26" s="7">
        <v>1</v>
      </c>
      <c r="H26" s="21" t="s">
        <v>348</v>
      </c>
      <c r="I26" s="13">
        <v>42867.286782407406</v>
      </c>
      <c r="J26" s="7">
        <v>0</v>
      </c>
      <c r="K26" s="92" t="str">
        <f t="shared" si="0"/>
        <v>4031/4032</v>
      </c>
      <c r="L26" s="21" t="str">
        <f>VLOOKUP(A26,'Trips&amp;Operators'!$C$1:$G$99999,5,FALSE)</f>
        <v>BADERTSCHER DIANE</v>
      </c>
      <c r="M26" s="6">
        <f t="shared" si="1"/>
        <v>2.8969907405553386E-2</v>
      </c>
      <c r="N26" s="7">
        <f t="shared" ref="N26:N37" si="23">24*60*SUM($M26:$M26)</f>
        <v>41.716666663996875</v>
      </c>
      <c r="O26" s="7"/>
      <c r="P26" s="7"/>
      <c r="Q26" s="22"/>
      <c r="R26" s="190"/>
      <c r="S26" s="196">
        <f t="shared" si="3"/>
        <v>1</v>
      </c>
      <c r="T26" s="190" t="str">
        <f t="shared" si="4"/>
        <v>Southbound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 t="shared" si="5"/>
        <v>https://d0f6bd738d7f1b3e5a7ca70fe4ff75f0.us-east-1.aws.found.io/app/kibana#/discover/Steve-Slow-Train-Analysis-(2080s-and-2083s)?_g=(refreshInterval:(display:Off,pause:!f,section:0,value:0),time:(from:'2017-05-12T05:01:37-0600',mode:absolute,to:'2017-05-12T07:52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6" s="192" t="str">
        <f t="shared" si="6"/>
        <v>N</v>
      </c>
      <c r="X26" s="192">
        <f t="shared" si="7"/>
        <v>1</v>
      </c>
      <c r="Y26" s="192">
        <f t="shared" si="8"/>
        <v>23.298500000000001</v>
      </c>
      <c r="Z26" s="192">
        <f t="shared" si="9"/>
        <v>1.38E-2</v>
      </c>
      <c r="AA26" s="192">
        <f t="shared" si="10"/>
        <v>23.284700000000001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11"/>
        <v>0114-12</v>
      </c>
      <c r="AE26" s="80" t="str">
        <f t="shared" si="12"/>
        <v>aws s3 cp s3://rtdc.mdm.uploadarchive.raw/RTDC4031/ "%USERPROFILE%\AppData\Local\Temp\OnboardLogs"\RTDC4031\2017-05-12 --exclude "*" --recursive --include "*20170512*" &amp; "%USERPROFILE%\Documents\GitHub\mrs-test-scripts\Headless Mode &amp; Sideloading\WalkAndUnGZ.bat" "%USERPROFILE%\AppData\Local\Temp\OnboardLogs"\RTDC4031\2017-05-12 &amp; aws s3 cp s3://rtdc.mdm.uploadarchive.raw/RTDC4031/ "%USERPROFILE%\AppData\Local\Temp\OnboardLogs"\RTDC4031\2017-05-13 --exclude "*" --recursive --include "*20170513*" &amp; "%USERPROFILE%\Documents\GitHub\mrs-test-scripts\Headless Mode &amp; Sideloading\WalkAndUnGZ.bat" "%USERPROFILE%\AppData\Local\Temp\OnboardLogs"\RTDC4031\2017-05-13</v>
      </c>
      <c r="AF26" s="77" t="str">
        <f t="shared" si="13"/>
        <v>"C:\Program Files (x86)\AstroGrep\AstroGrep.exe" /e /r /s /spath="%USERPROFILE%\AppData\Local\Temp\OnboardLogs" /stypes="app*4031*20170512*" /stext=" 12:.+((SYSTEM_STATE.+slice.+state.+changed )|(ment ac)|(multiple cpu faults)|(system.+state.+changed )|(\[timeout)|(PRM\|1\|D)|(kpr)|(kdp)|(train st.+moving)|(\|lc)|(penalty))"</v>
      </c>
      <c r="AG26" s="1" t="str">
        <f t="shared" si="14"/>
        <v>EC</v>
      </c>
      <c r="AH26" s="81" t="str">
        <f t="shared" si="19"/>
        <v>"%USERPROFILE%\Documents\GitHub\eaglep3\Utilities\RefineRTDCRunTimes.py" --tripid 114-12 --locoid 4031 --swversion DE.1.0.9.0 --startMP 204:232985 --initTime 2017-05-12T06:01:37 --startdatetime 2017-05-12T06:11:15 --delay 1 --endMP 204:138 --enddatetime 2017-05-12T06:52:58 --enforcementcount 0 &gt;&gt;C:\Users\stu\Documents\GitHub\eaglep3-reporting\EC\2017-05-12-refined-times.txt</v>
      </c>
      <c r="AI26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{"issue":{"subject":"","project_id":79,"tracker_id":40,"status_id":1,"priority_id":2,"assigned_to_id":23,"start_date":"2017-05-12","description":"","custom_fields":[{"id":1,"name":"Subdivision","value":"EC"},{"id":4,"name":"Milepost","value":"0.0138"},{"id":17,"name":"Train ID","value":"114-12"},{"id":16,"name":"Locomotive ID","value":"4031"},{"id":130,"name":"Impact","value":""},{"id":150,"name":"Time of Event (Mountain Time)","value":"06:52:58"},{"id":151,"name":"Denver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4031 --day 2017-05-12</v>
      </c>
      <c r="AN26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12:52:58"},{"id":29,"name":"Sharepoint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621</v>
      </c>
      <c r="B27" s="7">
        <v>4012</v>
      </c>
      <c r="C27" s="21" t="s">
        <v>206</v>
      </c>
      <c r="D27" s="21" t="s">
        <v>822</v>
      </c>
      <c r="E27" s="13">
        <v>42867.22729166667</v>
      </c>
      <c r="F27" s="13">
        <v>42867.229791666665</v>
      </c>
      <c r="G27" s="7">
        <v>1</v>
      </c>
      <c r="H27" s="21" t="s">
        <v>823</v>
      </c>
      <c r="I27" s="13">
        <v>42867.254432870373</v>
      </c>
      <c r="J27" s="7">
        <v>0</v>
      </c>
      <c r="K27" s="92" t="str">
        <f t="shared" si="0"/>
        <v>4011/4012</v>
      </c>
      <c r="L27" s="21" t="str">
        <f>VLOOKUP(A27,'Trips&amp;Operators'!$C$1:$G$99999,5,FALSE)</f>
        <v>ROCHA YAOTL</v>
      </c>
      <c r="M27" s="6">
        <f t="shared" si="1"/>
        <v>2.4641203708597459E-2</v>
      </c>
      <c r="N27" s="7">
        <f t="shared" si="23"/>
        <v>35.483333340380341</v>
      </c>
      <c r="O27" s="7"/>
      <c r="P27" s="7"/>
      <c r="Q27" s="22"/>
      <c r="R27" s="190"/>
      <c r="S27" s="196">
        <f t="shared" si="3"/>
        <v>1</v>
      </c>
      <c r="T27" s="190" t="str">
        <f t="shared" si="4"/>
        <v>NorthBound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1" t="str">
        <f t="shared" si="5"/>
        <v>https://d0f6bd738d7f1b3e5a7ca70fe4ff75f0.us-east-1.aws.found.io/app/kibana#/discover/Steve-Slow-Train-Analysis-(2080s-and-2083s)?_g=(refreshInterval:(display:Off,pause:!f,section:0,value:0),time:(from:'2017-05-12T04:27:18-0600',mode:absolute,to:'2017-05-12T07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7" s="192" t="str">
        <f t="shared" si="6"/>
        <v>N</v>
      </c>
      <c r="X27" s="192">
        <f t="shared" si="7"/>
        <v>1</v>
      </c>
      <c r="Y27" s="192">
        <f t="shared" si="8"/>
        <v>7.6999999999999999E-2</v>
      </c>
      <c r="Z27" s="192">
        <f t="shared" si="9"/>
        <v>23.330300000000001</v>
      </c>
      <c r="AA27" s="192">
        <f t="shared" si="10"/>
        <v>23.253299999999999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1"/>
        <v>0115-12</v>
      </c>
      <c r="AE27" s="80" t="str">
        <f t="shared" si="12"/>
        <v>aws s3 cp s3://rtdc.mdm.uploadarchive.raw/RTDC4012/ "%USERPROFILE%\AppData\Local\Temp\OnboardLogs"\RTDC4012\2017-05-12 --exclude "*" --recursive --include "*20170512*" &amp; "%USERPROFILE%\Documents\GitHub\mrs-test-scripts\Headless Mode &amp; Sideloading\WalkAndUnGZ.bat" "%USERPROFILE%\AppData\Local\Temp\OnboardLogs"\RTDC4012\2017-05-12 &amp; aws s3 cp s3://rtdc.mdm.uploadarchive.raw/RTDC4012/ "%USERPROFILE%\AppData\Local\Temp\OnboardLogs"\RTDC4012\2017-05-13 --exclude "*" --recursive --include "*20170513*" &amp; "%USERPROFILE%\Documents\GitHub\mrs-test-scripts\Headless Mode &amp; Sideloading\WalkAndUnGZ.bat" "%USERPROFILE%\AppData\Local\Temp\OnboardLogs"\RTDC4012\2017-05-13</v>
      </c>
      <c r="AF27" s="77" t="str">
        <f t="shared" si="13"/>
        <v>"C:\Program Files (x86)\AstroGrep\AstroGrep.exe" /e /r /s /spath="%USERPROFILE%\AppData\Local\Temp\OnboardLogs" /stypes="app*4012*20170512*" /stext=" 12:.+((SYSTEM_STATE.+slice.+state.+changed )|(ment ac)|(multiple cpu faults)|(system.+state.+changed )|(\[timeout)|(PRM\|1\|D)|(kpr)|(kdp)|(train st.+moving)|(\|lc)|(penalty))"</v>
      </c>
      <c r="AG27" s="1" t="str">
        <f t="shared" si="14"/>
        <v>EC</v>
      </c>
      <c r="AH27" s="81" t="str">
        <f t="shared" si="19"/>
        <v>"%USERPROFILE%\Documents\GitHub\eaglep3\Utilities\RefineRTDCRunTimes.py" --tripid 115-12 --locoid 4012 --swversion DE.1.0.9.0 --startMP 204:770 --initTime 2017-05-12T05:27:18 --startdatetime 2017-05-12T05:30:54 --delay 1 --endMP 204:233303 --enddatetime 2017-05-12T06:06:23 --enforcementcount 0 &gt;&gt;C:\Users\stu\Documents\GitHub\eaglep3-reporting\EC\2017-05-12-refined-times.txt</v>
      </c>
      <c r="AI27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{"issue":{"subject":"","project_id":79,"tracker_id":40,"status_id":1,"priority_id":2,"assigned_to_id":23,"start_date":"2017-05-12","description":"","custom_fields":[{"id":1,"name":"Subdivision","value":"EC"},{"id":4,"name":"Milepost","value":"23.3303"},{"id":17,"name":"Train ID","value":"115-12"},{"id":16,"name":"Locomotive ID","value":"4012"},{"id":130,"name":"Impact","value":""},{"id":150,"name":"Time of Event (Mountain Time)","value":"06:06:23"},{"id":151,"name":"Denver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1"/>
        <v>start /low /b %USERPROFILE%\Documents\GitHub\eaglep3\Utilities\DownloadLogsFromS3.py --loco 4012 --day 2017-05-12</v>
      </c>
      <c r="AN27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12:06:23"},{"id":29,"name":"Sharepoint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633</v>
      </c>
      <c r="B28" s="7">
        <v>4011</v>
      </c>
      <c r="C28" s="21" t="s">
        <v>206</v>
      </c>
      <c r="D28" s="21" t="s">
        <v>824</v>
      </c>
      <c r="E28" s="13">
        <v>42867.266701388886</v>
      </c>
      <c r="F28" s="13">
        <v>42867.268391203703</v>
      </c>
      <c r="G28" s="7">
        <v>1</v>
      </c>
      <c r="H28" s="21" t="s">
        <v>359</v>
      </c>
      <c r="I28" s="13">
        <v>42867.296516203707</v>
      </c>
      <c r="J28" s="7">
        <v>0</v>
      </c>
      <c r="K28" s="92" t="str">
        <f t="shared" si="0"/>
        <v>4011/4012</v>
      </c>
      <c r="L28" s="21" t="str">
        <f>VLOOKUP(A28,'Trips&amp;Operators'!$C$1:$G$99999,5,FALSE)</f>
        <v>ROCHA YAOTL</v>
      </c>
      <c r="M28" s="6">
        <f t="shared" si="1"/>
        <v>2.8125000004365575E-2</v>
      </c>
      <c r="N28" s="7">
        <f t="shared" si="23"/>
        <v>40.500000006286427</v>
      </c>
      <c r="O28" s="7"/>
      <c r="P28" s="7"/>
      <c r="Q28" s="22"/>
      <c r="R28" s="190"/>
      <c r="S28" s="196">
        <f t="shared" si="3"/>
        <v>1</v>
      </c>
      <c r="T28" s="190" t="str">
        <f t="shared" si="4"/>
        <v>Southbound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 t="shared" si="5"/>
        <v>https://d0f6bd738d7f1b3e5a7ca70fe4ff75f0.us-east-1.aws.found.io/app/kibana#/discover/Steve-Slow-Train-Analysis-(2080s-and-2083s)?_g=(refreshInterval:(display:Off,pause:!f,section:0,value:0),time:(from:'2017-05-12T05:24:03-0600',mode:absolute,to:'2017-05-12T08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8" s="192" t="str">
        <f t="shared" si="6"/>
        <v>N</v>
      </c>
      <c r="X28" s="192">
        <f t="shared" si="7"/>
        <v>1</v>
      </c>
      <c r="Y28" s="192">
        <f t="shared" si="8"/>
        <v>23.2986</v>
      </c>
      <c r="Z28" s="192">
        <f t="shared" si="9"/>
        <v>1.49E-2</v>
      </c>
      <c r="AA28" s="192">
        <f t="shared" si="10"/>
        <v>23.2837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1"/>
        <v>0116-12</v>
      </c>
      <c r="AE28" s="80" t="str">
        <f t="shared" si="12"/>
        <v>aws s3 cp s3://rtdc.mdm.uploadarchive.raw/RTDC4011/ "%USERPROFILE%\AppData\Local\Temp\OnboardLogs"\RTDC4011\2017-05-12 --exclude "*" --recursive --include "*20170512*" &amp; "%USERPROFILE%\Documents\GitHub\mrs-test-scripts\Headless Mode &amp; Sideloading\WalkAndUnGZ.bat" "%USERPROFILE%\AppData\Local\Temp\OnboardLogs"\RTDC4011\2017-05-12 &amp; aws s3 cp s3://rtdc.mdm.uploadarchive.raw/RTDC4011/ "%USERPROFILE%\AppData\Local\Temp\OnboardLogs"\RTDC4011\2017-05-13 --exclude "*" --recursive --include "*20170513*" &amp; "%USERPROFILE%\Documents\GitHub\mrs-test-scripts\Headless Mode &amp; Sideloading\WalkAndUnGZ.bat" "%USERPROFILE%\AppData\Local\Temp\OnboardLogs"\RTDC4011\2017-05-13</v>
      </c>
      <c r="AF28" s="77" t="str">
        <f t="shared" si="13"/>
        <v>"C:\Program Files (x86)\AstroGrep\AstroGrep.exe" /e /r /s /spath="%USERPROFILE%\AppData\Local\Temp\OnboardLogs" /stypes="app*4011*20170512*" /stext=" 13:.+((SYSTEM_STATE.+slice.+state.+changed )|(ment ac)|(multiple cpu faults)|(system.+state.+changed )|(\[timeout)|(PRM\|1\|D)|(kpr)|(kdp)|(train st.+moving)|(\|lc)|(penalty))"</v>
      </c>
      <c r="AG28" s="1" t="str">
        <f t="shared" si="14"/>
        <v>EC</v>
      </c>
      <c r="AH28" s="81" t="str">
        <f t="shared" si="19"/>
        <v>"%USERPROFILE%\Documents\GitHub\eaglep3\Utilities\RefineRTDCRunTimes.py" --tripid 116-12 --locoid 4011 --swversion DE.1.0.9.0 --startMP 204:232986 --initTime 2017-05-12T06:24:03 --startdatetime 2017-05-12T06:26:29 --delay 1 --endMP 204:149 --enddatetime 2017-05-12T07:06:59 --enforcementcount 0 &gt;&gt;C:\Users\stu\Documents\GitHub\eaglep3-reporting\EC\2017-05-12-refined-times.txt</v>
      </c>
      <c r="AI28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{"issue":{"subject":"","project_id":79,"tracker_id":40,"status_id":1,"priority_id":2,"assigned_to_id":23,"start_date":"2017-05-12","description":"","custom_fields":[{"id":1,"name":"Subdivision","value":"EC"},{"id":4,"name":"Milepost","value":"0.0149"},{"id":17,"name":"Train ID","value":"116-12"},{"id":16,"name":"Locomotive ID","value":"4011"},{"id":130,"name":"Impact","value":""},{"id":150,"name":"Time of Event (Mountain Time)","value":"07:06:59"},{"id":151,"name":"Denver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4011 --day 2017-05-12</v>
      </c>
      <c r="AN28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13:06:59"},{"id":29,"name":"Sharepoint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622</v>
      </c>
      <c r="B29" s="7">
        <v>4014</v>
      </c>
      <c r="C29" s="21" t="s">
        <v>206</v>
      </c>
      <c r="D29" s="21" t="s">
        <v>386</v>
      </c>
      <c r="E29" s="13">
        <v>42867.228425925925</v>
      </c>
      <c r="F29" s="13">
        <v>42867.239733796298</v>
      </c>
      <c r="G29" s="7">
        <v>1</v>
      </c>
      <c r="H29" s="21" t="s">
        <v>825</v>
      </c>
      <c r="I29" s="13">
        <v>42867.2653125</v>
      </c>
      <c r="J29" s="7">
        <v>0</v>
      </c>
      <c r="K29" s="92" t="str">
        <f t="shared" si="0"/>
        <v>4013/4014</v>
      </c>
      <c r="L29" s="21" t="str">
        <f>VLOOKUP(A29,'Trips&amp;Operators'!$C$1:$G$99999,5,FALSE)</f>
        <v>YANAI IAN</v>
      </c>
      <c r="M29" s="6">
        <f t="shared" si="1"/>
        <v>2.5578703702194616E-2</v>
      </c>
      <c r="N29" s="7">
        <f t="shared" si="23"/>
        <v>36.833333331160247</v>
      </c>
      <c r="O29" s="7"/>
      <c r="P29" s="7"/>
      <c r="Q29" s="22"/>
      <c r="R29" s="190"/>
      <c r="S29" s="196">
        <f t="shared" si="3"/>
        <v>1</v>
      </c>
      <c r="T29" s="190" t="str">
        <f t="shared" si="4"/>
        <v>NorthBound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1" t="str">
        <f t="shared" si="5"/>
        <v>https://d0f6bd738d7f1b3e5a7ca70fe4ff75f0.us-east-1.aws.found.io/app/kibana#/discover/Steve-Slow-Train-Analysis-(2080s-and-2083s)?_g=(refreshInterval:(display:Off,pause:!f,section:0,value:0),time:(from:'2017-05-12T04:28:56-0600',mode:absolute,to:'2017-05-12T07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9" s="192" t="str">
        <f t="shared" si="6"/>
        <v>N</v>
      </c>
      <c r="X29" s="192">
        <f t="shared" si="7"/>
        <v>1</v>
      </c>
      <c r="Y29" s="192">
        <f t="shared" si="8"/>
        <v>4.5499999999999999E-2</v>
      </c>
      <c r="Z29" s="192">
        <f t="shared" si="9"/>
        <v>23.331</v>
      </c>
      <c r="AA29" s="192">
        <f t="shared" si="10"/>
        <v>23.285499999999999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1"/>
        <v>0117-12</v>
      </c>
      <c r="AE29" s="80" t="str">
        <f t="shared" si="12"/>
        <v>aws s3 cp s3://rtdc.mdm.uploadarchive.raw/RTDC4014/ "%USERPROFILE%\AppData\Local\Temp\OnboardLogs"\RTDC4014\2017-05-12 --exclude "*" --recursive --include "*20170512*" &amp; "%USERPROFILE%\Documents\GitHub\mrs-test-scripts\Headless Mode &amp; Sideloading\WalkAndUnGZ.bat" "%USERPROFILE%\AppData\Local\Temp\OnboardLogs"\RTDC4014\2017-05-12 &amp; aws s3 cp s3://rtdc.mdm.uploadarchive.raw/RTDC4014/ "%USERPROFILE%\AppData\Local\Temp\OnboardLogs"\RTDC4014\2017-05-13 --exclude "*" --recursive --include "*20170513*" &amp; "%USERPROFILE%\Documents\GitHub\mrs-test-scripts\Headless Mode &amp; Sideloading\WalkAndUnGZ.bat" "%USERPROFILE%\AppData\Local\Temp\OnboardLogs"\RTDC4014\2017-05-13</v>
      </c>
      <c r="AF29" s="77" t="str">
        <f t="shared" si="13"/>
        <v>"C:\Program Files (x86)\AstroGrep\AstroGrep.exe" /e /r /s /spath="%USERPROFILE%\AppData\Local\Temp\OnboardLogs" /stypes="app*4014*20170512*" /stext=" 12:.+((SYSTEM_STATE.+slice.+state.+changed )|(ment ac)|(multiple cpu faults)|(system.+state.+changed )|(\[timeout)|(PRM\|1\|D)|(kpr)|(kdp)|(train st.+moving)|(\|lc)|(penalty))"</v>
      </c>
      <c r="AG29" s="1" t="str">
        <f t="shared" si="14"/>
        <v>EC</v>
      </c>
      <c r="AH29" s="81" t="str">
        <f t="shared" si="19"/>
        <v>"%USERPROFILE%\Documents\GitHub\eaglep3\Utilities\RefineRTDCRunTimes.py" --tripid 117-12 --locoid 4014 --swversion DE.1.0.9.0 --startMP 204:455 --initTime 2017-05-12T05:28:56 --startdatetime 2017-05-12T05:45:13 --delay 1 --endMP 204:233310 --enddatetime 2017-05-12T06:22:03 --enforcementcount 0 &gt;&gt;C:\Users\stu\Documents\GitHub\eaglep3-reporting\EC\2017-05-12-refined-times.txt</v>
      </c>
      <c r="AI29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{"issue":{"subject":"","project_id":79,"tracker_id":40,"status_id":1,"priority_id":2,"assigned_to_id":23,"start_date":"2017-05-12","description":"","custom_fields":[{"id":1,"name":"Subdivision","value":"EC"},{"id":4,"name":"Milepost","value":"23.331"},{"id":17,"name":"Train ID","value":"117-12"},{"id":16,"name":"Locomotive ID","value":"4014"},{"id":130,"name":"Impact","value":""},{"id":150,"name":"Time of Event (Mountain Time)","value":"06:22:03"},{"id":151,"name":"Denver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4014 --day 2017-05-12</v>
      </c>
      <c r="AN29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12:22:03"},{"id":29,"name":"Sharepoint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632</v>
      </c>
      <c r="B30" s="7">
        <v>4013</v>
      </c>
      <c r="C30" s="21" t="s">
        <v>206</v>
      </c>
      <c r="D30" s="21" t="s">
        <v>481</v>
      </c>
      <c r="E30" s="13">
        <v>42867.266759259262</v>
      </c>
      <c r="F30" s="13">
        <v>42867.278761574074</v>
      </c>
      <c r="G30" s="7">
        <v>1</v>
      </c>
      <c r="H30" s="21" t="s">
        <v>353</v>
      </c>
      <c r="I30" s="13">
        <v>42867.306793981479</v>
      </c>
      <c r="J30" s="7">
        <v>0</v>
      </c>
      <c r="K30" s="92" t="str">
        <f t="shared" si="0"/>
        <v>4013/4014</v>
      </c>
      <c r="L30" s="21" t="str">
        <f>VLOOKUP(A30,'Trips&amp;Operators'!$C$1:$G$99999,5,FALSE)</f>
        <v>YANAI IAN</v>
      </c>
      <c r="M30" s="6">
        <f t="shared" si="1"/>
        <v>2.8032407404680271E-2</v>
      </c>
      <c r="N30" s="7">
        <f t="shared" si="23"/>
        <v>40.36666666273959</v>
      </c>
      <c r="O30" s="7"/>
      <c r="P30" s="7"/>
      <c r="Q30" s="22"/>
      <c r="R30" s="190"/>
      <c r="S30" s="196">
        <f t="shared" si="3"/>
        <v>1</v>
      </c>
      <c r="T30" s="190" t="str">
        <f t="shared" si="4"/>
        <v>Southbound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 t="shared" si="5"/>
        <v>https://d0f6bd738d7f1b3e5a7ca70fe4ff75f0.us-east-1.aws.found.io/app/kibana#/discover/Steve-Slow-Train-Analysis-(2080s-and-2083s)?_g=(refreshInterval:(display:Off,pause:!f,section:0,value:0),time:(from:'2017-05-12T05:24:08-0600',mode:absolute,to:'2017-05-12T08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0" s="192" t="str">
        <f t="shared" si="6"/>
        <v>N</v>
      </c>
      <c r="X30" s="192">
        <f t="shared" si="7"/>
        <v>1</v>
      </c>
      <c r="Y30" s="192">
        <f t="shared" si="8"/>
        <v>23.298100000000002</v>
      </c>
      <c r="Z30" s="192">
        <f t="shared" si="9"/>
        <v>1.4500000000000001E-2</v>
      </c>
      <c r="AA30" s="192">
        <f t="shared" si="10"/>
        <v>23.2836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1"/>
        <v>0118-12</v>
      </c>
      <c r="AE30" s="80" t="str">
        <f t="shared" si="12"/>
        <v>aws s3 cp s3://rtdc.mdm.uploadarchive.raw/RTDC4013/ "%USERPROFILE%\AppData\Local\Temp\OnboardLogs"\RTDC4013\2017-05-12 --exclude "*" --recursive --include "*20170512*" &amp; "%USERPROFILE%\Documents\GitHub\mrs-test-scripts\Headless Mode &amp; Sideloading\WalkAndUnGZ.bat" "%USERPROFILE%\AppData\Local\Temp\OnboardLogs"\RTDC4013\2017-05-12 &amp; aws s3 cp s3://rtdc.mdm.uploadarchive.raw/RTDC4013/ "%USERPROFILE%\AppData\Local\Temp\OnboardLogs"\RTDC4013\2017-05-13 --exclude "*" --recursive --include "*20170513*" &amp; "%USERPROFILE%\Documents\GitHub\mrs-test-scripts\Headless Mode &amp; Sideloading\WalkAndUnGZ.bat" "%USERPROFILE%\AppData\Local\Temp\OnboardLogs"\RTDC4013\2017-05-13</v>
      </c>
      <c r="AF30" s="77" t="str">
        <f t="shared" si="13"/>
        <v>"C:\Program Files (x86)\AstroGrep\AstroGrep.exe" /e /r /s /spath="%USERPROFILE%\AppData\Local\Temp\OnboardLogs" /stypes="app*4013*20170512*" /stext=" 13:.+((SYSTEM_STATE.+slice.+state.+changed )|(ment ac)|(multiple cpu faults)|(system.+state.+changed )|(\[timeout)|(PRM\|1\|D)|(kpr)|(kdp)|(train st.+moving)|(\|lc)|(penalty))"</v>
      </c>
      <c r="AG30" s="1" t="str">
        <f t="shared" si="14"/>
        <v>EC</v>
      </c>
      <c r="AH30" s="81" t="str">
        <f t="shared" si="19"/>
        <v>"%USERPROFILE%\Documents\GitHub\eaglep3\Utilities\RefineRTDCRunTimes.py" --tripid 118-12 --locoid 4013 --swversion DE.1.0.9.0 --startMP 204:232981 --initTime 2017-05-12T06:24:08 --startdatetime 2017-05-12T06:41:25 --delay 1 --endMP 204:145 --enddatetime 2017-05-12T07:21:47 --enforcementcount 0 &gt;&gt;C:\Users\stu\Documents\GitHub\eaglep3-reporting\EC\2017-05-12-refined-times.txt</v>
      </c>
      <c r="AI30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{"issue":{"subject":"","project_id":79,"tracker_id":40,"status_id":1,"priority_id":2,"assigned_to_id":23,"start_date":"2017-05-12","description":"","custom_fields":[{"id":1,"name":"Subdivision","value":"EC"},{"id":4,"name":"Milepost","value":"0.0145"},{"id":17,"name":"Train ID","value":"118-12"},{"id":16,"name":"Locomotive ID","value":"4013"},{"id":130,"name":"Impact","value":""},{"id":150,"name":"Time of Event (Mountain Time)","value":"07:21:47"},{"id":151,"name":"Denver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4013 --day 2017-05-12</v>
      </c>
      <c r="AN30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13:21:47"},{"id":29,"name":"Sharepoint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625</v>
      </c>
      <c r="B31" s="7">
        <v>4022</v>
      </c>
      <c r="C31" s="21" t="s">
        <v>206</v>
      </c>
      <c r="D31" s="21" t="s">
        <v>459</v>
      </c>
      <c r="E31" s="13">
        <v>42867.250706018516</v>
      </c>
      <c r="F31" s="13">
        <v>42867.251840277779</v>
      </c>
      <c r="G31" s="7">
        <v>1</v>
      </c>
      <c r="H31" s="21" t="s">
        <v>826</v>
      </c>
      <c r="I31" s="13">
        <v>42867.276377314818</v>
      </c>
      <c r="J31" s="7">
        <v>0</v>
      </c>
      <c r="K31" s="92" t="str">
        <f t="shared" si="0"/>
        <v>4021/4022</v>
      </c>
      <c r="L31" s="21" t="str">
        <f>VLOOKUP(A31,'Trips&amp;Operators'!$C$1:$G$99999,5,FALSE)</f>
        <v>ROBINSON KADDIBA</v>
      </c>
      <c r="M31" s="6">
        <f t="shared" si="1"/>
        <v>2.453703703940846E-2</v>
      </c>
      <c r="N31" s="7">
        <f t="shared" si="23"/>
        <v>35.333333336748183</v>
      </c>
      <c r="O31" s="7"/>
      <c r="P31" s="7"/>
      <c r="Q31" s="22"/>
      <c r="R31" s="190"/>
      <c r="S31" s="196">
        <f t="shared" si="3"/>
        <v>1</v>
      </c>
      <c r="T31" s="190" t="str">
        <f t="shared" si="4"/>
        <v>NorthBound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 t="shared" si="5"/>
        <v>https://d0f6bd738d7f1b3e5a7ca70fe4ff75f0.us-east-1.aws.found.io/app/kibana#/discover/Steve-Slow-Train-Analysis-(2080s-and-2083s)?_g=(refreshInterval:(display:Off,pause:!f,section:0,value:0),time:(from:'2017-05-12T05:01:01-0600',mode:absolute,to:'2017-05-12T07:37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1" s="192" t="str">
        <f t="shared" si="6"/>
        <v>N</v>
      </c>
      <c r="X31" s="192">
        <f t="shared" si="7"/>
        <v>1</v>
      </c>
      <c r="Y31" s="192">
        <f t="shared" si="8"/>
        <v>6.9199999999999998E-2</v>
      </c>
      <c r="Z31" s="192">
        <f t="shared" si="9"/>
        <v>23.328199999999999</v>
      </c>
      <c r="AA31" s="192">
        <f t="shared" si="10"/>
        <v>23.259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11"/>
        <v>0119-12</v>
      </c>
      <c r="AE31" s="80" t="str">
        <f t="shared" si="12"/>
        <v>aws s3 cp s3://rtdc.mdm.uploadarchive.raw/RTDC4022/ "%USERPROFILE%\AppData\Local\Temp\OnboardLogs"\RTDC4022\2017-05-12 --exclude "*" --recursive --include "*20170512*" &amp; "%USERPROFILE%\Documents\GitHub\mrs-test-scripts\Headless Mode &amp; Sideloading\WalkAndUnGZ.bat" "%USERPROFILE%\AppData\Local\Temp\OnboardLogs"\RTDC4022\2017-05-12 &amp; aws s3 cp s3://rtdc.mdm.uploadarchive.raw/RTDC4022/ "%USERPROFILE%\AppData\Local\Temp\OnboardLogs"\RTDC4022\2017-05-13 --exclude "*" --recursive --include "*20170513*" &amp; "%USERPROFILE%\Documents\GitHub\mrs-test-scripts\Headless Mode &amp; Sideloading\WalkAndUnGZ.bat" "%USERPROFILE%\AppData\Local\Temp\OnboardLogs"\RTDC4022\2017-05-13</v>
      </c>
      <c r="AF31" s="77" t="str">
        <f t="shared" si="13"/>
        <v>"C:\Program Files (x86)\AstroGrep\AstroGrep.exe" /e /r /s /spath="%USERPROFILE%\AppData\Local\Temp\OnboardLogs" /stypes="app*4022*20170512*" /stext=" 12:.+((SYSTEM_STATE.+slice.+state.+changed )|(ment ac)|(multiple cpu faults)|(system.+state.+changed )|(\[timeout)|(PRM\|1\|D)|(kpr)|(kdp)|(train st.+moving)|(\|lc)|(penalty))"</v>
      </c>
      <c r="AG31" s="1" t="str">
        <f t="shared" si="14"/>
        <v>EC</v>
      </c>
      <c r="AH31" s="81" t="str">
        <f t="shared" si="19"/>
        <v>"%USERPROFILE%\Documents\GitHub\eaglep3\Utilities\RefineRTDCRunTimes.py" --tripid 119-12 --locoid 4022 --swversion DE.1.0.9.0 --startMP 204:692 --initTime 2017-05-12T06:01:01 --startdatetime 2017-05-12T06:02:39 --delay 1 --endMP 204:233282 --enddatetime 2017-05-12T06:37:59 --enforcementcount 0 &gt;&gt;C:\Users\stu\Documents\GitHub\eaglep3-reporting\EC\2017-05-12-refined-times.txt</v>
      </c>
      <c r="AI31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{"issue":{"subject":"","project_id":79,"tracker_id":40,"status_id":1,"priority_id":2,"assigned_to_id":23,"start_date":"2017-05-12","description":"","custom_fields":[{"id":1,"name":"Subdivision","value":"EC"},{"id":4,"name":"Milepost","value":"23.3282"},{"id":17,"name":"Train ID","value":"119-12"},{"id":16,"name":"Locomotive ID","value":"4022"},{"id":130,"name":"Impact","value":""},{"id":150,"name":"Time of Event (Mountain Time)","value":"06:37:59"},{"id":151,"name":"Denver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4022 --day 2017-05-12</v>
      </c>
      <c r="AN31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12:37:59"},{"id":29,"name":"Sharepoint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564</v>
      </c>
      <c r="B32" s="7">
        <v>4021</v>
      </c>
      <c r="C32" s="21" t="s">
        <v>206</v>
      </c>
      <c r="D32" s="21" t="s">
        <v>827</v>
      </c>
      <c r="E32" s="13">
        <v>42867.28570601852</v>
      </c>
      <c r="F32" s="13">
        <v>42867.289097222223</v>
      </c>
      <c r="G32" s="7">
        <v>1</v>
      </c>
      <c r="H32" s="21" t="s">
        <v>197</v>
      </c>
      <c r="I32" s="13">
        <v>42867.317569444444</v>
      </c>
      <c r="J32" s="7">
        <v>0</v>
      </c>
      <c r="K32" s="92" t="str">
        <f t="shared" si="0"/>
        <v>4021/4022</v>
      </c>
      <c r="L32" s="21" t="str">
        <f>VLOOKUP(A32,'Trips&amp;Operators'!$C$1:$G$99999,5,FALSE)</f>
        <v>ROBINSON KADDIBA</v>
      </c>
      <c r="M32" s="6">
        <f t="shared" si="1"/>
        <v>2.8472222220443655E-2</v>
      </c>
      <c r="N32" s="7">
        <f t="shared" si="23"/>
        <v>40.999999997438863</v>
      </c>
      <c r="O32" s="7"/>
      <c r="P32" s="7"/>
      <c r="Q32" s="22"/>
      <c r="R32" s="190"/>
      <c r="S32" s="196">
        <f t="shared" si="3"/>
        <v>1</v>
      </c>
      <c r="T32" s="190" t="str">
        <f t="shared" si="4"/>
        <v>Southbound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1" t="str">
        <f t="shared" si="5"/>
        <v>https://d0f6bd738d7f1b3e5a7ca70fe4ff75f0.us-east-1.aws.found.io/app/kibana#/discover/Steve-Slow-Train-Analysis-(2080s-and-2083s)?_g=(refreshInterval:(display:Off,pause:!f,section:0,value:0),time:(from:'2017-05-12T05:51:25-0600',mode:absolute,to:'2017-05-12T08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2" s="192" t="str">
        <f t="shared" si="6"/>
        <v>N</v>
      </c>
      <c r="X32" s="192">
        <f t="shared" si="7"/>
        <v>1</v>
      </c>
      <c r="Y32" s="192">
        <f t="shared" si="8"/>
        <v>23.2971</v>
      </c>
      <c r="Z32" s="192">
        <f t="shared" si="9"/>
        <v>1.52E-2</v>
      </c>
      <c r="AA32" s="192">
        <f t="shared" si="10"/>
        <v>23.2819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1"/>
        <v>0120-12</v>
      </c>
      <c r="AE32" s="80" t="str">
        <f t="shared" si="12"/>
        <v>aws s3 cp s3://rtdc.mdm.uploadarchive.raw/RTDC4021/ "%USERPROFILE%\AppData\Local\Temp\OnboardLogs"\RTDC4021\2017-05-12 --exclude "*" --recursive --include "*20170512*" &amp; "%USERPROFILE%\Documents\GitHub\mrs-test-scripts\Headless Mode &amp; Sideloading\WalkAndUnGZ.bat" "%USERPROFILE%\AppData\Local\Temp\OnboardLogs"\RTDC4021\2017-05-12 &amp; aws s3 cp s3://rtdc.mdm.uploadarchive.raw/RTDC4021/ "%USERPROFILE%\AppData\Local\Temp\OnboardLogs"\RTDC4021\2017-05-13 --exclude "*" --recursive --include "*20170513*" &amp; "%USERPROFILE%\Documents\GitHub\mrs-test-scripts\Headless Mode &amp; Sideloading\WalkAndUnGZ.bat" "%USERPROFILE%\AppData\Local\Temp\OnboardLogs"\RTDC4021\2017-05-13</v>
      </c>
      <c r="AF32" s="77" t="str">
        <f t="shared" si="13"/>
        <v>"C:\Program Files (x86)\AstroGrep\AstroGrep.exe" /e /r /s /spath="%USERPROFILE%\AppData\Local\Temp\OnboardLogs" /stypes="app*4021*20170512*" /stext=" 13:.+((SYSTEM_STATE.+slice.+state.+changed )|(ment ac)|(multiple cpu faults)|(system.+state.+changed )|(\[timeout)|(PRM\|1\|D)|(kpr)|(kdp)|(train st.+moving)|(\|lc)|(penalty))"</v>
      </c>
      <c r="AG32" s="1" t="str">
        <f t="shared" si="14"/>
        <v>EC</v>
      </c>
      <c r="AH32" s="81" t="str">
        <f t="shared" si="19"/>
        <v>"%USERPROFILE%\Documents\GitHub\eaglep3\Utilities\RefineRTDCRunTimes.py" --tripid 120-12 --locoid 4021 --swversion DE.1.0.9.0 --startMP 204:232971 --initTime 2017-05-12T06:51:25 --startdatetime 2017-05-12T06:56:18 --delay 1 --endMP 204:152 --enddatetime 2017-05-12T07:37:18 --enforcementcount 0 &gt;&gt;C:\Users\stu\Documents\GitHub\eaglep3-reporting\EC\2017-05-12-refined-times.txt</v>
      </c>
      <c r="AI32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{"issue":{"subject":"","project_id":79,"tracker_id":40,"status_id":1,"priority_id":2,"assigned_to_id":23,"start_date":"2017-05-12","description":"","custom_fields":[{"id":1,"name":"Subdivision","value":"EC"},{"id":4,"name":"Milepost","value":"0.0152"},{"id":17,"name":"Train ID","value":"120-12"},{"id":16,"name":"Locomotive ID","value":"4021"},{"id":130,"name":"Impact","value":""},{"id":150,"name":"Time of Event (Mountain Time)","value":"07:37:18"},{"id":151,"name":"Denver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1"/>
        <v>start /low /b %USERPROFILE%\Documents\GitHub\eaglep3\Utilities\DownloadLogsFromS3.py --loco 4021 --day 2017-05-12</v>
      </c>
      <c r="AN32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13:37:18"},{"id":29,"name":"Sharepoint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631</v>
      </c>
      <c r="B33" s="7">
        <v>4016</v>
      </c>
      <c r="C33" s="21" t="s">
        <v>206</v>
      </c>
      <c r="D33" s="21" t="s">
        <v>386</v>
      </c>
      <c r="E33" s="13">
        <v>42867.259050925924</v>
      </c>
      <c r="F33" s="13">
        <v>42867.260879629626</v>
      </c>
      <c r="G33" s="7">
        <v>1</v>
      </c>
      <c r="H33" s="21" t="s">
        <v>828</v>
      </c>
      <c r="I33" s="13">
        <v>42867.287442129629</v>
      </c>
      <c r="J33" s="7">
        <v>0</v>
      </c>
      <c r="K33" s="92" t="str">
        <f t="shared" si="0"/>
        <v>4015/4016</v>
      </c>
      <c r="L33" s="21" t="str">
        <f>VLOOKUP(A33,'Trips&amp;Operators'!$C$1:$G$99999,5,FALSE)</f>
        <v>ACKERMAN JARED</v>
      </c>
      <c r="M33" s="6">
        <f t="shared" si="1"/>
        <v>2.6562500002910383E-2</v>
      </c>
      <c r="N33" s="7">
        <f t="shared" si="23"/>
        <v>38.250000004190952</v>
      </c>
      <c r="O33" s="7"/>
      <c r="P33" s="7"/>
      <c r="Q33" s="22"/>
      <c r="R33" s="190"/>
      <c r="S33" s="196">
        <f t="shared" si="3"/>
        <v>1</v>
      </c>
      <c r="T33" s="190" t="str">
        <f t="shared" si="4"/>
        <v>NorthBound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1" t="str">
        <f t="shared" si="5"/>
        <v>https://d0f6bd738d7f1b3e5a7ca70fe4ff75f0.us-east-1.aws.found.io/app/kibana#/discover/Steve-Slow-Train-Analysis-(2080s-and-2083s)?_g=(refreshInterval:(display:Off,pause:!f,section:0,value:0),time:(from:'2017-05-12T05:13:02-0600',mode:absolute,to:'2017-05-12T07:53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3" s="192" t="str">
        <f t="shared" si="6"/>
        <v>N</v>
      </c>
      <c r="X33" s="192">
        <f t="shared" si="7"/>
        <v>1</v>
      </c>
      <c r="Y33" s="192">
        <f t="shared" si="8"/>
        <v>4.5499999999999999E-2</v>
      </c>
      <c r="Z33" s="192">
        <f t="shared" si="9"/>
        <v>23.332100000000001</v>
      </c>
      <c r="AA33" s="192">
        <f t="shared" si="10"/>
        <v>23.2866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1"/>
        <v>0121-12</v>
      </c>
      <c r="AE33" s="80" t="str">
        <f t="shared" si="12"/>
        <v>aws s3 cp s3://rtdc.mdm.uploadarchive.raw/RTDC4016/ "%USERPROFILE%\AppData\Local\Temp\OnboardLogs"\RTDC4016\2017-05-12 --exclude "*" --recursive --include "*20170512*" &amp; "%USERPROFILE%\Documents\GitHub\mrs-test-scripts\Headless Mode &amp; Sideloading\WalkAndUnGZ.bat" "%USERPROFILE%\AppData\Local\Temp\OnboardLogs"\RTDC4016\2017-05-12 &amp; aws s3 cp s3://rtdc.mdm.uploadarchive.raw/RTDC4016/ "%USERPROFILE%\AppData\Local\Temp\OnboardLogs"\RTDC4016\2017-05-13 --exclude "*" --recursive --include "*20170513*" &amp; "%USERPROFILE%\Documents\GitHub\mrs-test-scripts\Headless Mode &amp; Sideloading\WalkAndUnGZ.bat" "%USERPROFILE%\AppData\Local\Temp\OnboardLogs"\RTDC4016\2017-05-13</v>
      </c>
      <c r="AF33" s="77" t="str">
        <f t="shared" si="13"/>
        <v>"C:\Program Files (x86)\AstroGrep\AstroGrep.exe" /e /r /s /spath="%USERPROFILE%\AppData\Local\Temp\OnboardLogs" /stypes="app*4016*20170512*" /stext=" 12:.+((SYSTEM_STATE.+slice.+state.+changed )|(ment ac)|(multiple cpu faults)|(system.+state.+changed )|(\[timeout)|(PRM\|1\|D)|(kpr)|(kdp)|(train st.+moving)|(\|lc)|(penalty))"</v>
      </c>
      <c r="AG33" s="1" t="str">
        <f t="shared" si="14"/>
        <v>EC</v>
      </c>
      <c r="AH33" s="81" t="str">
        <f t="shared" si="19"/>
        <v>"%USERPROFILE%\Documents\GitHub\eaglep3\Utilities\RefineRTDCRunTimes.py" --tripid 121-12 --locoid 4016 --swversion DE.1.0.9.0 --startMP 204:455 --initTime 2017-05-12T06:13:02 --startdatetime 2017-05-12T06:15:40 --delay 1 --endMP 204:233321 --enddatetime 2017-05-12T06:53:55 --enforcementcount 0 &gt;&gt;C:\Users\stu\Documents\GitHub\eaglep3-reporting\EC\2017-05-12-refined-times.txt</v>
      </c>
      <c r="AI33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{"issue":{"subject":"","project_id":79,"tracker_id":40,"status_id":1,"priority_id":2,"assigned_to_id":23,"start_date":"2017-05-12","description":"","custom_fields":[{"id":1,"name":"Subdivision","value":"EC"},{"id":4,"name":"Milepost","value":"23.3321"},{"id":17,"name":"Train ID","value":"121-12"},{"id":16,"name":"Locomotive ID","value":"4016"},{"id":130,"name":"Impact","value":""},{"id":150,"name":"Time of Event (Mountain Time)","value":"06:53:55"},{"id":151,"name":"Denver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4016 --day 2017-05-12</v>
      </c>
      <c r="AN33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12:53:55"},{"id":29,"name":"Sharepoint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638</v>
      </c>
      <c r="B34" s="7">
        <v>4015</v>
      </c>
      <c r="C34" s="21" t="s">
        <v>206</v>
      </c>
      <c r="D34" s="21" t="s">
        <v>456</v>
      </c>
      <c r="E34" s="13">
        <v>42867.293310185189</v>
      </c>
      <c r="F34" s="13">
        <v>42867.299490740741</v>
      </c>
      <c r="G34" s="7">
        <v>1</v>
      </c>
      <c r="H34" s="21" t="s">
        <v>829</v>
      </c>
      <c r="I34" s="13">
        <v>42867.328344907408</v>
      </c>
      <c r="J34" s="7">
        <v>0</v>
      </c>
      <c r="K34" s="92" t="str">
        <f t="shared" si="0"/>
        <v>4015/4016</v>
      </c>
      <c r="L34" s="21" t="str">
        <f>VLOOKUP(A34,'Trips&amp;Operators'!$C$1:$G$99999,5,FALSE)</f>
        <v>ACKERMAN JARED</v>
      </c>
      <c r="M34" s="6">
        <f t="shared" si="1"/>
        <v>2.8854166666860692E-2</v>
      </c>
      <c r="N34" s="7">
        <f t="shared" si="23"/>
        <v>41.550000000279397</v>
      </c>
      <c r="O34" s="7"/>
      <c r="P34" s="7"/>
      <c r="Q34" s="22"/>
      <c r="R34" s="190"/>
      <c r="S34" s="196">
        <f t="shared" si="3"/>
        <v>1</v>
      </c>
      <c r="T34" s="190" t="str">
        <f t="shared" si="4"/>
        <v>Southbound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1" t="str">
        <f t="shared" si="5"/>
        <v>https://d0f6bd738d7f1b3e5a7ca70fe4ff75f0.us-east-1.aws.found.io/app/kibana#/discover/Steve-Slow-Train-Analysis-(2080s-and-2083s)?_g=(refreshInterval:(display:Off,pause:!f,section:0,value:0),time:(from:'2017-05-12T06:02:22-0600',mode:absolute,to:'2017-05-12T08:52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4" s="192" t="str">
        <f t="shared" si="6"/>
        <v>N</v>
      </c>
      <c r="X34" s="192">
        <f t="shared" si="7"/>
        <v>1</v>
      </c>
      <c r="Y34" s="192">
        <f t="shared" si="8"/>
        <v>23.299600000000002</v>
      </c>
      <c r="Z34" s="192">
        <f t="shared" si="9"/>
        <v>1.23E-2</v>
      </c>
      <c r="AA34" s="192">
        <f t="shared" si="10"/>
        <v>23.287300000000002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1"/>
        <v>0122-12</v>
      </c>
      <c r="AE34" s="80" t="str">
        <f t="shared" si="12"/>
        <v>aws s3 cp s3://rtdc.mdm.uploadarchive.raw/RTDC4015/ "%USERPROFILE%\AppData\Local\Temp\OnboardLogs"\RTDC4015\2017-05-12 --exclude "*" --recursive --include "*20170512*" &amp; "%USERPROFILE%\Documents\GitHub\mrs-test-scripts\Headless Mode &amp; Sideloading\WalkAndUnGZ.bat" "%USERPROFILE%\AppData\Local\Temp\OnboardLogs"\RTDC4015\2017-05-12 &amp; aws s3 cp s3://rtdc.mdm.uploadarchive.raw/RTDC4015/ "%USERPROFILE%\AppData\Local\Temp\OnboardLogs"\RTDC4015\2017-05-13 --exclude "*" --recursive --include "*20170513*" &amp; "%USERPROFILE%\Documents\GitHub\mrs-test-scripts\Headless Mode &amp; Sideloading\WalkAndUnGZ.bat" "%USERPROFILE%\AppData\Local\Temp\OnboardLogs"\RTDC4015\2017-05-13</v>
      </c>
      <c r="AF34" s="77" t="str">
        <f t="shared" si="13"/>
        <v>"C:\Program Files (x86)\AstroGrep\AstroGrep.exe" /e /r /s /spath="%USERPROFILE%\AppData\Local\Temp\OnboardLogs" /stypes="app*4015*20170512*" /stext=" 13:.+((SYSTEM_STATE.+slice.+state.+changed )|(ment ac)|(multiple cpu faults)|(system.+state.+changed )|(\[timeout)|(PRM\|1\|D)|(kpr)|(kdp)|(train st.+moving)|(\|lc)|(penalty))"</v>
      </c>
      <c r="AG34" s="1" t="str">
        <f t="shared" si="14"/>
        <v>EC</v>
      </c>
      <c r="AH34" s="81" t="str">
        <f t="shared" si="19"/>
        <v>"%USERPROFILE%\Documents\GitHub\eaglep3\Utilities\RefineRTDCRunTimes.py" --tripid 122-12 --locoid 4015 --swversion DE.1.0.9.0 --startMP 204:232996 --initTime 2017-05-12T07:02:22 --startdatetime 2017-05-12T07:11:16 --delay 1 --endMP 204:123 --enddatetime 2017-05-12T07:52:49 --enforcementcount 0 &gt;&gt;C:\Users\stu\Documents\GitHub\eaglep3-reporting\EC\2017-05-12-refined-times.txt</v>
      </c>
      <c r="AI34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{"issue":{"subject":"","project_id":79,"tracker_id":40,"status_id":1,"priority_id":2,"assigned_to_id":23,"start_date":"2017-05-12","description":"","custom_fields":[{"id":1,"name":"Subdivision","value":"EC"},{"id":4,"name":"Milepost","value":"0.0123"},{"id":17,"name":"Train ID","value":"122-12"},{"id":16,"name":"Locomotive ID","value":"4015"},{"id":130,"name":"Impact","value":""},{"id":150,"name":"Time of Event (Mountain Time)","value":"07:52:49"},{"id":151,"name":"Denver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1"/>
        <v>start /low /b %USERPROFILE%\Documents\GitHub\eaglep3\Utilities\DownloadLogsFromS3.py --loco 4015 --day 2017-05-12</v>
      </c>
      <c r="AN34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13:52:49"},{"id":29,"name":"Sharepoint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634</v>
      </c>
      <c r="B35" s="7">
        <v>4010</v>
      </c>
      <c r="C35" s="21" t="s">
        <v>206</v>
      </c>
      <c r="D35" s="21" t="s">
        <v>372</v>
      </c>
      <c r="E35" s="13">
        <v>42867.268182870372</v>
      </c>
      <c r="F35" s="13">
        <v>42867.271331018521</v>
      </c>
      <c r="G35" s="7">
        <v>1</v>
      </c>
      <c r="H35" s="21" t="s">
        <v>437</v>
      </c>
      <c r="I35" s="13">
        <v>42867.29614583333</v>
      </c>
      <c r="J35" s="7">
        <v>0</v>
      </c>
      <c r="K35" s="92" t="str">
        <f t="shared" si="0"/>
        <v>4009/4010</v>
      </c>
      <c r="L35" s="21" t="str">
        <f>VLOOKUP(A35,'Trips&amp;Operators'!$C$1:$G$99999,5,FALSE)</f>
        <v>LOZA FIDEL</v>
      </c>
      <c r="M35" s="6">
        <f t="shared" si="1"/>
        <v>2.4814814809360541E-2</v>
      </c>
      <c r="N35" s="7">
        <f t="shared" si="23"/>
        <v>35.73333332547918</v>
      </c>
      <c r="O35" s="7"/>
      <c r="P35" s="7"/>
      <c r="Q35" s="22"/>
      <c r="R35" s="190"/>
      <c r="S35" s="196">
        <f t="shared" si="3"/>
        <v>1</v>
      </c>
      <c r="T35" s="190" t="str">
        <f t="shared" si="4"/>
        <v>NorthBound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 t="shared" si="5"/>
        <v>https://d0f6bd738d7f1b3e5a7ca70fe4ff75f0.us-east-1.aws.found.io/app/kibana#/discover/Steve-Slow-Train-Analysis-(2080s-and-2083s)?_g=(refreshInterval:(display:Off,pause:!f,section:0,value:0),time:(from:'2017-05-12T05:26:11-0600',mode:absolute,to:'2017-05-12T08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5" s="192" t="str">
        <f t="shared" si="6"/>
        <v>N</v>
      </c>
      <c r="X35" s="192">
        <f t="shared" si="7"/>
        <v>1</v>
      </c>
      <c r="Y35" s="192">
        <f t="shared" si="8"/>
        <v>4.4699999999999997E-2</v>
      </c>
      <c r="Z35" s="192">
        <f t="shared" si="9"/>
        <v>23.3309</v>
      </c>
      <c r="AA35" s="192">
        <f t="shared" si="10"/>
        <v>23.286200000000001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11"/>
        <v>0123-12</v>
      </c>
      <c r="AE35" s="80" t="str">
        <f t="shared" si="12"/>
        <v>aws s3 cp s3://rtdc.mdm.uploadarchive.raw/RTDC4010/ "%USERPROFILE%\AppData\Local\Temp\OnboardLogs"\RTDC4010\2017-05-12 --exclude "*" --recursive --include "*20170512*" &amp; "%USERPROFILE%\Documents\GitHub\mrs-test-scripts\Headless Mode &amp; Sideloading\WalkAndUnGZ.bat" "%USERPROFILE%\AppData\Local\Temp\OnboardLogs"\RTDC4010\2017-05-12 &amp; aws s3 cp s3://rtdc.mdm.uploadarchive.raw/RTDC4010/ "%USERPROFILE%\AppData\Local\Temp\OnboardLogs"\RTDC4010\2017-05-13 --exclude "*" --recursive --include "*20170513*" &amp; "%USERPROFILE%\Documents\GitHub\mrs-test-scripts\Headless Mode &amp; Sideloading\WalkAndUnGZ.bat" "%USERPROFILE%\AppData\Local\Temp\OnboardLogs"\RTDC4010\2017-05-13</v>
      </c>
      <c r="AF35" s="77" t="str">
        <f t="shared" si="13"/>
        <v>"C:\Program Files (x86)\AstroGrep\AstroGrep.exe" /e /r /s /spath="%USERPROFILE%\AppData\Local\Temp\OnboardLogs" /stypes="app*4010*20170512*" /stext=" 13:.+((SYSTEM_STATE.+slice.+state.+changed )|(ment ac)|(multiple cpu faults)|(system.+state.+changed )|(\[timeout)|(PRM\|1\|D)|(kpr)|(kdp)|(train st.+moving)|(\|lc)|(penalty))"</v>
      </c>
      <c r="AG35" s="1" t="str">
        <f t="shared" si="14"/>
        <v>EC</v>
      </c>
      <c r="AH35" s="81" t="str">
        <f t="shared" si="19"/>
        <v>"%USERPROFILE%\Documents\GitHub\eaglep3\Utilities\RefineRTDCRunTimes.py" --tripid 123-12 --locoid 4010 --swversion DE.1.0.9.0 --startMP 204:447 --initTime 2017-05-12T06:26:11 --startdatetime 2017-05-12T06:30:43 --delay 1 --endMP 204:233309 --enddatetime 2017-05-12T07:06:27 --enforcementcount 0 &gt;&gt;C:\Users\stu\Documents\GitHub\eaglep3-reporting\EC\2017-05-12-refined-times.txt</v>
      </c>
      <c r="AI35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{"issue":{"subject":"","project_id":79,"tracker_id":40,"status_id":1,"priority_id":2,"assigned_to_id":23,"start_date":"2017-05-12","description":"","custom_fields":[{"id":1,"name":"Subdivision","value":"EC"},{"id":4,"name":"Milepost","value":"23.3309"},{"id":17,"name":"Train ID","value":"123-12"},{"id":16,"name":"Locomotive ID","value":"4010"},{"id":130,"name":"Impact","value":""},{"id":150,"name":"Time of Event (Mountain Time)","value":"07:06:27"},{"id":151,"name":"Denver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4010 --day 2017-05-12</v>
      </c>
      <c r="AN35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13:06:27"},{"id":29,"name":"Sharepoint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641</v>
      </c>
      <c r="B36" s="7">
        <v>4009</v>
      </c>
      <c r="C36" s="21" t="s">
        <v>206</v>
      </c>
      <c r="D36" s="21" t="s">
        <v>824</v>
      </c>
      <c r="E36" s="13">
        <v>42867.306689814817</v>
      </c>
      <c r="F36" s="13">
        <v>42867.310046296298</v>
      </c>
      <c r="G36" s="7">
        <v>1</v>
      </c>
      <c r="H36" s="21" t="s">
        <v>348</v>
      </c>
      <c r="I36" s="13">
        <v>42867.337407407409</v>
      </c>
      <c r="J36" s="7">
        <v>0</v>
      </c>
      <c r="K36" s="92" t="str">
        <f t="shared" si="0"/>
        <v>4009/4010</v>
      </c>
      <c r="L36" s="21" t="str">
        <f>VLOOKUP(A36,'Trips&amp;Operators'!$C$1:$G$99999,5,FALSE)</f>
        <v>LOZA FIDEL</v>
      </c>
      <c r="M36" s="6">
        <f t="shared" si="1"/>
        <v>2.73611111115315E-2</v>
      </c>
      <c r="N36" s="7">
        <f t="shared" si="23"/>
        <v>39.40000000060536</v>
      </c>
      <c r="O36" s="7"/>
      <c r="P36" s="7"/>
      <c r="Q36" s="22"/>
      <c r="R36" s="190"/>
      <c r="S36" s="196">
        <f t="shared" si="3"/>
        <v>1</v>
      </c>
      <c r="T36" s="190" t="str">
        <f t="shared" si="4"/>
        <v>Southbound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 t="shared" si="5"/>
        <v>https://d0f6bd738d7f1b3e5a7ca70fe4ff75f0.us-east-1.aws.found.io/app/kibana#/discover/Steve-Slow-Train-Analysis-(2080s-and-2083s)?_g=(refreshInterval:(display:Off,pause:!f,section:0,value:0),time:(from:'2017-05-12T06:21:38-0600',mode:absolute,to:'2017-05-12T09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6" s="192" t="str">
        <f t="shared" si="6"/>
        <v>N</v>
      </c>
      <c r="X36" s="192">
        <f t="shared" si="7"/>
        <v>1</v>
      </c>
      <c r="Y36" s="192">
        <f t="shared" si="8"/>
        <v>23.2986</v>
      </c>
      <c r="Z36" s="192">
        <f t="shared" si="9"/>
        <v>1.38E-2</v>
      </c>
      <c r="AA36" s="192">
        <f t="shared" si="10"/>
        <v>23.284800000000001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1"/>
        <v>0124-12</v>
      </c>
      <c r="AE36" s="80" t="str">
        <f t="shared" si="12"/>
        <v>aws s3 cp s3://rtdc.mdm.uploadarchive.raw/RTDC4009/ "%USERPROFILE%\AppData\Local\Temp\OnboardLogs"\RTDC4009\2017-05-12 --exclude "*" --recursive --include "*20170512*" &amp; "%USERPROFILE%\Documents\GitHub\mrs-test-scripts\Headless Mode &amp; Sideloading\WalkAndUnGZ.bat" "%USERPROFILE%\AppData\Local\Temp\OnboardLogs"\RTDC4009\2017-05-12 &amp; aws s3 cp s3://rtdc.mdm.uploadarchive.raw/RTDC4009/ "%USERPROFILE%\AppData\Local\Temp\OnboardLogs"\RTDC4009\2017-05-13 --exclude "*" --recursive --include "*20170513*" &amp; "%USERPROFILE%\Documents\GitHub\mrs-test-scripts\Headless Mode &amp; Sideloading\WalkAndUnGZ.bat" "%USERPROFILE%\AppData\Local\Temp\OnboardLogs"\RTDC4009\2017-05-13</v>
      </c>
      <c r="AF36" s="77" t="str">
        <f t="shared" si="13"/>
        <v>"C:\Program Files (x86)\AstroGrep\AstroGrep.exe" /e /r /s /spath="%USERPROFILE%\AppData\Local\Temp\OnboardLogs" /stypes="app*4009*20170512*" /stext=" 14:.+((SYSTEM_STATE.+slice.+state.+changed )|(ment ac)|(multiple cpu faults)|(system.+state.+changed )|(\[timeout)|(PRM\|1\|D)|(kpr)|(kdp)|(train st.+moving)|(\|lc)|(penalty))"</v>
      </c>
      <c r="AG36" s="1" t="str">
        <f t="shared" si="14"/>
        <v>EC</v>
      </c>
      <c r="AH36" s="81" t="str">
        <f t="shared" si="19"/>
        <v>"%USERPROFILE%\Documents\GitHub\eaglep3\Utilities\RefineRTDCRunTimes.py" --tripid 124-12 --locoid 4009 --swversion DE.1.0.9.0 --startMP 204:232986 --initTime 2017-05-12T07:21:38 --startdatetime 2017-05-12T07:26:28 --delay 1 --endMP 204:138 --enddatetime 2017-05-12T08:05:52 --enforcementcount 0 &gt;&gt;C:\Users\stu\Documents\GitHub\eaglep3-reporting\EC\2017-05-12-refined-times.txt</v>
      </c>
      <c r="AI36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{"issue":{"subject":"","project_id":79,"tracker_id":40,"status_id":1,"priority_id":2,"assigned_to_id":23,"start_date":"2017-05-12","description":"","custom_fields":[{"id":1,"name":"Subdivision","value":"EC"},{"id":4,"name":"Milepost","value":"0.0138"},{"id":17,"name":"Train ID","value":"124-12"},{"id":16,"name":"Locomotive ID","value":"4009"},{"id":130,"name":"Impact","value":""},{"id":150,"name":"Time of Event (Mountain Time)","value":"08:05:52"},{"id":151,"name":"Denver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4009 --day 2017-05-12</v>
      </c>
      <c r="AN36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14:05:52"},{"id":29,"name":"Sharepoint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636</v>
      </c>
      <c r="B37" s="7">
        <v>4046</v>
      </c>
      <c r="C37" s="21" t="s">
        <v>206</v>
      </c>
      <c r="D37" s="21" t="s">
        <v>202</v>
      </c>
      <c r="E37" s="13">
        <v>42867.277349537035</v>
      </c>
      <c r="F37" s="13">
        <v>42867.281747685185</v>
      </c>
      <c r="G37" s="7">
        <v>1</v>
      </c>
      <c r="H37" s="21" t="s">
        <v>520</v>
      </c>
      <c r="I37" s="13">
        <v>42867.307847222219</v>
      </c>
      <c r="J37" s="7">
        <v>0</v>
      </c>
      <c r="K37" s="92" t="str">
        <f t="shared" si="0"/>
        <v>4045/4046</v>
      </c>
      <c r="L37" s="21" t="str">
        <f>VLOOKUP(A37,'Trips&amp;Operators'!$C$1:$G$99999,5,FALSE)</f>
        <v>BONDS REYNALDO</v>
      </c>
      <c r="M37" s="6">
        <f t="shared" si="1"/>
        <v>2.6099537033587694E-2</v>
      </c>
      <c r="N37" s="7">
        <f t="shared" si="23"/>
        <v>37.58333332836628</v>
      </c>
      <c r="O37" s="7"/>
      <c r="P37" s="7"/>
      <c r="Q37" s="22"/>
      <c r="R37" s="190"/>
      <c r="S37" s="196">
        <f t="shared" si="3"/>
        <v>1</v>
      </c>
      <c r="T37" s="190" t="str">
        <f t="shared" si="4"/>
        <v>NorthBound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 t="shared" si="5"/>
        <v>https://d0f6bd738d7f1b3e5a7ca70fe4ff75f0.us-east-1.aws.found.io/app/kibana#/discover/Steve-Slow-Train-Analysis-(2080s-and-2083s)?_g=(refreshInterval:(display:Off,pause:!f,section:0,value:0),time:(from:'2017-05-12T05:39:23-0600',mode:absolute,to:'2017-05-12T08:23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7" s="192" t="str">
        <f t="shared" si="6"/>
        <v>N</v>
      </c>
      <c r="X37" s="192">
        <f t="shared" si="7"/>
        <v>1</v>
      </c>
      <c r="Y37" s="192">
        <f t="shared" si="8"/>
        <v>4.5699999999999998E-2</v>
      </c>
      <c r="Z37" s="192">
        <f t="shared" si="9"/>
        <v>23.328900000000001</v>
      </c>
      <c r="AA37" s="192">
        <f t="shared" si="10"/>
        <v>23.283200000000001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1"/>
        <v>0125-12</v>
      </c>
      <c r="AE37" s="80" t="str">
        <f t="shared" si="12"/>
        <v>aws s3 cp s3://rtdc.mdm.uploadarchive.raw/RTDC4046/ "%USERPROFILE%\AppData\Local\Temp\OnboardLogs"\RTDC4046\2017-05-12 --exclude "*" --recursive --include "*20170512*" &amp; "%USERPROFILE%\Documents\GitHub\mrs-test-scripts\Headless Mode &amp; Sideloading\WalkAndUnGZ.bat" "%USERPROFILE%\AppData\Local\Temp\OnboardLogs"\RTDC4046\2017-05-12 &amp; aws s3 cp s3://rtdc.mdm.uploadarchive.raw/RTDC4046/ "%USERPROFILE%\AppData\Local\Temp\OnboardLogs"\RTDC4046\2017-05-13 --exclude "*" --recursive --include "*20170513*" &amp; "%USERPROFILE%\Documents\GitHub\mrs-test-scripts\Headless Mode &amp; Sideloading\WalkAndUnGZ.bat" "%USERPROFILE%\AppData\Local\Temp\OnboardLogs"\RTDC4046\2017-05-13</v>
      </c>
      <c r="AF37" s="77" t="str">
        <f t="shared" si="13"/>
        <v>"C:\Program Files (x86)\AstroGrep\AstroGrep.exe" /e /r /s /spath="%USERPROFILE%\AppData\Local\Temp\OnboardLogs" /stypes="app*4046*20170512*" /stext=" 13:.+((SYSTEM_STATE.+slice.+state.+changed )|(ment ac)|(multiple cpu faults)|(system.+state.+changed )|(\[timeout)|(PRM\|1\|D)|(kpr)|(kdp)|(train st.+moving)|(\|lc)|(penalty))"</v>
      </c>
      <c r="AG37" s="1" t="str">
        <f t="shared" si="14"/>
        <v>EC</v>
      </c>
      <c r="AH37" s="81" t="str">
        <f t="shared" si="19"/>
        <v>"%USERPROFILE%\Documents\GitHub\eaglep3\Utilities\RefineRTDCRunTimes.py" --tripid 125-12 --locoid 4046 --swversion DE.1.0.9.0 --startMP 204:457 --initTime 2017-05-12T06:39:23 --startdatetime 2017-05-12T06:45:43 --delay 1 --endMP 204:233289 --enddatetime 2017-05-12T07:23:18 --enforcementcount 0 &gt;&gt;C:\Users\stu\Documents\GitHub\eaglep3-reporting\EC\2017-05-12-refined-times.txt</v>
      </c>
      <c r="AI37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{"issue":{"subject":"","project_id":79,"tracker_id":40,"status_id":1,"priority_id":2,"assigned_to_id":23,"start_date":"2017-05-12","description":"","custom_fields":[{"id":1,"name":"Subdivision","value":"EC"},{"id":4,"name":"Milepost","value":"23.3289"},{"id":17,"name":"Train ID","value":"125-12"},{"id":16,"name":"Locomotive ID","value":"4046"},{"id":130,"name":"Impact","value":""},{"id":150,"name":"Time of Event (Mountain Time)","value":"07:23:18"},{"id":151,"name":"Denver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4046 --day 2017-05-12</v>
      </c>
      <c r="AN37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13:23:18"},{"id":29,"name":"Sharepoint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644</v>
      </c>
      <c r="B38" s="7">
        <v>4045</v>
      </c>
      <c r="C38" s="21" t="s">
        <v>206</v>
      </c>
      <c r="D38" s="21" t="s">
        <v>830</v>
      </c>
      <c r="E38" s="13">
        <v>42867.321736111109</v>
      </c>
      <c r="F38" s="13">
        <v>42867.323101851849</v>
      </c>
      <c r="G38" s="7">
        <v>0</v>
      </c>
      <c r="H38" s="21" t="s">
        <v>373</v>
      </c>
      <c r="I38" s="13">
        <v>42867.348773148151</v>
      </c>
      <c r="J38" s="7">
        <v>0</v>
      </c>
      <c r="K38" s="92" t="str">
        <f t="shared" si="0"/>
        <v>4045/4046</v>
      </c>
      <c r="L38" s="21" t="str">
        <f>VLOOKUP(A38,'Trips&amp;Operators'!$C$1:$G$99999,5,FALSE)</f>
        <v>BONDS REYNALDO</v>
      </c>
      <c r="M38" s="6">
        <f t="shared" si="1"/>
        <v>2.567129630187992E-2</v>
      </c>
      <c r="N38" s="7"/>
      <c r="O38" s="7"/>
      <c r="P38" s="7">
        <f>24*60*SUM($M38:$M38)</f>
        <v>36.966666674707085</v>
      </c>
      <c r="Q38" s="22"/>
      <c r="R38" s="190" t="s">
        <v>554</v>
      </c>
      <c r="S38" s="196">
        <f t="shared" si="3"/>
        <v>1</v>
      </c>
      <c r="T38" s="190" t="str">
        <f t="shared" si="4"/>
        <v>Southbound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1" t="str">
        <f t="shared" si="5"/>
        <v>https://d0f6bd738d7f1b3e5a7ca70fe4ff75f0.us-east-1.aws.found.io/app/kibana#/discover/Steve-Slow-Train-Analysis-(2080s-and-2083s)?_g=(refreshInterval:(display:Off,pause:!f,section:0,value:0),time:(from:'2017-05-12T06:43:18-0600',mode:absolute,to:'2017-05-12T09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8" s="192" t="str">
        <f t="shared" si="6"/>
        <v>Y</v>
      </c>
      <c r="X38" s="192">
        <f t="shared" si="7"/>
        <v>1</v>
      </c>
      <c r="Y38" s="192">
        <f t="shared" si="8"/>
        <v>22.617000000000001</v>
      </c>
      <c r="Z38" s="192">
        <f t="shared" si="9"/>
        <v>1.3899999999999999E-2</v>
      </c>
      <c r="AA38" s="192">
        <f t="shared" si="10"/>
        <v>22.603100000000001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1"/>
        <v>0126-12</v>
      </c>
      <c r="AE38" s="80" t="str">
        <f t="shared" si="12"/>
        <v>aws s3 cp s3://rtdc.mdm.uploadarchive.raw/RTDC4045/ "%USERPROFILE%\AppData\Local\Temp\OnboardLogs"\RTDC4045\2017-05-12 --exclude "*" --recursive --include "*20170512*" &amp; "%USERPROFILE%\Documents\GitHub\mrs-test-scripts\Headless Mode &amp; Sideloading\WalkAndUnGZ.bat" "%USERPROFILE%\AppData\Local\Temp\OnboardLogs"\RTDC4045\2017-05-12 &amp; aws s3 cp s3://rtdc.mdm.uploadarchive.raw/RTDC4045/ "%USERPROFILE%\AppData\Local\Temp\OnboardLogs"\RTDC4045\2017-05-13 --exclude "*" --recursive --include "*20170513*" &amp; "%USERPROFILE%\Documents\GitHub\mrs-test-scripts\Headless Mode &amp; Sideloading\WalkAndUnGZ.bat" "%USERPROFILE%\AppData\Local\Temp\OnboardLogs"\RTDC4045\2017-05-13</v>
      </c>
      <c r="AF38" s="77" t="str">
        <f t="shared" si="13"/>
        <v>"C:\Program Files (x86)\AstroGrep\AstroGrep.exe" /e /r /s /spath="%USERPROFILE%\AppData\Local\Temp\OnboardLogs" /stypes="app*4045*20170512*" /stext=" 14:.+((SYSTEM_STATE.+slice.+state.+changed )|(ment ac)|(multiple cpu faults)|(system.+state.+changed )|(\[timeout)|(PRM\|1\|D)|(kpr)|(kdp)|(train st.+moving)|(\|lc)|(penalty))"</v>
      </c>
      <c r="AG38" s="1" t="str">
        <f t="shared" si="14"/>
        <v>EC</v>
      </c>
      <c r="AH38" s="81" t="str">
        <f t="shared" si="19"/>
        <v>"%USERPROFILE%\Documents\GitHub\eaglep3\Utilities\RefineRTDCRunTimes.py" --tripid 126-12 --locoid 4045 --swversion DE.1.0.9.0 --startMP 204:226170 --initTime 2017-05-12T07:43:18 --startdatetime 2017-05-12T07:45:16 --delay 0 --endMP 204:139 --enddatetime 2017-05-12T08:22:14 --enforcementcount 0 &gt;&gt;C:\Users\stu\Documents\GitHub\eaglep3-reporting\EC\2017-05-12-refined-times.txt</v>
      </c>
      <c r="AI38" s="99" t="str">
        <f t="shared" si="20"/>
        <v>echo {"issue":{"subject":"Onboard in-route failure","project_id":79,"tracker_id":40,"status_id":1,"priority_id":2,"assigned_to_id":23,"start_date":"2017-05-12","description":"","custom_fields":[{"id":1,"name":"Subdivision","value":"EC"},{"id":4,"name":"Milepost","value":"0.0139"},{"id":17,"name":"Train ID","value":"126-12"},{"id":16,"name":"Locomotive ID","value":"4045"},{"id":130,"name":"Impact","value":""},{"id":150,"name":"Time of Event (Mountain Time)","value":"08:22:14"},{"id":151,"name":"Denver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4045 --day 2017-05-12</v>
      </c>
      <c r="AN38" s="154" t="str">
        <f t="shared" si="22"/>
        <v>echo {"issue":{"subject":"Onboard in-route failure","project_id":30,"tracker_id":4,"status_id":1,"priority_id":1,"assigned_to_id":10,"start_date":"2017-05-12","description":"","custom_fields":[{"id":30,"name":"Category","value":"Issue"},{"id":3,"name":"Functional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14:22:14"},{"id":29,"name":"Sharepoint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644</v>
      </c>
      <c r="B39" s="7">
        <v>4045</v>
      </c>
      <c r="C39" s="21" t="s">
        <v>206</v>
      </c>
      <c r="D39" s="21" t="s">
        <v>831</v>
      </c>
      <c r="E39" s="13">
        <v>42867.318356481483</v>
      </c>
      <c r="F39" s="13">
        <v>42867.323101851849</v>
      </c>
      <c r="G39" s="7">
        <v>2</v>
      </c>
      <c r="H39" s="21" t="s">
        <v>832</v>
      </c>
      <c r="I39" s="13">
        <v>42867.348773148151</v>
      </c>
      <c r="J39" s="7">
        <v>0</v>
      </c>
      <c r="K39" s="92" t="str">
        <f t="shared" si="0"/>
        <v>4045/4046</v>
      </c>
      <c r="L39" s="21" t="str">
        <f>VLOOKUP(A39,'Trips&amp;Operators'!$C$1:$G$99999,5,FALSE)</f>
        <v>BONDS REYNALDO</v>
      </c>
      <c r="M39" s="6">
        <f t="shared" si="1"/>
        <v>2.567129630187992E-2</v>
      </c>
      <c r="N39" s="7"/>
      <c r="O39" s="7"/>
      <c r="P39" s="7"/>
      <c r="Q39" s="22"/>
      <c r="R39" s="190"/>
      <c r="S39" s="196"/>
      <c r="T39" s="190" t="str">
        <f t="shared" si="4"/>
        <v>Southbound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0</v>
      </c>
      <c r="V39" s="191" t="str">
        <f t="shared" si="5"/>
        <v>https://d0f6bd738d7f1b3e5a7ca70fe4ff75f0.us-east-1.aws.found.io/app/kibana#/discover/Steve-Slow-Train-Analysis-(2080s-and-2083s)?_g=(refreshInterval:(display:Off,pause:!f,section:0,value:0),time:(from:'2017-05-12T06:38:26-0600',mode:absolute,to:'2017-05-12T09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9" s="192" t="str">
        <f t="shared" si="6"/>
        <v>Y</v>
      </c>
      <c r="X39" s="192">
        <f t="shared" si="7"/>
        <v>0</v>
      </c>
      <c r="Y39" s="192">
        <f t="shared" si="8"/>
        <v>23.300999999999998</v>
      </c>
      <c r="Z39" s="192">
        <f t="shared" si="9"/>
        <v>23.1523</v>
      </c>
      <c r="AA39" s="192">
        <f t="shared" si="10"/>
        <v>0.14869999999999806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1"/>
        <v>0126-12</v>
      </c>
      <c r="AE39" s="80" t="str">
        <f t="shared" si="12"/>
        <v>aws s3 cp s3://rtdc.mdm.uploadarchive.raw/RTDC4045/ "%USERPROFILE%\AppData\Local\Temp\OnboardLogs"\RTDC4045\2017-05-12 --exclude "*" --recursive --include "*20170512*" &amp; "%USERPROFILE%\Documents\GitHub\mrs-test-scripts\Headless Mode &amp; Sideloading\WalkAndUnGZ.bat" "%USERPROFILE%\AppData\Local\Temp\OnboardLogs"\RTDC4045\2017-05-12 &amp; aws s3 cp s3://rtdc.mdm.uploadarchive.raw/RTDC4045/ "%USERPROFILE%\AppData\Local\Temp\OnboardLogs"\RTDC4045\2017-05-13 --exclude "*" --recursive --include "*20170513*" &amp; "%USERPROFILE%\Documents\GitHub\mrs-test-scripts\Headless Mode &amp; Sideloading\WalkAndUnGZ.bat" "%USERPROFILE%\AppData\Local\Temp\OnboardLogs"\RTDC4045\2017-05-13</v>
      </c>
      <c r="AF39" s="77" t="str">
        <f t="shared" si="13"/>
        <v>"C:\Program Files (x86)\AstroGrep\AstroGrep.exe" /e /r /s /spath="%USERPROFILE%\AppData\Local\Temp\OnboardLogs" /stypes="app*4045*20170512*" /stext=" 14:.+((SYSTEM_STATE.+slice.+state.+changed )|(ment ac)|(multiple cpu faults)|(system.+state.+changed )|(\[timeout)|(PRM\|1\|D)|(kpr)|(kdp)|(train st.+moving)|(\|lc)|(penalty))"</v>
      </c>
      <c r="AG39" s="1" t="str">
        <f t="shared" si="14"/>
        <v>EC</v>
      </c>
      <c r="AH39" s="81" t="str">
        <f t="shared" si="19"/>
        <v>"%USERPROFILE%\Documents\GitHub\eaglep3\Utilities\RefineRTDCRunTimes.py" --tripid 126-12 --locoid 4045 --swversion DE.1.0.9.0 --startMP 204:233010 --initTime 2017-05-12T07:38:26 --startdatetime 2017-05-12T07:45:16 --delay 2 --endMP 204:231523 --enddatetime 2017-05-12T08:22:14 --enforcementcount 0 &gt;&gt;C:\Users\stu\Documents\GitHub\eaglep3-reporting\EC\2017-05-12-refined-times.txt</v>
      </c>
      <c r="AI39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{"issue":{"subject":"","project_id":79,"tracker_id":40,"status_id":1,"priority_id":2,"assigned_to_id":23,"start_date":"2017-05-12","description":"","custom_fields":[{"id":1,"name":"Subdivision","value":"EC"},{"id":4,"name":"Milepost","value":"23.1523"},{"id":17,"name":"Train ID","value":"126-12"},{"id":16,"name":"Locomotive ID","value":"4045"},{"id":130,"name":"Impact","value":""},{"id":150,"name":"Time of Event (Mountain Time)","value":"08:22:14"},{"id":151,"name":"Denver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4045 --day 2017-05-12</v>
      </c>
      <c r="AN39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14:22:14"},{"id":29,"name":"Sharepoint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637</v>
      </c>
      <c r="B40" s="7">
        <v>4032</v>
      </c>
      <c r="C40" s="21" t="s">
        <v>206</v>
      </c>
      <c r="D40" s="21" t="s">
        <v>378</v>
      </c>
      <c r="E40" s="13">
        <v>42867.288912037038</v>
      </c>
      <c r="F40" s="13">
        <v>42867.291944444441</v>
      </c>
      <c r="G40" s="7">
        <v>1</v>
      </c>
      <c r="H40" s="21" t="s">
        <v>823</v>
      </c>
      <c r="I40" s="13">
        <v>42867.317708333336</v>
      </c>
      <c r="J40" s="7">
        <v>0</v>
      </c>
      <c r="K40" s="92" t="str">
        <f t="shared" si="0"/>
        <v>4031/4032</v>
      </c>
      <c r="L40" s="21" t="str">
        <f>VLOOKUP(A40,'Trips&amp;Operators'!$C$1:$G$99999,5,FALSE)</f>
        <v>BADERTSCHER DIANE</v>
      </c>
      <c r="M40" s="6">
        <f t="shared" si="1"/>
        <v>2.5763888894289266E-2</v>
      </c>
      <c r="N40" s="7">
        <f t="shared" ref="N40:N70" si="24">24*60*SUM($M40:$M40)</f>
        <v>37.100000007776543</v>
      </c>
      <c r="O40" s="7"/>
      <c r="P40" s="7"/>
      <c r="Q40" s="22"/>
      <c r="R40" s="190"/>
      <c r="S40" s="196">
        <f t="shared" ref="S40:S70" si="25">SUM(U40:U40)/IF(AG40="EC",12,1)</f>
        <v>1</v>
      </c>
      <c r="T40" s="190" t="str">
        <f t="shared" si="4"/>
        <v>NorthBound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1" t="str">
        <f t="shared" si="5"/>
        <v>https://d0f6bd738d7f1b3e5a7ca70fe4ff75f0.us-east-1.aws.found.io/app/kibana#/discover/Steve-Slow-Train-Analysis-(2080s-and-2083s)?_g=(refreshInterval:(display:Off,pause:!f,section:0,value:0),time:(from:'2017-05-12T05:56:02-0600',mode:absolute,to:'2017-05-12T08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0" s="192" t="str">
        <f t="shared" si="6"/>
        <v>N</v>
      </c>
      <c r="X40" s="192">
        <f t="shared" si="7"/>
        <v>1</v>
      </c>
      <c r="Y40" s="192">
        <f t="shared" si="8"/>
        <v>4.4200000000000003E-2</v>
      </c>
      <c r="Z40" s="192">
        <f t="shared" si="9"/>
        <v>23.330300000000001</v>
      </c>
      <c r="AA40" s="192">
        <f t="shared" si="10"/>
        <v>23.286100000000001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11"/>
        <v>0127-12</v>
      </c>
      <c r="AE40" s="80" t="str">
        <f t="shared" si="12"/>
        <v>aws s3 cp s3://rtdc.mdm.uploadarchive.raw/RTDC4032/ "%USERPROFILE%\AppData\Local\Temp\OnboardLogs"\RTDC4032\2017-05-12 --exclude "*" --recursive --include "*20170512*" &amp; "%USERPROFILE%\Documents\GitHub\mrs-test-scripts\Headless Mode &amp; Sideloading\WalkAndUnGZ.bat" "%USERPROFILE%\AppData\Local\Temp\OnboardLogs"\RTDC4032\2017-05-12 &amp; aws s3 cp s3://rtdc.mdm.uploadarchive.raw/RTDC4032/ "%USERPROFILE%\AppData\Local\Temp\OnboardLogs"\RTDC4032\2017-05-13 --exclude "*" --recursive --include "*20170513*" &amp; "%USERPROFILE%\Documents\GitHub\mrs-test-scripts\Headless Mode &amp; Sideloading\WalkAndUnGZ.bat" "%USERPROFILE%\AppData\Local\Temp\OnboardLogs"\RTDC4032\2017-05-13</v>
      </c>
      <c r="AF40" s="77" t="str">
        <f t="shared" si="13"/>
        <v>"C:\Program Files (x86)\AstroGrep\AstroGrep.exe" /e /r /s /spath="%USERPROFILE%\AppData\Local\Temp\OnboardLogs" /stypes="app*4032*20170512*" /stext=" 13:.+((SYSTEM_STATE.+slice.+state.+changed )|(ment ac)|(multiple cpu faults)|(system.+state.+changed )|(\[timeout)|(PRM\|1\|D)|(kpr)|(kdp)|(train st.+moving)|(\|lc)|(penalty))"</v>
      </c>
      <c r="AG40" s="1" t="str">
        <f t="shared" si="14"/>
        <v>EC</v>
      </c>
      <c r="AH40" s="81" t="str">
        <f t="shared" si="19"/>
        <v>"%USERPROFILE%\Documents\GitHub\eaglep3\Utilities\RefineRTDCRunTimes.py" --tripid 127-12 --locoid 4032 --swversion DE.1.0.9.0 --startMP 204:442 --initTime 2017-05-12T06:56:02 --startdatetime 2017-05-12T07:00:24 --delay 1 --endMP 204:233303 --enddatetime 2017-05-12T07:37:30 --enforcementcount 0 &gt;&gt;C:\Users\stu\Documents\GitHub\eaglep3-reporting\EC\2017-05-12-refined-times.txt</v>
      </c>
      <c r="AI40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{"issue":{"subject":"","project_id":79,"tracker_id":40,"status_id":1,"priority_id":2,"assigned_to_id":23,"start_date":"2017-05-12","description":"","custom_fields":[{"id":1,"name":"Subdivision","value":"EC"},{"id":4,"name":"Milepost","value":"23.3303"},{"id":17,"name":"Train ID","value":"127-12"},{"id":16,"name":"Locomotive ID","value":"4032"},{"id":130,"name":"Impact","value":""},{"id":150,"name":"Time of Event (Mountain Time)","value":"07:37:30"},{"id":151,"name":"Denver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4032 --day 2017-05-12</v>
      </c>
      <c r="AN40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13:37:30"},{"id":29,"name":"Sharepoint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646</v>
      </c>
      <c r="B41" s="7">
        <v>4031</v>
      </c>
      <c r="C41" s="21" t="s">
        <v>206</v>
      </c>
      <c r="D41" s="21" t="s">
        <v>833</v>
      </c>
      <c r="E41" s="13">
        <v>42867.323611111111</v>
      </c>
      <c r="F41" s="13">
        <v>42867.330729166664</v>
      </c>
      <c r="G41" s="7">
        <v>2</v>
      </c>
      <c r="H41" s="21" t="s">
        <v>360</v>
      </c>
      <c r="I41" s="13">
        <v>42867.35900462963</v>
      </c>
      <c r="J41" s="7">
        <v>0</v>
      </c>
      <c r="K41" s="92" t="str">
        <f t="shared" si="0"/>
        <v>4031/4032</v>
      </c>
      <c r="L41" s="21" t="str">
        <f>VLOOKUP(A41,'Trips&amp;Operators'!$C$1:$G$99999,5,FALSE)</f>
        <v>BADERTSCHER DIANE</v>
      </c>
      <c r="M41" s="6">
        <f t="shared" si="1"/>
        <v>2.8275462966121268E-2</v>
      </c>
      <c r="N41" s="7">
        <f t="shared" si="24"/>
        <v>40.716666671214625</v>
      </c>
      <c r="O41" s="7"/>
      <c r="P41" s="7"/>
      <c r="Q41" s="22"/>
      <c r="R41" s="190"/>
      <c r="S41" s="196">
        <f t="shared" si="25"/>
        <v>1</v>
      </c>
      <c r="T41" s="190" t="str">
        <f t="shared" si="4"/>
        <v>Southbound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1" t="str">
        <f t="shared" si="5"/>
        <v>https://d0f6bd738d7f1b3e5a7ca70fe4ff75f0.us-east-1.aws.found.io/app/kibana#/discover/Steve-Slow-Train-Analysis-(2080s-and-2083s)?_g=(refreshInterval:(display:Off,pause:!f,section:0,value:0),time:(from:'2017-05-12T06:46:00-0600',mode:absolute,to:'2017-05-12T09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1" s="192" t="str">
        <f t="shared" si="6"/>
        <v>N</v>
      </c>
      <c r="X41" s="192">
        <f t="shared" si="7"/>
        <v>1</v>
      </c>
      <c r="Y41" s="192">
        <f t="shared" si="8"/>
        <v>23.297999999999998</v>
      </c>
      <c r="Z41" s="192">
        <f t="shared" si="9"/>
        <v>1.43E-2</v>
      </c>
      <c r="AA41" s="192">
        <f t="shared" si="10"/>
        <v>23.2837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1"/>
        <v>0128-12</v>
      </c>
      <c r="AE41" s="80" t="str">
        <f t="shared" si="12"/>
        <v>aws s3 cp s3://rtdc.mdm.uploadarchive.raw/RTDC4031/ "%USERPROFILE%\AppData\Local\Temp\OnboardLogs"\RTDC4031\2017-05-12 --exclude "*" --recursive --include "*20170512*" &amp; "%USERPROFILE%\Documents\GitHub\mrs-test-scripts\Headless Mode &amp; Sideloading\WalkAndUnGZ.bat" "%USERPROFILE%\AppData\Local\Temp\OnboardLogs"\RTDC4031\2017-05-12 &amp; aws s3 cp s3://rtdc.mdm.uploadarchive.raw/RTDC4031/ "%USERPROFILE%\AppData\Local\Temp\OnboardLogs"\RTDC4031\2017-05-13 --exclude "*" --recursive --include "*20170513*" &amp; "%USERPROFILE%\Documents\GitHub\mrs-test-scripts\Headless Mode &amp; Sideloading\WalkAndUnGZ.bat" "%USERPROFILE%\AppData\Local\Temp\OnboardLogs"\RTDC4031\2017-05-13</v>
      </c>
      <c r="AF41" s="77" t="str">
        <f t="shared" si="13"/>
        <v>"C:\Program Files (x86)\AstroGrep\AstroGrep.exe" /e /r /s /spath="%USERPROFILE%\AppData\Local\Temp\OnboardLogs" /stypes="app*4031*20170512*" /stext=" 14:.+((SYSTEM_STATE.+slice.+state.+changed )|(ment ac)|(multiple cpu faults)|(system.+state.+changed )|(\[timeout)|(PRM\|1\|D)|(kpr)|(kdp)|(train st.+moving)|(\|lc)|(penalty))"</v>
      </c>
      <c r="AG41" s="1" t="str">
        <f t="shared" si="14"/>
        <v>EC</v>
      </c>
      <c r="AH41" s="81" t="str">
        <f t="shared" si="19"/>
        <v>"%USERPROFILE%\Documents\GitHub\eaglep3\Utilities\RefineRTDCRunTimes.py" --tripid 128-12 --locoid 4031 --swversion DE.1.0.9.0 --startMP 204:232980 --initTime 2017-05-12T07:46:00 --startdatetime 2017-05-12T07:56:15 --delay 2 --endMP 204:143 --enddatetime 2017-05-12T08:36:58 --enforcementcount 0 &gt;&gt;C:\Users\stu\Documents\GitHub\eaglep3-reporting\EC\2017-05-12-refined-times.txt</v>
      </c>
      <c r="AI41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{"issue":{"subject":"","project_id":79,"tracker_id":40,"status_id":1,"priority_id":2,"assigned_to_id":23,"start_date":"2017-05-12","description":"","custom_fields":[{"id":1,"name":"Subdivision","value":"EC"},{"id":4,"name":"Milepost","value":"0.0143"},{"id":17,"name":"Train ID","value":"128-12"},{"id":16,"name":"Locomotive ID","value":"4031"},{"id":130,"name":"Impact","value":""},{"id":150,"name":"Time of Event (Mountain Time)","value":"08:36:58"},{"id":151,"name":"Denver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4031 --day 2017-05-12</v>
      </c>
      <c r="AN41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14:36:58"},{"id":29,"name":"Sharepoint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565</v>
      </c>
      <c r="B42" s="7">
        <v>4012</v>
      </c>
      <c r="C42" s="21" t="s">
        <v>206</v>
      </c>
      <c r="D42" s="21" t="s">
        <v>378</v>
      </c>
      <c r="E42" s="13">
        <v>42867.298657407409</v>
      </c>
      <c r="F42" s="13">
        <v>42867.302384259259</v>
      </c>
      <c r="G42" s="7">
        <v>1</v>
      </c>
      <c r="H42" s="21" t="s">
        <v>828</v>
      </c>
      <c r="I42" s="13">
        <v>42867.32739583333</v>
      </c>
      <c r="J42" s="7">
        <v>0</v>
      </c>
      <c r="K42" s="92" t="str">
        <f t="shared" si="0"/>
        <v>4011/4012</v>
      </c>
      <c r="L42" s="21" t="str">
        <f>VLOOKUP(A42,'Trips&amp;Operators'!$C$1:$G$99999,5,FALSE)</f>
        <v>ROCHA YAOTL</v>
      </c>
      <c r="M42" s="6">
        <f t="shared" si="1"/>
        <v>2.5011574070958886E-2</v>
      </c>
      <c r="N42" s="7">
        <f t="shared" si="24"/>
        <v>36.016666662180796</v>
      </c>
      <c r="O42" s="7"/>
      <c r="P42" s="7"/>
      <c r="Q42" s="22"/>
      <c r="R42" s="190"/>
      <c r="S42" s="196">
        <f t="shared" si="25"/>
        <v>1</v>
      </c>
      <c r="T42" s="190" t="str">
        <f t="shared" si="4"/>
        <v>NorthBound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1" t="str">
        <f t="shared" si="5"/>
        <v>https://d0f6bd738d7f1b3e5a7ca70fe4ff75f0.us-east-1.aws.found.io/app/kibana#/discover/Steve-Slow-Train-Analysis-(2080s-and-2083s)?_g=(refreshInterval:(display:Off,pause:!f,section:0,value:0),time:(from:'2017-05-12T06:10:04-0600',mode:absolute,to:'2017-05-12T08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2" s="192" t="str">
        <f t="shared" si="6"/>
        <v>N</v>
      </c>
      <c r="X42" s="192">
        <f t="shared" si="7"/>
        <v>1</v>
      </c>
      <c r="Y42" s="192">
        <f t="shared" si="8"/>
        <v>4.4200000000000003E-2</v>
      </c>
      <c r="Z42" s="192">
        <f t="shared" si="9"/>
        <v>23.332100000000001</v>
      </c>
      <c r="AA42" s="192">
        <f t="shared" si="10"/>
        <v>23.2879</v>
      </c>
      <c r="AB42" s="57" t="str">
        <f>VLOOKUP(A42,Enforcements!$C$7:$K$13,8,0)</f>
        <v>Bulletin (2)</v>
      </c>
      <c r="AC42" s="53" t="str">
        <f>VLOOKUP(A42,Enforcements!$C$7:$E$13,3,0)</f>
        <v>GRADE CROSSING</v>
      </c>
      <c r="AD42" s="54" t="str">
        <f t="shared" si="11"/>
        <v>0129-12</v>
      </c>
      <c r="AE42" s="80" t="str">
        <f t="shared" si="12"/>
        <v>aws s3 cp s3://rtdc.mdm.uploadarchive.raw/RTDC4012/ "%USERPROFILE%\AppData\Local\Temp\OnboardLogs"\RTDC4012\2017-05-12 --exclude "*" --recursive --include "*20170512*" &amp; "%USERPROFILE%\Documents\GitHub\mrs-test-scripts\Headless Mode &amp; Sideloading\WalkAndUnGZ.bat" "%USERPROFILE%\AppData\Local\Temp\OnboardLogs"\RTDC4012\2017-05-12 &amp; aws s3 cp s3://rtdc.mdm.uploadarchive.raw/RTDC4012/ "%USERPROFILE%\AppData\Local\Temp\OnboardLogs"\RTDC4012\2017-05-13 --exclude "*" --recursive --include "*20170513*" &amp; "%USERPROFILE%\Documents\GitHub\mrs-test-scripts\Headless Mode &amp; Sideloading\WalkAndUnGZ.bat" "%USERPROFILE%\AppData\Local\Temp\OnboardLogs"\RTDC4012\2017-05-13</v>
      </c>
      <c r="AF42" s="77" t="str">
        <f t="shared" si="13"/>
        <v>"C:\Program Files (x86)\AstroGrep\AstroGrep.exe" /e /r /s /spath="%USERPROFILE%\AppData\Local\Temp\OnboardLogs" /stypes="app*4012*20170512*" /stext=" 13:.+((SYSTEM_STATE.+slice.+state.+changed )|(ment ac)|(multiple cpu faults)|(system.+state.+changed )|(\[timeout)|(PRM\|1\|D)|(kpr)|(kdp)|(train st.+moving)|(\|lc)|(penalty))"</v>
      </c>
      <c r="AG42" s="1" t="str">
        <f t="shared" si="14"/>
        <v>EC</v>
      </c>
      <c r="AH42" s="81" t="str">
        <f t="shared" si="19"/>
        <v>"%USERPROFILE%\Documents\GitHub\eaglep3\Utilities\RefineRTDCRunTimes.py" --tripid 129-12 --locoid 4012 --swversion DE.1.0.9.0 --startMP 204:442 --initTime 2017-05-12T07:10:04 --startdatetime 2017-05-12T07:15:26 --delay 1 --endMP 204:233321 --enddatetime 2017-05-12T07:51:27 --enforcementcount 0 &gt;&gt;C:\Users\stu\Documents\GitHub\eaglep3-reporting\EC\2017-05-12-refined-times.txt</v>
      </c>
      <c r="AI42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{"issue":{"subject":"","project_id":79,"tracker_id":40,"status_id":1,"priority_id":2,"assigned_to_id":23,"start_date":"2017-05-12","description":"","custom_fields":[{"id":1,"name":"Subdivision","value":"EC"},{"id":4,"name":"Milepost","value":"23.3321"},{"id":17,"name":"Train ID","value":"129-12"},{"id":16,"name":"Locomotive ID","value":"4012"},{"id":130,"name":"Impact","value":""},{"id":150,"name":"Time of Event (Mountain Time)","value":"07:51:27"},{"id":151,"name":"Denver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4012 --day 2017-05-12</v>
      </c>
      <c r="AN42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13:51:27"},{"id":29,"name":"Sharepoint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650</v>
      </c>
      <c r="B43" s="7">
        <v>4011</v>
      </c>
      <c r="C43" s="21" t="s">
        <v>206</v>
      </c>
      <c r="D43" s="21" t="s">
        <v>834</v>
      </c>
      <c r="E43" s="13">
        <v>42867.337939814817</v>
      </c>
      <c r="F43" s="13">
        <v>42867.341157407405</v>
      </c>
      <c r="G43" s="7">
        <v>1</v>
      </c>
      <c r="H43" s="21" t="s">
        <v>359</v>
      </c>
      <c r="I43" s="13">
        <v>42867.366747685184</v>
      </c>
      <c r="J43" s="7">
        <v>0</v>
      </c>
      <c r="K43" s="92" t="str">
        <f t="shared" si="0"/>
        <v>4011/4012</v>
      </c>
      <c r="L43" s="21" t="str">
        <f>VLOOKUP(A43,'Trips&amp;Operators'!$C$1:$G$99999,5,FALSE)</f>
        <v>ROCHA YAOTL</v>
      </c>
      <c r="M43" s="6">
        <f t="shared" si="1"/>
        <v>2.5590277778974269E-2</v>
      </c>
      <c r="N43" s="7">
        <f t="shared" si="24"/>
        <v>36.850000001722947</v>
      </c>
      <c r="O43" s="7"/>
      <c r="P43" s="7"/>
      <c r="Q43" s="22"/>
      <c r="R43" s="190"/>
      <c r="S43" s="196">
        <f t="shared" si="25"/>
        <v>1</v>
      </c>
      <c r="T43" s="190" t="str">
        <f t="shared" si="4"/>
        <v>Southbound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1" t="str">
        <f t="shared" si="5"/>
        <v>https://d0f6bd738d7f1b3e5a7ca70fe4ff75f0.us-east-1.aws.found.io/app/kibana#/discover/Steve-Slow-Train-Analysis-(2080s-and-2083s)?_g=(refreshInterval:(display:Off,pause:!f,section:0,value:0),time:(from:'2017-05-12T07:06:38-0600',mode:absolute,to:'2017-05-12T09:48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3" s="192" t="str">
        <f t="shared" si="6"/>
        <v>N</v>
      </c>
      <c r="X43" s="192">
        <f t="shared" si="7"/>
        <v>1</v>
      </c>
      <c r="Y43" s="192">
        <f t="shared" si="8"/>
        <v>23.3002</v>
      </c>
      <c r="Z43" s="192">
        <f t="shared" si="9"/>
        <v>1.49E-2</v>
      </c>
      <c r="AA43" s="192">
        <f t="shared" si="10"/>
        <v>23.285299999999999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1"/>
        <v>0130-12</v>
      </c>
      <c r="AE43" s="80" t="str">
        <f t="shared" si="12"/>
        <v>aws s3 cp s3://rtdc.mdm.uploadarchive.raw/RTDC4011/ "%USERPROFILE%\AppData\Local\Temp\OnboardLogs"\RTDC4011\2017-05-12 --exclude "*" --recursive --include "*20170512*" &amp; "%USERPROFILE%\Documents\GitHub\mrs-test-scripts\Headless Mode &amp; Sideloading\WalkAndUnGZ.bat" "%USERPROFILE%\AppData\Local\Temp\OnboardLogs"\RTDC4011\2017-05-12 &amp; aws s3 cp s3://rtdc.mdm.uploadarchive.raw/RTDC4011/ "%USERPROFILE%\AppData\Local\Temp\OnboardLogs"\RTDC4011\2017-05-13 --exclude "*" --recursive --include "*20170513*" &amp; "%USERPROFILE%\Documents\GitHub\mrs-test-scripts\Headless Mode &amp; Sideloading\WalkAndUnGZ.bat" "%USERPROFILE%\AppData\Local\Temp\OnboardLogs"\RTDC4011\2017-05-13</v>
      </c>
      <c r="AF43" s="77" t="str">
        <f t="shared" si="13"/>
        <v>"C:\Program Files (x86)\AstroGrep\AstroGrep.exe" /e /r /s /spath="%USERPROFILE%\AppData\Local\Temp\OnboardLogs" /stypes="app*4011*20170512*" /stext=" 14:.+((SYSTEM_STATE.+slice.+state.+changed )|(ment ac)|(multiple cpu faults)|(system.+state.+changed )|(\[timeout)|(PRM\|1\|D)|(kpr)|(kdp)|(train st.+moving)|(\|lc)|(penalty))"</v>
      </c>
      <c r="AG43" s="1" t="str">
        <f t="shared" si="14"/>
        <v>EC</v>
      </c>
      <c r="AH43" s="81" t="str">
        <f t="shared" si="19"/>
        <v>"%USERPROFILE%\Documents\GitHub\eaglep3\Utilities\RefineRTDCRunTimes.py" --tripid 130-12 --locoid 4011 --swversion DE.1.0.9.0 --startMP 204:233002 --initTime 2017-05-12T08:06:38 --startdatetime 2017-05-12T08:11:16 --delay 1 --endMP 204:149 --enddatetime 2017-05-12T08:48:07 --enforcementcount 0 &gt;&gt;C:\Users\stu\Documents\GitHub\eaglep3-reporting\EC\2017-05-12-refined-times.txt</v>
      </c>
      <c r="AI43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{"issue":{"subject":"","project_id":79,"tracker_id":40,"status_id":1,"priority_id":2,"assigned_to_id":23,"start_date":"2017-05-12","description":"","custom_fields":[{"id":1,"name":"Subdivision","value":"EC"},{"id":4,"name":"Milepost","value":"0.0149"},{"id":17,"name":"Train ID","value":"130-12"},{"id":16,"name":"Locomotive ID","value":"4011"},{"id":130,"name":"Impact","value":""},{"id":150,"name":"Time of Event (Mountain Time)","value":"08:48:07"},{"id":151,"name":"Denver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4011 --day 2017-05-12</v>
      </c>
      <c r="AN43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14:48:07"},{"id":29,"name":"Sharepoint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642</v>
      </c>
      <c r="B44" s="7">
        <v>4014</v>
      </c>
      <c r="C44" s="21" t="s">
        <v>206</v>
      </c>
      <c r="D44" s="21" t="s">
        <v>202</v>
      </c>
      <c r="E44" s="13">
        <v>42867.309884259259</v>
      </c>
      <c r="F44" s="13">
        <v>42867.312685185185</v>
      </c>
      <c r="G44" s="7">
        <v>1</v>
      </c>
      <c r="H44" s="21" t="s">
        <v>486</v>
      </c>
      <c r="I44" s="13">
        <v>42867.337719907409</v>
      </c>
      <c r="J44" s="7">
        <v>0</v>
      </c>
      <c r="K44" s="92" t="str">
        <f t="shared" si="0"/>
        <v>4013/4014</v>
      </c>
      <c r="L44" s="21" t="str">
        <f>VLOOKUP(A44,'Trips&amp;Operators'!$C$1:$G$99999,5,FALSE)</f>
        <v>YANAI IAN</v>
      </c>
      <c r="M44" s="6">
        <f t="shared" si="1"/>
        <v>2.5034722224518191E-2</v>
      </c>
      <c r="N44" s="7">
        <f t="shared" si="24"/>
        <v>36.050000003306195</v>
      </c>
      <c r="O44" s="7"/>
      <c r="P44" s="7"/>
      <c r="Q44" s="22"/>
      <c r="R44" s="190"/>
      <c r="S44" s="196">
        <f t="shared" si="25"/>
        <v>1</v>
      </c>
      <c r="T44" s="190" t="str">
        <f t="shared" si="4"/>
        <v>NorthBound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1" t="str">
        <f t="shared" si="5"/>
        <v>https://d0f6bd738d7f1b3e5a7ca70fe4ff75f0.us-east-1.aws.found.io/app/kibana#/discover/Steve-Slow-Train-Analysis-(2080s-and-2083s)?_g=(refreshInterval:(display:Off,pause:!f,section:0,value:0),time:(from:'2017-05-12T06:26:14-0600',mode:absolute,to:'2017-05-12T09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4" s="192" t="str">
        <f t="shared" si="6"/>
        <v>N</v>
      </c>
      <c r="X44" s="192">
        <f t="shared" si="7"/>
        <v>1</v>
      </c>
      <c r="Y44" s="192">
        <f t="shared" si="8"/>
        <v>4.5699999999999998E-2</v>
      </c>
      <c r="Z44" s="192">
        <f t="shared" si="9"/>
        <v>23.328600000000002</v>
      </c>
      <c r="AA44" s="192">
        <f t="shared" si="10"/>
        <v>23.282900000000001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1"/>
        <v>0131-12</v>
      </c>
      <c r="AE44" s="80" t="str">
        <f t="shared" si="12"/>
        <v>aws s3 cp s3://rtdc.mdm.uploadarchive.raw/RTDC4014/ "%USERPROFILE%\AppData\Local\Temp\OnboardLogs"\RTDC4014\2017-05-12 --exclude "*" --recursive --include "*20170512*" &amp; "%USERPROFILE%\Documents\GitHub\mrs-test-scripts\Headless Mode &amp; Sideloading\WalkAndUnGZ.bat" "%USERPROFILE%\AppData\Local\Temp\OnboardLogs"\RTDC4014\2017-05-12 &amp; aws s3 cp s3://rtdc.mdm.uploadarchive.raw/RTDC4014/ "%USERPROFILE%\AppData\Local\Temp\OnboardLogs"\RTDC4014\2017-05-13 --exclude "*" --recursive --include "*20170513*" &amp; "%USERPROFILE%\Documents\GitHub\mrs-test-scripts\Headless Mode &amp; Sideloading\WalkAndUnGZ.bat" "%USERPROFILE%\AppData\Local\Temp\OnboardLogs"\RTDC4014\2017-05-13</v>
      </c>
      <c r="AF44" s="77" t="str">
        <f t="shared" si="13"/>
        <v>"C:\Program Files (x86)\AstroGrep\AstroGrep.exe" /e /r /s /spath="%USERPROFILE%\AppData\Local\Temp\OnboardLogs" /stypes="app*4014*20170512*" /stext=" 14:.+((SYSTEM_STATE.+slice.+state.+changed )|(ment ac)|(multiple cpu faults)|(system.+state.+changed )|(\[timeout)|(PRM\|1\|D)|(kpr)|(kdp)|(train st.+moving)|(\|lc)|(penalty))"</v>
      </c>
      <c r="AG44" s="1" t="str">
        <f t="shared" si="14"/>
        <v>EC</v>
      </c>
      <c r="AH44" s="81" t="str">
        <f t="shared" si="19"/>
        <v>"%USERPROFILE%\Documents\GitHub\eaglep3\Utilities\RefineRTDCRunTimes.py" --tripid 131-12 --locoid 4014 --swversion DE.1.0.9.0 --startMP 204:457 --initTime 2017-05-12T07:26:14 --startdatetime 2017-05-12T07:30:16 --delay 1 --endMP 204:233286 --enddatetime 2017-05-12T08:06:19 --enforcementcount 0 &gt;&gt;C:\Users\stu\Documents\GitHub\eaglep3-reporting\EC\2017-05-12-refined-times.txt</v>
      </c>
      <c r="AI44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{"issue":{"subject":"","project_id":79,"tracker_id":40,"status_id":1,"priority_id":2,"assigned_to_id":23,"start_date":"2017-05-12","description":"","custom_fields":[{"id":1,"name":"Subdivision","value":"EC"},{"id":4,"name":"Milepost","value":"23.3286"},{"id":17,"name":"Train ID","value":"131-12"},{"id":16,"name":"Locomotive ID","value":"4014"},{"id":130,"name":"Impact","value":""},{"id":150,"name":"Time of Event (Mountain Time)","value":"08:06:19"},{"id":151,"name":"Denver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4014 --day 2017-05-12</v>
      </c>
      <c r="AN44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14:06:19"},{"id":29,"name":"Sharepoint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652</v>
      </c>
      <c r="B45" s="7">
        <v>4013</v>
      </c>
      <c r="C45" s="21" t="s">
        <v>206</v>
      </c>
      <c r="D45" s="21" t="s">
        <v>835</v>
      </c>
      <c r="E45" s="13">
        <v>42867.339108796295</v>
      </c>
      <c r="F45" s="13">
        <v>42867.351550925923</v>
      </c>
      <c r="G45" s="7">
        <v>2</v>
      </c>
      <c r="H45" s="21" t="s">
        <v>197</v>
      </c>
      <c r="I45" s="13">
        <v>42867.377500000002</v>
      </c>
      <c r="J45" s="7">
        <v>0</v>
      </c>
      <c r="K45" s="92" t="str">
        <f t="shared" si="0"/>
        <v>4013/4014</v>
      </c>
      <c r="L45" s="21" t="str">
        <f>VLOOKUP(A45,'Trips&amp;Operators'!$C$1:$G$99999,5,FALSE)</f>
        <v>YANAI IAN</v>
      </c>
      <c r="M45" s="6">
        <f t="shared" si="1"/>
        <v>2.5949074079107959E-2</v>
      </c>
      <c r="N45" s="7">
        <f t="shared" si="24"/>
        <v>37.366666673915461</v>
      </c>
      <c r="O45" s="7"/>
      <c r="P45" s="7"/>
      <c r="Q45" s="22"/>
      <c r="R45" s="190"/>
      <c r="S45" s="196">
        <f t="shared" si="25"/>
        <v>1</v>
      </c>
      <c r="T45" s="190" t="str">
        <f t="shared" si="4"/>
        <v>Southbound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 t="shared" si="5"/>
        <v>https://d0f6bd738d7f1b3e5a7ca70fe4ff75f0.us-east-1.aws.found.io/app/kibana#/discover/Steve-Slow-Train-Analysis-(2080s-and-2083s)?_g=(refreshInterval:(display:Off,pause:!f,section:0,value:0),time:(from:'2017-05-12T07:08:19-0600',mode:absolute,to:'2017-05-12T10:03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5" s="192" t="str">
        <f t="shared" si="6"/>
        <v>N</v>
      </c>
      <c r="X45" s="192">
        <f t="shared" si="7"/>
        <v>1</v>
      </c>
      <c r="Y45" s="192">
        <f t="shared" si="8"/>
        <v>23.296700000000001</v>
      </c>
      <c r="Z45" s="192">
        <f t="shared" si="9"/>
        <v>1.52E-2</v>
      </c>
      <c r="AA45" s="192">
        <f t="shared" si="10"/>
        <v>23.281500000000001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11"/>
        <v>0132-12</v>
      </c>
      <c r="AE45" s="80" t="str">
        <f t="shared" si="12"/>
        <v>aws s3 cp s3://rtdc.mdm.uploadarchive.raw/RTDC4013/ "%USERPROFILE%\AppData\Local\Temp\OnboardLogs"\RTDC4013\2017-05-12 --exclude "*" --recursive --include "*20170512*" &amp; "%USERPROFILE%\Documents\GitHub\mrs-test-scripts\Headless Mode &amp; Sideloading\WalkAndUnGZ.bat" "%USERPROFILE%\AppData\Local\Temp\OnboardLogs"\RTDC4013\2017-05-12 &amp; aws s3 cp s3://rtdc.mdm.uploadarchive.raw/RTDC4013/ "%USERPROFILE%\AppData\Local\Temp\OnboardLogs"\RTDC4013\2017-05-13 --exclude "*" --recursive --include "*20170513*" &amp; "%USERPROFILE%\Documents\GitHub\mrs-test-scripts\Headless Mode &amp; Sideloading\WalkAndUnGZ.bat" "%USERPROFILE%\AppData\Local\Temp\OnboardLogs"\RTDC4013\2017-05-13</v>
      </c>
      <c r="AF45" s="77" t="str">
        <f t="shared" si="13"/>
        <v>"C:\Program Files (x86)\AstroGrep\AstroGrep.exe" /e /r /s /spath="%USERPROFILE%\AppData\Local\Temp\OnboardLogs" /stypes="app*4013*20170512*" /stext=" 15:.+((SYSTEM_STATE.+slice.+state.+changed )|(ment ac)|(multiple cpu faults)|(system.+state.+changed )|(\[timeout)|(PRM\|1\|D)|(kpr)|(kdp)|(train st.+moving)|(\|lc)|(penalty))"</v>
      </c>
      <c r="AG45" s="1" t="str">
        <f t="shared" si="14"/>
        <v>EC</v>
      </c>
      <c r="AH45" s="81" t="str">
        <f t="shared" si="19"/>
        <v>"%USERPROFILE%\Documents\GitHub\eaglep3\Utilities\RefineRTDCRunTimes.py" --tripid 132-12 --locoid 4013 --swversion DE.1.0.9.0 --startMP 204:232967 --initTime 2017-05-12T08:08:19 --startdatetime 2017-05-12T08:26:14 --delay 2 --endMP 204:152 --enddatetime 2017-05-12T09:03:36 --enforcementcount 0 &gt;&gt;C:\Users\stu\Documents\GitHub\eaglep3-reporting\EC\2017-05-12-refined-times.txt</v>
      </c>
      <c r="AI45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{"issue":{"subject":"","project_id":79,"tracker_id":40,"status_id":1,"priority_id":2,"assigned_to_id":23,"start_date":"2017-05-12","description":"","custom_fields":[{"id":1,"name":"Subdivision","value":"EC"},{"id":4,"name":"Milepost","value":"0.0152"},{"id":17,"name":"Train ID","value":"132-12"},{"id":16,"name":"Locomotive ID","value":"4013"},{"id":130,"name":"Impact","value":""},{"id":150,"name":"Time of Event (Mountain Time)","value":"09:03:36"},{"id":151,"name":"Denver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1"/>
        <v>start /low /b %USERPROFILE%\Documents\GitHub\eaglep3\Utilities\DownloadLogsFromS3.py --loco 4013 --day 2017-05-12</v>
      </c>
      <c r="AN45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15:03:36"},{"id":29,"name":"Sharepoint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645</v>
      </c>
      <c r="B46" s="7">
        <v>4022</v>
      </c>
      <c r="C46" s="21" t="s">
        <v>206</v>
      </c>
      <c r="D46" s="21" t="s">
        <v>203</v>
      </c>
      <c r="E46" s="13">
        <v>42867.319282407407</v>
      </c>
      <c r="F46" s="13">
        <v>42867.323495370372</v>
      </c>
      <c r="G46" s="7">
        <v>1</v>
      </c>
      <c r="H46" s="21" t="s">
        <v>825</v>
      </c>
      <c r="I46" s="13">
        <v>42867.348877314813</v>
      </c>
      <c r="J46" s="7">
        <v>0</v>
      </c>
      <c r="K46" s="92" t="str">
        <f t="shared" si="0"/>
        <v>4021/4022</v>
      </c>
      <c r="L46" s="21" t="str">
        <f>VLOOKUP(A46,'Trips&amp;Operators'!$C$1:$G$99999,5,FALSE)</f>
        <v>ROBINSON KADDIBA</v>
      </c>
      <c r="M46" s="6">
        <f t="shared" si="1"/>
        <v>2.5381944440596271E-2</v>
      </c>
      <c r="N46" s="7">
        <f t="shared" si="24"/>
        <v>36.549999994458631</v>
      </c>
      <c r="O46" s="7"/>
      <c r="P46" s="7"/>
      <c r="Q46" s="22"/>
      <c r="R46" s="190"/>
      <c r="S46" s="196">
        <f t="shared" si="25"/>
        <v>1</v>
      </c>
      <c r="T46" s="190" t="str">
        <f t="shared" si="4"/>
        <v>NorthBound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1" t="str">
        <f t="shared" si="5"/>
        <v>https://d0f6bd738d7f1b3e5a7ca70fe4ff75f0.us-east-1.aws.found.io/app/kibana#/discover/Steve-Slow-Train-Analysis-(2080s-and-2083s)?_g=(refreshInterval:(display:Off,pause:!f,section:0,value:0),time:(from:'2017-05-12T06:39:46-0600',mode:absolute,to:'2017-05-12T09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6" s="192" t="str">
        <f t="shared" si="6"/>
        <v>N</v>
      </c>
      <c r="X46" s="192">
        <f t="shared" si="7"/>
        <v>1</v>
      </c>
      <c r="Y46" s="192">
        <f t="shared" si="8"/>
        <v>4.5999999999999999E-2</v>
      </c>
      <c r="Z46" s="192">
        <f t="shared" si="9"/>
        <v>23.331</v>
      </c>
      <c r="AA46" s="192">
        <f t="shared" si="10"/>
        <v>23.285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11"/>
        <v>0133-12</v>
      </c>
      <c r="AE46" s="80" t="str">
        <f t="shared" si="12"/>
        <v>aws s3 cp s3://rtdc.mdm.uploadarchive.raw/RTDC4022/ "%USERPROFILE%\AppData\Local\Temp\OnboardLogs"\RTDC4022\2017-05-12 --exclude "*" --recursive --include "*20170512*" &amp; "%USERPROFILE%\Documents\GitHub\mrs-test-scripts\Headless Mode &amp; Sideloading\WalkAndUnGZ.bat" "%USERPROFILE%\AppData\Local\Temp\OnboardLogs"\RTDC4022\2017-05-12 &amp; aws s3 cp s3://rtdc.mdm.uploadarchive.raw/RTDC4022/ "%USERPROFILE%\AppData\Local\Temp\OnboardLogs"\RTDC4022\2017-05-13 --exclude "*" --recursive --include "*20170513*" &amp; "%USERPROFILE%\Documents\GitHub\mrs-test-scripts\Headless Mode &amp; Sideloading\WalkAndUnGZ.bat" "%USERPROFILE%\AppData\Local\Temp\OnboardLogs"\RTDC4022\2017-05-13</v>
      </c>
      <c r="AF46" s="77" t="str">
        <f t="shared" si="13"/>
        <v>"C:\Program Files (x86)\AstroGrep\AstroGrep.exe" /e /r /s /spath="%USERPROFILE%\AppData\Local\Temp\OnboardLogs" /stypes="app*4022*20170512*" /stext=" 14:.+((SYSTEM_STATE.+slice.+state.+changed )|(ment ac)|(multiple cpu faults)|(system.+state.+changed )|(\[timeout)|(PRM\|1\|D)|(kpr)|(kdp)|(train st.+moving)|(\|lc)|(penalty))"</v>
      </c>
      <c r="AG46" s="1" t="str">
        <f t="shared" si="14"/>
        <v>EC</v>
      </c>
      <c r="AH46" s="81" t="str">
        <f t="shared" si="19"/>
        <v>"%USERPROFILE%\Documents\GitHub\eaglep3\Utilities\RefineRTDCRunTimes.py" --tripid 133-12 --locoid 4022 --swversion DE.1.0.9.0 --startMP 204:460 --initTime 2017-05-12T07:39:46 --startdatetime 2017-05-12T07:45:50 --delay 1 --endMP 204:233310 --enddatetime 2017-05-12T08:22:23 --enforcementcount 0 &gt;&gt;C:\Users\stu\Documents\GitHub\eaglep3-reporting\EC\2017-05-12-refined-times.txt</v>
      </c>
      <c r="AI46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{"issue":{"subject":"","project_id":79,"tracker_id":40,"status_id":1,"priority_id":2,"assigned_to_id":23,"start_date":"2017-05-12","description":"","custom_fields":[{"id":1,"name":"Subdivision","value":"EC"},{"id":4,"name":"Milepost","value":"23.331"},{"id":17,"name":"Train ID","value":"133-12"},{"id":16,"name":"Locomotive ID","value":"4022"},{"id":130,"name":"Impact","value":""},{"id":150,"name":"Time of Event (Mountain Time)","value":"08:22:23"},{"id":151,"name":"Denver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1"/>
        <v>start /low /b %USERPROFILE%\Documents\GitHub\eaglep3\Utilities\DownloadLogsFromS3.py --loco 4022 --day 2017-05-12</v>
      </c>
      <c r="AN46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14:22:23"},{"id":29,"name":"Sharepoint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657</v>
      </c>
      <c r="B47" s="7">
        <v>4021</v>
      </c>
      <c r="C47" s="21" t="s">
        <v>206</v>
      </c>
      <c r="D47" s="21" t="s">
        <v>393</v>
      </c>
      <c r="E47" s="13">
        <v>42867.355324074073</v>
      </c>
      <c r="F47" s="13">
        <v>42867.362002314818</v>
      </c>
      <c r="G47" s="7">
        <v>1</v>
      </c>
      <c r="H47" s="21" t="s">
        <v>360</v>
      </c>
      <c r="I47" s="13">
        <v>42867.389814814815</v>
      </c>
      <c r="J47" s="7">
        <v>0</v>
      </c>
      <c r="K47" s="92" t="str">
        <f t="shared" si="0"/>
        <v>4021/4022</v>
      </c>
      <c r="L47" s="21" t="str">
        <f>VLOOKUP(A47,'Trips&amp;Operators'!$C$1:$G$99999,5,FALSE)</f>
        <v>ROBINSON KADDIBA</v>
      </c>
      <c r="M47" s="6">
        <f t="shared" si="1"/>
        <v>2.7812499996798579E-2</v>
      </c>
      <c r="N47" s="7">
        <f t="shared" si="24"/>
        <v>40.049999995389953</v>
      </c>
      <c r="O47" s="7"/>
      <c r="P47" s="7"/>
      <c r="Q47" s="22"/>
      <c r="R47" s="190"/>
      <c r="S47" s="196">
        <f t="shared" si="25"/>
        <v>1</v>
      </c>
      <c r="T47" s="190" t="str">
        <f t="shared" si="4"/>
        <v>Southbound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1" t="str">
        <f t="shared" si="5"/>
        <v>https://d0f6bd738d7f1b3e5a7ca70fe4ff75f0.us-east-1.aws.found.io/app/kibana#/discover/Steve-Slow-Train-Analysis-(2080s-and-2083s)?_g=(refreshInterval:(display:Off,pause:!f,section:0,value:0),time:(from:'2017-05-12T07:31:40-0600',mode:absolute,to:'2017-05-12T10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7" s="192" t="str">
        <f t="shared" si="6"/>
        <v>N</v>
      </c>
      <c r="X47" s="192">
        <f t="shared" si="7"/>
        <v>1</v>
      </c>
      <c r="Y47" s="192">
        <f t="shared" si="8"/>
        <v>23.299800000000001</v>
      </c>
      <c r="Z47" s="192">
        <f t="shared" si="9"/>
        <v>1.43E-2</v>
      </c>
      <c r="AA47" s="192">
        <f t="shared" si="10"/>
        <v>23.285500000000003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1"/>
        <v>0134-12</v>
      </c>
      <c r="AE47" s="80" t="str">
        <f t="shared" si="12"/>
        <v>aws s3 cp s3://rtdc.mdm.uploadarchive.raw/RTDC4021/ "%USERPROFILE%\AppData\Local\Temp\OnboardLogs"\RTDC4021\2017-05-12 --exclude "*" --recursive --include "*20170512*" &amp; "%USERPROFILE%\Documents\GitHub\mrs-test-scripts\Headless Mode &amp; Sideloading\WalkAndUnGZ.bat" "%USERPROFILE%\AppData\Local\Temp\OnboardLogs"\RTDC4021\2017-05-12 &amp; aws s3 cp s3://rtdc.mdm.uploadarchive.raw/RTDC4021/ "%USERPROFILE%\AppData\Local\Temp\OnboardLogs"\RTDC4021\2017-05-13 --exclude "*" --recursive --include "*20170513*" &amp; "%USERPROFILE%\Documents\GitHub\mrs-test-scripts\Headless Mode &amp; Sideloading\WalkAndUnGZ.bat" "%USERPROFILE%\AppData\Local\Temp\OnboardLogs"\RTDC4021\2017-05-13</v>
      </c>
      <c r="AF47" s="77" t="str">
        <f t="shared" si="13"/>
        <v>"C:\Program Files (x86)\AstroGrep\AstroGrep.exe" /e /r /s /spath="%USERPROFILE%\AppData\Local\Temp\OnboardLogs" /stypes="app*4021*20170512*" /stext=" 15:.+((SYSTEM_STATE.+slice.+state.+changed )|(ment ac)|(multiple cpu faults)|(system.+state.+changed )|(\[timeout)|(PRM\|1\|D)|(kpr)|(kdp)|(train st.+moving)|(\|lc)|(penalty))"</v>
      </c>
      <c r="AG47" s="1" t="str">
        <f t="shared" si="14"/>
        <v>EC</v>
      </c>
      <c r="AH47" s="81" t="str">
        <f t="shared" si="19"/>
        <v>"%USERPROFILE%\Documents\GitHub\eaglep3\Utilities\RefineRTDCRunTimes.py" --tripid 134-12 --locoid 4021 --swversion DE.1.0.9.0 --startMP 204:232998 --initTime 2017-05-12T08:31:40 --startdatetime 2017-05-12T08:41:17 --delay 1 --endMP 204:143 --enddatetime 2017-05-12T09:21:20 --enforcementcount 0 &gt;&gt;C:\Users\stu\Documents\GitHub\eaglep3-reporting\EC\2017-05-12-refined-times.txt</v>
      </c>
      <c r="AI47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{"issue":{"subject":"","project_id":79,"tracker_id":40,"status_id":1,"priority_id":2,"assigned_to_id":23,"start_date":"2017-05-12","description":"","custom_fields":[{"id":1,"name":"Subdivision","value":"EC"},{"id":4,"name":"Milepost","value":"0.0143"},{"id":17,"name":"Train ID","value":"134-12"},{"id":16,"name":"Locomotive ID","value":"4021"},{"id":130,"name":"Impact","value":""},{"id":150,"name":"Time of Event (Mountain Time)","value":"09:21:20"},{"id":151,"name":"Denver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1"/>
        <v>start /low /b %USERPROFILE%\Documents\GitHub\eaglep3\Utilities\DownloadLogsFromS3.py --loco 4021 --day 2017-05-12</v>
      </c>
      <c r="AN47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15:21:20"},{"id":29,"name":"Sharepoint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647</v>
      </c>
      <c r="B48" s="7">
        <v>4016</v>
      </c>
      <c r="C48" s="21" t="s">
        <v>206</v>
      </c>
      <c r="D48" s="21" t="s">
        <v>367</v>
      </c>
      <c r="E48" s="13">
        <v>42867.330254629633</v>
      </c>
      <c r="F48" s="13">
        <v>42867.33353009259</v>
      </c>
      <c r="G48" s="7">
        <v>1</v>
      </c>
      <c r="H48" s="21" t="s">
        <v>836</v>
      </c>
      <c r="I48" s="13">
        <v>42867.358437499999</v>
      </c>
      <c r="J48" s="7">
        <v>0</v>
      </c>
      <c r="K48" s="92" t="str">
        <f t="shared" si="0"/>
        <v>4015/4016</v>
      </c>
      <c r="L48" s="21" t="str">
        <f>VLOOKUP(A48,'Trips&amp;Operators'!$C$1:$G$99999,5,FALSE)</f>
        <v>ACKERMAN JARED</v>
      </c>
      <c r="M48" s="6">
        <f t="shared" si="1"/>
        <v>2.4907407409045845E-2</v>
      </c>
      <c r="N48" s="7">
        <f t="shared" si="24"/>
        <v>35.866666669026017</v>
      </c>
      <c r="O48" s="7"/>
      <c r="P48" s="7"/>
      <c r="Q48" s="22"/>
      <c r="R48" s="190"/>
      <c r="S48" s="196">
        <f t="shared" si="25"/>
        <v>1</v>
      </c>
      <c r="T48" s="190" t="str">
        <f t="shared" si="4"/>
        <v>NorthBound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1" t="str">
        <f t="shared" si="5"/>
        <v>https://d0f6bd738d7f1b3e5a7ca70fe4ff75f0.us-east-1.aws.found.io/app/kibana#/discover/Steve-Slow-Train-Analysis-(2080s-and-2083s)?_g=(refreshInterval:(display:Off,pause:!f,section:0,value:0),time:(from:'2017-05-12T06:55:34-0600',mode:absolute,to:'2017-05-12T09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8" s="192" t="str">
        <f t="shared" si="6"/>
        <v>N</v>
      </c>
      <c r="X48" s="192">
        <f t="shared" si="7"/>
        <v>1</v>
      </c>
      <c r="Y48" s="192">
        <f t="shared" si="8"/>
        <v>4.6399999999999997E-2</v>
      </c>
      <c r="Z48" s="192">
        <f t="shared" si="9"/>
        <v>23.329699999999999</v>
      </c>
      <c r="AA48" s="192">
        <f t="shared" si="10"/>
        <v>23.283300000000001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11"/>
        <v>0135-12</v>
      </c>
      <c r="AE48" s="80" t="str">
        <f t="shared" si="12"/>
        <v>aws s3 cp s3://rtdc.mdm.uploadarchive.raw/RTDC4016/ "%USERPROFILE%\AppData\Local\Temp\OnboardLogs"\RTDC4016\2017-05-12 --exclude "*" --recursive --include "*20170512*" &amp; "%USERPROFILE%\Documents\GitHub\mrs-test-scripts\Headless Mode &amp; Sideloading\WalkAndUnGZ.bat" "%USERPROFILE%\AppData\Local\Temp\OnboardLogs"\RTDC4016\2017-05-12 &amp; aws s3 cp s3://rtdc.mdm.uploadarchive.raw/RTDC4016/ "%USERPROFILE%\AppData\Local\Temp\OnboardLogs"\RTDC4016\2017-05-13 --exclude "*" --recursive --include "*20170513*" &amp; "%USERPROFILE%\Documents\GitHub\mrs-test-scripts\Headless Mode &amp; Sideloading\WalkAndUnGZ.bat" "%USERPROFILE%\AppData\Local\Temp\OnboardLogs"\RTDC4016\2017-05-13</v>
      </c>
      <c r="AF48" s="77" t="str">
        <f t="shared" si="13"/>
        <v>"C:\Program Files (x86)\AstroGrep\AstroGrep.exe" /e /r /s /spath="%USERPROFILE%\AppData\Local\Temp\OnboardLogs" /stypes="app*4016*20170512*" /stext=" 14:.+((SYSTEM_STATE.+slice.+state.+changed )|(ment ac)|(multiple cpu faults)|(system.+state.+changed )|(\[timeout)|(PRM\|1\|D)|(kpr)|(kdp)|(train st.+moving)|(\|lc)|(penalty))"</v>
      </c>
      <c r="AG48" s="1" t="str">
        <f t="shared" si="14"/>
        <v>EC</v>
      </c>
      <c r="AH48" s="81" t="str">
        <f t="shared" si="19"/>
        <v>"%USERPROFILE%\Documents\GitHub\eaglep3\Utilities\RefineRTDCRunTimes.py" --tripid 135-12 --locoid 4016 --swversion DE.1.0.9.0 --startMP 204:464 --initTime 2017-05-12T07:55:34 --startdatetime 2017-05-12T08:00:17 --delay 1 --endMP 204:233297 --enddatetime 2017-05-12T08:36:09 --enforcementcount 0 &gt;&gt;C:\Users\stu\Documents\GitHub\eaglep3-reporting\EC\2017-05-12-refined-times.txt</v>
      </c>
      <c r="AI48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{"issue":{"subject":"","project_id":79,"tracker_id":40,"status_id":1,"priority_id":2,"assigned_to_id":23,"start_date":"2017-05-12","description":"","custom_fields":[{"id":1,"name":"Subdivision","value":"EC"},{"id":4,"name":"Milepost","value":"23.3297"},{"id":17,"name":"Train ID","value":"135-12"},{"id":16,"name":"Locomotive ID","value":"4016"},{"id":130,"name":"Impact","value":""},{"id":150,"name":"Time of Event (Mountain Time)","value":"08:36:09"},{"id":151,"name":"Denver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1"/>
        <v>start /low /b %USERPROFILE%\Documents\GitHub\eaglep3\Utilities\DownloadLogsFromS3.py --loco 4016 --day 2017-05-12</v>
      </c>
      <c r="AN48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14:36:09"},{"id":29,"name":"Sharepoint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660</v>
      </c>
      <c r="B49" s="7">
        <v>4015</v>
      </c>
      <c r="C49" s="21" t="s">
        <v>206</v>
      </c>
      <c r="D49" s="21" t="s">
        <v>837</v>
      </c>
      <c r="E49" s="13">
        <v>42867.364965277775</v>
      </c>
      <c r="F49" s="13">
        <v>42867.372395833336</v>
      </c>
      <c r="G49" s="7">
        <v>1</v>
      </c>
      <c r="H49" s="21" t="s">
        <v>376</v>
      </c>
      <c r="I49" s="13">
        <v>42867.399745370371</v>
      </c>
      <c r="J49" s="7">
        <v>0</v>
      </c>
      <c r="K49" s="92" t="str">
        <f t="shared" si="0"/>
        <v>4015/4016</v>
      </c>
      <c r="L49" s="21" t="str">
        <f>VLOOKUP(A49,'Trips&amp;Operators'!$C$1:$G$99999,5,FALSE)</f>
        <v>ACKERMAN JARED</v>
      </c>
      <c r="M49" s="6">
        <f t="shared" si="1"/>
        <v>2.7349537034751847E-2</v>
      </c>
      <c r="N49" s="7">
        <f t="shared" si="24"/>
        <v>39.38333333004266</v>
      </c>
      <c r="O49" s="7"/>
      <c r="P49" s="7"/>
      <c r="Q49" s="22"/>
      <c r="R49" s="190"/>
      <c r="S49" s="196">
        <f t="shared" si="25"/>
        <v>1</v>
      </c>
      <c r="T49" s="190" t="str">
        <f t="shared" si="4"/>
        <v>Southbound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1" t="str">
        <f t="shared" si="5"/>
        <v>https://d0f6bd738d7f1b3e5a7ca70fe4ff75f0.us-east-1.aws.found.io/app/kibana#/discover/Steve-Slow-Train-Analysis-(2080s-and-2083s)?_g=(refreshInterval:(display:Off,pause:!f,section:0,value:0),time:(from:'2017-05-12T07:45:33-0600',mode:absolute,to:'2017-05-12T10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9" s="192" t="str">
        <f t="shared" si="6"/>
        <v>N</v>
      </c>
      <c r="X49" s="192">
        <f t="shared" si="7"/>
        <v>1</v>
      </c>
      <c r="Y49" s="192">
        <f t="shared" si="8"/>
        <v>23.297499999999999</v>
      </c>
      <c r="Z49" s="192">
        <f t="shared" si="9"/>
        <v>1.47E-2</v>
      </c>
      <c r="AA49" s="192">
        <f t="shared" si="10"/>
        <v>23.282799999999998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1"/>
        <v>0136-12</v>
      </c>
      <c r="AE49" s="80" t="str">
        <f t="shared" si="12"/>
        <v>aws s3 cp s3://rtdc.mdm.uploadarchive.raw/RTDC4015/ "%USERPROFILE%\AppData\Local\Temp\OnboardLogs"\RTDC4015\2017-05-12 --exclude "*" --recursive --include "*20170512*" &amp; "%USERPROFILE%\Documents\GitHub\mrs-test-scripts\Headless Mode &amp; Sideloading\WalkAndUnGZ.bat" "%USERPROFILE%\AppData\Local\Temp\OnboardLogs"\RTDC4015\2017-05-12 &amp; aws s3 cp s3://rtdc.mdm.uploadarchive.raw/RTDC4015/ "%USERPROFILE%\AppData\Local\Temp\OnboardLogs"\RTDC4015\2017-05-13 --exclude "*" --recursive --include "*20170513*" &amp; "%USERPROFILE%\Documents\GitHub\mrs-test-scripts\Headless Mode &amp; Sideloading\WalkAndUnGZ.bat" "%USERPROFILE%\AppData\Local\Temp\OnboardLogs"\RTDC4015\2017-05-13</v>
      </c>
      <c r="AF49" s="77" t="str">
        <f t="shared" si="13"/>
        <v>"C:\Program Files (x86)\AstroGrep\AstroGrep.exe" /e /r /s /spath="%USERPROFILE%\AppData\Local\Temp\OnboardLogs" /stypes="app*4015*20170512*" /stext=" 15:.+((SYSTEM_STATE.+slice.+state.+changed )|(ment ac)|(multiple cpu faults)|(system.+state.+changed )|(\[timeout)|(PRM\|1\|D)|(kpr)|(kdp)|(train st.+moving)|(\|lc)|(penalty))"</v>
      </c>
      <c r="AG49" s="1" t="str">
        <f t="shared" si="14"/>
        <v>EC</v>
      </c>
      <c r="AH49" s="81" t="str">
        <f t="shared" si="19"/>
        <v>"%USERPROFILE%\Documents\GitHub\eaglep3\Utilities\RefineRTDCRunTimes.py" --tripid 136-12 --locoid 4015 --swversion DE.1.0.9.0 --startMP 204:232975 --initTime 2017-05-12T08:45:33 --startdatetime 2017-05-12T08:56:15 --delay 1 --endMP 204:147 --enddatetime 2017-05-12T09:35:38 --enforcementcount 0 &gt;&gt;C:\Users\stu\Documents\GitHub\eaglep3-reporting\EC\2017-05-12-refined-times.txt</v>
      </c>
      <c r="AI49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{"issue":{"subject":"","project_id":79,"tracker_id":40,"status_id":1,"priority_id":2,"assigned_to_id":23,"start_date":"2017-05-12","description":"","custom_fields":[{"id":1,"name":"Subdivision","value":"EC"},{"id":4,"name":"Milepost","value":"0.0147"},{"id":17,"name":"Train ID","value":"136-12"},{"id":16,"name":"Locomotive ID","value":"4015"},{"id":130,"name":"Impact","value":""},{"id":150,"name":"Time of Event (Mountain Time)","value":"09:35:38"},{"id":151,"name":"Denver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1"/>
        <v>start /low /b %USERPROFILE%\Documents\GitHub\eaglep3\Utilities\DownloadLogsFromS3.py --loco 4015 --day 2017-05-12</v>
      </c>
      <c r="AN49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15:35:38"},{"id":29,"name":"Sharepoint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651</v>
      </c>
      <c r="B50" s="7">
        <v>4010</v>
      </c>
      <c r="C50" s="21" t="s">
        <v>206</v>
      </c>
      <c r="D50" s="21" t="s">
        <v>433</v>
      </c>
      <c r="E50" s="13">
        <v>42867.339675925927</v>
      </c>
      <c r="F50" s="13">
        <v>42867.344212962962</v>
      </c>
      <c r="G50" s="7">
        <v>1</v>
      </c>
      <c r="H50" s="21" t="s">
        <v>838</v>
      </c>
      <c r="I50" s="13">
        <v>42867.368819444448</v>
      </c>
      <c r="J50" s="7">
        <v>0</v>
      </c>
      <c r="K50" s="92" t="str">
        <f t="shared" si="0"/>
        <v>4009/4010</v>
      </c>
      <c r="L50" s="21" t="str">
        <f>VLOOKUP(A50,'Trips&amp;Operators'!$C$1:$G$99999,5,FALSE)</f>
        <v>LOZA FIDEL</v>
      </c>
      <c r="M50" s="6">
        <f t="shared" si="1"/>
        <v>2.4606481485534459E-2</v>
      </c>
      <c r="N50" s="7">
        <f t="shared" si="24"/>
        <v>35.433333339169621</v>
      </c>
      <c r="O50" s="7"/>
      <c r="P50" s="7"/>
      <c r="Q50" s="22"/>
      <c r="R50" s="190"/>
      <c r="S50" s="196">
        <f t="shared" si="25"/>
        <v>1</v>
      </c>
      <c r="T50" s="190" t="str">
        <f t="shared" si="4"/>
        <v>NorthBound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1" t="str">
        <f t="shared" si="5"/>
        <v>https://d0f6bd738d7f1b3e5a7ca70fe4ff75f0.us-east-1.aws.found.io/app/kibana#/discover/Steve-Slow-Train-Analysis-(2080s-and-2083s)?_g=(refreshInterval:(display:Off,pause:!f,section:0,value:0),time:(from:'2017-05-12T07:09:08-0600',mode:absolute,to:'2017-05-12T09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0" s="192" t="str">
        <f t="shared" si="6"/>
        <v>N</v>
      </c>
      <c r="X50" s="192">
        <f t="shared" si="7"/>
        <v>1</v>
      </c>
      <c r="Y50" s="192">
        <f t="shared" si="8"/>
        <v>4.6199999999999998E-2</v>
      </c>
      <c r="Z50" s="192">
        <f t="shared" si="9"/>
        <v>23.338699999999999</v>
      </c>
      <c r="AA50" s="192">
        <f t="shared" si="10"/>
        <v>23.2925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1"/>
        <v>0137-12</v>
      </c>
      <c r="AE50" s="80" t="str">
        <f t="shared" si="12"/>
        <v>aws s3 cp s3://rtdc.mdm.uploadarchive.raw/RTDC4010/ "%USERPROFILE%\AppData\Local\Temp\OnboardLogs"\RTDC4010\2017-05-12 --exclude "*" --recursive --include "*20170512*" &amp; "%USERPROFILE%\Documents\GitHub\mrs-test-scripts\Headless Mode &amp; Sideloading\WalkAndUnGZ.bat" "%USERPROFILE%\AppData\Local\Temp\OnboardLogs"\RTDC4010\2017-05-12 &amp; aws s3 cp s3://rtdc.mdm.uploadarchive.raw/RTDC4010/ "%USERPROFILE%\AppData\Local\Temp\OnboardLogs"\RTDC4010\2017-05-13 --exclude "*" --recursive --include "*20170513*" &amp; "%USERPROFILE%\Documents\GitHub\mrs-test-scripts\Headless Mode &amp; Sideloading\WalkAndUnGZ.bat" "%USERPROFILE%\AppData\Local\Temp\OnboardLogs"\RTDC4010\2017-05-13</v>
      </c>
      <c r="AF50" s="77" t="str">
        <f t="shared" si="13"/>
        <v>"C:\Program Files (x86)\AstroGrep\AstroGrep.exe" /e /r /s /spath="%USERPROFILE%\AppData\Local\Temp\OnboardLogs" /stypes="app*4010*20170512*" /stext=" 14:.+((SYSTEM_STATE.+slice.+state.+changed )|(ment ac)|(multiple cpu faults)|(system.+state.+changed )|(\[timeout)|(PRM\|1\|D)|(kpr)|(kdp)|(train st.+moving)|(\|lc)|(penalty))"</v>
      </c>
      <c r="AG50" s="1" t="str">
        <f t="shared" si="14"/>
        <v>EC</v>
      </c>
      <c r="AH50" s="81" t="str">
        <f t="shared" si="19"/>
        <v>"%USERPROFILE%\Documents\GitHub\eaglep3\Utilities\RefineRTDCRunTimes.py" --tripid 137-12 --locoid 4010 --swversion DE.1.0.9.0 --startMP 204:462 --initTime 2017-05-12T08:09:08 --startdatetime 2017-05-12T08:15:40 --delay 1 --endMP 204:233387 --enddatetime 2017-05-12T08:51:06 --enforcementcount 0 &gt;&gt;C:\Users\stu\Documents\GitHub\eaglep3-reporting\EC\2017-05-12-refined-times.txt</v>
      </c>
      <c r="AI50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{"issue":{"subject":"","project_id":79,"tracker_id":40,"status_id":1,"priority_id":2,"assigned_to_id":23,"start_date":"2017-05-12","description":"","custom_fields":[{"id":1,"name":"Subdivision","value":"EC"},{"id":4,"name":"Milepost","value":"23.3387"},{"id":17,"name":"Train ID","value":"137-12"},{"id":16,"name":"Locomotive ID","value":"4010"},{"id":130,"name":"Impact","value":""},{"id":150,"name":"Time of Event (Mountain Time)","value":"08:51:06"},{"id":151,"name":"Denver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1"/>
        <v>start /low /b %USERPROFILE%\Documents\GitHub\eaglep3\Utilities\DownloadLogsFromS3.py --loco 4010 --day 2017-05-12</v>
      </c>
      <c r="AN50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14:51:06"},{"id":29,"name":"Sharepoint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663</v>
      </c>
      <c r="B51" s="7">
        <v>4009</v>
      </c>
      <c r="C51" s="21" t="s">
        <v>206</v>
      </c>
      <c r="D51" s="21" t="s">
        <v>839</v>
      </c>
      <c r="E51" s="13">
        <v>42867.381481481483</v>
      </c>
      <c r="F51" s="13">
        <v>42867.382939814815</v>
      </c>
      <c r="G51" s="7">
        <v>1</v>
      </c>
      <c r="H51" s="21" t="s">
        <v>375</v>
      </c>
      <c r="I51" s="13">
        <v>42867.40902777778</v>
      </c>
      <c r="J51" s="7">
        <v>0</v>
      </c>
      <c r="K51" s="92" t="str">
        <f t="shared" si="0"/>
        <v>4009/4010</v>
      </c>
      <c r="L51" s="21" t="str">
        <f>VLOOKUP(A51,'Trips&amp;Operators'!$C$1:$G$99999,5,FALSE)</f>
        <v>LOZA FIDEL</v>
      </c>
      <c r="M51" s="6">
        <f t="shared" si="1"/>
        <v>2.6087962964083999E-2</v>
      </c>
      <c r="N51" s="7">
        <f t="shared" si="24"/>
        <v>37.566666668280959</v>
      </c>
      <c r="O51" s="7"/>
      <c r="P51" s="7"/>
      <c r="Q51" s="22"/>
      <c r="R51" s="190"/>
      <c r="S51" s="196">
        <f t="shared" si="25"/>
        <v>1</v>
      </c>
      <c r="T51" s="190" t="str">
        <f t="shared" si="4"/>
        <v>Southbound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1" t="str">
        <f t="shared" si="5"/>
        <v>https://d0f6bd738d7f1b3e5a7ca70fe4ff75f0.us-east-1.aws.found.io/app/kibana#/discover/Steve-Slow-Train-Analysis-(2080s-and-2083s)?_g=(refreshInterval:(display:Off,pause:!f,section:0,value:0),time:(from:'2017-05-12T08:09:20-0600',mode:absolute,to:'2017-05-12T10:49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1" s="192" t="str">
        <f t="shared" si="6"/>
        <v>N</v>
      </c>
      <c r="X51" s="192">
        <f t="shared" si="7"/>
        <v>1</v>
      </c>
      <c r="Y51" s="192">
        <f t="shared" si="8"/>
        <v>23.308900000000001</v>
      </c>
      <c r="Z51" s="192">
        <f t="shared" si="9"/>
        <v>1.41E-2</v>
      </c>
      <c r="AA51" s="192">
        <f t="shared" si="10"/>
        <v>23.294800000000002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1"/>
        <v>0138-12</v>
      </c>
      <c r="AE51" s="80" t="str">
        <f t="shared" si="12"/>
        <v>aws s3 cp s3://rtdc.mdm.uploadarchive.raw/RTDC4009/ "%USERPROFILE%\AppData\Local\Temp\OnboardLogs"\RTDC4009\2017-05-12 --exclude "*" --recursive --include "*20170512*" &amp; "%USERPROFILE%\Documents\GitHub\mrs-test-scripts\Headless Mode &amp; Sideloading\WalkAndUnGZ.bat" "%USERPROFILE%\AppData\Local\Temp\OnboardLogs"\RTDC4009\2017-05-12 &amp; aws s3 cp s3://rtdc.mdm.uploadarchive.raw/RTDC4009/ "%USERPROFILE%\AppData\Local\Temp\OnboardLogs"\RTDC4009\2017-05-13 --exclude "*" --recursive --include "*20170513*" &amp; "%USERPROFILE%\Documents\GitHub\mrs-test-scripts\Headless Mode &amp; Sideloading\WalkAndUnGZ.bat" "%USERPROFILE%\AppData\Local\Temp\OnboardLogs"\RTDC4009\2017-05-13</v>
      </c>
      <c r="AF51" s="77" t="str">
        <f t="shared" si="13"/>
        <v>"C:\Program Files (x86)\AstroGrep\AstroGrep.exe" /e /r /s /spath="%USERPROFILE%\AppData\Local\Temp\OnboardLogs" /stypes="app*4009*20170512*" /stext=" 15:.+((SYSTEM_STATE.+slice.+state.+changed )|(ment ac)|(multiple cpu faults)|(system.+state.+changed )|(\[timeout)|(PRM\|1\|D)|(kpr)|(kdp)|(train st.+moving)|(\|lc)|(penalty))"</v>
      </c>
      <c r="AG51" s="1" t="str">
        <f t="shared" si="14"/>
        <v>EC</v>
      </c>
      <c r="AH51" s="81" t="str">
        <f t="shared" si="19"/>
        <v>"%USERPROFILE%\Documents\GitHub\eaglep3\Utilities\RefineRTDCRunTimes.py" --tripid 138-12 --locoid 4009 --swversion DE.1.0.9.0 --startMP 204:233089 --initTime 2017-05-12T09:09:20 --startdatetime 2017-05-12T09:11:26 --delay 1 --endMP 204:141 --enddatetime 2017-05-12T09:49:00 --enforcementcount 0 &gt;&gt;C:\Users\stu\Documents\GitHub\eaglep3-reporting\EC\2017-05-12-refined-times.txt</v>
      </c>
      <c r="AI51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{"issue":{"subject":"","project_id":79,"tracker_id":40,"status_id":1,"priority_id":2,"assigned_to_id":23,"start_date":"2017-05-12","description":"","custom_fields":[{"id":1,"name":"Subdivision","value":"EC"},{"id":4,"name":"Milepost","value":"0.0141"},{"id":17,"name":"Train ID","value":"138-12"},{"id":16,"name":"Locomotive ID","value":"4009"},{"id":130,"name":"Impact","value":""},{"id":150,"name":"Time of Event (Mountain Time)","value":"09:49:00"},{"id":151,"name":"Denver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1"/>
        <v>start /low /b %USERPROFILE%\Documents\GitHub\eaglep3\Utilities\DownloadLogsFromS3.py --loco 4009 --day 2017-05-12</v>
      </c>
      <c r="AN51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15:49:00"},{"id":29,"name":"Sharepoint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654</v>
      </c>
      <c r="B52" s="7">
        <v>4046</v>
      </c>
      <c r="C52" s="21" t="s">
        <v>206</v>
      </c>
      <c r="D52" s="21" t="s">
        <v>378</v>
      </c>
      <c r="E52" s="13">
        <v>42867.350995370369</v>
      </c>
      <c r="F52" s="13">
        <v>42867.354513888888</v>
      </c>
      <c r="G52" s="7">
        <v>3</v>
      </c>
      <c r="H52" s="21" t="s">
        <v>520</v>
      </c>
      <c r="I52" s="13">
        <v>42867.386863425927</v>
      </c>
      <c r="J52" s="7">
        <v>0</v>
      </c>
      <c r="K52" s="92" t="str">
        <f t="shared" si="0"/>
        <v>4045/4046</v>
      </c>
      <c r="L52" s="21" t="str">
        <f>VLOOKUP(A52,'Trips&amp;Operators'!$C$1:$G$99999,5,FALSE)</f>
        <v>YOUNG ELIZABETH</v>
      </c>
      <c r="M52" s="6">
        <f t="shared" si="1"/>
        <v>3.234953703940846E-2</v>
      </c>
      <c r="N52" s="7">
        <f t="shared" si="24"/>
        <v>46.583333336748183</v>
      </c>
      <c r="O52" s="7"/>
      <c r="P52" s="7"/>
      <c r="Q52" s="22"/>
      <c r="R52" s="190" t="s">
        <v>1055</v>
      </c>
      <c r="S52" s="196">
        <f t="shared" si="25"/>
        <v>1</v>
      </c>
      <c r="T52" s="190" t="str">
        <f t="shared" si="4"/>
        <v>NorthBound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1" t="str">
        <f t="shared" si="5"/>
        <v>https://d0f6bd738d7f1b3e5a7ca70fe4ff75f0.us-east-1.aws.found.io/app/kibana#/discover/Steve-Slow-Train-Analysis-(2080s-and-2083s)?_g=(refreshInterval:(display:Off,pause:!f,section:0,value:0),time:(from:'2017-05-12T07:25:26-0600',mode:absolute,to:'2017-05-12T10:17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2" s="192" t="str">
        <f t="shared" si="6"/>
        <v>N</v>
      </c>
      <c r="X52" s="192">
        <f t="shared" si="7"/>
        <v>1</v>
      </c>
      <c r="Y52" s="192">
        <f t="shared" si="8"/>
        <v>4.4200000000000003E-2</v>
      </c>
      <c r="Z52" s="192">
        <f t="shared" si="9"/>
        <v>23.328900000000001</v>
      </c>
      <c r="AA52" s="192">
        <f t="shared" si="10"/>
        <v>23.284700000000001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11"/>
        <v>0139-12</v>
      </c>
      <c r="AE52" s="80" t="str">
        <f t="shared" si="12"/>
        <v>aws s3 cp s3://rtdc.mdm.uploadarchive.raw/RTDC4046/ "%USERPROFILE%\AppData\Local\Temp\OnboardLogs"\RTDC4046\2017-05-12 --exclude "*" --recursive --include "*20170512*" &amp; "%USERPROFILE%\Documents\GitHub\mrs-test-scripts\Headless Mode &amp; Sideloading\WalkAndUnGZ.bat" "%USERPROFILE%\AppData\Local\Temp\OnboardLogs"\RTDC4046\2017-05-12 &amp; aws s3 cp s3://rtdc.mdm.uploadarchive.raw/RTDC4046/ "%USERPROFILE%\AppData\Local\Temp\OnboardLogs"\RTDC4046\2017-05-13 --exclude "*" --recursive --include "*20170513*" &amp; "%USERPROFILE%\Documents\GitHub\mrs-test-scripts\Headless Mode &amp; Sideloading\WalkAndUnGZ.bat" "%USERPROFILE%\AppData\Local\Temp\OnboardLogs"\RTDC4046\2017-05-13</v>
      </c>
      <c r="AF52" s="77" t="str">
        <f t="shared" si="13"/>
        <v>"C:\Program Files (x86)\AstroGrep\AstroGrep.exe" /e /r /s /spath="%USERPROFILE%\AppData\Local\Temp\OnboardLogs" /stypes="app*4046*20170512*" /stext=" 15:.+((SYSTEM_STATE.+slice.+state.+changed )|(ment ac)|(multiple cpu faults)|(system.+state.+changed )|(\[timeout)|(PRM\|1\|D)|(kpr)|(kdp)|(train st.+moving)|(\|lc)|(penalty))"</v>
      </c>
      <c r="AG52" s="1" t="str">
        <f t="shared" si="14"/>
        <v>EC</v>
      </c>
      <c r="AH52" s="81" t="str">
        <f t="shared" si="19"/>
        <v>"%USERPROFILE%\Documents\GitHub\eaglep3\Utilities\RefineRTDCRunTimes.py" --tripid 139-12 --locoid 4046 --swversion DE.1.0.9.0 --startMP 204:442 --initTime 2017-05-12T08:25:26 --startdatetime 2017-05-12T08:30:30 --delay 3 --endMP 204:233289 --enddatetime 2017-05-12T09:17:05 --enforcementcount 0 &gt;&gt;C:\Users\stu\Documents\GitHub\eaglep3-reporting\EC\2017-05-12-refined-times.txt</v>
      </c>
      <c r="AI52" s="99" t="str">
        <f t="shared" si="20"/>
        <v>echo {"issue":{"subject":"Brief Wi-MAX data drop","project_id":79,"tracker_id":40,"status_id":1,"priority_id":2,"assigned_to_id":23,"start_date":"2017-05-12","description":"","custom_fields":[{"id":1,"name":"Subdivision","value":"EC"},{"id":4,"name":"Milepost","value":"23.3289"},{"id":17,"name":"Train ID","value":"139-12"},{"id":16,"name":"Locomotive ID","value":"4046"},{"id":130,"name":"Impact","value":""},{"id":150,"name":"Time of Event (Mountain Time)","value":"09:17:05"},{"id":151,"name":"Denver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1"/>
        <v>start /low /b %USERPROFILE%\Documents\GitHub\eaglep3\Utilities\DownloadLogsFromS3.py --loco 4046 --day 2017-05-12</v>
      </c>
      <c r="AN52" s="154" t="str">
        <f t="shared" si="22"/>
        <v>echo {"issue":{"subject":"Brief Wi-MAX data drop","project_id":30,"tracker_id":4,"status_id":1,"priority_id":1,"assigned_to_id":10,"start_date":"2017-05-12","description":"","custom_fields":[{"id":30,"name":"Category","value":"Issue"},{"id":3,"name":"Functional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15:17:05"},{"id":29,"name":"Sharepoint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664</v>
      </c>
      <c r="B53" s="7">
        <v>4045</v>
      </c>
      <c r="C53" s="21" t="s">
        <v>206</v>
      </c>
      <c r="D53" s="21" t="s">
        <v>479</v>
      </c>
      <c r="E53" s="13">
        <v>42867.388391203705</v>
      </c>
      <c r="F53" s="13">
        <v>42867.393321759257</v>
      </c>
      <c r="G53" s="7">
        <v>3</v>
      </c>
      <c r="H53" s="21" t="s">
        <v>197</v>
      </c>
      <c r="I53" s="13">
        <v>42867.422048611108</v>
      </c>
      <c r="J53" s="7">
        <v>0</v>
      </c>
      <c r="K53" s="92" t="str">
        <f t="shared" si="0"/>
        <v>4045/4046</v>
      </c>
      <c r="L53" s="21" t="str">
        <f>VLOOKUP(A53,'Trips&amp;Operators'!$C$1:$G$99999,5,FALSE)</f>
        <v>YOUNG ELIZABETH</v>
      </c>
      <c r="M53" s="6">
        <f t="shared" si="1"/>
        <v>2.8726851851388346E-2</v>
      </c>
      <c r="N53" s="7">
        <f t="shared" si="24"/>
        <v>41.366666665999219</v>
      </c>
      <c r="O53" s="7"/>
      <c r="P53" s="7"/>
      <c r="Q53" s="22"/>
      <c r="R53" s="190"/>
      <c r="S53" s="196">
        <f t="shared" si="25"/>
        <v>1</v>
      </c>
      <c r="T53" s="190" t="str">
        <f t="shared" si="4"/>
        <v>Southbound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1" t="str">
        <f t="shared" si="5"/>
        <v>https://d0f6bd738d7f1b3e5a7ca70fe4ff75f0.us-east-1.aws.found.io/app/kibana#/discover/Steve-Slow-Train-Analysis-(2080s-and-2083s)?_g=(refreshInterval:(display:Off,pause:!f,section:0,value:0),time:(from:'2017-05-12T08:19:17-0600',mode:absolute,to:'2017-05-12T11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3" s="192" t="str">
        <f t="shared" si="6"/>
        <v>N</v>
      </c>
      <c r="X53" s="192">
        <f t="shared" si="7"/>
        <v>1</v>
      </c>
      <c r="Y53" s="192">
        <f t="shared" si="8"/>
        <v>23.296900000000001</v>
      </c>
      <c r="Z53" s="192">
        <f t="shared" si="9"/>
        <v>1.52E-2</v>
      </c>
      <c r="AA53" s="192">
        <f t="shared" si="10"/>
        <v>23.281700000000001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11"/>
        <v>0140-12</v>
      </c>
      <c r="AE53" s="80" t="str">
        <f t="shared" si="12"/>
        <v>aws s3 cp s3://rtdc.mdm.uploadarchive.raw/RTDC4045/ "%USERPROFILE%\AppData\Local\Temp\OnboardLogs"\RTDC4045\2017-05-12 --exclude "*" --recursive --include "*20170512*" &amp; "%USERPROFILE%\Documents\GitHub\mrs-test-scripts\Headless Mode &amp; Sideloading\WalkAndUnGZ.bat" "%USERPROFILE%\AppData\Local\Temp\OnboardLogs"\RTDC4045\2017-05-12 &amp; aws s3 cp s3://rtdc.mdm.uploadarchive.raw/RTDC4045/ "%USERPROFILE%\AppData\Local\Temp\OnboardLogs"\RTDC4045\2017-05-13 --exclude "*" --recursive --include "*20170513*" &amp; "%USERPROFILE%\Documents\GitHub\mrs-test-scripts\Headless Mode &amp; Sideloading\WalkAndUnGZ.bat" "%USERPROFILE%\AppData\Local\Temp\OnboardLogs"\RTDC4045\2017-05-13</v>
      </c>
      <c r="AF53" s="77" t="str">
        <f t="shared" si="13"/>
        <v>"C:\Program Files (x86)\AstroGrep\AstroGrep.exe" /e /r /s /spath="%USERPROFILE%\AppData\Local\Temp\OnboardLogs" /stypes="app*4045*20170512*" /stext=" 16:.+((SYSTEM_STATE.+slice.+state.+changed )|(ment ac)|(multiple cpu faults)|(system.+state.+changed )|(\[timeout)|(PRM\|1\|D)|(kpr)|(kdp)|(train st.+moving)|(\|lc)|(penalty))"</v>
      </c>
      <c r="AG53" s="1" t="str">
        <f t="shared" si="14"/>
        <v>EC</v>
      </c>
      <c r="AH53" s="81" t="str">
        <f t="shared" si="19"/>
        <v>"%USERPROFILE%\Documents\GitHub\eaglep3\Utilities\RefineRTDCRunTimes.py" --tripid 140-12 --locoid 4045 --swversion DE.1.0.9.0 --startMP 204:232969 --initTime 2017-05-12T09:19:17 --startdatetime 2017-05-12T09:26:23 --delay 3 --endMP 204:152 --enddatetime 2017-05-12T10:07:45 --enforcementcount 0 &gt;&gt;C:\Users\stu\Documents\GitHub\eaglep3-reporting\EC\2017-05-12-refined-times.txt</v>
      </c>
      <c r="AI53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{"issue":{"subject":"","project_id":79,"tracker_id":40,"status_id":1,"priority_id":2,"assigned_to_id":23,"start_date":"2017-05-12","description":"","custom_fields":[{"id":1,"name":"Subdivision","value":"EC"},{"id":4,"name":"Milepost","value":"0.0152"},{"id":17,"name":"Train ID","value":"140-12"},{"id":16,"name":"Locomotive ID","value":"4045"},{"id":130,"name":"Impact","value":""},{"id":150,"name":"Time of Event (Mountain Time)","value":"10:07:45"},{"id":151,"name":"Denver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1"/>
        <v>start /low /b %USERPROFILE%\Documents\GitHub\eaglep3\Utilities\DownloadLogsFromS3.py --loco 4045 --day 2017-05-12</v>
      </c>
      <c r="AN53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16:07:45"},{"id":29,"name":"Sharepoint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659</v>
      </c>
      <c r="B54" s="7">
        <v>4032</v>
      </c>
      <c r="C54" s="21" t="s">
        <v>206</v>
      </c>
      <c r="D54" s="21" t="s">
        <v>370</v>
      </c>
      <c r="E54" s="13">
        <v>42867.362303240741</v>
      </c>
      <c r="F54" s="13">
        <v>42867.364791666667</v>
      </c>
      <c r="G54" s="7">
        <v>1</v>
      </c>
      <c r="H54" s="21" t="s">
        <v>390</v>
      </c>
      <c r="I54" s="13">
        <v>42867.390231481484</v>
      </c>
      <c r="J54" s="7">
        <v>0</v>
      </c>
      <c r="K54" s="92" t="str">
        <f t="shared" si="0"/>
        <v>4031/4032</v>
      </c>
      <c r="L54" s="21" t="str">
        <f>VLOOKUP(A54,'Trips&amp;Operators'!$C$1:$G$99999,5,FALSE)</f>
        <v>BADERTSCHER DIANE</v>
      </c>
      <c r="M54" s="6">
        <f t="shared" si="1"/>
        <v>2.5439814817218576E-2</v>
      </c>
      <c r="N54" s="7">
        <f t="shared" si="24"/>
        <v>36.633333336794749</v>
      </c>
      <c r="O54" s="7"/>
      <c r="P54" s="7"/>
      <c r="Q54" s="22"/>
      <c r="R54" s="190"/>
      <c r="S54" s="196">
        <f t="shared" si="25"/>
        <v>1</v>
      </c>
      <c r="T54" s="190" t="str">
        <f t="shared" si="4"/>
        <v>NorthBound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1" t="str">
        <f t="shared" si="5"/>
        <v>https://d0f6bd738d7f1b3e5a7ca70fe4ff75f0.us-east-1.aws.found.io/app/kibana#/discover/Steve-Slow-Train-Analysis-(2080s-and-2083s)?_g=(refreshInterval:(display:Off,pause:!f,section:0,value:0),time:(from:'2017-05-12T07:41:43-0600',mode:absolute,to:'2017-05-12T10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4" s="192" t="str">
        <f t="shared" si="6"/>
        <v>N</v>
      </c>
      <c r="X54" s="192">
        <f t="shared" si="7"/>
        <v>1</v>
      </c>
      <c r="Y54" s="192">
        <f t="shared" si="8"/>
        <v>4.53E-2</v>
      </c>
      <c r="Z54" s="192">
        <f t="shared" si="9"/>
        <v>23.331199999999999</v>
      </c>
      <c r="AA54" s="192">
        <f t="shared" si="10"/>
        <v>23.285899999999998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1"/>
        <v>0141-12</v>
      </c>
      <c r="AE54" s="80" t="str">
        <f t="shared" si="12"/>
        <v>aws s3 cp s3://rtdc.mdm.uploadarchive.raw/RTDC4032/ "%USERPROFILE%\AppData\Local\Temp\OnboardLogs"\RTDC4032\2017-05-12 --exclude "*" --recursive --include "*20170512*" &amp; "%USERPROFILE%\Documents\GitHub\mrs-test-scripts\Headless Mode &amp; Sideloading\WalkAndUnGZ.bat" "%USERPROFILE%\AppData\Local\Temp\OnboardLogs"\RTDC4032\2017-05-12 &amp; aws s3 cp s3://rtdc.mdm.uploadarchive.raw/RTDC4032/ "%USERPROFILE%\AppData\Local\Temp\OnboardLogs"\RTDC4032\2017-05-13 --exclude "*" --recursive --include "*20170513*" &amp; "%USERPROFILE%\Documents\GitHub\mrs-test-scripts\Headless Mode &amp; Sideloading\WalkAndUnGZ.bat" "%USERPROFILE%\AppData\Local\Temp\OnboardLogs"\RTDC4032\2017-05-13</v>
      </c>
      <c r="AF54" s="77" t="str">
        <f t="shared" si="13"/>
        <v>"C:\Program Files (x86)\AstroGrep\AstroGrep.exe" /e /r /s /spath="%USERPROFILE%\AppData\Local\Temp\OnboardLogs" /stypes="app*4032*20170512*" /stext=" 15:.+((SYSTEM_STATE.+slice.+state.+changed )|(ment ac)|(multiple cpu faults)|(system.+state.+changed )|(\[timeout)|(PRM\|1\|D)|(kpr)|(kdp)|(train st.+moving)|(\|lc)|(penalty))"</v>
      </c>
      <c r="AG54" s="1" t="str">
        <f t="shared" si="14"/>
        <v>EC</v>
      </c>
      <c r="AH54" s="81" t="str">
        <f t="shared" si="19"/>
        <v>"%USERPROFILE%\Documents\GitHub\eaglep3\Utilities\RefineRTDCRunTimes.py" --tripid 141-12 --locoid 4032 --swversion DE.1.0.9.0 --startMP 204:453 --initTime 2017-05-12T08:41:43 --startdatetime 2017-05-12T08:45:18 --delay 1 --endMP 204:233312 --enddatetime 2017-05-12T09:21:56 --enforcementcount 0 &gt;&gt;C:\Users\stu\Documents\GitHub\eaglep3-reporting\EC\2017-05-12-refined-times.txt</v>
      </c>
      <c r="AI54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{"issue":{"subject":"","project_id":79,"tracker_id":40,"status_id":1,"priority_id":2,"assigned_to_id":23,"start_date":"2017-05-12","description":"","custom_fields":[{"id":1,"name":"Subdivision","value":"EC"},{"id":4,"name":"Milepost","value":"23.3312"},{"id":17,"name":"Train ID","value":"141-12"},{"id":16,"name":"Locomotive ID","value":"4032"},{"id":130,"name":"Impact","value":""},{"id":150,"name":"Time of Event (Mountain Time)","value":"09:21:56"},{"id":151,"name":"Denver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1"/>
        <v>start /low /b %USERPROFILE%\Documents\GitHub\eaglep3\Utilities\DownloadLogsFromS3.py --loco 4032 --day 2017-05-12</v>
      </c>
      <c r="AN54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15:21:56"},{"id":29,"name":"Sharepoint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666</v>
      </c>
      <c r="B55" s="7">
        <v>4031</v>
      </c>
      <c r="C55" s="21" t="s">
        <v>206</v>
      </c>
      <c r="D55" s="21" t="s">
        <v>840</v>
      </c>
      <c r="E55" s="13">
        <v>42867.395671296297</v>
      </c>
      <c r="F55" s="13">
        <v>42867.403645833336</v>
      </c>
      <c r="G55" s="7">
        <v>1</v>
      </c>
      <c r="H55" s="21" t="s">
        <v>360</v>
      </c>
      <c r="I55" s="13">
        <v>42867.432118055556</v>
      </c>
      <c r="J55" s="7">
        <v>0</v>
      </c>
      <c r="K55" s="92" t="str">
        <f t="shared" si="0"/>
        <v>4031/4032</v>
      </c>
      <c r="L55" s="21" t="str">
        <f>VLOOKUP(A55,'Trips&amp;Operators'!$C$1:$G$99999,5,FALSE)</f>
        <v>BADERTSCHER DIANE</v>
      </c>
      <c r="M55" s="6">
        <f t="shared" si="1"/>
        <v>2.8472222220443655E-2</v>
      </c>
      <c r="N55" s="7">
        <f t="shared" si="24"/>
        <v>40.999999997438863</v>
      </c>
      <c r="O55" s="7"/>
      <c r="P55" s="7"/>
      <c r="Q55" s="22"/>
      <c r="R55" s="190"/>
      <c r="S55" s="196">
        <f t="shared" si="25"/>
        <v>1</v>
      </c>
      <c r="T55" s="190" t="str">
        <f t="shared" si="4"/>
        <v>Southbound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1" t="str">
        <f t="shared" si="5"/>
        <v>https://d0f6bd738d7f1b3e5a7ca70fe4ff75f0.us-east-1.aws.found.io/app/kibana#/discover/Steve-Slow-Train-Analysis-(2080s-and-2083s)?_g=(refreshInterval:(display:Off,pause:!f,section:0,value:0),time:(from:'2017-05-12T08:29:46-0600',mode:absolute,to:'2017-05-12T11:22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5" s="192" t="str">
        <f t="shared" si="6"/>
        <v>N</v>
      </c>
      <c r="X55" s="192">
        <f t="shared" si="7"/>
        <v>1</v>
      </c>
      <c r="Y55" s="192">
        <f t="shared" si="8"/>
        <v>23.3004</v>
      </c>
      <c r="Z55" s="192">
        <f t="shared" si="9"/>
        <v>1.43E-2</v>
      </c>
      <c r="AA55" s="192">
        <f t="shared" si="10"/>
        <v>23.286100000000001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11"/>
        <v>0142-12</v>
      </c>
      <c r="AE55" s="80" t="str">
        <f t="shared" si="12"/>
        <v>aws s3 cp s3://rtdc.mdm.uploadarchive.raw/RTDC4031/ "%USERPROFILE%\AppData\Local\Temp\OnboardLogs"\RTDC4031\2017-05-12 --exclude "*" --recursive --include "*20170512*" &amp; "%USERPROFILE%\Documents\GitHub\mrs-test-scripts\Headless Mode &amp; Sideloading\WalkAndUnGZ.bat" "%USERPROFILE%\AppData\Local\Temp\OnboardLogs"\RTDC4031\2017-05-12 &amp; aws s3 cp s3://rtdc.mdm.uploadarchive.raw/RTDC4031/ "%USERPROFILE%\AppData\Local\Temp\OnboardLogs"\RTDC4031\2017-05-13 --exclude "*" --recursive --include "*20170513*" &amp; "%USERPROFILE%\Documents\GitHub\mrs-test-scripts\Headless Mode &amp; Sideloading\WalkAndUnGZ.bat" "%USERPROFILE%\AppData\Local\Temp\OnboardLogs"\RTDC4031\2017-05-13</v>
      </c>
      <c r="AF55" s="77" t="str">
        <f t="shared" si="13"/>
        <v>"C:\Program Files (x86)\AstroGrep\AstroGrep.exe" /e /r /s /spath="%USERPROFILE%\AppData\Local\Temp\OnboardLogs" /stypes="app*4031*20170512*" /stext=" 16:.+((SYSTEM_STATE.+slice.+state.+changed )|(ment ac)|(multiple cpu faults)|(system.+state.+changed )|(\[timeout)|(PRM\|1\|D)|(kpr)|(kdp)|(train st.+moving)|(\|lc)|(penalty))"</v>
      </c>
      <c r="AG55" s="1" t="str">
        <f t="shared" si="14"/>
        <v>EC</v>
      </c>
      <c r="AH55" s="81" t="str">
        <f t="shared" si="19"/>
        <v>"%USERPROFILE%\Documents\GitHub\eaglep3\Utilities\RefineRTDCRunTimes.py" --tripid 142-12 --locoid 4031 --swversion DE.1.0.9.0 --startMP 204:233004 --initTime 2017-05-12T09:29:46 --startdatetime 2017-05-12T09:41:15 --delay 1 --endMP 204:143 --enddatetime 2017-05-12T10:22:15 --enforcementcount 0 &gt;&gt;C:\Users\stu\Documents\GitHub\eaglep3-reporting\EC\2017-05-12-refined-times.txt</v>
      </c>
      <c r="AI55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{"issue":{"subject":"","project_id":79,"tracker_id":40,"status_id":1,"priority_id":2,"assigned_to_id":23,"start_date":"2017-05-12","description":"","custom_fields":[{"id":1,"name":"Subdivision","value":"EC"},{"id":4,"name":"Milepost","value":"0.0143"},{"id":17,"name":"Train ID","value":"142-12"},{"id":16,"name":"Locomotive ID","value":"4031"},{"id":130,"name":"Impact","value":""},{"id":150,"name":"Time of Event (Mountain Time)","value":"10:22:15"},{"id":151,"name":"Denver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1"/>
        <v>start /low /b %USERPROFILE%\Documents\GitHub\eaglep3\Utilities\DownloadLogsFromS3.py --loco 4031 --day 2017-05-12</v>
      </c>
      <c r="AN55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16:22:15"},{"id":29,"name":"Sharepoint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662</v>
      </c>
      <c r="B56" s="7">
        <v>4012</v>
      </c>
      <c r="C56" s="21" t="s">
        <v>206</v>
      </c>
      <c r="D56" s="21" t="s">
        <v>482</v>
      </c>
      <c r="E56" s="13">
        <v>42867.372893518521</v>
      </c>
      <c r="F56" s="13">
        <v>42867.375243055554</v>
      </c>
      <c r="G56" s="7">
        <v>1</v>
      </c>
      <c r="H56" s="21" t="s">
        <v>526</v>
      </c>
      <c r="I56" s="13">
        <v>42867.399363425924</v>
      </c>
      <c r="J56" s="7">
        <v>0</v>
      </c>
      <c r="K56" s="92" t="str">
        <f t="shared" si="0"/>
        <v>4011/4012</v>
      </c>
      <c r="L56" s="21" t="str">
        <f>VLOOKUP(A56,'Trips&amp;Operators'!$C$1:$G$99999,5,FALSE)</f>
        <v>ROCHA YAOTL</v>
      </c>
      <c r="M56" s="6">
        <f t="shared" si="1"/>
        <v>2.4120370369928423E-2</v>
      </c>
      <c r="N56" s="7">
        <f t="shared" si="24"/>
        <v>34.73333333269693</v>
      </c>
      <c r="O56" s="7"/>
      <c r="P56" s="7"/>
      <c r="Q56" s="22"/>
      <c r="R56" s="190"/>
      <c r="S56" s="196">
        <f t="shared" si="25"/>
        <v>1</v>
      </c>
      <c r="T56" s="190" t="str">
        <f t="shared" si="4"/>
        <v>NorthBound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1" t="str">
        <f t="shared" si="5"/>
        <v>https://d0f6bd738d7f1b3e5a7ca70fe4ff75f0.us-east-1.aws.found.io/app/kibana#/discover/Steve-Slow-Train-Analysis-(2080s-and-2083s)?_g=(refreshInterval:(display:Off,pause:!f,section:0,value:0),time:(from:'2017-05-12T07:56:58-0600',mode:absolute,to:'2017-05-12T10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6" s="192" t="str">
        <f t="shared" si="6"/>
        <v>N</v>
      </c>
      <c r="X56" s="192">
        <f t="shared" si="7"/>
        <v>1</v>
      </c>
      <c r="Y56" s="192">
        <f t="shared" si="8"/>
        <v>4.2700000000000002E-2</v>
      </c>
      <c r="Z56" s="192">
        <f t="shared" si="9"/>
        <v>23.3307</v>
      </c>
      <c r="AA56" s="192">
        <f t="shared" si="10"/>
        <v>23.288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11"/>
        <v>0143-12</v>
      </c>
      <c r="AE56" s="80" t="str">
        <f t="shared" si="12"/>
        <v>aws s3 cp s3://rtdc.mdm.uploadarchive.raw/RTDC4012/ "%USERPROFILE%\AppData\Local\Temp\OnboardLogs"\RTDC4012\2017-05-12 --exclude "*" --recursive --include "*20170512*" &amp; "%USERPROFILE%\Documents\GitHub\mrs-test-scripts\Headless Mode &amp; Sideloading\WalkAndUnGZ.bat" "%USERPROFILE%\AppData\Local\Temp\OnboardLogs"\RTDC4012\2017-05-12 &amp; aws s3 cp s3://rtdc.mdm.uploadarchive.raw/RTDC4012/ "%USERPROFILE%\AppData\Local\Temp\OnboardLogs"\RTDC4012\2017-05-13 --exclude "*" --recursive --include "*20170513*" &amp; "%USERPROFILE%\Documents\GitHub\mrs-test-scripts\Headless Mode &amp; Sideloading\WalkAndUnGZ.bat" "%USERPROFILE%\AppData\Local\Temp\OnboardLogs"\RTDC4012\2017-05-13</v>
      </c>
      <c r="AF56" s="77" t="str">
        <f t="shared" si="13"/>
        <v>"C:\Program Files (x86)\AstroGrep\AstroGrep.exe" /e /r /s /spath="%USERPROFILE%\AppData\Local\Temp\OnboardLogs" /stypes="app*4012*20170512*" /stext=" 15:.+((SYSTEM_STATE.+slice.+state.+changed )|(ment ac)|(multiple cpu faults)|(system.+state.+changed )|(\[timeout)|(PRM\|1\|D)|(kpr)|(kdp)|(train st.+moving)|(\|lc)|(penalty))"</v>
      </c>
      <c r="AG56" s="1" t="str">
        <f t="shared" si="14"/>
        <v>EC</v>
      </c>
      <c r="AH56" s="81" t="str">
        <f t="shared" si="19"/>
        <v>"%USERPROFILE%\Documents\GitHub\eaglep3\Utilities\RefineRTDCRunTimes.py" --tripid 143-12 --locoid 4012 --swversion DE.1.0.9.0 --startMP 204:427 --initTime 2017-05-12T08:56:58 --startdatetime 2017-05-12T09:00:21 --delay 1 --endMP 204:233307 --enddatetime 2017-05-12T09:35:05 --enforcementcount 0 &gt;&gt;C:\Users\stu\Documents\GitHub\eaglep3-reporting\EC\2017-05-12-refined-times.txt</v>
      </c>
      <c r="AI56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{"issue":{"subject":"","project_id":79,"tracker_id":40,"status_id":1,"priority_id":2,"assigned_to_id":23,"start_date":"2017-05-12","description":"","custom_fields":[{"id":1,"name":"Subdivision","value":"EC"},{"id":4,"name":"Milepost","value":"23.3307"},{"id":17,"name":"Train ID","value":"143-12"},{"id":16,"name":"Locomotive ID","value":"4012"},{"id":130,"name":"Impact","value":""},{"id":150,"name":"Time of Event (Mountain Time)","value":"09:35:05"},{"id":151,"name":"Denver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1"/>
        <v>start /low /b %USERPROFILE%\Documents\GitHub\eaglep3\Utilities\DownloadLogsFromS3.py --loco 4012 --day 2017-05-12</v>
      </c>
      <c r="AN56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15:35:05"},{"id":29,"name":"Sharepoint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671</v>
      </c>
      <c r="B57" s="7">
        <v>4011</v>
      </c>
      <c r="C57" s="21" t="s">
        <v>206</v>
      </c>
      <c r="D57" s="21" t="s">
        <v>841</v>
      </c>
      <c r="E57" s="13">
        <v>42867.413090277776</v>
      </c>
      <c r="F57" s="13">
        <v>42867.414270833331</v>
      </c>
      <c r="G57" s="7">
        <v>1</v>
      </c>
      <c r="H57" s="21" t="s">
        <v>358</v>
      </c>
      <c r="I57" s="13">
        <v>42867.440057870372</v>
      </c>
      <c r="J57" s="7">
        <v>0</v>
      </c>
      <c r="K57" s="92" t="str">
        <f t="shared" si="0"/>
        <v>4011/4012</v>
      </c>
      <c r="L57" s="21" t="str">
        <f>VLOOKUP(A57,'Trips&amp;Operators'!$C$1:$G$99999,5,FALSE)</f>
        <v>ROCHA YAOTL</v>
      </c>
      <c r="M57" s="6">
        <f t="shared" si="1"/>
        <v>2.5787037040572613E-2</v>
      </c>
      <c r="N57" s="7">
        <f t="shared" si="24"/>
        <v>37.133333338424563</v>
      </c>
      <c r="O57" s="7"/>
      <c r="P57" s="7"/>
      <c r="Q57" s="22"/>
      <c r="R57" s="190"/>
      <c r="S57" s="196">
        <f t="shared" si="25"/>
        <v>1</v>
      </c>
      <c r="T57" s="190" t="str">
        <f t="shared" si="4"/>
        <v>Southbound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1" t="str">
        <f t="shared" si="5"/>
        <v>https://d0f6bd738d7f1b3e5a7ca70fe4ff75f0.us-east-1.aws.found.io/app/kibana#/discover/Steve-Slow-Train-Analysis-(2080s-and-2083s)?_g=(refreshInterval:(display:Off,pause:!f,section:0,value:0),time:(from:'2017-05-12T08:54:51-0600',mode:absolute,to:'2017-05-12T11:33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7" s="192" t="str">
        <f t="shared" si="6"/>
        <v>N</v>
      </c>
      <c r="X57" s="192">
        <f t="shared" si="7"/>
        <v>1</v>
      </c>
      <c r="Y57" s="192">
        <f t="shared" si="8"/>
        <v>23.298400000000001</v>
      </c>
      <c r="Z57" s="192">
        <f t="shared" si="9"/>
        <v>1.4999999999999999E-2</v>
      </c>
      <c r="AA57" s="192">
        <f t="shared" si="10"/>
        <v>23.2834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11"/>
        <v>0144-12</v>
      </c>
      <c r="AE57" s="80" t="str">
        <f t="shared" si="12"/>
        <v>aws s3 cp s3://rtdc.mdm.uploadarchive.raw/RTDC4011/ "%USERPROFILE%\AppData\Local\Temp\OnboardLogs"\RTDC4011\2017-05-12 --exclude "*" --recursive --include "*20170512*" &amp; "%USERPROFILE%\Documents\GitHub\mrs-test-scripts\Headless Mode &amp; Sideloading\WalkAndUnGZ.bat" "%USERPROFILE%\AppData\Local\Temp\OnboardLogs"\RTDC4011\2017-05-12 &amp; aws s3 cp s3://rtdc.mdm.uploadarchive.raw/RTDC4011/ "%USERPROFILE%\AppData\Local\Temp\OnboardLogs"\RTDC4011\2017-05-13 --exclude "*" --recursive --include "*20170513*" &amp; "%USERPROFILE%\Documents\GitHub\mrs-test-scripts\Headless Mode &amp; Sideloading\WalkAndUnGZ.bat" "%USERPROFILE%\AppData\Local\Temp\OnboardLogs"\RTDC4011\2017-05-13</v>
      </c>
      <c r="AF57" s="77" t="str">
        <f t="shared" si="13"/>
        <v>"C:\Program Files (x86)\AstroGrep\AstroGrep.exe" /e /r /s /spath="%USERPROFILE%\AppData\Local\Temp\OnboardLogs" /stypes="app*4011*20170512*" /stext=" 16:.+((SYSTEM_STATE.+slice.+state.+changed )|(ment ac)|(multiple cpu faults)|(system.+state.+changed )|(\[timeout)|(PRM\|1\|D)|(kpr)|(kdp)|(train st.+moving)|(\|lc)|(penalty))"</v>
      </c>
      <c r="AG57" s="1" t="str">
        <f t="shared" si="14"/>
        <v>EC</v>
      </c>
      <c r="AH57" s="81" t="str">
        <f t="shared" si="19"/>
        <v>"%USERPROFILE%\Documents\GitHub\eaglep3\Utilities\RefineRTDCRunTimes.py" --tripid 144-12 --locoid 4011 --swversion DE.1.0.9.0 --startMP 204:232984 --initTime 2017-05-12T09:54:51 --startdatetime 2017-05-12T09:56:33 --delay 1 --endMP 204:150 --enddatetime 2017-05-12T10:33:41 --enforcementcount 0 &gt;&gt;C:\Users\stu\Documents\GitHub\eaglep3-reporting\EC\2017-05-12-refined-times.txt</v>
      </c>
      <c r="AI57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{"issue":{"subject":"","project_id":79,"tracker_id":40,"status_id":1,"priority_id":2,"assigned_to_id":23,"start_date":"2017-05-12","description":"","custom_fields":[{"id":1,"name":"Subdivision","value":"EC"},{"id":4,"name":"Milepost","value":"0.015"},{"id":17,"name":"Train ID","value":"144-12"},{"id":16,"name":"Locomotive ID","value":"4011"},{"id":130,"name":"Impact","value":""},{"id":150,"name":"Time of Event (Mountain Time)","value":"10:33:41"},{"id":151,"name":"Denver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1"/>
        <v>start /low /b %USERPROFILE%\Documents\GitHub\eaglep3\Utilities\DownloadLogsFromS3.py --loco 4011 --day 2017-05-12</v>
      </c>
      <c r="AN57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16:33:41"},{"id":29,"name":"Sharepoint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567</v>
      </c>
      <c r="B58" s="7">
        <v>4014</v>
      </c>
      <c r="C58" s="21" t="s">
        <v>206</v>
      </c>
      <c r="D58" s="21" t="s">
        <v>433</v>
      </c>
      <c r="E58" s="13">
        <v>42867.38082175926</v>
      </c>
      <c r="F58" s="13">
        <v>42867.385613425926</v>
      </c>
      <c r="G58" s="7">
        <v>1</v>
      </c>
      <c r="H58" s="21" t="s">
        <v>842</v>
      </c>
      <c r="I58" s="13">
        <v>42867.410601851851</v>
      </c>
      <c r="J58" s="7">
        <v>0</v>
      </c>
      <c r="K58" s="92" t="str">
        <f t="shared" si="0"/>
        <v>4013/4014</v>
      </c>
      <c r="L58" s="21" t="str">
        <f>VLOOKUP(A58,'Trips&amp;Operators'!$C$1:$G$99999,5,FALSE)</f>
        <v>YANAI IAN</v>
      </c>
      <c r="M58" s="6">
        <f t="shared" si="1"/>
        <v>2.4988425924675539E-2</v>
      </c>
      <c r="N58" s="7">
        <f t="shared" si="24"/>
        <v>35.983333331532776</v>
      </c>
      <c r="O58" s="7"/>
      <c r="P58" s="7"/>
      <c r="Q58" s="22"/>
      <c r="R58" s="190"/>
      <c r="S58" s="196">
        <f t="shared" si="25"/>
        <v>1</v>
      </c>
      <c r="T58" s="190" t="str">
        <f t="shared" si="4"/>
        <v>NorthBound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1" t="str">
        <f t="shared" si="5"/>
        <v>https://d0f6bd738d7f1b3e5a7ca70fe4ff75f0.us-east-1.aws.found.io/app/kibana#/discover/Steve-Slow-Train-Analysis-(2080s-and-2083s)?_g=(refreshInterval:(display:Off,pause:!f,section:0,value:0),time:(from:'2017-05-12T08:08:23-0600',mode:absolute,to:'2017-05-12T10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8" s="192" t="str">
        <f t="shared" si="6"/>
        <v>N</v>
      </c>
      <c r="X58" s="192">
        <f t="shared" ref="X58:X62" si="26">VALUE(LEFT(AD58,4))-VALUE(LEFT(AD57,4))</f>
        <v>1</v>
      </c>
      <c r="Y58" s="192">
        <f t="shared" si="8"/>
        <v>4.6199999999999998E-2</v>
      </c>
      <c r="Z58" s="192">
        <f t="shared" si="9"/>
        <v>23.329799999999999</v>
      </c>
      <c r="AA58" s="192">
        <f t="shared" si="10"/>
        <v>23.2836</v>
      </c>
      <c r="AB58" s="57" t="str">
        <f>VLOOKUP(A58,Enforcements!$C$7:$K$13,8,0)</f>
        <v>Bulletin (2)</v>
      </c>
      <c r="AC58" s="53" t="str">
        <f>VLOOKUP(A58,Enforcements!$C$7:$E$13,3,0)</f>
        <v>GRADE CROSSING</v>
      </c>
      <c r="AD58" s="54" t="str">
        <f t="shared" si="11"/>
        <v>0145-12</v>
      </c>
      <c r="AE58" s="80" t="str">
        <f t="shared" si="12"/>
        <v>aws s3 cp s3://rtdc.mdm.uploadarchive.raw/RTDC4014/ "%USERPROFILE%\AppData\Local\Temp\OnboardLogs"\RTDC4014\2017-05-12 --exclude "*" --recursive --include "*20170512*" &amp; "%USERPROFILE%\Documents\GitHub\mrs-test-scripts\Headless Mode &amp; Sideloading\WalkAndUnGZ.bat" "%USERPROFILE%\AppData\Local\Temp\OnboardLogs"\RTDC4014\2017-05-12 &amp; aws s3 cp s3://rtdc.mdm.uploadarchive.raw/RTDC4014/ "%USERPROFILE%\AppData\Local\Temp\OnboardLogs"\RTDC4014\2017-05-13 --exclude "*" --recursive --include "*20170513*" &amp; "%USERPROFILE%\Documents\GitHub\mrs-test-scripts\Headless Mode &amp; Sideloading\WalkAndUnGZ.bat" "%USERPROFILE%\AppData\Local\Temp\OnboardLogs"\RTDC4014\2017-05-13</v>
      </c>
      <c r="AF58" s="77" t="str">
        <f t="shared" si="13"/>
        <v>"C:\Program Files (x86)\AstroGrep\AstroGrep.exe" /e /r /s /spath="%USERPROFILE%\AppData\Local\Temp\OnboardLogs" /stypes="app*4014*20170512*" /stext=" 15:.+((SYSTEM_STATE.+slice.+state.+changed )|(ment ac)|(multiple cpu faults)|(system.+state.+changed )|(\[timeout)|(PRM\|1\|D)|(kpr)|(kdp)|(train st.+moving)|(\|lc)|(penalty))"</v>
      </c>
      <c r="AG58" s="1" t="str">
        <f t="shared" si="14"/>
        <v>EC</v>
      </c>
      <c r="AH58" s="81" t="str">
        <f t="shared" si="19"/>
        <v>"%USERPROFILE%\Documents\GitHub\eaglep3\Utilities\RefineRTDCRunTimes.py" --tripid 145-12 --locoid 4014 --swversion DE.1.0.9.0 --startMP 204:462 --initTime 2017-05-12T09:08:23 --startdatetime 2017-05-12T09:15:17 --delay 1 --endMP 204:233298 --enddatetime 2017-05-12T09:51:16 --enforcementcount 0 &gt;&gt;C:\Users\stu\Documents\GitHub\eaglep3-reporting\EC\2017-05-12-refined-times.txt</v>
      </c>
      <c r="AI58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{"issue":{"subject":"","project_id":79,"tracker_id":40,"status_id":1,"priority_id":2,"assigned_to_id":23,"start_date":"2017-05-12","description":"","custom_fields":[{"id":1,"name":"Subdivision","value":"EC"},{"id":4,"name":"Milepost","value":"23.3298"},{"id":17,"name":"Train ID","value":"145-12"},{"id":16,"name":"Locomotive ID","value":"4014"},{"id":130,"name":"Impact","value":""},{"id":150,"name":"Time of Event (Mountain Time)","value":"09:51:16"},{"id":151,"name":"Denver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1"/>
        <v>start /low /b %USERPROFILE%\Documents\GitHub\eaglep3\Utilities\DownloadLogsFromS3.py --loco 4014 --day 2017-05-12</v>
      </c>
      <c r="AN58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15:51:16"},{"id":29,"name":"Sharepoint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669</v>
      </c>
      <c r="B59" s="7">
        <v>4013</v>
      </c>
      <c r="C59" s="21" t="s">
        <v>206</v>
      </c>
      <c r="D59" s="21" t="s">
        <v>453</v>
      </c>
      <c r="E59" s="13">
        <v>42867.411874999998</v>
      </c>
      <c r="F59" s="13">
        <v>42867.424479166664</v>
      </c>
      <c r="G59" s="7">
        <v>13</v>
      </c>
      <c r="H59" s="21" t="s">
        <v>360</v>
      </c>
      <c r="I59" s="13">
        <v>42867.45040509259</v>
      </c>
      <c r="J59" s="7">
        <v>0</v>
      </c>
      <c r="K59" s="92" t="str">
        <f t="shared" si="0"/>
        <v>4013/4014</v>
      </c>
      <c r="L59" s="21" t="str">
        <f>VLOOKUP(A59,'Trips&amp;Operators'!$C$1:$G$99999,5,FALSE)</f>
        <v>YANAI IAN</v>
      </c>
      <c r="M59" s="6">
        <f t="shared" si="1"/>
        <v>2.5925925925548654E-2</v>
      </c>
      <c r="N59" s="7">
        <f t="shared" si="24"/>
        <v>37.333333332790062</v>
      </c>
      <c r="O59" s="7"/>
      <c r="P59" s="7"/>
      <c r="Q59" s="22"/>
      <c r="R59" s="190"/>
      <c r="S59" s="196">
        <f t="shared" si="25"/>
        <v>1</v>
      </c>
      <c r="T59" s="190" t="str">
        <f t="shared" si="4"/>
        <v>Southbound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1" t="str">
        <f t="shared" si="5"/>
        <v>https://d0f6bd738d7f1b3e5a7ca70fe4ff75f0.us-east-1.aws.found.io/app/kibana#/discover/Steve-Slow-Train-Analysis-(2080s-and-2083s)?_g=(refreshInterval:(display:Off,pause:!f,section:0,value:0),time:(from:'2017-05-12T08:53:06-0600',mode:absolute,to:'2017-05-12T11:48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9" s="192" t="str">
        <f t="shared" si="6"/>
        <v>N</v>
      </c>
      <c r="X59" s="192">
        <f t="shared" si="26"/>
        <v>1</v>
      </c>
      <c r="Y59" s="192">
        <f t="shared" si="8"/>
        <v>23.297699999999999</v>
      </c>
      <c r="Z59" s="192">
        <f t="shared" si="9"/>
        <v>1.43E-2</v>
      </c>
      <c r="AA59" s="192">
        <f t="shared" si="10"/>
        <v>23.2834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11"/>
        <v>0146-12</v>
      </c>
      <c r="AE59" s="80" t="str">
        <f t="shared" si="12"/>
        <v>aws s3 cp s3://rtdc.mdm.uploadarchive.raw/RTDC4013/ "%USERPROFILE%\AppData\Local\Temp\OnboardLogs"\RTDC4013\2017-05-12 --exclude "*" --recursive --include "*20170512*" &amp; "%USERPROFILE%\Documents\GitHub\mrs-test-scripts\Headless Mode &amp; Sideloading\WalkAndUnGZ.bat" "%USERPROFILE%\AppData\Local\Temp\OnboardLogs"\RTDC4013\2017-05-12 &amp; aws s3 cp s3://rtdc.mdm.uploadarchive.raw/RTDC4013/ "%USERPROFILE%\AppData\Local\Temp\OnboardLogs"\RTDC4013\2017-05-13 --exclude "*" --recursive --include "*20170513*" &amp; "%USERPROFILE%\Documents\GitHub\mrs-test-scripts\Headless Mode &amp; Sideloading\WalkAndUnGZ.bat" "%USERPROFILE%\AppData\Local\Temp\OnboardLogs"\RTDC4013\2017-05-13</v>
      </c>
      <c r="AF59" s="77" t="str">
        <f t="shared" si="13"/>
        <v>"C:\Program Files (x86)\AstroGrep\AstroGrep.exe" /e /r /s /spath="%USERPROFILE%\AppData\Local\Temp\OnboardLogs" /stypes="app*4013*20170512*" /stext=" 16:.+((SYSTEM_STATE.+slice.+state.+changed )|(ment ac)|(multiple cpu faults)|(system.+state.+changed )|(\[timeout)|(PRM\|1\|D)|(kpr)|(kdp)|(train st.+moving)|(\|lc)|(penalty))"</v>
      </c>
      <c r="AG59" s="1" t="str">
        <f t="shared" si="14"/>
        <v>EC</v>
      </c>
      <c r="AH59" s="81" t="str">
        <f t="shared" si="19"/>
        <v>"%USERPROFILE%\Documents\GitHub\eaglep3\Utilities\RefineRTDCRunTimes.py" --tripid 146-12 --locoid 4013 --swversion DE.1.0.9.0 --startMP 204:232977 --initTime 2017-05-12T09:53:06 --startdatetime 2017-05-12T10:11:15 --delay 13 --endMP 204:143 --enddatetime 2017-05-12T10:48:35 --enforcementcount 0 &gt;&gt;C:\Users\stu\Documents\GitHub\eaglep3-reporting\EC\2017-05-12-refined-times.txt</v>
      </c>
      <c r="AI59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{"issue":{"subject":"","project_id":79,"tracker_id":40,"status_id":1,"priority_id":2,"assigned_to_id":23,"start_date":"2017-05-12","description":"","custom_fields":[{"id":1,"name":"Subdivision","value":"EC"},{"id":4,"name":"Milepost","value":"0.0143"},{"id":17,"name":"Train ID","value":"146-12"},{"id":16,"name":"Locomotive ID","value":"4013"},{"id":130,"name":"Impact","value":""},{"id":150,"name":"Time of Event (Mountain Time)","value":"10:48:35"},{"id":151,"name":"Denver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4013 --day 2017-05-12</v>
      </c>
      <c r="AN59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16:48:35"},{"id":29,"name":"Sharepoint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665</v>
      </c>
      <c r="B60" s="7">
        <v>4022</v>
      </c>
      <c r="C60" s="21" t="s">
        <v>206</v>
      </c>
      <c r="D60" s="21" t="s">
        <v>355</v>
      </c>
      <c r="E60" s="13">
        <v>42867.391423611109</v>
      </c>
      <c r="F60" s="13">
        <v>42867.396006944444</v>
      </c>
      <c r="G60" s="7">
        <v>1</v>
      </c>
      <c r="H60" s="21" t="s">
        <v>843</v>
      </c>
      <c r="I60" s="13">
        <v>42867.420578703706</v>
      </c>
      <c r="J60" s="7">
        <v>0</v>
      </c>
      <c r="K60" s="92" t="str">
        <f t="shared" si="0"/>
        <v>4021/4022</v>
      </c>
      <c r="L60" s="21" t="str">
        <f>VLOOKUP(A60,'Trips&amp;Operators'!$C$1:$G$99999,5,FALSE)</f>
        <v>ROBINSON KADDIBA</v>
      </c>
      <c r="M60" s="6">
        <f t="shared" si="1"/>
        <v>2.457175926247146E-2</v>
      </c>
      <c r="N60" s="7">
        <f t="shared" si="24"/>
        <v>35.383333337958902</v>
      </c>
      <c r="O60" s="7"/>
      <c r="P60" s="7"/>
      <c r="Q60" s="22"/>
      <c r="R60" s="190"/>
      <c r="S60" s="196">
        <f t="shared" si="25"/>
        <v>1</v>
      </c>
      <c r="T60" s="190" t="str">
        <f t="shared" si="4"/>
        <v>NorthBound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1" t="str">
        <f t="shared" si="5"/>
        <v>https://d0f6bd738d7f1b3e5a7ca70fe4ff75f0.us-east-1.aws.found.io/app/kibana#/discover/Steve-Slow-Train-Analysis-(2080s-and-2083s)?_g=(refreshInterval:(display:Off,pause:!f,section:0,value:0),time:(from:'2017-05-12T08:23:39-0600',mode:absolute,to:'2017-05-12T11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0" s="192" t="str">
        <f t="shared" si="6"/>
        <v>N</v>
      </c>
      <c r="X60" s="192">
        <f t="shared" si="26"/>
        <v>1</v>
      </c>
      <c r="Y60" s="192">
        <f t="shared" si="8"/>
        <v>4.58E-2</v>
      </c>
      <c r="Z60" s="192">
        <f t="shared" si="9"/>
        <v>23.327000000000002</v>
      </c>
      <c r="AA60" s="192">
        <f t="shared" si="10"/>
        <v>23.281200000000002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11"/>
        <v>0147-12</v>
      </c>
      <c r="AE60" s="80" t="str">
        <f t="shared" si="12"/>
        <v>aws s3 cp s3://rtdc.mdm.uploadarchive.raw/RTDC4022/ "%USERPROFILE%\AppData\Local\Temp\OnboardLogs"\RTDC4022\2017-05-12 --exclude "*" --recursive --include "*20170512*" &amp; "%USERPROFILE%\Documents\GitHub\mrs-test-scripts\Headless Mode &amp; Sideloading\WalkAndUnGZ.bat" "%USERPROFILE%\AppData\Local\Temp\OnboardLogs"\RTDC4022\2017-05-12 &amp; aws s3 cp s3://rtdc.mdm.uploadarchive.raw/RTDC4022/ "%USERPROFILE%\AppData\Local\Temp\OnboardLogs"\RTDC4022\2017-05-13 --exclude "*" --recursive --include "*20170513*" &amp; "%USERPROFILE%\Documents\GitHub\mrs-test-scripts\Headless Mode &amp; Sideloading\WalkAndUnGZ.bat" "%USERPROFILE%\AppData\Local\Temp\OnboardLogs"\RTDC4022\2017-05-13</v>
      </c>
      <c r="AF60" s="77" t="str">
        <f t="shared" si="13"/>
        <v>"C:\Program Files (x86)\AstroGrep\AstroGrep.exe" /e /r /s /spath="%USERPROFILE%\AppData\Local\Temp\OnboardLogs" /stypes="app*4022*20170512*" /stext=" 16:.+((SYSTEM_STATE.+slice.+state.+changed )|(ment ac)|(multiple cpu faults)|(system.+state.+changed )|(\[timeout)|(PRM\|1\|D)|(kpr)|(kdp)|(train st.+moving)|(\|lc)|(penalty))"</v>
      </c>
      <c r="AG60" s="1" t="str">
        <f t="shared" si="14"/>
        <v>EC</v>
      </c>
      <c r="AH60" s="81" t="str">
        <f t="shared" si="19"/>
        <v>"%USERPROFILE%\Documents\GitHub\eaglep3\Utilities\RefineRTDCRunTimes.py" --tripid 147-12 --locoid 4022 --swversion DE.1.0.9.0 --startMP 204:458 --initTime 2017-05-12T09:23:39 --startdatetime 2017-05-12T09:30:15 --delay 1 --endMP 204:233270 --enddatetime 2017-05-12T10:05:38 --enforcementcount 0 &gt;&gt;C:\Users\stu\Documents\GitHub\eaglep3-reporting\EC\2017-05-12-refined-times.txt</v>
      </c>
      <c r="AI60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{"issue":{"subject":"","project_id":79,"tracker_id":40,"status_id":1,"priority_id":2,"assigned_to_id":23,"start_date":"2017-05-12","description":"","custom_fields":[{"id":1,"name":"Subdivision","value":"EC"},{"id":4,"name":"Milepost","value":"23.327"},{"id":17,"name":"Train ID","value":"147-12"},{"id":16,"name":"Locomotive ID","value":"4022"},{"id":130,"name":"Impact","value":""},{"id":150,"name":"Time of Event (Mountain Time)","value":"10:05:38"},{"id":151,"name":"Denver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4022 --day 2017-05-12</v>
      </c>
      <c r="AN60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16:05:38"},{"id":29,"name":"Sharepoint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675</v>
      </c>
      <c r="B61" s="7">
        <v>4021</v>
      </c>
      <c r="C61" s="21" t="s">
        <v>206</v>
      </c>
      <c r="D61" s="21" t="s">
        <v>484</v>
      </c>
      <c r="E61" s="13">
        <v>42867.432719907411</v>
      </c>
      <c r="F61" s="13">
        <v>42867.434918981482</v>
      </c>
      <c r="G61" s="7">
        <v>1</v>
      </c>
      <c r="H61" s="21" t="s">
        <v>358</v>
      </c>
      <c r="I61" s="13">
        <v>42867.461898148147</v>
      </c>
      <c r="J61" s="7">
        <v>0</v>
      </c>
      <c r="K61" s="92" t="str">
        <f t="shared" si="0"/>
        <v>4021/4022</v>
      </c>
      <c r="L61" s="21" t="str">
        <f>VLOOKUP(A61,'Trips&amp;Operators'!$C$1:$G$99999,5,FALSE)</f>
        <v>ROBINSON KADDIBA</v>
      </c>
      <c r="M61" s="6">
        <f t="shared" si="1"/>
        <v>2.6979166665114462E-2</v>
      </c>
      <c r="N61" s="7">
        <f t="shared" si="24"/>
        <v>38.849999997764826</v>
      </c>
      <c r="O61" s="7"/>
      <c r="P61" s="7"/>
      <c r="Q61" s="22"/>
      <c r="R61" s="190"/>
      <c r="S61" s="196">
        <f t="shared" si="25"/>
        <v>1</v>
      </c>
      <c r="T61" s="190" t="str">
        <f t="shared" si="4"/>
        <v>Southbound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1" t="str">
        <f t="shared" si="5"/>
        <v>https://d0f6bd738d7f1b3e5a7ca70fe4ff75f0.us-east-1.aws.found.io/app/kibana#/discover/Steve-Slow-Train-Analysis-(2080s-and-2083s)?_g=(refreshInterval:(display:Off,pause:!f,section:0,value:0),time:(from:'2017-05-12T09:23:07-0600',mode:absolute,to:'2017-05-12T12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1" s="192" t="str">
        <f t="shared" si="6"/>
        <v>N</v>
      </c>
      <c r="X61" s="192">
        <f t="shared" si="26"/>
        <v>1</v>
      </c>
      <c r="Y61" s="192">
        <f t="shared" si="8"/>
        <v>23.295300000000001</v>
      </c>
      <c r="Z61" s="192">
        <f t="shared" si="9"/>
        <v>1.4999999999999999E-2</v>
      </c>
      <c r="AA61" s="192">
        <f t="shared" si="10"/>
        <v>23.2803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11"/>
        <v>0148-12</v>
      </c>
      <c r="AE61" s="80" t="str">
        <f t="shared" si="12"/>
        <v>aws s3 cp s3://rtdc.mdm.uploadarchive.raw/RTDC4021/ "%USERPROFILE%\AppData\Local\Temp\OnboardLogs"\RTDC4021\2017-05-12 --exclude "*" --recursive --include "*20170512*" &amp; "%USERPROFILE%\Documents\GitHub\mrs-test-scripts\Headless Mode &amp; Sideloading\WalkAndUnGZ.bat" "%USERPROFILE%\AppData\Local\Temp\OnboardLogs"\RTDC4021\2017-05-12 &amp; aws s3 cp s3://rtdc.mdm.uploadarchive.raw/RTDC4021/ "%USERPROFILE%\AppData\Local\Temp\OnboardLogs"\RTDC4021\2017-05-13 --exclude "*" --recursive --include "*20170513*" &amp; "%USERPROFILE%\Documents\GitHub\mrs-test-scripts\Headless Mode &amp; Sideloading\WalkAndUnGZ.bat" "%USERPROFILE%\AppData\Local\Temp\OnboardLogs"\RTDC4021\2017-05-13</v>
      </c>
      <c r="AF61" s="77" t="str">
        <f t="shared" si="13"/>
        <v>"C:\Program Files (x86)\AstroGrep\AstroGrep.exe" /e /r /s /spath="%USERPROFILE%\AppData\Local\Temp\OnboardLogs" /stypes="app*4021*20170512*" /stext=" 17:.+((SYSTEM_STATE.+slice.+state.+changed )|(ment ac)|(multiple cpu faults)|(system.+state.+changed )|(\[timeout)|(PRM\|1\|D)|(kpr)|(kdp)|(train st.+moving)|(\|lc)|(penalty))"</v>
      </c>
      <c r="AG61" s="1" t="str">
        <f t="shared" si="14"/>
        <v>EC</v>
      </c>
      <c r="AH61" s="81" t="str">
        <f t="shared" si="19"/>
        <v>"%USERPROFILE%\Documents\GitHub\eaglep3\Utilities\RefineRTDCRunTimes.py" --tripid 148-12 --locoid 4021 --swversion DE.1.0.9.0 --startMP 204:232953 --initTime 2017-05-12T10:23:07 --startdatetime 2017-05-12T10:26:17 --delay 1 --endMP 204:150 --enddatetime 2017-05-12T11:05:08 --enforcementcount 0 &gt;&gt;C:\Users\stu\Documents\GitHub\eaglep3-reporting\EC\2017-05-12-refined-times.txt</v>
      </c>
      <c r="AI61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{"issue":{"subject":"","project_id":79,"tracker_id":40,"status_id":1,"priority_id":2,"assigned_to_id":23,"start_date":"2017-05-12","description":"","custom_fields":[{"id":1,"name":"Subdivision","value":"EC"},{"id":4,"name":"Milepost","value":"0.015"},{"id":17,"name":"Train ID","value":"148-12"},{"id":16,"name":"Locomotive ID","value":"4021"},{"id":130,"name":"Impact","value":""},{"id":150,"name":"Time of Event (Mountain Time)","value":"11:05:08"},{"id":151,"name":"Denver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4021 --day 2017-05-12</v>
      </c>
      <c r="AN61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17:05:08"},{"id":29,"name":"Sharepoint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668</v>
      </c>
      <c r="B62" s="7">
        <v>4016</v>
      </c>
      <c r="C62" s="21" t="s">
        <v>206</v>
      </c>
      <c r="D62" s="21" t="s">
        <v>371</v>
      </c>
      <c r="E62" s="13">
        <v>42867.401134259257</v>
      </c>
      <c r="F62" s="13">
        <v>42867.406446759262</v>
      </c>
      <c r="G62" s="7">
        <v>1</v>
      </c>
      <c r="H62" s="21" t="s">
        <v>844</v>
      </c>
      <c r="I62" s="13">
        <v>42867.431400462963</v>
      </c>
      <c r="J62" s="7">
        <v>0</v>
      </c>
      <c r="K62" s="92" t="str">
        <f t="shared" si="0"/>
        <v>4015/4016</v>
      </c>
      <c r="L62" s="21" t="str">
        <f>VLOOKUP(A62,'Trips&amp;Operators'!$C$1:$G$99999,5,FALSE)</f>
        <v>ACKERMAN JARED</v>
      </c>
      <c r="M62" s="6">
        <f t="shared" si="1"/>
        <v>2.495370370161254E-2</v>
      </c>
      <c r="N62" s="7">
        <f t="shared" si="24"/>
        <v>35.933333330322057</v>
      </c>
      <c r="O62" s="7"/>
      <c r="P62" s="7"/>
      <c r="Q62" s="22"/>
      <c r="R62" s="190"/>
      <c r="S62" s="196">
        <f t="shared" si="25"/>
        <v>1</v>
      </c>
      <c r="T62" s="190" t="str">
        <f t="shared" si="4"/>
        <v>NorthBound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1" t="str">
        <f t="shared" si="5"/>
        <v>https://d0f6bd738d7f1b3e5a7ca70fe4ff75f0.us-east-1.aws.found.io/app/kibana#/discover/Steve-Slow-Train-Analysis-(2080s-and-2083s)?_g=(refreshInterval:(display:Off,pause:!f,section:0,value:0),time:(from:'2017-05-12T08:37:38-0600',mode:absolute,to:'2017-05-12T11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2" s="192" t="str">
        <f t="shared" si="6"/>
        <v>N</v>
      </c>
      <c r="X62" s="192">
        <f t="shared" si="26"/>
        <v>1</v>
      </c>
      <c r="Y62" s="192">
        <f t="shared" si="8"/>
        <v>4.4400000000000002E-2</v>
      </c>
      <c r="Z62" s="192">
        <f t="shared" si="9"/>
        <v>23.3308</v>
      </c>
      <c r="AA62" s="192">
        <f t="shared" si="10"/>
        <v>23.2864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11"/>
        <v>0149-12</v>
      </c>
      <c r="AE62" s="80" t="str">
        <f t="shared" si="12"/>
        <v>aws s3 cp s3://rtdc.mdm.uploadarchive.raw/RTDC4016/ "%USERPROFILE%\AppData\Local\Temp\OnboardLogs"\RTDC4016\2017-05-12 --exclude "*" --recursive --include "*20170512*" &amp; "%USERPROFILE%\Documents\GitHub\mrs-test-scripts\Headless Mode &amp; Sideloading\WalkAndUnGZ.bat" "%USERPROFILE%\AppData\Local\Temp\OnboardLogs"\RTDC4016\2017-05-12 &amp; aws s3 cp s3://rtdc.mdm.uploadarchive.raw/RTDC4016/ "%USERPROFILE%\AppData\Local\Temp\OnboardLogs"\RTDC4016\2017-05-13 --exclude "*" --recursive --include "*20170513*" &amp; "%USERPROFILE%\Documents\GitHub\mrs-test-scripts\Headless Mode &amp; Sideloading\WalkAndUnGZ.bat" "%USERPROFILE%\AppData\Local\Temp\OnboardLogs"\RTDC4016\2017-05-13</v>
      </c>
      <c r="AF62" s="77" t="str">
        <f t="shared" si="13"/>
        <v>"C:\Program Files (x86)\AstroGrep\AstroGrep.exe" /e /r /s /spath="%USERPROFILE%\AppData\Local\Temp\OnboardLogs" /stypes="app*4016*20170512*" /stext=" 16:.+((SYSTEM_STATE.+slice.+state.+changed )|(ment ac)|(multiple cpu faults)|(system.+state.+changed )|(\[timeout)|(PRM\|1\|D)|(kpr)|(kdp)|(train st.+moving)|(\|lc)|(penalty))"</v>
      </c>
      <c r="AG62" s="1" t="str">
        <f t="shared" si="14"/>
        <v>EC</v>
      </c>
      <c r="AH62" s="81" t="str">
        <f t="shared" si="19"/>
        <v>"%USERPROFILE%\Documents\GitHub\eaglep3\Utilities\RefineRTDCRunTimes.py" --tripid 149-12 --locoid 4016 --swversion DE.1.0.9.0 --startMP 204:444 --initTime 2017-05-12T09:37:38 --startdatetime 2017-05-12T09:45:17 --delay 1 --endMP 204:233308 --enddatetime 2017-05-12T10:21:13 --enforcementcount 0 &gt;&gt;C:\Users\stu\Documents\GitHub\eaglep3-reporting\EC\2017-05-12-refined-times.txt</v>
      </c>
      <c r="AI62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{"issue":{"subject":"","project_id":79,"tracker_id":40,"status_id":1,"priority_id":2,"assigned_to_id":23,"start_date":"2017-05-12","description":"","custom_fields":[{"id":1,"name":"Subdivision","value":"EC"},{"id":4,"name":"Milepost","value":"23.3308"},{"id":17,"name":"Train ID","value":"149-12"},{"id":16,"name":"Locomotive ID","value":"4016"},{"id":130,"name":"Impact","value":""},{"id":150,"name":"Time of Event (Mountain Time)","value":"10:21:13"},{"id":151,"name":"Denver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4016 --day 2017-05-12</v>
      </c>
      <c r="AN62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16:21:13"},{"id":29,"name":"Sharepoint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677</v>
      </c>
      <c r="B63" s="7">
        <v>4015</v>
      </c>
      <c r="C63" s="21" t="s">
        <v>206</v>
      </c>
      <c r="D63" s="21" t="s">
        <v>527</v>
      </c>
      <c r="E63" s="13">
        <v>42867.439027777778</v>
      </c>
      <c r="F63" s="13">
        <v>42867.445462962962</v>
      </c>
      <c r="G63" s="7">
        <v>2</v>
      </c>
      <c r="H63" s="21" t="s">
        <v>359</v>
      </c>
      <c r="I63" s="13">
        <v>42867.472997685189</v>
      </c>
      <c r="J63" s="7">
        <v>0</v>
      </c>
      <c r="K63" s="92" t="str">
        <f t="shared" si="0"/>
        <v>4015/4016</v>
      </c>
      <c r="L63" s="21" t="str">
        <f>VLOOKUP(A63,'Trips&amp;Operators'!$C$1:$G$99999,5,FALSE)</f>
        <v>ACKERMAN JARED</v>
      </c>
      <c r="M63" s="6">
        <f t="shared" si="1"/>
        <v>2.7534722226846498E-2</v>
      </c>
      <c r="N63" s="7">
        <f t="shared" si="24"/>
        <v>39.650000006658956</v>
      </c>
      <c r="O63" s="7"/>
      <c r="P63" s="7"/>
      <c r="Q63" s="22"/>
      <c r="R63" s="190"/>
      <c r="S63" s="196">
        <f t="shared" si="25"/>
        <v>1</v>
      </c>
      <c r="T63" s="190" t="str">
        <f t="shared" si="4"/>
        <v>Southbound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1" t="str">
        <f t="shared" si="5"/>
        <v>https://d0f6bd738d7f1b3e5a7ca70fe4ff75f0.us-east-1.aws.found.io/app/kibana#/discover/Steve-Slow-Train-Analysis-(2080s-and-2083s)?_g=(refreshInterval:(display:Off,pause:!f,section:0,value:0),time:(from:'2017-05-12T09:32:12-0600',mode:absolute,to:'2017-05-12T12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3" s="192" t="str">
        <f t="shared" si="6"/>
        <v>N</v>
      </c>
      <c r="X63" s="192">
        <f t="shared" ref="X63:X126" si="27">VALUE(LEFT(AD63,4))-VALUE(LEFT(AD62,4))</f>
        <v>1</v>
      </c>
      <c r="Y63" s="192">
        <f t="shared" si="8"/>
        <v>23.2989</v>
      </c>
      <c r="Z63" s="192">
        <f t="shared" si="9"/>
        <v>1.49E-2</v>
      </c>
      <c r="AA63" s="192">
        <f t="shared" si="10"/>
        <v>23.283999999999999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11"/>
        <v>0150-12</v>
      </c>
      <c r="AE63" s="80" t="str">
        <f t="shared" si="12"/>
        <v>aws s3 cp s3://rtdc.mdm.uploadarchive.raw/RTDC4015/ "%USERPROFILE%\AppData\Local\Temp\OnboardLogs"\RTDC4015\2017-05-12 --exclude "*" --recursive --include "*20170512*" &amp; "%USERPROFILE%\Documents\GitHub\mrs-test-scripts\Headless Mode &amp; Sideloading\WalkAndUnGZ.bat" "%USERPROFILE%\AppData\Local\Temp\OnboardLogs"\RTDC4015\2017-05-12 &amp; aws s3 cp s3://rtdc.mdm.uploadarchive.raw/RTDC4015/ "%USERPROFILE%\AppData\Local\Temp\OnboardLogs"\RTDC4015\2017-05-13 --exclude "*" --recursive --include "*20170513*" &amp; "%USERPROFILE%\Documents\GitHub\mrs-test-scripts\Headless Mode &amp; Sideloading\WalkAndUnGZ.bat" "%USERPROFILE%\AppData\Local\Temp\OnboardLogs"\RTDC4015\2017-05-13</v>
      </c>
      <c r="AF63" s="77" t="str">
        <f t="shared" si="13"/>
        <v>"C:\Program Files (x86)\AstroGrep\AstroGrep.exe" /e /r /s /spath="%USERPROFILE%\AppData\Local\Temp\OnboardLogs" /stypes="app*4015*20170512*" /stext=" 17:.+((SYSTEM_STATE.+slice.+state.+changed )|(ment ac)|(multiple cpu faults)|(system.+state.+changed )|(\[timeout)|(PRM\|1\|D)|(kpr)|(kdp)|(train st.+moving)|(\|lc)|(penalty))"</v>
      </c>
      <c r="AG63" s="1" t="str">
        <f t="shared" si="14"/>
        <v>EC</v>
      </c>
      <c r="AH63" s="81" t="str">
        <f t="shared" si="19"/>
        <v>"%USERPROFILE%\Documents\GitHub\eaglep3\Utilities\RefineRTDCRunTimes.py" --tripid 150-12 --locoid 4015 --swversion DE.1.0.9.0 --startMP 204:232989 --initTime 2017-05-12T10:32:12 --startdatetime 2017-05-12T10:41:28 --delay 2 --endMP 204:149 --enddatetime 2017-05-12T11:21:07 --enforcementcount 0 &gt;&gt;C:\Users\stu\Documents\GitHub\eaglep3-reporting\EC\2017-05-12-refined-times.txt</v>
      </c>
      <c r="AI63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{"issue":{"subject":"","project_id":79,"tracker_id":40,"status_id":1,"priority_id":2,"assigned_to_id":23,"start_date":"2017-05-12","description":"","custom_fields":[{"id":1,"name":"Subdivision","value":"EC"},{"id":4,"name":"Milepost","value":"0.0149"},{"id":17,"name":"Train ID","value":"150-12"},{"id":16,"name":"Locomotive ID","value":"4015"},{"id":130,"name":"Impact","value":""},{"id":150,"name":"Time of Event (Mountain Time)","value":"11:21:07"},{"id":151,"name":"Denver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4015 --day 2017-05-12</v>
      </c>
      <c r="AN63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17:21:07"},{"id":29,"name":"Sharepoint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670</v>
      </c>
      <c r="B64" s="7">
        <v>4010</v>
      </c>
      <c r="C64" s="21" t="s">
        <v>206</v>
      </c>
      <c r="D64" s="21" t="s">
        <v>355</v>
      </c>
      <c r="E64" s="13">
        <v>42867.412199074075</v>
      </c>
      <c r="F64" s="13">
        <v>42867.417060185187</v>
      </c>
      <c r="G64" s="7">
        <v>1</v>
      </c>
      <c r="H64" s="21" t="s">
        <v>436</v>
      </c>
      <c r="I64" s="13">
        <v>42867.441307870373</v>
      </c>
      <c r="J64" s="7">
        <v>0</v>
      </c>
      <c r="K64" s="92" t="str">
        <f t="shared" si="0"/>
        <v>4009/4010</v>
      </c>
      <c r="L64" s="21" t="str">
        <f>VLOOKUP(A64,'Trips&amp;Operators'!$C$1:$G$99999,5,FALSE)</f>
        <v>LOZA FIDEL</v>
      </c>
      <c r="M64" s="6">
        <f t="shared" si="1"/>
        <v>2.4247685185400769E-2</v>
      </c>
      <c r="N64" s="7">
        <f t="shared" si="24"/>
        <v>34.916666666977108</v>
      </c>
      <c r="O64" s="7"/>
      <c r="P64" s="7"/>
      <c r="Q64" s="22"/>
      <c r="R64" s="190"/>
      <c r="S64" s="196">
        <f t="shared" si="25"/>
        <v>1</v>
      </c>
      <c r="T64" s="190" t="str">
        <f t="shared" si="4"/>
        <v>NorthBound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1" t="str">
        <f t="shared" si="5"/>
        <v>https://d0f6bd738d7f1b3e5a7ca70fe4ff75f0.us-east-1.aws.found.io/app/kibana#/discover/Steve-Slow-Train-Analysis-(2080s-and-2083s)?_g=(refreshInterval:(display:Off,pause:!f,section:0,value:0),time:(from:'2017-05-12T08:53:34-0600',mode:absolute,to:'2017-05-12T11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4" s="192" t="str">
        <f t="shared" si="6"/>
        <v>N</v>
      </c>
      <c r="X64" s="192">
        <f t="shared" si="27"/>
        <v>1</v>
      </c>
      <c r="Y64" s="192">
        <f t="shared" si="8"/>
        <v>4.58E-2</v>
      </c>
      <c r="Z64" s="192">
        <f t="shared" si="9"/>
        <v>23.3293</v>
      </c>
      <c r="AA64" s="192">
        <f t="shared" si="10"/>
        <v>23.2835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11"/>
        <v>0151-12</v>
      </c>
      <c r="AE64" s="80" t="str">
        <f t="shared" si="12"/>
        <v>aws s3 cp s3://rtdc.mdm.uploadarchive.raw/RTDC4010/ "%USERPROFILE%\AppData\Local\Temp\OnboardLogs"\RTDC4010\2017-05-12 --exclude "*" --recursive --include "*20170512*" &amp; "%USERPROFILE%\Documents\GitHub\mrs-test-scripts\Headless Mode &amp; Sideloading\WalkAndUnGZ.bat" "%USERPROFILE%\AppData\Local\Temp\OnboardLogs"\RTDC4010\2017-05-12 &amp; aws s3 cp s3://rtdc.mdm.uploadarchive.raw/RTDC4010/ "%USERPROFILE%\AppData\Local\Temp\OnboardLogs"\RTDC4010\2017-05-13 --exclude "*" --recursive --include "*20170513*" &amp; "%USERPROFILE%\Documents\GitHub\mrs-test-scripts\Headless Mode &amp; Sideloading\WalkAndUnGZ.bat" "%USERPROFILE%\AppData\Local\Temp\OnboardLogs"\RTDC4010\2017-05-13</v>
      </c>
      <c r="AF64" s="77" t="str">
        <f t="shared" si="13"/>
        <v>"C:\Program Files (x86)\AstroGrep\AstroGrep.exe" /e /r /s /spath="%USERPROFILE%\AppData\Local\Temp\OnboardLogs" /stypes="app*4010*20170512*" /stext=" 16:.+((SYSTEM_STATE.+slice.+state.+changed )|(ment ac)|(multiple cpu faults)|(system.+state.+changed )|(\[timeout)|(PRM\|1\|D)|(kpr)|(kdp)|(train st.+moving)|(\|lc)|(penalty))"</v>
      </c>
      <c r="AG64" s="1" t="str">
        <f t="shared" si="14"/>
        <v>EC</v>
      </c>
      <c r="AH64" s="81" t="str">
        <f t="shared" si="19"/>
        <v>"%USERPROFILE%\Documents\GitHub\eaglep3\Utilities\RefineRTDCRunTimes.py" --tripid 151-12 --locoid 4010 --swversion DE.1.0.9.0 --startMP 204:458 --initTime 2017-05-12T09:53:34 --startdatetime 2017-05-12T10:00:34 --delay 1 --endMP 204:233293 --enddatetime 2017-05-12T10:35:29 --enforcementcount 0 &gt;&gt;C:\Users\stu\Documents\GitHub\eaglep3-reporting\EC\2017-05-12-refined-times.txt</v>
      </c>
      <c r="AI64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{"issue":{"subject":"","project_id":79,"tracker_id":40,"status_id":1,"priority_id":2,"assigned_to_id":23,"start_date":"2017-05-12","description":"","custom_fields":[{"id":1,"name":"Subdivision","value":"EC"},{"id":4,"name":"Milepost","value":"23.3293"},{"id":17,"name":"Train ID","value":"151-12"},{"id":16,"name":"Locomotive ID","value":"4010"},{"id":130,"name":"Impact","value":""},{"id":150,"name":"Time of Event (Mountain Time)","value":"10:35:29"},{"id":151,"name":"Denver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4010 --day 2017-05-12</v>
      </c>
      <c r="AN64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16:35:29"},{"id":29,"name":"Sharepoint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681</v>
      </c>
      <c r="B65" s="7">
        <v>4009</v>
      </c>
      <c r="C65" s="21" t="s">
        <v>206</v>
      </c>
      <c r="D65" s="21" t="s">
        <v>434</v>
      </c>
      <c r="E65" s="13">
        <v>42867.453449074077</v>
      </c>
      <c r="F65" s="13">
        <v>42867.455752314818</v>
      </c>
      <c r="G65" s="7">
        <v>1</v>
      </c>
      <c r="H65" s="21" t="s">
        <v>373</v>
      </c>
      <c r="I65" s="13">
        <v>42867.481793981482</v>
      </c>
      <c r="J65" s="7">
        <v>0</v>
      </c>
      <c r="K65" s="92" t="str">
        <f t="shared" si="0"/>
        <v>4009/4010</v>
      </c>
      <c r="L65" s="21" t="str">
        <f>VLOOKUP(A65,'Trips&amp;Operators'!$C$1:$G$99999,5,FALSE)</f>
        <v>LOZA FIDEL</v>
      </c>
      <c r="M65" s="6">
        <f t="shared" si="1"/>
        <v>2.6041666664241347E-2</v>
      </c>
      <c r="N65" s="7">
        <f t="shared" si="24"/>
        <v>37.49999999650754</v>
      </c>
      <c r="O65" s="7"/>
      <c r="P65" s="7"/>
      <c r="Q65" s="22"/>
      <c r="R65" s="190"/>
      <c r="S65" s="196">
        <f t="shared" si="25"/>
        <v>1</v>
      </c>
      <c r="T65" s="190" t="str">
        <f t="shared" si="4"/>
        <v>Southbound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1" t="str">
        <f t="shared" si="5"/>
        <v>https://d0f6bd738d7f1b3e5a7ca70fe4ff75f0.us-east-1.aws.found.io/app/kibana#/discover/Steve-Slow-Train-Analysis-(2080s-and-2083s)?_g=(refreshInterval:(display:Off,pause:!f,section:0,value:0),time:(from:'2017-05-12T09:52:58-0600',mode:absolute,to:'2017-05-12T12:33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5" s="192" t="str">
        <f t="shared" si="6"/>
        <v>N</v>
      </c>
      <c r="X65" s="192">
        <f t="shared" si="27"/>
        <v>1</v>
      </c>
      <c r="Y65" s="192">
        <f t="shared" si="8"/>
        <v>23.297799999999999</v>
      </c>
      <c r="Z65" s="192">
        <f t="shared" si="9"/>
        <v>1.3899999999999999E-2</v>
      </c>
      <c r="AA65" s="192">
        <f t="shared" si="10"/>
        <v>23.283899999999999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11"/>
        <v>0152-12</v>
      </c>
      <c r="AE65" s="80" t="str">
        <f t="shared" si="12"/>
        <v>aws s3 cp s3://rtdc.mdm.uploadarchive.raw/RTDC4009/ "%USERPROFILE%\AppData\Local\Temp\OnboardLogs"\RTDC4009\2017-05-12 --exclude "*" --recursive --include "*20170512*" &amp; "%USERPROFILE%\Documents\GitHub\mrs-test-scripts\Headless Mode &amp; Sideloading\WalkAndUnGZ.bat" "%USERPROFILE%\AppData\Local\Temp\OnboardLogs"\RTDC4009\2017-05-12 &amp; aws s3 cp s3://rtdc.mdm.uploadarchive.raw/RTDC4009/ "%USERPROFILE%\AppData\Local\Temp\OnboardLogs"\RTDC4009\2017-05-13 --exclude "*" --recursive --include "*20170513*" &amp; "%USERPROFILE%\Documents\GitHub\mrs-test-scripts\Headless Mode &amp; Sideloading\WalkAndUnGZ.bat" "%USERPROFILE%\AppData\Local\Temp\OnboardLogs"\RTDC4009\2017-05-13</v>
      </c>
      <c r="AF65" s="77" t="str">
        <f t="shared" si="13"/>
        <v>"C:\Program Files (x86)\AstroGrep\AstroGrep.exe" /e /r /s /spath="%USERPROFILE%\AppData\Local\Temp\OnboardLogs" /stypes="app*4009*20170512*" /stext=" 17:.+((SYSTEM_STATE.+slice.+state.+changed )|(ment ac)|(multiple cpu faults)|(system.+state.+changed )|(\[timeout)|(PRM\|1\|D)|(kpr)|(kdp)|(train st.+moving)|(\|lc)|(penalty))"</v>
      </c>
      <c r="AG65" s="1" t="str">
        <f t="shared" si="14"/>
        <v>EC</v>
      </c>
      <c r="AH65" s="81" t="str">
        <f t="shared" si="19"/>
        <v>"%USERPROFILE%\Documents\GitHub\eaglep3\Utilities\RefineRTDCRunTimes.py" --tripid 152-12 --locoid 4009 --swversion DE.1.0.9.0 --startMP 204:232978 --initTime 2017-05-12T10:52:58 --startdatetime 2017-05-12T10:56:17 --delay 1 --endMP 204:139 --enddatetime 2017-05-12T11:33:47 --enforcementcount 0 &gt;&gt;C:\Users\stu\Documents\GitHub\eaglep3-reporting\EC\2017-05-12-refined-times.txt</v>
      </c>
      <c r="AI65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{"issue":{"subject":"","project_id":79,"tracker_id":40,"status_id":1,"priority_id":2,"assigned_to_id":23,"start_date":"2017-05-12","description":"","custom_fields":[{"id":1,"name":"Subdivision","value":"EC"},{"id":4,"name":"Milepost","value":"0.0139"},{"id":17,"name":"Train ID","value":"152-12"},{"id":16,"name":"Locomotive ID","value":"4009"},{"id":130,"name":"Impact","value":""},{"id":150,"name":"Time of Event (Mountain Time)","value":"11:33:47"},{"id":151,"name":"Denver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4009 --day 2017-05-12</v>
      </c>
      <c r="AN65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17:33:47"},{"id":29,"name":"Sharepoint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673</v>
      </c>
      <c r="B66" s="7">
        <v>4046</v>
      </c>
      <c r="C66" s="21" t="s">
        <v>206</v>
      </c>
      <c r="D66" s="21" t="s">
        <v>361</v>
      </c>
      <c r="E66" s="13">
        <v>42867.423668981479</v>
      </c>
      <c r="F66" s="13">
        <v>42867.427534722221</v>
      </c>
      <c r="G66" s="7">
        <v>1</v>
      </c>
      <c r="H66" s="21" t="s">
        <v>366</v>
      </c>
      <c r="I66" s="13">
        <v>42867.453657407408</v>
      </c>
      <c r="J66" s="7">
        <v>0</v>
      </c>
      <c r="K66" s="92" t="str">
        <f t="shared" si="0"/>
        <v>4045/4046</v>
      </c>
      <c r="L66" s="21" t="str">
        <f>VLOOKUP(A66,'Trips&amp;Operators'!$C$1:$G$99999,5,FALSE)</f>
        <v>BONDS REYNALDO</v>
      </c>
      <c r="M66" s="6">
        <f t="shared" si="1"/>
        <v>2.6122685187146999E-2</v>
      </c>
      <c r="N66" s="7">
        <f t="shared" si="24"/>
        <v>37.616666669491678</v>
      </c>
      <c r="O66" s="7"/>
      <c r="P66" s="7"/>
      <c r="Q66" s="22"/>
      <c r="R66" s="190"/>
      <c r="S66" s="196">
        <f t="shared" si="25"/>
        <v>1</v>
      </c>
      <c r="T66" s="190" t="str">
        <f t="shared" si="4"/>
        <v>NorthBound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1" t="str">
        <f t="shared" si="5"/>
        <v>https://d0f6bd738d7f1b3e5a7ca70fe4ff75f0.us-east-1.aws.found.io/app/kibana#/discover/Steve-Slow-Train-Analysis-(2080s-and-2083s)?_g=(refreshInterval:(display:Off,pause:!f,section:0,value:0),time:(from:'2017-05-12T09:10:05-0600',mode:absolute,to:'2017-05-12T11:53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6" s="192" t="str">
        <f t="shared" si="6"/>
        <v>N</v>
      </c>
      <c r="X66" s="192">
        <f t="shared" si="27"/>
        <v>1</v>
      </c>
      <c r="Y66" s="192">
        <f t="shared" si="8"/>
        <v>4.6600000000000003E-2</v>
      </c>
      <c r="Z66" s="192">
        <f t="shared" si="9"/>
        <v>23.331399999999999</v>
      </c>
      <c r="AA66" s="192">
        <f t="shared" si="10"/>
        <v>23.284799999999997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11"/>
        <v>0153-12</v>
      </c>
      <c r="AE66" s="80" t="str">
        <f t="shared" si="12"/>
        <v>aws s3 cp s3://rtdc.mdm.uploadarchive.raw/RTDC4046/ "%USERPROFILE%\AppData\Local\Temp\OnboardLogs"\RTDC4046\2017-05-12 --exclude "*" --recursive --include "*20170512*" &amp; "%USERPROFILE%\Documents\GitHub\mrs-test-scripts\Headless Mode &amp; Sideloading\WalkAndUnGZ.bat" "%USERPROFILE%\AppData\Local\Temp\OnboardLogs"\RTDC4046\2017-05-12 &amp; aws s3 cp s3://rtdc.mdm.uploadarchive.raw/RTDC4046/ "%USERPROFILE%\AppData\Local\Temp\OnboardLogs"\RTDC4046\2017-05-13 --exclude "*" --recursive --include "*20170513*" &amp; "%USERPROFILE%\Documents\GitHub\mrs-test-scripts\Headless Mode &amp; Sideloading\WalkAndUnGZ.bat" "%USERPROFILE%\AppData\Local\Temp\OnboardLogs"\RTDC4046\2017-05-13</v>
      </c>
      <c r="AF66" s="77" t="str">
        <f t="shared" si="13"/>
        <v>"C:\Program Files (x86)\AstroGrep\AstroGrep.exe" /e /r /s /spath="%USERPROFILE%\AppData\Local\Temp\OnboardLogs" /stypes="app*4046*20170512*" /stext=" 16:.+((SYSTEM_STATE.+slice.+state.+changed )|(ment ac)|(multiple cpu faults)|(system.+state.+changed )|(\[timeout)|(PRM\|1\|D)|(kpr)|(kdp)|(train st.+moving)|(\|lc)|(penalty))"</v>
      </c>
      <c r="AG66" s="1" t="str">
        <f t="shared" si="14"/>
        <v>EC</v>
      </c>
      <c r="AH66" s="81" t="str">
        <f t="shared" si="19"/>
        <v>"%USERPROFILE%\Documents\GitHub\eaglep3\Utilities\RefineRTDCRunTimes.py" --tripid 153-12 --locoid 4046 --swversion DE.1.0.9.0 --startMP 204:466 --initTime 2017-05-12T10:10:05 --startdatetime 2017-05-12T10:15:39 --delay 1 --endMP 204:233314 --enddatetime 2017-05-12T10:53:16 --enforcementcount 0 &gt;&gt;C:\Users\stu\Documents\GitHub\eaglep3-reporting\EC\2017-05-12-refined-times.txt</v>
      </c>
      <c r="AI66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{"issue":{"subject":"","project_id":79,"tracker_id":40,"status_id":1,"priority_id":2,"assigned_to_id":23,"start_date":"2017-05-12","description":"","custom_fields":[{"id":1,"name":"Subdivision","value":"EC"},{"id":4,"name":"Milepost","value":"23.3314"},{"id":17,"name":"Train ID","value":"153-12"},{"id":16,"name":"Locomotive ID","value":"4046"},{"id":130,"name":"Impact","value":""},{"id":150,"name":"Time of Event (Mountain Time)","value":"10:53:16"},{"id":151,"name":"Denver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4046 --day 2017-05-12</v>
      </c>
      <c r="AN66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16:53:16"},{"id":29,"name":"Sharepoint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682</v>
      </c>
      <c r="B67" s="7">
        <v>4045</v>
      </c>
      <c r="C67" s="21" t="s">
        <v>206</v>
      </c>
      <c r="D67" s="21" t="s">
        <v>484</v>
      </c>
      <c r="E67" s="13">
        <v>42867.455370370371</v>
      </c>
      <c r="F67" s="13">
        <v>42867.466145833336</v>
      </c>
      <c r="G67" s="7">
        <v>1</v>
      </c>
      <c r="H67" s="21" t="s">
        <v>376</v>
      </c>
      <c r="I67" s="13">
        <v>42867.493587962963</v>
      </c>
      <c r="J67" s="7">
        <v>0</v>
      </c>
      <c r="K67" s="92" t="str">
        <f t="shared" si="0"/>
        <v>4045/4046</v>
      </c>
      <c r="L67" s="21" t="str">
        <f>VLOOKUP(A67,'Trips&amp;Operators'!$C$1:$G$99999,5,FALSE)</f>
        <v>BONDS REYNALDO</v>
      </c>
      <c r="M67" s="6">
        <f t="shared" si="1"/>
        <v>2.7442129627161194E-2</v>
      </c>
      <c r="N67" s="7">
        <f t="shared" si="24"/>
        <v>39.516666663112119</v>
      </c>
      <c r="O67" s="7"/>
      <c r="P67" s="7"/>
      <c r="Q67" s="22"/>
      <c r="R67" s="190"/>
      <c r="S67" s="196">
        <f t="shared" si="25"/>
        <v>1</v>
      </c>
      <c r="T67" s="190" t="str">
        <f t="shared" si="4"/>
        <v>Southbound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1" t="str">
        <f t="shared" si="5"/>
        <v>https://d0f6bd738d7f1b3e5a7ca70fe4ff75f0.us-east-1.aws.found.io/app/kibana#/discover/Steve-Slow-Train-Analysis-(2080s-and-2083s)?_g=(refreshInterval:(display:Off,pause:!f,section:0,value:0),time:(from:'2017-05-12T09:55:44-0600',mode:absolute,to:'2017-05-12T12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7" s="192" t="str">
        <f t="shared" si="6"/>
        <v>N</v>
      </c>
      <c r="X67" s="192">
        <f t="shared" si="27"/>
        <v>1</v>
      </c>
      <c r="Y67" s="192">
        <f t="shared" si="8"/>
        <v>23.295300000000001</v>
      </c>
      <c r="Z67" s="192">
        <f t="shared" si="9"/>
        <v>1.47E-2</v>
      </c>
      <c r="AA67" s="192">
        <f t="shared" si="10"/>
        <v>23.2806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1"/>
        <v>0154-12</v>
      </c>
      <c r="AE67" s="80" t="str">
        <f t="shared" si="12"/>
        <v>aws s3 cp s3://rtdc.mdm.uploadarchive.raw/RTDC4045/ "%USERPROFILE%\AppData\Local\Temp\OnboardLogs"\RTDC4045\2017-05-12 --exclude "*" --recursive --include "*20170512*" &amp; "%USERPROFILE%\Documents\GitHub\mrs-test-scripts\Headless Mode &amp; Sideloading\WalkAndUnGZ.bat" "%USERPROFILE%\AppData\Local\Temp\OnboardLogs"\RTDC4045\2017-05-12 &amp; aws s3 cp s3://rtdc.mdm.uploadarchive.raw/RTDC4045/ "%USERPROFILE%\AppData\Local\Temp\OnboardLogs"\RTDC4045\2017-05-13 --exclude "*" --recursive --include "*20170513*" &amp; "%USERPROFILE%\Documents\GitHub\mrs-test-scripts\Headless Mode &amp; Sideloading\WalkAndUnGZ.bat" "%USERPROFILE%\AppData\Local\Temp\OnboardLogs"\RTDC4045\2017-05-13</v>
      </c>
      <c r="AF67" s="77" t="str">
        <f t="shared" si="13"/>
        <v>"C:\Program Files (x86)\AstroGrep\AstroGrep.exe" /e /r /s /spath="%USERPROFILE%\AppData\Local\Temp\OnboardLogs" /stypes="app*4045*20170512*" /stext=" 17:.+((SYSTEM_STATE.+slice.+state.+changed )|(ment ac)|(multiple cpu faults)|(system.+state.+changed )|(\[timeout)|(PRM\|1\|D)|(kpr)|(kdp)|(train st.+moving)|(\|lc)|(penalty))"</v>
      </c>
      <c r="AG67" s="1" t="str">
        <f t="shared" si="14"/>
        <v>EC</v>
      </c>
      <c r="AH67" s="81" t="str">
        <f t="shared" si="19"/>
        <v>"%USERPROFILE%\Documents\GitHub\eaglep3\Utilities\RefineRTDCRunTimes.py" --tripid 154-12 --locoid 4045 --swversion DE.1.0.9.0 --startMP 204:232953 --initTime 2017-05-12T10:55:44 --startdatetime 2017-05-12T11:11:15 --delay 1 --endMP 204:147 --enddatetime 2017-05-12T11:50:46 --enforcementcount 0 &gt;&gt;C:\Users\stu\Documents\GitHub\eaglep3-reporting\EC\2017-05-12-refined-times.txt</v>
      </c>
      <c r="AI67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{"issue":{"subject":"","project_id":79,"tracker_id":40,"status_id":1,"priority_id":2,"assigned_to_id":23,"start_date":"2017-05-12","description":"","custom_fields":[{"id":1,"name":"Subdivision","value":"EC"},{"id":4,"name":"Milepost","value":"0.0147"},{"id":17,"name":"Train ID","value":"154-12"},{"id":16,"name":"Locomotive ID","value":"4045"},{"id":130,"name":"Impact","value":""},{"id":150,"name":"Time of Event (Mountain Time)","value":"11:50:46"},{"id":151,"name":"Denver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4045 --day 2017-05-12</v>
      </c>
      <c r="AN67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17:50:46"},{"id":29,"name":"Sharepoint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676</v>
      </c>
      <c r="B68" s="7">
        <v>4032</v>
      </c>
      <c r="C68" s="21" t="s">
        <v>206</v>
      </c>
      <c r="D68" s="21" t="s">
        <v>347</v>
      </c>
      <c r="E68" s="13">
        <v>42867.434282407405</v>
      </c>
      <c r="F68" s="13">
        <v>42867.437673611108</v>
      </c>
      <c r="G68" s="7">
        <v>1</v>
      </c>
      <c r="H68" s="21" t="s">
        <v>823</v>
      </c>
      <c r="I68" s="13">
        <v>42867.462013888886</v>
      </c>
      <c r="J68" s="7">
        <v>0</v>
      </c>
      <c r="K68" s="92" t="str">
        <f t="shared" si="0"/>
        <v>4031/4032</v>
      </c>
      <c r="L68" s="21" t="str">
        <f>VLOOKUP(A68,'Trips&amp;Operators'!$C$1:$G$99999,5,FALSE)</f>
        <v>GEBRETEKLE DAGNEW</v>
      </c>
      <c r="M68" s="6">
        <f t="shared" si="1"/>
        <v>2.4340277777810115E-2</v>
      </c>
      <c r="N68" s="7">
        <f t="shared" si="24"/>
        <v>35.050000000046566</v>
      </c>
      <c r="O68" s="7"/>
      <c r="P68" s="7"/>
      <c r="Q68" s="22"/>
      <c r="R68" s="190"/>
      <c r="S68" s="196">
        <f t="shared" si="25"/>
        <v>1</v>
      </c>
      <c r="T68" s="190" t="str">
        <f t="shared" si="4"/>
        <v>NorthBound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1" t="str">
        <f t="shared" si="5"/>
        <v>https://d0f6bd738d7f1b3e5a7ca70fe4ff75f0.us-east-1.aws.found.io/app/kibana#/discover/Steve-Slow-Train-Analysis-(2080s-and-2083s)?_g=(refreshInterval:(display:Off,pause:!f,section:0,value:0),time:(from:'2017-05-12T09:25:22-0600',mode:absolute,to:'2017-05-12T12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8" s="192" t="str">
        <f t="shared" si="6"/>
        <v>N</v>
      </c>
      <c r="X68" s="192">
        <f t="shared" si="27"/>
        <v>1</v>
      </c>
      <c r="Y68" s="192">
        <f t="shared" si="8"/>
        <v>4.4900000000000002E-2</v>
      </c>
      <c r="Z68" s="192">
        <f t="shared" si="9"/>
        <v>23.330300000000001</v>
      </c>
      <c r="AA68" s="192">
        <f t="shared" si="10"/>
        <v>23.285400000000003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11"/>
        <v>0155-12</v>
      </c>
      <c r="AE68" s="80" t="str">
        <f t="shared" si="12"/>
        <v>aws s3 cp s3://rtdc.mdm.uploadarchive.raw/RTDC4032/ "%USERPROFILE%\AppData\Local\Temp\OnboardLogs"\RTDC4032\2017-05-12 --exclude "*" --recursive --include "*20170512*" &amp; "%USERPROFILE%\Documents\GitHub\mrs-test-scripts\Headless Mode &amp; Sideloading\WalkAndUnGZ.bat" "%USERPROFILE%\AppData\Local\Temp\OnboardLogs"\RTDC4032\2017-05-12 &amp; aws s3 cp s3://rtdc.mdm.uploadarchive.raw/RTDC4032/ "%USERPROFILE%\AppData\Local\Temp\OnboardLogs"\RTDC4032\2017-05-13 --exclude "*" --recursive --include "*20170513*" &amp; "%USERPROFILE%\Documents\GitHub\mrs-test-scripts\Headless Mode &amp; Sideloading\WalkAndUnGZ.bat" "%USERPROFILE%\AppData\Local\Temp\OnboardLogs"\RTDC4032\2017-05-13</v>
      </c>
      <c r="AF68" s="77" t="str">
        <f t="shared" si="13"/>
        <v>"C:\Program Files (x86)\AstroGrep\AstroGrep.exe" /e /r /s /spath="%USERPROFILE%\AppData\Local\Temp\OnboardLogs" /stypes="app*4032*20170512*" /stext=" 17:.+((SYSTEM_STATE.+slice.+state.+changed )|(ment ac)|(multiple cpu faults)|(system.+state.+changed )|(\[timeout)|(PRM\|1\|D)|(kpr)|(kdp)|(train st.+moving)|(\|lc)|(penalty))"</v>
      </c>
      <c r="AG68" s="1" t="str">
        <f t="shared" si="14"/>
        <v>EC</v>
      </c>
      <c r="AH68" s="81" t="str">
        <f t="shared" si="19"/>
        <v>"%USERPROFILE%\Documents\GitHub\eaglep3\Utilities\RefineRTDCRunTimes.py" --tripid 155-12 --locoid 4032 --swversion DE.1.0.9.0 --startMP 204:449 --initTime 2017-05-12T10:25:22 --startdatetime 2017-05-12T10:30:15 --delay 1 --endMP 204:233303 --enddatetime 2017-05-12T11:05:18 --enforcementcount 0 &gt;&gt;C:\Users\stu\Documents\GitHub\eaglep3-reporting\EC\2017-05-12-refined-times.txt</v>
      </c>
      <c r="AI68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{"issue":{"subject":"","project_id":79,"tracker_id":40,"status_id":1,"priority_id":2,"assigned_to_id":23,"start_date":"2017-05-12","description":"","custom_fields":[{"id":1,"name":"Subdivision","value":"EC"},{"id":4,"name":"Milepost","value":"23.3303"},{"id":17,"name":"Train ID","value":"155-12"},{"id":16,"name":"Locomotive ID","value":"4032"},{"id":130,"name":"Impact","value":""},{"id":150,"name":"Time of Event (Mountain Time)","value":"11:05:18"},{"id":151,"name":"Denver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4032 --day 2017-05-12</v>
      </c>
      <c r="AN68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17:05:18"},{"id":29,"name":"Sharepoint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685</v>
      </c>
      <c r="B69" s="7">
        <v>4031</v>
      </c>
      <c r="C69" s="21" t="s">
        <v>206</v>
      </c>
      <c r="D69" s="21" t="s">
        <v>845</v>
      </c>
      <c r="E69" s="13">
        <v>42867.473437499997</v>
      </c>
      <c r="F69" s="13">
        <v>42867.476863425924</v>
      </c>
      <c r="G69" s="7">
        <v>1</v>
      </c>
      <c r="H69" s="21" t="s">
        <v>368</v>
      </c>
      <c r="I69" s="13">
        <v>42867.503425925926</v>
      </c>
      <c r="J69" s="7">
        <v>0</v>
      </c>
      <c r="K69" s="92" t="str">
        <f t="shared" si="0"/>
        <v>4031/4032</v>
      </c>
      <c r="L69" s="21" t="str">
        <f>VLOOKUP(A69,'Trips&amp;Operators'!$C$1:$G$99999,5,FALSE)</f>
        <v>GEBRETEKLE DAGNEW</v>
      </c>
      <c r="M69" s="6">
        <f t="shared" si="1"/>
        <v>2.6562500002910383E-2</v>
      </c>
      <c r="N69" s="7">
        <f t="shared" si="24"/>
        <v>38.250000004190952</v>
      </c>
      <c r="O69" s="7"/>
      <c r="P69" s="7"/>
      <c r="Q69" s="22"/>
      <c r="R69" s="190"/>
      <c r="S69" s="196">
        <f t="shared" si="25"/>
        <v>1</v>
      </c>
      <c r="T69" s="190" t="str">
        <f t="shared" si="4"/>
        <v>Southbound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1" t="str">
        <f t="shared" si="5"/>
        <v>https://d0f6bd738d7f1b3e5a7ca70fe4ff75f0.us-east-1.aws.found.io/app/kibana#/discover/Steve-Slow-Train-Analysis-(2080s-and-2083s)?_g=(refreshInterval:(display:Off,pause:!f,section:0,value:0),time:(from:'2017-05-12T10:21:45-0600',mode:absolute,to:'2017-05-12T13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9" s="192" t="str">
        <f t="shared" si="6"/>
        <v>N</v>
      </c>
      <c r="X69" s="192">
        <f t="shared" si="27"/>
        <v>1</v>
      </c>
      <c r="Y69" s="192">
        <f t="shared" si="8"/>
        <v>23.298999999999999</v>
      </c>
      <c r="Z69" s="192">
        <f t="shared" si="9"/>
        <v>1.5599999999999999E-2</v>
      </c>
      <c r="AA69" s="192">
        <f t="shared" si="10"/>
        <v>23.2834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11"/>
        <v>0156-12</v>
      </c>
      <c r="AE69" s="80" t="str">
        <f t="shared" si="12"/>
        <v>aws s3 cp s3://rtdc.mdm.uploadarchive.raw/RTDC4031/ "%USERPROFILE%\AppData\Local\Temp\OnboardLogs"\RTDC4031\2017-05-12 --exclude "*" --recursive --include "*20170512*" &amp; "%USERPROFILE%\Documents\GitHub\mrs-test-scripts\Headless Mode &amp; Sideloading\WalkAndUnGZ.bat" "%USERPROFILE%\AppData\Local\Temp\OnboardLogs"\RTDC4031\2017-05-12 &amp; aws s3 cp s3://rtdc.mdm.uploadarchive.raw/RTDC4031/ "%USERPROFILE%\AppData\Local\Temp\OnboardLogs"\RTDC4031\2017-05-13 --exclude "*" --recursive --include "*20170513*" &amp; "%USERPROFILE%\Documents\GitHub\mrs-test-scripts\Headless Mode &amp; Sideloading\WalkAndUnGZ.bat" "%USERPROFILE%\AppData\Local\Temp\OnboardLogs"\RTDC4031\2017-05-13</v>
      </c>
      <c r="AF69" s="77" t="str">
        <f t="shared" si="13"/>
        <v>"C:\Program Files (x86)\AstroGrep\AstroGrep.exe" /e /r /s /spath="%USERPROFILE%\AppData\Local\Temp\OnboardLogs" /stypes="app*4031*20170512*" /stext=" 18:.+((SYSTEM_STATE.+slice.+state.+changed )|(ment ac)|(multiple cpu faults)|(system.+state.+changed )|(\[timeout)|(PRM\|1\|D)|(kpr)|(kdp)|(train st.+moving)|(\|lc)|(penalty))"</v>
      </c>
      <c r="AG69" s="1" t="str">
        <f t="shared" si="14"/>
        <v>EC</v>
      </c>
      <c r="AH69" s="81" t="str">
        <f t="shared" si="19"/>
        <v>"%USERPROFILE%\Documents\GitHub\eaglep3\Utilities\RefineRTDCRunTimes.py" --tripid 156-12 --locoid 4031 --swversion DE.1.0.9.0 --startMP 204:232990 --initTime 2017-05-12T11:21:45 --startdatetime 2017-05-12T11:26:41 --delay 1 --endMP 204:156 --enddatetime 2017-05-12T12:04:56 --enforcementcount 0 &gt;&gt;C:\Users\stu\Documents\GitHub\eaglep3-reporting\EC\2017-05-12-refined-times.txt</v>
      </c>
      <c r="AI69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{"issue":{"subject":"","project_id":79,"tracker_id":40,"status_id":1,"priority_id":2,"assigned_to_id":23,"start_date":"2017-05-12","description":"","custom_fields":[{"id":1,"name":"Subdivision","value":"EC"},{"id":4,"name":"Milepost","value":"0.0156"},{"id":17,"name":"Train ID","value":"156-12"},{"id":16,"name":"Locomotive ID","value":"4031"},{"id":130,"name":"Impact","value":""},{"id":150,"name":"Time of Event (Mountain Time)","value":"12:04:56"},{"id":151,"name":"Denver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4031 --day 2017-05-12</v>
      </c>
      <c r="AN69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18:04:56"},{"id":29,"name":"Sharepoint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679</v>
      </c>
      <c r="B70" s="7">
        <v>4012</v>
      </c>
      <c r="C70" s="21" t="s">
        <v>206</v>
      </c>
      <c r="D70" s="21" t="s">
        <v>457</v>
      </c>
      <c r="E70" s="13">
        <v>42867.446377314816</v>
      </c>
      <c r="F70" s="13">
        <v>42867.448194444441</v>
      </c>
      <c r="G70" s="7">
        <v>1</v>
      </c>
      <c r="H70" s="21" t="s">
        <v>390</v>
      </c>
      <c r="I70" s="13">
        <v>42867.472685185188</v>
      </c>
      <c r="J70" s="7">
        <v>0</v>
      </c>
      <c r="K70" s="92" t="str">
        <f t="shared" si="0"/>
        <v>4011/4012</v>
      </c>
      <c r="L70" s="21" t="str">
        <f>VLOOKUP(A70,'Trips&amp;Operators'!$C$1:$G$99999,5,FALSE)</f>
        <v>ROCHA YAOTL</v>
      </c>
      <c r="M70" s="6">
        <f t="shared" si="1"/>
        <v>2.4490740746841766E-2</v>
      </c>
      <c r="N70" s="7">
        <f t="shared" si="24"/>
        <v>35.266666675452143</v>
      </c>
      <c r="O70" s="7"/>
      <c r="P70" s="7"/>
      <c r="Q70" s="22"/>
      <c r="R70" s="190"/>
      <c r="S70" s="196">
        <f t="shared" si="25"/>
        <v>1</v>
      </c>
      <c r="T70" s="190" t="str">
        <f t="shared" si="4"/>
        <v>NorthBound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1" t="str">
        <f t="shared" si="5"/>
        <v>https://d0f6bd738d7f1b3e5a7ca70fe4ff75f0.us-east-1.aws.found.io/app/kibana#/discover/Steve-Slow-Train-Analysis-(2080s-and-2083s)?_g=(refreshInterval:(display:Off,pause:!f,section:0,value:0),time:(from:'2017-05-12T09:42:47-0600',mode:absolute,to:'2017-05-12T12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0" s="192" t="str">
        <f t="shared" si="6"/>
        <v>N</v>
      </c>
      <c r="X70" s="192">
        <f t="shared" si="27"/>
        <v>1</v>
      </c>
      <c r="Y70" s="192">
        <f t="shared" si="8"/>
        <v>4.3499999999999997E-2</v>
      </c>
      <c r="Z70" s="192">
        <f t="shared" si="9"/>
        <v>23.331199999999999</v>
      </c>
      <c r="AA70" s="192">
        <f t="shared" si="10"/>
        <v>23.287699999999997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11"/>
        <v>0157-12</v>
      </c>
      <c r="AE70" s="80" t="str">
        <f t="shared" si="12"/>
        <v>aws s3 cp s3://rtdc.mdm.uploadarchive.raw/RTDC4012/ "%USERPROFILE%\AppData\Local\Temp\OnboardLogs"\RTDC4012\2017-05-12 --exclude "*" --recursive --include "*20170512*" &amp; "%USERPROFILE%\Documents\GitHub\mrs-test-scripts\Headless Mode &amp; Sideloading\WalkAndUnGZ.bat" "%USERPROFILE%\AppData\Local\Temp\OnboardLogs"\RTDC4012\2017-05-12 &amp; aws s3 cp s3://rtdc.mdm.uploadarchive.raw/RTDC4012/ "%USERPROFILE%\AppData\Local\Temp\OnboardLogs"\RTDC4012\2017-05-13 --exclude "*" --recursive --include "*20170513*" &amp; "%USERPROFILE%\Documents\GitHub\mrs-test-scripts\Headless Mode &amp; Sideloading\WalkAndUnGZ.bat" "%USERPROFILE%\AppData\Local\Temp\OnboardLogs"\RTDC4012\2017-05-13</v>
      </c>
      <c r="AF70" s="77" t="str">
        <f t="shared" si="13"/>
        <v>"C:\Program Files (x86)\AstroGrep\AstroGrep.exe" /e /r /s /spath="%USERPROFILE%\AppData\Local\Temp\OnboardLogs" /stypes="app*4012*20170512*" /stext=" 17:.+((SYSTEM_STATE.+slice.+state.+changed )|(ment ac)|(multiple cpu faults)|(system.+state.+changed )|(\[timeout)|(PRM\|1\|D)|(kpr)|(kdp)|(train st.+moving)|(\|lc)|(penalty))"</v>
      </c>
      <c r="AG70" s="1" t="str">
        <f t="shared" si="14"/>
        <v>EC</v>
      </c>
      <c r="AH70" s="81" t="str">
        <f t="shared" si="19"/>
        <v>"%USERPROFILE%\Documents\GitHub\eaglep3\Utilities\RefineRTDCRunTimes.py" --tripid 157-12 --locoid 4012 --swversion DE.1.0.9.0 --startMP 204:435 --initTime 2017-05-12T10:42:47 --startdatetime 2017-05-12T10:45:24 --delay 1 --endMP 204:233312 --enddatetime 2017-05-12T11:20:40 --enforcementcount 0 &gt;&gt;C:\Users\stu\Documents\GitHub\eaglep3-reporting\EC\2017-05-12-refined-times.txt</v>
      </c>
      <c r="AI70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{"issue":{"subject":"","project_id":79,"tracker_id":40,"status_id":1,"priority_id":2,"assigned_to_id":23,"start_date":"2017-05-12","description":"","custom_fields":[{"id":1,"name":"Subdivision","value":"EC"},{"id":4,"name":"Milepost","value":"23.3312"},{"id":17,"name":"Train ID","value":"157-12"},{"id":16,"name":"Locomotive ID","value":"4012"},{"id":130,"name":"Impact","value":""},{"id":150,"name":"Time of Event (Mountain Time)","value":"11:20:40"},{"id":151,"name":"Denver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4012 --day 2017-05-12</v>
      </c>
      <c r="AN70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17:20:40"},{"id":29,"name":"Sharepoint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571</v>
      </c>
      <c r="B71" s="7">
        <v>4011</v>
      </c>
      <c r="C71" s="21" t="s">
        <v>206</v>
      </c>
      <c r="D71" s="21" t="s">
        <v>846</v>
      </c>
      <c r="E71" s="13">
        <v>42867.510821759257</v>
      </c>
      <c r="F71" s="13">
        <v>42867.511574074073</v>
      </c>
      <c r="G71" s="7">
        <v>1</v>
      </c>
      <c r="H71" s="21" t="s">
        <v>376</v>
      </c>
      <c r="I71" s="13">
        <v>42867.515752314815</v>
      </c>
      <c r="J71" s="7">
        <v>0</v>
      </c>
      <c r="K71" s="92" t="str">
        <f t="shared" si="0"/>
        <v>4011/4012</v>
      </c>
      <c r="L71" s="21" t="str">
        <f>VLOOKUP(A71,'Trips&amp;Operators'!$C$1:$G$99999,5,FALSE)</f>
        <v>ROCHA YAOTL</v>
      </c>
      <c r="M71" s="6">
        <f t="shared" si="1"/>
        <v>4.1782407424761914E-3</v>
      </c>
      <c r="N71" s="7"/>
      <c r="O71" s="7"/>
      <c r="P71" s="7">
        <f>24*60*SUM($M71:$M72)</f>
        <v>27.400000003399327</v>
      </c>
      <c r="Q71" s="22"/>
      <c r="R71" s="190" t="s">
        <v>1056</v>
      </c>
      <c r="S71" s="196">
        <f>SUM(U71:U72)/IF(AG71="EC",12,1)</f>
        <v>0.16666666666666666</v>
      </c>
      <c r="T71" s="190" t="str">
        <f t="shared" si="4"/>
        <v>Southbound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0</v>
      </c>
      <c r="V71" s="191" t="str">
        <f t="shared" si="5"/>
        <v>https://d0f6bd738d7f1b3e5a7ca70fe4ff75f0.us-east-1.aws.found.io/app/kibana#/discover/Steve-Slow-Train-Analysis-(2080s-and-2083s)?_g=(refreshInterval:(display:Off,pause:!f,section:0,value:0),time:(from:'2017-05-12T11:15:35-0600',mode:absolute,to:'2017-05-12T13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1" s="192" t="str">
        <f t="shared" si="6"/>
        <v>Y</v>
      </c>
      <c r="X71" s="192">
        <f t="shared" si="27"/>
        <v>1</v>
      </c>
      <c r="Y71" s="192">
        <f t="shared" si="8"/>
        <v>1.8776999999999999</v>
      </c>
      <c r="Z71" s="192">
        <f t="shared" si="9"/>
        <v>1.47E-2</v>
      </c>
      <c r="AA71" s="192">
        <f t="shared" si="10"/>
        <v>1.863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11"/>
        <v>0158-12</v>
      </c>
      <c r="AE71" s="80" t="str">
        <f t="shared" si="12"/>
        <v>aws s3 cp s3://rtdc.mdm.uploadarchive.raw/RTDC4011/ "%USERPROFILE%\AppData\Local\Temp\OnboardLogs"\RTDC4011\2017-05-12 --exclude "*" --recursive --include "*20170512*" &amp; "%USERPROFILE%\Documents\GitHub\mrs-test-scripts\Headless Mode &amp; Sideloading\WalkAndUnGZ.bat" "%USERPROFILE%\AppData\Local\Temp\OnboardLogs"\RTDC4011\2017-05-12 &amp; aws s3 cp s3://rtdc.mdm.uploadarchive.raw/RTDC4011/ "%USERPROFILE%\AppData\Local\Temp\OnboardLogs"\RTDC4011\2017-05-13 --exclude "*" --recursive --include "*20170513*" &amp; "%USERPROFILE%\Documents\GitHub\mrs-test-scripts\Headless Mode &amp; Sideloading\WalkAndUnGZ.bat" "%USERPROFILE%\AppData\Local\Temp\OnboardLogs"\RTDC4011\2017-05-13</v>
      </c>
      <c r="AF71" s="77" t="str">
        <f t="shared" si="13"/>
        <v>"C:\Program Files (x86)\AstroGrep\AstroGrep.exe" /e /r /s /spath="%USERPROFILE%\AppData\Local\Temp\OnboardLogs" /stypes="app*4011*20170512*" /stext=" 18:.+((SYSTEM_STATE.+slice.+state.+changed )|(ment ac)|(multiple cpu faults)|(system.+state.+changed )|(\[timeout)|(PRM\|1\|D)|(kpr)|(kdp)|(train st.+moving)|(\|lc)|(penalty))"</v>
      </c>
      <c r="AG71" s="1" t="str">
        <f t="shared" si="14"/>
        <v>EC</v>
      </c>
      <c r="AH71" s="81" t="str">
        <f t="shared" si="19"/>
        <v>"%USERPROFILE%\Documents\GitHub\eaglep3\Utilities\RefineRTDCRunTimes.py" --tripid 158-12 --locoid 4011 --swversion DE.1.0.9.0 --startMP 204:18777 --initTime 2017-05-12T12:15:35 --startdatetime 2017-05-12T12:16:40 --delay 1 --endMP 204:147 --enddatetime 2017-05-12T12:22:41 --enforcementcount 0 &gt;&gt;C:\Users\stu\Documents\GitHub\eaglep3-reporting\EC\2017-05-12-refined-times.txt</v>
      </c>
      <c r="AI71" s="99" t="str">
        <f t="shared" si="20"/>
        <v>echo {"issue":{"subject":"ELXS DPM module disabled @ Monaco XING","project_id":79,"tracker_id":40,"status_id":1,"priority_id":2,"assigned_to_id":23,"start_date":"2017-05-12","description":"","custom_fields":[{"id":1,"name":"Subdivision","value":"EC"},{"id":4,"name":"Milepost","value":"0.0147"},{"id":17,"name":"Train ID","value":"158-12"},{"id":16,"name":"Locomotive ID","value":"4011"},{"id":130,"name":"Impact","value":""},{"id":150,"name":"Time of Event (Mountain Time)","value":"12:22:41"},{"id":151,"name":"Denver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4011 --day 2017-05-12</v>
      </c>
      <c r="AN71" s="154" t="str">
        <f t="shared" si="22"/>
        <v>echo {"issue":{"subject":"ELXS DPM module disabled @ Monaco XING","project_id":30,"tracker_id":4,"status_id":1,"priority_id":1,"assigned_to_id":10,"start_date":"2017-05-12","description":"","custom_fields":[{"id":30,"name":"Category","value":"Issue"},{"id":3,"name":"Functional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18:22:41"},{"id":29,"name":"Sharepoint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571</v>
      </c>
      <c r="B72" s="7">
        <v>4011</v>
      </c>
      <c r="C72" s="21" t="s">
        <v>206</v>
      </c>
      <c r="D72" s="21" t="s">
        <v>834</v>
      </c>
      <c r="E72" s="13">
        <v>42867.485347222224</v>
      </c>
      <c r="F72" s="13">
        <v>42867.486168981479</v>
      </c>
      <c r="G72" s="7">
        <v>1</v>
      </c>
      <c r="H72" s="21" t="s">
        <v>847</v>
      </c>
      <c r="I72" s="13">
        <v>42867.501018518517</v>
      </c>
      <c r="J72" s="7">
        <v>1</v>
      </c>
      <c r="K72" s="92" t="str">
        <f t="shared" si="0"/>
        <v>4011/4012</v>
      </c>
      <c r="L72" s="21" t="str">
        <f>VLOOKUP(A72,'Trips&amp;Operators'!$C$1:$G$99999,5,FALSE)</f>
        <v>ROCHA YAOTL</v>
      </c>
      <c r="M72" s="6">
        <f t="shared" si="1"/>
        <v>1.484953703766223E-2</v>
      </c>
      <c r="N72" s="7"/>
      <c r="O72" s="7"/>
      <c r="P72" s="7"/>
      <c r="Q72" s="22"/>
      <c r="R72" s="190"/>
      <c r="S72" s="196"/>
      <c r="T72" s="190" t="str">
        <f t="shared" si="4"/>
        <v>Southbound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2</v>
      </c>
      <c r="V72" s="191" t="str">
        <f t="shared" si="5"/>
        <v>https://d0f6bd738d7f1b3e5a7ca70fe4ff75f0.us-east-1.aws.found.io/app/kibana#/discover/Steve-Slow-Train-Analysis-(2080s-and-2083s)?_g=(refreshInterval:(display:Off,pause:!f,section:0,value:0),time:(from:'2017-05-12T10:38:54-0600',mode:absolute,to:'2017-05-12T13:01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2" s="192" t="str">
        <f t="shared" si="6"/>
        <v>Y</v>
      </c>
      <c r="X72" s="192">
        <f t="shared" si="27"/>
        <v>0</v>
      </c>
      <c r="Y72" s="192">
        <f t="shared" si="8"/>
        <v>23.3002</v>
      </c>
      <c r="Z72" s="192">
        <f t="shared" si="9"/>
        <v>8.6351999999999993</v>
      </c>
      <c r="AA72" s="192">
        <f t="shared" si="10"/>
        <v>14.665000000000001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1"/>
        <v>0158-12</v>
      </c>
      <c r="AE72" s="80" t="str">
        <f t="shared" si="12"/>
        <v>aws s3 cp s3://rtdc.mdm.uploadarchive.raw/RTDC4011/ "%USERPROFILE%\AppData\Local\Temp\OnboardLogs"\RTDC4011\2017-05-12 --exclude "*" --recursive --include "*20170512*" &amp; "%USERPROFILE%\Documents\GitHub\mrs-test-scripts\Headless Mode &amp; Sideloading\WalkAndUnGZ.bat" "%USERPROFILE%\AppData\Local\Temp\OnboardLogs"\RTDC4011\2017-05-12 &amp; aws s3 cp s3://rtdc.mdm.uploadarchive.raw/RTDC4011/ "%USERPROFILE%\AppData\Local\Temp\OnboardLogs"\RTDC4011\2017-05-13 --exclude "*" --recursive --include "*20170513*" &amp; "%USERPROFILE%\Documents\GitHub\mrs-test-scripts\Headless Mode &amp; Sideloading\WalkAndUnGZ.bat" "%USERPROFILE%\AppData\Local\Temp\OnboardLogs"\RTDC4011\2017-05-13</v>
      </c>
      <c r="AF72" s="77" t="str">
        <f t="shared" si="13"/>
        <v>"C:\Program Files (x86)\AstroGrep\AstroGrep.exe" /e /r /s /spath="%USERPROFILE%\AppData\Local\Temp\OnboardLogs" /stypes="app*4011*20170512*" /stext=" 18:.+((SYSTEM_STATE.+slice.+state.+changed )|(ment ac)|(multiple cpu faults)|(system.+state.+changed )|(\[timeout)|(PRM\|1\|D)|(kpr)|(kdp)|(train st.+moving)|(\|lc)|(penalty))"</v>
      </c>
      <c r="AG72" s="1" t="str">
        <f t="shared" si="14"/>
        <v>EC</v>
      </c>
      <c r="AH72" s="81" t="str">
        <f t="shared" si="19"/>
        <v>"%USERPROFILE%\Documents\GitHub\eaglep3\Utilities\RefineRTDCRunTimes.py" --tripid 158-12 --locoid 4011 --swversion DE.1.0.9.0 --startMP 204:233002 --initTime 2017-05-12T11:38:54 --startdatetime 2017-05-12T11:40:05 --delay 1 --endMP 204:86352 --enddatetime 2017-05-12T12:01:28 --enforcementcount 1 &gt;&gt;C:\Users\stu\Documents\GitHub\eaglep3-reporting\EC\2017-05-12-refined-times.txt</v>
      </c>
      <c r="AI72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{"issue":{"subject":"","project_id":79,"tracker_id":40,"status_id":1,"priority_id":2,"assigned_to_id":23,"start_date":"2017-05-12","description":"","custom_fields":[{"id":1,"name":"Subdivision","value":"EC"},{"id":4,"name":"Milepost","value":"8.6352"},{"id":17,"name":"Train ID","value":"158-12"},{"id":16,"name":"Locomotive ID","value":"4011"},{"id":130,"name":"Impact","value":""},{"id":150,"name":"Time of Event (Mountain Time)","value":"12:01:28"},{"id":151,"name":"Denver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1"/>
        <v>start /low /b %USERPROFILE%\Documents\GitHub\eaglep3\Utilities\DownloadLogsFromS3.py --loco 4011 --day 2017-05-12</v>
      </c>
      <c r="AN72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18:01:28"},{"id":29,"name":"Sharepoint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568</v>
      </c>
      <c r="B73" s="7">
        <v>4014</v>
      </c>
      <c r="C73" s="21" t="s">
        <v>206</v>
      </c>
      <c r="D73" s="21" t="s">
        <v>848</v>
      </c>
      <c r="E73" s="13">
        <v>42867.452673611115</v>
      </c>
      <c r="F73" s="13">
        <v>42867.458541666667</v>
      </c>
      <c r="G73" s="7">
        <v>2</v>
      </c>
      <c r="H73" s="21" t="s">
        <v>486</v>
      </c>
      <c r="I73" s="13">
        <v>42867.484027777777</v>
      </c>
      <c r="J73" s="7">
        <v>0</v>
      </c>
      <c r="K73" s="92" t="str">
        <f t="shared" si="0"/>
        <v>4013/4014</v>
      </c>
      <c r="L73" s="21" t="str">
        <f>VLOOKUP(A73,'Trips&amp;Operators'!$C$1:$G$99999,5,FALSE)</f>
        <v>STEWART MICHAEL</v>
      </c>
      <c r="M73" s="6">
        <f t="shared" si="1"/>
        <v>2.548611110978527E-2</v>
      </c>
      <c r="N73" s="7">
        <f t="shared" ref="N73:N94" si="28">24*60*SUM($M73:$M73)</f>
        <v>36.699999998090789</v>
      </c>
      <c r="O73" s="7"/>
      <c r="P73" s="7"/>
      <c r="Q73" s="22"/>
      <c r="R73" s="190"/>
      <c r="S73" s="196">
        <f t="shared" ref="S73:S95" si="29">SUM(U73:U73)/IF(AG73="EC",12,1)</f>
        <v>1</v>
      </c>
      <c r="T73" s="190" t="str">
        <f t="shared" si="4"/>
        <v>NorthBound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1" t="str">
        <f t="shared" si="5"/>
        <v>https://d0f6bd738d7f1b3e5a7ca70fe4ff75f0.us-east-1.aws.found.io/app/kibana#/discover/Steve-Slow-Train-Analysis-(2080s-and-2083s)?_g=(refreshInterval:(display:Off,pause:!f,section:0,value:0),time:(from:'2017-05-12T09:51:51-0600',mode:absolute,to:'2017-05-12T12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3" s="192" t="str">
        <f t="shared" si="6"/>
        <v>N</v>
      </c>
      <c r="X73" s="192">
        <f t="shared" si="27"/>
        <v>1</v>
      </c>
      <c r="Y73" s="192">
        <f t="shared" si="8"/>
        <v>4.2900000000000001E-2</v>
      </c>
      <c r="Z73" s="192">
        <f t="shared" si="9"/>
        <v>23.328600000000002</v>
      </c>
      <c r="AA73" s="192">
        <f t="shared" si="10"/>
        <v>23.285700000000002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11"/>
        <v>0159-12</v>
      </c>
      <c r="AE73" s="80" t="str">
        <f t="shared" si="12"/>
        <v>aws s3 cp s3://rtdc.mdm.uploadarchive.raw/RTDC4014/ "%USERPROFILE%\AppData\Local\Temp\OnboardLogs"\RTDC4014\2017-05-12 --exclude "*" --recursive --include "*20170512*" &amp; "%USERPROFILE%\Documents\GitHub\mrs-test-scripts\Headless Mode &amp; Sideloading\WalkAndUnGZ.bat" "%USERPROFILE%\AppData\Local\Temp\OnboardLogs"\RTDC4014\2017-05-12 &amp; aws s3 cp s3://rtdc.mdm.uploadarchive.raw/RTDC4014/ "%USERPROFILE%\AppData\Local\Temp\OnboardLogs"\RTDC4014\2017-05-13 --exclude "*" --recursive --include "*20170513*" &amp; "%USERPROFILE%\Documents\GitHub\mrs-test-scripts\Headless Mode &amp; Sideloading\WalkAndUnGZ.bat" "%USERPROFILE%\AppData\Local\Temp\OnboardLogs"\RTDC4014\2017-05-13</v>
      </c>
      <c r="AF73" s="77" t="str">
        <f t="shared" si="13"/>
        <v>"C:\Program Files (x86)\AstroGrep\AstroGrep.exe" /e /r /s /spath="%USERPROFILE%\AppData\Local\Temp\OnboardLogs" /stypes="app*4014*20170512*" /stext=" 17:.+((SYSTEM_STATE.+slice.+state.+changed )|(ment ac)|(multiple cpu faults)|(system.+state.+changed )|(\[timeout)|(PRM\|1\|D)|(kpr)|(kdp)|(train st.+moving)|(\|lc)|(penalty))"</v>
      </c>
      <c r="AG73" s="1" t="str">
        <f t="shared" si="14"/>
        <v>EC</v>
      </c>
      <c r="AH73" s="81" t="str">
        <f t="shared" si="19"/>
        <v>"%USERPROFILE%\Documents\GitHub\eaglep3\Utilities\RefineRTDCRunTimes.py" --tripid 159-12 --locoid 4014 --swversion DE.1.0.9.0 --startMP 204:429 --initTime 2017-05-12T10:51:51 --startdatetime 2017-05-12T11:00:18 --delay 2 --endMP 204:233286 --enddatetime 2017-05-12T11:37:00 --enforcementcount 0 &gt;&gt;C:\Users\stu\Documents\GitHub\eaglep3-reporting\EC\2017-05-12-refined-times.txt</v>
      </c>
      <c r="AI73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{"issue":{"subject":"","project_id":79,"tracker_id":40,"status_id":1,"priority_id":2,"assigned_to_id":23,"start_date":"2017-05-12","description":"","custom_fields":[{"id":1,"name":"Subdivision","value":"EC"},{"id":4,"name":"Milepost","value":"23.3286"},{"id":17,"name":"Train ID","value":"159-12"},{"id":16,"name":"Locomotive ID","value":"4014"},{"id":130,"name":"Impact","value":""},{"id":150,"name":"Time of Event (Mountain Time)","value":"11:37:00"},{"id":151,"name":"Denver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4014 --day 2017-05-12</v>
      </c>
      <c r="AN73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17:37:00"},{"id":29,"name":"Sharepoint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688</v>
      </c>
      <c r="B74" s="7">
        <v>4013</v>
      </c>
      <c r="C74" s="21" t="s">
        <v>206</v>
      </c>
      <c r="D74" s="21" t="s">
        <v>453</v>
      </c>
      <c r="E74" s="13">
        <v>42867.492743055554</v>
      </c>
      <c r="F74" s="13">
        <v>42867.497465277775</v>
      </c>
      <c r="G74" s="7">
        <v>2</v>
      </c>
      <c r="H74" s="21" t="s">
        <v>197</v>
      </c>
      <c r="I74" s="13">
        <v>42867.525000000001</v>
      </c>
      <c r="J74" s="7">
        <v>0</v>
      </c>
      <c r="K74" s="92" t="str">
        <f t="shared" si="0"/>
        <v>4013/4014</v>
      </c>
      <c r="L74" s="21" t="str">
        <f>VLOOKUP(A74,'Trips&amp;Operators'!$C$1:$G$99999,5,FALSE)</f>
        <v>STEWART MICHAEL</v>
      </c>
      <c r="M74" s="6">
        <f t="shared" si="1"/>
        <v>2.7534722226846498E-2</v>
      </c>
      <c r="N74" s="7">
        <f t="shared" si="28"/>
        <v>39.650000006658956</v>
      </c>
      <c r="O74" s="7"/>
      <c r="P74" s="7"/>
      <c r="Q74" s="22"/>
      <c r="R74" s="190"/>
      <c r="S74" s="196">
        <f t="shared" si="29"/>
        <v>1</v>
      </c>
      <c r="T74" s="190" t="str">
        <f t="shared" si="4"/>
        <v>Southbound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 t="shared" si="5"/>
        <v>https://d0f6bd738d7f1b3e5a7ca70fe4ff75f0.us-east-1.aws.found.io/app/kibana#/discover/Steve-Slow-Train-Analysis-(2080s-and-2083s)?_g=(refreshInterval:(display:Off,pause:!f,section:0,value:0),time:(from:'2017-05-12T10:49:33-0600',mode:absolute,to:'2017-05-12T13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4" s="192" t="str">
        <f t="shared" si="6"/>
        <v>N</v>
      </c>
      <c r="X74" s="192">
        <f t="shared" si="27"/>
        <v>1</v>
      </c>
      <c r="Y74" s="192">
        <f t="shared" si="8"/>
        <v>23.297699999999999</v>
      </c>
      <c r="Z74" s="192">
        <f t="shared" si="9"/>
        <v>1.52E-2</v>
      </c>
      <c r="AA74" s="192">
        <f t="shared" si="10"/>
        <v>23.282499999999999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11"/>
        <v>0160-12</v>
      </c>
      <c r="AE74" s="80" t="str">
        <f t="shared" si="12"/>
        <v>aws s3 cp s3://rtdc.mdm.uploadarchive.raw/RTDC4013/ "%USERPROFILE%\AppData\Local\Temp\OnboardLogs"\RTDC4013\2017-05-12 --exclude "*" --recursive --include "*20170512*" &amp; "%USERPROFILE%\Documents\GitHub\mrs-test-scripts\Headless Mode &amp; Sideloading\WalkAndUnGZ.bat" "%USERPROFILE%\AppData\Local\Temp\OnboardLogs"\RTDC4013\2017-05-12 &amp; aws s3 cp s3://rtdc.mdm.uploadarchive.raw/RTDC4013/ "%USERPROFILE%\AppData\Local\Temp\OnboardLogs"\RTDC4013\2017-05-13 --exclude "*" --recursive --include "*20170513*" &amp; "%USERPROFILE%\Documents\GitHub\mrs-test-scripts\Headless Mode &amp; Sideloading\WalkAndUnGZ.bat" "%USERPROFILE%\AppData\Local\Temp\OnboardLogs"\RTDC4013\2017-05-13</v>
      </c>
      <c r="AF74" s="77" t="str">
        <f t="shared" si="13"/>
        <v>"C:\Program Files (x86)\AstroGrep\AstroGrep.exe" /e /r /s /spath="%USERPROFILE%\AppData\Local\Temp\OnboardLogs" /stypes="app*4013*20170512*" /stext=" 18:.+((SYSTEM_STATE.+slice.+state.+changed )|(ment ac)|(multiple cpu faults)|(system.+state.+changed )|(\[timeout)|(PRM\|1\|D)|(kpr)|(kdp)|(train st.+moving)|(\|lc)|(penalty))"</v>
      </c>
      <c r="AG74" s="1" t="str">
        <f t="shared" si="14"/>
        <v>EC</v>
      </c>
      <c r="AH74" s="81" t="str">
        <f t="shared" si="19"/>
        <v>"%USERPROFILE%\Documents\GitHub\eaglep3\Utilities\RefineRTDCRunTimes.py" --tripid 160-12 --locoid 4013 --swversion DE.1.0.9.0 --startMP 204:232977 --initTime 2017-05-12T11:49:33 --startdatetime 2017-05-12T11:56:21 --delay 2 --endMP 204:152 --enddatetime 2017-05-12T12:36:00 --enforcementcount 0 &gt;&gt;C:\Users\stu\Documents\GitHub\eaglep3-reporting\EC\2017-05-12-refined-times.txt</v>
      </c>
      <c r="AI74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{"issue":{"subject":"","project_id":79,"tracker_id":40,"status_id":1,"priority_id":2,"assigned_to_id":23,"start_date":"2017-05-12","description":"","custom_fields":[{"id":1,"name":"Subdivision","value":"EC"},{"id":4,"name":"Milepost","value":"0.0152"},{"id":17,"name":"Train ID","value":"160-12"},{"id":16,"name":"Locomotive ID","value":"4013"},{"id":130,"name":"Impact","value":""},{"id":150,"name":"Time of Event (Mountain Time)","value":"12:36:00"},{"id":151,"name":"Denver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4013 --day 2017-05-12</v>
      </c>
      <c r="AN74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18:36:00"},{"id":29,"name":"Sharepoint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684</v>
      </c>
      <c r="B75" s="7">
        <v>4022</v>
      </c>
      <c r="C75" s="21" t="s">
        <v>206</v>
      </c>
      <c r="D75" s="21" t="s">
        <v>352</v>
      </c>
      <c r="E75" s="13">
        <v>42867.46365740741</v>
      </c>
      <c r="F75" s="13">
        <v>42867.468912037039</v>
      </c>
      <c r="G75" s="7">
        <v>1</v>
      </c>
      <c r="H75" s="21" t="s">
        <v>849</v>
      </c>
      <c r="I75" s="13">
        <v>42867.494085648148</v>
      </c>
      <c r="J75" s="7">
        <v>0</v>
      </c>
      <c r="K75" s="92" t="str">
        <f t="shared" si="0"/>
        <v>4021/4022</v>
      </c>
      <c r="L75" s="21" t="str">
        <f>VLOOKUP(A75,'Trips&amp;Operators'!$C$1:$G$99999,5,FALSE)</f>
        <v>DELGADO DIANAH</v>
      </c>
      <c r="M75" s="6">
        <f t="shared" si="1"/>
        <v>2.5173611109494232E-2</v>
      </c>
      <c r="N75" s="7">
        <f t="shared" si="28"/>
        <v>36.249999997671694</v>
      </c>
      <c r="O75" s="7"/>
      <c r="P75" s="7"/>
      <c r="Q75" s="22"/>
      <c r="R75" s="190"/>
      <c r="S75" s="196">
        <f t="shared" si="29"/>
        <v>1</v>
      </c>
      <c r="T75" s="190" t="str">
        <f t="shared" si="4"/>
        <v>NorthBound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 t="shared" si="5"/>
        <v>https://d0f6bd738d7f1b3e5a7ca70fe4ff75f0.us-east-1.aws.found.io/app/kibana#/discover/Steve-Slow-Train-Analysis-(2080s-and-2083s)?_g=(refreshInterval:(display:Off,pause:!f,section:0,value:0),time:(from:'2017-05-12T10:07:40-0600',mode:absolute,to:'2017-05-12T12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5" s="192" t="str">
        <f t="shared" si="6"/>
        <v>N</v>
      </c>
      <c r="X75" s="192">
        <f t="shared" si="27"/>
        <v>1</v>
      </c>
      <c r="Y75" s="192">
        <f t="shared" si="8"/>
        <v>4.4600000000000001E-2</v>
      </c>
      <c r="Z75" s="192">
        <f t="shared" si="9"/>
        <v>23.344000000000001</v>
      </c>
      <c r="AA75" s="192">
        <f t="shared" si="10"/>
        <v>23.299400000000002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11"/>
        <v>0161-12</v>
      </c>
      <c r="AE75" s="80" t="str">
        <f t="shared" si="12"/>
        <v>aws s3 cp s3://rtdc.mdm.uploadarchive.raw/RTDC4022/ "%USERPROFILE%\AppData\Local\Temp\OnboardLogs"\RTDC4022\2017-05-12 --exclude "*" --recursive --include "*20170512*" &amp; "%USERPROFILE%\Documents\GitHub\mrs-test-scripts\Headless Mode &amp; Sideloading\WalkAndUnGZ.bat" "%USERPROFILE%\AppData\Local\Temp\OnboardLogs"\RTDC4022\2017-05-12 &amp; aws s3 cp s3://rtdc.mdm.uploadarchive.raw/RTDC4022/ "%USERPROFILE%\AppData\Local\Temp\OnboardLogs"\RTDC4022\2017-05-13 --exclude "*" --recursive --include "*20170513*" &amp; "%USERPROFILE%\Documents\GitHub\mrs-test-scripts\Headless Mode &amp; Sideloading\WalkAndUnGZ.bat" "%USERPROFILE%\AppData\Local\Temp\OnboardLogs"\RTDC4022\2017-05-13</v>
      </c>
      <c r="AF75" s="77" t="str">
        <f t="shared" si="13"/>
        <v>"C:\Program Files (x86)\AstroGrep\AstroGrep.exe" /e /r /s /spath="%USERPROFILE%\AppData\Local\Temp\OnboardLogs" /stypes="app*4022*20170512*" /stext=" 17:.+((SYSTEM_STATE.+slice.+state.+changed )|(ment ac)|(multiple cpu faults)|(system.+state.+changed )|(\[timeout)|(PRM\|1\|D)|(kpr)|(kdp)|(train st.+moving)|(\|lc)|(penalty))"</v>
      </c>
      <c r="AG75" s="1" t="str">
        <f t="shared" si="14"/>
        <v>EC</v>
      </c>
      <c r="AH75" s="81" t="str">
        <f t="shared" si="19"/>
        <v>"%USERPROFILE%\Documents\GitHub\eaglep3\Utilities\RefineRTDCRunTimes.py" --tripid 161-12 --locoid 4022 --swversion DE.1.0.9.0 --startMP 204:446 --initTime 2017-05-12T11:07:40 --startdatetime 2017-05-12T11:15:14 --delay 1 --endMP 204:233440 --enddatetime 2017-05-12T11:51:29 --enforcementcount 0 &gt;&gt;C:\Users\stu\Documents\GitHub\eaglep3-reporting\EC\2017-05-12-refined-times.txt</v>
      </c>
      <c r="AI75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{"issue":{"subject":"","project_id":79,"tracker_id":40,"status_id":1,"priority_id":2,"assigned_to_id":23,"start_date":"2017-05-12","description":"","custom_fields":[{"id":1,"name":"Subdivision","value":"EC"},{"id":4,"name":"Milepost","value":"23.344"},{"id":17,"name":"Train ID","value":"161-12"},{"id":16,"name":"Locomotive ID","value":"4022"},{"id":130,"name":"Impact","value":""},{"id":150,"name":"Time of Event (Mountain Time)","value":"11:51:29"},{"id":151,"name":"Denver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4022 --day 2017-05-12</v>
      </c>
      <c r="AN75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17:51:29"},{"id":29,"name":"Sharepoint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572</v>
      </c>
      <c r="B76" s="7">
        <v>4021</v>
      </c>
      <c r="C76" s="21" t="s">
        <v>206</v>
      </c>
      <c r="D76" s="21" t="s">
        <v>850</v>
      </c>
      <c r="E76" s="13">
        <v>42867.497094907405</v>
      </c>
      <c r="F76" s="13">
        <v>42867.507789351854</v>
      </c>
      <c r="G76" s="7">
        <v>3</v>
      </c>
      <c r="H76" s="21" t="s">
        <v>485</v>
      </c>
      <c r="I76" s="13">
        <v>42867.534629629627</v>
      </c>
      <c r="J76" s="7">
        <v>0</v>
      </c>
      <c r="K76" s="92" t="str">
        <f t="shared" si="0"/>
        <v>4021/4022</v>
      </c>
      <c r="L76" s="21" t="str">
        <f>VLOOKUP(A76,'Trips&amp;Operators'!$C$1:$G$99999,5,FALSE)</f>
        <v>DELGADO DIANAH</v>
      </c>
      <c r="M76" s="6">
        <f t="shared" si="1"/>
        <v>2.6840277772862464E-2</v>
      </c>
      <c r="N76" s="7">
        <f t="shared" si="28"/>
        <v>38.649999992921948</v>
      </c>
      <c r="O76" s="7"/>
      <c r="P76" s="7"/>
      <c r="Q76" s="22"/>
      <c r="R76" s="190"/>
      <c r="S76" s="196">
        <f t="shared" si="29"/>
        <v>1</v>
      </c>
      <c r="T76" s="190" t="str">
        <f t="shared" si="4"/>
        <v>Southbound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1" t="str">
        <f t="shared" si="5"/>
        <v>https://d0f6bd738d7f1b3e5a7ca70fe4ff75f0.us-east-1.aws.found.io/app/kibana#/discover/Steve-Slow-Train-Analysis-(2080s-and-2083s)?_g=(refreshInterval:(display:Off,pause:!f,section:0,value:0),time:(from:'2017-05-12T10:55:49-0600',mode:absolute,to:'2017-05-12T13:49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6" s="192" t="str">
        <f t="shared" si="6"/>
        <v>N</v>
      </c>
      <c r="X76" s="192">
        <f t="shared" si="27"/>
        <v>1</v>
      </c>
      <c r="Y76" s="192">
        <f t="shared" si="8"/>
        <v>23.313600000000001</v>
      </c>
      <c r="Z76" s="192">
        <f t="shared" si="9"/>
        <v>1.2999999999999999E-2</v>
      </c>
      <c r="AA76" s="192">
        <f t="shared" si="10"/>
        <v>23.300599999999999</v>
      </c>
      <c r="AB76" s="57" t="str">
        <f>VLOOKUP(A76,Enforcements!$C$7:$K$13,8,0)</f>
        <v>Bulletin (2)</v>
      </c>
      <c r="AC76" s="53" t="str">
        <f>VLOOKUP(A76,Enforcements!$C$7:$E$13,3,0)</f>
        <v>GRADE CROSSING</v>
      </c>
      <c r="AD76" s="54" t="str">
        <f t="shared" si="11"/>
        <v>0162-12</v>
      </c>
      <c r="AE76" s="80" t="str">
        <f t="shared" si="12"/>
        <v>aws s3 cp s3://rtdc.mdm.uploadarchive.raw/RTDC4021/ "%USERPROFILE%\AppData\Local\Temp\OnboardLogs"\RTDC4021\2017-05-12 --exclude "*" --recursive --include "*20170512*" &amp; "%USERPROFILE%\Documents\GitHub\mrs-test-scripts\Headless Mode &amp; Sideloading\WalkAndUnGZ.bat" "%USERPROFILE%\AppData\Local\Temp\OnboardLogs"\RTDC4021\2017-05-12 &amp; aws s3 cp s3://rtdc.mdm.uploadarchive.raw/RTDC4021/ "%USERPROFILE%\AppData\Local\Temp\OnboardLogs"\RTDC4021\2017-05-13 --exclude "*" --recursive --include "*20170513*" &amp; "%USERPROFILE%\Documents\GitHub\mrs-test-scripts\Headless Mode &amp; Sideloading\WalkAndUnGZ.bat" "%USERPROFILE%\AppData\Local\Temp\OnboardLogs"\RTDC4021\2017-05-13</v>
      </c>
      <c r="AF76" s="77" t="str">
        <f t="shared" si="13"/>
        <v>"C:\Program Files (x86)\AstroGrep\AstroGrep.exe" /e /r /s /spath="%USERPROFILE%\AppData\Local\Temp\OnboardLogs" /stypes="app*4021*20170512*" /stext=" 18:.+((SYSTEM_STATE.+slice.+state.+changed )|(ment ac)|(multiple cpu faults)|(system.+state.+changed )|(\[timeout)|(PRM\|1\|D)|(kpr)|(kdp)|(train st.+moving)|(\|lc)|(penalty))"</v>
      </c>
      <c r="AG76" s="1" t="str">
        <f t="shared" si="14"/>
        <v>EC</v>
      </c>
      <c r="AH76" s="81" t="str">
        <f t="shared" si="19"/>
        <v>"%USERPROFILE%\Documents\GitHub\eaglep3\Utilities\RefineRTDCRunTimes.py" --tripid 162-12 --locoid 4021 --swversion DE.1.0.9.0 --startMP 204:233136 --initTime 2017-05-12T11:55:49 --startdatetime 2017-05-12T12:11:13 --delay 3 --endMP 204:130 --enddatetime 2017-05-12T12:49:52 --enforcementcount 0 &gt;&gt;C:\Users\stu\Documents\GitHub\eaglep3-reporting\EC\2017-05-12-refined-times.txt</v>
      </c>
      <c r="AI76" s="99" t="str">
        <f t="shared" si="20"/>
        <v>echo {"issue":{"subject":"","project_id":79,"tracker_id":40,"status_id":1,"priority_id":2,"assigned_to_id":23,"start_date":"2017-05-12","description":"","custom_fields":[{"id":1,"name":"Subdivision","value":"EC"},{"id":4,"name":"Milepost","value":"0.013"},{"id":17,"name":"Train ID","value":"162-12"},{"id":16,"name":"Locomotive ID","value":"4021"},{"id":130,"name":"Impact","value":""},{"id":150,"name":"Time of Event (Mountain Time)","value":"12:49:52"},{"id":151,"name":"Denver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1"/>
        <v>start /low /b %USERPROFILE%\Documents\GitHub\eaglep3\Utilities\DownloadLogsFromS3.py --loco 4021 --day 2017-05-12</v>
      </c>
      <c r="AN76" s="154" t="str">
        <f t="shared" si="22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18:49:52"},{"id":29,"name":"Sharepoint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686</v>
      </c>
      <c r="B77" s="7">
        <v>4016</v>
      </c>
      <c r="C77" s="21" t="s">
        <v>206</v>
      </c>
      <c r="D77" s="21" t="s">
        <v>457</v>
      </c>
      <c r="E77" s="13">
        <v>42867.474664351852</v>
      </c>
      <c r="F77" s="13">
        <v>42867.479328703703</v>
      </c>
      <c r="G77" s="7">
        <v>1</v>
      </c>
      <c r="H77" s="21" t="s">
        <v>438</v>
      </c>
      <c r="I77" s="13">
        <v>42867.505312499998</v>
      </c>
      <c r="J77" s="7">
        <v>0</v>
      </c>
      <c r="K77" s="92" t="str">
        <f t="shared" ref="K77:K140" si="30">IF(ISEVEN(B77),(B77-1)&amp;"/"&amp;B77,B77&amp;"/"&amp;(B77+1))</f>
        <v>4015/4016</v>
      </c>
      <c r="L77" s="21" t="str">
        <f>VLOOKUP(A77,'Trips&amp;Operators'!$C$1:$G$99999,5,FALSE)</f>
        <v>CLARK KATHLEEN</v>
      </c>
      <c r="M77" s="6">
        <f t="shared" ref="M77:M140" si="31">I77-F77</f>
        <v>2.5983796294895001E-2</v>
      </c>
      <c r="N77" s="7">
        <f t="shared" si="28"/>
        <v>37.416666664648801</v>
      </c>
      <c r="O77" s="7"/>
      <c r="P77" s="7"/>
      <c r="Q77" s="22"/>
      <c r="R77" s="190"/>
      <c r="S77" s="196">
        <f t="shared" si="29"/>
        <v>1</v>
      </c>
      <c r="T77" s="190" t="str">
        <f t="shared" ref="T77:T140" si="32">IF(ISEVEN(LEFT(AD77,4)),"Southbound","NorthBound")</f>
        <v>NorthBound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1" t="str">
        <f t="shared" ref="V77:V140" si="33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-05-12T10:23:31-0600',mode:absolute,to:'2017-05-12T13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7" s="192" t="str">
        <f t="shared" ref="W77:W140" si="34">IF(AA77&lt;IF(AG77="EC",23,5.65),"Y","N")</f>
        <v>N</v>
      </c>
      <c r="X77" s="192">
        <f t="shared" si="27"/>
        <v>1</v>
      </c>
      <c r="Y77" s="192">
        <f t="shared" ref="Y77:Y140" si="35">RIGHT(D77,LEN(D77)-4)/10000</f>
        <v>4.3499999999999997E-2</v>
      </c>
      <c r="Z77" s="192">
        <f t="shared" ref="Z77:Z140" si="36">RIGHT(H77,LEN(H77)-4)/10000</f>
        <v>23.327999999999999</v>
      </c>
      <c r="AA77" s="192">
        <f t="shared" ref="AA77:AA140" si="37">ABS(Z77-Y77)</f>
        <v>23.284499999999998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ref="AD77:AD140" si="38">IF(LEN(A77)=6,"0"&amp;A77,A77)</f>
        <v>0163-12</v>
      </c>
      <c r="AE77" s="80" t="str">
        <f t="shared" ref="AE77:AE140" si="3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s3://rtdc.mdm.uploadarchive.raw/RTDC4016/ "%USERPROFILE%\AppData\Local\Temp\OnboardLogs"\RTDC4016\2017-05-12 --exclude "*" --recursive --include "*20170512*" &amp; "%USERPROFILE%\Documents\GitHub\mrs-test-scripts\Headless Mode &amp; Sideloading\WalkAndUnGZ.bat" "%USERPROFILE%\AppData\Local\Temp\OnboardLogs"\RTDC4016\2017-05-12 &amp; aws s3 cp s3://rtdc.mdm.uploadarchive.raw/RTDC4016/ "%USERPROFILE%\AppData\Local\Temp\OnboardLogs"\RTDC4016\2017-05-13 --exclude "*" --recursive --include "*20170513*" &amp; "%USERPROFILE%\Documents\GitHub\mrs-test-scripts\Headless Mode &amp; Sideloading\WalkAndUnGZ.bat" "%USERPROFILE%\AppData\Local\Temp\OnboardLogs"\RTDC4016\2017-05-13</v>
      </c>
      <c r="AF77" s="77" t="str">
        <f t="shared" ref="AF77:AF140" si="40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/stypes="app*4016*20170512*" /stext=" 18:.+((SYSTEM_STATE.+slice.+state.+changed )|(ment ac)|(multiple cpu faults)|(system.+state.+changed )|(\[timeout)|(PRM\|1\|D)|(kpr)|(kdp)|(train st.+moving)|(\|lc)|(penalty))"</v>
      </c>
      <c r="AG77" s="1" t="str">
        <f t="shared" ref="AG77:AG140" si="41">IFERROR(IF(VALUE(LEFT(AD77,2))&lt;=2,"EC",IF(OR(VALUE(LEFT(AD77,2))=8,VALUE(LEFT(AD77,2))=18),"NW","Other")),"Other")</f>
        <v>EC</v>
      </c>
      <c r="AH77" s="81" t="str">
        <f t="shared" ref="AH77:AH140" si="42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163-12 --locoid 4016 --swversion DE.1.0.9.0 --startMP 204:435 --initTime 2017-05-12T11:23:31 --startdatetime 2017-05-12T11:30:14 --delay 1 --endMP 204:233280 --enddatetime 2017-05-12T12:07:39 --enforcementcount 0 &gt;&gt;C:\Users\stu\Documents\GitHub\eaglep3-reporting\EC\2017-05-12-refined-times.txt</v>
      </c>
      <c r="AI77" s="99" t="str">
        <f t="shared" ref="AI77:AI140" si="43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{"issue":{"subject":"","project_id":79,"tracker_id":40,"status_id":1,"priority_id":2,"assigned_to_id":23,"start_date":"2017-05-12","description":"","custom_fields":[{"id":1,"name":"Subdivision","value":"EC"},{"id":4,"name":"Milepost","value":"23.328"},{"id":17,"name":"Train ID","value":"163-12"},{"id":16,"name":"Locomotive ID","value":"4016"},{"id":130,"name":"Impact","value":""},{"id":150,"name":"Time of Event (Mountain Time)","value":"12:07:39"},{"id":151,"name":"Denver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ref="AM77:AM140" si="44">"start /low /b "&amp;dls3logs&amp;" --loco "&amp;B77&amp;" --day "&amp;TEXT(F77,"YYYY-MM-DD")</f>
        <v>start /low /b %USERPROFILE%\Documents\GitHub\eaglep3\Utilities\DownloadLogsFromS3.py --loco 4016 --day 2017-05-12</v>
      </c>
      <c r="AN77" s="154" t="str">
        <f t="shared" ref="AN77:AN140" si="45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18:07:39"},{"id":29,"name":"Sharepoint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691</v>
      </c>
      <c r="B78" s="7">
        <v>4015</v>
      </c>
      <c r="C78" s="21" t="s">
        <v>206</v>
      </c>
      <c r="D78" s="21" t="s">
        <v>479</v>
      </c>
      <c r="E78" s="13">
        <v>42867.514155092591</v>
      </c>
      <c r="F78" s="13">
        <v>42867.518217592595</v>
      </c>
      <c r="G78" s="7">
        <v>1</v>
      </c>
      <c r="H78" s="21" t="s">
        <v>851</v>
      </c>
      <c r="I78" s="13">
        <v>42867.546770833331</v>
      </c>
      <c r="J78" s="7">
        <v>0</v>
      </c>
      <c r="K78" s="92" t="str">
        <f t="shared" si="30"/>
        <v>4015/4016</v>
      </c>
      <c r="L78" s="21" t="str">
        <f>VLOOKUP(A78,'Trips&amp;Operators'!$C$1:$G$99999,5,FALSE)</f>
        <v>CLARK KATHLEEN</v>
      </c>
      <c r="M78" s="6">
        <f t="shared" si="31"/>
        <v>2.8553240736073349E-2</v>
      </c>
      <c r="N78" s="7">
        <f t="shared" si="28"/>
        <v>41.116666659945622</v>
      </c>
      <c r="O78" s="7"/>
      <c r="P78" s="7"/>
      <c r="Q78" s="22"/>
      <c r="R78" s="190"/>
      <c r="S78" s="196">
        <f t="shared" si="29"/>
        <v>1</v>
      </c>
      <c r="T78" s="190" t="str">
        <f t="shared" si="32"/>
        <v>Southbound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 t="shared" si="33"/>
        <v>https://d0f6bd738d7f1b3e5a7ca70fe4ff75f0.us-east-1.aws.found.io/app/kibana#/discover/Steve-Slow-Train-Analysis-(2080s-and-2083s)?_g=(refreshInterval:(display:Off,pause:!f,section:0,value:0),time:(from:'2017-05-12T11:20:23-0600',mode:absolute,to:'2017-05-12T14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8" s="192" t="str">
        <f t="shared" si="34"/>
        <v>N</v>
      </c>
      <c r="X78" s="192">
        <f t="shared" si="27"/>
        <v>1</v>
      </c>
      <c r="Y78" s="192">
        <f t="shared" si="35"/>
        <v>23.296900000000001</v>
      </c>
      <c r="Z78" s="192">
        <f t="shared" si="36"/>
        <v>1.9099999999999999E-2</v>
      </c>
      <c r="AA78" s="192">
        <f t="shared" si="37"/>
        <v>23.277799999999999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38"/>
        <v>0164-12</v>
      </c>
      <c r="AE78" s="80" t="str">
        <f t="shared" si="39"/>
        <v>aws s3 cp s3://rtdc.mdm.uploadarchive.raw/RTDC4015/ "%USERPROFILE%\AppData\Local\Temp\OnboardLogs"\RTDC4015\2017-05-12 --exclude "*" --recursive --include "*20170512*" &amp; "%USERPROFILE%\Documents\GitHub\mrs-test-scripts\Headless Mode &amp; Sideloading\WalkAndUnGZ.bat" "%USERPROFILE%\AppData\Local\Temp\OnboardLogs"\RTDC4015\2017-05-12 &amp; aws s3 cp s3://rtdc.mdm.uploadarchive.raw/RTDC4015/ "%USERPROFILE%\AppData\Local\Temp\OnboardLogs"\RTDC4015\2017-05-13 --exclude "*" --recursive --include "*20170513*" &amp; "%USERPROFILE%\Documents\GitHub\mrs-test-scripts\Headless Mode &amp; Sideloading\WalkAndUnGZ.bat" "%USERPROFILE%\AppData\Local\Temp\OnboardLogs"\RTDC4015\2017-05-13</v>
      </c>
      <c r="AF78" s="77" t="str">
        <f t="shared" si="40"/>
        <v>"C:\Program Files (x86)\AstroGrep\AstroGrep.exe" /e /r /s /spath="%USERPROFILE%\AppData\Local\Temp\OnboardLogs" /stypes="app*4015*20170512*" /stext=" 19:.+((SYSTEM_STATE.+slice.+state.+changed )|(ment ac)|(multiple cpu faults)|(system.+state.+changed )|(\[timeout)|(PRM\|1\|D)|(kpr)|(kdp)|(train st.+moving)|(\|lc)|(penalty))"</v>
      </c>
      <c r="AG78" s="1" t="str">
        <f t="shared" si="41"/>
        <v>EC</v>
      </c>
      <c r="AH78" s="81" t="str">
        <f t="shared" si="42"/>
        <v>"%USERPROFILE%\Documents\GitHub\eaglep3\Utilities\RefineRTDCRunTimes.py" --tripid 164-12 --locoid 4015 --swversion DE.1.0.9.0 --startMP 204:232969 --initTime 2017-05-12T12:20:23 --startdatetime 2017-05-12T12:26:14 --delay 1 --endMP 204:191 --enddatetime 2017-05-12T13:07:21 --enforcementcount 0 &gt;&gt;C:\Users\stu\Documents\GitHub\eaglep3-reporting\EC\2017-05-12-refined-times.txt</v>
      </c>
      <c r="AI78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{"issue":{"subject":"","project_id":79,"tracker_id":40,"status_id":1,"priority_id":2,"assigned_to_id":23,"start_date":"2017-05-12","description":"","custom_fields":[{"id":1,"name":"Subdivision","value":"EC"},{"id":4,"name":"Milepost","value":"0.0191"},{"id":17,"name":"Train ID","value":"164-12"},{"id":16,"name":"Locomotive ID","value":"4015"},{"id":130,"name":"Impact","value":""},{"id":150,"name":"Time of Event (Mountain Time)","value":"13:07:21"},{"id":151,"name":"Denver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si="44"/>
        <v>start /low /b %USERPROFILE%\Documents\GitHub\eaglep3\Utilities\DownloadLogsFromS3.py --loco 4015 --day 2017-05-12</v>
      </c>
      <c r="AN78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19:07:21"},{"id":29,"name":"Sharepoint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687</v>
      </c>
      <c r="B79" s="7">
        <v>4010</v>
      </c>
      <c r="C79" s="21" t="s">
        <v>206</v>
      </c>
      <c r="D79" s="21" t="s">
        <v>386</v>
      </c>
      <c r="E79" s="13">
        <v>42867.484166666669</v>
      </c>
      <c r="F79" s="13">
        <v>42867.48978009259</v>
      </c>
      <c r="G79" s="7">
        <v>1</v>
      </c>
      <c r="H79" s="21" t="s">
        <v>852</v>
      </c>
      <c r="I79" s="13">
        <v>42867.51457175926</v>
      </c>
      <c r="J79" s="7">
        <v>0</v>
      </c>
      <c r="K79" s="92" t="str">
        <f t="shared" si="30"/>
        <v>4009/4010</v>
      </c>
      <c r="L79" s="21" t="str">
        <f>VLOOKUP(A79,'Trips&amp;Operators'!$C$1:$G$99999,5,FALSE)</f>
        <v>LOPES KIMBERLY</v>
      </c>
      <c r="M79" s="6">
        <f t="shared" si="31"/>
        <v>2.4791666670353152E-2</v>
      </c>
      <c r="N79" s="7">
        <f t="shared" si="28"/>
        <v>35.700000005308539</v>
      </c>
      <c r="O79" s="7"/>
      <c r="P79" s="7"/>
      <c r="Q79" s="22"/>
      <c r="R79" s="190"/>
      <c r="S79" s="196">
        <f t="shared" si="29"/>
        <v>1</v>
      </c>
      <c r="T79" s="190" t="str">
        <f t="shared" si="32"/>
        <v>NorthBound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 t="shared" si="33"/>
        <v>https://d0f6bd738d7f1b3e5a7ca70fe4ff75f0.us-east-1.aws.found.io/app/kibana#/discover/Steve-Slow-Train-Analysis-(2080s-and-2083s)?_g=(refreshInterval:(display:Off,pause:!f,section:0,value:0),time:(from:'2017-05-12T10:37:12-0600',mode:absolute,to:'2017-05-12T13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9" s="192" t="str">
        <f t="shared" si="34"/>
        <v>N</v>
      </c>
      <c r="X79" s="192">
        <f t="shared" si="27"/>
        <v>1</v>
      </c>
      <c r="Y79" s="192">
        <f t="shared" si="35"/>
        <v>4.5499999999999999E-2</v>
      </c>
      <c r="Z79" s="192">
        <f t="shared" si="36"/>
        <v>23.3306</v>
      </c>
      <c r="AA79" s="192">
        <f t="shared" si="37"/>
        <v>23.2851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38"/>
        <v>0165-12</v>
      </c>
      <c r="AE79" s="80" t="str">
        <f t="shared" si="39"/>
        <v>aws s3 cp s3://rtdc.mdm.uploadarchive.raw/RTDC4010/ "%USERPROFILE%\AppData\Local\Temp\OnboardLogs"\RTDC4010\2017-05-12 --exclude "*" --recursive --include "*20170512*" &amp; "%USERPROFILE%\Documents\GitHub\mrs-test-scripts\Headless Mode &amp; Sideloading\WalkAndUnGZ.bat" "%USERPROFILE%\AppData\Local\Temp\OnboardLogs"\RTDC4010\2017-05-12 &amp; aws s3 cp s3://rtdc.mdm.uploadarchive.raw/RTDC4010/ "%USERPROFILE%\AppData\Local\Temp\OnboardLogs"\RTDC4010\2017-05-13 --exclude "*" --recursive --include "*20170513*" &amp; "%USERPROFILE%\Documents\GitHub\mrs-test-scripts\Headless Mode &amp; Sideloading\WalkAndUnGZ.bat" "%USERPROFILE%\AppData\Local\Temp\OnboardLogs"\RTDC4010\2017-05-13</v>
      </c>
      <c r="AF79" s="77" t="str">
        <f t="shared" si="40"/>
        <v>"C:\Program Files (x86)\AstroGrep\AstroGrep.exe" /e /r /s /spath="%USERPROFILE%\AppData\Local\Temp\OnboardLogs" /stypes="app*4010*20170512*" /stext=" 18:.+((SYSTEM_STATE.+slice.+state.+changed )|(ment ac)|(multiple cpu faults)|(system.+state.+changed )|(\[timeout)|(PRM\|1\|D)|(kpr)|(kdp)|(train st.+moving)|(\|lc)|(penalty))"</v>
      </c>
      <c r="AG79" s="1" t="str">
        <f t="shared" si="41"/>
        <v>EC</v>
      </c>
      <c r="AH79" s="81" t="str">
        <f t="shared" si="42"/>
        <v>"%USERPROFILE%\Documents\GitHub\eaglep3\Utilities\RefineRTDCRunTimes.py" --tripid 165-12 --locoid 4010 --swversion DE.1.0.9.0 --startMP 204:455 --initTime 2017-05-12T11:37:12 --startdatetime 2017-05-12T11:45:17 --delay 1 --endMP 204:233306 --enddatetime 2017-05-12T12:20:59 --enforcementcount 0 &gt;&gt;C:\Users\stu\Documents\GitHub\eaglep3-reporting\EC\2017-05-12-refined-times.txt</v>
      </c>
      <c r="AI79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{"issue":{"subject":"","project_id":79,"tracker_id":40,"status_id":1,"priority_id":2,"assigned_to_id":23,"start_date":"2017-05-12","description":"","custom_fields":[{"id":1,"name":"Subdivision","value":"EC"},{"id":4,"name":"Milepost","value":"23.3306"},{"id":17,"name":"Train ID","value":"165-12"},{"id":16,"name":"Locomotive ID","value":"4010"},{"id":130,"name":"Impact","value":""},{"id":150,"name":"Time of Event (Mountain Time)","value":"12:20:59"},{"id":151,"name":"Denver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44"/>
        <v>start /low /b %USERPROFILE%\Documents\GitHub\eaglep3\Utilities\DownloadLogsFromS3.py --loco 4010 --day 2017-05-12</v>
      </c>
      <c r="AN79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18:20:59"},{"id":29,"name":"Sharepoint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693</v>
      </c>
      <c r="B80" s="7">
        <v>4009</v>
      </c>
      <c r="C80" s="21" t="s">
        <v>206</v>
      </c>
      <c r="D80" s="21" t="s">
        <v>393</v>
      </c>
      <c r="E80" s="13">
        <v>42867.522465277776</v>
      </c>
      <c r="F80" s="13">
        <v>42867.528622685182</v>
      </c>
      <c r="G80" s="7">
        <v>1</v>
      </c>
      <c r="H80" s="21" t="s">
        <v>376</v>
      </c>
      <c r="I80" s="13">
        <v>42867.5549537037</v>
      </c>
      <c r="J80" s="7">
        <v>0</v>
      </c>
      <c r="K80" s="92" t="str">
        <f t="shared" si="30"/>
        <v>4009/4010</v>
      </c>
      <c r="L80" s="21" t="str">
        <f>VLOOKUP(A80,'Trips&amp;Operators'!$C$1:$G$99999,5,FALSE)</f>
        <v>LOPES KIMBERLY</v>
      </c>
      <c r="M80" s="6">
        <f t="shared" si="31"/>
        <v>2.6331018518249039E-2</v>
      </c>
      <c r="N80" s="7">
        <f t="shared" si="28"/>
        <v>37.916666666278616</v>
      </c>
      <c r="O80" s="7"/>
      <c r="P80" s="7"/>
      <c r="Q80" s="22"/>
      <c r="R80" s="190"/>
      <c r="S80" s="196">
        <f t="shared" si="29"/>
        <v>1</v>
      </c>
      <c r="T80" s="190" t="str">
        <f t="shared" si="32"/>
        <v>Southbound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 t="shared" si="33"/>
        <v>https://d0f6bd738d7f1b3e5a7ca70fe4ff75f0.us-east-1.aws.found.io/app/kibana#/discover/Steve-Slow-Train-Analysis-(2080s-and-2083s)?_g=(refreshInterval:(display:Off,pause:!f,section:0,value:0),time:(from:'2017-05-12T11:32:21-0600',mode:absolute,to:'2017-05-12T14:19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0" s="192" t="str">
        <f t="shared" si="34"/>
        <v>N</v>
      </c>
      <c r="X80" s="192">
        <f t="shared" si="27"/>
        <v>1</v>
      </c>
      <c r="Y80" s="192">
        <f t="shared" si="35"/>
        <v>23.299800000000001</v>
      </c>
      <c r="Z80" s="192">
        <f t="shared" si="36"/>
        <v>1.47E-2</v>
      </c>
      <c r="AA80" s="192">
        <f t="shared" si="37"/>
        <v>23.2851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38"/>
        <v>0166-12</v>
      </c>
      <c r="AE80" s="80" t="str">
        <f t="shared" si="39"/>
        <v>aws s3 cp s3://rtdc.mdm.uploadarchive.raw/RTDC4009/ "%USERPROFILE%\AppData\Local\Temp\OnboardLogs"\RTDC4009\2017-05-12 --exclude "*" --recursive --include "*20170512*" &amp; "%USERPROFILE%\Documents\GitHub\mrs-test-scripts\Headless Mode &amp; Sideloading\WalkAndUnGZ.bat" "%USERPROFILE%\AppData\Local\Temp\OnboardLogs"\RTDC4009\2017-05-12 &amp; aws s3 cp s3://rtdc.mdm.uploadarchive.raw/RTDC4009/ "%USERPROFILE%\AppData\Local\Temp\OnboardLogs"\RTDC4009\2017-05-13 --exclude "*" --recursive --include "*20170513*" &amp; "%USERPROFILE%\Documents\GitHub\mrs-test-scripts\Headless Mode &amp; Sideloading\WalkAndUnGZ.bat" "%USERPROFILE%\AppData\Local\Temp\OnboardLogs"\RTDC4009\2017-05-13</v>
      </c>
      <c r="AF80" s="77" t="str">
        <f t="shared" si="40"/>
        <v>"C:\Program Files (x86)\AstroGrep\AstroGrep.exe" /e /r /s /spath="%USERPROFILE%\AppData\Local\Temp\OnboardLogs" /stypes="app*4009*20170512*" /stext=" 19:.+((SYSTEM_STATE.+slice.+state.+changed )|(ment ac)|(multiple cpu faults)|(system.+state.+changed )|(\[timeout)|(PRM\|1\|D)|(kpr)|(kdp)|(train st.+moving)|(\|lc)|(penalty))"</v>
      </c>
      <c r="AG80" s="1" t="str">
        <f t="shared" si="41"/>
        <v>EC</v>
      </c>
      <c r="AH80" s="81" t="str">
        <f t="shared" si="42"/>
        <v>"%USERPROFILE%\Documents\GitHub\eaglep3\Utilities\RefineRTDCRunTimes.py" --tripid 166-12 --locoid 4009 --swversion DE.1.0.9.0 --startMP 204:232998 --initTime 2017-05-12T12:32:21 --startdatetime 2017-05-12T12:41:13 --delay 1 --endMP 204:147 --enddatetime 2017-05-12T13:19:08 --enforcementcount 0 &gt;&gt;C:\Users\stu\Documents\GitHub\eaglep3-reporting\EC\2017-05-12-refined-times.txt</v>
      </c>
      <c r="AI80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{"issue":{"subject":"","project_id":79,"tracker_id":40,"status_id":1,"priority_id":2,"assigned_to_id":23,"start_date":"2017-05-12","description":"","custom_fields":[{"id":1,"name":"Subdivision","value":"EC"},{"id":4,"name":"Milepost","value":"0.0147"},{"id":17,"name":"Train ID","value":"166-12"},{"id":16,"name":"Locomotive ID","value":"4009"},{"id":130,"name":"Impact","value":""},{"id":150,"name":"Time of Event (Mountain Time)","value":"13:19:08"},{"id":151,"name":"Denver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44"/>
        <v>start /low /b %USERPROFILE%\Documents\GitHub\eaglep3\Utilities\DownloadLogsFromS3.py --loco 4009 --day 2017-05-12</v>
      </c>
      <c r="AN80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19:19:08"},{"id":29,"name":"Sharepoint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690</v>
      </c>
      <c r="B81" s="7">
        <v>4046</v>
      </c>
      <c r="C81" s="21" t="s">
        <v>206</v>
      </c>
      <c r="D81" s="21" t="s">
        <v>433</v>
      </c>
      <c r="E81" s="13">
        <v>42867.500254629631</v>
      </c>
      <c r="F81" s="13">
        <v>42867.502106481479</v>
      </c>
      <c r="G81" s="7">
        <v>2</v>
      </c>
      <c r="H81" s="21" t="s">
        <v>523</v>
      </c>
      <c r="I81" s="13">
        <v>42867.525833333333</v>
      </c>
      <c r="J81" s="7">
        <v>0</v>
      </c>
      <c r="K81" s="92" t="str">
        <f t="shared" si="30"/>
        <v>4045/4046</v>
      </c>
      <c r="L81" s="21" t="str">
        <f>VLOOKUP(A81,'Trips&amp;Operators'!$C$1:$G$99999,5,FALSE)</f>
        <v>HELVIE ADAM</v>
      </c>
      <c r="M81" s="6">
        <f t="shared" si="31"/>
        <v>2.3726851854007691E-2</v>
      </c>
      <c r="N81" s="7">
        <f t="shared" si="28"/>
        <v>34.166666669771075</v>
      </c>
      <c r="O81" s="7"/>
      <c r="P81" s="7"/>
      <c r="Q81" s="22"/>
      <c r="R81" s="190"/>
      <c r="S81" s="196">
        <f t="shared" si="29"/>
        <v>1</v>
      </c>
      <c r="T81" s="190" t="str">
        <f t="shared" si="32"/>
        <v>NorthBound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 t="shared" si="33"/>
        <v>https://d0f6bd738d7f1b3e5a7ca70fe4ff75f0.us-east-1.aws.found.io/app/kibana#/discover/Steve-Slow-Train-Analysis-(2080s-and-2083s)?_g=(refreshInterval:(display:Off,pause:!f,section:0,value:0),time:(from:'2017-05-12T11:00:22-0600',mode:absolute,to:'2017-05-12T13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1" s="192" t="str">
        <f t="shared" si="34"/>
        <v>N</v>
      </c>
      <c r="X81" s="192">
        <f t="shared" si="27"/>
        <v>1</v>
      </c>
      <c r="Y81" s="192">
        <f t="shared" si="35"/>
        <v>4.6199999999999998E-2</v>
      </c>
      <c r="Z81" s="192">
        <f t="shared" si="36"/>
        <v>23.3291</v>
      </c>
      <c r="AA81" s="192">
        <f t="shared" si="37"/>
        <v>23.282900000000001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38"/>
        <v>0167-12</v>
      </c>
      <c r="AE81" s="80" t="str">
        <f t="shared" si="39"/>
        <v>aws s3 cp s3://rtdc.mdm.uploadarchive.raw/RTDC4046/ "%USERPROFILE%\AppData\Local\Temp\OnboardLogs"\RTDC4046\2017-05-12 --exclude "*" --recursive --include "*20170512*" &amp; "%USERPROFILE%\Documents\GitHub\mrs-test-scripts\Headless Mode &amp; Sideloading\WalkAndUnGZ.bat" "%USERPROFILE%\AppData\Local\Temp\OnboardLogs"\RTDC4046\2017-05-12 &amp; aws s3 cp s3://rtdc.mdm.uploadarchive.raw/RTDC4046/ "%USERPROFILE%\AppData\Local\Temp\OnboardLogs"\RTDC4046\2017-05-13 --exclude "*" --recursive --include "*20170513*" &amp; "%USERPROFILE%\Documents\GitHub\mrs-test-scripts\Headless Mode &amp; Sideloading\WalkAndUnGZ.bat" "%USERPROFILE%\AppData\Local\Temp\OnboardLogs"\RTDC4046\2017-05-13</v>
      </c>
      <c r="AF81" s="77" t="str">
        <f t="shared" si="40"/>
        <v>"C:\Program Files (x86)\AstroGrep\AstroGrep.exe" /e /r /s /spath="%USERPROFILE%\AppData\Local\Temp\OnboardLogs" /stypes="app*4046*20170512*" /stext=" 18:.+((SYSTEM_STATE.+slice.+state.+changed )|(ment ac)|(multiple cpu faults)|(system.+state.+changed )|(\[timeout)|(PRM\|1\|D)|(kpr)|(kdp)|(train st.+moving)|(\|lc)|(penalty))"</v>
      </c>
      <c r="AG81" s="1" t="str">
        <f t="shared" si="41"/>
        <v>EC</v>
      </c>
      <c r="AH81" s="81" t="str">
        <f t="shared" si="42"/>
        <v>"%USERPROFILE%\Documents\GitHub\eaglep3\Utilities\RefineRTDCRunTimes.py" --tripid 167-12 --locoid 4046 --swversion DE.1.0.9.0 --startMP 204:462 --initTime 2017-05-12T12:00:22 --startdatetime 2017-05-12T12:03:02 --delay 2 --endMP 204:233291 --enddatetime 2017-05-12T12:37:12 --enforcementcount 0 &gt;&gt;C:\Users\stu\Documents\GitHub\eaglep3-reporting\EC\2017-05-12-refined-times.txt</v>
      </c>
      <c r="AI81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{"issue":{"subject":"","project_id":79,"tracker_id":40,"status_id":1,"priority_id":2,"assigned_to_id":23,"start_date":"2017-05-12","description":"","custom_fields":[{"id":1,"name":"Subdivision","value":"EC"},{"id":4,"name":"Milepost","value":"23.3291"},{"id":17,"name":"Train ID","value":"167-12"},{"id":16,"name":"Locomotive ID","value":"4046"},{"id":130,"name":"Impact","value":""},{"id":150,"name":"Time of Event (Mountain Time)","value":"12:37:12"},{"id":151,"name":"Denver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44"/>
        <v>start /low /b %USERPROFILE%\Documents\GitHub\eaglep3\Utilities\DownloadLogsFromS3.py --loco 4046 --day 2017-05-12</v>
      </c>
      <c r="AN81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18:37:12"},{"id":29,"name":"Sharepoint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697</v>
      </c>
      <c r="B82" s="7">
        <v>4045</v>
      </c>
      <c r="C82" s="21" t="s">
        <v>206</v>
      </c>
      <c r="D82" s="21" t="s">
        <v>455</v>
      </c>
      <c r="E82" s="13">
        <v>42867.536631944444</v>
      </c>
      <c r="F82" s="13">
        <v>42867.539236111108</v>
      </c>
      <c r="G82" s="7">
        <v>1</v>
      </c>
      <c r="H82" s="21" t="s">
        <v>197</v>
      </c>
      <c r="I82" s="13">
        <v>42867.564722222225</v>
      </c>
      <c r="J82" s="7">
        <v>0</v>
      </c>
      <c r="K82" s="92" t="str">
        <f t="shared" si="30"/>
        <v>4045/4046</v>
      </c>
      <c r="L82" s="21" t="str">
        <f>VLOOKUP(A82,'Trips&amp;Operators'!$C$1:$G$99999,5,FALSE)</f>
        <v>HELVIE ADAM</v>
      </c>
      <c r="M82" s="6">
        <f t="shared" si="31"/>
        <v>2.5486111117061228E-2</v>
      </c>
      <c r="N82" s="7">
        <f t="shared" si="28"/>
        <v>36.700000008568168</v>
      </c>
      <c r="O82" s="7"/>
      <c r="P82" s="7"/>
      <c r="Q82" s="22"/>
      <c r="R82" s="190"/>
      <c r="S82" s="196">
        <f t="shared" si="29"/>
        <v>1</v>
      </c>
      <c r="T82" s="190" t="str">
        <f t="shared" si="32"/>
        <v>Southbound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1" t="str">
        <f t="shared" si="33"/>
        <v>https://d0f6bd738d7f1b3e5a7ca70fe4ff75f0.us-east-1.aws.found.io/app/kibana#/discover/Steve-Slow-Train-Analysis-(2080s-and-2083s)?_g=(refreshInterval:(display:Off,pause:!f,section:0,value:0),time:(from:'2017-05-12T11:52:45-0600',mode:absolute,to:'2017-05-12T14:33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2" s="192" t="str">
        <f t="shared" si="34"/>
        <v>N</v>
      </c>
      <c r="X82" s="192">
        <f t="shared" si="27"/>
        <v>1</v>
      </c>
      <c r="Y82" s="192">
        <f t="shared" si="35"/>
        <v>23.2988</v>
      </c>
      <c r="Z82" s="192">
        <f t="shared" si="36"/>
        <v>1.52E-2</v>
      </c>
      <c r="AA82" s="192">
        <f t="shared" si="37"/>
        <v>23.2836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38"/>
        <v>0168-12</v>
      </c>
      <c r="AE82" s="80" t="str">
        <f t="shared" si="39"/>
        <v>aws s3 cp s3://rtdc.mdm.uploadarchive.raw/RTDC4045/ "%USERPROFILE%\AppData\Local\Temp\OnboardLogs"\RTDC4045\2017-05-12 --exclude "*" --recursive --include "*20170512*" &amp; "%USERPROFILE%\Documents\GitHub\mrs-test-scripts\Headless Mode &amp; Sideloading\WalkAndUnGZ.bat" "%USERPROFILE%\AppData\Local\Temp\OnboardLogs"\RTDC4045\2017-05-12 &amp; aws s3 cp s3://rtdc.mdm.uploadarchive.raw/RTDC4045/ "%USERPROFILE%\AppData\Local\Temp\OnboardLogs"\RTDC4045\2017-05-13 --exclude "*" --recursive --include "*20170513*" &amp; "%USERPROFILE%\Documents\GitHub\mrs-test-scripts\Headless Mode &amp; Sideloading\WalkAndUnGZ.bat" "%USERPROFILE%\AppData\Local\Temp\OnboardLogs"\RTDC4045\2017-05-13</v>
      </c>
      <c r="AF82" s="77" t="str">
        <f t="shared" si="40"/>
        <v>"C:\Program Files (x86)\AstroGrep\AstroGrep.exe" /e /r /s /spath="%USERPROFILE%\AppData\Local\Temp\OnboardLogs" /stypes="app*4045*20170512*" /stext=" 19:.+((SYSTEM_STATE.+slice.+state.+changed )|(ment ac)|(multiple cpu faults)|(system.+state.+changed )|(\[timeout)|(PRM\|1\|D)|(kpr)|(kdp)|(train st.+moving)|(\|lc)|(penalty))"</v>
      </c>
      <c r="AG82" s="1" t="str">
        <f t="shared" si="41"/>
        <v>EC</v>
      </c>
      <c r="AH82" s="81" t="str">
        <f t="shared" si="42"/>
        <v>"%USERPROFILE%\Documents\GitHub\eaglep3\Utilities\RefineRTDCRunTimes.py" --tripid 168-12 --locoid 4045 --swversion DE.1.0.9.0 --startMP 204:232988 --initTime 2017-05-12T12:52:45 --startdatetime 2017-05-12T12:56:30 --delay 1 --endMP 204:152 --enddatetime 2017-05-12T13:33:12 --enforcementcount 0 &gt;&gt;C:\Users\stu\Documents\GitHub\eaglep3-reporting\EC\2017-05-12-refined-times.txt</v>
      </c>
      <c r="AI82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{"issue":{"subject":"","project_id":79,"tracker_id":40,"status_id":1,"priority_id":2,"assigned_to_id":23,"start_date":"2017-05-12","description":"","custom_fields":[{"id":1,"name":"Subdivision","value":"EC"},{"id":4,"name":"Milepost","value":"0.0152"},{"id":17,"name":"Train ID","value":"168-12"},{"id":16,"name":"Locomotive ID","value":"4045"},{"id":130,"name":"Impact","value":""},{"id":150,"name":"Time of Event (Mountain Time)","value":"13:33:12"},{"id":151,"name":"Denver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44"/>
        <v>start /low /b %USERPROFILE%\Documents\GitHub\eaglep3\Utilities\DownloadLogsFromS3.py --loco 4045 --day 2017-05-12</v>
      </c>
      <c r="AN82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19:33:12"},{"id":29,"name":"Sharepoint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2" t="s">
        <v>573</v>
      </c>
      <c r="B83" s="7">
        <v>4032</v>
      </c>
      <c r="C83" s="21" t="s">
        <v>206</v>
      </c>
      <c r="D83" s="21" t="s">
        <v>352</v>
      </c>
      <c r="E83" s="13">
        <v>42867.505266203705</v>
      </c>
      <c r="F83" s="13">
        <v>42867.510648148149</v>
      </c>
      <c r="G83" s="7">
        <v>2</v>
      </c>
      <c r="H83" s="21" t="s">
        <v>853</v>
      </c>
      <c r="I83" s="13">
        <v>42867.536041666666</v>
      </c>
      <c r="J83" s="7">
        <v>0</v>
      </c>
      <c r="K83" s="92" t="str">
        <f t="shared" si="30"/>
        <v>4031/4032</v>
      </c>
      <c r="L83" s="21" t="str">
        <f>VLOOKUP(A83,'Trips&amp;Operators'!$C$1:$G$99999,5,FALSE)</f>
        <v>BRANDNER MELINDA</v>
      </c>
      <c r="M83" s="6">
        <f t="shared" si="31"/>
        <v>2.5393518517375924E-2</v>
      </c>
      <c r="N83" s="7">
        <f t="shared" si="28"/>
        <v>36.56666666502133</v>
      </c>
      <c r="O83" s="7"/>
      <c r="P83" s="7"/>
      <c r="Q83" s="22"/>
      <c r="R83" s="190"/>
      <c r="S83" s="196">
        <f t="shared" si="29"/>
        <v>1</v>
      </c>
      <c r="T83" s="190" t="str">
        <f t="shared" si="32"/>
        <v>NorthBound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1" t="str">
        <f t="shared" si="33"/>
        <v>https://d0f6bd738d7f1b3e5a7ca70fe4ff75f0.us-east-1.aws.found.io/app/kibana#/discover/Steve-Slow-Train-Analysis-(2080s-and-2083s)?_g=(refreshInterval:(display:Off,pause:!f,section:0,value:0),time:(from:'2017-05-12T11:07:35-0600',mode:absolute,to:'2017-05-12T13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3" s="192" t="str">
        <f t="shared" si="34"/>
        <v>N</v>
      </c>
      <c r="X83" s="192">
        <f t="shared" si="27"/>
        <v>1</v>
      </c>
      <c r="Y83" s="192">
        <f t="shared" si="35"/>
        <v>4.4600000000000001E-2</v>
      </c>
      <c r="Z83" s="192">
        <f t="shared" si="36"/>
        <v>23.346599999999999</v>
      </c>
      <c r="AA83" s="192">
        <f t="shared" si="37"/>
        <v>23.302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38"/>
        <v>0169-12</v>
      </c>
      <c r="AE83" s="80" t="str">
        <f t="shared" si="39"/>
        <v>aws s3 cp s3://rtdc.mdm.uploadarchive.raw/RTDC4032/ "%USERPROFILE%\AppData\Local\Temp\OnboardLogs"\RTDC4032\2017-05-12 --exclude "*" --recursive --include "*20170512*" &amp; "%USERPROFILE%\Documents\GitHub\mrs-test-scripts\Headless Mode &amp; Sideloading\WalkAndUnGZ.bat" "%USERPROFILE%\AppData\Local\Temp\OnboardLogs"\RTDC4032\2017-05-12 &amp; aws s3 cp s3://rtdc.mdm.uploadarchive.raw/RTDC4032/ "%USERPROFILE%\AppData\Local\Temp\OnboardLogs"\RTDC4032\2017-05-13 --exclude "*" --recursive --include "*20170513*" &amp; "%USERPROFILE%\Documents\GitHub\mrs-test-scripts\Headless Mode &amp; Sideloading\WalkAndUnGZ.bat" "%USERPROFILE%\AppData\Local\Temp\OnboardLogs"\RTDC4032\2017-05-13</v>
      </c>
      <c r="AF83" s="77" t="str">
        <f t="shared" si="40"/>
        <v>"C:\Program Files (x86)\AstroGrep\AstroGrep.exe" /e /r /s /spath="%USERPROFILE%\AppData\Local\Temp\OnboardLogs" /stypes="app*4032*20170512*" /stext=" 18:.+((SYSTEM_STATE.+slice.+state.+changed )|(ment ac)|(multiple cpu faults)|(system.+state.+changed )|(\[timeout)|(PRM\|1\|D)|(kpr)|(kdp)|(train st.+moving)|(\|lc)|(penalty))"</v>
      </c>
      <c r="AG83" s="1" t="str">
        <f t="shared" si="41"/>
        <v>EC</v>
      </c>
      <c r="AH83" s="81" t="str">
        <f t="shared" si="42"/>
        <v>"%USERPROFILE%\Documents\GitHub\eaglep3\Utilities\RefineRTDCRunTimes.py" --tripid 169-12 --locoid 4032 --swversion DE.1.0.9.0 --startMP 204:446 --initTime 2017-05-12T12:07:35 --startdatetime 2017-05-12T12:15:20 --delay 2 --endMP 204:233466 --enddatetime 2017-05-12T12:51:54 --enforcementcount 0 &gt;&gt;C:\Users\stu\Documents\GitHub\eaglep3-reporting\EC\2017-05-12-refined-times.txt</v>
      </c>
      <c r="AI83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{"issue":{"subject":"","project_id":79,"tracker_id":40,"status_id":1,"priority_id":2,"assigned_to_id":23,"start_date":"2017-05-12","description":"","custom_fields":[{"id":1,"name":"Subdivision","value":"EC"},{"id":4,"name":"Milepost","value":"23.3466"},{"id":17,"name":"Train ID","value":"169-12"},{"id":16,"name":"Locomotive ID","value":"4032"},{"id":130,"name":"Impact","value":""},{"id":150,"name":"Time of Event (Mountain Time)","value":"12:51:54"},{"id":151,"name":"Denver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3" s="47"/>
      <c r="AL83" s="47"/>
      <c r="AM83" s="145" t="str">
        <f t="shared" si="44"/>
        <v>start /low /b %USERPROFILE%\Documents\GitHub\eaglep3\Utilities\DownloadLogsFromS3.py --loco 4032 --day 2017-05-12</v>
      </c>
      <c r="AN83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18:51:54"},{"id":29,"name":"Sharepoint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2" t="s">
        <v>575</v>
      </c>
      <c r="B84" s="7">
        <v>4031</v>
      </c>
      <c r="C84" s="21" t="s">
        <v>206</v>
      </c>
      <c r="D84" s="21" t="s">
        <v>854</v>
      </c>
      <c r="E84" s="13">
        <v>42867.545243055552</v>
      </c>
      <c r="F84" s="13">
        <v>42867.549537037034</v>
      </c>
      <c r="G84" s="7">
        <v>4</v>
      </c>
      <c r="H84" s="21" t="s">
        <v>197</v>
      </c>
      <c r="I84" s="13">
        <v>42867.576620370368</v>
      </c>
      <c r="J84" s="7">
        <v>0</v>
      </c>
      <c r="K84" s="92" t="str">
        <f t="shared" si="30"/>
        <v>4031/4032</v>
      </c>
      <c r="L84" s="21" t="str">
        <f>VLOOKUP(A84,'Trips&amp;Operators'!$C$1:$G$99999,5,FALSE)</f>
        <v>BRANDNER MELINDA</v>
      </c>
      <c r="M84" s="6">
        <f t="shared" si="31"/>
        <v>2.7083333334303461E-2</v>
      </c>
      <c r="N84" s="7">
        <f t="shared" si="28"/>
        <v>39.000000001396984</v>
      </c>
      <c r="O84" s="7"/>
      <c r="P84" s="7"/>
      <c r="Q84" s="22"/>
      <c r="R84" s="190"/>
      <c r="S84" s="196">
        <f t="shared" si="29"/>
        <v>1</v>
      </c>
      <c r="T84" s="190" t="str">
        <f t="shared" si="32"/>
        <v>Southbound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1" t="str">
        <f t="shared" si="33"/>
        <v>https://d0f6bd738d7f1b3e5a7ca70fe4ff75f0.us-east-1.aws.found.io/app/kibana#/discover/Steve-Slow-Train-Analysis-(2080s-and-2083s)?_g=(refreshInterval:(display:Off,pause:!f,section:0,value:0),time:(from:'2017-05-12T12:05:09-0600',mode:absolute,to:'2017-05-12T14:50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4" s="192" t="str">
        <f t="shared" si="34"/>
        <v>N</v>
      </c>
      <c r="X84" s="192">
        <f t="shared" si="27"/>
        <v>1</v>
      </c>
      <c r="Y84" s="192">
        <f t="shared" si="35"/>
        <v>23.308700000000002</v>
      </c>
      <c r="Z84" s="192">
        <f t="shared" si="36"/>
        <v>1.52E-2</v>
      </c>
      <c r="AA84" s="192">
        <f t="shared" si="37"/>
        <v>23.293500000000002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38"/>
        <v>0170-12</v>
      </c>
      <c r="AE84" s="80" t="str">
        <f t="shared" si="39"/>
        <v>aws s3 cp s3://rtdc.mdm.uploadarchive.raw/RTDC4031/ "%USERPROFILE%\AppData\Local\Temp\OnboardLogs"\RTDC4031\2017-05-12 --exclude "*" --recursive --include "*20170512*" &amp; "%USERPROFILE%\Documents\GitHub\mrs-test-scripts\Headless Mode &amp; Sideloading\WalkAndUnGZ.bat" "%USERPROFILE%\AppData\Local\Temp\OnboardLogs"\RTDC4031\2017-05-12 &amp; aws s3 cp s3://rtdc.mdm.uploadarchive.raw/RTDC4031/ "%USERPROFILE%\AppData\Local\Temp\OnboardLogs"\RTDC4031\2017-05-13 --exclude "*" --recursive --include "*20170513*" &amp; "%USERPROFILE%\Documents\GitHub\mrs-test-scripts\Headless Mode &amp; Sideloading\WalkAndUnGZ.bat" "%USERPROFILE%\AppData\Local\Temp\OnboardLogs"\RTDC4031\2017-05-13</v>
      </c>
      <c r="AF84" s="77" t="str">
        <f t="shared" si="40"/>
        <v>"C:\Program Files (x86)\AstroGrep\AstroGrep.exe" /e /r /s /spath="%USERPROFILE%\AppData\Local\Temp\OnboardLogs" /stypes="app*4031*20170512*" /stext=" 19:.+((SYSTEM_STATE.+slice.+state.+changed )|(ment ac)|(multiple cpu faults)|(system.+state.+changed )|(\[timeout)|(PRM\|1\|D)|(kpr)|(kdp)|(train st.+moving)|(\|lc)|(penalty))"</v>
      </c>
      <c r="AG84" s="1" t="str">
        <f t="shared" si="41"/>
        <v>EC</v>
      </c>
      <c r="AH84" s="81" t="str">
        <f t="shared" si="42"/>
        <v>"%USERPROFILE%\Documents\GitHub\eaglep3\Utilities\RefineRTDCRunTimes.py" --tripid 170-12 --locoid 4031 --swversion DE.1.0.9.0 --startMP 204:233087 --initTime 2017-05-12T13:05:09 --startdatetime 2017-05-12T13:11:20 --delay 4 --endMP 204:152 --enddatetime 2017-05-12T13:50:20 --enforcementcount 0 &gt;&gt;C:\Users\stu\Documents\GitHub\eaglep3-reporting\EC\2017-05-12-refined-times.txt</v>
      </c>
      <c r="AI84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{"issue":{"subject":"","project_id":79,"tracker_id":40,"status_id":1,"priority_id":2,"assigned_to_id":23,"start_date":"2017-05-12","description":"","custom_fields":[{"id":1,"name":"Subdivision","value":"EC"},{"id":4,"name":"Milepost","value":"0.0152"},{"id":17,"name":"Train ID","value":"170-12"},{"id":16,"name":"Locomotive ID","value":"4031"},{"id":130,"name":"Impact","value":""},{"id":150,"name":"Time of Event (Mountain Time)","value":"13:50:20"},{"id":151,"name":"Denver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7"/>
      <c r="AL84" s="47"/>
      <c r="AM84" s="145" t="str">
        <f t="shared" si="44"/>
        <v>start /low /b %USERPROFILE%\Documents\GitHub\eaglep3\Utilities\DownloadLogsFromS3.py --loco 4031 --day 2017-05-12</v>
      </c>
      <c r="AN84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19:50:20"},{"id":29,"name":"Sharepoint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2" t="s">
        <v>692</v>
      </c>
      <c r="B85" s="7">
        <v>4012</v>
      </c>
      <c r="C85" s="21" t="s">
        <v>206</v>
      </c>
      <c r="D85" s="21" t="s">
        <v>203</v>
      </c>
      <c r="E85" s="13">
        <v>42867.518993055557</v>
      </c>
      <c r="F85" s="13">
        <v>42867.521504629629</v>
      </c>
      <c r="G85" s="7">
        <v>2</v>
      </c>
      <c r="H85" s="21" t="s">
        <v>520</v>
      </c>
      <c r="I85" s="13">
        <v>42867.546018518522</v>
      </c>
      <c r="J85" s="7">
        <v>0</v>
      </c>
      <c r="K85" s="92" t="str">
        <f t="shared" si="30"/>
        <v>4011/4012</v>
      </c>
      <c r="L85" s="21" t="str">
        <f>VLOOKUP(A85,'Trips&amp;Operators'!$C$1:$G$99999,5,FALSE)</f>
        <v>MOSES BRADLEY</v>
      </c>
      <c r="M85" s="6">
        <f t="shared" si="31"/>
        <v>2.4513888893125113E-2</v>
      </c>
      <c r="N85" s="7">
        <f t="shared" si="28"/>
        <v>35.300000006100163</v>
      </c>
      <c r="O85" s="7"/>
      <c r="P85" s="7"/>
      <c r="Q85" s="22"/>
      <c r="R85" s="190"/>
      <c r="S85" s="196">
        <f t="shared" si="29"/>
        <v>1</v>
      </c>
      <c r="T85" s="190" t="str">
        <f t="shared" si="32"/>
        <v>NorthBound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 t="shared" si="33"/>
        <v>https://d0f6bd738d7f1b3e5a7ca70fe4ff75f0.us-east-1.aws.found.io/app/kibana#/discover/Steve-Slow-Train-Analysis-(2080s-and-2083s)?_g=(refreshInterval:(display:Off,pause:!f,section:0,value:0),time:(from:'2017-05-12T11:27:21-0600',mode:absolute,to:'2017-05-12T14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5" s="192" t="str">
        <f t="shared" si="34"/>
        <v>N</v>
      </c>
      <c r="X85" s="192">
        <f t="shared" si="27"/>
        <v>1</v>
      </c>
      <c r="Y85" s="192">
        <f t="shared" si="35"/>
        <v>4.5999999999999999E-2</v>
      </c>
      <c r="Z85" s="192">
        <f t="shared" si="36"/>
        <v>23.328900000000001</v>
      </c>
      <c r="AA85" s="192">
        <f t="shared" si="37"/>
        <v>23.282900000000001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38"/>
        <v>0171-12</v>
      </c>
      <c r="AE85" s="80" t="str">
        <f t="shared" si="39"/>
        <v>aws s3 cp s3://rtdc.mdm.uploadarchive.raw/RTDC4012/ "%USERPROFILE%\AppData\Local\Temp\OnboardLogs"\RTDC4012\2017-05-12 --exclude "*" --recursive --include "*20170512*" &amp; "%USERPROFILE%\Documents\GitHub\mrs-test-scripts\Headless Mode &amp; Sideloading\WalkAndUnGZ.bat" "%USERPROFILE%\AppData\Local\Temp\OnboardLogs"\RTDC4012\2017-05-12 &amp; aws s3 cp s3://rtdc.mdm.uploadarchive.raw/RTDC4012/ "%USERPROFILE%\AppData\Local\Temp\OnboardLogs"\RTDC4012\2017-05-13 --exclude "*" --recursive --include "*20170513*" &amp; "%USERPROFILE%\Documents\GitHub\mrs-test-scripts\Headless Mode &amp; Sideloading\WalkAndUnGZ.bat" "%USERPROFILE%\AppData\Local\Temp\OnboardLogs"\RTDC4012\2017-05-13</v>
      </c>
      <c r="AF85" s="77" t="str">
        <f t="shared" si="40"/>
        <v>"C:\Program Files (x86)\AstroGrep\AstroGrep.exe" /e /r /s /spath="%USERPROFILE%\AppData\Local\Temp\OnboardLogs" /stypes="app*4012*20170512*" /stext=" 19:.+((SYSTEM_STATE.+slice.+state.+changed )|(ment ac)|(multiple cpu faults)|(system.+state.+changed )|(\[timeout)|(PRM\|1\|D)|(kpr)|(kdp)|(train st.+moving)|(\|lc)|(penalty))"</v>
      </c>
      <c r="AG85" s="1" t="str">
        <f t="shared" si="41"/>
        <v>EC</v>
      </c>
      <c r="AH85" s="81" t="str">
        <f t="shared" si="42"/>
        <v>"%USERPROFILE%\Documents\GitHub\eaglep3\Utilities\RefineRTDCRunTimes.py" --tripid 171-12 --locoid 4012 --swversion DE.1.0.9.0 --startMP 204:460 --initTime 2017-05-12T12:27:21 --startdatetime 2017-05-12T12:30:58 --delay 2 --endMP 204:233289 --enddatetime 2017-05-12T13:06:16 --enforcementcount 0 &gt;&gt;C:\Users\stu\Documents\GitHub\eaglep3-reporting\EC\2017-05-12-refined-times.txt</v>
      </c>
      <c r="AI85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{"issue":{"subject":"","project_id":79,"tracker_id":40,"status_id":1,"priority_id":2,"assigned_to_id":23,"start_date":"2017-05-12","description":"","custom_fields":[{"id":1,"name":"Subdivision","value":"EC"},{"id":4,"name":"Milepost","value":"23.3289"},{"id":17,"name":"Train ID","value":"171-12"},{"id":16,"name":"Locomotive ID","value":"4012"},{"id":130,"name":"Impact","value":""},{"id":150,"name":"Time of Event (Mountain Time)","value":"13:06:16"},{"id":151,"name":"Denver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44"/>
        <v>start /low /b %USERPROFILE%\Documents\GitHub\eaglep3\Utilities\DownloadLogsFromS3.py --loco 4012 --day 2017-05-12</v>
      </c>
      <c r="AN85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19:06:16"},{"id":29,"name":"Sharepoint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6" spans="1:91" s="20" customFormat="1" x14ac:dyDescent="0.25">
      <c r="A86" s="32" t="s">
        <v>700</v>
      </c>
      <c r="B86" s="7">
        <v>4011</v>
      </c>
      <c r="C86" s="21" t="s">
        <v>206</v>
      </c>
      <c r="D86" s="21" t="s">
        <v>833</v>
      </c>
      <c r="E86" s="13">
        <v>42867.554895833331</v>
      </c>
      <c r="F86" s="13">
        <v>42867.559942129628</v>
      </c>
      <c r="G86" s="7">
        <v>1</v>
      </c>
      <c r="H86" s="21" t="s">
        <v>855</v>
      </c>
      <c r="I86" s="13">
        <v>42867.586469907408</v>
      </c>
      <c r="J86" s="7">
        <v>0</v>
      </c>
      <c r="K86" s="92" t="str">
        <f t="shared" si="30"/>
        <v>4011/4012</v>
      </c>
      <c r="L86" s="21" t="str">
        <f>VLOOKUP(A86,'Trips&amp;Operators'!$C$1:$G$99999,5,FALSE)</f>
        <v>MOSES BRADLEY</v>
      </c>
      <c r="M86" s="6">
        <f t="shared" si="31"/>
        <v>2.6527777779847383E-2</v>
      </c>
      <c r="N86" s="7">
        <f t="shared" si="28"/>
        <v>38.200000002980232</v>
      </c>
      <c r="O86" s="7"/>
      <c r="P86" s="7"/>
      <c r="Q86" s="22"/>
      <c r="R86" s="190"/>
      <c r="S86" s="196">
        <f t="shared" si="29"/>
        <v>1</v>
      </c>
      <c r="T86" s="190" t="str">
        <f t="shared" si="32"/>
        <v>Southbound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1" t="str">
        <f t="shared" si="33"/>
        <v>https://d0f6bd738d7f1b3e5a7ca70fe4ff75f0.us-east-1.aws.found.io/app/kibana#/discover/Steve-Slow-Train-Analysis-(2080s-and-2083s)?_g=(refreshInterval:(display:Off,pause:!f,section:0,value:0),time:(from:'2017-05-12T12:19:03-0600',mode:absolute,to:'2017-05-12T15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6" s="192" t="str">
        <f t="shared" si="34"/>
        <v>N</v>
      </c>
      <c r="X86" s="192">
        <f t="shared" si="27"/>
        <v>1</v>
      </c>
      <c r="Y86" s="192">
        <f t="shared" si="35"/>
        <v>23.297999999999998</v>
      </c>
      <c r="Z86" s="192">
        <f t="shared" si="36"/>
        <v>1.7000000000000001E-2</v>
      </c>
      <c r="AA86" s="192">
        <f t="shared" si="37"/>
        <v>23.280999999999999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38"/>
        <v>0172-12</v>
      </c>
      <c r="AE86" s="80" t="str">
        <f t="shared" si="39"/>
        <v>aws s3 cp s3://rtdc.mdm.uploadarchive.raw/RTDC4011/ "%USERPROFILE%\AppData\Local\Temp\OnboardLogs"\RTDC4011\2017-05-12 --exclude "*" --recursive --include "*20170512*" &amp; "%USERPROFILE%\Documents\GitHub\mrs-test-scripts\Headless Mode &amp; Sideloading\WalkAndUnGZ.bat" "%USERPROFILE%\AppData\Local\Temp\OnboardLogs"\RTDC4011\2017-05-12 &amp; aws s3 cp s3://rtdc.mdm.uploadarchive.raw/RTDC4011/ "%USERPROFILE%\AppData\Local\Temp\OnboardLogs"\RTDC4011\2017-05-13 --exclude "*" --recursive --include "*20170513*" &amp; "%USERPROFILE%\Documents\GitHub\mrs-test-scripts\Headless Mode &amp; Sideloading\WalkAndUnGZ.bat" "%USERPROFILE%\AppData\Local\Temp\OnboardLogs"\RTDC4011\2017-05-13</v>
      </c>
      <c r="AF86" s="77" t="str">
        <f t="shared" si="40"/>
        <v>"C:\Program Files (x86)\AstroGrep\AstroGrep.exe" /e /r /s /spath="%USERPROFILE%\AppData\Local\Temp\OnboardLogs" /stypes="app*4011*20170512*" /stext=" 20:.+((SYSTEM_STATE.+slice.+state.+changed )|(ment ac)|(multiple cpu faults)|(system.+state.+changed )|(\[timeout)|(PRM\|1\|D)|(kpr)|(kdp)|(train st.+moving)|(\|lc)|(penalty))"</v>
      </c>
      <c r="AG86" s="1" t="str">
        <f t="shared" si="41"/>
        <v>EC</v>
      </c>
      <c r="AH86" s="81" t="str">
        <f t="shared" si="42"/>
        <v>"%USERPROFILE%\Documents\GitHub\eaglep3\Utilities\RefineRTDCRunTimes.py" --tripid 172-12 --locoid 4011 --swversion DE.1.0.9.0 --startMP 204:232980 --initTime 2017-05-12T13:19:03 --startdatetime 2017-05-12T13:26:19 --delay 1 --endMP 204:170 --enddatetime 2017-05-12T14:04:31 --enforcementcount 0 &gt;&gt;C:\Users\stu\Documents\GitHub\eaglep3-reporting\EC\2017-05-12-refined-times.txt</v>
      </c>
      <c r="AI86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{"issue":{"subject":"","project_id":79,"tracker_id":40,"status_id":1,"priority_id":2,"assigned_to_id":23,"start_date":"2017-05-12","description":"","custom_fields":[{"id":1,"name":"Subdivision","value":"EC"},{"id":4,"name":"Milepost","value":"0.017"},{"id":17,"name":"Train ID","value":"172-12"},{"id":16,"name":"Locomotive ID","value":"4011"},{"id":130,"name":"Impact","value":""},{"id":150,"name":"Time of Event (Mountain Time)","value":"14:04:31"},{"id":151,"name":"Denver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7"/>
      <c r="AL86" s="47"/>
      <c r="AM86" s="145" t="str">
        <f t="shared" si="44"/>
        <v>start /low /b %USERPROFILE%\Documents\GitHub\eaglep3\Utilities\DownloadLogsFromS3.py --loco 4011 --day 2017-05-12</v>
      </c>
      <c r="AN86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20:04:31"},{"id":29,"name":"Sharepoint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2" t="s">
        <v>695</v>
      </c>
      <c r="B87" s="7">
        <v>4014</v>
      </c>
      <c r="C87" s="21" t="s">
        <v>206</v>
      </c>
      <c r="D87" s="21" t="s">
        <v>372</v>
      </c>
      <c r="E87" s="13">
        <v>42867.528715277775</v>
      </c>
      <c r="F87" s="13">
        <v>42867.5315162037</v>
      </c>
      <c r="G87" s="7">
        <v>2</v>
      </c>
      <c r="H87" s="21" t="s">
        <v>856</v>
      </c>
      <c r="I87" s="13">
        <v>42867.556284722225</v>
      </c>
      <c r="J87" s="7">
        <v>0</v>
      </c>
      <c r="K87" s="92" t="str">
        <f t="shared" si="30"/>
        <v>4013/4014</v>
      </c>
      <c r="L87" s="21" t="str">
        <f>VLOOKUP(A87,'Trips&amp;Operators'!$C$1:$G$99999,5,FALSE)</f>
        <v>STEWART MICHAEL</v>
      </c>
      <c r="M87" s="6">
        <f t="shared" si="31"/>
        <v>2.4768518524069805E-2</v>
      </c>
      <c r="N87" s="7">
        <f t="shared" si="28"/>
        <v>35.666666674660519</v>
      </c>
      <c r="O87" s="7"/>
      <c r="P87" s="7"/>
      <c r="Q87" s="22"/>
      <c r="R87" s="190"/>
      <c r="S87" s="196">
        <f t="shared" si="29"/>
        <v>1</v>
      </c>
      <c r="T87" s="190" t="str">
        <f t="shared" si="32"/>
        <v>NorthBound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1" t="str">
        <f t="shared" si="33"/>
        <v>https://d0f6bd738d7f1b3e5a7ca70fe4ff75f0.us-east-1.aws.found.io/app/kibana#/discover/Steve-Slow-Train-Analysis-(2080s-and-2083s)?_g=(refreshInterval:(display:Off,pause:!f,section:0,value:0),time:(from:'2017-05-12T11:41:21-0600',mode:absolute,to:'2017-05-12T14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7" s="192" t="str">
        <f t="shared" si="34"/>
        <v>N</v>
      </c>
      <c r="X87" s="192">
        <f t="shared" si="27"/>
        <v>1</v>
      </c>
      <c r="Y87" s="192">
        <f t="shared" si="35"/>
        <v>4.4699999999999997E-2</v>
      </c>
      <c r="Z87" s="192">
        <f t="shared" si="36"/>
        <v>23.3323</v>
      </c>
      <c r="AA87" s="192">
        <f t="shared" si="37"/>
        <v>23.287600000000001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38"/>
        <v>0173-12</v>
      </c>
      <c r="AE87" s="80" t="str">
        <f t="shared" si="39"/>
        <v>aws s3 cp s3://rtdc.mdm.uploadarchive.raw/RTDC4014/ "%USERPROFILE%\AppData\Local\Temp\OnboardLogs"\RTDC4014\2017-05-12 --exclude "*" --recursive --include "*20170512*" &amp; "%USERPROFILE%\Documents\GitHub\mrs-test-scripts\Headless Mode &amp; Sideloading\WalkAndUnGZ.bat" "%USERPROFILE%\AppData\Local\Temp\OnboardLogs"\RTDC4014\2017-05-12 &amp; aws s3 cp s3://rtdc.mdm.uploadarchive.raw/RTDC4014/ "%USERPROFILE%\AppData\Local\Temp\OnboardLogs"\RTDC4014\2017-05-13 --exclude "*" --recursive --include "*20170513*" &amp; "%USERPROFILE%\Documents\GitHub\mrs-test-scripts\Headless Mode &amp; Sideloading\WalkAndUnGZ.bat" "%USERPROFILE%\AppData\Local\Temp\OnboardLogs"\RTDC4014\2017-05-13</v>
      </c>
      <c r="AF87" s="77" t="str">
        <f t="shared" si="40"/>
        <v>"C:\Program Files (x86)\AstroGrep\AstroGrep.exe" /e /r /s /spath="%USERPROFILE%\AppData\Local\Temp\OnboardLogs" /stypes="app*4014*20170512*" /stext=" 19:.+((SYSTEM_STATE.+slice.+state.+changed )|(ment ac)|(multiple cpu faults)|(system.+state.+changed )|(\[timeout)|(PRM\|1\|D)|(kpr)|(kdp)|(train st.+moving)|(\|lc)|(penalty))"</v>
      </c>
      <c r="AG87" s="1" t="str">
        <f t="shared" si="41"/>
        <v>EC</v>
      </c>
      <c r="AH87" s="81" t="str">
        <f t="shared" si="42"/>
        <v>"%USERPROFILE%\Documents\GitHub\eaglep3\Utilities\RefineRTDCRunTimes.py" --tripid 173-12 --locoid 4014 --swversion DE.1.0.9.0 --startMP 204:447 --initTime 2017-05-12T12:41:21 --startdatetime 2017-05-12T12:45:23 --delay 2 --endMP 204:233323 --enddatetime 2017-05-12T13:21:03 --enforcementcount 0 &gt;&gt;C:\Users\stu\Documents\GitHub\eaglep3-reporting\EC\2017-05-12-refined-times.txt</v>
      </c>
      <c r="AI87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{"issue":{"subject":"","project_id":79,"tracker_id":40,"status_id":1,"priority_id":2,"assigned_to_id":23,"start_date":"2017-05-12","description":"","custom_fields":[{"id":1,"name":"Subdivision","value":"EC"},{"id":4,"name":"Milepost","value":"23.3323"},{"id":17,"name":"Train ID","value":"173-12"},{"id":16,"name":"Locomotive ID","value":"4014"},{"id":130,"name":"Impact","value":""},{"id":150,"name":"Time of Event (Mountain Time)","value":"13:21:03"},{"id":151,"name":"Denver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7"/>
      <c r="AL87" s="47"/>
      <c r="AM87" s="145" t="str">
        <f t="shared" si="44"/>
        <v>start /low /b %USERPROFILE%\Documents\GitHub\eaglep3\Utilities\DownloadLogsFromS3.py --loco 4014 --day 2017-05-12</v>
      </c>
      <c r="AN87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19:21:03"},{"id":29,"name":"Sharepoint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2" t="s">
        <v>576</v>
      </c>
      <c r="B88" s="7">
        <v>4013</v>
      </c>
      <c r="C88" s="21" t="s">
        <v>206</v>
      </c>
      <c r="D88" s="21" t="s">
        <v>481</v>
      </c>
      <c r="E88" s="13">
        <v>42867.566400462965</v>
      </c>
      <c r="F88" s="13">
        <v>42867.570405092592</v>
      </c>
      <c r="G88" s="7">
        <v>1</v>
      </c>
      <c r="H88" s="21" t="s">
        <v>368</v>
      </c>
      <c r="I88" s="13">
        <v>42867.598124999997</v>
      </c>
      <c r="J88" s="7">
        <v>0</v>
      </c>
      <c r="K88" s="92" t="str">
        <f t="shared" si="30"/>
        <v>4013/4014</v>
      </c>
      <c r="L88" s="21" t="str">
        <f>VLOOKUP(A88,'Trips&amp;Operators'!$C$1:$G$99999,5,FALSE)</f>
        <v>STEWART MICHAEL</v>
      </c>
      <c r="M88" s="6">
        <f t="shared" si="31"/>
        <v>2.7719907404389232E-2</v>
      </c>
      <c r="N88" s="7">
        <f t="shared" si="28"/>
        <v>39.916666662320495</v>
      </c>
      <c r="O88" s="7"/>
      <c r="P88" s="7"/>
      <c r="Q88" s="22"/>
      <c r="R88" s="190"/>
      <c r="S88" s="196">
        <f t="shared" si="29"/>
        <v>1</v>
      </c>
      <c r="T88" s="190" t="str">
        <f t="shared" si="32"/>
        <v>Southbound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1" t="str">
        <f t="shared" si="33"/>
        <v>https://d0f6bd738d7f1b3e5a7ca70fe4ff75f0.us-east-1.aws.found.io/app/kibana#/discover/Steve-Slow-Train-Analysis-(2080s-and-2083s)?_g=(refreshInterval:(display:Off,pause:!f,section:0,value:0),time:(from:'2017-05-12T12:35:37-0600',mode:absolute,to:'2017-05-12T15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8" s="192" t="str">
        <f t="shared" si="34"/>
        <v>N</v>
      </c>
      <c r="X88" s="192">
        <f t="shared" si="27"/>
        <v>1</v>
      </c>
      <c r="Y88" s="192">
        <f t="shared" si="35"/>
        <v>23.298100000000002</v>
      </c>
      <c r="Z88" s="192">
        <f t="shared" si="36"/>
        <v>1.5599999999999999E-2</v>
      </c>
      <c r="AA88" s="192">
        <f t="shared" si="37"/>
        <v>23.282500000000002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38"/>
        <v>0174-12</v>
      </c>
      <c r="AE88" s="80" t="str">
        <f t="shared" si="39"/>
        <v>aws s3 cp s3://rtdc.mdm.uploadarchive.raw/RTDC4013/ "%USERPROFILE%\AppData\Local\Temp\OnboardLogs"\RTDC4013\2017-05-12 --exclude "*" --recursive --include "*20170512*" &amp; "%USERPROFILE%\Documents\GitHub\mrs-test-scripts\Headless Mode &amp; Sideloading\WalkAndUnGZ.bat" "%USERPROFILE%\AppData\Local\Temp\OnboardLogs"\RTDC4013\2017-05-12 &amp; aws s3 cp s3://rtdc.mdm.uploadarchive.raw/RTDC4013/ "%USERPROFILE%\AppData\Local\Temp\OnboardLogs"\RTDC4013\2017-05-13 --exclude "*" --recursive --include "*20170513*" &amp; "%USERPROFILE%\Documents\GitHub\mrs-test-scripts\Headless Mode &amp; Sideloading\WalkAndUnGZ.bat" "%USERPROFILE%\AppData\Local\Temp\OnboardLogs"\RTDC4013\2017-05-13</v>
      </c>
      <c r="AF88" s="77" t="str">
        <f t="shared" si="40"/>
        <v>"C:\Program Files (x86)\AstroGrep\AstroGrep.exe" /e /r /s /spath="%USERPROFILE%\AppData\Local\Temp\OnboardLogs" /stypes="app*4013*20170512*" /stext=" 20:.+((SYSTEM_STATE.+slice.+state.+changed )|(ment ac)|(multiple cpu faults)|(system.+state.+changed )|(\[timeout)|(PRM\|1\|D)|(kpr)|(kdp)|(train st.+moving)|(\|lc)|(penalty))"</v>
      </c>
      <c r="AG88" s="1" t="str">
        <f t="shared" si="41"/>
        <v>EC</v>
      </c>
      <c r="AH88" s="81" t="str">
        <f t="shared" si="42"/>
        <v>"%USERPROFILE%\Documents\GitHub\eaglep3\Utilities\RefineRTDCRunTimes.py" --tripid 174-12 --locoid 4013 --swversion DE.1.0.9.0 --startMP 204:232981 --initTime 2017-05-12T13:35:37 --startdatetime 2017-05-12T13:41:23 --delay 1 --endMP 204:156 --enddatetime 2017-05-12T14:21:18 --enforcementcount 0 &gt;&gt;C:\Users\stu\Documents\GitHub\eaglep3-reporting\EC\2017-05-12-refined-times.txt</v>
      </c>
      <c r="AI88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{"issue":{"subject":"","project_id":79,"tracker_id":40,"status_id":1,"priority_id":2,"assigned_to_id":23,"start_date":"2017-05-12","description":"","custom_fields":[{"id":1,"name":"Subdivision","value":"EC"},{"id":4,"name":"Milepost","value":"0.0156"},{"id":17,"name":"Train ID","value":"174-12"},{"id":16,"name":"Locomotive ID","value":"4013"},{"id":130,"name":"Impact","value":""},{"id":150,"name":"Time of Event (Mountain Time)","value":"14:21:18"},{"id":151,"name":"Denver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7"/>
      <c r="AL88" s="47"/>
      <c r="AM88" s="145" t="str">
        <f t="shared" si="44"/>
        <v>start /low /b %USERPROFILE%\Documents\GitHub\eaglep3\Utilities\DownloadLogsFromS3.py --loco 4013 --day 2017-05-12</v>
      </c>
      <c r="AN88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20:21:18"},{"id":29,"name":"Sharepoint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2" t="s">
        <v>696</v>
      </c>
      <c r="B89" s="7">
        <v>4022</v>
      </c>
      <c r="C89" s="21" t="s">
        <v>206</v>
      </c>
      <c r="D89" s="21" t="s">
        <v>482</v>
      </c>
      <c r="E89" s="13">
        <v>42867.536400462966</v>
      </c>
      <c r="F89" s="13">
        <v>42867.541898148149</v>
      </c>
      <c r="G89" s="7">
        <v>1</v>
      </c>
      <c r="H89" s="21" t="s">
        <v>857</v>
      </c>
      <c r="I89" s="13">
        <v>42867.567037037035</v>
      </c>
      <c r="J89" s="7">
        <v>0</v>
      </c>
      <c r="K89" s="92" t="str">
        <f t="shared" si="30"/>
        <v>4021/4022</v>
      </c>
      <c r="L89" s="21" t="str">
        <f>VLOOKUP(A89,'Trips&amp;Operators'!$C$1:$G$99999,5,FALSE)</f>
        <v>WHITED DUSTIN</v>
      </c>
      <c r="M89" s="6">
        <f t="shared" si="31"/>
        <v>2.5138888886431232E-2</v>
      </c>
      <c r="N89" s="7">
        <f t="shared" si="28"/>
        <v>36.199999996460974</v>
      </c>
      <c r="O89" s="7"/>
      <c r="P89" s="7"/>
      <c r="Q89" s="22"/>
      <c r="R89" s="190"/>
      <c r="S89" s="196">
        <f t="shared" si="29"/>
        <v>1</v>
      </c>
      <c r="T89" s="190" t="str">
        <f t="shared" si="32"/>
        <v>NorthBound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1" t="str">
        <f t="shared" si="33"/>
        <v>https://d0f6bd738d7f1b3e5a7ca70fe4ff75f0.us-east-1.aws.found.io/app/kibana#/discover/Steve-Slow-Train-Analysis-(2080s-and-2083s)?_g=(refreshInterval:(display:Off,pause:!f,section:0,value:0),time:(from:'2017-05-12T11:52:25-0600',mode:absolute,to:'2017-05-12T14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9" s="192" t="str">
        <f t="shared" si="34"/>
        <v>N</v>
      </c>
      <c r="X89" s="192">
        <f t="shared" si="27"/>
        <v>1</v>
      </c>
      <c r="Y89" s="192">
        <f t="shared" si="35"/>
        <v>4.2700000000000002E-2</v>
      </c>
      <c r="Z89" s="192">
        <f t="shared" si="36"/>
        <v>23.332799999999999</v>
      </c>
      <c r="AA89" s="192">
        <f t="shared" si="37"/>
        <v>23.290099999999999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38"/>
        <v>0175-12</v>
      </c>
      <c r="AE89" s="80" t="str">
        <f t="shared" si="39"/>
        <v>aws s3 cp s3://rtdc.mdm.uploadarchive.raw/RTDC4022/ "%USERPROFILE%\AppData\Local\Temp\OnboardLogs"\RTDC4022\2017-05-12 --exclude "*" --recursive --include "*20170512*" &amp; "%USERPROFILE%\Documents\GitHub\mrs-test-scripts\Headless Mode &amp; Sideloading\WalkAndUnGZ.bat" "%USERPROFILE%\AppData\Local\Temp\OnboardLogs"\RTDC4022\2017-05-12 &amp; aws s3 cp s3://rtdc.mdm.uploadarchive.raw/RTDC4022/ "%USERPROFILE%\AppData\Local\Temp\OnboardLogs"\RTDC4022\2017-05-13 --exclude "*" --recursive --include "*20170513*" &amp; "%USERPROFILE%\Documents\GitHub\mrs-test-scripts\Headless Mode &amp; Sideloading\WalkAndUnGZ.bat" "%USERPROFILE%\AppData\Local\Temp\OnboardLogs"\RTDC4022\2017-05-13</v>
      </c>
      <c r="AF89" s="77" t="str">
        <f t="shared" si="40"/>
        <v>"C:\Program Files (x86)\AstroGrep\AstroGrep.exe" /e /r /s /spath="%USERPROFILE%\AppData\Local\Temp\OnboardLogs" /stypes="app*4022*20170512*" /stext=" 19:.+((SYSTEM_STATE.+slice.+state.+changed )|(ment ac)|(multiple cpu faults)|(system.+state.+changed )|(\[timeout)|(PRM\|1\|D)|(kpr)|(kdp)|(train st.+moving)|(\|lc)|(penalty))"</v>
      </c>
      <c r="AG89" s="1" t="str">
        <f t="shared" si="41"/>
        <v>EC</v>
      </c>
      <c r="AH89" s="81" t="str">
        <f t="shared" si="42"/>
        <v>"%USERPROFILE%\Documents\GitHub\eaglep3\Utilities\RefineRTDCRunTimes.py" --tripid 175-12 --locoid 4022 --swversion DE.1.0.9.0 --startMP 204:427 --initTime 2017-05-12T12:52:25 --startdatetime 2017-05-12T13:00:20 --delay 1 --endMP 204:233328 --enddatetime 2017-05-12T13:36:32 --enforcementcount 0 &gt;&gt;C:\Users\stu\Documents\GitHub\eaglep3-reporting\EC\2017-05-12-refined-times.txt</v>
      </c>
      <c r="AI89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{"issue":{"subject":"","project_id":79,"tracker_id":40,"status_id":1,"priority_id":2,"assigned_to_id":23,"start_date":"2017-05-12","description":"","custom_fields":[{"id":1,"name":"Subdivision","value":"EC"},{"id":4,"name":"Milepost","value":"23.3328"},{"id":17,"name":"Train ID","value":"175-12"},{"id":16,"name":"Locomotive ID","value":"4022"},{"id":130,"name":"Impact","value":""},{"id":150,"name":"Time of Event (Mountain Time)","value":"13:36:32"},{"id":151,"name":"Denver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44"/>
        <v>start /low /b %USERPROFILE%\Documents\GitHub\eaglep3\Utilities\DownloadLogsFromS3.py --loco 4022 --day 2017-05-12</v>
      </c>
      <c r="AN89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19:36:32"},{"id":29,"name":"Sharepoint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2" t="s">
        <v>706</v>
      </c>
      <c r="B90" s="7">
        <v>4021</v>
      </c>
      <c r="C90" s="21" t="s">
        <v>206</v>
      </c>
      <c r="D90" s="21" t="s">
        <v>858</v>
      </c>
      <c r="E90" s="13">
        <v>42867.574999999997</v>
      </c>
      <c r="F90" s="13">
        <v>42867.580891203703</v>
      </c>
      <c r="G90" s="7">
        <v>1</v>
      </c>
      <c r="H90" s="21" t="s">
        <v>859</v>
      </c>
      <c r="I90" s="13">
        <v>42867.607395833336</v>
      </c>
      <c r="J90" s="7">
        <v>0</v>
      </c>
      <c r="K90" s="92" t="str">
        <f t="shared" si="30"/>
        <v>4021/4022</v>
      </c>
      <c r="L90" s="21" t="str">
        <f>VLOOKUP(A90,'Trips&amp;Operators'!$C$1:$G$99999,5,FALSE)</f>
        <v>WHITED DUSTIN</v>
      </c>
      <c r="M90" s="6">
        <f t="shared" si="31"/>
        <v>2.6504629633564036E-2</v>
      </c>
      <c r="N90" s="7">
        <f t="shared" si="28"/>
        <v>38.166666672332212</v>
      </c>
      <c r="O90" s="7"/>
      <c r="P90" s="7"/>
      <c r="Q90" s="22"/>
      <c r="R90" s="190"/>
      <c r="S90" s="196">
        <f t="shared" si="29"/>
        <v>1</v>
      </c>
      <c r="T90" s="190" t="str">
        <f t="shared" si="32"/>
        <v>Southbound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 t="shared" si="33"/>
        <v>https://d0f6bd738d7f1b3e5a7ca70fe4ff75f0.us-east-1.aws.found.io/app/kibana#/discover/Steve-Slow-Train-Analysis-(2080s-and-2083s)?_g=(refreshInterval:(display:Off,pause:!f,section:0,value:0),time:(from:'2017-05-12T12:48:00-0600',mode:absolute,to:'2017-05-12T15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0" s="192" t="str">
        <f t="shared" si="34"/>
        <v>N</v>
      </c>
      <c r="X90" s="192">
        <f t="shared" si="27"/>
        <v>1</v>
      </c>
      <c r="Y90" s="192">
        <f t="shared" si="35"/>
        <v>23.303000000000001</v>
      </c>
      <c r="Z90" s="192">
        <f t="shared" si="36"/>
        <v>1.8700000000000001E-2</v>
      </c>
      <c r="AA90" s="192">
        <f t="shared" si="37"/>
        <v>23.284300000000002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38"/>
        <v>0176-12</v>
      </c>
      <c r="AE90" s="80" t="str">
        <f t="shared" si="39"/>
        <v>aws s3 cp s3://rtdc.mdm.uploadarchive.raw/RTDC4021/ "%USERPROFILE%\AppData\Local\Temp\OnboardLogs"\RTDC4021\2017-05-12 --exclude "*" --recursive --include "*20170512*" &amp; "%USERPROFILE%\Documents\GitHub\mrs-test-scripts\Headless Mode &amp; Sideloading\WalkAndUnGZ.bat" "%USERPROFILE%\AppData\Local\Temp\OnboardLogs"\RTDC4021\2017-05-12 &amp; aws s3 cp s3://rtdc.mdm.uploadarchive.raw/RTDC4021/ "%USERPROFILE%\AppData\Local\Temp\OnboardLogs"\RTDC4021\2017-05-13 --exclude "*" --recursive --include "*20170513*" &amp; "%USERPROFILE%\Documents\GitHub\mrs-test-scripts\Headless Mode &amp; Sideloading\WalkAndUnGZ.bat" "%USERPROFILE%\AppData\Local\Temp\OnboardLogs"\RTDC4021\2017-05-13</v>
      </c>
      <c r="AF90" s="77" t="str">
        <f t="shared" si="40"/>
        <v>"C:\Program Files (x86)\AstroGrep\AstroGrep.exe" /e /r /s /spath="%USERPROFILE%\AppData\Local\Temp\OnboardLogs" /stypes="app*4021*20170512*" /stext=" 20:.+((SYSTEM_STATE.+slice.+state.+changed )|(ment ac)|(multiple cpu faults)|(system.+state.+changed )|(\[timeout)|(PRM\|1\|D)|(kpr)|(kdp)|(train st.+moving)|(\|lc)|(penalty))"</v>
      </c>
      <c r="AG90" s="1" t="str">
        <f t="shared" si="41"/>
        <v>EC</v>
      </c>
      <c r="AH90" s="81" t="str">
        <f t="shared" si="42"/>
        <v>"%USERPROFILE%\Documents\GitHub\eaglep3\Utilities\RefineRTDCRunTimes.py" --tripid 176-12 --locoid 4021 --swversion DE.1.0.9.0 --startMP 204:233030 --initTime 2017-05-12T13:48:00 --startdatetime 2017-05-12T13:56:29 --delay 1 --endMP 204:187 --enddatetime 2017-05-12T14:34:39 --enforcementcount 0 &gt;&gt;C:\Users\stu\Documents\GitHub\eaglep3-reporting\EC\2017-05-12-refined-times.txt</v>
      </c>
      <c r="AI90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{"issue":{"subject":"","project_id":79,"tracker_id":40,"status_id":1,"priority_id":2,"assigned_to_id":23,"start_date":"2017-05-12","description":"","custom_fields":[{"id":1,"name":"Subdivision","value":"EC"},{"id":4,"name":"Milepost","value":"0.0187"},{"id":17,"name":"Train ID","value":"176-12"},{"id":16,"name":"Locomotive ID","value":"4021"},{"id":130,"name":"Impact","value":""},{"id":150,"name":"Time of Event (Mountain Time)","value":"14:34:39"},{"id":151,"name":"Denver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5" t="str">
        <f t="shared" si="44"/>
        <v>start /low /b %USERPROFILE%\Documents\GitHub\eaglep3\Utilities\DownloadLogsFromS3.py --loco 4021 --day 2017-05-12</v>
      </c>
      <c r="AN90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20:34:39"},{"id":29,"name":"Sharepoint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1" spans="1:91" s="20" customFormat="1" x14ac:dyDescent="0.25">
      <c r="A91" s="32" t="s">
        <v>699</v>
      </c>
      <c r="B91" s="7">
        <v>4016</v>
      </c>
      <c r="C91" s="21" t="s">
        <v>206</v>
      </c>
      <c r="D91" s="21" t="s">
        <v>860</v>
      </c>
      <c r="E91" s="13">
        <v>42867.548113425924</v>
      </c>
      <c r="F91" s="13">
        <v>42867.552245370367</v>
      </c>
      <c r="G91" s="7">
        <v>1</v>
      </c>
      <c r="H91" s="21" t="s">
        <v>520</v>
      </c>
      <c r="I91" s="13">
        <v>42867.5783912037</v>
      </c>
      <c r="J91" s="7">
        <v>0</v>
      </c>
      <c r="K91" s="92" t="str">
        <f t="shared" si="30"/>
        <v>4015/4016</v>
      </c>
      <c r="L91" s="21" t="str">
        <f>VLOOKUP(A91,'Trips&amp;Operators'!$C$1:$G$99999,5,FALSE)</f>
        <v>CLARK KATHLEEN</v>
      </c>
      <c r="M91" s="6">
        <f t="shared" si="31"/>
        <v>2.6145833333430346E-2</v>
      </c>
      <c r="N91" s="7">
        <f t="shared" si="28"/>
        <v>37.650000000139698</v>
      </c>
      <c r="O91" s="7"/>
      <c r="P91" s="7"/>
      <c r="Q91" s="22"/>
      <c r="R91" s="190"/>
      <c r="S91" s="196">
        <f t="shared" si="29"/>
        <v>1</v>
      </c>
      <c r="T91" s="190" t="str">
        <f t="shared" si="32"/>
        <v>NorthBound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 t="shared" si="33"/>
        <v>https://d0f6bd738d7f1b3e5a7ca70fe4ff75f0.us-east-1.aws.found.io/app/kibana#/discover/Steve-Slow-Train-Analysis-(2080s-and-2083s)?_g=(refreshInterval:(display:Off,pause:!f,section:0,value:0),time:(from:'2017-05-12T12:09:17-0600',mode:absolute,to:'2017-05-12T14:52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1" s="192" t="str">
        <f t="shared" si="34"/>
        <v>N</v>
      </c>
      <c r="X91" s="192">
        <f t="shared" si="27"/>
        <v>1</v>
      </c>
      <c r="Y91" s="192">
        <f t="shared" si="35"/>
        <v>5.04E-2</v>
      </c>
      <c r="Z91" s="192">
        <f t="shared" si="36"/>
        <v>23.328900000000001</v>
      </c>
      <c r="AA91" s="192">
        <f t="shared" si="37"/>
        <v>23.278500000000001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38"/>
        <v>0177-12</v>
      </c>
      <c r="AE91" s="80" t="str">
        <f t="shared" si="39"/>
        <v>aws s3 cp s3://rtdc.mdm.uploadarchive.raw/RTDC4016/ "%USERPROFILE%\AppData\Local\Temp\OnboardLogs"\RTDC4016\2017-05-12 --exclude "*" --recursive --include "*20170512*" &amp; "%USERPROFILE%\Documents\GitHub\mrs-test-scripts\Headless Mode &amp; Sideloading\WalkAndUnGZ.bat" "%USERPROFILE%\AppData\Local\Temp\OnboardLogs"\RTDC4016\2017-05-12 &amp; aws s3 cp s3://rtdc.mdm.uploadarchive.raw/RTDC4016/ "%USERPROFILE%\AppData\Local\Temp\OnboardLogs"\RTDC4016\2017-05-13 --exclude "*" --recursive --include "*20170513*" &amp; "%USERPROFILE%\Documents\GitHub\mrs-test-scripts\Headless Mode &amp; Sideloading\WalkAndUnGZ.bat" "%USERPROFILE%\AppData\Local\Temp\OnboardLogs"\RTDC4016\2017-05-13</v>
      </c>
      <c r="AF91" s="77" t="str">
        <f t="shared" si="40"/>
        <v>"C:\Program Files (x86)\AstroGrep\AstroGrep.exe" /e /r /s /spath="%USERPROFILE%\AppData\Local\Temp\OnboardLogs" /stypes="app*4016*20170512*" /stext=" 19:.+((SYSTEM_STATE.+slice.+state.+changed )|(ment ac)|(multiple cpu faults)|(system.+state.+changed )|(\[timeout)|(PRM\|1\|D)|(kpr)|(kdp)|(train st.+moving)|(\|lc)|(penalty))"</v>
      </c>
      <c r="AG91" s="1" t="str">
        <f t="shared" si="41"/>
        <v>EC</v>
      </c>
      <c r="AH91" s="81" t="str">
        <f t="shared" si="42"/>
        <v>"%USERPROFILE%\Documents\GitHub\eaglep3\Utilities\RefineRTDCRunTimes.py" --tripid 177-12 --locoid 4016 --swversion DE.1.0.9.0 --startMP 204:504 --initTime 2017-05-12T13:09:17 --startdatetime 2017-05-12T13:15:14 --delay 1 --endMP 204:233289 --enddatetime 2017-05-12T13:52:53 --enforcementcount 0 &gt;&gt;C:\Users\stu\Documents\GitHub\eaglep3-reporting\EC\2017-05-12-refined-times.txt</v>
      </c>
      <c r="AI91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{"issue":{"subject":"","project_id":79,"tracker_id":40,"status_id":1,"priority_id":2,"assigned_to_id":23,"start_date":"2017-05-12","description":"","custom_fields":[{"id":1,"name":"Subdivision","value":"EC"},{"id":4,"name":"Milepost","value":"23.3289"},{"id":17,"name":"Train ID","value":"177-12"},{"id":16,"name":"Locomotive ID","value":"4016"},{"id":130,"name":"Impact","value":""},{"id":150,"name":"Time of Event (Mountain Time)","value":"13:52:53"},{"id":151,"name":"Denver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5" t="str">
        <f t="shared" si="44"/>
        <v>start /low /b %USERPROFILE%\Documents\GitHub\eaglep3\Utilities\DownloadLogsFromS3.py --loco 4016 --day 2017-05-12</v>
      </c>
      <c r="AN91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19:52:53"},{"id":29,"name":"Sharepoint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708</v>
      </c>
      <c r="B92" s="7">
        <v>4015</v>
      </c>
      <c r="C92" s="21" t="s">
        <v>206</v>
      </c>
      <c r="D92" s="21" t="s">
        <v>453</v>
      </c>
      <c r="E92" s="13">
        <v>42867.586053240739</v>
      </c>
      <c r="F92" s="13">
        <v>42867.591134259259</v>
      </c>
      <c r="G92" s="7">
        <v>1</v>
      </c>
      <c r="H92" s="21" t="s">
        <v>855</v>
      </c>
      <c r="I92" s="13">
        <v>42867.619525462964</v>
      </c>
      <c r="J92" s="7">
        <v>0</v>
      </c>
      <c r="K92" s="92" t="str">
        <f t="shared" si="30"/>
        <v>4015/4016</v>
      </c>
      <c r="L92" s="21" t="str">
        <f>VLOOKUP(A92,'Trips&amp;Operators'!$C$1:$G$99999,5,FALSE)</f>
        <v>CLARK KATHLEEN</v>
      </c>
      <c r="M92" s="6">
        <f t="shared" si="31"/>
        <v>2.8391203704813961E-2</v>
      </c>
      <c r="N92" s="7">
        <f t="shared" si="28"/>
        <v>40.883333334932104</v>
      </c>
      <c r="O92" s="7"/>
      <c r="P92" s="7"/>
      <c r="Q92" s="22"/>
      <c r="R92" s="190"/>
      <c r="S92" s="196">
        <f t="shared" si="29"/>
        <v>1</v>
      </c>
      <c r="T92" s="190" t="str">
        <f t="shared" si="32"/>
        <v>Southbound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1" t="str">
        <f t="shared" si="33"/>
        <v>https://d0f6bd738d7f1b3e5a7ca70fe4ff75f0.us-east-1.aws.found.io/app/kibana#/discover/Steve-Slow-Train-Analysis-(2080s-and-2083s)?_g=(refreshInterval:(display:Off,pause:!f,section:0,value:0),time:(from:'2017-05-12T13:03:55-0600',mode:absolute,to:'2017-05-12T15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2" s="192" t="str">
        <f t="shared" si="34"/>
        <v>N</v>
      </c>
      <c r="X92" s="192">
        <f t="shared" si="27"/>
        <v>1</v>
      </c>
      <c r="Y92" s="192">
        <f t="shared" si="35"/>
        <v>23.297699999999999</v>
      </c>
      <c r="Z92" s="192">
        <f t="shared" si="36"/>
        <v>1.7000000000000001E-2</v>
      </c>
      <c r="AA92" s="192">
        <f t="shared" si="37"/>
        <v>23.2807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38"/>
        <v>0178-12</v>
      </c>
      <c r="AE92" s="80" t="str">
        <f t="shared" si="39"/>
        <v>aws s3 cp s3://rtdc.mdm.uploadarchive.raw/RTDC4015/ "%USERPROFILE%\AppData\Local\Temp\OnboardLogs"\RTDC4015\2017-05-12 --exclude "*" --recursive --include "*20170512*" &amp; "%USERPROFILE%\Documents\GitHub\mrs-test-scripts\Headless Mode &amp; Sideloading\WalkAndUnGZ.bat" "%USERPROFILE%\AppData\Local\Temp\OnboardLogs"\RTDC4015\2017-05-12 &amp; aws s3 cp s3://rtdc.mdm.uploadarchive.raw/RTDC4015/ "%USERPROFILE%\AppData\Local\Temp\OnboardLogs"\RTDC4015\2017-05-13 --exclude "*" --recursive --include "*20170513*" &amp; "%USERPROFILE%\Documents\GitHub\mrs-test-scripts\Headless Mode &amp; Sideloading\WalkAndUnGZ.bat" "%USERPROFILE%\AppData\Local\Temp\OnboardLogs"\RTDC4015\2017-05-13</v>
      </c>
      <c r="AF92" s="77" t="str">
        <f t="shared" si="40"/>
        <v>"C:\Program Files (x86)\AstroGrep\AstroGrep.exe" /e /r /s /spath="%USERPROFILE%\AppData\Local\Temp\OnboardLogs" /stypes="app*4015*20170512*" /stext=" 20:.+((SYSTEM_STATE.+slice.+state.+changed )|(ment ac)|(multiple cpu faults)|(system.+state.+changed )|(\[timeout)|(PRM\|1\|D)|(kpr)|(kdp)|(train st.+moving)|(\|lc)|(penalty))"</v>
      </c>
      <c r="AG92" s="1" t="str">
        <f t="shared" si="41"/>
        <v>EC</v>
      </c>
      <c r="AH92" s="81" t="str">
        <f t="shared" si="42"/>
        <v>"%USERPROFILE%\Documents\GitHub\eaglep3\Utilities\RefineRTDCRunTimes.py" --tripid 178-12 --locoid 4015 --swversion DE.1.0.9.0 --startMP 204:232977 --initTime 2017-05-12T14:03:55 --startdatetime 2017-05-12T14:11:14 --delay 1 --endMP 204:170 --enddatetime 2017-05-12T14:52:07 --enforcementcount 0 &gt;&gt;C:\Users\stu\Documents\GitHub\eaglep3-reporting\EC\2017-05-12-refined-times.txt</v>
      </c>
      <c r="AI92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{"issue":{"subject":"","project_id":79,"tracker_id":40,"status_id":1,"priority_id":2,"assigned_to_id":23,"start_date":"2017-05-12","description":"","custom_fields":[{"id":1,"name":"Subdivision","value":"EC"},{"id":4,"name":"Milepost","value":"0.017"},{"id":17,"name":"Train ID","value":"178-12"},{"id":16,"name":"Locomotive ID","value":"4015"},{"id":130,"name":"Impact","value":""},{"id":150,"name":"Time of Event (Mountain Time)","value":"14:52:07"},{"id":151,"name":"Denver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5" t="str">
        <f t="shared" si="44"/>
        <v>start /low /b %USERPROFILE%\Documents\GitHub\eaglep3\Utilities\DownloadLogsFromS3.py --loco 4015 --day 2017-05-12</v>
      </c>
      <c r="AN92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20:52:07"},{"id":29,"name":"Sharepoint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701</v>
      </c>
      <c r="B93" s="7">
        <v>4010</v>
      </c>
      <c r="C93" s="21" t="s">
        <v>206</v>
      </c>
      <c r="D93" s="21" t="s">
        <v>352</v>
      </c>
      <c r="E93" s="13">
        <v>42867.557453703703</v>
      </c>
      <c r="F93" s="13">
        <v>42867.562685185185</v>
      </c>
      <c r="G93" s="7">
        <v>1</v>
      </c>
      <c r="H93" s="21" t="s">
        <v>861</v>
      </c>
      <c r="I93" s="13">
        <v>42867.587013888886</v>
      </c>
      <c r="J93" s="7">
        <v>0</v>
      </c>
      <c r="K93" s="92" t="str">
        <f t="shared" si="30"/>
        <v>4009/4010</v>
      </c>
      <c r="L93" s="21" t="str">
        <f>VLOOKUP(A93,'Trips&amp;Operators'!$C$1:$G$99999,5,FALSE)</f>
        <v>MCREYNOLDS KYLE</v>
      </c>
      <c r="M93" s="6">
        <f t="shared" si="31"/>
        <v>2.4328703701030463E-2</v>
      </c>
      <c r="N93" s="7">
        <f t="shared" si="28"/>
        <v>35.033333329483867</v>
      </c>
      <c r="O93" s="7"/>
      <c r="P93" s="7"/>
      <c r="Q93" s="22"/>
      <c r="R93" s="190"/>
      <c r="S93" s="196">
        <f t="shared" si="29"/>
        <v>1</v>
      </c>
      <c r="T93" s="190" t="str">
        <f t="shared" si="32"/>
        <v>NorthBound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1" t="str">
        <f t="shared" si="33"/>
        <v>https://d0f6bd738d7f1b3e5a7ca70fe4ff75f0.us-east-1.aws.found.io/app/kibana#/discover/Steve-Slow-Train-Analysis-(2080s-and-2083s)?_g=(refreshInterval:(display:Off,pause:!f,section:0,value:0),time:(from:'2017-05-12T12:22:44-0600',mode:absolute,to:'2017-05-12T15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3" s="192" t="str">
        <f t="shared" si="34"/>
        <v>N</v>
      </c>
      <c r="X93" s="192">
        <f t="shared" si="27"/>
        <v>1</v>
      </c>
      <c r="Y93" s="192">
        <f t="shared" si="35"/>
        <v>4.4600000000000001E-2</v>
      </c>
      <c r="Z93" s="192">
        <f t="shared" si="36"/>
        <v>23.326599999999999</v>
      </c>
      <c r="AA93" s="192">
        <f t="shared" si="37"/>
        <v>23.282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38"/>
        <v>0179-12</v>
      </c>
      <c r="AE93" s="80" t="str">
        <f t="shared" si="39"/>
        <v>aws s3 cp s3://rtdc.mdm.uploadarchive.raw/RTDC4010/ "%USERPROFILE%\AppData\Local\Temp\OnboardLogs"\RTDC4010\2017-05-12 --exclude "*" --recursive --include "*20170512*" &amp; "%USERPROFILE%\Documents\GitHub\mrs-test-scripts\Headless Mode &amp; Sideloading\WalkAndUnGZ.bat" "%USERPROFILE%\AppData\Local\Temp\OnboardLogs"\RTDC4010\2017-05-12 &amp; aws s3 cp s3://rtdc.mdm.uploadarchive.raw/RTDC4010/ "%USERPROFILE%\AppData\Local\Temp\OnboardLogs"\RTDC4010\2017-05-13 --exclude "*" --recursive --include "*20170513*" &amp; "%USERPROFILE%\Documents\GitHub\mrs-test-scripts\Headless Mode &amp; Sideloading\WalkAndUnGZ.bat" "%USERPROFILE%\AppData\Local\Temp\OnboardLogs"\RTDC4010\2017-05-13</v>
      </c>
      <c r="AF93" s="77" t="str">
        <f t="shared" si="40"/>
        <v>"C:\Program Files (x86)\AstroGrep\AstroGrep.exe" /e /r /s /spath="%USERPROFILE%\AppData\Local\Temp\OnboardLogs" /stypes="app*4010*20170512*" /stext=" 20:.+((SYSTEM_STATE.+slice.+state.+changed )|(ment ac)|(multiple cpu faults)|(system.+state.+changed )|(\[timeout)|(PRM\|1\|D)|(kpr)|(kdp)|(train st.+moving)|(\|lc)|(penalty))"</v>
      </c>
      <c r="AG93" s="1" t="str">
        <f t="shared" si="41"/>
        <v>EC</v>
      </c>
      <c r="AH93" s="81" t="str">
        <f t="shared" si="42"/>
        <v>"%USERPROFILE%\Documents\GitHub\eaglep3\Utilities\RefineRTDCRunTimes.py" --tripid 179-12 --locoid 4010 --swversion DE.1.0.9.0 --startMP 204:446 --initTime 2017-05-12T13:22:44 --startdatetime 2017-05-12T13:30:16 --delay 1 --endMP 204:233266 --enddatetime 2017-05-12T14:05:18 --enforcementcount 0 &gt;&gt;C:\Users\stu\Documents\GitHub\eaglep3-reporting\EC\2017-05-12-refined-times.txt</v>
      </c>
      <c r="AI93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{"issue":{"subject":"","project_id":79,"tracker_id":40,"status_id":1,"priority_id":2,"assigned_to_id":23,"start_date":"2017-05-12","description":"","custom_fields":[{"id":1,"name":"Subdivision","value":"EC"},{"id":4,"name":"Milepost","value":"23.3266"},{"id":17,"name":"Train ID","value":"179-12"},{"id":16,"name":"Locomotive ID","value":"4010"},{"id":130,"name":"Impact","value":""},{"id":150,"name":"Time of Event (Mountain Time)","value":"14:05:18"},{"id":151,"name":"Denver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5" t="str">
        <f t="shared" si="44"/>
        <v>start /low /b %USERPROFILE%\Documents\GitHub\eaglep3\Utilities\DownloadLogsFromS3.py --loco 4010 --day 2017-05-12</v>
      </c>
      <c r="AN93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20:05:18"},{"id":29,"name":"Sharepoint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709</v>
      </c>
      <c r="B94" s="7">
        <v>4009</v>
      </c>
      <c r="C94" s="21" t="s">
        <v>206</v>
      </c>
      <c r="D94" s="21" t="s">
        <v>862</v>
      </c>
      <c r="E94" s="13">
        <v>42867.588530092595</v>
      </c>
      <c r="F94" s="13">
        <v>42867.601689814815</v>
      </c>
      <c r="G94" s="7">
        <v>1</v>
      </c>
      <c r="H94" s="21" t="s">
        <v>197</v>
      </c>
      <c r="I94" s="13">
        <v>42867.628310185188</v>
      </c>
      <c r="J94" s="7">
        <v>0</v>
      </c>
      <c r="K94" s="92" t="str">
        <f t="shared" si="30"/>
        <v>4009/4010</v>
      </c>
      <c r="L94" s="21" t="str">
        <f>VLOOKUP(A94,'Trips&amp;Operators'!$C$1:$G$99999,5,FALSE)</f>
        <v>MCREYNOLDS KYLE</v>
      </c>
      <c r="M94" s="6">
        <f t="shared" si="31"/>
        <v>2.662037037225673E-2</v>
      </c>
      <c r="N94" s="7">
        <f t="shared" si="28"/>
        <v>38.333333336049691</v>
      </c>
      <c r="O94" s="7"/>
      <c r="P94" s="7"/>
      <c r="Q94" s="22"/>
      <c r="R94" s="190"/>
      <c r="S94" s="196">
        <f t="shared" si="29"/>
        <v>1</v>
      </c>
      <c r="T94" s="190" t="str">
        <f t="shared" si="32"/>
        <v>Southbound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 t="shared" si="33"/>
        <v>https://d0f6bd738d7f1b3e5a7ca70fe4ff75f0.us-east-1.aws.found.io/app/kibana#/discover/Steve-Slow-Train-Analysis-(2080s-and-2083s)?_g=(refreshInterval:(display:Off,pause:!f,section:0,value:0),time:(from:'2017-05-12T13:07:29-0600',mode:absolute,to:'2017-05-12T16:04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4" s="192" t="str">
        <f t="shared" si="34"/>
        <v>N</v>
      </c>
      <c r="X94" s="192">
        <f t="shared" si="27"/>
        <v>1</v>
      </c>
      <c r="Y94" s="192">
        <f t="shared" si="35"/>
        <v>23.295000000000002</v>
      </c>
      <c r="Z94" s="192">
        <f t="shared" si="36"/>
        <v>1.52E-2</v>
      </c>
      <c r="AA94" s="192">
        <f t="shared" si="37"/>
        <v>23.279800000000002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38"/>
        <v>0180-12</v>
      </c>
      <c r="AE94" s="80" t="str">
        <f t="shared" si="39"/>
        <v>aws s3 cp s3://rtdc.mdm.uploadarchive.raw/RTDC4009/ "%USERPROFILE%\AppData\Local\Temp\OnboardLogs"\RTDC4009\2017-05-12 --exclude "*" --recursive --include "*20170512*" &amp; "%USERPROFILE%\Documents\GitHub\mrs-test-scripts\Headless Mode &amp; Sideloading\WalkAndUnGZ.bat" "%USERPROFILE%\AppData\Local\Temp\OnboardLogs"\RTDC4009\2017-05-12 &amp; aws s3 cp s3://rtdc.mdm.uploadarchive.raw/RTDC4009/ "%USERPROFILE%\AppData\Local\Temp\OnboardLogs"\RTDC4009\2017-05-13 --exclude "*" --recursive --include "*20170513*" &amp; "%USERPROFILE%\Documents\GitHub\mrs-test-scripts\Headless Mode &amp; Sideloading\WalkAndUnGZ.bat" "%USERPROFILE%\AppData\Local\Temp\OnboardLogs"\RTDC4009\2017-05-13</v>
      </c>
      <c r="AF94" s="77" t="str">
        <f t="shared" si="40"/>
        <v>"C:\Program Files (x86)\AstroGrep\AstroGrep.exe" /e /r /s /spath="%USERPROFILE%\AppData\Local\Temp\OnboardLogs" /stypes="app*4009*20170512*" /stext=" 21:.+((SYSTEM_STATE.+slice.+state.+changed )|(ment ac)|(multiple cpu faults)|(system.+state.+changed )|(\[timeout)|(PRM\|1\|D)|(kpr)|(kdp)|(train st.+moving)|(\|lc)|(penalty))"</v>
      </c>
      <c r="AG94" s="1" t="str">
        <f t="shared" si="41"/>
        <v>EC</v>
      </c>
      <c r="AH94" s="81" t="str">
        <f t="shared" si="42"/>
        <v>"%USERPROFILE%\Documents\GitHub\eaglep3\Utilities\RefineRTDCRunTimes.py" --tripid 180-12 --locoid 4009 --swversion DE.1.0.9.0 --startMP 204:232950 --initTime 2017-05-12T14:07:29 --startdatetime 2017-05-12T14:26:26 --delay 1 --endMP 204:152 --enddatetime 2017-05-12T15:04:46 --enforcementcount 0 &gt;&gt;C:\Users\stu\Documents\GitHub\eaglep3-reporting\EC\2017-05-12-refined-times.txt</v>
      </c>
      <c r="AI94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{"issue":{"subject":"","project_id":79,"tracker_id":40,"status_id":1,"priority_id":2,"assigned_to_id":23,"start_date":"2017-05-12","description":"","custom_fields":[{"id":1,"name":"Subdivision","value":"EC"},{"id":4,"name":"Milepost","value":"0.0152"},{"id":17,"name":"Train ID","value":"180-12"},{"id":16,"name":"Locomotive ID","value":"4009"},{"id":130,"name":"Impact","value":""},{"id":150,"name":"Time of Event (Mountain Time)","value":"15:04:46"},{"id":151,"name":"Denver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5" t="str">
        <f t="shared" si="44"/>
        <v>start /low /b %USERPROFILE%\Documents\GitHub\eaglep3\Utilities\DownloadLogsFromS3.py --loco 4009 --day 2017-05-12</v>
      </c>
      <c r="AN94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21:04:46"},{"id":29,"name":"Sharepoint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x14ac:dyDescent="0.25">
      <c r="A95" s="32" t="s">
        <v>705</v>
      </c>
      <c r="B95" s="7">
        <v>4046</v>
      </c>
      <c r="C95" s="21" t="s">
        <v>206</v>
      </c>
      <c r="D95" s="21" t="s">
        <v>863</v>
      </c>
      <c r="E95" s="13">
        <v>42867.576331018521</v>
      </c>
      <c r="F95" s="13">
        <v>42867.577233796299</v>
      </c>
      <c r="G95" s="7">
        <v>1</v>
      </c>
      <c r="H95" s="21" t="s">
        <v>828</v>
      </c>
      <c r="I95" s="13">
        <v>42867.598379629628</v>
      </c>
      <c r="J95" s="7">
        <v>0</v>
      </c>
      <c r="K95" s="92" t="str">
        <f t="shared" si="30"/>
        <v>4045/4046</v>
      </c>
      <c r="L95" s="21" t="str">
        <f>VLOOKUP(A95,'Trips&amp;Operators'!$C$1:$G$99999,5,FALSE)</f>
        <v>HELVIE ADAM</v>
      </c>
      <c r="M95" s="6">
        <f t="shared" si="31"/>
        <v>2.1145833328773733E-2</v>
      </c>
      <c r="N95" s="7"/>
      <c r="O95" s="7"/>
      <c r="P95" s="7">
        <f>24*60*SUM($M95:$M95)</f>
        <v>30.449999993434176</v>
      </c>
      <c r="Q95" s="22"/>
      <c r="R95" s="190" t="s">
        <v>557</v>
      </c>
      <c r="S95" s="196">
        <f t="shared" si="29"/>
        <v>1</v>
      </c>
      <c r="T95" s="190" t="str">
        <f t="shared" si="32"/>
        <v>NorthBound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 t="shared" si="33"/>
        <v>https://d0f6bd738d7f1b3e5a7ca70fe4ff75f0.us-east-1.aws.found.io/app/kibana#/discover/Steve-Slow-Train-Analysis-(2080s-and-2083s)?_g=(refreshInterval:(display:Off,pause:!f,section:0,value:0),time:(from:'2017-05-12T12:49:55-0600',mode:absolute,to:'2017-05-12T15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5" s="192" t="str">
        <f t="shared" si="34"/>
        <v>Y</v>
      </c>
      <c r="X95" s="192">
        <f t="shared" si="27"/>
        <v>1</v>
      </c>
      <c r="Y95" s="192">
        <f t="shared" si="35"/>
        <v>1.9125000000000001</v>
      </c>
      <c r="Z95" s="192">
        <f t="shared" si="36"/>
        <v>23.332100000000001</v>
      </c>
      <c r="AA95" s="192">
        <f t="shared" si="37"/>
        <v>21.419599999999999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38"/>
        <v>0181-12</v>
      </c>
      <c r="AE95" s="80" t="str">
        <f t="shared" si="39"/>
        <v>aws s3 cp s3://rtdc.mdm.uploadarchive.raw/RTDC4046/ "%USERPROFILE%\AppData\Local\Temp\OnboardLogs"\RTDC4046\2017-05-12 --exclude "*" --recursive --include "*20170512*" &amp; "%USERPROFILE%\Documents\GitHub\mrs-test-scripts\Headless Mode &amp; Sideloading\WalkAndUnGZ.bat" "%USERPROFILE%\AppData\Local\Temp\OnboardLogs"\RTDC4046\2017-05-12 &amp; aws s3 cp s3://rtdc.mdm.uploadarchive.raw/RTDC4046/ "%USERPROFILE%\AppData\Local\Temp\OnboardLogs"\RTDC4046\2017-05-13 --exclude "*" --recursive --include "*20170513*" &amp; "%USERPROFILE%\Documents\GitHub\mrs-test-scripts\Headless Mode &amp; Sideloading\WalkAndUnGZ.bat" "%USERPROFILE%\AppData\Local\Temp\OnboardLogs"\RTDC4046\2017-05-13</v>
      </c>
      <c r="AF95" s="77" t="str">
        <f t="shared" si="40"/>
        <v>"C:\Program Files (x86)\AstroGrep\AstroGrep.exe" /e /r /s /spath="%USERPROFILE%\AppData\Local\Temp\OnboardLogs" /stypes="app*4046*20170512*" /stext=" 20:.+((SYSTEM_STATE.+slice.+state.+changed )|(ment ac)|(multiple cpu faults)|(system.+state.+changed )|(\[timeout)|(PRM\|1\|D)|(kpr)|(kdp)|(train st.+moving)|(\|lc)|(penalty))"</v>
      </c>
      <c r="AG95" s="1" t="str">
        <f t="shared" si="41"/>
        <v>EC</v>
      </c>
      <c r="AH95" s="81" t="str">
        <f t="shared" si="42"/>
        <v>"%USERPROFILE%\Documents\GitHub\eaglep3\Utilities\RefineRTDCRunTimes.py" --tripid 181-12 --locoid 4046 --swversion DE.1.0.9.0 --startMP 204:19125 --initTime 2017-05-12T13:49:55 --startdatetime 2017-05-12T13:51:13 --delay 1 --endMP 204:233321 --enddatetime 2017-05-12T14:21:40 --enforcementcount 0 &gt;&gt;C:\Users\stu\Documents\GitHub\eaglep3-reporting\EC\2017-05-12-refined-times.txt</v>
      </c>
      <c r="AI95" s="99" t="str">
        <f t="shared" si="43"/>
        <v>echo {"issue":{"subject":"Selected wrong track","project_id":79,"tracker_id":40,"status_id":1,"priority_id":2,"assigned_to_id":23,"start_date":"2017-05-12","description":"","custom_fields":[{"id":1,"name":"Subdivision","value":"EC"},{"id":4,"name":"Milepost","value":"23.3321"},{"id":17,"name":"Train ID","value":"181-12"},{"id":16,"name":"Locomotive ID","value":"4046"},{"id":130,"name":"Impact","value":""},{"id":150,"name":"Time of Event (Mountain Time)","value":"14:21:40"},{"id":151,"name":"Denver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5" t="str">
        <f t="shared" si="44"/>
        <v>start /low /b %USERPROFILE%\Documents\GitHub\eaglep3\Utilities\DownloadLogsFromS3.py --loco 4046 --day 2017-05-12</v>
      </c>
      <c r="AN95" s="154" t="str">
        <f t="shared" si="45"/>
        <v>echo {"issue":{"subject":"Selected wrong track","project_id":30,"tracker_id":4,"status_id":1,"priority_id":1,"assigned_to_id":10,"start_date":"2017-05-12","description":"","custom_fields":[{"id":30,"name":"Category","value":"Issue"},{"id":3,"name":"Functional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20:21:40"},{"id":29,"name":"Sharepoint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6" spans="1:91" s="20" customFormat="1" x14ac:dyDescent="0.25">
      <c r="A96" s="32" t="s">
        <v>705</v>
      </c>
      <c r="B96" s="7">
        <v>4046</v>
      </c>
      <c r="C96" s="21" t="s">
        <v>206</v>
      </c>
      <c r="D96" s="21" t="s">
        <v>386</v>
      </c>
      <c r="E96" s="13">
        <v>42867.571388888886</v>
      </c>
      <c r="F96" s="13">
        <v>42867.577233796299</v>
      </c>
      <c r="G96" s="7">
        <v>1</v>
      </c>
      <c r="H96" s="21" t="s">
        <v>864</v>
      </c>
      <c r="I96" s="13">
        <v>42867.598379629628</v>
      </c>
      <c r="J96" s="7">
        <v>0</v>
      </c>
      <c r="K96" s="92" t="str">
        <f t="shared" si="30"/>
        <v>4045/4046</v>
      </c>
      <c r="L96" s="21" t="str">
        <f>VLOOKUP(A96,'Trips&amp;Operators'!$C$1:$G$99999,5,FALSE)</f>
        <v>HELVIE ADAM</v>
      </c>
      <c r="M96" s="6">
        <f t="shared" si="31"/>
        <v>2.1145833328773733E-2</v>
      </c>
      <c r="N96" s="7"/>
      <c r="O96" s="7"/>
      <c r="P96" s="7"/>
      <c r="Q96" s="22"/>
      <c r="R96" s="190"/>
      <c r="S96" s="196"/>
      <c r="T96" s="190" t="str">
        <f t="shared" si="32"/>
        <v>NorthBound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0</v>
      </c>
      <c r="V96" s="191" t="str">
        <f t="shared" si="33"/>
        <v>https://d0f6bd738d7f1b3e5a7ca70fe4ff75f0.us-east-1.aws.found.io/app/kibana#/discover/Steve-Slow-Train-Analysis-(2080s-and-2083s)?_g=(refreshInterval:(display:Off,pause:!f,section:0,value:0),time:(from:'2017-05-12T12:42:48-0600',mode:absolute,to:'2017-05-12T15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6" s="192" t="str">
        <f t="shared" si="34"/>
        <v>Y</v>
      </c>
      <c r="X96" s="192">
        <f t="shared" si="27"/>
        <v>0</v>
      </c>
      <c r="Y96" s="192">
        <f t="shared" si="35"/>
        <v>4.5499999999999999E-2</v>
      </c>
      <c r="Z96" s="192">
        <f t="shared" si="36"/>
        <v>0.13239999999999999</v>
      </c>
      <c r="AA96" s="192">
        <f t="shared" si="37"/>
        <v>8.6899999999999991E-2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38"/>
        <v>0181-12</v>
      </c>
      <c r="AE96" s="80" t="str">
        <f t="shared" si="39"/>
        <v>aws s3 cp s3://rtdc.mdm.uploadarchive.raw/RTDC4046/ "%USERPROFILE%\AppData\Local\Temp\OnboardLogs"\RTDC4046\2017-05-12 --exclude "*" --recursive --include "*20170512*" &amp; "%USERPROFILE%\Documents\GitHub\mrs-test-scripts\Headless Mode &amp; Sideloading\WalkAndUnGZ.bat" "%USERPROFILE%\AppData\Local\Temp\OnboardLogs"\RTDC4046\2017-05-12 &amp; aws s3 cp s3://rtdc.mdm.uploadarchive.raw/RTDC4046/ "%USERPROFILE%\AppData\Local\Temp\OnboardLogs"\RTDC4046\2017-05-13 --exclude "*" --recursive --include "*20170513*" &amp; "%USERPROFILE%\Documents\GitHub\mrs-test-scripts\Headless Mode &amp; Sideloading\WalkAndUnGZ.bat" "%USERPROFILE%\AppData\Local\Temp\OnboardLogs"\RTDC4046\2017-05-13</v>
      </c>
      <c r="AF96" s="77" t="str">
        <f t="shared" si="40"/>
        <v>"C:\Program Files (x86)\AstroGrep\AstroGrep.exe" /e /r /s /spath="%USERPROFILE%\AppData\Local\Temp\OnboardLogs" /stypes="app*4046*20170512*" /stext=" 20:.+((SYSTEM_STATE.+slice.+state.+changed )|(ment ac)|(multiple cpu faults)|(system.+state.+changed )|(\[timeout)|(PRM\|1\|D)|(kpr)|(kdp)|(train st.+moving)|(\|lc)|(penalty))"</v>
      </c>
      <c r="AG96" s="1" t="str">
        <f t="shared" si="41"/>
        <v>EC</v>
      </c>
      <c r="AH96" s="81" t="str">
        <f t="shared" si="42"/>
        <v>"%USERPROFILE%\Documents\GitHub\eaglep3\Utilities\RefineRTDCRunTimes.py" --tripid 181-12 --locoid 4046 --swversion DE.1.0.9.0 --startMP 204:455 --initTime 2017-05-12T13:42:48 --startdatetime 2017-05-12T13:51:13 --delay 1 --endMP 204:1324 --enddatetime 2017-05-12T14:21:40 --enforcementcount 0 &gt;&gt;C:\Users\stu\Documents\GitHub\eaglep3-reporting\EC\2017-05-12-refined-times.txt</v>
      </c>
      <c r="AI96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{"issue":{"subject":"","project_id":79,"tracker_id":40,"status_id":1,"priority_id":2,"assigned_to_id":23,"start_date":"2017-05-12","description":"","custom_fields":[{"id":1,"name":"Subdivision","value":"EC"},{"id":4,"name":"Milepost","value":"0.1324"},{"id":17,"name":"Train ID","value":"181-12"},{"id":16,"name":"Locomotive ID","value":"4046"},{"id":130,"name":"Impact","value":""},{"id":150,"name":"Time of Event (Mountain Time)","value":"14:21:40"},{"id":151,"name":"Denver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44"/>
        <v>start /low /b %USERPROFILE%\Documents\GitHub\eaglep3\Utilities\DownloadLogsFromS3.py --loco 4046 --day 2017-05-12</v>
      </c>
      <c r="AN96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20:21:40"},{"id":29,"name":"Sharepoint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580</v>
      </c>
      <c r="B97" s="7">
        <v>4045</v>
      </c>
      <c r="C97" s="21" t="s">
        <v>206</v>
      </c>
      <c r="D97" s="21" t="s">
        <v>865</v>
      </c>
      <c r="E97" s="13">
        <v>42867.608414351853</v>
      </c>
      <c r="F97" s="13">
        <v>42867.611990740741</v>
      </c>
      <c r="G97" s="7">
        <v>1</v>
      </c>
      <c r="H97" s="21" t="s">
        <v>376</v>
      </c>
      <c r="I97" s="13">
        <v>42867.638043981482</v>
      </c>
      <c r="J97" s="7">
        <v>0</v>
      </c>
      <c r="K97" s="92" t="str">
        <f t="shared" si="30"/>
        <v>4045/4046</v>
      </c>
      <c r="L97" s="21" t="str">
        <f>VLOOKUP(A97,'Trips&amp;Operators'!$C$1:$G$99999,5,FALSE)</f>
        <v>HELVIE ADAM</v>
      </c>
      <c r="M97" s="6">
        <f t="shared" si="31"/>
        <v>2.6053240741021E-2</v>
      </c>
      <c r="N97" s="7">
        <f t="shared" ref="N97:N128" si="46">24*60*SUM($M97:$M97)</f>
        <v>37.51666666707024</v>
      </c>
      <c r="O97" s="7"/>
      <c r="P97" s="7"/>
      <c r="Q97" s="22"/>
      <c r="R97" s="190"/>
      <c r="S97" s="196">
        <f t="shared" ref="S97:S128" si="47">SUM(U97:U97)/IF(AG97="EC",12,1)</f>
        <v>1</v>
      </c>
      <c r="T97" s="190" t="str">
        <f t="shared" si="32"/>
        <v>Southbound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1" t="str">
        <f t="shared" si="33"/>
        <v>https://d0f6bd738d7f1b3e5a7ca70fe4ff75f0.us-east-1.aws.found.io/app/kibana#/discover/Steve-Slow-Train-Analysis-(2080s-and-2083s)?_g=(refreshInterval:(display:Off,pause:!f,section:0,value:0),time:(from:'2017-05-12T13:36:07-0600',mode:absolute,to:'2017-05-12T16:18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7" s="192" t="str">
        <f t="shared" si="34"/>
        <v>N</v>
      </c>
      <c r="X97" s="192">
        <f t="shared" si="27"/>
        <v>1</v>
      </c>
      <c r="Y97" s="192">
        <f t="shared" si="35"/>
        <v>23.297899999999998</v>
      </c>
      <c r="Z97" s="192">
        <f t="shared" si="36"/>
        <v>1.47E-2</v>
      </c>
      <c r="AA97" s="192">
        <f t="shared" si="37"/>
        <v>23.283199999999997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38"/>
        <v>0182-12</v>
      </c>
      <c r="AE97" s="80" t="str">
        <f t="shared" si="39"/>
        <v>aws s3 cp s3://rtdc.mdm.uploadarchive.raw/RTDC4045/ "%USERPROFILE%\AppData\Local\Temp\OnboardLogs"\RTDC4045\2017-05-12 --exclude "*" --recursive --include "*20170512*" &amp; "%USERPROFILE%\Documents\GitHub\mrs-test-scripts\Headless Mode &amp; Sideloading\WalkAndUnGZ.bat" "%USERPROFILE%\AppData\Local\Temp\OnboardLogs"\RTDC4045\2017-05-12 &amp; aws s3 cp s3://rtdc.mdm.uploadarchive.raw/RTDC4045/ "%USERPROFILE%\AppData\Local\Temp\OnboardLogs"\RTDC4045\2017-05-13 --exclude "*" --recursive --include "*20170513*" &amp; "%USERPROFILE%\Documents\GitHub\mrs-test-scripts\Headless Mode &amp; Sideloading\WalkAndUnGZ.bat" "%USERPROFILE%\AppData\Local\Temp\OnboardLogs"\RTDC4045\2017-05-13</v>
      </c>
      <c r="AF97" s="77" t="str">
        <f t="shared" si="40"/>
        <v>"C:\Program Files (x86)\AstroGrep\AstroGrep.exe" /e /r /s /spath="%USERPROFILE%\AppData\Local\Temp\OnboardLogs" /stypes="app*4045*20170512*" /stext=" 21:.+((SYSTEM_STATE.+slice.+state.+changed )|(ment ac)|(multiple cpu faults)|(system.+state.+changed )|(\[timeout)|(PRM\|1\|D)|(kpr)|(kdp)|(train st.+moving)|(\|lc)|(penalty))"</v>
      </c>
      <c r="AG97" s="1" t="str">
        <f t="shared" si="41"/>
        <v>EC</v>
      </c>
      <c r="AH97" s="81" t="str">
        <f t="shared" si="42"/>
        <v>"%USERPROFILE%\Documents\GitHub\eaglep3\Utilities\RefineRTDCRunTimes.py" --tripid 182-12 --locoid 4045 --swversion DE.1.0.9.0 --startMP 204:232979 --initTime 2017-05-12T14:36:07 --startdatetime 2017-05-12T14:41:16 --delay 1 --endMP 204:147 --enddatetime 2017-05-12T15:18:47 --enforcementcount 0 &gt;&gt;C:\Users\stu\Documents\GitHub\eaglep3-reporting\EC\2017-05-12-refined-times.txt</v>
      </c>
      <c r="AI97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{"issue":{"subject":"","project_id":79,"tracker_id":40,"status_id":1,"priority_id":2,"assigned_to_id":23,"start_date":"2017-05-12","description":"","custom_fields":[{"id":1,"name":"Subdivision","value":"EC"},{"id":4,"name":"Milepost","value":"0.0147"},{"id":17,"name":"Train ID","value":"182-12"},{"id":16,"name":"Locomotive ID","value":"4045"},{"id":130,"name":"Impact","value":""},{"id":150,"name":"Time of Event (Mountain Time)","value":"15:18:47"},{"id":151,"name":"Denver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44"/>
        <v>start /low /b %USERPROFILE%\Documents\GitHub\eaglep3\Utilities\DownloadLogsFromS3.py --loco 4045 --day 2017-05-12</v>
      </c>
      <c r="AN97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21:18:47"},{"id":29,"name":"Sharepoint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577</v>
      </c>
      <c r="B98" s="7">
        <v>4032</v>
      </c>
      <c r="C98" s="21" t="s">
        <v>206</v>
      </c>
      <c r="D98" s="21" t="s">
        <v>392</v>
      </c>
      <c r="E98" s="13">
        <v>42867.578668981485</v>
      </c>
      <c r="F98" s="13">
        <v>42867.583715277775</v>
      </c>
      <c r="G98" s="7">
        <v>1</v>
      </c>
      <c r="H98" s="21" t="s">
        <v>866</v>
      </c>
      <c r="I98" s="13">
        <v>42867.609722222223</v>
      </c>
      <c r="J98" s="7">
        <v>0</v>
      </c>
      <c r="K98" s="92" t="str">
        <f t="shared" si="30"/>
        <v>4031/4032</v>
      </c>
      <c r="L98" s="21" t="str">
        <f>VLOOKUP(A98,'Trips&amp;Operators'!$C$1:$G$99999,5,FALSE)</f>
        <v>BRANDNER MELINDA</v>
      </c>
      <c r="M98" s="6">
        <f t="shared" si="31"/>
        <v>2.6006944448454306E-2</v>
      </c>
      <c r="N98" s="7">
        <f t="shared" si="46"/>
        <v>37.4500000057742</v>
      </c>
      <c r="O98" s="7"/>
      <c r="P98" s="7"/>
      <c r="Q98" s="22"/>
      <c r="R98" s="190"/>
      <c r="S98" s="196">
        <f t="shared" si="47"/>
        <v>1</v>
      </c>
      <c r="T98" s="190" t="str">
        <f t="shared" si="32"/>
        <v>NorthBound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 t="shared" si="33"/>
        <v>https://d0f6bd738d7f1b3e5a7ca70fe4ff75f0.us-east-1.aws.found.io/app/kibana#/discover/Steve-Slow-Train-Analysis-(2080s-and-2083s)?_g=(refreshInterval:(display:Off,pause:!f,section:0,value:0),time:(from:'2017-05-12T12:53:17-0600',mode:absolute,to:'2017-05-12T15:38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8" s="192" t="str">
        <f t="shared" si="34"/>
        <v>N</v>
      </c>
      <c r="X98" s="192">
        <f t="shared" si="27"/>
        <v>1</v>
      </c>
      <c r="Y98" s="192">
        <f t="shared" si="35"/>
        <v>4.7800000000000002E-2</v>
      </c>
      <c r="Z98" s="192">
        <f t="shared" si="36"/>
        <v>23.341200000000001</v>
      </c>
      <c r="AA98" s="192">
        <f t="shared" si="37"/>
        <v>23.293400000000002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38"/>
        <v>0183-12</v>
      </c>
      <c r="AE98" s="80" t="str">
        <f t="shared" si="39"/>
        <v>aws s3 cp s3://rtdc.mdm.uploadarchive.raw/RTDC4032/ "%USERPROFILE%\AppData\Local\Temp\OnboardLogs"\RTDC4032\2017-05-12 --exclude "*" --recursive --include "*20170512*" &amp; "%USERPROFILE%\Documents\GitHub\mrs-test-scripts\Headless Mode &amp; Sideloading\WalkAndUnGZ.bat" "%USERPROFILE%\AppData\Local\Temp\OnboardLogs"\RTDC4032\2017-05-12 &amp; aws s3 cp s3://rtdc.mdm.uploadarchive.raw/RTDC4032/ "%USERPROFILE%\AppData\Local\Temp\OnboardLogs"\RTDC4032\2017-05-13 --exclude "*" --recursive --include "*20170513*" &amp; "%USERPROFILE%\Documents\GitHub\mrs-test-scripts\Headless Mode &amp; Sideloading\WalkAndUnGZ.bat" "%USERPROFILE%\AppData\Local\Temp\OnboardLogs"\RTDC4032\2017-05-13</v>
      </c>
      <c r="AF98" s="77" t="str">
        <f t="shared" si="40"/>
        <v>"C:\Program Files (x86)\AstroGrep\AstroGrep.exe" /e /r /s /spath="%USERPROFILE%\AppData\Local\Temp\OnboardLogs" /stypes="app*4032*20170512*" /stext=" 20:.+((SYSTEM_STATE.+slice.+state.+changed )|(ment ac)|(multiple cpu faults)|(system.+state.+changed )|(\[timeout)|(PRM\|1\|D)|(kpr)|(kdp)|(train st.+moving)|(\|lc)|(penalty))"</v>
      </c>
      <c r="AG98" s="1" t="str">
        <f t="shared" si="41"/>
        <v>EC</v>
      </c>
      <c r="AH98" s="81" t="str">
        <f t="shared" si="42"/>
        <v>"%USERPROFILE%\Documents\GitHub\eaglep3\Utilities\RefineRTDCRunTimes.py" --tripid 183-12 --locoid 4032 --swversion DE.1.0.9.0 --startMP 204:478 --initTime 2017-05-12T13:53:17 --startdatetime 2017-05-12T14:00:33 --delay 1 --endMP 204:233412 --enddatetime 2017-05-12T14:38:00 --enforcementcount 0 &gt;&gt;C:\Users\stu\Documents\GitHub\eaglep3-reporting\EC\2017-05-12-refined-times.txt</v>
      </c>
      <c r="AI98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{"issue":{"subject":"","project_id":79,"tracker_id":40,"status_id":1,"priority_id":2,"assigned_to_id":23,"start_date":"2017-05-12","description":"","custom_fields":[{"id":1,"name":"Subdivision","value":"EC"},{"id":4,"name":"Milepost","value":"23.3412"},{"id":17,"name":"Train ID","value":"183-12"},{"id":16,"name":"Locomotive ID","value":"4032"},{"id":130,"name":"Impact","value":""},{"id":150,"name":"Time of Event (Mountain Time)","value":"14:38:00"},{"id":151,"name":"Denver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44"/>
        <v>start /low /b %USERPROFILE%\Documents\GitHub\eaglep3\Utilities\DownloadLogsFromS3.py --loco 4032 --day 2017-05-12</v>
      </c>
      <c r="AN98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20:38:00"},{"id":29,"name":"Sharepoint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581</v>
      </c>
      <c r="B99" s="7">
        <v>4031</v>
      </c>
      <c r="C99" s="21" t="s">
        <v>206</v>
      </c>
      <c r="D99" s="21" t="s">
        <v>867</v>
      </c>
      <c r="E99" s="13">
        <v>42867.616898148146</v>
      </c>
      <c r="F99" s="13">
        <v>42867.622395833336</v>
      </c>
      <c r="G99" s="7">
        <v>1</v>
      </c>
      <c r="H99" s="21" t="s">
        <v>358</v>
      </c>
      <c r="I99" s="13">
        <v>42867.651319444441</v>
      </c>
      <c r="J99" s="7">
        <v>0</v>
      </c>
      <c r="K99" s="92" t="str">
        <f t="shared" si="30"/>
        <v>4031/4032</v>
      </c>
      <c r="L99" s="21" t="str">
        <f>VLOOKUP(A99,'Trips&amp;Operators'!$C$1:$G$99999,5,FALSE)</f>
        <v>BRANDNER MELINDA</v>
      </c>
      <c r="M99" s="6">
        <f t="shared" si="31"/>
        <v>2.8923611105710734E-2</v>
      </c>
      <c r="N99" s="7">
        <f t="shared" si="46"/>
        <v>41.649999992223457</v>
      </c>
      <c r="O99" s="7"/>
      <c r="P99" s="7"/>
      <c r="Q99" s="22"/>
      <c r="R99" s="190"/>
      <c r="S99" s="196">
        <f t="shared" si="47"/>
        <v>1</v>
      </c>
      <c r="T99" s="190" t="str">
        <f t="shared" si="32"/>
        <v>Southbound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1" t="str">
        <f t="shared" si="33"/>
        <v>https://d0f6bd738d7f1b3e5a7ca70fe4ff75f0.us-east-1.aws.found.io/app/kibana#/discover/Steve-Slow-Train-Analysis-(2080s-and-2083s)?_g=(refreshInterval:(display:Off,pause:!f,section:0,value:0),time:(from:'2017-05-12T13:48:20-0600',mode:absolute,to:'2017-05-12T16:37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9" s="192" t="str">
        <f t="shared" si="34"/>
        <v>N</v>
      </c>
      <c r="X99" s="192">
        <f t="shared" si="27"/>
        <v>1</v>
      </c>
      <c r="Y99" s="192">
        <f t="shared" si="35"/>
        <v>23.3078</v>
      </c>
      <c r="Z99" s="192">
        <f t="shared" si="36"/>
        <v>1.4999999999999999E-2</v>
      </c>
      <c r="AA99" s="192">
        <f t="shared" si="37"/>
        <v>23.2928</v>
      </c>
      <c r="AB99" s="57" t="str">
        <f>VLOOKUP(A99,Enforcements!$C$7:$K$13,8,0)</f>
        <v>Bulletin (2)</v>
      </c>
      <c r="AC99" s="53" t="str">
        <f>VLOOKUP(A99,Enforcements!$C$7:$E$13,3,0)</f>
        <v>GRADE CROSSING</v>
      </c>
      <c r="AD99" s="54" t="str">
        <f t="shared" si="38"/>
        <v>0184-12</v>
      </c>
      <c r="AE99" s="80" t="str">
        <f t="shared" si="39"/>
        <v>aws s3 cp s3://rtdc.mdm.uploadarchive.raw/RTDC4031/ "%USERPROFILE%\AppData\Local\Temp\OnboardLogs"\RTDC4031\2017-05-12 --exclude "*" --recursive --include "*20170512*" &amp; "%USERPROFILE%\Documents\GitHub\mrs-test-scripts\Headless Mode &amp; Sideloading\WalkAndUnGZ.bat" "%USERPROFILE%\AppData\Local\Temp\OnboardLogs"\RTDC4031\2017-05-12 &amp; aws s3 cp s3://rtdc.mdm.uploadarchive.raw/RTDC4031/ "%USERPROFILE%\AppData\Local\Temp\OnboardLogs"\RTDC4031\2017-05-13 --exclude "*" --recursive --include "*20170513*" &amp; "%USERPROFILE%\Documents\GitHub\mrs-test-scripts\Headless Mode &amp; Sideloading\WalkAndUnGZ.bat" "%USERPROFILE%\AppData\Local\Temp\OnboardLogs"\RTDC4031\2017-05-13</v>
      </c>
      <c r="AF99" s="77" t="str">
        <f t="shared" si="40"/>
        <v>"C:\Program Files (x86)\AstroGrep\AstroGrep.exe" /e /r /s /spath="%USERPROFILE%\AppData\Local\Temp\OnboardLogs" /stypes="app*4031*20170512*" /stext=" 21:.+((SYSTEM_STATE.+slice.+state.+changed )|(ment ac)|(multiple cpu faults)|(system.+state.+changed )|(\[timeout)|(PRM\|1\|D)|(kpr)|(kdp)|(train st.+moving)|(\|lc)|(penalty))"</v>
      </c>
      <c r="AG99" s="1" t="str">
        <f t="shared" si="41"/>
        <v>EC</v>
      </c>
      <c r="AH99" s="81" t="str">
        <f t="shared" si="42"/>
        <v>"%USERPROFILE%\Documents\GitHub\eaglep3\Utilities\RefineRTDCRunTimes.py" --tripid 184-12 --locoid 4031 --swversion DE.1.0.9.0 --startMP 204:233078 --initTime 2017-05-12T14:48:20 --startdatetime 2017-05-12T14:56:15 --delay 1 --endMP 204:150 --enddatetime 2017-05-12T15:37:54 --enforcementcount 0 &gt;&gt;C:\Users\stu\Documents\GitHub\eaglep3-reporting\EC\2017-05-12-refined-times.txt</v>
      </c>
      <c r="AI99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{"issue":{"subject":"","project_id":79,"tracker_id":40,"status_id":1,"priority_id":2,"assigned_to_id":23,"start_date":"2017-05-12","description":"","custom_fields":[{"id":1,"name":"Subdivision","value":"EC"},{"id":4,"name":"Milepost","value":"0.015"},{"id":17,"name":"Train ID","value":"184-12"},{"id":16,"name":"Locomotive ID","value":"4031"},{"id":130,"name":"Impact","value":""},{"id":150,"name":"Time of Event (Mountain Time)","value":"15:37:54"},{"id":151,"name":"Denver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44"/>
        <v>start /low /b %USERPROFILE%\Documents\GitHub\eaglep3\Utilities\DownloadLogsFromS3.py --loco 4031 --day 2017-05-12</v>
      </c>
      <c r="AN99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21:37:54"},{"id":29,"name":"Sharepoint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710</v>
      </c>
      <c r="B100" s="7">
        <v>4012</v>
      </c>
      <c r="C100" s="21" t="s">
        <v>206</v>
      </c>
      <c r="D100" s="21" t="s">
        <v>433</v>
      </c>
      <c r="E100" s="13">
        <v>42867.59138888889</v>
      </c>
      <c r="F100" s="13">
        <v>42867.5940162037</v>
      </c>
      <c r="G100" s="7">
        <v>1</v>
      </c>
      <c r="H100" s="21" t="s">
        <v>487</v>
      </c>
      <c r="I100" s="13">
        <v>42867.618923611109</v>
      </c>
      <c r="J100" s="7">
        <v>0</v>
      </c>
      <c r="K100" s="92" t="str">
        <f t="shared" si="30"/>
        <v>4011/4012</v>
      </c>
      <c r="L100" s="21" t="str">
        <f>VLOOKUP(A100,'Trips&amp;Operators'!$C$1:$G$99999,5,FALSE)</f>
        <v>MOSES BRADLEY</v>
      </c>
      <c r="M100" s="6">
        <f t="shared" si="31"/>
        <v>2.4907407409045845E-2</v>
      </c>
      <c r="N100" s="7">
        <f t="shared" si="46"/>
        <v>35.866666669026017</v>
      </c>
      <c r="O100" s="7"/>
      <c r="P100" s="7"/>
      <c r="Q100" s="22"/>
      <c r="R100" s="190"/>
      <c r="S100" s="196">
        <f t="shared" si="47"/>
        <v>1</v>
      </c>
      <c r="T100" s="190" t="str">
        <f t="shared" si="32"/>
        <v>NorthBound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1" t="str">
        <f t="shared" si="33"/>
        <v>https://d0f6bd738d7f1b3e5a7ca70fe4ff75f0.us-east-1.aws.found.io/app/kibana#/discover/Steve-Slow-Train-Analysis-(2080s-and-2083s)?_g=(refreshInterval:(display:Off,pause:!f,section:0,value:0),time:(from:'2017-05-12T13:11:36-0600',mode:absolute,to:'2017-05-12T15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0" s="192" t="str">
        <f t="shared" si="34"/>
        <v>N</v>
      </c>
      <c r="X100" s="192">
        <f t="shared" si="27"/>
        <v>1</v>
      </c>
      <c r="Y100" s="192">
        <f t="shared" si="35"/>
        <v>4.6199999999999998E-2</v>
      </c>
      <c r="Z100" s="192">
        <f t="shared" si="36"/>
        <v>23.335899999999999</v>
      </c>
      <c r="AA100" s="192">
        <f t="shared" si="37"/>
        <v>23.2897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38"/>
        <v>0185-12</v>
      </c>
      <c r="AE100" s="80" t="str">
        <f t="shared" si="39"/>
        <v>aws s3 cp s3://rtdc.mdm.uploadarchive.raw/RTDC4012/ "%USERPROFILE%\AppData\Local\Temp\OnboardLogs"\RTDC4012\2017-05-12 --exclude "*" --recursive --include "*20170512*" &amp; "%USERPROFILE%\Documents\GitHub\mrs-test-scripts\Headless Mode &amp; Sideloading\WalkAndUnGZ.bat" "%USERPROFILE%\AppData\Local\Temp\OnboardLogs"\RTDC4012\2017-05-12 &amp; aws s3 cp s3://rtdc.mdm.uploadarchive.raw/RTDC4012/ "%USERPROFILE%\AppData\Local\Temp\OnboardLogs"\RTDC4012\2017-05-13 --exclude "*" --recursive --include "*20170513*" &amp; "%USERPROFILE%\Documents\GitHub\mrs-test-scripts\Headless Mode &amp; Sideloading\WalkAndUnGZ.bat" "%USERPROFILE%\AppData\Local\Temp\OnboardLogs"\RTDC4012\2017-05-13</v>
      </c>
      <c r="AF100" s="77" t="str">
        <f t="shared" si="40"/>
        <v>"C:\Program Files (x86)\AstroGrep\AstroGrep.exe" /e /r /s /spath="%USERPROFILE%\AppData\Local\Temp\OnboardLogs" /stypes="app*4012*20170512*" /stext=" 20:.+((SYSTEM_STATE.+slice.+state.+changed )|(ment ac)|(multiple cpu faults)|(system.+state.+changed )|(\[timeout)|(PRM\|1\|D)|(kpr)|(kdp)|(train st.+moving)|(\|lc)|(penalty))"</v>
      </c>
      <c r="AG100" s="1" t="str">
        <f t="shared" si="41"/>
        <v>EC</v>
      </c>
      <c r="AH100" s="81" t="str">
        <f t="shared" si="42"/>
        <v>"%USERPROFILE%\Documents\GitHub\eaglep3\Utilities\RefineRTDCRunTimes.py" --tripid 185-12 --locoid 4012 --swversion DE.1.0.9.0 --startMP 204:462 --initTime 2017-05-12T14:11:36 --startdatetime 2017-05-12T14:15:23 --delay 1 --endMP 204:233359 --enddatetime 2017-05-12T14:51:15 --enforcementcount 0 &gt;&gt;C:\Users\stu\Documents\GitHub\eaglep3-reporting\EC\2017-05-12-refined-times.txt</v>
      </c>
      <c r="AI100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{"issue":{"subject":"","project_id":79,"tracker_id":40,"status_id":1,"priority_id":2,"assigned_to_id":23,"start_date":"2017-05-12","description":"","custom_fields":[{"id":1,"name":"Subdivision","value":"EC"},{"id":4,"name":"Milepost","value":"23.3359"},{"id":17,"name":"Train ID","value":"185-12"},{"id":16,"name":"Locomotive ID","value":"4012"},{"id":130,"name":"Impact","value":""},{"id":150,"name":"Time of Event (Mountain Time)","value":"14:51:15"},{"id":151,"name":"Denver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44"/>
        <v>start /low /b %USERPROFILE%\Documents\GitHub\eaglep3\Utilities\DownloadLogsFromS3.py --loco 4012 --day 2017-05-12</v>
      </c>
      <c r="AN100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20:51:15"},{"id":29,"name":"Sharepoint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715</v>
      </c>
      <c r="B101" s="7">
        <v>4011</v>
      </c>
      <c r="C101" s="21" t="s">
        <v>206</v>
      </c>
      <c r="D101" s="21" t="s">
        <v>868</v>
      </c>
      <c r="E101" s="13">
        <v>42867.628993055558</v>
      </c>
      <c r="F101" s="13">
        <v>42867.633020833331</v>
      </c>
      <c r="G101" s="7">
        <v>2</v>
      </c>
      <c r="H101" s="21" t="s">
        <v>524</v>
      </c>
      <c r="I101" s="13">
        <v>42867.659988425927</v>
      </c>
      <c r="J101" s="7">
        <v>0</v>
      </c>
      <c r="K101" s="92" t="str">
        <f t="shared" si="30"/>
        <v>4011/4012</v>
      </c>
      <c r="L101" s="21" t="str">
        <f>VLOOKUP(A101,'Trips&amp;Operators'!$C$1:$G$99999,5,FALSE)</f>
        <v>MOSES BRADLEY</v>
      </c>
      <c r="M101" s="6">
        <f t="shared" si="31"/>
        <v>2.6967592595610768E-2</v>
      </c>
      <c r="N101" s="7">
        <f t="shared" si="46"/>
        <v>38.833333337679505</v>
      </c>
      <c r="O101" s="7"/>
      <c r="P101" s="7"/>
      <c r="Q101" s="22"/>
      <c r="R101" s="190"/>
      <c r="S101" s="196">
        <f t="shared" si="47"/>
        <v>1</v>
      </c>
      <c r="T101" s="190" t="str">
        <f t="shared" si="32"/>
        <v>Southbound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1" t="str">
        <f t="shared" si="33"/>
        <v>https://d0f6bd738d7f1b3e5a7ca70fe4ff75f0.us-east-1.aws.found.io/app/kibana#/discover/Steve-Slow-Train-Analysis-(2080s-and-2083s)?_g=(refreshInterval:(display:Off,pause:!f,section:0,value:0),time:(from:'2017-05-12T14:05:45-0600',mode:absolute,to:'2017-05-12T16:50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1" s="192" t="str">
        <f t="shared" si="34"/>
        <v>N</v>
      </c>
      <c r="X101" s="192">
        <f t="shared" si="27"/>
        <v>1</v>
      </c>
      <c r="Y101" s="192">
        <f t="shared" si="35"/>
        <v>23.303799999999999</v>
      </c>
      <c r="Z101" s="192">
        <f t="shared" si="36"/>
        <v>1.54E-2</v>
      </c>
      <c r="AA101" s="192">
        <f t="shared" si="37"/>
        <v>23.288399999999999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38"/>
        <v>0186-12</v>
      </c>
      <c r="AE101" s="80" t="str">
        <f t="shared" si="39"/>
        <v>aws s3 cp s3://rtdc.mdm.uploadarchive.raw/RTDC4011/ "%USERPROFILE%\AppData\Local\Temp\OnboardLogs"\RTDC4011\2017-05-12 --exclude "*" --recursive --include "*20170512*" &amp; "%USERPROFILE%\Documents\GitHub\mrs-test-scripts\Headless Mode &amp; Sideloading\WalkAndUnGZ.bat" "%USERPROFILE%\AppData\Local\Temp\OnboardLogs"\RTDC4011\2017-05-12 &amp; aws s3 cp s3://rtdc.mdm.uploadarchive.raw/RTDC4011/ "%USERPROFILE%\AppData\Local\Temp\OnboardLogs"\RTDC4011\2017-05-13 --exclude "*" --recursive --include "*20170513*" &amp; "%USERPROFILE%\Documents\GitHub\mrs-test-scripts\Headless Mode &amp; Sideloading\WalkAndUnGZ.bat" "%USERPROFILE%\AppData\Local\Temp\OnboardLogs"\RTDC4011\2017-05-13</v>
      </c>
      <c r="AF101" s="77" t="str">
        <f t="shared" si="40"/>
        <v>"C:\Program Files (x86)\AstroGrep\AstroGrep.exe" /e /r /s /spath="%USERPROFILE%\AppData\Local\Temp\OnboardLogs" /stypes="app*4011*20170512*" /stext=" 21:.+((SYSTEM_STATE.+slice.+state.+changed )|(ment ac)|(multiple cpu faults)|(system.+state.+changed )|(\[timeout)|(PRM\|1\|D)|(kpr)|(kdp)|(train st.+moving)|(\|lc)|(penalty))"</v>
      </c>
      <c r="AG101" s="1" t="str">
        <f t="shared" si="41"/>
        <v>EC</v>
      </c>
      <c r="AH101" s="81" t="str">
        <f t="shared" si="42"/>
        <v>"%USERPROFILE%\Documents\GitHub\eaglep3\Utilities\RefineRTDCRunTimes.py" --tripid 186-12 --locoid 4011 --swversion DE.1.0.9.0 --startMP 204:233038 --initTime 2017-05-12T15:05:45 --startdatetime 2017-05-12T15:11:33 --delay 2 --endMP 204:154 --enddatetime 2017-05-12T15:50:23 --enforcementcount 0 &gt;&gt;C:\Users\stu\Documents\GitHub\eaglep3-reporting\EC\2017-05-12-refined-times.txt</v>
      </c>
      <c r="AI101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{"issue":{"subject":"","project_id":79,"tracker_id":40,"status_id":1,"priority_id":2,"assigned_to_id":23,"start_date":"2017-05-12","description":"","custom_fields":[{"id":1,"name":"Subdivision","value":"EC"},{"id":4,"name":"Milepost","value":"0.0154"},{"id":17,"name":"Train ID","value":"186-12"},{"id":16,"name":"Locomotive ID","value":"4011"},{"id":130,"name":"Impact","value":""},{"id":150,"name":"Time of Event (Mountain Time)","value":"15:50:23"},{"id":151,"name":"Denver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44"/>
        <v>start /low /b %USERPROFILE%\Documents\GitHub\eaglep3\Utilities\DownloadLogsFromS3.py --loco 4011 --day 2017-05-12</v>
      </c>
      <c r="AN101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21:50:23"},{"id":29,"name":"Sharepoint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711</v>
      </c>
      <c r="B102" s="7">
        <v>4014</v>
      </c>
      <c r="C102" s="21" t="s">
        <v>206</v>
      </c>
      <c r="D102" s="21" t="s">
        <v>355</v>
      </c>
      <c r="E102" s="13">
        <v>42867.600347222222</v>
      </c>
      <c r="F102" s="13">
        <v>42867.604398148149</v>
      </c>
      <c r="G102" s="7">
        <v>1</v>
      </c>
      <c r="H102" s="21" t="s">
        <v>869</v>
      </c>
      <c r="I102" s="13">
        <v>42867.628796296296</v>
      </c>
      <c r="J102" s="7">
        <v>0</v>
      </c>
      <c r="K102" s="92" t="str">
        <f t="shared" si="30"/>
        <v>4013/4014</v>
      </c>
      <c r="L102" s="21" t="str">
        <f>VLOOKUP(A102,'Trips&amp;Operators'!$C$1:$G$99999,5,FALSE)</f>
        <v>STEWART MICHAEL</v>
      </c>
      <c r="M102" s="6">
        <f t="shared" si="31"/>
        <v>2.4398148147156462E-2</v>
      </c>
      <c r="N102" s="7">
        <f t="shared" si="46"/>
        <v>35.133333331905305</v>
      </c>
      <c r="O102" s="7"/>
      <c r="P102" s="7"/>
      <c r="Q102" s="22"/>
      <c r="R102" s="190"/>
      <c r="S102" s="196">
        <f t="shared" si="47"/>
        <v>1</v>
      </c>
      <c r="T102" s="190" t="str">
        <f t="shared" si="32"/>
        <v>NorthBound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 t="shared" si="33"/>
        <v>https://d0f6bd738d7f1b3e5a7ca70fe4ff75f0.us-east-1.aws.found.io/app/kibana#/discover/Steve-Slow-Train-Analysis-(2080s-and-2083s)?_g=(refreshInterval:(display:Off,pause:!f,section:0,value:0),time:(from:'2017-05-12T13:24:30-0600',mode:absolute,to:'2017-05-12T16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2" s="192" t="str">
        <f t="shared" si="34"/>
        <v>N</v>
      </c>
      <c r="X102" s="192">
        <f t="shared" si="27"/>
        <v>1</v>
      </c>
      <c r="Y102" s="192">
        <f t="shared" si="35"/>
        <v>4.58E-2</v>
      </c>
      <c r="Z102" s="192">
        <f t="shared" si="36"/>
        <v>23.3278</v>
      </c>
      <c r="AA102" s="192">
        <f t="shared" si="37"/>
        <v>23.282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38"/>
        <v>0187-12</v>
      </c>
      <c r="AE102" s="80" t="str">
        <f t="shared" si="39"/>
        <v>aws s3 cp s3://rtdc.mdm.uploadarchive.raw/RTDC4014/ "%USERPROFILE%\AppData\Local\Temp\OnboardLogs"\RTDC4014\2017-05-12 --exclude "*" --recursive --include "*20170512*" &amp; "%USERPROFILE%\Documents\GitHub\mrs-test-scripts\Headless Mode &amp; Sideloading\WalkAndUnGZ.bat" "%USERPROFILE%\AppData\Local\Temp\OnboardLogs"\RTDC4014\2017-05-12 &amp; aws s3 cp s3://rtdc.mdm.uploadarchive.raw/RTDC4014/ "%USERPROFILE%\AppData\Local\Temp\OnboardLogs"\RTDC4014\2017-05-13 --exclude "*" --recursive --include "*20170513*" &amp; "%USERPROFILE%\Documents\GitHub\mrs-test-scripts\Headless Mode &amp; Sideloading\WalkAndUnGZ.bat" "%USERPROFILE%\AppData\Local\Temp\OnboardLogs"\RTDC4014\2017-05-13</v>
      </c>
      <c r="AF102" s="77" t="str">
        <f t="shared" si="40"/>
        <v>"C:\Program Files (x86)\AstroGrep\AstroGrep.exe" /e /r /s /spath="%USERPROFILE%\AppData\Local\Temp\OnboardLogs" /stypes="app*4014*20170512*" /stext=" 21:.+((SYSTEM_STATE.+slice.+state.+changed )|(ment ac)|(multiple cpu faults)|(system.+state.+changed )|(\[timeout)|(PRM\|1\|D)|(kpr)|(kdp)|(train st.+moving)|(\|lc)|(penalty))"</v>
      </c>
      <c r="AG102" s="1" t="str">
        <f t="shared" si="41"/>
        <v>EC</v>
      </c>
      <c r="AH102" s="81" t="str">
        <f t="shared" si="42"/>
        <v>"%USERPROFILE%\Documents\GitHub\eaglep3\Utilities\RefineRTDCRunTimes.py" --tripid 187-12 --locoid 4014 --swversion DE.1.0.9.0 --startMP 204:458 --initTime 2017-05-12T14:24:30 --startdatetime 2017-05-12T14:30:20 --delay 1 --endMP 204:233278 --enddatetime 2017-05-12T15:05:28 --enforcementcount 0 &gt;&gt;C:\Users\stu\Documents\GitHub\eaglep3-reporting\EC\2017-05-12-refined-times.txt</v>
      </c>
      <c r="AI102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{"issue":{"subject":"","project_id":79,"tracker_id":40,"status_id":1,"priority_id":2,"assigned_to_id":23,"start_date":"2017-05-12","description":"","custom_fields":[{"id":1,"name":"Subdivision","value":"EC"},{"id":4,"name":"Milepost","value":"23.3278"},{"id":17,"name":"Train ID","value":"187-12"},{"id":16,"name":"Locomotive ID","value":"4014"},{"id":130,"name":"Impact","value":""},{"id":150,"name":"Time of Event (Mountain Time)","value":"15:05:28"},{"id":151,"name":"Denver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44"/>
        <v>start /low /b %USERPROFILE%\Documents\GitHub\eaglep3\Utilities\DownloadLogsFromS3.py --loco 4014 --day 2017-05-12</v>
      </c>
      <c r="AN102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21:05:28"},{"id":29,"name":"Sharepoint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718</v>
      </c>
      <c r="B103" s="7">
        <v>4013</v>
      </c>
      <c r="C103" s="21" t="s">
        <v>206</v>
      </c>
      <c r="D103" s="21" t="s">
        <v>827</v>
      </c>
      <c r="E103" s="13">
        <v>42867.63921296296</v>
      </c>
      <c r="F103" s="13">
        <v>42867.643275462964</v>
      </c>
      <c r="G103" s="7">
        <v>2</v>
      </c>
      <c r="H103" s="21" t="s">
        <v>358</v>
      </c>
      <c r="I103" s="13">
        <v>42867.670729166668</v>
      </c>
      <c r="J103" s="7">
        <v>0</v>
      </c>
      <c r="K103" s="92" t="str">
        <f t="shared" si="30"/>
        <v>4013/4014</v>
      </c>
      <c r="L103" s="21" t="str">
        <f>VLOOKUP(A103,'Trips&amp;Operators'!$C$1:$G$99999,5,FALSE)</f>
        <v>STEWART MICHAEL</v>
      </c>
      <c r="M103" s="6">
        <f t="shared" si="31"/>
        <v>2.7453703703940846E-2</v>
      </c>
      <c r="N103" s="7">
        <f t="shared" si="46"/>
        <v>39.533333333674818</v>
      </c>
      <c r="O103" s="7"/>
      <c r="P103" s="7"/>
      <c r="Q103" s="22"/>
      <c r="R103" s="190"/>
      <c r="S103" s="196">
        <f t="shared" si="47"/>
        <v>1</v>
      </c>
      <c r="T103" s="190" t="str">
        <f t="shared" si="32"/>
        <v>Southbound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1" t="str">
        <f t="shared" si="33"/>
        <v>https://d0f6bd738d7f1b3e5a7ca70fe4ff75f0.us-east-1.aws.found.io/app/kibana#/discover/Steve-Slow-Train-Analysis-(2080s-and-2083s)?_g=(refreshInterval:(display:Off,pause:!f,section:0,value:0),time:(from:'2017-05-12T14:20:28-0600',mode:absolute,to:'2017-05-12T17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3" s="192" t="str">
        <f t="shared" si="34"/>
        <v>N</v>
      </c>
      <c r="X103" s="192">
        <f t="shared" si="27"/>
        <v>1</v>
      </c>
      <c r="Y103" s="192">
        <f t="shared" si="35"/>
        <v>23.2971</v>
      </c>
      <c r="Z103" s="192">
        <f t="shared" si="36"/>
        <v>1.4999999999999999E-2</v>
      </c>
      <c r="AA103" s="192">
        <f t="shared" si="37"/>
        <v>23.2821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38"/>
        <v>0188-12</v>
      </c>
      <c r="AE103" s="80" t="str">
        <f t="shared" si="39"/>
        <v>aws s3 cp s3://rtdc.mdm.uploadarchive.raw/RTDC4013/ "%USERPROFILE%\AppData\Local\Temp\OnboardLogs"\RTDC4013\2017-05-12 --exclude "*" --recursive --include "*20170512*" &amp; "%USERPROFILE%\Documents\GitHub\mrs-test-scripts\Headless Mode &amp; Sideloading\WalkAndUnGZ.bat" "%USERPROFILE%\AppData\Local\Temp\OnboardLogs"\RTDC4013\2017-05-12 &amp; aws s3 cp s3://rtdc.mdm.uploadarchive.raw/RTDC4013/ "%USERPROFILE%\AppData\Local\Temp\OnboardLogs"\RTDC4013\2017-05-13 --exclude "*" --recursive --include "*20170513*" &amp; "%USERPROFILE%\Documents\GitHub\mrs-test-scripts\Headless Mode &amp; Sideloading\WalkAndUnGZ.bat" "%USERPROFILE%\AppData\Local\Temp\OnboardLogs"\RTDC4013\2017-05-13</v>
      </c>
      <c r="AF103" s="77" t="str">
        <f t="shared" si="40"/>
        <v>"C:\Program Files (x86)\AstroGrep\AstroGrep.exe" /e /r /s /spath="%USERPROFILE%\AppData\Local\Temp\OnboardLogs" /stypes="app*4013*20170512*" /stext=" 22:.+((SYSTEM_STATE.+slice.+state.+changed )|(ment ac)|(multiple cpu faults)|(system.+state.+changed )|(\[timeout)|(PRM\|1\|D)|(kpr)|(kdp)|(train st.+moving)|(\|lc)|(penalty))"</v>
      </c>
      <c r="AG103" s="1" t="str">
        <f t="shared" si="41"/>
        <v>EC</v>
      </c>
      <c r="AH103" s="81" t="str">
        <f t="shared" si="42"/>
        <v>"%USERPROFILE%\Documents\GitHub\eaglep3\Utilities\RefineRTDCRunTimes.py" --tripid 188-12 --locoid 4013 --swversion DE.1.0.9.0 --startMP 204:232971 --initTime 2017-05-12T15:20:28 --startdatetime 2017-05-12T15:26:19 --delay 2 --endMP 204:150 --enddatetime 2017-05-12T16:05:51 --enforcementcount 0 &gt;&gt;C:\Users\stu\Documents\GitHub\eaglep3-reporting\EC\2017-05-12-refined-times.txt</v>
      </c>
      <c r="AI103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{"issue":{"subject":"","project_id":79,"tracker_id":40,"status_id":1,"priority_id":2,"assigned_to_id":23,"start_date":"2017-05-12","description":"","custom_fields":[{"id":1,"name":"Subdivision","value":"EC"},{"id":4,"name":"Milepost","value":"0.015"},{"id":17,"name":"Train ID","value":"188-12"},{"id":16,"name":"Locomotive ID","value":"4013"},{"id":130,"name":"Impact","value":""},{"id":150,"name":"Time of Event (Mountain Time)","value":"16:05:51"},{"id":151,"name":"Denver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44"/>
        <v>start /low /b %USERPROFILE%\Documents\GitHub\eaglep3\Utilities\DownloadLogsFromS3.py --loco 4013 --day 2017-05-12</v>
      </c>
      <c r="AN103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22:05:51"},{"id":29,"name":"Sharepoint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582</v>
      </c>
      <c r="B104" s="7">
        <v>4022</v>
      </c>
      <c r="C104" s="21" t="s">
        <v>206</v>
      </c>
      <c r="D104" s="21" t="s">
        <v>488</v>
      </c>
      <c r="E104" s="13">
        <v>42867.609409722223</v>
      </c>
      <c r="F104" s="13">
        <v>42867.614768518521</v>
      </c>
      <c r="G104" s="7">
        <v>2</v>
      </c>
      <c r="H104" s="21" t="s">
        <v>870</v>
      </c>
      <c r="I104" s="13">
        <v>42867.639456018522</v>
      </c>
      <c r="J104" s="7">
        <v>0</v>
      </c>
      <c r="K104" s="92" t="str">
        <f t="shared" si="30"/>
        <v>4021/4022</v>
      </c>
      <c r="L104" s="21" t="str">
        <f>VLOOKUP(A104,'Trips&amp;Operators'!$C$1:$G$99999,5,FALSE)</f>
        <v>ROMERO CHAD</v>
      </c>
      <c r="M104" s="6">
        <f t="shared" si="31"/>
        <v>2.4687500001164153E-2</v>
      </c>
      <c r="N104" s="7">
        <f t="shared" si="46"/>
        <v>35.550000001676381</v>
      </c>
      <c r="O104" s="7"/>
      <c r="P104" s="7"/>
      <c r="Q104" s="22"/>
      <c r="R104" s="190"/>
      <c r="S104" s="196">
        <f t="shared" si="47"/>
        <v>1</v>
      </c>
      <c r="T104" s="190" t="str">
        <f t="shared" si="32"/>
        <v>NorthBound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1" t="str">
        <f t="shared" si="33"/>
        <v>https://d0f6bd738d7f1b3e5a7ca70fe4ff75f0.us-east-1.aws.found.io/app/kibana#/discover/Steve-Slow-Train-Analysis-(2080s-and-2083s)?_g=(refreshInterval:(display:Off,pause:!f,section:0,value:0),time:(from:'2017-05-12T13:37:33-0600',mode:absolute,to:'2017-05-12T16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4" s="192" t="str">
        <f t="shared" si="34"/>
        <v>N</v>
      </c>
      <c r="X104" s="192">
        <f t="shared" si="27"/>
        <v>1</v>
      </c>
      <c r="Y104" s="192">
        <f t="shared" si="35"/>
        <v>0.05</v>
      </c>
      <c r="Z104" s="192">
        <f t="shared" si="36"/>
        <v>23.341000000000001</v>
      </c>
      <c r="AA104" s="192">
        <f t="shared" si="37"/>
        <v>23.291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38"/>
        <v>0189-12</v>
      </c>
      <c r="AE104" s="80" t="str">
        <f t="shared" si="39"/>
        <v>aws s3 cp s3://rtdc.mdm.uploadarchive.raw/RTDC4022/ "%USERPROFILE%\AppData\Local\Temp\OnboardLogs"\RTDC4022\2017-05-12 --exclude "*" --recursive --include "*20170512*" &amp; "%USERPROFILE%\Documents\GitHub\mrs-test-scripts\Headless Mode &amp; Sideloading\WalkAndUnGZ.bat" "%USERPROFILE%\AppData\Local\Temp\OnboardLogs"\RTDC4022\2017-05-12 &amp; aws s3 cp s3://rtdc.mdm.uploadarchive.raw/RTDC4022/ "%USERPROFILE%\AppData\Local\Temp\OnboardLogs"\RTDC4022\2017-05-13 --exclude "*" --recursive --include "*20170513*" &amp; "%USERPROFILE%\Documents\GitHub\mrs-test-scripts\Headless Mode &amp; Sideloading\WalkAndUnGZ.bat" "%USERPROFILE%\AppData\Local\Temp\OnboardLogs"\RTDC4022\2017-05-13</v>
      </c>
      <c r="AF104" s="77" t="str">
        <f t="shared" si="40"/>
        <v>"C:\Program Files (x86)\AstroGrep\AstroGrep.exe" /e /r /s /spath="%USERPROFILE%\AppData\Local\Temp\OnboardLogs" /stypes="app*4022*20170512*" /stext=" 21:.+((SYSTEM_STATE.+slice.+state.+changed )|(ment ac)|(multiple cpu faults)|(system.+state.+changed )|(\[timeout)|(PRM\|1\|D)|(kpr)|(kdp)|(train st.+moving)|(\|lc)|(penalty))"</v>
      </c>
      <c r="AG104" s="1" t="str">
        <f t="shared" si="41"/>
        <v>EC</v>
      </c>
      <c r="AH104" s="81" t="str">
        <f t="shared" si="42"/>
        <v>"%USERPROFILE%\Documents\GitHub\eaglep3\Utilities\RefineRTDCRunTimes.py" --tripid 189-12 --locoid 4022 --swversion DE.1.0.9.0 --startMP 204:500 --initTime 2017-05-12T14:37:33 --startdatetime 2017-05-12T14:45:16 --delay 2 --endMP 204:233410 --enddatetime 2017-05-12T15:20:49 --enforcementcount 0 &gt;&gt;C:\Users\stu\Documents\GitHub\eaglep3-reporting\EC\2017-05-12-refined-times.txt</v>
      </c>
      <c r="AI104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{"issue":{"subject":"","project_id":79,"tracker_id":40,"status_id":1,"priority_id":2,"assigned_to_id":23,"start_date":"2017-05-12","description":"","custom_fields":[{"id":1,"name":"Subdivision","value":"EC"},{"id":4,"name":"Milepost","value":"23.341"},{"id":17,"name":"Train ID","value":"189-12"},{"id":16,"name":"Locomotive ID","value":"4022"},{"id":130,"name":"Impact","value":""},{"id":150,"name":"Time of Event (Mountain Time)","value":"15:20:49"},{"id":151,"name":"Denver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44"/>
        <v>start /low /b %USERPROFILE%\Documents\GitHub\eaglep3\Utilities\DownloadLogsFromS3.py --loco 4022 --day 2017-05-12</v>
      </c>
      <c r="AN104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21:20:49"},{"id":29,"name":"Sharepoint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720</v>
      </c>
      <c r="B105" s="7">
        <v>4021</v>
      </c>
      <c r="C105" s="21" t="s">
        <v>206</v>
      </c>
      <c r="D105" s="21" t="s">
        <v>871</v>
      </c>
      <c r="E105" s="13">
        <v>42867.641574074078</v>
      </c>
      <c r="F105" s="13">
        <v>42867.653645833336</v>
      </c>
      <c r="G105" s="7">
        <v>1</v>
      </c>
      <c r="H105" s="21" t="s">
        <v>353</v>
      </c>
      <c r="I105" s="13">
        <v>42867.679942129631</v>
      </c>
      <c r="J105" s="7">
        <v>0</v>
      </c>
      <c r="K105" s="92" t="str">
        <f t="shared" si="30"/>
        <v>4021/4022</v>
      </c>
      <c r="L105" s="21" t="str">
        <f>VLOOKUP(A105,'Trips&amp;Operators'!$C$1:$G$99999,5,FALSE)</f>
        <v>ROMERO CHAD</v>
      </c>
      <c r="M105" s="6">
        <f t="shared" si="31"/>
        <v>2.6296296295186039E-2</v>
      </c>
      <c r="N105" s="7">
        <f t="shared" si="46"/>
        <v>37.866666665067896</v>
      </c>
      <c r="O105" s="7"/>
      <c r="P105" s="7"/>
      <c r="Q105" s="22"/>
      <c r="R105" s="190"/>
      <c r="S105" s="196">
        <f t="shared" si="47"/>
        <v>1</v>
      </c>
      <c r="T105" s="190" t="str">
        <f t="shared" si="32"/>
        <v>Southbound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 t="shared" si="33"/>
        <v>https://d0f6bd738d7f1b3e5a7ca70fe4ff75f0.us-east-1.aws.found.io/app/kibana#/discover/Steve-Slow-Train-Analysis-(2080s-and-2083s)?_g=(refreshInterval:(display:Off,pause:!f,section:0,value:0),time:(from:'2017-05-12T14:23:52-0600',mode:absolute,to:'2017-05-12T17:19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5" s="192" t="str">
        <f t="shared" si="34"/>
        <v>N</v>
      </c>
      <c r="X105" s="192">
        <f t="shared" si="27"/>
        <v>1</v>
      </c>
      <c r="Y105" s="192">
        <f t="shared" si="35"/>
        <v>23.3093</v>
      </c>
      <c r="Z105" s="192">
        <f t="shared" si="36"/>
        <v>1.4500000000000001E-2</v>
      </c>
      <c r="AA105" s="192">
        <f t="shared" si="37"/>
        <v>23.294799999999999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38"/>
        <v>0190-12</v>
      </c>
      <c r="AE105" s="80" t="str">
        <f t="shared" si="39"/>
        <v>aws s3 cp s3://rtdc.mdm.uploadarchive.raw/RTDC4021/ "%USERPROFILE%\AppData\Local\Temp\OnboardLogs"\RTDC4021\2017-05-12 --exclude "*" --recursive --include "*20170512*" &amp; "%USERPROFILE%\Documents\GitHub\mrs-test-scripts\Headless Mode &amp; Sideloading\WalkAndUnGZ.bat" "%USERPROFILE%\AppData\Local\Temp\OnboardLogs"\RTDC4021\2017-05-12 &amp; aws s3 cp s3://rtdc.mdm.uploadarchive.raw/RTDC4021/ "%USERPROFILE%\AppData\Local\Temp\OnboardLogs"\RTDC4021\2017-05-13 --exclude "*" --recursive --include "*20170513*" &amp; "%USERPROFILE%\Documents\GitHub\mrs-test-scripts\Headless Mode &amp; Sideloading\WalkAndUnGZ.bat" "%USERPROFILE%\AppData\Local\Temp\OnboardLogs"\RTDC4021\2017-05-13</v>
      </c>
      <c r="AF105" s="77" t="str">
        <f t="shared" si="40"/>
        <v>"C:\Program Files (x86)\AstroGrep\AstroGrep.exe" /e /r /s /spath="%USERPROFILE%\AppData\Local\Temp\OnboardLogs" /stypes="app*4021*20170512*" /stext=" 22:.+((SYSTEM_STATE.+slice.+state.+changed )|(ment ac)|(multiple cpu faults)|(system.+state.+changed )|(\[timeout)|(PRM\|1\|D)|(kpr)|(kdp)|(train st.+moving)|(\|lc)|(penalty))"</v>
      </c>
      <c r="AG105" s="1" t="str">
        <f t="shared" si="41"/>
        <v>EC</v>
      </c>
      <c r="AH105" s="81" t="str">
        <f t="shared" si="42"/>
        <v>"%USERPROFILE%\Documents\GitHub\eaglep3\Utilities\RefineRTDCRunTimes.py" --tripid 190-12 --locoid 4021 --swversion DE.1.0.9.0 --startMP 204:233093 --initTime 2017-05-12T15:23:52 --startdatetime 2017-05-12T15:41:15 --delay 1 --endMP 204:145 --enddatetime 2017-05-12T16:19:07 --enforcementcount 0 &gt;&gt;C:\Users\stu\Documents\GitHub\eaglep3-reporting\EC\2017-05-12-refined-times.txt</v>
      </c>
      <c r="AI105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{"issue":{"subject":"","project_id":79,"tracker_id":40,"status_id":1,"priority_id":2,"assigned_to_id":23,"start_date":"2017-05-12","description":"","custom_fields":[{"id":1,"name":"Subdivision","value":"EC"},{"id":4,"name":"Milepost","value":"0.0145"},{"id":17,"name":"Train ID","value":"190-12"},{"id":16,"name":"Locomotive ID","value":"4021"},{"id":130,"name":"Impact","value":""},{"id":150,"name":"Time of Event (Mountain Time)","value":"16:19:07"},{"id":151,"name":"Denver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44"/>
        <v>start /low /b %USERPROFILE%\Documents\GitHub\eaglep3\Utilities\DownloadLogsFromS3.py --loco 4021 --day 2017-05-12</v>
      </c>
      <c r="AN105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22:19:07"},{"id":29,"name":"Sharepoint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714</v>
      </c>
      <c r="B106" s="7">
        <v>4016</v>
      </c>
      <c r="C106" s="21" t="s">
        <v>206</v>
      </c>
      <c r="D106" s="21" t="s">
        <v>439</v>
      </c>
      <c r="E106" s="13">
        <v>42867.622719907406</v>
      </c>
      <c r="F106" s="13">
        <v>42867.625173611108</v>
      </c>
      <c r="G106" s="7">
        <v>0</v>
      </c>
      <c r="H106" s="21" t="s">
        <v>869</v>
      </c>
      <c r="I106" s="13">
        <v>42867.650995370372</v>
      </c>
      <c r="J106" s="7">
        <v>0</v>
      </c>
      <c r="K106" s="92" t="str">
        <f t="shared" si="30"/>
        <v>4015/4016</v>
      </c>
      <c r="L106" s="21" t="str">
        <f>VLOOKUP(A106,'Trips&amp;Operators'!$C$1:$G$99999,5,FALSE)</f>
        <v>CLARK KATHLEEN</v>
      </c>
      <c r="M106" s="6">
        <f t="shared" si="31"/>
        <v>2.5821759263635613E-2</v>
      </c>
      <c r="N106" s="7">
        <f t="shared" si="46"/>
        <v>37.183333339635283</v>
      </c>
      <c r="O106" s="7"/>
      <c r="P106" s="7"/>
      <c r="Q106" s="22"/>
      <c r="R106" s="190"/>
      <c r="S106" s="196">
        <f t="shared" si="47"/>
        <v>1</v>
      </c>
      <c r="T106" s="190" t="str">
        <f t="shared" si="32"/>
        <v>NorthBound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 t="shared" si="33"/>
        <v>https://d0f6bd738d7f1b3e5a7ca70fe4ff75f0.us-east-1.aws.found.io/app/kibana#/discover/Steve-Slow-Train-Analysis-(2080s-and-2083s)?_g=(refreshInterval:(display:Off,pause:!f,section:0,value:0),time:(from:'2017-05-12T13:56:43-0600',mode:absolute,to:'2017-05-12T16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6" s="192" t="str">
        <f t="shared" si="34"/>
        <v>N</v>
      </c>
      <c r="X106" s="192">
        <f t="shared" si="27"/>
        <v>1</v>
      </c>
      <c r="Y106" s="192">
        <f t="shared" si="35"/>
        <v>4.7699999999999999E-2</v>
      </c>
      <c r="Z106" s="192">
        <f t="shared" si="36"/>
        <v>23.3278</v>
      </c>
      <c r="AA106" s="192">
        <f t="shared" si="37"/>
        <v>23.280100000000001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38"/>
        <v>0191-12</v>
      </c>
      <c r="AE106" s="80" t="str">
        <f t="shared" si="39"/>
        <v>aws s3 cp s3://rtdc.mdm.uploadarchive.raw/RTDC4016/ "%USERPROFILE%\AppData\Local\Temp\OnboardLogs"\RTDC4016\2017-05-12 --exclude "*" --recursive --include "*20170512*" &amp; "%USERPROFILE%\Documents\GitHub\mrs-test-scripts\Headless Mode &amp; Sideloading\WalkAndUnGZ.bat" "%USERPROFILE%\AppData\Local\Temp\OnboardLogs"\RTDC4016\2017-05-12 &amp; aws s3 cp s3://rtdc.mdm.uploadarchive.raw/RTDC4016/ "%USERPROFILE%\AppData\Local\Temp\OnboardLogs"\RTDC4016\2017-05-13 --exclude "*" --recursive --include "*20170513*" &amp; "%USERPROFILE%\Documents\GitHub\mrs-test-scripts\Headless Mode &amp; Sideloading\WalkAndUnGZ.bat" "%USERPROFILE%\AppData\Local\Temp\OnboardLogs"\RTDC4016\2017-05-13</v>
      </c>
      <c r="AF106" s="77" t="str">
        <f t="shared" si="40"/>
        <v>"C:\Program Files (x86)\AstroGrep\AstroGrep.exe" /e /r /s /spath="%USERPROFILE%\AppData\Local\Temp\OnboardLogs" /stypes="app*4016*20170512*" /stext=" 21:.+((SYSTEM_STATE.+slice.+state.+changed )|(ment ac)|(multiple cpu faults)|(system.+state.+changed )|(\[timeout)|(PRM\|1\|D)|(kpr)|(kdp)|(train st.+moving)|(\|lc)|(penalty))"</v>
      </c>
      <c r="AG106" s="1" t="str">
        <f t="shared" si="41"/>
        <v>EC</v>
      </c>
      <c r="AH106" s="81" t="str">
        <f t="shared" si="42"/>
        <v>"%USERPROFILE%\Documents\GitHub\eaglep3\Utilities\RefineRTDCRunTimes.py" --tripid 191-12 --locoid 4016 --swversion DE.1.0.9.0 --startMP 204:477 --initTime 2017-05-12T14:56:43 --startdatetime 2017-05-12T15:00:15 --delay 0 --endMP 204:233278 --enddatetime 2017-05-12T15:37:26 --enforcementcount 0 &gt;&gt;C:\Users\stu\Documents\GitHub\eaglep3-reporting\EC\2017-05-12-refined-times.txt</v>
      </c>
      <c r="AI106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{"issue":{"subject":"","project_id":79,"tracker_id":40,"status_id":1,"priority_id":2,"assigned_to_id":23,"start_date":"2017-05-12","description":"","custom_fields":[{"id":1,"name":"Subdivision","value":"EC"},{"id":4,"name":"Milepost","value":"23.3278"},{"id":17,"name":"Train ID","value":"191-12"},{"id":16,"name":"Locomotive ID","value":"4016"},{"id":130,"name":"Impact","value":""},{"id":150,"name":"Time of Event (Mountain Time)","value":"15:37:26"},{"id":151,"name":"Denver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44"/>
        <v>start /low /b %USERPROFILE%\Documents\GitHub\eaglep3\Utilities\DownloadLogsFromS3.py --loco 4016 --day 2017-05-12</v>
      </c>
      <c r="AN106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21:37:26"},{"id":29,"name":"Sharepoint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725</v>
      </c>
      <c r="B107" s="7">
        <v>4015</v>
      </c>
      <c r="C107" s="21" t="s">
        <v>206</v>
      </c>
      <c r="D107" s="21" t="s">
        <v>872</v>
      </c>
      <c r="E107" s="13">
        <v>42867.659814814811</v>
      </c>
      <c r="F107" s="13">
        <v>42867.664039351854</v>
      </c>
      <c r="G107" s="7">
        <v>1</v>
      </c>
      <c r="H107" s="21" t="s">
        <v>851</v>
      </c>
      <c r="I107" s="13">
        <v>42867.691736111112</v>
      </c>
      <c r="J107" s="7">
        <v>0</v>
      </c>
      <c r="K107" s="92" t="str">
        <f t="shared" si="30"/>
        <v>4015/4016</v>
      </c>
      <c r="L107" s="21" t="str">
        <f>VLOOKUP(A107,'Trips&amp;Operators'!$C$1:$G$99999,5,FALSE)</f>
        <v>CLARK KATHLEEN</v>
      </c>
      <c r="M107" s="6">
        <f t="shared" si="31"/>
        <v>2.7696759258105885E-2</v>
      </c>
      <c r="N107" s="7">
        <f t="shared" si="46"/>
        <v>39.883333331672475</v>
      </c>
      <c r="O107" s="7"/>
      <c r="P107" s="7"/>
      <c r="Q107" s="22"/>
      <c r="R107" s="190"/>
      <c r="S107" s="196">
        <f t="shared" si="47"/>
        <v>1</v>
      </c>
      <c r="T107" s="190" t="str">
        <f t="shared" si="32"/>
        <v>Southbound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 t="shared" si="33"/>
        <v>https://d0f6bd738d7f1b3e5a7ca70fe4ff75f0.us-east-1.aws.found.io/app/kibana#/discover/Steve-Slow-Train-Analysis-(2080s-and-2083s)?_g=(refreshInterval:(display:Off,pause:!f,section:0,value:0),time:(from:'2017-05-12T14:50:08-0600',mode:absolute,to:'2017-05-12T17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7" s="192" t="str">
        <f t="shared" si="34"/>
        <v>N</v>
      </c>
      <c r="X107" s="192">
        <f t="shared" si="27"/>
        <v>1</v>
      </c>
      <c r="Y107" s="192">
        <f t="shared" si="35"/>
        <v>23.2957</v>
      </c>
      <c r="Z107" s="192">
        <f t="shared" si="36"/>
        <v>1.9099999999999999E-2</v>
      </c>
      <c r="AA107" s="192">
        <f t="shared" si="37"/>
        <v>23.276599999999998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38"/>
        <v>0192-12</v>
      </c>
      <c r="AE107" s="80" t="str">
        <f t="shared" si="39"/>
        <v>aws s3 cp s3://rtdc.mdm.uploadarchive.raw/RTDC4015/ "%USERPROFILE%\AppData\Local\Temp\OnboardLogs"\RTDC4015\2017-05-12 --exclude "*" --recursive --include "*20170512*" &amp; "%USERPROFILE%\Documents\GitHub\mrs-test-scripts\Headless Mode &amp; Sideloading\WalkAndUnGZ.bat" "%USERPROFILE%\AppData\Local\Temp\OnboardLogs"\RTDC4015\2017-05-12 &amp; aws s3 cp s3://rtdc.mdm.uploadarchive.raw/RTDC4015/ "%USERPROFILE%\AppData\Local\Temp\OnboardLogs"\RTDC4015\2017-05-13 --exclude "*" --recursive --include "*20170513*" &amp; "%USERPROFILE%\Documents\GitHub\mrs-test-scripts\Headless Mode &amp; Sideloading\WalkAndUnGZ.bat" "%USERPROFILE%\AppData\Local\Temp\OnboardLogs"\RTDC4015\2017-05-13</v>
      </c>
      <c r="AF107" s="77" t="str">
        <f t="shared" si="40"/>
        <v>"C:\Program Files (x86)\AstroGrep\AstroGrep.exe" /e /r /s /spath="%USERPROFILE%\AppData\Local\Temp\OnboardLogs" /stypes="app*4015*20170512*" /stext=" 22:.+((SYSTEM_STATE.+slice.+state.+changed )|(ment ac)|(multiple cpu faults)|(system.+state.+changed )|(\[timeout)|(PRM\|1\|D)|(kpr)|(kdp)|(train st.+moving)|(\|lc)|(penalty))"</v>
      </c>
      <c r="AG107" s="1" t="str">
        <f t="shared" si="41"/>
        <v>EC</v>
      </c>
      <c r="AH107" s="81" t="str">
        <f t="shared" si="42"/>
        <v>"%USERPROFILE%\Documents\GitHub\eaglep3\Utilities\RefineRTDCRunTimes.py" --tripid 192-12 --locoid 4015 --swversion DE.1.0.9.0 --startMP 204:232957 --initTime 2017-05-12T15:50:08 --startdatetime 2017-05-12T15:56:13 --delay 1 --endMP 204:191 --enddatetime 2017-05-12T16:36:06 --enforcementcount 0 &gt;&gt;C:\Users\stu\Documents\GitHub\eaglep3-reporting\EC\2017-05-12-refined-times.txt</v>
      </c>
      <c r="AI107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{"issue":{"subject":"","project_id":79,"tracker_id":40,"status_id":1,"priority_id":2,"assigned_to_id":23,"start_date":"2017-05-12","description":"","custom_fields":[{"id":1,"name":"Subdivision","value":"EC"},{"id":4,"name":"Milepost","value":"0.0191"},{"id":17,"name":"Train ID","value":"192-12"},{"id":16,"name":"Locomotive ID","value":"4015"},{"id":130,"name":"Impact","value":""},{"id":150,"name":"Time of Event (Mountain Time)","value":"16:36:06"},{"id":151,"name":"Denver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44"/>
        <v>start /low /b %USERPROFILE%\Documents\GitHub\eaglep3\Utilities\DownloadLogsFromS3.py --loco 4015 --day 2017-05-12</v>
      </c>
      <c r="AN107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22:36:06"},{"id":29,"name":"Sharepoint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716</v>
      </c>
      <c r="B108" s="7">
        <v>4010</v>
      </c>
      <c r="C108" s="21" t="s">
        <v>206</v>
      </c>
      <c r="D108" s="21" t="s">
        <v>392</v>
      </c>
      <c r="E108" s="13">
        <v>42867.630636574075</v>
      </c>
      <c r="F108" s="13">
        <v>42867.635567129626</v>
      </c>
      <c r="G108" s="7">
        <v>1</v>
      </c>
      <c r="H108" s="21" t="s">
        <v>873</v>
      </c>
      <c r="I108" s="13">
        <v>42867.66034722222</v>
      </c>
      <c r="J108" s="7">
        <v>0</v>
      </c>
      <c r="K108" s="92" t="str">
        <f t="shared" si="30"/>
        <v>4009/4010</v>
      </c>
      <c r="L108" s="21" t="str">
        <f>VLOOKUP(A108,'Trips&amp;Operators'!$C$1:$G$99999,5,FALSE)</f>
        <v>DELGADO DIANAH</v>
      </c>
      <c r="M108" s="6">
        <f t="shared" si="31"/>
        <v>2.4780092593573499E-2</v>
      </c>
      <c r="N108" s="7">
        <f t="shared" si="46"/>
        <v>35.683333334745839</v>
      </c>
      <c r="O108" s="7"/>
      <c r="P108" s="7"/>
      <c r="Q108" s="22"/>
      <c r="R108" s="190"/>
      <c r="S108" s="196">
        <f t="shared" si="47"/>
        <v>1</v>
      </c>
      <c r="T108" s="190" t="str">
        <f t="shared" si="32"/>
        <v>NorthBound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 t="shared" si="33"/>
        <v>https://d0f6bd738d7f1b3e5a7ca70fe4ff75f0.us-east-1.aws.found.io/app/kibana#/discover/Steve-Slow-Train-Analysis-(2080s-and-2083s)?_g=(refreshInterval:(display:Off,pause:!f,section:0,value:0),time:(from:'2017-05-12T14:08:07-0600',mode:absolute,to:'2017-05-12T16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8" s="192" t="str">
        <f t="shared" si="34"/>
        <v>N</v>
      </c>
      <c r="X108" s="192">
        <f t="shared" si="27"/>
        <v>1</v>
      </c>
      <c r="Y108" s="192">
        <f t="shared" si="35"/>
        <v>4.7800000000000002E-2</v>
      </c>
      <c r="Z108" s="192">
        <f t="shared" si="36"/>
        <v>23.333600000000001</v>
      </c>
      <c r="AA108" s="192">
        <f t="shared" si="37"/>
        <v>23.285800000000002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38"/>
        <v>0193-12</v>
      </c>
      <c r="AE108" s="80" t="str">
        <f t="shared" si="39"/>
        <v>aws s3 cp s3://rtdc.mdm.uploadarchive.raw/RTDC4010/ "%USERPROFILE%\AppData\Local\Temp\OnboardLogs"\RTDC4010\2017-05-12 --exclude "*" --recursive --include "*20170512*" &amp; "%USERPROFILE%\Documents\GitHub\mrs-test-scripts\Headless Mode &amp; Sideloading\WalkAndUnGZ.bat" "%USERPROFILE%\AppData\Local\Temp\OnboardLogs"\RTDC4010\2017-05-12 &amp; aws s3 cp s3://rtdc.mdm.uploadarchive.raw/RTDC4010/ "%USERPROFILE%\AppData\Local\Temp\OnboardLogs"\RTDC4010\2017-05-13 --exclude "*" --recursive --include "*20170513*" &amp; "%USERPROFILE%\Documents\GitHub\mrs-test-scripts\Headless Mode &amp; Sideloading\WalkAndUnGZ.bat" "%USERPROFILE%\AppData\Local\Temp\OnboardLogs"\RTDC4010\2017-05-13</v>
      </c>
      <c r="AF108" s="77" t="str">
        <f t="shared" si="40"/>
        <v>"C:\Program Files (x86)\AstroGrep\AstroGrep.exe" /e /r /s /spath="%USERPROFILE%\AppData\Local\Temp\OnboardLogs" /stypes="app*4010*20170512*" /stext=" 21:.+((SYSTEM_STATE.+slice.+state.+changed )|(ment ac)|(multiple cpu faults)|(system.+state.+changed )|(\[timeout)|(PRM\|1\|D)|(kpr)|(kdp)|(train st.+moving)|(\|lc)|(penalty))"</v>
      </c>
      <c r="AG108" s="1" t="str">
        <f t="shared" si="41"/>
        <v>EC</v>
      </c>
      <c r="AH108" s="81" t="str">
        <f t="shared" si="42"/>
        <v>"%USERPROFILE%\Documents\GitHub\eaglep3\Utilities\RefineRTDCRunTimes.py" --tripid 193-12 --locoid 4010 --swversion DE.1.0.9.0 --startMP 204:478 --initTime 2017-05-12T15:08:07 --startdatetime 2017-05-12T15:15:13 --delay 1 --endMP 204:233336 --enddatetime 2017-05-12T15:50:54 --enforcementcount 0 &gt;&gt;C:\Users\stu\Documents\GitHub\eaglep3-reporting\EC\2017-05-12-refined-times.txt</v>
      </c>
      <c r="AI108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{"issue":{"subject":"","project_id":79,"tracker_id":40,"status_id":1,"priority_id":2,"assigned_to_id":23,"start_date":"2017-05-12","description":"","custom_fields":[{"id":1,"name":"Subdivision","value":"EC"},{"id":4,"name":"Milepost","value":"23.3336"},{"id":17,"name":"Train ID","value":"193-12"},{"id":16,"name":"Locomotive ID","value":"4010"},{"id":130,"name":"Impact","value":""},{"id":150,"name":"Time of Event (Mountain Time)","value":"15:50:54"},{"id":151,"name":"Denver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44"/>
        <v>start /low /b %USERPROFILE%\Documents\GitHub\eaglep3\Utilities\DownloadLogsFromS3.py --loco 4010 --day 2017-05-12</v>
      </c>
      <c r="AN108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21:50:54"},{"id":29,"name":"Sharepoint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726</v>
      </c>
      <c r="B109" s="7">
        <v>4009</v>
      </c>
      <c r="C109" s="21" t="s">
        <v>206</v>
      </c>
      <c r="D109" s="21" t="s">
        <v>874</v>
      </c>
      <c r="E109" s="13">
        <v>42867.666006944448</v>
      </c>
      <c r="F109" s="13">
        <v>42867.674456018518</v>
      </c>
      <c r="G109" s="7">
        <v>1</v>
      </c>
      <c r="H109" s="21" t="s">
        <v>485</v>
      </c>
      <c r="I109" s="13">
        <v>42867.700671296298</v>
      </c>
      <c r="J109" s="7">
        <v>0</v>
      </c>
      <c r="K109" s="92" t="str">
        <f t="shared" si="30"/>
        <v>4009/4010</v>
      </c>
      <c r="L109" s="21" t="str">
        <f>VLOOKUP(A109,'Trips&amp;Operators'!$C$1:$G$99999,5,FALSE)</f>
        <v>DELGADO DIANAH</v>
      </c>
      <c r="M109" s="6">
        <f t="shared" si="31"/>
        <v>2.6215277779556345E-2</v>
      </c>
      <c r="N109" s="7">
        <f t="shared" si="46"/>
        <v>37.750000002561137</v>
      </c>
      <c r="O109" s="7"/>
      <c r="P109" s="7"/>
      <c r="Q109" s="22"/>
      <c r="R109" s="190"/>
      <c r="S109" s="196">
        <f t="shared" si="47"/>
        <v>1</v>
      </c>
      <c r="T109" s="190" t="str">
        <f t="shared" si="32"/>
        <v>Southbound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 t="shared" si="33"/>
        <v>https://d0f6bd738d7f1b3e5a7ca70fe4ff75f0.us-east-1.aws.found.io/app/kibana#/discover/Steve-Slow-Train-Analysis-(2080s-and-2083s)?_g=(refreshInterval:(display:Off,pause:!f,section:0,value:0),time:(from:'2017-05-12T14:59:03-0600',mode:absolute,to:'2017-05-12T17:48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9" s="192" t="str">
        <f t="shared" si="34"/>
        <v>N</v>
      </c>
      <c r="X109" s="192">
        <f t="shared" si="27"/>
        <v>1</v>
      </c>
      <c r="Y109" s="192">
        <f t="shared" si="35"/>
        <v>23.302499999999998</v>
      </c>
      <c r="Z109" s="192">
        <f t="shared" si="36"/>
        <v>1.2999999999999999E-2</v>
      </c>
      <c r="AA109" s="192">
        <f t="shared" si="37"/>
        <v>23.289499999999997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38"/>
        <v>0194-12</v>
      </c>
      <c r="AE109" s="80" t="str">
        <f t="shared" si="39"/>
        <v>aws s3 cp s3://rtdc.mdm.uploadarchive.raw/RTDC4009/ "%USERPROFILE%\AppData\Local\Temp\OnboardLogs"\RTDC4009\2017-05-12 --exclude "*" --recursive --include "*20170512*" &amp; "%USERPROFILE%\Documents\GitHub\mrs-test-scripts\Headless Mode &amp; Sideloading\WalkAndUnGZ.bat" "%USERPROFILE%\AppData\Local\Temp\OnboardLogs"\RTDC4009\2017-05-12 &amp; aws s3 cp s3://rtdc.mdm.uploadarchive.raw/RTDC4009/ "%USERPROFILE%\AppData\Local\Temp\OnboardLogs"\RTDC4009\2017-05-13 --exclude "*" --recursive --include "*20170513*" &amp; "%USERPROFILE%\Documents\GitHub\mrs-test-scripts\Headless Mode &amp; Sideloading\WalkAndUnGZ.bat" "%USERPROFILE%\AppData\Local\Temp\OnboardLogs"\RTDC4009\2017-05-13</v>
      </c>
      <c r="AF109" s="77" t="str">
        <f t="shared" si="40"/>
        <v>"C:\Program Files (x86)\AstroGrep\AstroGrep.exe" /e /r /s /spath="%USERPROFILE%\AppData\Local\Temp\OnboardLogs" /stypes="app*4009*20170512*" /stext=" 22:.+((SYSTEM_STATE.+slice.+state.+changed )|(ment ac)|(multiple cpu faults)|(system.+state.+changed )|(\[timeout)|(PRM\|1\|D)|(kpr)|(kdp)|(train st.+moving)|(\|lc)|(penalty))"</v>
      </c>
      <c r="AG109" s="1" t="str">
        <f t="shared" si="41"/>
        <v>EC</v>
      </c>
      <c r="AH109" s="81" t="str">
        <f t="shared" si="42"/>
        <v>"%USERPROFILE%\Documents\GitHub\eaglep3\Utilities\RefineRTDCRunTimes.py" --tripid 194-12 --locoid 4009 --swversion DE.1.0.9.0 --startMP 204:233025 --initTime 2017-05-12T15:59:03 --startdatetime 2017-05-12T16:11:13 --delay 1 --endMP 204:130 --enddatetime 2017-05-12T16:48:58 --enforcementcount 0 &gt;&gt;C:\Users\stu\Documents\GitHub\eaglep3-reporting\EC\2017-05-12-refined-times.txt</v>
      </c>
      <c r="AI109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{"issue":{"subject":"","project_id":79,"tracker_id":40,"status_id":1,"priority_id":2,"assigned_to_id":23,"start_date":"2017-05-12","description":"","custom_fields":[{"id":1,"name":"Subdivision","value":"EC"},{"id":4,"name":"Milepost","value":"0.013"},{"id":17,"name":"Train ID","value":"194-12"},{"id":16,"name":"Locomotive ID","value":"4009"},{"id":130,"name":"Impact","value":""},{"id":150,"name":"Time of Event (Mountain Time)","value":"16:48:58"},{"id":151,"name":"Denver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44"/>
        <v>start /low /b %USERPROFILE%\Documents\GitHub\eaglep3\Utilities\DownloadLogsFromS3.py --loco 4009 --day 2017-05-12</v>
      </c>
      <c r="AN109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22:48:58"},{"id":29,"name":"Sharepoint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721</v>
      </c>
      <c r="B110" s="7">
        <v>4046</v>
      </c>
      <c r="C110" s="21" t="s">
        <v>206</v>
      </c>
      <c r="D110" s="21" t="s">
        <v>367</v>
      </c>
      <c r="E110" s="13">
        <v>42867.644224537034</v>
      </c>
      <c r="F110" s="13">
        <v>42867.646099537036</v>
      </c>
      <c r="G110" s="7">
        <v>1</v>
      </c>
      <c r="H110" s="21" t="s">
        <v>869</v>
      </c>
      <c r="I110" s="13">
        <v>42867.671006944445</v>
      </c>
      <c r="J110" s="7">
        <v>0</v>
      </c>
      <c r="K110" s="92" t="str">
        <f t="shared" si="30"/>
        <v>4045/4046</v>
      </c>
      <c r="L110" s="21" t="str">
        <f>VLOOKUP(A110,'Trips&amp;Operators'!$C$1:$G$99999,5,FALSE)</f>
        <v>HELVIE ADAM</v>
      </c>
      <c r="M110" s="6">
        <f t="shared" si="31"/>
        <v>2.4907407409045845E-2</v>
      </c>
      <c r="N110" s="7">
        <f t="shared" si="46"/>
        <v>35.866666669026017</v>
      </c>
      <c r="O110" s="7"/>
      <c r="P110" s="7"/>
      <c r="Q110" s="22"/>
      <c r="R110" s="190"/>
      <c r="S110" s="196">
        <f t="shared" si="47"/>
        <v>1</v>
      </c>
      <c r="T110" s="190" t="str">
        <f t="shared" si="32"/>
        <v>NorthBound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1" t="str">
        <f t="shared" si="33"/>
        <v>https://d0f6bd738d7f1b3e5a7ca70fe4ff75f0.us-east-1.aws.found.io/app/kibana#/discover/Steve-Slow-Train-Analysis-(2080s-and-2083s)?_g=(refreshInterval:(display:Off,pause:!f,section:0,value:0),time:(from:'2017-05-12T14:27:41-0600',mode:absolute,to:'2017-05-12T17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0" s="192" t="str">
        <f t="shared" si="34"/>
        <v>N</v>
      </c>
      <c r="X110" s="192">
        <f t="shared" si="27"/>
        <v>1</v>
      </c>
      <c r="Y110" s="192">
        <f t="shared" si="35"/>
        <v>4.6399999999999997E-2</v>
      </c>
      <c r="Z110" s="192">
        <f t="shared" si="36"/>
        <v>23.3278</v>
      </c>
      <c r="AA110" s="192">
        <f t="shared" si="37"/>
        <v>23.281400000000001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38"/>
        <v>0195-12</v>
      </c>
      <c r="AE110" s="80" t="str">
        <f t="shared" si="39"/>
        <v>aws s3 cp s3://rtdc.mdm.uploadarchive.raw/RTDC4046/ "%USERPROFILE%\AppData\Local\Temp\OnboardLogs"\RTDC4046\2017-05-12 --exclude "*" --recursive --include "*20170512*" &amp; "%USERPROFILE%\Documents\GitHub\mrs-test-scripts\Headless Mode &amp; Sideloading\WalkAndUnGZ.bat" "%USERPROFILE%\AppData\Local\Temp\OnboardLogs"\RTDC4046\2017-05-12 &amp; aws s3 cp s3://rtdc.mdm.uploadarchive.raw/RTDC4046/ "%USERPROFILE%\AppData\Local\Temp\OnboardLogs"\RTDC4046\2017-05-13 --exclude "*" --recursive --include "*20170513*" &amp; "%USERPROFILE%\Documents\GitHub\mrs-test-scripts\Headless Mode &amp; Sideloading\WalkAndUnGZ.bat" "%USERPROFILE%\AppData\Local\Temp\OnboardLogs"\RTDC4046\2017-05-13</v>
      </c>
      <c r="AF110" s="77" t="str">
        <f t="shared" si="40"/>
        <v>"C:\Program Files (x86)\AstroGrep\AstroGrep.exe" /e /r /s /spath="%USERPROFILE%\AppData\Local\Temp\OnboardLogs" /stypes="app*4046*20170512*" /stext=" 22:.+((SYSTEM_STATE.+slice.+state.+changed )|(ment ac)|(multiple cpu faults)|(system.+state.+changed )|(\[timeout)|(PRM\|1\|D)|(kpr)|(kdp)|(train st.+moving)|(\|lc)|(penalty))"</v>
      </c>
      <c r="AG110" s="1" t="str">
        <f t="shared" si="41"/>
        <v>EC</v>
      </c>
      <c r="AH110" s="81" t="str">
        <f t="shared" si="42"/>
        <v>"%USERPROFILE%\Documents\GitHub\eaglep3\Utilities\RefineRTDCRunTimes.py" --tripid 195-12 --locoid 4046 --swversion DE.1.0.9.0 --startMP 204:464 --initTime 2017-05-12T15:27:41 --startdatetime 2017-05-12T15:30:23 --delay 1 --endMP 204:233278 --enddatetime 2017-05-12T16:06:15 --enforcementcount 0 &gt;&gt;C:\Users\stu\Documents\GitHub\eaglep3-reporting\EC\2017-05-12-refined-times.txt</v>
      </c>
      <c r="AI110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{"issue":{"subject":"","project_id":79,"tracker_id":40,"status_id":1,"priority_id":2,"assigned_to_id":23,"start_date":"2017-05-12","description":"","custom_fields":[{"id":1,"name":"Subdivision","value":"EC"},{"id":4,"name":"Milepost","value":"23.3278"},{"id":17,"name":"Train ID","value":"195-12"},{"id":16,"name":"Locomotive ID","value":"4046"},{"id":130,"name":"Impact","value":""},{"id":150,"name":"Time of Event (Mountain Time)","value":"16:06:15"},{"id":151,"name":"Denver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44"/>
        <v>start /low /b %USERPROFILE%\Documents\GitHub\eaglep3\Utilities\DownloadLogsFromS3.py --loco 4046 --day 2017-05-12</v>
      </c>
      <c r="AN110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22:06:15"},{"id":29,"name":"Sharepoint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730</v>
      </c>
      <c r="B111" s="7">
        <v>4045</v>
      </c>
      <c r="C111" s="21" t="s">
        <v>206</v>
      </c>
      <c r="D111" s="21" t="s">
        <v>453</v>
      </c>
      <c r="E111" s="13">
        <v>42867.682511574072</v>
      </c>
      <c r="F111" s="13">
        <v>42867.684965277775</v>
      </c>
      <c r="G111" s="7">
        <v>1</v>
      </c>
      <c r="H111" s="21" t="s">
        <v>855</v>
      </c>
      <c r="I111" s="13">
        <v>42867.710486111115</v>
      </c>
      <c r="J111" s="7">
        <v>0</v>
      </c>
      <c r="K111" s="92" t="str">
        <f t="shared" si="30"/>
        <v>4045/4046</v>
      </c>
      <c r="L111" s="21" t="str">
        <f>VLOOKUP(A111,'Trips&amp;Operators'!$C$1:$G$99999,5,FALSE)</f>
        <v>HELVIE ADAM</v>
      </c>
      <c r="M111" s="6">
        <f t="shared" si="31"/>
        <v>2.5520833340124227E-2</v>
      </c>
      <c r="N111" s="7">
        <f t="shared" si="46"/>
        <v>36.750000009778887</v>
      </c>
      <c r="O111" s="7"/>
      <c r="P111" s="7"/>
      <c r="Q111" s="22"/>
      <c r="R111" s="190"/>
      <c r="S111" s="196">
        <f t="shared" si="47"/>
        <v>1</v>
      </c>
      <c r="T111" s="190" t="str">
        <f t="shared" si="32"/>
        <v>Southbound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 t="shared" si="33"/>
        <v>https://d0f6bd738d7f1b3e5a7ca70fe4ff75f0.us-east-1.aws.found.io/app/kibana#/discover/Steve-Slow-Train-Analysis-(2080s-and-2083s)?_g=(refreshInterval:(display:Off,pause:!f,section:0,value:0),time:(from:'2017-05-12T15:22:49-0600',mode:absolute,to:'2017-05-12T18:03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1" s="192" t="str">
        <f t="shared" si="34"/>
        <v>N</v>
      </c>
      <c r="X111" s="192">
        <f t="shared" si="27"/>
        <v>1</v>
      </c>
      <c r="Y111" s="192">
        <f t="shared" si="35"/>
        <v>23.297699999999999</v>
      </c>
      <c r="Z111" s="192">
        <f t="shared" si="36"/>
        <v>1.7000000000000001E-2</v>
      </c>
      <c r="AA111" s="192">
        <f t="shared" si="37"/>
        <v>23.2807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38"/>
        <v>0196-12</v>
      </c>
      <c r="AE111" s="80" t="str">
        <f t="shared" si="39"/>
        <v>aws s3 cp s3://rtdc.mdm.uploadarchive.raw/RTDC4045/ "%USERPROFILE%\AppData\Local\Temp\OnboardLogs"\RTDC4045\2017-05-12 --exclude "*" --recursive --include "*20170512*" &amp; "%USERPROFILE%\Documents\GitHub\mrs-test-scripts\Headless Mode &amp; Sideloading\WalkAndUnGZ.bat" "%USERPROFILE%\AppData\Local\Temp\OnboardLogs"\RTDC4045\2017-05-12 &amp; aws s3 cp s3://rtdc.mdm.uploadarchive.raw/RTDC4045/ "%USERPROFILE%\AppData\Local\Temp\OnboardLogs"\RTDC4045\2017-05-13 --exclude "*" --recursive --include "*20170513*" &amp; "%USERPROFILE%\Documents\GitHub\mrs-test-scripts\Headless Mode &amp; Sideloading\WalkAndUnGZ.bat" "%USERPROFILE%\AppData\Local\Temp\OnboardLogs"\RTDC4045\2017-05-13</v>
      </c>
      <c r="AF111" s="77" t="str">
        <f t="shared" si="40"/>
        <v>"C:\Program Files (x86)\AstroGrep\AstroGrep.exe" /e /r /s /spath="%USERPROFILE%\AppData\Local\Temp\OnboardLogs" /stypes="app*4045*20170512*" /stext=" 23:.+((SYSTEM_STATE.+slice.+state.+changed )|(ment ac)|(multiple cpu faults)|(system.+state.+changed )|(\[timeout)|(PRM\|1\|D)|(kpr)|(kdp)|(train st.+moving)|(\|lc)|(penalty))"</v>
      </c>
      <c r="AG111" s="1" t="str">
        <f t="shared" si="41"/>
        <v>EC</v>
      </c>
      <c r="AH111" s="81" t="str">
        <f t="shared" si="42"/>
        <v>"%USERPROFILE%\Documents\GitHub\eaglep3\Utilities\RefineRTDCRunTimes.py" --tripid 196-12 --locoid 4045 --swversion DE.1.0.9.0 --startMP 204:232977 --initTime 2017-05-12T16:22:49 --startdatetime 2017-05-12T16:26:21 --delay 1 --endMP 204:170 --enddatetime 2017-05-12T17:03:06 --enforcementcount 0 &gt;&gt;C:\Users\stu\Documents\GitHub\eaglep3-reporting\EC\2017-05-12-refined-times.txt</v>
      </c>
      <c r="AI111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{"issue":{"subject":"","project_id":79,"tracker_id":40,"status_id":1,"priority_id":2,"assigned_to_id":23,"start_date":"2017-05-12","description":"","custom_fields":[{"id":1,"name":"Subdivision","value":"EC"},{"id":4,"name":"Milepost","value":"0.017"},{"id":17,"name":"Train ID","value":"196-12"},{"id":16,"name":"Locomotive ID","value":"4045"},{"id":130,"name":"Impact","value":""},{"id":150,"name":"Time of Event (Mountain Time)","value":"17:03:06"},{"id":151,"name":"Denver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44"/>
        <v>start /low /b %USERPROFILE%\Documents\GitHub\eaglep3\Utilities\DownloadLogsFromS3.py --loco 4045 --day 2017-05-12</v>
      </c>
      <c r="AN111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23:03:06"},{"id":29,"name":"Sharepoint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724</v>
      </c>
      <c r="B112" s="7">
        <v>4032</v>
      </c>
      <c r="C112" s="21" t="s">
        <v>206</v>
      </c>
      <c r="D112" s="21" t="s">
        <v>372</v>
      </c>
      <c r="E112" s="13">
        <v>42867.65351851852</v>
      </c>
      <c r="F112" s="13">
        <v>42867.656550925924</v>
      </c>
      <c r="G112" s="7">
        <v>1</v>
      </c>
      <c r="H112" s="21" t="s">
        <v>875</v>
      </c>
      <c r="I112" s="13">
        <v>42867.682905092595</v>
      </c>
      <c r="J112" s="7">
        <v>0</v>
      </c>
      <c r="K112" s="92" t="str">
        <f t="shared" si="30"/>
        <v>4031/4032</v>
      </c>
      <c r="L112" s="21" t="str">
        <f>VLOOKUP(A112,'Trips&amp;Operators'!$C$1:$G$99999,5,FALSE)</f>
        <v>BRANDNER MELINDA</v>
      </c>
      <c r="M112" s="6">
        <f t="shared" si="31"/>
        <v>2.6354166671808343E-2</v>
      </c>
      <c r="N112" s="7">
        <f t="shared" si="46"/>
        <v>37.950000007404014</v>
      </c>
      <c r="O112" s="7"/>
      <c r="P112" s="7"/>
      <c r="Q112" s="22"/>
      <c r="R112" s="190"/>
      <c r="S112" s="196">
        <f t="shared" si="47"/>
        <v>1</v>
      </c>
      <c r="T112" s="190" t="str">
        <f t="shared" si="32"/>
        <v>NorthBound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 t="shared" si="33"/>
        <v>https://d0f6bd738d7f1b3e5a7ca70fe4ff75f0.us-east-1.aws.found.io/app/kibana#/discover/Steve-Slow-Train-Analysis-(2080s-and-2083s)?_g=(refreshInterval:(display:Off,pause:!f,section:0,value:0),time:(from:'2017-05-12T14:41:04-0600',mode:absolute,to:'2017-05-12T17:23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2" s="192" t="str">
        <f t="shared" si="34"/>
        <v>N</v>
      </c>
      <c r="X112" s="192">
        <f t="shared" si="27"/>
        <v>1</v>
      </c>
      <c r="Y112" s="192">
        <f t="shared" si="35"/>
        <v>4.4699999999999997E-2</v>
      </c>
      <c r="Z112" s="192">
        <f t="shared" si="36"/>
        <v>23.338899999999999</v>
      </c>
      <c r="AA112" s="192">
        <f t="shared" si="37"/>
        <v>23.2942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38"/>
        <v>0197-12</v>
      </c>
      <c r="AE112" s="80" t="str">
        <f t="shared" si="39"/>
        <v>aws s3 cp s3://rtdc.mdm.uploadarchive.raw/RTDC4032/ "%USERPROFILE%\AppData\Local\Temp\OnboardLogs"\RTDC4032\2017-05-12 --exclude "*" --recursive --include "*20170512*" &amp; "%USERPROFILE%\Documents\GitHub\mrs-test-scripts\Headless Mode &amp; Sideloading\WalkAndUnGZ.bat" "%USERPROFILE%\AppData\Local\Temp\OnboardLogs"\RTDC4032\2017-05-12 &amp; aws s3 cp s3://rtdc.mdm.uploadarchive.raw/RTDC4032/ "%USERPROFILE%\AppData\Local\Temp\OnboardLogs"\RTDC4032\2017-05-13 --exclude "*" --recursive --include "*20170513*" &amp; "%USERPROFILE%\Documents\GitHub\mrs-test-scripts\Headless Mode &amp; Sideloading\WalkAndUnGZ.bat" "%USERPROFILE%\AppData\Local\Temp\OnboardLogs"\RTDC4032\2017-05-13</v>
      </c>
      <c r="AF112" s="77" t="str">
        <f t="shared" si="40"/>
        <v>"C:\Program Files (x86)\AstroGrep\AstroGrep.exe" /e /r /s /spath="%USERPROFILE%\AppData\Local\Temp\OnboardLogs" /stypes="app*4032*20170512*" /stext=" 22:.+((SYSTEM_STATE.+slice.+state.+changed )|(ment ac)|(multiple cpu faults)|(system.+state.+changed )|(\[timeout)|(PRM\|1\|D)|(kpr)|(kdp)|(train st.+moving)|(\|lc)|(penalty))"</v>
      </c>
      <c r="AG112" s="1" t="str">
        <f t="shared" si="41"/>
        <v>EC</v>
      </c>
      <c r="AH112" s="81" t="str">
        <f t="shared" si="42"/>
        <v>"%USERPROFILE%\Documents\GitHub\eaglep3\Utilities\RefineRTDCRunTimes.py" --tripid 197-12 --locoid 4032 --swversion DE.1.0.9.0 --startMP 204:447 --initTime 2017-05-12T15:41:04 --startdatetime 2017-05-12T15:45:26 --delay 1 --endMP 204:233389 --enddatetime 2017-05-12T16:23:23 --enforcementcount 0 &gt;&gt;C:\Users\stu\Documents\GitHub\eaglep3-reporting\EC\2017-05-12-refined-times.txt</v>
      </c>
      <c r="AI112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{"issue":{"subject":"","project_id":79,"tracker_id":40,"status_id":1,"priority_id":2,"assigned_to_id":23,"start_date":"2017-05-12","description":"","custom_fields":[{"id":1,"name":"Subdivision","value":"EC"},{"id":4,"name":"Milepost","value":"23.3389"},{"id":17,"name":"Train ID","value":"197-12"},{"id":16,"name":"Locomotive ID","value":"4032"},{"id":130,"name":"Impact","value":""},{"id":150,"name":"Time of Event (Mountain Time)","value":"16:23:23"},{"id":151,"name":"Denver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44"/>
        <v>start /low /b %USERPROFILE%\Documents\GitHub\eaglep3\Utilities\DownloadLogsFromS3.py --loco 4032 --day 2017-05-12</v>
      </c>
      <c r="AN112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22:23:23"},{"id":29,"name":"Sharepoint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731</v>
      </c>
      <c r="B113" s="7">
        <v>4031</v>
      </c>
      <c r="C113" s="21" t="s">
        <v>206</v>
      </c>
      <c r="D113" s="21" t="s">
        <v>876</v>
      </c>
      <c r="E113" s="13">
        <v>42867.692037037035</v>
      </c>
      <c r="F113" s="13">
        <v>42867.695300925923</v>
      </c>
      <c r="G113" s="7">
        <v>1</v>
      </c>
      <c r="H113" s="21" t="s">
        <v>391</v>
      </c>
      <c r="I113" s="13">
        <v>42867.72315972222</v>
      </c>
      <c r="J113" s="7">
        <v>0</v>
      </c>
      <c r="K113" s="92" t="str">
        <f t="shared" si="30"/>
        <v>4031/4032</v>
      </c>
      <c r="L113" s="21" t="str">
        <f>VLOOKUP(A113,'Trips&amp;Operators'!$C$1:$G$99999,5,FALSE)</f>
        <v>BRANDNER MELINDA</v>
      </c>
      <c r="M113" s="6">
        <f t="shared" si="31"/>
        <v>2.7858796296641231E-2</v>
      </c>
      <c r="N113" s="7">
        <f t="shared" si="46"/>
        <v>40.116666667163372</v>
      </c>
      <c r="O113" s="7"/>
      <c r="P113" s="7"/>
      <c r="Q113" s="22"/>
      <c r="R113" s="190"/>
      <c r="S113" s="196">
        <f t="shared" si="47"/>
        <v>1</v>
      </c>
      <c r="T113" s="190" t="str">
        <f t="shared" si="32"/>
        <v>Southbound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1" t="str">
        <f t="shared" si="33"/>
        <v>https://d0f6bd738d7f1b3e5a7ca70fe4ff75f0.us-east-1.aws.found.io/app/kibana#/discover/Steve-Slow-Train-Analysis-(2080s-and-2083s)?_g=(refreshInterval:(display:Off,pause:!f,section:0,value:0),time:(from:'2017-05-12T15:36:32-0600',mode:absolute,to:'2017-05-12T18:21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3" s="192" t="str">
        <f t="shared" si="34"/>
        <v>N</v>
      </c>
      <c r="X113" s="192">
        <f t="shared" si="27"/>
        <v>1</v>
      </c>
      <c r="Y113" s="192">
        <f t="shared" si="35"/>
        <v>23.308499999999999</v>
      </c>
      <c r="Z113" s="192">
        <f t="shared" si="36"/>
        <v>1.3599999999999999E-2</v>
      </c>
      <c r="AA113" s="192">
        <f t="shared" si="37"/>
        <v>23.294899999999998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38"/>
        <v>0198-12</v>
      </c>
      <c r="AE113" s="80" t="str">
        <f t="shared" si="39"/>
        <v>aws s3 cp s3://rtdc.mdm.uploadarchive.raw/RTDC4031/ "%USERPROFILE%\AppData\Local\Temp\OnboardLogs"\RTDC4031\2017-05-12 --exclude "*" --recursive --include "*20170512*" &amp; "%USERPROFILE%\Documents\GitHub\mrs-test-scripts\Headless Mode &amp; Sideloading\WalkAndUnGZ.bat" "%USERPROFILE%\AppData\Local\Temp\OnboardLogs"\RTDC4031\2017-05-12 &amp; aws s3 cp s3://rtdc.mdm.uploadarchive.raw/RTDC4031/ "%USERPROFILE%\AppData\Local\Temp\OnboardLogs"\RTDC4031\2017-05-13 --exclude "*" --recursive --include "*20170513*" &amp; "%USERPROFILE%\Documents\GitHub\mrs-test-scripts\Headless Mode &amp; Sideloading\WalkAndUnGZ.bat" "%USERPROFILE%\AppData\Local\Temp\OnboardLogs"\RTDC4031\2017-05-13</v>
      </c>
      <c r="AF113" s="77" t="str">
        <f t="shared" si="40"/>
        <v>"C:\Program Files (x86)\AstroGrep\AstroGrep.exe" /e /r /s /spath="%USERPROFILE%\AppData\Local\Temp\OnboardLogs" /stypes="app*4031*20170512*" /stext=" 23:.+((SYSTEM_STATE.+slice.+state.+changed )|(ment ac)|(multiple cpu faults)|(system.+state.+changed )|(\[timeout)|(PRM\|1\|D)|(kpr)|(kdp)|(train st.+moving)|(\|lc)|(penalty))"</v>
      </c>
      <c r="AG113" s="1" t="str">
        <f t="shared" si="41"/>
        <v>EC</v>
      </c>
      <c r="AH113" s="81" t="str">
        <f t="shared" si="42"/>
        <v>"%USERPROFILE%\Documents\GitHub\eaglep3\Utilities\RefineRTDCRunTimes.py" --tripid 198-12 --locoid 4031 --swversion DE.1.0.9.0 --startMP 204:233085 --initTime 2017-05-12T16:36:32 --startdatetime 2017-05-12T16:41:14 --delay 1 --endMP 204:136 --enddatetime 2017-05-12T17:21:21 --enforcementcount 0 &gt;&gt;C:\Users\stu\Documents\GitHub\eaglep3-reporting\EC\2017-05-12-refined-times.txt</v>
      </c>
      <c r="AI113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{"issue":{"subject":"","project_id":79,"tracker_id":40,"status_id":1,"priority_id":2,"assigned_to_id":23,"start_date":"2017-05-12","description":"","custom_fields":[{"id":1,"name":"Subdivision","value":"EC"},{"id":4,"name":"Milepost","value":"0.0136"},{"id":17,"name":"Train ID","value":"198-12"},{"id":16,"name":"Locomotive ID","value":"4031"},{"id":130,"name":"Impact","value":""},{"id":150,"name":"Time of Event (Mountain Time)","value":"17:21:21"},{"id":151,"name":"Denver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44"/>
        <v>start /low /b %USERPROFILE%\Documents\GitHub\eaglep3\Utilities\DownloadLogsFromS3.py --loco 4031 --day 2017-05-12</v>
      </c>
      <c r="AN113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23:21:21"},{"id":29,"name":"Sharepoint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584</v>
      </c>
      <c r="B114" s="7">
        <v>4012</v>
      </c>
      <c r="C114" s="21" t="s">
        <v>206</v>
      </c>
      <c r="D114" s="21" t="s">
        <v>361</v>
      </c>
      <c r="E114" s="13">
        <v>42867.664004629631</v>
      </c>
      <c r="F114" s="13">
        <v>42867.705821759257</v>
      </c>
      <c r="G114" s="7">
        <v>1</v>
      </c>
      <c r="H114" s="21" t="s">
        <v>877</v>
      </c>
      <c r="I114" s="13">
        <v>42867.73296296296</v>
      </c>
      <c r="J114" s="7">
        <v>0</v>
      </c>
      <c r="K114" s="92" t="str">
        <f t="shared" si="30"/>
        <v>4011/4012</v>
      </c>
      <c r="L114" s="21" t="str">
        <f>VLOOKUP(A114,'Trips&amp;Operators'!$C$1:$G$99999,5,FALSE)</f>
        <v>MOSES BRADLEY</v>
      </c>
      <c r="M114" s="6">
        <f t="shared" si="31"/>
        <v>2.7141203703649808E-2</v>
      </c>
      <c r="N114" s="7">
        <f t="shared" si="46"/>
        <v>39.083333333255723</v>
      </c>
      <c r="O114" s="7"/>
      <c r="P114" s="7"/>
      <c r="Q114" s="22"/>
      <c r="R114" s="190"/>
      <c r="S114" s="196">
        <f t="shared" si="47"/>
        <v>1</v>
      </c>
      <c r="T114" s="190" t="str">
        <f t="shared" si="32"/>
        <v>NorthBound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1" t="str">
        <f t="shared" si="33"/>
        <v>https://d0f6bd738d7f1b3e5a7ca70fe4ff75f0.us-east-1.aws.found.io/app/kibana#/discover/Steve-Slow-Train-Analysis-(2080s-and-2083s)?_g=(refreshInterval:(display:Off,pause:!f,section:0,value:0),time:(from:'2017-05-12T14:56:10-0600',mode:absolute,to:'2017-05-12T18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4" s="192" t="str">
        <f t="shared" si="34"/>
        <v>N</v>
      </c>
      <c r="X114" s="192">
        <f t="shared" si="27"/>
        <v>1</v>
      </c>
      <c r="Y114" s="192">
        <f t="shared" si="35"/>
        <v>4.6600000000000003E-2</v>
      </c>
      <c r="Z114" s="192">
        <f t="shared" si="36"/>
        <v>23.332599999999999</v>
      </c>
      <c r="AA114" s="192">
        <f t="shared" si="37"/>
        <v>23.285999999999998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38"/>
        <v>0199-12</v>
      </c>
      <c r="AE114" s="80" t="str">
        <f t="shared" si="39"/>
        <v>aws s3 cp s3://rtdc.mdm.uploadarchive.raw/RTDC4012/ "%USERPROFILE%\AppData\Local\Temp\OnboardLogs"\RTDC4012\2017-05-12 --exclude "*" --recursive --include "*20170512*" &amp; "%USERPROFILE%\Documents\GitHub\mrs-test-scripts\Headless Mode &amp; Sideloading\WalkAndUnGZ.bat" "%USERPROFILE%\AppData\Local\Temp\OnboardLogs"\RTDC4012\2017-05-12 &amp; aws s3 cp s3://rtdc.mdm.uploadarchive.raw/RTDC4012/ "%USERPROFILE%\AppData\Local\Temp\OnboardLogs"\RTDC4012\2017-05-13 --exclude "*" --recursive --include "*20170513*" &amp; "%USERPROFILE%\Documents\GitHub\mrs-test-scripts\Headless Mode &amp; Sideloading\WalkAndUnGZ.bat" "%USERPROFILE%\AppData\Local\Temp\OnboardLogs"\RTDC4012\2017-05-13</v>
      </c>
      <c r="AF114" s="77" t="str">
        <f t="shared" si="40"/>
        <v>"C:\Program Files (x86)\AstroGrep\AstroGrep.exe" /e /r /s /spath="%USERPROFILE%\AppData\Local\Temp\OnboardLogs" /stypes="app*4012*20170512*" /stext=" 23:.+((SYSTEM_STATE.+slice.+state.+changed )|(ment ac)|(multiple cpu faults)|(system.+state.+changed )|(\[timeout)|(PRM\|1\|D)|(kpr)|(kdp)|(train st.+moving)|(\|lc)|(penalty))"</v>
      </c>
      <c r="AG114" s="1" t="str">
        <f t="shared" si="41"/>
        <v>EC</v>
      </c>
      <c r="AH114" s="81" t="str">
        <f t="shared" si="42"/>
        <v>"%USERPROFILE%\Documents\GitHub\eaglep3\Utilities\RefineRTDCRunTimes.py" --tripid 199-12 --locoid 4012 --swversion DE.1.0.9.0 --startMP 204:466 --initTime 2017-05-12T15:56:10 --startdatetime 2017-05-12T16:56:23 --delay 1 --endMP 204:233326 --enddatetime 2017-05-12T17:35:28 --enforcementcount 0 &gt;&gt;C:\Users\stu\Documents\GitHub\eaglep3-reporting\EC\2017-05-12-refined-times.txt</v>
      </c>
      <c r="AI114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{"issue":{"subject":"","project_id":79,"tracker_id":40,"status_id":1,"priority_id":2,"assigned_to_id":23,"start_date":"2017-05-12","description":"","custom_fields":[{"id":1,"name":"Subdivision","value":"EC"},{"id":4,"name":"Milepost","value":"23.3326"},{"id":17,"name":"Train ID","value":"199-12"},{"id":16,"name":"Locomotive ID","value":"4012"},{"id":130,"name":"Impact","value":""},{"id":150,"name":"Time of Event (Mountain Time)","value":"17:35:28"},{"id":151,"name":"Denver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44"/>
        <v>start /low /b %USERPROFILE%\Documents\GitHub\eaglep3\Utilities\DownloadLogsFromS3.py --loco 4012 --day 2017-05-12</v>
      </c>
      <c r="AN114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23:35:28"},{"id":29,"name":"Sharepoint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736</v>
      </c>
      <c r="B115" s="7">
        <v>4011</v>
      </c>
      <c r="C115" s="21" t="s">
        <v>206</v>
      </c>
      <c r="D115" s="21" t="s">
        <v>878</v>
      </c>
      <c r="E115" s="13">
        <v>42867.703032407408</v>
      </c>
      <c r="F115" s="13">
        <v>42867.705821759257</v>
      </c>
      <c r="G115" s="7">
        <v>1</v>
      </c>
      <c r="H115" s="21" t="s">
        <v>354</v>
      </c>
      <c r="I115" s="13">
        <v>42867.73296296296</v>
      </c>
      <c r="J115" s="7">
        <v>0</v>
      </c>
      <c r="K115" s="92" t="str">
        <f t="shared" si="30"/>
        <v>4011/4012</v>
      </c>
      <c r="L115" s="21" t="str">
        <f>VLOOKUP(A115,'Trips&amp;Operators'!$C$1:$G$99999,5,FALSE)</f>
        <v>MOSES BRADLEY</v>
      </c>
      <c r="M115" s="6">
        <f t="shared" si="31"/>
        <v>2.7141203703649808E-2</v>
      </c>
      <c r="N115" s="7">
        <f t="shared" si="46"/>
        <v>39.083333333255723</v>
      </c>
      <c r="O115" s="7"/>
      <c r="P115" s="7"/>
      <c r="Q115" s="22"/>
      <c r="R115" s="190"/>
      <c r="S115" s="196">
        <f t="shared" si="47"/>
        <v>1</v>
      </c>
      <c r="T115" s="190" t="str">
        <f t="shared" si="32"/>
        <v>Southbound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 t="shared" si="33"/>
        <v>https://d0f6bd738d7f1b3e5a7ca70fe4ff75f0.us-east-1.aws.found.io/app/kibana#/discover/Steve-Slow-Train-Analysis-(2080s-and-2083s)?_g=(refreshInterval:(display:Off,pause:!f,section:0,value:0),time:(from:'2017-05-12T15:52:22-0600',mode:absolute,to:'2017-05-12T18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5" s="192" t="str">
        <f t="shared" si="34"/>
        <v>N</v>
      </c>
      <c r="X115" s="192">
        <f t="shared" si="27"/>
        <v>1</v>
      </c>
      <c r="Y115" s="192">
        <f t="shared" si="35"/>
        <v>23.302099999999999</v>
      </c>
      <c r="Z115" s="192">
        <f t="shared" si="36"/>
        <v>1.6E-2</v>
      </c>
      <c r="AA115" s="192">
        <f t="shared" si="37"/>
        <v>23.286100000000001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38"/>
        <v>0200-12</v>
      </c>
      <c r="AE115" s="80" t="str">
        <f t="shared" si="39"/>
        <v>aws s3 cp s3://rtdc.mdm.uploadarchive.raw/RTDC4011/ "%USERPROFILE%\AppData\Local\Temp\OnboardLogs"\RTDC4011\2017-05-12 --exclude "*" --recursive --include "*20170512*" &amp; "%USERPROFILE%\Documents\GitHub\mrs-test-scripts\Headless Mode &amp; Sideloading\WalkAndUnGZ.bat" "%USERPROFILE%\AppData\Local\Temp\OnboardLogs"\RTDC4011\2017-05-12 &amp; aws s3 cp s3://rtdc.mdm.uploadarchive.raw/RTDC4011/ "%USERPROFILE%\AppData\Local\Temp\OnboardLogs"\RTDC4011\2017-05-13 --exclude "*" --recursive --include "*20170513*" &amp; "%USERPROFILE%\Documents\GitHub\mrs-test-scripts\Headless Mode &amp; Sideloading\WalkAndUnGZ.bat" "%USERPROFILE%\AppData\Local\Temp\OnboardLogs"\RTDC4011\2017-05-13</v>
      </c>
      <c r="AF115" s="77" t="str">
        <f t="shared" si="40"/>
        <v>"C:\Program Files (x86)\AstroGrep\AstroGrep.exe" /e /r /s /spath="%USERPROFILE%\AppData\Local\Temp\OnboardLogs" /stypes="app*4011*20170512*" /stext=" 23:.+((SYSTEM_STATE.+slice.+state.+changed )|(ment ac)|(multiple cpu faults)|(system.+state.+changed )|(\[timeout)|(PRM\|1\|D)|(kpr)|(kdp)|(train st.+moving)|(\|lc)|(penalty))"</v>
      </c>
      <c r="AG115" s="1" t="str">
        <f t="shared" si="41"/>
        <v>EC</v>
      </c>
      <c r="AH115" s="81" t="str">
        <f t="shared" si="42"/>
        <v>"%USERPROFILE%\Documents\GitHub\eaglep3\Utilities\RefineRTDCRunTimes.py" --tripid 200-12 --locoid 4011 --swversion DE.1.0.9.0 --startMP 204:233021 --initTime 2017-05-12T16:52:22 --startdatetime 2017-05-12T16:56:23 --delay 1 --endMP 204:160 --enddatetime 2017-05-12T17:35:28 --enforcementcount 0 &gt;&gt;C:\Users\stu\Documents\GitHub\eaglep3-reporting\EC\2017-05-12-refined-times.txt</v>
      </c>
      <c r="AI115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{"issue":{"subject":"","project_id":79,"tracker_id":40,"status_id":1,"priority_id":2,"assigned_to_id":23,"start_date":"2017-05-12","description":"","custom_fields":[{"id":1,"name":"Subdivision","value":"EC"},{"id":4,"name":"Milepost","value":"0.016"},{"id":17,"name":"Train ID","value":"200-12"},{"id":16,"name":"Locomotive ID","value":"4011"},{"id":130,"name":"Impact","value":""},{"id":150,"name":"Time of Event (Mountain Time)","value":"17:35:28"},{"id":151,"name":"Denver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44"/>
        <v>start /low /b %USERPROFILE%\Documents\GitHub\eaglep3\Utilities\DownloadLogsFromS3.py --loco 4011 --day 2017-05-12</v>
      </c>
      <c r="AN115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23:35:28"},{"id":29,"name":"Sharepoint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728</v>
      </c>
      <c r="B116" s="7">
        <v>4014</v>
      </c>
      <c r="C116" s="21" t="s">
        <v>206</v>
      </c>
      <c r="D116" s="21" t="s">
        <v>367</v>
      </c>
      <c r="E116" s="13">
        <v>42867.673275462963</v>
      </c>
      <c r="F116" s="13">
        <v>42867.677268518521</v>
      </c>
      <c r="G116" s="7">
        <v>1</v>
      </c>
      <c r="H116" s="21" t="s">
        <v>836</v>
      </c>
      <c r="I116" s="13">
        <v>42867.702025462961</v>
      </c>
      <c r="J116" s="7">
        <v>0</v>
      </c>
      <c r="K116" s="92" t="str">
        <f t="shared" si="30"/>
        <v>4013/4014</v>
      </c>
      <c r="L116" s="21" t="str">
        <f>VLOOKUP(A116,'Trips&amp;Operators'!$C$1:$G$99999,5,FALSE)</f>
        <v>STEWART MICHAEL</v>
      </c>
      <c r="M116" s="6">
        <f t="shared" si="31"/>
        <v>2.4756944440014195E-2</v>
      </c>
      <c r="N116" s="7">
        <f t="shared" si="46"/>
        <v>35.64999999362044</v>
      </c>
      <c r="O116" s="7"/>
      <c r="P116" s="7"/>
      <c r="Q116" s="22"/>
      <c r="R116" s="190"/>
      <c r="S116" s="196">
        <f t="shared" si="47"/>
        <v>1</v>
      </c>
      <c r="T116" s="190" t="str">
        <f t="shared" si="32"/>
        <v>NorthBound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1" t="str">
        <f t="shared" si="33"/>
        <v>https://d0f6bd738d7f1b3e5a7ca70fe4ff75f0.us-east-1.aws.found.io/app/kibana#/discover/Steve-Slow-Train-Analysis-(2080s-and-2083s)?_g=(refreshInterval:(display:Off,pause:!f,section:0,value:0),time:(from:'2017-05-12T15:09:31-0600',mode:absolute,to:'2017-05-12T17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6" s="192" t="str">
        <f t="shared" si="34"/>
        <v>N</v>
      </c>
      <c r="X116" s="192">
        <f t="shared" si="27"/>
        <v>1</v>
      </c>
      <c r="Y116" s="192">
        <f t="shared" si="35"/>
        <v>4.6399999999999997E-2</v>
      </c>
      <c r="Z116" s="192">
        <f t="shared" si="36"/>
        <v>23.329699999999999</v>
      </c>
      <c r="AA116" s="192">
        <f t="shared" si="37"/>
        <v>23.283300000000001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38"/>
        <v>0201-12</v>
      </c>
      <c r="AE116" s="80" t="str">
        <f t="shared" si="39"/>
        <v>aws s3 cp s3://rtdc.mdm.uploadarchive.raw/RTDC4014/ "%USERPROFILE%\AppData\Local\Temp\OnboardLogs"\RTDC4014\2017-05-12 --exclude "*" --recursive --include "*20170512*" &amp; "%USERPROFILE%\Documents\GitHub\mrs-test-scripts\Headless Mode &amp; Sideloading\WalkAndUnGZ.bat" "%USERPROFILE%\AppData\Local\Temp\OnboardLogs"\RTDC4014\2017-05-12 &amp; aws s3 cp s3://rtdc.mdm.uploadarchive.raw/RTDC4014/ "%USERPROFILE%\AppData\Local\Temp\OnboardLogs"\RTDC4014\2017-05-13 --exclude "*" --recursive --include "*20170513*" &amp; "%USERPROFILE%\Documents\GitHub\mrs-test-scripts\Headless Mode &amp; Sideloading\WalkAndUnGZ.bat" "%USERPROFILE%\AppData\Local\Temp\OnboardLogs"\RTDC4014\2017-05-13</v>
      </c>
      <c r="AF116" s="77" t="str">
        <f t="shared" si="40"/>
        <v>"C:\Program Files (x86)\AstroGrep\AstroGrep.exe" /e /r /s /spath="%USERPROFILE%\AppData\Local\Temp\OnboardLogs" /stypes="app*4014*20170512*" /stext=" 22:.+((SYSTEM_STATE.+slice.+state.+changed )|(ment ac)|(multiple cpu faults)|(system.+state.+changed )|(\[timeout)|(PRM\|1\|D)|(kpr)|(kdp)|(train st.+moving)|(\|lc)|(penalty))"</v>
      </c>
      <c r="AG116" s="1" t="str">
        <f t="shared" si="41"/>
        <v>EC</v>
      </c>
      <c r="AH116" s="81" t="str">
        <f t="shared" si="42"/>
        <v>"%USERPROFILE%\Documents\GitHub\eaglep3\Utilities\RefineRTDCRunTimes.py" --tripid 201-12 --locoid 4014 --swversion DE.1.0.9.0 --startMP 204:464 --initTime 2017-05-12T16:09:31 --startdatetime 2017-05-12T16:15:16 --delay 1 --endMP 204:233297 --enddatetime 2017-05-12T16:50:55 --enforcementcount 0 &gt;&gt;C:\Users\stu\Documents\GitHub\eaglep3-reporting\EC\2017-05-12-refined-times.txt</v>
      </c>
      <c r="AI116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{"issue":{"subject":"","project_id":79,"tracker_id":40,"status_id":1,"priority_id":2,"assigned_to_id":23,"start_date":"2017-05-12","description":"","custom_fields":[{"id":1,"name":"Subdivision","value":"EC"},{"id":4,"name":"Milepost","value":"23.3297"},{"id":17,"name":"Train ID","value":"201-12"},{"id":16,"name":"Locomotive ID","value":"4014"},{"id":130,"name":"Impact","value":""},{"id":150,"name":"Time of Event (Mountain Time)","value":"16:50:55"},{"id":151,"name":"Denver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44"/>
        <v>start /low /b %USERPROFILE%\Documents\GitHub\eaglep3\Utilities\DownloadLogsFromS3.py --loco 4014 --day 2017-05-12</v>
      </c>
      <c r="AN116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22:50:55"},{"id":29,"name":"Sharepoint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585</v>
      </c>
      <c r="B117" s="7">
        <v>4013</v>
      </c>
      <c r="C117" s="21" t="s">
        <v>206</v>
      </c>
      <c r="D117" s="21" t="s">
        <v>879</v>
      </c>
      <c r="E117" s="13">
        <v>42867.712222222224</v>
      </c>
      <c r="F117" s="13">
        <v>42867.716331018521</v>
      </c>
      <c r="G117" s="7">
        <v>1</v>
      </c>
      <c r="H117" s="21" t="s">
        <v>880</v>
      </c>
      <c r="I117" s="13">
        <v>42867.743263888886</v>
      </c>
      <c r="J117" s="7">
        <v>0</v>
      </c>
      <c r="K117" s="92" t="str">
        <f t="shared" si="30"/>
        <v>4013/4014</v>
      </c>
      <c r="L117" s="21" t="str">
        <f>VLOOKUP(A117,'Trips&amp;Operators'!$C$1:$G$99999,5,FALSE)</f>
        <v>STEWART MICHAEL</v>
      </c>
      <c r="M117" s="6">
        <f t="shared" si="31"/>
        <v>2.693287036527181E-2</v>
      </c>
      <c r="N117" s="7">
        <f t="shared" si="46"/>
        <v>38.783333325991407</v>
      </c>
      <c r="O117" s="7"/>
      <c r="P117" s="7"/>
      <c r="Q117" s="22"/>
      <c r="R117" s="190"/>
      <c r="S117" s="196">
        <f t="shared" si="47"/>
        <v>1</v>
      </c>
      <c r="T117" s="190" t="str">
        <f t="shared" si="32"/>
        <v>Southbound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1" t="str">
        <f t="shared" si="33"/>
        <v>https://d0f6bd738d7f1b3e5a7ca70fe4ff75f0.us-east-1.aws.found.io/app/kibana#/discover/Steve-Slow-Train-Analysis-(2080s-and-2083s)?_g=(refreshInterval:(display:Off,pause:!f,section:0,value:0),time:(from:'2017-05-12T16:05:36-0600',mode:absolute,to:'2017-05-12T18:50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7" s="192" t="str">
        <f t="shared" si="34"/>
        <v>N</v>
      </c>
      <c r="X117" s="192">
        <f t="shared" si="27"/>
        <v>1</v>
      </c>
      <c r="Y117" s="192">
        <f t="shared" si="35"/>
        <v>23.298300000000001</v>
      </c>
      <c r="Z117" s="192">
        <f t="shared" si="36"/>
        <v>2.2700000000000001E-2</v>
      </c>
      <c r="AA117" s="192">
        <f t="shared" si="37"/>
        <v>23.275600000000001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38"/>
        <v>0202-12</v>
      </c>
      <c r="AE117" s="80" t="str">
        <f t="shared" si="39"/>
        <v>aws s3 cp s3://rtdc.mdm.uploadarchive.raw/RTDC4013/ "%USERPROFILE%\AppData\Local\Temp\OnboardLogs"\RTDC4013\2017-05-12 --exclude "*" --recursive --include "*20170512*" &amp; "%USERPROFILE%\Documents\GitHub\mrs-test-scripts\Headless Mode &amp; Sideloading\WalkAndUnGZ.bat" "%USERPROFILE%\AppData\Local\Temp\OnboardLogs"\RTDC4013\2017-05-12 &amp; aws s3 cp s3://rtdc.mdm.uploadarchive.raw/RTDC4013/ "%USERPROFILE%\AppData\Local\Temp\OnboardLogs"\RTDC4013\2017-05-13 --exclude "*" --recursive --include "*20170513*" &amp; "%USERPROFILE%\Documents\GitHub\mrs-test-scripts\Headless Mode &amp; Sideloading\WalkAndUnGZ.bat" "%USERPROFILE%\AppData\Local\Temp\OnboardLogs"\RTDC4013\2017-05-13</v>
      </c>
      <c r="AF117" s="77" t="str">
        <f t="shared" si="40"/>
        <v>"C:\Program Files (x86)\AstroGrep\AstroGrep.exe" /e /r /s /spath="%USERPROFILE%\AppData\Local\Temp\OnboardLogs" /stypes="app*4013*20170512*" /stext=" 23:.+((SYSTEM_STATE.+slice.+state.+changed )|(ment ac)|(multiple cpu faults)|(system.+state.+changed )|(\[timeout)|(PRM\|1\|D)|(kpr)|(kdp)|(train st.+moving)|(\|lc)|(penalty))"</v>
      </c>
      <c r="AG117" s="1" t="str">
        <f t="shared" si="41"/>
        <v>EC</v>
      </c>
      <c r="AH117" s="81" t="str">
        <f t="shared" si="42"/>
        <v>"%USERPROFILE%\Documents\GitHub\eaglep3\Utilities\RefineRTDCRunTimes.py" --tripid 202-12 --locoid 4013 --swversion DE.1.0.9.0 --startMP 204:232983 --initTime 2017-05-12T17:05:36 --startdatetime 2017-05-12T17:11:31 --delay 1 --endMP 204:227 --enddatetime 2017-05-12T17:50:18 --enforcementcount 0 &gt;&gt;C:\Users\stu\Documents\GitHub\eaglep3-reporting\EC\2017-05-12-refined-times.txt</v>
      </c>
      <c r="AI117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{"issue":{"subject":"","project_id":79,"tracker_id":40,"status_id":1,"priority_id":2,"assigned_to_id":23,"start_date":"2017-05-12","description":"","custom_fields":[{"id":1,"name":"Subdivision","value":"EC"},{"id":4,"name":"Milepost","value":"0.0227"},{"id":17,"name":"Train ID","value":"202-12"},{"id":16,"name":"Locomotive ID","value":"4013"},{"id":130,"name":"Impact","value":""},{"id":150,"name":"Time of Event (Mountain Time)","value":"17:50:18"},{"id":151,"name":"Denver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44"/>
        <v>start /low /b %USERPROFILE%\Documents\GitHub\eaglep3\Utilities\DownloadLogsFromS3.py --loco 4013 --day 2017-05-12</v>
      </c>
      <c r="AN117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23:50:18"},{"id":29,"name":"Sharepoint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729</v>
      </c>
      <c r="B118" s="7">
        <v>4022</v>
      </c>
      <c r="C118" s="21" t="s">
        <v>206</v>
      </c>
      <c r="D118" s="21" t="s">
        <v>202</v>
      </c>
      <c r="E118" s="13">
        <v>42867.68178240741</v>
      </c>
      <c r="F118" s="13">
        <v>42867.687673611108</v>
      </c>
      <c r="G118" s="7">
        <v>1</v>
      </c>
      <c r="H118" s="21" t="s">
        <v>881</v>
      </c>
      <c r="I118" s="13">
        <v>42867.712731481479</v>
      </c>
      <c r="J118" s="7">
        <v>0</v>
      </c>
      <c r="K118" s="92" t="str">
        <f t="shared" si="30"/>
        <v>4021/4022</v>
      </c>
      <c r="L118" s="21" t="str">
        <f>VLOOKUP(A118,'Trips&amp;Operators'!$C$1:$G$99999,5,FALSE)</f>
        <v>ROMERO CHAD</v>
      </c>
      <c r="M118" s="6">
        <f t="shared" si="31"/>
        <v>2.5057870370801538E-2</v>
      </c>
      <c r="N118" s="7">
        <f t="shared" si="46"/>
        <v>36.083333333954215</v>
      </c>
      <c r="O118" s="7"/>
      <c r="P118" s="7"/>
      <c r="Q118" s="22"/>
      <c r="R118" s="190"/>
      <c r="S118" s="196">
        <f t="shared" si="47"/>
        <v>1</v>
      </c>
      <c r="T118" s="190" t="str">
        <f t="shared" si="32"/>
        <v>NorthBound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 t="shared" si="33"/>
        <v>https://d0f6bd738d7f1b3e5a7ca70fe4ff75f0.us-east-1.aws.found.io/app/kibana#/discover/Steve-Slow-Train-Analysis-(2080s-and-2083s)?_g=(refreshInterval:(display:Off,pause:!f,section:0,value:0),time:(from:'2017-05-12T15:21:46-0600',mode:absolute,to:'2017-05-12T18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8" s="192" t="str">
        <f t="shared" si="34"/>
        <v>N</v>
      </c>
      <c r="X118" s="192">
        <f t="shared" si="27"/>
        <v>1</v>
      </c>
      <c r="Y118" s="192">
        <f t="shared" si="35"/>
        <v>4.5699999999999998E-2</v>
      </c>
      <c r="Z118" s="192">
        <f t="shared" si="36"/>
        <v>23.3416</v>
      </c>
      <c r="AA118" s="192">
        <f t="shared" si="37"/>
        <v>23.2959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38"/>
        <v>0203-12</v>
      </c>
      <c r="AE118" s="80" t="str">
        <f t="shared" si="39"/>
        <v>aws s3 cp s3://rtdc.mdm.uploadarchive.raw/RTDC4022/ "%USERPROFILE%\AppData\Local\Temp\OnboardLogs"\RTDC4022\2017-05-12 --exclude "*" --recursive --include "*20170512*" &amp; "%USERPROFILE%\Documents\GitHub\mrs-test-scripts\Headless Mode &amp; Sideloading\WalkAndUnGZ.bat" "%USERPROFILE%\AppData\Local\Temp\OnboardLogs"\RTDC4022\2017-05-12 &amp; aws s3 cp s3://rtdc.mdm.uploadarchive.raw/RTDC4022/ "%USERPROFILE%\AppData\Local\Temp\OnboardLogs"\RTDC4022\2017-05-13 --exclude "*" --recursive --include "*20170513*" &amp; "%USERPROFILE%\Documents\GitHub\mrs-test-scripts\Headless Mode &amp; Sideloading\WalkAndUnGZ.bat" "%USERPROFILE%\AppData\Local\Temp\OnboardLogs"\RTDC4022\2017-05-13</v>
      </c>
      <c r="AF118" s="77" t="str">
        <f t="shared" si="40"/>
        <v>"C:\Program Files (x86)\AstroGrep\AstroGrep.exe" /e /r /s /spath="%USERPROFILE%\AppData\Local\Temp\OnboardLogs" /stypes="app*4022*20170512*" /stext=" 23:.+((SYSTEM_STATE.+slice.+state.+changed )|(ment ac)|(multiple cpu faults)|(system.+state.+changed )|(\[timeout)|(PRM\|1\|D)|(kpr)|(kdp)|(train st.+moving)|(\|lc)|(penalty))"</v>
      </c>
      <c r="AG118" s="1" t="str">
        <f t="shared" si="41"/>
        <v>EC</v>
      </c>
      <c r="AH118" s="81" t="str">
        <f t="shared" si="42"/>
        <v>"%USERPROFILE%\Documents\GitHub\eaglep3\Utilities\RefineRTDCRunTimes.py" --tripid 203-12 --locoid 4022 --swversion DE.1.0.9.0 --startMP 204:457 --initTime 2017-05-12T16:21:46 --startdatetime 2017-05-12T16:30:15 --delay 1 --endMP 204:233416 --enddatetime 2017-05-12T17:06:20 --enforcementcount 0 &gt;&gt;C:\Users\stu\Documents\GitHub\eaglep3-reporting\EC\2017-05-12-refined-times.txt</v>
      </c>
      <c r="AI118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{"issue":{"subject":"","project_id":79,"tracker_id":40,"status_id":1,"priority_id":2,"assigned_to_id":23,"start_date":"2017-05-12","description":"","custom_fields":[{"id":1,"name":"Subdivision","value":"EC"},{"id":4,"name":"Milepost","value":"23.3416"},{"id":17,"name":"Train ID","value":"203-12"},{"id":16,"name":"Locomotive ID","value":"4022"},{"id":130,"name":"Impact","value":""},{"id":150,"name":"Time of Event (Mountain Time)","value":"17:06:20"},{"id":151,"name":"Denver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44"/>
        <v>start /low /b %USERPROFILE%\Documents\GitHub\eaglep3\Utilities\DownloadLogsFromS3.py --loco 4022 --day 2017-05-12</v>
      </c>
      <c r="AN118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23:06:20"},{"id":29,"name":"Sharepoint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739</v>
      </c>
      <c r="B119" s="7">
        <v>4021</v>
      </c>
      <c r="C119" s="21" t="s">
        <v>206</v>
      </c>
      <c r="D119" s="21" t="s">
        <v>882</v>
      </c>
      <c r="E119" s="13">
        <v>42867.71565972222</v>
      </c>
      <c r="F119" s="13">
        <v>42867.7265625</v>
      </c>
      <c r="G119" s="7">
        <v>1</v>
      </c>
      <c r="H119" s="21" t="s">
        <v>883</v>
      </c>
      <c r="I119" s="13">
        <v>42867.752280092594</v>
      </c>
      <c r="J119" s="7">
        <v>0</v>
      </c>
      <c r="K119" s="92" t="str">
        <f t="shared" si="30"/>
        <v>4021/4022</v>
      </c>
      <c r="L119" s="21" t="str">
        <f>VLOOKUP(A119,'Trips&amp;Operators'!$C$1:$G$99999,5,FALSE)</f>
        <v>ROMERO CHAD</v>
      </c>
      <c r="M119" s="6">
        <f t="shared" si="31"/>
        <v>2.5717592594446614E-2</v>
      </c>
      <c r="N119" s="7">
        <f t="shared" si="46"/>
        <v>37.033333336003125</v>
      </c>
      <c r="O119" s="7"/>
      <c r="P119" s="7"/>
      <c r="Q119" s="22"/>
      <c r="R119" s="190"/>
      <c r="S119" s="196">
        <f t="shared" si="47"/>
        <v>1</v>
      </c>
      <c r="T119" s="190" t="str">
        <f t="shared" si="32"/>
        <v>Southbound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 t="shared" si="33"/>
        <v>https://d0f6bd738d7f1b3e5a7ca70fe4ff75f0.us-east-1.aws.found.io/app/kibana#/discover/Steve-Slow-Train-Analysis-(2080s-and-2083s)?_g=(refreshInterval:(display:Off,pause:!f,section:0,value:0),time:(from:'2017-05-12T16:10:33-0600',mode:absolute,to:'2017-05-12T19:03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9" s="192" t="str">
        <f t="shared" si="34"/>
        <v>N</v>
      </c>
      <c r="X119" s="192">
        <f t="shared" si="27"/>
        <v>1</v>
      </c>
      <c r="Y119" s="192">
        <f t="shared" si="35"/>
        <v>23.308599999999998</v>
      </c>
      <c r="Z119" s="192">
        <f t="shared" si="36"/>
        <v>1.2500000000000001E-2</v>
      </c>
      <c r="AA119" s="192">
        <f t="shared" si="37"/>
        <v>23.296099999999999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38"/>
        <v>0204-12</v>
      </c>
      <c r="AE119" s="80" t="str">
        <f t="shared" si="39"/>
        <v>aws s3 cp s3://rtdc.mdm.uploadarchive.raw/RTDC4021/ "%USERPROFILE%\AppData\Local\Temp\OnboardLogs"\RTDC4021\2017-05-12 --exclude "*" --recursive --include "*20170512*" &amp; "%USERPROFILE%\Documents\GitHub\mrs-test-scripts\Headless Mode &amp; Sideloading\WalkAndUnGZ.bat" "%USERPROFILE%\AppData\Local\Temp\OnboardLogs"\RTDC4021\2017-05-12 &amp; aws s3 cp s3://rtdc.mdm.uploadarchive.raw/RTDC4021/ "%USERPROFILE%\AppData\Local\Temp\OnboardLogs"\RTDC4021\2017-05-13 --exclude "*" --recursive --include "*20170513*" &amp; "%USERPROFILE%\Documents\GitHub\mrs-test-scripts\Headless Mode &amp; Sideloading\WalkAndUnGZ.bat" "%USERPROFILE%\AppData\Local\Temp\OnboardLogs"\RTDC4021\2017-05-13</v>
      </c>
      <c r="AF119" s="77" t="str">
        <f t="shared" si="40"/>
        <v>"C:\Program Files (x86)\AstroGrep\AstroGrep.exe" /e /r /s /spath="%USERPROFILE%\AppData\Local\Temp\OnboardLogs" /stypes="app*4021*20170513*" /stext=" 00:.+((SYSTEM_STATE.+slice.+state.+changed )|(ment ac)|(multiple cpu faults)|(system.+state.+changed )|(\[timeout)|(PRM\|1\|D)|(kpr)|(kdp)|(train st.+moving)|(\|lc)|(penalty))"</v>
      </c>
      <c r="AG119" s="1" t="str">
        <f t="shared" si="41"/>
        <v>EC</v>
      </c>
      <c r="AH119" s="81" t="str">
        <f t="shared" si="42"/>
        <v>"%USERPROFILE%\Documents\GitHub\eaglep3\Utilities\RefineRTDCRunTimes.py" --tripid 204-12 --locoid 4021 --swversion DE.1.0.9.0 --startMP 204:233086 --initTime 2017-05-12T17:10:33 --startdatetime 2017-05-12T17:26:15 --delay 1 --endMP 204:125 --enddatetime 2017-05-12T18:03:17 --enforcementcount 0 &gt;&gt;C:\Users\stu\Documents\GitHub\eaglep3-reporting\EC\2017-05-12-refined-times.txt</v>
      </c>
      <c r="AI119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{"issue":{"subject":"","project_id":79,"tracker_id":40,"status_id":1,"priority_id":2,"assigned_to_id":23,"start_date":"2017-05-12","description":"","custom_fields":[{"id":1,"name":"Subdivision","value":"EC"},{"id":4,"name":"Milepost","value":"0.0125"},{"id":17,"name":"Train ID","value":"204-12"},{"id":16,"name":"Locomotive ID","value":"4021"},{"id":130,"name":"Impact","value":""},{"id":150,"name":"Time of Event (Mountain Time)","value":"18:03:17"},{"id":151,"name":"Denver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44"/>
        <v>start /low /b %USERPROFILE%\Documents\GitHub\eaglep3\Utilities\DownloadLogsFromS3.py --loco 4021 --day 2017-05-12</v>
      </c>
      <c r="AN119" s="154" t="str">
        <f t="shared" si="45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00:03:17"},{"id":29,"name":"Sharepoint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734</v>
      </c>
      <c r="B120" s="7">
        <v>4016</v>
      </c>
      <c r="C120" s="21" t="s">
        <v>206</v>
      </c>
      <c r="D120" s="21" t="s">
        <v>884</v>
      </c>
      <c r="E120" s="13">
        <v>42867.695428240739</v>
      </c>
      <c r="F120" s="13">
        <v>42867.69809027778</v>
      </c>
      <c r="G120" s="7">
        <v>1</v>
      </c>
      <c r="H120" s="21" t="s">
        <v>522</v>
      </c>
      <c r="I120" s="13">
        <v>42867.724074074074</v>
      </c>
      <c r="J120" s="7">
        <v>0</v>
      </c>
      <c r="K120" s="92" t="str">
        <f t="shared" si="30"/>
        <v>4015/4016</v>
      </c>
      <c r="L120" s="21" t="str">
        <f>VLOOKUP(A120,'Trips&amp;Operators'!$C$1:$G$99999,5,FALSE)</f>
        <v>CLARK KATHLEEN</v>
      </c>
      <c r="M120" s="6">
        <f t="shared" si="31"/>
        <v>2.5983796294895001E-2</v>
      </c>
      <c r="N120" s="7">
        <f t="shared" si="46"/>
        <v>37.416666664648801</v>
      </c>
      <c r="O120" s="7"/>
      <c r="P120" s="7"/>
      <c r="Q120" s="22"/>
      <c r="R120" s="190"/>
      <c r="S120" s="196">
        <f t="shared" si="47"/>
        <v>1</v>
      </c>
      <c r="T120" s="190" t="str">
        <f t="shared" si="32"/>
        <v>NorthBound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 t="shared" si="33"/>
        <v>https://d0f6bd738d7f1b3e5a7ca70fe4ff75f0.us-east-1.aws.found.io/app/kibana#/discover/Steve-Slow-Train-Analysis-(2080s-and-2083s)?_g=(refreshInterval:(display:Off,pause:!f,section:0,value:0),time:(from:'2017-05-12T15:41:25-0600',mode:absolute,to:'2017-05-12T18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0" s="192" t="str">
        <f t="shared" si="34"/>
        <v>N</v>
      </c>
      <c r="X120" s="192">
        <f t="shared" si="27"/>
        <v>1</v>
      </c>
      <c r="Y120" s="192">
        <f t="shared" si="35"/>
        <v>4.9299999999999997E-2</v>
      </c>
      <c r="Z120" s="192">
        <f t="shared" si="36"/>
        <v>23.328499999999998</v>
      </c>
      <c r="AA120" s="192">
        <f t="shared" si="37"/>
        <v>23.279199999999999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38"/>
        <v>0205-12</v>
      </c>
      <c r="AE120" s="80" t="str">
        <f t="shared" si="39"/>
        <v>aws s3 cp s3://rtdc.mdm.uploadarchive.raw/RTDC4016/ "%USERPROFILE%\AppData\Local\Temp\OnboardLogs"\RTDC4016\2017-05-12 --exclude "*" --recursive --include "*20170512*" &amp; "%USERPROFILE%\Documents\GitHub\mrs-test-scripts\Headless Mode &amp; Sideloading\WalkAndUnGZ.bat" "%USERPROFILE%\AppData\Local\Temp\OnboardLogs"\RTDC4016\2017-05-12 &amp; aws s3 cp s3://rtdc.mdm.uploadarchive.raw/RTDC4016/ "%USERPROFILE%\AppData\Local\Temp\OnboardLogs"\RTDC4016\2017-05-13 --exclude "*" --recursive --include "*20170513*" &amp; "%USERPROFILE%\Documents\GitHub\mrs-test-scripts\Headless Mode &amp; Sideloading\WalkAndUnGZ.bat" "%USERPROFILE%\AppData\Local\Temp\OnboardLogs"\RTDC4016\2017-05-13</v>
      </c>
      <c r="AF120" s="77" t="str">
        <f t="shared" si="40"/>
        <v>"C:\Program Files (x86)\AstroGrep\AstroGrep.exe" /e /r /s /spath="%USERPROFILE%\AppData\Local\Temp\OnboardLogs" /stypes="app*4016*20170512*" /stext=" 23:.+((SYSTEM_STATE.+slice.+state.+changed )|(ment ac)|(multiple cpu faults)|(system.+state.+changed )|(\[timeout)|(PRM\|1\|D)|(kpr)|(kdp)|(train st.+moving)|(\|lc)|(penalty))"</v>
      </c>
      <c r="AG120" s="1" t="str">
        <f t="shared" si="41"/>
        <v>EC</v>
      </c>
      <c r="AH120" s="81" t="str">
        <f t="shared" si="42"/>
        <v>"%USERPROFILE%\Documents\GitHub\eaglep3\Utilities\RefineRTDCRunTimes.py" --tripid 205-12 --locoid 4016 --swversion DE.1.0.9.0 --startMP 204:493 --initTime 2017-05-12T16:41:25 --startdatetime 2017-05-12T16:45:15 --delay 1 --endMP 204:233285 --enddatetime 2017-05-12T17:22:40 --enforcementcount 0 &gt;&gt;C:\Users\stu\Documents\GitHub\eaglep3-reporting\EC\2017-05-12-refined-times.txt</v>
      </c>
      <c r="AI120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{"issue":{"subject":"","project_id":79,"tracker_id":40,"status_id":1,"priority_id":2,"assigned_to_id":23,"start_date":"2017-05-12","description":"","custom_fields":[{"id":1,"name":"Subdivision","value":"EC"},{"id":4,"name":"Milepost","value":"23.3285"},{"id":17,"name":"Train ID","value":"205-12"},{"id":16,"name":"Locomotive ID","value":"4016"},{"id":130,"name":"Impact","value":""},{"id":150,"name":"Time of Event (Mountain Time)","value":"17:22:40"},{"id":151,"name":"Denver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44"/>
        <v>start /low /b %USERPROFILE%\Documents\GitHub\eaglep3\Utilities\DownloadLogsFromS3.py --loco 4016 --day 2017-05-12</v>
      </c>
      <c r="AN120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23:22:40"},{"id":29,"name":"Sharepoint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742</v>
      </c>
      <c r="B121" s="7">
        <v>4015</v>
      </c>
      <c r="C121" s="21" t="s">
        <v>206</v>
      </c>
      <c r="D121" s="21" t="s">
        <v>885</v>
      </c>
      <c r="E121" s="13">
        <v>42867.731712962966</v>
      </c>
      <c r="F121" s="13">
        <v>42867.736956018518</v>
      </c>
      <c r="G121" s="7">
        <v>1</v>
      </c>
      <c r="H121" s="21" t="s">
        <v>886</v>
      </c>
      <c r="I121" s="13">
        <v>42867.765370370369</v>
      </c>
      <c r="J121" s="7">
        <v>0</v>
      </c>
      <c r="K121" s="92" t="str">
        <f t="shared" si="30"/>
        <v>4015/4016</v>
      </c>
      <c r="L121" s="21" t="str">
        <f>VLOOKUP(A121,'Trips&amp;Operators'!$C$1:$G$99999,5,FALSE)</f>
        <v>CLARK KATHLEEN</v>
      </c>
      <c r="M121" s="6">
        <f t="shared" si="31"/>
        <v>2.8414351851097308E-2</v>
      </c>
      <c r="N121" s="7">
        <f t="shared" si="46"/>
        <v>40.916666665580124</v>
      </c>
      <c r="O121" s="7"/>
      <c r="P121" s="7"/>
      <c r="Q121" s="22"/>
      <c r="R121" s="190"/>
      <c r="S121" s="196">
        <f t="shared" si="47"/>
        <v>1</v>
      </c>
      <c r="T121" s="190" t="str">
        <f t="shared" si="32"/>
        <v>Southbound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 t="shared" si="33"/>
        <v>https://d0f6bd738d7f1b3e5a7ca70fe4ff75f0.us-east-1.aws.found.io/app/kibana#/discover/Steve-Slow-Train-Analysis-(2080s-and-2083s)?_g=(refreshInterval:(display:Off,pause:!f,section:0,value:0),time:(from:'2017-05-12T16:33:40-0600',mode:absolute,to:'2017-05-12T19:22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1" s="192" t="str">
        <f t="shared" si="34"/>
        <v>N</v>
      </c>
      <c r="X121" s="192">
        <f t="shared" si="27"/>
        <v>1</v>
      </c>
      <c r="Y121" s="192">
        <f t="shared" si="35"/>
        <v>23.297000000000001</v>
      </c>
      <c r="Z121" s="192">
        <f t="shared" si="36"/>
        <v>1.6500000000000001E-2</v>
      </c>
      <c r="AA121" s="192">
        <f t="shared" si="37"/>
        <v>23.2805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38"/>
        <v>0206-12</v>
      </c>
      <c r="AE121" s="80" t="str">
        <f t="shared" si="39"/>
        <v>aws s3 cp s3://rtdc.mdm.uploadarchive.raw/RTDC4015/ "%USERPROFILE%\AppData\Local\Temp\OnboardLogs"\RTDC4015\2017-05-12 --exclude "*" --recursive --include "*20170512*" &amp; "%USERPROFILE%\Documents\GitHub\mrs-test-scripts\Headless Mode &amp; Sideloading\WalkAndUnGZ.bat" "%USERPROFILE%\AppData\Local\Temp\OnboardLogs"\RTDC4015\2017-05-12 &amp; aws s3 cp s3://rtdc.mdm.uploadarchive.raw/RTDC4015/ "%USERPROFILE%\AppData\Local\Temp\OnboardLogs"\RTDC4015\2017-05-13 --exclude "*" --recursive --include "*20170513*" &amp; "%USERPROFILE%\Documents\GitHub\mrs-test-scripts\Headless Mode &amp; Sideloading\WalkAndUnGZ.bat" "%USERPROFILE%\AppData\Local\Temp\OnboardLogs"\RTDC4015\2017-05-13</v>
      </c>
      <c r="AF121" s="77" t="str">
        <f t="shared" si="40"/>
        <v>"C:\Program Files (x86)\AstroGrep\AstroGrep.exe" /e /r /s /spath="%USERPROFILE%\AppData\Local\Temp\OnboardLogs" /stypes="app*4015*20170513*" /stext=" 00:.+((SYSTEM_STATE.+slice.+state.+changed )|(ment ac)|(multiple cpu faults)|(system.+state.+changed )|(\[timeout)|(PRM\|1\|D)|(kpr)|(kdp)|(train st.+moving)|(\|lc)|(penalty))"</v>
      </c>
      <c r="AG121" s="1" t="str">
        <f t="shared" si="41"/>
        <v>EC</v>
      </c>
      <c r="AH121" s="81" t="str">
        <f t="shared" si="42"/>
        <v>"%USERPROFILE%\Documents\GitHub\eaglep3\Utilities\RefineRTDCRunTimes.py" --tripid 206-12 --locoid 4015 --swversion DE.1.0.9.0 --startMP 204:232970 --initTime 2017-05-12T17:33:40 --startdatetime 2017-05-12T17:41:13 --delay 1 --endMP 204:165 --enddatetime 2017-05-12T18:22:08 --enforcementcount 0 &gt;&gt;C:\Users\stu\Documents\GitHub\eaglep3-reporting\EC\2017-05-12-refined-times.txt</v>
      </c>
      <c r="AI121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{"issue":{"subject":"","project_id":79,"tracker_id":40,"status_id":1,"priority_id":2,"assigned_to_id":23,"start_date":"2017-05-12","description":"","custom_fields":[{"id":1,"name":"Subdivision","value":"EC"},{"id":4,"name":"Milepost","value":"0.0165"},{"id":17,"name":"Train ID","value":"206-12"},{"id":16,"name":"Locomotive ID","value":"4015"},{"id":130,"name":"Impact","value":""},{"id":150,"name":"Time of Event (Mountain Time)","value":"18:22:08"},{"id":151,"name":"Denver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44"/>
        <v>start /low /b %USERPROFILE%\Documents\GitHub\eaglep3\Utilities\DownloadLogsFromS3.py --loco 4015 --day 2017-05-12</v>
      </c>
      <c r="AN121" s="154" t="str">
        <f t="shared" si="45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00:22:08"},{"id":29,"name":"Sharepoint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735</v>
      </c>
      <c r="B122" s="7">
        <v>4010</v>
      </c>
      <c r="C122" s="21" t="s">
        <v>206</v>
      </c>
      <c r="D122" s="21" t="s">
        <v>347</v>
      </c>
      <c r="E122" s="13">
        <v>42867.702268518522</v>
      </c>
      <c r="F122" s="13">
        <v>42867.708726851852</v>
      </c>
      <c r="G122" s="7">
        <v>3</v>
      </c>
      <c r="H122" s="21" t="s">
        <v>520</v>
      </c>
      <c r="I122" s="13">
        <v>42867.733680555553</v>
      </c>
      <c r="J122" s="7">
        <v>0</v>
      </c>
      <c r="K122" s="92" t="str">
        <f t="shared" si="30"/>
        <v>4009/4010</v>
      </c>
      <c r="L122" s="21" t="str">
        <f>VLOOKUP(A122,'Trips&amp;Operators'!$C$1:$G$99999,5,FALSE)</f>
        <v>LOPES KIMBERLY</v>
      </c>
      <c r="M122" s="6">
        <f t="shared" si="31"/>
        <v>2.495370370161254E-2</v>
      </c>
      <c r="N122" s="7">
        <f t="shared" si="46"/>
        <v>35.933333330322057</v>
      </c>
      <c r="O122" s="7"/>
      <c r="P122" s="7"/>
      <c r="Q122" s="22"/>
      <c r="R122" s="190"/>
      <c r="S122" s="196">
        <f t="shared" si="47"/>
        <v>1</v>
      </c>
      <c r="T122" s="190" t="str">
        <f t="shared" si="32"/>
        <v>NorthBound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 t="shared" si="33"/>
        <v>https://d0f6bd738d7f1b3e5a7ca70fe4ff75f0.us-east-1.aws.found.io/app/kibana#/discover/Steve-Slow-Train-Analysis-(2080s-and-2083s)?_g=(refreshInterval:(display:Off,pause:!f,section:0,value:0),time:(from:'2017-05-12T15:51:16-0600',mode:absolute,to:'2017-05-12T18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2" s="192" t="str">
        <f t="shared" si="34"/>
        <v>N</v>
      </c>
      <c r="X122" s="192">
        <f t="shared" si="27"/>
        <v>1</v>
      </c>
      <c r="Y122" s="192">
        <f t="shared" si="35"/>
        <v>4.4900000000000002E-2</v>
      </c>
      <c r="Z122" s="192">
        <f t="shared" si="36"/>
        <v>23.328900000000001</v>
      </c>
      <c r="AA122" s="192">
        <f t="shared" si="37"/>
        <v>23.284000000000002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38"/>
        <v>0207-12</v>
      </c>
      <c r="AE122" s="80" t="str">
        <f t="shared" si="39"/>
        <v>aws s3 cp s3://rtdc.mdm.uploadarchive.raw/RTDC4010/ "%USERPROFILE%\AppData\Local\Temp\OnboardLogs"\RTDC4010\2017-05-12 --exclude "*" --recursive --include "*20170512*" &amp; "%USERPROFILE%\Documents\GitHub\mrs-test-scripts\Headless Mode &amp; Sideloading\WalkAndUnGZ.bat" "%USERPROFILE%\AppData\Local\Temp\OnboardLogs"\RTDC4010\2017-05-12 &amp; aws s3 cp s3://rtdc.mdm.uploadarchive.raw/RTDC4010/ "%USERPROFILE%\AppData\Local\Temp\OnboardLogs"\RTDC4010\2017-05-13 --exclude "*" --recursive --include "*20170513*" &amp; "%USERPROFILE%\Documents\GitHub\mrs-test-scripts\Headless Mode &amp; Sideloading\WalkAndUnGZ.bat" "%USERPROFILE%\AppData\Local\Temp\OnboardLogs"\RTDC4010\2017-05-13</v>
      </c>
      <c r="AF122" s="77" t="str">
        <f t="shared" si="40"/>
        <v>"C:\Program Files (x86)\AstroGrep\AstroGrep.exe" /e /r /s /spath="%USERPROFILE%\AppData\Local\Temp\OnboardLogs" /stypes="app*4010*20170512*" /stext=" 23:.+((SYSTEM_STATE.+slice.+state.+changed )|(ment ac)|(multiple cpu faults)|(system.+state.+changed )|(\[timeout)|(PRM\|1\|D)|(kpr)|(kdp)|(train st.+moving)|(\|lc)|(penalty))"</v>
      </c>
      <c r="AG122" s="1" t="str">
        <f t="shared" si="41"/>
        <v>EC</v>
      </c>
      <c r="AH122" s="81" t="str">
        <f t="shared" si="42"/>
        <v>"%USERPROFILE%\Documents\GitHub\eaglep3\Utilities\RefineRTDCRunTimes.py" --tripid 207-12 --locoid 4010 --swversion DE.1.0.9.0 --startMP 204:449 --initTime 2017-05-12T16:51:16 --startdatetime 2017-05-12T17:00:34 --delay 3 --endMP 204:233289 --enddatetime 2017-05-12T17:36:30 --enforcementcount 0 &gt;&gt;C:\Users\stu\Documents\GitHub\eaglep3-reporting\EC\2017-05-12-refined-times.txt</v>
      </c>
      <c r="AI122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{"issue":{"subject":"","project_id":79,"tracker_id":40,"status_id":1,"priority_id":2,"assigned_to_id":23,"start_date":"2017-05-12","description":"","custom_fields":[{"id":1,"name":"Subdivision","value":"EC"},{"id":4,"name":"Milepost","value":"23.3289"},{"id":17,"name":"Train ID","value":"207-12"},{"id":16,"name":"Locomotive ID","value":"4010"},{"id":130,"name":"Impact","value":""},{"id":150,"name":"Time of Event (Mountain Time)","value":"17:36:30"},{"id":151,"name":"Denver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44"/>
        <v>start /low /b %USERPROFILE%\Documents\GitHub\eaglep3\Utilities\DownloadLogsFromS3.py --loco 4010 --day 2017-05-12</v>
      </c>
      <c r="AN122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23:36:30"},{"id":29,"name":"Sharepoint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746</v>
      </c>
      <c r="B123" s="7">
        <v>4009</v>
      </c>
      <c r="C123" s="21" t="s">
        <v>206</v>
      </c>
      <c r="D123" s="21" t="s">
        <v>434</v>
      </c>
      <c r="E123" s="13">
        <v>42867.740671296298</v>
      </c>
      <c r="F123" s="13">
        <v>42867.747384259259</v>
      </c>
      <c r="G123" s="7">
        <v>1</v>
      </c>
      <c r="H123" s="21" t="s">
        <v>373</v>
      </c>
      <c r="I123" s="13">
        <v>42867.774780092594</v>
      </c>
      <c r="J123" s="7">
        <v>0</v>
      </c>
      <c r="K123" s="92" t="str">
        <f t="shared" si="30"/>
        <v>4009/4010</v>
      </c>
      <c r="L123" s="21" t="str">
        <f>VLOOKUP(A123,'Trips&amp;Operators'!$C$1:$G$99999,5,FALSE)</f>
        <v>LOPES KIMBERLY</v>
      </c>
      <c r="M123" s="6">
        <f t="shared" si="31"/>
        <v>2.7395833334594499E-2</v>
      </c>
      <c r="N123" s="7">
        <f t="shared" si="46"/>
        <v>39.450000001816079</v>
      </c>
      <c r="O123" s="7"/>
      <c r="P123" s="7"/>
      <c r="Q123" s="22"/>
      <c r="R123" s="190"/>
      <c r="S123" s="196">
        <f t="shared" si="47"/>
        <v>1</v>
      </c>
      <c r="T123" s="190" t="str">
        <f t="shared" si="32"/>
        <v>Southbound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 t="shared" si="33"/>
        <v>https://d0f6bd738d7f1b3e5a7ca70fe4ff75f0.us-east-1.aws.found.io/app/kibana#/discover/Steve-Slow-Train-Analysis-(2080s-and-2083s)?_g=(refreshInterval:(display:Off,pause:!f,section:0,value:0),time:(from:'2017-05-12T16:46:34-0600',mode:absolute,to:'2017-05-12T19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3" s="192" t="str">
        <f t="shared" si="34"/>
        <v>N</v>
      </c>
      <c r="X123" s="192">
        <f t="shared" si="27"/>
        <v>1</v>
      </c>
      <c r="Y123" s="192">
        <f t="shared" si="35"/>
        <v>23.297799999999999</v>
      </c>
      <c r="Z123" s="192">
        <f t="shared" si="36"/>
        <v>1.3899999999999999E-2</v>
      </c>
      <c r="AA123" s="192">
        <f t="shared" si="37"/>
        <v>23.283899999999999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38"/>
        <v>0208-12</v>
      </c>
      <c r="AE123" s="80" t="str">
        <f t="shared" si="39"/>
        <v>aws s3 cp s3://rtdc.mdm.uploadarchive.raw/RTDC4009/ "%USERPROFILE%\AppData\Local\Temp\OnboardLogs"\RTDC4009\2017-05-12 --exclude "*" --recursive --include "*20170512*" &amp; "%USERPROFILE%\Documents\GitHub\mrs-test-scripts\Headless Mode &amp; Sideloading\WalkAndUnGZ.bat" "%USERPROFILE%\AppData\Local\Temp\OnboardLogs"\RTDC4009\2017-05-12 &amp; aws s3 cp s3://rtdc.mdm.uploadarchive.raw/RTDC4009/ "%USERPROFILE%\AppData\Local\Temp\OnboardLogs"\RTDC4009\2017-05-13 --exclude "*" --recursive --include "*20170513*" &amp; "%USERPROFILE%\Documents\GitHub\mrs-test-scripts\Headless Mode &amp; Sideloading\WalkAndUnGZ.bat" "%USERPROFILE%\AppData\Local\Temp\OnboardLogs"\RTDC4009\2017-05-13</v>
      </c>
      <c r="AF123" s="77" t="str">
        <f t="shared" si="40"/>
        <v>"C:\Program Files (x86)\AstroGrep\AstroGrep.exe" /e /r /s /spath="%USERPROFILE%\AppData\Local\Temp\OnboardLogs" /stypes="app*4009*20170513*" /stext=" 00:.+((SYSTEM_STATE.+slice.+state.+changed )|(ment ac)|(multiple cpu faults)|(system.+state.+changed )|(\[timeout)|(PRM\|1\|D)|(kpr)|(kdp)|(train st.+moving)|(\|lc)|(penalty))"</v>
      </c>
      <c r="AG123" s="1" t="str">
        <f t="shared" si="41"/>
        <v>EC</v>
      </c>
      <c r="AH123" s="81" t="str">
        <f t="shared" si="42"/>
        <v>"%USERPROFILE%\Documents\GitHub\eaglep3\Utilities\RefineRTDCRunTimes.py" --tripid 208-12 --locoid 4009 --swversion DE.1.0.9.0 --startMP 204:232978 --initTime 2017-05-12T17:46:34 --startdatetime 2017-05-12T17:56:14 --delay 1 --endMP 204:139 --enddatetime 2017-05-12T18:35:41 --enforcementcount 0 &gt;&gt;C:\Users\stu\Documents\GitHub\eaglep3-reporting\EC\2017-05-12-refined-times.txt</v>
      </c>
      <c r="AI123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{"issue":{"subject":"","project_id":79,"tracker_id":40,"status_id":1,"priority_id":2,"assigned_to_id":23,"start_date":"2017-05-12","description":"","custom_fields":[{"id":1,"name":"Subdivision","value":"EC"},{"id":4,"name":"Milepost","value":"0.0139"},{"id":17,"name":"Train ID","value":"208-12"},{"id":16,"name":"Locomotive ID","value":"4009"},{"id":130,"name":"Impact","value":""},{"id":150,"name":"Time of Event (Mountain Time)","value":"18:35:41"},{"id":151,"name":"Denver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44"/>
        <v>start /low /b %USERPROFILE%\Documents\GitHub\eaglep3\Utilities\DownloadLogsFromS3.py --loco 4009 --day 2017-05-12</v>
      </c>
      <c r="AN123" s="154" t="str">
        <f t="shared" si="45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00:35:41"},{"id":29,"name":"Sharepoint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740</v>
      </c>
      <c r="B124" s="7">
        <v>4046</v>
      </c>
      <c r="C124" s="21" t="s">
        <v>206</v>
      </c>
      <c r="D124" s="21" t="s">
        <v>386</v>
      </c>
      <c r="E124" s="13">
        <v>42867.717187499999</v>
      </c>
      <c r="F124" s="13">
        <v>42867.718935185185</v>
      </c>
      <c r="G124" s="7">
        <v>0</v>
      </c>
      <c r="H124" s="21" t="s">
        <v>887</v>
      </c>
      <c r="I124" s="13">
        <v>42867.743518518517</v>
      </c>
      <c r="J124" s="7">
        <v>0</v>
      </c>
      <c r="K124" s="92" t="str">
        <f t="shared" si="30"/>
        <v>4045/4046</v>
      </c>
      <c r="L124" s="21" t="str">
        <f>VLOOKUP(A124,'Trips&amp;Operators'!$C$1:$G$99999,5,FALSE)</f>
        <v>HELVIE ADAM</v>
      </c>
      <c r="M124" s="6">
        <f t="shared" si="31"/>
        <v>2.4583333331975155E-2</v>
      </c>
      <c r="N124" s="7">
        <f t="shared" si="46"/>
        <v>35.399999998044223</v>
      </c>
      <c r="O124" s="7"/>
      <c r="P124" s="7"/>
      <c r="Q124" s="22"/>
      <c r="R124" s="190"/>
      <c r="S124" s="196">
        <f t="shared" si="47"/>
        <v>1</v>
      </c>
      <c r="T124" s="190" t="str">
        <f t="shared" si="32"/>
        <v>NorthBound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 t="shared" si="33"/>
        <v>https://d0f6bd738d7f1b3e5a7ca70fe4ff75f0.us-east-1.aws.found.io/app/kibana#/discover/Steve-Slow-Train-Analysis-(2080s-and-2083s)?_g=(refreshInterval:(display:Off,pause:!f,section:0,value:0),time:(from:'2017-05-12T16:12:45-0600',mode:absolute,to:'2017-05-12T18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4" s="192" t="str">
        <f t="shared" si="34"/>
        <v>N</v>
      </c>
      <c r="X124" s="192">
        <f t="shared" si="27"/>
        <v>1</v>
      </c>
      <c r="Y124" s="192">
        <f t="shared" si="35"/>
        <v>4.5499999999999999E-2</v>
      </c>
      <c r="Z124" s="192">
        <f t="shared" si="36"/>
        <v>23.329499999999999</v>
      </c>
      <c r="AA124" s="192">
        <f t="shared" si="37"/>
        <v>23.283999999999999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38"/>
        <v>0209-12</v>
      </c>
      <c r="AE124" s="80" t="str">
        <f t="shared" si="39"/>
        <v>aws s3 cp s3://rtdc.mdm.uploadarchive.raw/RTDC4046/ "%USERPROFILE%\AppData\Local\Temp\OnboardLogs"\RTDC4046\2017-05-12 --exclude "*" --recursive --include "*20170512*" &amp; "%USERPROFILE%\Documents\GitHub\mrs-test-scripts\Headless Mode &amp; Sideloading\WalkAndUnGZ.bat" "%USERPROFILE%\AppData\Local\Temp\OnboardLogs"\RTDC4046\2017-05-12 &amp; aws s3 cp s3://rtdc.mdm.uploadarchive.raw/RTDC4046/ "%USERPROFILE%\AppData\Local\Temp\OnboardLogs"\RTDC4046\2017-05-13 --exclude "*" --recursive --include "*20170513*" &amp; "%USERPROFILE%\Documents\GitHub\mrs-test-scripts\Headless Mode &amp; Sideloading\WalkAndUnGZ.bat" "%USERPROFILE%\AppData\Local\Temp\OnboardLogs"\RTDC4046\2017-05-13</v>
      </c>
      <c r="AF124" s="77" t="str">
        <f t="shared" si="40"/>
        <v>"C:\Program Files (x86)\AstroGrep\AstroGrep.exe" /e /r /s /spath="%USERPROFILE%\AppData\Local\Temp\OnboardLogs" /stypes="app*4046*20170512*" /stext=" 23:.+((SYSTEM_STATE.+slice.+state.+changed )|(ment ac)|(multiple cpu faults)|(system.+state.+changed )|(\[timeout)|(PRM\|1\|D)|(kpr)|(kdp)|(train st.+moving)|(\|lc)|(penalty))"</v>
      </c>
      <c r="AG124" s="1" t="str">
        <f t="shared" si="41"/>
        <v>EC</v>
      </c>
      <c r="AH124" s="81" t="str">
        <f t="shared" si="42"/>
        <v>"%USERPROFILE%\Documents\GitHub\eaglep3\Utilities\RefineRTDCRunTimes.py" --tripid 209-12 --locoid 4046 --swversion DE.1.0.9.0 --startMP 204:455 --initTime 2017-05-12T17:12:45 --startdatetime 2017-05-12T17:15:16 --delay 0 --endMP 204:233295 --enddatetime 2017-05-12T17:50:40 --enforcementcount 0 &gt;&gt;C:\Users\stu\Documents\GitHub\eaglep3-reporting\EC\2017-05-12-refined-times.txt</v>
      </c>
      <c r="AI124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{"issue":{"subject":"","project_id":79,"tracker_id":40,"status_id":1,"priority_id":2,"assigned_to_id":23,"start_date":"2017-05-12","description":"","custom_fields":[{"id":1,"name":"Subdivision","value":"EC"},{"id":4,"name":"Milepost","value":"23.3295"},{"id":17,"name":"Train ID","value":"209-12"},{"id":16,"name":"Locomotive ID","value":"4046"},{"id":130,"name":"Impact","value":""},{"id":150,"name":"Time of Event (Mountain Time)","value":"17:50:40"},{"id":151,"name":"Denver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44"/>
        <v>start /low /b %USERPROFILE%\Documents\GitHub\eaglep3\Utilities\DownloadLogsFromS3.py --loco 4046 --day 2017-05-12</v>
      </c>
      <c r="AN124" s="154" t="str">
        <f t="shared" si="45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23:50:40"},{"id":29,"name":"Sharepoint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755</v>
      </c>
      <c r="B125" s="7">
        <v>4045</v>
      </c>
      <c r="C125" s="21" t="s">
        <v>206</v>
      </c>
      <c r="D125" s="21" t="s">
        <v>865</v>
      </c>
      <c r="E125" s="13">
        <v>42867.755520833336</v>
      </c>
      <c r="F125" s="13">
        <v>42867.757835648146</v>
      </c>
      <c r="G125" s="7">
        <v>1</v>
      </c>
      <c r="H125" s="21" t="s">
        <v>198</v>
      </c>
      <c r="I125" s="13">
        <v>42867.783761574072</v>
      </c>
      <c r="J125" s="7">
        <v>0</v>
      </c>
      <c r="K125" s="92" t="str">
        <f t="shared" si="30"/>
        <v>4045/4046</v>
      </c>
      <c r="L125" s="21" t="str">
        <f>VLOOKUP(A125,'Trips&amp;Operators'!$C$1:$G$99999,5,FALSE)</f>
        <v>HELVIE ADAM</v>
      </c>
      <c r="M125" s="6">
        <f t="shared" si="31"/>
        <v>2.5925925925548654E-2</v>
      </c>
      <c r="N125" s="7">
        <f t="shared" si="46"/>
        <v>37.333333332790062</v>
      </c>
      <c r="O125" s="7"/>
      <c r="P125" s="7"/>
      <c r="Q125" s="22"/>
      <c r="R125" s="190"/>
      <c r="S125" s="196">
        <f t="shared" si="47"/>
        <v>1</v>
      </c>
      <c r="T125" s="190" t="str">
        <f t="shared" si="32"/>
        <v>Southbound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 t="shared" si="33"/>
        <v>https://d0f6bd738d7f1b3e5a7ca70fe4ff75f0.us-east-1.aws.found.io/app/kibana#/discover/Steve-Slow-Train-Analysis-(2080s-and-2083s)?_g=(refreshInterval:(display:Off,pause:!f,section:0,value:0),time:(from:'2017-05-12T17:07:57-0600',mode:absolute,to:'2017-05-12T19:48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5" s="192" t="str">
        <f t="shared" si="34"/>
        <v>N</v>
      </c>
      <c r="X125" s="192">
        <f t="shared" si="27"/>
        <v>1</v>
      </c>
      <c r="Y125" s="192">
        <f t="shared" si="35"/>
        <v>23.297899999999998</v>
      </c>
      <c r="Z125" s="192">
        <f t="shared" si="36"/>
        <v>1.5800000000000002E-2</v>
      </c>
      <c r="AA125" s="192">
        <f t="shared" si="37"/>
        <v>23.2821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38"/>
        <v>0210-12</v>
      </c>
      <c r="AE125" s="80" t="str">
        <f t="shared" si="39"/>
        <v>aws s3 cp s3://rtdc.mdm.uploadarchive.raw/RTDC4045/ "%USERPROFILE%\AppData\Local\Temp\OnboardLogs"\RTDC4045\2017-05-12 --exclude "*" --recursive --include "*20170512*" &amp; "%USERPROFILE%\Documents\GitHub\mrs-test-scripts\Headless Mode &amp; Sideloading\WalkAndUnGZ.bat" "%USERPROFILE%\AppData\Local\Temp\OnboardLogs"\RTDC4045\2017-05-12 &amp; aws s3 cp s3://rtdc.mdm.uploadarchive.raw/RTDC4045/ "%USERPROFILE%\AppData\Local\Temp\OnboardLogs"\RTDC4045\2017-05-13 --exclude "*" --recursive --include "*20170513*" &amp; "%USERPROFILE%\Documents\GitHub\mrs-test-scripts\Headless Mode &amp; Sideloading\WalkAndUnGZ.bat" "%USERPROFILE%\AppData\Local\Temp\OnboardLogs"\RTDC4045\2017-05-13</v>
      </c>
      <c r="AF125" s="77" t="str">
        <f t="shared" si="40"/>
        <v>"C:\Program Files (x86)\AstroGrep\AstroGrep.exe" /e /r /s /spath="%USERPROFILE%\AppData\Local\Temp\OnboardLogs" /stypes="app*4045*20170513*" /stext=" 00:.+((SYSTEM_STATE.+slice.+state.+changed )|(ment ac)|(multiple cpu faults)|(system.+state.+changed )|(\[timeout)|(PRM\|1\|D)|(kpr)|(kdp)|(train st.+moving)|(\|lc)|(penalty))"</v>
      </c>
      <c r="AG125" s="1" t="str">
        <f t="shared" si="41"/>
        <v>EC</v>
      </c>
      <c r="AH125" s="81" t="str">
        <f t="shared" si="42"/>
        <v>"%USERPROFILE%\Documents\GitHub\eaglep3\Utilities\RefineRTDCRunTimes.py" --tripid 210-12 --locoid 4045 --swversion DE.1.0.9.0 --startMP 204:232979 --initTime 2017-05-12T18:07:57 --startdatetime 2017-05-12T18:11:17 --delay 1 --endMP 204:158 --enddatetime 2017-05-12T18:48:37 --enforcementcount 0 &gt;&gt;C:\Users\stu\Documents\GitHub\eaglep3-reporting\EC\2017-05-12-refined-times.txt</v>
      </c>
      <c r="AI125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{"issue":{"subject":"","project_id":79,"tracker_id":40,"status_id":1,"priority_id":2,"assigned_to_id":23,"start_date":"2017-05-12","description":"","custom_fields":[{"id":1,"name":"Subdivision","value":"EC"},{"id":4,"name":"Milepost","value":"0.0158"},{"id":17,"name":"Train ID","value":"210-12"},{"id":16,"name":"Locomotive ID","value":"4045"},{"id":130,"name":"Impact","value":""},{"id":150,"name":"Time of Event (Mountain Time)","value":"18:48:37"},{"id":151,"name":"Denver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44"/>
        <v>start /low /b %USERPROFILE%\Documents\GitHub\eaglep3\Utilities\DownloadLogsFromS3.py --loco 4045 --day 2017-05-12</v>
      </c>
      <c r="AN125" s="154" t="str">
        <f t="shared" si="45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00:48:37"},{"id":29,"name":"Sharepoint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586</v>
      </c>
      <c r="B126" s="7">
        <v>4032</v>
      </c>
      <c r="C126" s="21" t="s">
        <v>206</v>
      </c>
      <c r="D126" s="21" t="s">
        <v>202</v>
      </c>
      <c r="E126" s="13">
        <v>42867.724618055552</v>
      </c>
      <c r="F126" s="13">
        <v>42867.729386574072</v>
      </c>
      <c r="G126" s="7">
        <v>1</v>
      </c>
      <c r="H126" s="21" t="s">
        <v>813</v>
      </c>
      <c r="I126" s="13">
        <v>42867.756099537037</v>
      </c>
      <c r="J126" s="7">
        <v>0</v>
      </c>
      <c r="K126" s="92" t="str">
        <f t="shared" si="30"/>
        <v>4031/4032</v>
      </c>
      <c r="L126" s="21" t="str">
        <f>VLOOKUP(A126,'Trips&amp;Operators'!$C$1:$G$99999,5,FALSE)</f>
        <v>BRANDNER MELINDA</v>
      </c>
      <c r="M126" s="6">
        <f t="shared" si="31"/>
        <v>2.6712962964666076E-2</v>
      </c>
      <c r="N126" s="7">
        <f t="shared" si="46"/>
        <v>38.466666669119149</v>
      </c>
      <c r="O126" s="7"/>
      <c r="P126" s="7"/>
      <c r="Q126" s="22"/>
      <c r="R126" s="190"/>
      <c r="S126" s="196">
        <f t="shared" si="47"/>
        <v>1</v>
      </c>
      <c r="T126" s="190" t="str">
        <f t="shared" si="32"/>
        <v>NorthBound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 t="shared" si="33"/>
        <v>https://d0f6bd738d7f1b3e5a7ca70fe4ff75f0.us-east-1.aws.found.io/app/kibana#/discover/Steve-Slow-Train-Analysis-(2080s-and-2083s)?_g=(refreshInterval:(display:Off,pause:!f,section:0,value:0),time:(from:'2017-05-12T16:23:27-0600',mode:absolute,to:'2017-05-12T19:08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6" s="192" t="str">
        <f t="shared" si="34"/>
        <v>N</v>
      </c>
      <c r="X126" s="192">
        <f t="shared" si="27"/>
        <v>1</v>
      </c>
      <c r="Y126" s="192">
        <f t="shared" si="35"/>
        <v>4.5699999999999998E-2</v>
      </c>
      <c r="Z126" s="192">
        <f t="shared" si="36"/>
        <v>23.336400000000001</v>
      </c>
      <c r="AA126" s="192">
        <f t="shared" si="37"/>
        <v>23.290700000000001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38"/>
        <v>0211-12</v>
      </c>
      <c r="AE126" s="80" t="str">
        <f t="shared" si="39"/>
        <v>aws s3 cp s3://rtdc.mdm.uploadarchive.raw/RTDC4032/ "%USERPROFILE%\AppData\Local\Temp\OnboardLogs"\RTDC4032\2017-05-12 --exclude "*" --recursive --include "*20170512*" &amp; "%USERPROFILE%\Documents\GitHub\mrs-test-scripts\Headless Mode &amp; Sideloading\WalkAndUnGZ.bat" "%USERPROFILE%\AppData\Local\Temp\OnboardLogs"\RTDC4032\2017-05-12 &amp; aws s3 cp s3://rtdc.mdm.uploadarchive.raw/RTDC4032/ "%USERPROFILE%\AppData\Local\Temp\OnboardLogs"\RTDC4032\2017-05-13 --exclude "*" --recursive --include "*20170513*" &amp; "%USERPROFILE%\Documents\GitHub\mrs-test-scripts\Headless Mode &amp; Sideloading\WalkAndUnGZ.bat" "%USERPROFILE%\AppData\Local\Temp\OnboardLogs"\RTDC4032\2017-05-13</v>
      </c>
      <c r="AF126" s="77" t="str">
        <f t="shared" si="40"/>
        <v>"C:\Program Files (x86)\AstroGrep\AstroGrep.exe" /e /r /s /spath="%USERPROFILE%\AppData\Local\Temp\OnboardLogs" /stypes="app*4032*20170513*" /stext=" 00:.+((SYSTEM_STATE.+slice.+state.+changed )|(ment ac)|(multiple cpu faults)|(system.+state.+changed )|(\[timeout)|(PRM\|1\|D)|(kpr)|(kdp)|(train st.+moving)|(\|lc)|(penalty))"</v>
      </c>
      <c r="AG126" s="1" t="str">
        <f t="shared" si="41"/>
        <v>EC</v>
      </c>
      <c r="AH126" s="81" t="str">
        <f t="shared" si="42"/>
        <v>"%USERPROFILE%\Documents\GitHub\eaglep3\Utilities\RefineRTDCRunTimes.py" --tripid 211-12 --locoid 4032 --swversion DE.1.0.9.0 --startMP 204:457 --initTime 2017-05-12T17:23:27 --startdatetime 2017-05-12T17:30:19 --delay 1 --endMP 204:233364 --enddatetime 2017-05-12T18:08:47 --enforcementcount 0 &gt;&gt;C:\Users\stu\Documents\GitHub\eaglep3-reporting\EC\2017-05-12-refined-times.txt</v>
      </c>
      <c r="AI126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{"issue":{"subject":"","project_id":79,"tracker_id":40,"status_id":1,"priority_id":2,"assigned_to_id":23,"start_date":"2017-05-12","description":"","custom_fields":[{"id":1,"name":"Subdivision","value":"EC"},{"id":4,"name":"Milepost","value":"23.3364"},{"id":17,"name":"Train ID","value":"211-12"},{"id":16,"name":"Locomotive ID","value":"4032"},{"id":130,"name":"Impact","value":""},{"id":150,"name":"Time of Event (Mountain Time)","value":"18:08:47"},{"id":151,"name":"Denver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44"/>
        <v>start /low /b %USERPROFILE%\Documents\GitHub\eaglep3\Utilities\DownloadLogsFromS3.py --loco 4032 --day 2017-05-12</v>
      </c>
      <c r="AN126" s="154" t="str">
        <f t="shared" si="45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00:08:47"},{"id":29,"name":"Sharepoint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587</v>
      </c>
      <c r="B127" s="7">
        <v>4031</v>
      </c>
      <c r="C127" s="21" t="s">
        <v>206</v>
      </c>
      <c r="D127" s="21" t="s">
        <v>888</v>
      </c>
      <c r="E127" s="13">
        <v>42867.762800925928</v>
      </c>
      <c r="F127" s="13">
        <v>42867.768252314818</v>
      </c>
      <c r="G127" s="7">
        <v>1</v>
      </c>
      <c r="H127" s="21" t="s">
        <v>889</v>
      </c>
      <c r="I127" s="13">
        <v>42867.796180555553</v>
      </c>
      <c r="J127" s="7">
        <v>0</v>
      </c>
      <c r="K127" s="92" t="str">
        <f t="shared" si="30"/>
        <v>4031/4032</v>
      </c>
      <c r="L127" s="21" t="str">
        <f>VLOOKUP(A127,'Trips&amp;Operators'!$C$1:$G$99999,5,FALSE)</f>
        <v>BRANDNER MELINDA</v>
      </c>
      <c r="M127" s="6">
        <f t="shared" si="31"/>
        <v>2.7928240735491272E-2</v>
      </c>
      <c r="N127" s="7">
        <f t="shared" si="46"/>
        <v>40.216666659107432</v>
      </c>
      <c r="O127" s="7"/>
      <c r="P127" s="7"/>
      <c r="Q127" s="22"/>
      <c r="R127" s="190"/>
      <c r="S127" s="196">
        <f t="shared" si="47"/>
        <v>1</v>
      </c>
      <c r="T127" s="190" t="str">
        <f t="shared" si="32"/>
        <v>Southbound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1" t="str">
        <f t="shared" si="33"/>
        <v>https://d0f6bd738d7f1b3e5a7ca70fe4ff75f0.us-east-1.aws.found.io/app/kibana#/discover/Steve-Slow-Train-Analysis-(2080s-and-2083s)?_g=(refreshInterval:(display:Off,pause:!f,section:0,value:0),time:(from:'2017-05-12T17:18:26-0600',mode:absolute,to:'2017-05-12T20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7" s="192" t="str">
        <f t="shared" si="34"/>
        <v>N</v>
      </c>
      <c r="X127" s="192">
        <f t="shared" ref="X127:X190" si="48">VALUE(LEFT(AD127,4))-VALUE(LEFT(AD126,4))</f>
        <v>1</v>
      </c>
      <c r="Y127" s="192">
        <f t="shared" si="35"/>
        <v>23.3017</v>
      </c>
      <c r="Z127" s="192">
        <f t="shared" si="36"/>
        <v>0.10009999999999999</v>
      </c>
      <c r="AA127" s="192">
        <f t="shared" si="37"/>
        <v>23.201599999999999</v>
      </c>
      <c r="AB127" s="57" t="str">
        <f>VLOOKUP(A127,Enforcements!$C$7:$K$13,8,0)</f>
        <v>Bulletin (2)</v>
      </c>
      <c r="AC127" s="53" t="str">
        <f>VLOOKUP(A127,Enforcements!$C$7:$E$13,3,0)</f>
        <v>GRADE CROSSING</v>
      </c>
      <c r="AD127" s="54" t="str">
        <f t="shared" si="38"/>
        <v>0212-12</v>
      </c>
      <c r="AE127" s="80" t="str">
        <f t="shared" si="39"/>
        <v>aws s3 cp s3://rtdc.mdm.uploadarchive.raw/RTDC4031/ "%USERPROFILE%\AppData\Local\Temp\OnboardLogs"\RTDC4031\2017-05-12 --exclude "*" --recursive --include "*20170512*" &amp; "%USERPROFILE%\Documents\GitHub\mrs-test-scripts\Headless Mode &amp; Sideloading\WalkAndUnGZ.bat" "%USERPROFILE%\AppData\Local\Temp\OnboardLogs"\RTDC4031\2017-05-12 &amp; aws s3 cp s3://rtdc.mdm.uploadarchive.raw/RTDC4031/ "%USERPROFILE%\AppData\Local\Temp\OnboardLogs"\RTDC4031\2017-05-13 --exclude "*" --recursive --include "*20170513*" &amp; "%USERPROFILE%\Documents\GitHub\mrs-test-scripts\Headless Mode &amp; Sideloading\WalkAndUnGZ.bat" "%USERPROFILE%\AppData\Local\Temp\OnboardLogs"\RTDC4031\2017-05-13</v>
      </c>
      <c r="AF127" s="77" t="str">
        <f t="shared" si="40"/>
        <v>"C:\Program Files (x86)\AstroGrep\AstroGrep.exe" /e /r /s /spath="%USERPROFILE%\AppData\Local\Temp\OnboardLogs" /stypes="app*4031*20170513*" /stext=" 01:.+((SYSTEM_STATE.+slice.+state.+changed )|(ment ac)|(multiple cpu faults)|(system.+state.+changed )|(\[timeout)|(PRM\|1\|D)|(kpr)|(kdp)|(train st.+moving)|(\|lc)|(penalty))"</v>
      </c>
      <c r="AG127" s="1" t="str">
        <f t="shared" si="41"/>
        <v>EC</v>
      </c>
      <c r="AH127" s="81" t="str">
        <f t="shared" si="42"/>
        <v>"%USERPROFILE%\Documents\GitHub\eaglep3\Utilities\RefineRTDCRunTimes.py" --tripid 212-12 --locoid 4031 --swversion DE.1.0.9.0 --startMP 204:233017 --initTime 2017-05-12T18:18:26 --startdatetime 2017-05-12T18:26:17 --delay 1 --endMP 204:1001 --enddatetime 2017-05-12T19:06:30 --enforcementcount 0 &gt;&gt;C:\Users\stu\Documents\GitHub\eaglep3-reporting\EC\2017-05-12-refined-times.txt</v>
      </c>
      <c r="AI127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{"issue":{"subject":"","project_id":79,"tracker_id":40,"status_id":1,"priority_id":2,"assigned_to_id":23,"start_date":"2017-05-12","description":"","custom_fields":[{"id":1,"name":"Subdivision","value":"EC"},{"id":4,"name":"Milepost","value":"0.1001"},{"id":17,"name":"Train ID","value":"212-12"},{"id":16,"name":"Locomotive ID","value":"4031"},{"id":130,"name":"Impact","value":""},{"id":150,"name":"Time of Event (Mountain Time)","value":"19:06:30"},{"id":151,"name":"Denver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44"/>
        <v>start /low /b %USERPROFILE%\Documents\GitHub\eaglep3\Utilities\DownloadLogsFromS3.py --loco 4031 --day 2017-05-12</v>
      </c>
      <c r="AN127" s="154" t="str">
        <f t="shared" si="45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01:06:30"},{"id":29,"name":"Sharepoint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745</v>
      </c>
      <c r="B128" s="7">
        <v>4012</v>
      </c>
      <c r="C128" s="21" t="s">
        <v>206</v>
      </c>
      <c r="D128" s="21" t="s">
        <v>362</v>
      </c>
      <c r="E128" s="13">
        <v>42867.737326388888</v>
      </c>
      <c r="F128" s="13">
        <v>42867.740023148152</v>
      </c>
      <c r="G128" s="7">
        <v>2</v>
      </c>
      <c r="H128" s="21" t="s">
        <v>890</v>
      </c>
      <c r="I128" s="13">
        <v>42867.764814814815</v>
      </c>
      <c r="J128" s="7">
        <v>0</v>
      </c>
      <c r="K128" s="92" t="str">
        <f t="shared" si="30"/>
        <v>4011/4012</v>
      </c>
      <c r="L128" s="21" t="str">
        <f>VLOOKUP(A128,'Trips&amp;Operators'!$C$1:$G$99999,5,FALSE)</f>
        <v>LAMAR NEKESHA</v>
      </c>
      <c r="M128" s="6">
        <f t="shared" si="31"/>
        <v>2.4791666663077194E-2</v>
      </c>
      <c r="N128" s="7">
        <f t="shared" si="46"/>
        <v>35.69999999483116</v>
      </c>
      <c r="O128" s="7"/>
      <c r="P128" s="7"/>
      <c r="Q128" s="22"/>
      <c r="R128" s="190"/>
      <c r="S128" s="196">
        <f t="shared" si="47"/>
        <v>1</v>
      </c>
      <c r="T128" s="190" t="str">
        <f t="shared" si="32"/>
        <v>NorthBound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 t="shared" si="33"/>
        <v>https://d0f6bd738d7f1b3e5a7ca70fe4ff75f0.us-east-1.aws.found.io/app/kibana#/discover/Steve-Slow-Train-Analysis-(2080s-and-2083s)?_g=(refreshInterval:(display:Off,pause:!f,section:0,value:0),time:(from:'2017-05-12T16:41:45-0600',mode:absolute,to:'2017-05-12T19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8" s="192" t="str">
        <f t="shared" si="34"/>
        <v>N</v>
      </c>
      <c r="X128" s="192">
        <f t="shared" si="48"/>
        <v>1</v>
      </c>
      <c r="Y128" s="192">
        <f t="shared" si="35"/>
        <v>4.6899999999999997E-2</v>
      </c>
      <c r="Z128" s="192">
        <f t="shared" si="36"/>
        <v>23.334199999999999</v>
      </c>
      <c r="AA128" s="192">
        <f t="shared" si="37"/>
        <v>23.287299999999998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38"/>
        <v>0213-12</v>
      </c>
      <c r="AE128" s="80" t="str">
        <f t="shared" si="39"/>
        <v>aws s3 cp s3://rtdc.mdm.uploadarchive.raw/RTDC4012/ "%USERPROFILE%\AppData\Local\Temp\OnboardLogs"\RTDC4012\2017-05-12 --exclude "*" --recursive --include "*20170512*" &amp; "%USERPROFILE%\Documents\GitHub\mrs-test-scripts\Headless Mode &amp; Sideloading\WalkAndUnGZ.bat" "%USERPROFILE%\AppData\Local\Temp\OnboardLogs"\RTDC4012\2017-05-12 &amp; aws s3 cp s3://rtdc.mdm.uploadarchive.raw/RTDC4012/ "%USERPROFILE%\AppData\Local\Temp\OnboardLogs"\RTDC4012\2017-05-13 --exclude "*" --recursive --include "*20170513*" &amp; "%USERPROFILE%\Documents\GitHub\mrs-test-scripts\Headless Mode &amp; Sideloading\WalkAndUnGZ.bat" "%USERPROFILE%\AppData\Local\Temp\OnboardLogs"\RTDC4012\2017-05-13</v>
      </c>
      <c r="AF128" s="77" t="str">
        <f t="shared" si="40"/>
        <v>"C:\Program Files (x86)\AstroGrep\AstroGrep.exe" /e /r /s /spath="%USERPROFILE%\AppData\Local\Temp\OnboardLogs" /stypes="app*4012*20170513*" /stext=" 00:.+((SYSTEM_STATE.+slice.+state.+changed )|(ment ac)|(multiple cpu faults)|(system.+state.+changed )|(\[timeout)|(PRM\|1\|D)|(kpr)|(kdp)|(train st.+moving)|(\|lc)|(penalty))"</v>
      </c>
      <c r="AG128" s="1" t="str">
        <f t="shared" si="41"/>
        <v>EC</v>
      </c>
      <c r="AH128" s="81" t="str">
        <f t="shared" si="42"/>
        <v>"%USERPROFILE%\Documents\GitHub\eaglep3\Utilities\RefineRTDCRunTimes.py" --tripid 213-12 --locoid 4012 --swversion DE.1.0.9.0 --startMP 204:469 --initTime 2017-05-12T17:41:45 --startdatetime 2017-05-12T17:45:38 --delay 2 --endMP 204:233342 --enddatetime 2017-05-12T18:21:20 --enforcementcount 0 &gt;&gt;C:\Users\stu\Documents\GitHub\eaglep3-reporting\EC\2017-05-12-refined-times.txt</v>
      </c>
      <c r="AI128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{"issue":{"subject":"","project_id":79,"tracker_id":40,"status_id":1,"priority_id":2,"assigned_to_id":23,"start_date":"2017-05-12","description":"","custom_fields":[{"id":1,"name":"Subdivision","value":"EC"},{"id":4,"name":"Milepost","value":"23.3342"},{"id":17,"name":"Train ID","value":"213-12"},{"id":16,"name":"Locomotive ID","value":"4012"},{"id":130,"name":"Impact","value":""},{"id":150,"name":"Time of Event (Mountain Time)","value":"18:21:20"},{"id":151,"name":"Denver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44"/>
        <v>start /low /b %USERPROFILE%\Documents\GitHub\eaglep3\Utilities\DownloadLogsFromS3.py --loco 4012 --day 2017-05-12</v>
      </c>
      <c r="AN128" s="154" t="str">
        <f t="shared" si="45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00:21:20"},{"id":29,"name":"Sharepoint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759</v>
      </c>
      <c r="B129" s="7">
        <v>4011</v>
      </c>
      <c r="C129" s="21" t="s">
        <v>206</v>
      </c>
      <c r="D129" s="21" t="s">
        <v>891</v>
      </c>
      <c r="E129" s="13">
        <v>42867.770405092589</v>
      </c>
      <c r="F129" s="13">
        <v>42867.812905092593</v>
      </c>
      <c r="G129" s="7">
        <v>3</v>
      </c>
      <c r="H129" s="21" t="s">
        <v>530</v>
      </c>
      <c r="I129" s="13">
        <v>42867.837743055556</v>
      </c>
      <c r="J129" s="7">
        <v>0</v>
      </c>
      <c r="K129" s="92" t="str">
        <f t="shared" si="30"/>
        <v>4011/4012</v>
      </c>
      <c r="L129" s="21" t="str">
        <f>VLOOKUP(A129,'Trips&amp;Operators'!$C$1:$G$99999,5,FALSE)</f>
        <v>LAMAR NEKESHA</v>
      </c>
      <c r="M129" s="6">
        <f t="shared" si="31"/>
        <v>2.4837962962919846E-2</v>
      </c>
      <c r="N129" s="7">
        <f t="shared" ref="N129:N152" si="49">24*60*SUM($M129:$M129)</f>
        <v>35.766666666604578</v>
      </c>
      <c r="O129" s="7"/>
      <c r="P129" s="7"/>
      <c r="Q129" s="22"/>
      <c r="R129" s="190"/>
      <c r="S129" s="196">
        <f t="shared" ref="S129:S153" si="50">SUM(U129:U129)/IF(AG129="EC",12,1)</f>
        <v>1</v>
      </c>
      <c r="T129" s="190" t="str">
        <f t="shared" si="32"/>
        <v>Southbound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 t="shared" si="33"/>
        <v>https://d0f6bd738d7f1b3e5a7ca70fe4ff75f0.us-east-1.aws.found.io/app/kibana#/discover/Steve-Slow-Train-Analysis-(2080s-and-2083s)?_g=(refreshInterval:(display:Off,pause:!f,section:0,value:0),time:(from:'2017-05-12T17:29:23-0600',mode:absolute,to:'2017-05-12T21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9" s="192" t="str">
        <f t="shared" si="34"/>
        <v>N</v>
      </c>
      <c r="X129" s="192">
        <f t="shared" si="48"/>
        <v>1</v>
      </c>
      <c r="Y129" s="192">
        <f t="shared" si="35"/>
        <v>23.301500000000001</v>
      </c>
      <c r="Z129" s="192">
        <f t="shared" si="36"/>
        <v>1.61E-2</v>
      </c>
      <c r="AA129" s="192">
        <f t="shared" si="37"/>
        <v>23.285399999999999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38"/>
        <v>0214-12</v>
      </c>
      <c r="AE129" s="80" t="str">
        <f t="shared" si="39"/>
        <v>aws s3 cp s3://rtdc.mdm.uploadarchive.raw/RTDC4011/ "%USERPROFILE%\AppData\Local\Temp\OnboardLogs"\RTDC4011\2017-05-12 --exclude "*" --recursive --include "*20170512*" &amp; "%USERPROFILE%\Documents\GitHub\mrs-test-scripts\Headless Mode &amp; Sideloading\WalkAndUnGZ.bat" "%USERPROFILE%\AppData\Local\Temp\OnboardLogs"\RTDC4011\2017-05-12 &amp; aws s3 cp s3://rtdc.mdm.uploadarchive.raw/RTDC4011/ "%USERPROFILE%\AppData\Local\Temp\OnboardLogs"\RTDC4011\2017-05-13 --exclude "*" --recursive --include "*20170513*" &amp; "%USERPROFILE%\Documents\GitHub\mrs-test-scripts\Headless Mode &amp; Sideloading\WalkAndUnGZ.bat" "%USERPROFILE%\AppData\Local\Temp\OnboardLogs"\RTDC4011\2017-05-13</v>
      </c>
      <c r="AF129" s="77" t="str">
        <f t="shared" si="40"/>
        <v>"C:\Program Files (x86)\AstroGrep\AstroGrep.exe" /e /r /s /spath="%USERPROFILE%\AppData\Local\Temp\OnboardLogs" /stypes="app*4011*20170513*" /stext=" 02:.+((SYSTEM_STATE.+slice.+state.+changed )|(ment ac)|(multiple cpu faults)|(system.+state.+changed )|(\[timeout)|(PRM\|1\|D)|(kpr)|(kdp)|(train st.+moving)|(\|lc)|(penalty))"</v>
      </c>
      <c r="AG129" s="1" t="str">
        <f t="shared" si="41"/>
        <v>EC</v>
      </c>
      <c r="AH129" s="81" t="str">
        <f t="shared" si="42"/>
        <v>"%USERPROFILE%\Documents\GitHub\eaglep3\Utilities\RefineRTDCRunTimes.py" --tripid 214-12 --locoid 4011 --swversion DE.1.0.9.0 --startMP 204:233015 --initTime 2017-05-12T18:29:23 --startdatetime 2017-05-12T19:30:35 --delay 3 --endMP 204:161 --enddatetime 2017-05-12T20:06:21 --enforcementcount 0 &gt;&gt;C:\Users\stu\Documents\GitHub\eaglep3-reporting\EC\2017-05-12-refined-times.txt</v>
      </c>
      <c r="AI129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{"issue":{"subject":"","project_id":79,"tracker_id":40,"status_id":1,"priority_id":2,"assigned_to_id":23,"start_date":"2017-05-12","description":"","custom_fields":[{"id":1,"name":"Subdivision","value":"EC"},{"id":4,"name":"Milepost","value":"0.0161"},{"id":17,"name":"Train ID","value":"214-12"},{"id":16,"name":"Locomotive ID","value":"4011"},{"id":130,"name":"Impact","value":""},{"id":150,"name":"Time of Event (Mountain Time)","value":"20:06:21"},{"id":151,"name":"Denver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44"/>
        <v>start /low /b %USERPROFILE%\Documents\GitHub\eaglep3\Utilities\DownloadLogsFromS3.py --loco 4011 --day 2017-05-12</v>
      </c>
      <c r="AN129" s="154" t="str">
        <f t="shared" si="45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02:06:21"},{"id":29,"name":"Sharepoint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752</v>
      </c>
      <c r="B130" s="7">
        <v>4014</v>
      </c>
      <c r="C130" s="21" t="s">
        <v>206</v>
      </c>
      <c r="D130" s="21" t="s">
        <v>892</v>
      </c>
      <c r="E130" s="13">
        <v>42867.747037037036</v>
      </c>
      <c r="F130" s="13">
        <v>42867.7502662037</v>
      </c>
      <c r="G130" s="7">
        <v>1</v>
      </c>
      <c r="H130" s="21" t="s">
        <v>366</v>
      </c>
      <c r="I130" s="13">
        <v>42867.775405092594</v>
      </c>
      <c r="J130" s="7">
        <v>0</v>
      </c>
      <c r="K130" s="92" t="str">
        <f t="shared" si="30"/>
        <v>4013/4014</v>
      </c>
      <c r="L130" s="21" t="str">
        <f>VLOOKUP(A130,'Trips&amp;Operators'!$C$1:$G$99999,5,FALSE)</f>
        <v>MOSES BRADLEY</v>
      </c>
      <c r="M130" s="6">
        <f t="shared" si="31"/>
        <v>2.513888889370719E-2</v>
      </c>
      <c r="N130" s="7">
        <f t="shared" si="49"/>
        <v>36.200000006938353</v>
      </c>
      <c r="O130" s="7"/>
      <c r="P130" s="7"/>
      <c r="Q130" s="22"/>
      <c r="R130" s="190"/>
      <c r="S130" s="196">
        <f t="shared" si="50"/>
        <v>1</v>
      </c>
      <c r="T130" s="190" t="str">
        <f t="shared" si="32"/>
        <v>NorthBound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 t="shared" si="33"/>
        <v>https://d0f6bd738d7f1b3e5a7ca70fe4ff75f0.us-east-1.aws.found.io/app/kibana#/discover/Steve-Slow-Train-Analysis-(2080s-and-2083s)?_g=(refreshInterval:(display:Off,pause:!f,section:0,value:0),time:(from:'2017-05-12T16:55:44-0600',mode:absolute,to:'2017-05-12T19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0" s="192" t="str">
        <f t="shared" si="34"/>
        <v>N</v>
      </c>
      <c r="X130" s="192">
        <f t="shared" si="48"/>
        <v>1</v>
      </c>
      <c r="Y130" s="192">
        <f t="shared" si="35"/>
        <v>5.3999999999999999E-2</v>
      </c>
      <c r="Z130" s="192">
        <f t="shared" si="36"/>
        <v>23.331399999999999</v>
      </c>
      <c r="AA130" s="192">
        <f t="shared" si="37"/>
        <v>23.2774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38"/>
        <v>0215-12</v>
      </c>
      <c r="AE130" s="80" t="str">
        <f t="shared" si="39"/>
        <v>aws s3 cp s3://rtdc.mdm.uploadarchive.raw/RTDC4014/ "%USERPROFILE%\AppData\Local\Temp\OnboardLogs"\RTDC4014\2017-05-12 --exclude "*" --recursive --include "*20170512*" &amp; "%USERPROFILE%\Documents\GitHub\mrs-test-scripts\Headless Mode &amp; Sideloading\WalkAndUnGZ.bat" "%USERPROFILE%\AppData\Local\Temp\OnboardLogs"\RTDC4014\2017-05-12 &amp; aws s3 cp s3://rtdc.mdm.uploadarchive.raw/RTDC4014/ "%USERPROFILE%\AppData\Local\Temp\OnboardLogs"\RTDC4014\2017-05-13 --exclude "*" --recursive --include "*20170513*" &amp; "%USERPROFILE%\Documents\GitHub\mrs-test-scripts\Headless Mode &amp; Sideloading\WalkAndUnGZ.bat" "%USERPROFILE%\AppData\Local\Temp\OnboardLogs"\RTDC4014\2017-05-13</v>
      </c>
      <c r="AF130" s="77" t="str">
        <f t="shared" si="40"/>
        <v>"C:\Program Files (x86)\AstroGrep\AstroGrep.exe" /e /r /s /spath="%USERPROFILE%\AppData\Local\Temp\OnboardLogs" /stypes="app*4014*20170513*" /stext=" 00:.+((SYSTEM_STATE.+slice.+state.+changed )|(ment ac)|(multiple cpu faults)|(system.+state.+changed )|(\[timeout)|(PRM\|1\|D)|(kpr)|(kdp)|(train st.+moving)|(\|lc)|(penalty))"</v>
      </c>
      <c r="AG130" s="1" t="str">
        <f t="shared" si="41"/>
        <v>EC</v>
      </c>
      <c r="AH130" s="81" t="str">
        <f t="shared" si="42"/>
        <v>"%USERPROFILE%\Documents\GitHub\eaglep3\Utilities\RefineRTDCRunTimes.py" --tripid 215-12 --locoid 4014 --swversion DE.1.0.9.0 --startMP 204:540 --initTime 2017-05-12T17:55:44 --startdatetime 2017-05-12T18:00:23 --delay 1 --endMP 204:233314 --enddatetime 2017-05-12T18:36:35 --enforcementcount 0 &gt;&gt;C:\Users\stu\Documents\GitHub\eaglep3-reporting\EC\2017-05-12-refined-times.txt</v>
      </c>
      <c r="AI130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{"issue":{"subject":"","project_id":79,"tracker_id":40,"status_id":1,"priority_id":2,"assigned_to_id":23,"start_date":"2017-05-12","description":"","custom_fields":[{"id":1,"name":"Subdivision","value":"EC"},{"id":4,"name":"Milepost","value":"23.3314"},{"id":17,"name":"Train ID","value":"215-12"},{"id":16,"name":"Locomotive ID","value":"4014"},{"id":130,"name":"Impact","value":""},{"id":150,"name":"Time of Event (Mountain Time)","value":"18:36:35"},{"id":151,"name":"Denver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44"/>
        <v>start /low /b %USERPROFILE%\Documents\GitHub\eaglep3\Utilities\DownloadLogsFromS3.py --loco 4014 --day 2017-05-12</v>
      </c>
      <c r="AN130" s="154" t="str">
        <f t="shared" si="45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00:36:35"},{"id":29,"name":"Sharepoint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764</v>
      </c>
      <c r="B131" s="7">
        <v>4013</v>
      </c>
      <c r="C131" s="21" t="s">
        <v>206</v>
      </c>
      <c r="D131" s="21" t="s">
        <v>816</v>
      </c>
      <c r="E131" s="13">
        <v>42867.786539351851</v>
      </c>
      <c r="F131" s="13">
        <v>42867.789143518516</v>
      </c>
      <c r="G131" s="7">
        <v>1</v>
      </c>
      <c r="H131" s="21" t="s">
        <v>893</v>
      </c>
      <c r="I131" s="13">
        <v>42867.816365740742</v>
      </c>
      <c r="J131" s="7">
        <v>0</v>
      </c>
      <c r="K131" s="92" t="str">
        <f t="shared" si="30"/>
        <v>4013/4014</v>
      </c>
      <c r="L131" s="21" t="str">
        <f>VLOOKUP(A131,'Trips&amp;Operators'!$C$1:$G$99999,5,FALSE)</f>
        <v>MOSES BRADLEY</v>
      </c>
      <c r="M131" s="6">
        <f t="shared" si="31"/>
        <v>2.7222222226555459E-2</v>
      </c>
      <c r="N131" s="7">
        <f t="shared" si="49"/>
        <v>39.200000006239861</v>
      </c>
      <c r="O131" s="7"/>
      <c r="P131" s="7"/>
      <c r="Q131" s="22"/>
      <c r="R131" s="190"/>
      <c r="S131" s="196">
        <f t="shared" si="50"/>
        <v>1</v>
      </c>
      <c r="T131" s="190" t="str">
        <f t="shared" si="32"/>
        <v>Southbound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1" t="str">
        <f t="shared" si="33"/>
        <v>https://d0f6bd738d7f1b3e5a7ca70fe4ff75f0.us-east-1.aws.found.io/app/kibana#/discover/Steve-Slow-Train-Analysis-(2080s-and-2083s)?_g=(refreshInterval:(display:Off,pause:!f,section:0,value:0),time:(from:'2017-05-12T17:52:37-0600',mode:absolute,to:'2017-05-12T20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1" s="192" t="str">
        <f t="shared" si="34"/>
        <v>N</v>
      </c>
      <c r="X131" s="192">
        <f t="shared" si="48"/>
        <v>1</v>
      </c>
      <c r="Y131" s="192">
        <f t="shared" si="35"/>
        <v>23.298200000000001</v>
      </c>
      <c r="Z131" s="192">
        <f t="shared" si="36"/>
        <v>1.72E-2</v>
      </c>
      <c r="AA131" s="192">
        <f t="shared" si="37"/>
        <v>23.281000000000002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38"/>
        <v>0216-12</v>
      </c>
      <c r="AE131" s="80" t="str">
        <f t="shared" si="39"/>
        <v>aws s3 cp s3://rtdc.mdm.uploadarchive.raw/RTDC4013/ "%USERPROFILE%\AppData\Local\Temp\OnboardLogs"\RTDC4013\2017-05-12 --exclude "*" --recursive --include "*20170512*" &amp; "%USERPROFILE%\Documents\GitHub\mrs-test-scripts\Headless Mode &amp; Sideloading\WalkAndUnGZ.bat" "%USERPROFILE%\AppData\Local\Temp\OnboardLogs"\RTDC4013\2017-05-12 &amp; aws s3 cp s3://rtdc.mdm.uploadarchive.raw/RTDC4013/ "%USERPROFILE%\AppData\Local\Temp\OnboardLogs"\RTDC4013\2017-05-13 --exclude "*" --recursive --include "*20170513*" &amp; "%USERPROFILE%\Documents\GitHub\mrs-test-scripts\Headless Mode &amp; Sideloading\WalkAndUnGZ.bat" "%USERPROFILE%\AppData\Local\Temp\OnboardLogs"\RTDC4013\2017-05-13</v>
      </c>
      <c r="AF131" s="77" t="str">
        <f t="shared" si="40"/>
        <v>"C:\Program Files (x86)\AstroGrep\AstroGrep.exe" /e /r /s /spath="%USERPROFILE%\AppData\Local\Temp\OnboardLogs" /stypes="app*4013*20170513*" /stext=" 01:.+((SYSTEM_STATE.+slice.+state.+changed )|(ment ac)|(multiple cpu faults)|(system.+state.+changed )|(\[timeout)|(PRM\|1\|D)|(kpr)|(kdp)|(train st.+moving)|(\|lc)|(penalty))"</v>
      </c>
      <c r="AG131" s="1" t="str">
        <f t="shared" si="41"/>
        <v>EC</v>
      </c>
      <c r="AH131" s="81" t="str">
        <f t="shared" si="42"/>
        <v>"%USERPROFILE%\Documents\GitHub\eaglep3\Utilities\RefineRTDCRunTimes.py" --tripid 216-12 --locoid 4013 --swversion DE.1.0.9.0 --startMP 204:232982 --initTime 2017-05-12T18:52:37 --startdatetime 2017-05-12T18:56:22 --delay 1 --endMP 204:172 --enddatetime 2017-05-12T19:35:34 --enforcementcount 0 &gt;&gt;C:\Users\stu\Documents\GitHub\eaglep3-reporting\EC\2017-05-12-refined-times.txt</v>
      </c>
      <c r="AI131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{"issue":{"subject":"","project_id":79,"tracker_id":40,"status_id":1,"priority_id":2,"assigned_to_id":23,"start_date":"2017-05-12","description":"","custom_fields":[{"id":1,"name":"Subdivision","value":"EC"},{"id":4,"name":"Milepost","value":"0.0172"},{"id":17,"name":"Train ID","value":"216-12"},{"id":16,"name":"Locomotive ID","value":"4013"},{"id":130,"name":"Impact","value":""},{"id":150,"name":"Time of Event (Mountain Time)","value":"19:35:34"},{"id":151,"name":"Denver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44"/>
        <v>start /low /b %USERPROFILE%\Documents\GitHub\eaglep3\Utilities\DownloadLogsFromS3.py --loco 4013 --day 2017-05-12</v>
      </c>
      <c r="AN131" s="154" t="str">
        <f t="shared" si="45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01:35:34"},{"id":29,"name":"Sharepoint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756</v>
      </c>
      <c r="B132" s="7">
        <v>4022</v>
      </c>
      <c r="C132" s="21" t="s">
        <v>206</v>
      </c>
      <c r="D132" s="21" t="s">
        <v>370</v>
      </c>
      <c r="E132" s="13">
        <v>42867.755578703705</v>
      </c>
      <c r="F132" s="13">
        <v>42867.760821759257</v>
      </c>
      <c r="G132" s="7">
        <v>2</v>
      </c>
      <c r="H132" s="21" t="s">
        <v>852</v>
      </c>
      <c r="I132" s="13">
        <v>42867.786122685182</v>
      </c>
      <c r="J132" s="7">
        <v>0</v>
      </c>
      <c r="K132" s="92" t="str">
        <f t="shared" si="30"/>
        <v>4021/4022</v>
      </c>
      <c r="L132" s="21" t="str">
        <f>VLOOKUP(A132,'Trips&amp;Operators'!$C$1:$G$99999,5,FALSE)</f>
        <v>MAGEE KENYA</v>
      </c>
      <c r="M132" s="6">
        <f t="shared" si="31"/>
        <v>2.5300925924966577E-2</v>
      </c>
      <c r="N132" s="7">
        <f t="shared" si="49"/>
        <v>36.433333331951872</v>
      </c>
      <c r="O132" s="7"/>
      <c r="P132" s="7"/>
      <c r="Q132" s="22"/>
      <c r="R132" s="190"/>
      <c r="S132" s="196">
        <f t="shared" si="50"/>
        <v>1</v>
      </c>
      <c r="T132" s="190" t="str">
        <f t="shared" si="32"/>
        <v>NorthBound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1" t="str">
        <f t="shared" si="33"/>
        <v>https://d0f6bd738d7f1b3e5a7ca70fe4ff75f0.us-east-1.aws.found.io/app/kibana#/discover/Steve-Slow-Train-Analysis-(2080s-and-2083s)?_g=(refreshInterval:(display:Off,pause:!f,section:0,value:0),time:(from:'2017-05-12T17:08:02-0600',mode:absolute,to:'2017-05-12T19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2" s="192" t="str">
        <f t="shared" si="34"/>
        <v>N</v>
      </c>
      <c r="X132" s="192">
        <f t="shared" si="48"/>
        <v>1</v>
      </c>
      <c r="Y132" s="192">
        <f t="shared" si="35"/>
        <v>4.53E-2</v>
      </c>
      <c r="Z132" s="192">
        <f t="shared" si="36"/>
        <v>23.3306</v>
      </c>
      <c r="AA132" s="192">
        <f t="shared" si="37"/>
        <v>23.285299999999999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38"/>
        <v>0217-12</v>
      </c>
      <c r="AE132" s="80" t="str">
        <f t="shared" si="39"/>
        <v>aws s3 cp s3://rtdc.mdm.uploadarchive.raw/RTDC4022/ "%USERPROFILE%\AppData\Local\Temp\OnboardLogs"\RTDC4022\2017-05-12 --exclude "*" --recursive --include "*20170512*" &amp; "%USERPROFILE%\Documents\GitHub\mrs-test-scripts\Headless Mode &amp; Sideloading\WalkAndUnGZ.bat" "%USERPROFILE%\AppData\Local\Temp\OnboardLogs"\RTDC4022\2017-05-12 &amp; aws s3 cp s3://rtdc.mdm.uploadarchive.raw/RTDC4022/ "%USERPROFILE%\AppData\Local\Temp\OnboardLogs"\RTDC4022\2017-05-13 --exclude "*" --recursive --include "*20170513*" &amp; "%USERPROFILE%\Documents\GitHub\mrs-test-scripts\Headless Mode &amp; Sideloading\WalkAndUnGZ.bat" "%USERPROFILE%\AppData\Local\Temp\OnboardLogs"\RTDC4022\2017-05-13</v>
      </c>
      <c r="AF132" s="77" t="str">
        <f t="shared" si="40"/>
        <v>"C:\Program Files (x86)\AstroGrep\AstroGrep.exe" /e /r /s /spath="%USERPROFILE%\AppData\Local\Temp\OnboardLogs" /stypes="app*4022*20170513*" /stext=" 00:.+((SYSTEM_STATE.+slice.+state.+changed )|(ment ac)|(multiple cpu faults)|(system.+state.+changed )|(\[timeout)|(PRM\|1\|D)|(kpr)|(kdp)|(train st.+moving)|(\|lc)|(penalty))"</v>
      </c>
      <c r="AG132" s="1" t="str">
        <f t="shared" si="41"/>
        <v>EC</v>
      </c>
      <c r="AH132" s="81" t="str">
        <f t="shared" si="42"/>
        <v>"%USERPROFILE%\Documents\GitHub\eaglep3\Utilities\RefineRTDCRunTimes.py" --tripid 217-12 --locoid 4022 --swversion DE.1.0.9.0 --startMP 204:453 --initTime 2017-05-12T18:08:02 --startdatetime 2017-05-12T18:15:35 --delay 2 --endMP 204:233306 --enddatetime 2017-05-12T18:52:01 --enforcementcount 0 &gt;&gt;C:\Users\stu\Documents\GitHub\eaglep3-reporting\EC\2017-05-12-refined-times.txt</v>
      </c>
      <c r="AI132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{"issue":{"subject":"","project_id":79,"tracker_id":40,"status_id":1,"priority_id":2,"assigned_to_id":23,"start_date":"2017-05-12","description":"","custom_fields":[{"id":1,"name":"Subdivision","value":"EC"},{"id":4,"name":"Milepost","value":"23.3306"},{"id":17,"name":"Train ID","value":"217-12"},{"id":16,"name":"Locomotive ID","value":"4022"},{"id":130,"name":"Impact","value":""},{"id":150,"name":"Time of Event (Mountain Time)","value":"18:52:01"},{"id":151,"name":"Denver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44"/>
        <v>start /low /b %USERPROFILE%\Documents\GitHub\eaglep3\Utilities\DownloadLogsFromS3.py --loco 4022 --day 2017-05-12</v>
      </c>
      <c r="AN132" s="154" t="str">
        <f t="shared" si="45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00:52:01"},{"id":29,"name":"Sharepoint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767</v>
      </c>
      <c r="B133" s="7">
        <v>4021</v>
      </c>
      <c r="C133" s="21" t="s">
        <v>206</v>
      </c>
      <c r="D133" s="21" t="s">
        <v>879</v>
      </c>
      <c r="E133" s="13">
        <v>42867.796018518522</v>
      </c>
      <c r="F133" s="13">
        <v>42867.799641203703</v>
      </c>
      <c r="G133" s="7">
        <v>1</v>
      </c>
      <c r="H133" s="21" t="s">
        <v>353</v>
      </c>
      <c r="I133" s="13">
        <v>42867.826898148145</v>
      </c>
      <c r="J133" s="7">
        <v>0</v>
      </c>
      <c r="K133" s="92" t="str">
        <f t="shared" si="30"/>
        <v>4021/4022</v>
      </c>
      <c r="L133" s="21" t="str">
        <f>VLOOKUP(A133,'Trips&amp;Operators'!$C$1:$G$99999,5,FALSE)</f>
        <v>MAGEE KENYA</v>
      </c>
      <c r="M133" s="6">
        <f t="shared" si="31"/>
        <v>2.7256944442342501E-2</v>
      </c>
      <c r="N133" s="7">
        <f t="shared" si="49"/>
        <v>39.249999996973202</v>
      </c>
      <c r="O133" s="7"/>
      <c r="P133" s="7"/>
      <c r="Q133" s="22"/>
      <c r="R133" s="190"/>
      <c r="S133" s="196">
        <f t="shared" si="50"/>
        <v>1</v>
      </c>
      <c r="T133" s="190" t="str">
        <f t="shared" si="32"/>
        <v>Southbound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1" t="str">
        <f t="shared" si="33"/>
        <v>https://d0f6bd738d7f1b3e5a7ca70fe4ff75f0.us-east-1.aws.found.io/app/kibana#/discover/Steve-Slow-Train-Analysis-(2080s-and-2083s)?_g=(refreshInterval:(display:Off,pause:!f,section:0,value:0),time:(from:'2017-05-12T18:06:16-0600',mode:absolute,to:'2017-05-12T20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3" s="192" t="str">
        <f t="shared" si="34"/>
        <v>N</v>
      </c>
      <c r="X133" s="192">
        <f t="shared" si="48"/>
        <v>1</v>
      </c>
      <c r="Y133" s="192">
        <f t="shared" si="35"/>
        <v>23.298300000000001</v>
      </c>
      <c r="Z133" s="192">
        <f t="shared" si="36"/>
        <v>1.4500000000000001E-2</v>
      </c>
      <c r="AA133" s="192">
        <f t="shared" si="37"/>
        <v>23.283799999999999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38"/>
        <v>0218-12</v>
      </c>
      <c r="AE133" s="80" t="str">
        <f t="shared" si="39"/>
        <v>aws s3 cp s3://rtdc.mdm.uploadarchive.raw/RTDC4021/ "%USERPROFILE%\AppData\Local\Temp\OnboardLogs"\RTDC4021\2017-05-12 --exclude "*" --recursive --include "*20170512*" &amp; "%USERPROFILE%\Documents\GitHub\mrs-test-scripts\Headless Mode &amp; Sideloading\WalkAndUnGZ.bat" "%USERPROFILE%\AppData\Local\Temp\OnboardLogs"\RTDC4021\2017-05-12 &amp; aws s3 cp s3://rtdc.mdm.uploadarchive.raw/RTDC4021/ "%USERPROFILE%\AppData\Local\Temp\OnboardLogs"\RTDC4021\2017-05-13 --exclude "*" --recursive --include "*20170513*" &amp; "%USERPROFILE%\Documents\GitHub\mrs-test-scripts\Headless Mode &amp; Sideloading\WalkAndUnGZ.bat" "%USERPROFILE%\AppData\Local\Temp\OnboardLogs"\RTDC4021\2017-05-13</v>
      </c>
      <c r="AF133" s="77" t="str">
        <f t="shared" si="40"/>
        <v>"C:\Program Files (x86)\AstroGrep\AstroGrep.exe" /e /r /s /spath="%USERPROFILE%\AppData\Local\Temp\OnboardLogs" /stypes="app*4021*20170513*" /stext=" 01:.+((SYSTEM_STATE.+slice.+state.+changed )|(ment ac)|(multiple cpu faults)|(system.+state.+changed )|(\[timeout)|(PRM\|1\|D)|(kpr)|(kdp)|(train st.+moving)|(\|lc)|(penalty))"</v>
      </c>
      <c r="AG133" s="1" t="str">
        <f t="shared" si="41"/>
        <v>EC</v>
      </c>
      <c r="AH133" s="81" t="str">
        <f t="shared" si="42"/>
        <v>"%USERPROFILE%\Documents\GitHub\eaglep3\Utilities\RefineRTDCRunTimes.py" --tripid 218-12 --locoid 4021 --swversion DE.1.0.9.0 --startMP 204:232983 --initTime 2017-05-12T19:06:16 --startdatetime 2017-05-12T19:11:29 --delay 1 --endMP 204:145 --enddatetime 2017-05-12T19:50:44 --enforcementcount 0 &gt;&gt;C:\Users\stu\Documents\GitHub\eaglep3-reporting\EC\2017-05-12-refined-times.txt</v>
      </c>
      <c r="AI133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{"issue":{"subject":"","project_id":79,"tracker_id":40,"status_id":1,"priority_id":2,"assigned_to_id":23,"start_date":"2017-05-12","description":"","custom_fields":[{"id":1,"name":"Subdivision","value":"EC"},{"id":4,"name":"Milepost","value":"0.0145"},{"id":17,"name":"Train ID","value":"218-12"},{"id":16,"name":"Locomotive ID","value":"4021"},{"id":130,"name":"Impact","value":""},{"id":150,"name":"Time of Event (Mountain Time)","value":"19:50:44"},{"id":151,"name":"Denver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44"/>
        <v>start /low /b %USERPROFILE%\Documents\GitHub\eaglep3\Utilities\DownloadLogsFromS3.py --loco 4021 --day 2017-05-12</v>
      </c>
      <c r="AN133" s="154" t="str">
        <f t="shared" si="45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01:50:44"},{"id":29,"name":"Sharepoint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747</v>
      </c>
      <c r="B134" s="7">
        <v>4016</v>
      </c>
      <c r="C134" s="21" t="s">
        <v>206</v>
      </c>
      <c r="D134" s="21" t="s">
        <v>894</v>
      </c>
      <c r="E134" s="13">
        <v>42867.767233796294</v>
      </c>
      <c r="F134" s="13">
        <v>42867.770995370367</v>
      </c>
      <c r="G134" s="7">
        <v>1</v>
      </c>
      <c r="H134" s="21" t="s">
        <v>895</v>
      </c>
      <c r="I134" s="13">
        <v>42867.795405092591</v>
      </c>
      <c r="J134" s="7">
        <v>0</v>
      </c>
      <c r="K134" s="92" t="str">
        <f t="shared" si="30"/>
        <v>4015/4016</v>
      </c>
      <c r="L134" s="21" t="str">
        <f>VLOOKUP(A134,'Trips&amp;Operators'!$C$1:$G$99999,5,FALSE)</f>
        <v>BIRENBAUM THOMAS</v>
      </c>
      <c r="M134" s="6">
        <f t="shared" si="31"/>
        <v>2.4409722223936114E-2</v>
      </c>
      <c r="N134" s="7">
        <f t="shared" si="49"/>
        <v>35.150000002468005</v>
      </c>
      <c r="O134" s="7"/>
      <c r="P134" s="7"/>
      <c r="Q134" s="22"/>
      <c r="R134" s="190"/>
      <c r="S134" s="196">
        <f t="shared" si="50"/>
        <v>1</v>
      </c>
      <c r="T134" s="190" t="str">
        <f t="shared" si="32"/>
        <v>NorthBound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1" t="str">
        <f t="shared" si="33"/>
        <v>https://d0f6bd738d7f1b3e5a7ca70fe4ff75f0.us-east-1.aws.found.io/app/kibana#/discover/Steve-Slow-Train-Analysis-(2080s-and-2083s)?_g=(refreshInterval:(display:Off,pause:!f,section:0,value:0),time:(from:'2017-05-12T17:24:49-0600',mode:absolute,to:'2017-05-12T20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4" s="192" t="str">
        <f t="shared" si="34"/>
        <v>N</v>
      </c>
      <c r="X134" s="192">
        <f t="shared" si="48"/>
        <v>1</v>
      </c>
      <c r="Y134" s="192">
        <f t="shared" si="35"/>
        <v>4.9799999999999997E-2</v>
      </c>
      <c r="Z134" s="192">
        <f t="shared" si="36"/>
        <v>23.330500000000001</v>
      </c>
      <c r="AA134" s="192">
        <f t="shared" si="37"/>
        <v>23.2807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38"/>
        <v>0219-12</v>
      </c>
      <c r="AE134" s="80" t="str">
        <f t="shared" si="39"/>
        <v>aws s3 cp s3://rtdc.mdm.uploadarchive.raw/RTDC4016/ "%USERPROFILE%\AppData\Local\Temp\OnboardLogs"\RTDC4016\2017-05-12 --exclude "*" --recursive --include "*20170512*" &amp; "%USERPROFILE%\Documents\GitHub\mrs-test-scripts\Headless Mode &amp; Sideloading\WalkAndUnGZ.bat" "%USERPROFILE%\AppData\Local\Temp\OnboardLogs"\RTDC4016\2017-05-12 &amp; aws s3 cp s3://rtdc.mdm.uploadarchive.raw/RTDC4016/ "%USERPROFILE%\AppData\Local\Temp\OnboardLogs"\RTDC4016\2017-05-13 --exclude "*" --recursive --include "*20170513*" &amp; "%USERPROFILE%\Documents\GitHub\mrs-test-scripts\Headless Mode &amp; Sideloading\WalkAndUnGZ.bat" "%USERPROFILE%\AppData\Local\Temp\OnboardLogs"\RTDC4016\2017-05-13</v>
      </c>
      <c r="AF134" s="77" t="str">
        <f t="shared" si="40"/>
        <v>"C:\Program Files (x86)\AstroGrep\AstroGrep.exe" /e /r /s /spath="%USERPROFILE%\AppData\Local\Temp\OnboardLogs" /stypes="app*4016*20170513*" /stext=" 01:.+((SYSTEM_STATE.+slice.+state.+changed )|(ment ac)|(multiple cpu faults)|(system.+state.+changed )|(\[timeout)|(PRM\|1\|D)|(kpr)|(kdp)|(train st.+moving)|(\|lc)|(penalty))"</v>
      </c>
      <c r="AG134" s="1" t="str">
        <f t="shared" si="41"/>
        <v>EC</v>
      </c>
      <c r="AH134" s="81" t="str">
        <f t="shared" si="42"/>
        <v>"%USERPROFILE%\Documents\GitHub\eaglep3\Utilities\RefineRTDCRunTimes.py" --tripid 219-12 --locoid 4016 --swversion DE.1.0.9.0 --startMP 204:498 --initTime 2017-05-12T18:24:49 --startdatetime 2017-05-12T18:30:14 --delay 1 --endMP 204:233305 --enddatetime 2017-05-12T19:05:23 --enforcementcount 0 &gt;&gt;C:\Users\stu\Documents\GitHub\eaglep3-reporting\EC\2017-05-12-refined-times.txt</v>
      </c>
      <c r="AI134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{"issue":{"subject":"","project_id":79,"tracker_id":40,"status_id":1,"priority_id":2,"assigned_to_id":23,"start_date":"2017-05-12","description":"","custom_fields":[{"id":1,"name":"Subdivision","value":"EC"},{"id":4,"name":"Milepost","value":"23.3305"},{"id":17,"name":"Train ID","value":"219-12"},{"id":16,"name":"Locomotive ID","value":"4016"},{"id":130,"name":"Impact","value":""},{"id":150,"name":"Time of Event (Mountain Time)","value":"19:05:23"},{"id":151,"name":"Denver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44"/>
        <v>start /low /b %USERPROFILE%\Documents\GitHub\eaglep3\Utilities\DownloadLogsFromS3.py --loco 4016 --day 2017-05-12</v>
      </c>
      <c r="AN134" s="154" t="str">
        <f t="shared" si="45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01:05:23"},{"id":29,"name":"Sharepoint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589</v>
      </c>
      <c r="B135" s="7">
        <v>4015</v>
      </c>
      <c r="C135" s="21" t="s">
        <v>206</v>
      </c>
      <c r="D135" s="21" t="s">
        <v>453</v>
      </c>
      <c r="E135" s="13">
        <v>42867.805405092593</v>
      </c>
      <c r="F135" s="13">
        <v>42867.809895833336</v>
      </c>
      <c r="G135" s="7">
        <v>1</v>
      </c>
      <c r="H135" s="21" t="s">
        <v>358</v>
      </c>
      <c r="I135" s="13">
        <v>42867.837418981479</v>
      </c>
      <c r="J135" s="7">
        <v>0</v>
      </c>
      <c r="K135" s="92" t="str">
        <f t="shared" si="30"/>
        <v>4015/4016</v>
      </c>
      <c r="L135" s="21" t="str">
        <f>VLOOKUP(A135,'Trips&amp;Operators'!$C$1:$G$99999,5,FALSE)</f>
        <v>BIRENBAUM THOMAS</v>
      </c>
      <c r="M135" s="6">
        <f t="shared" si="31"/>
        <v>2.7523148142790888E-2</v>
      </c>
      <c r="N135" s="7">
        <f t="shared" si="49"/>
        <v>39.633333325618878</v>
      </c>
      <c r="O135" s="7"/>
      <c r="P135" s="7"/>
      <c r="Q135" s="22"/>
      <c r="R135" s="190"/>
      <c r="S135" s="196">
        <f t="shared" si="50"/>
        <v>1</v>
      </c>
      <c r="T135" s="190" t="str">
        <f t="shared" si="32"/>
        <v>Southbound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1" t="str">
        <f t="shared" si="33"/>
        <v>https://d0f6bd738d7f1b3e5a7ca70fe4ff75f0.us-east-1.aws.found.io/app/kibana#/discover/Steve-Slow-Train-Analysis-(2080s-and-2083s)?_g=(refreshInterval:(display:Off,pause:!f,section:0,value:0),time:(from:'2017-05-12T18:19:47-0600',mode:absolute,to:'2017-05-12T21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5" s="192" t="str">
        <f t="shared" si="34"/>
        <v>N</v>
      </c>
      <c r="X135" s="192">
        <f t="shared" si="48"/>
        <v>1</v>
      </c>
      <c r="Y135" s="192">
        <f t="shared" si="35"/>
        <v>23.297699999999999</v>
      </c>
      <c r="Z135" s="192">
        <f t="shared" si="36"/>
        <v>1.4999999999999999E-2</v>
      </c>
      <c r="AA135" s="192">
        <f t="shared" si="37"/>
        <v>23.282699999999998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38"/>
        <v>0220-12</v>
      </c>
      <c r="AE135" s="80" t="str">
        <f t="shared" si="39"/>
        <v>aws s3 cp s3://rtdc.mdm.uploadarchive.raw/RTDC4015/ "%USERPROFILE%\AppData\Local\Temp\OnboardLogs"\RTDC4015\2017-05-12 --exclude "*" --recursive --include "*20170512*" &amp; "%USERPROFILE%\Documents\GitHub\mrs-test-scripts\Headless Mode &amp; Sideloading\WalkAndUnGZ.bat" "%USERPROFILE%\AppData\Local\Temp\OnboardLogs"\RTDC4015\2017-05-12 &amp; aws s3 cp s3://rtdc.mdm.uploadarchive.raw/RTDC4015/ "%USERPROFILE%\AppData\Local\Temp\OnboardLogs"\RTDC4015\2017-05-13 --exclude "*" --recursive --include "*20170513*" &amp; "%USERPROFILE%\Documents\GitHub\mrs-test-scripts\Headless Mode &amp; Sideloading\WalkAndUnGZ.bat" "%USERPROFILE%\AppData\Local\Temp\OnboardLogs"\RTDC4015\2017-05-13</v>
      </c>
      <c r="AF135" s="77" t="str">
        <f t="shared" si="40"/>
        <v>"C:\Program Files (x86)\AstroGrep\AstroGrep.exe" /e /r /s /spath="%USERPROFILE%\AppData\Local\Temp\OnboardLogs" /stypes="app*4015*20170513*" /stext=" 02:.+((SYSTEM_STATE.+slice.+state.+changed )|(ment ac)|(multiple cpu faults)|(system.+state.+changed )|(\[timeout)|(PRM\|1\|D)|(kpr)|(kdp)|(train st.+moving)|(\|lc)|(penalty))"</v>
      </c>
      <c r="AG135" s="1" t="str">
        <f t="shared" si="41"/>
        <v>EC</v>
      </c>
      <c r="AH135" s="81" t="str">
        <f t="shared" si="42"/>
        <v>"%USERPROFILE%\Documents\GitHub\eaglep3\Utilities\RefineRTDCRunTimes.py" --tripid 220-12 --locoid 4015 --swversion DE.1.0.9.0 --startMP 204:232977 --initTime 2017-05-12T19:19:47 --startdatetime 2017-05-12T19:26:15 --delay 1 --endMP 204:150 --enddatetime 2017-05-12T20:05:53 --enforcementcount 0 &gt;&gt;C:\Users\stu\Documents\GitHub\eaglep3-reporting\EC\2017-05-12-refined-times.txt</v>
      </c>
      <c r="AI135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{"issue":{"subject":"","project_id":79,"tracker_id":40,"status_id":1,"priority_id":2,"assigned_to_id":23,"start_date":"2017-05-12","description":"","custom_fields":[{"id":1,"name":"Subdivision","value":"EC"},{"id":4,"name":"Milepost","value":"0.015"},{"id":17,"name":"Train ID","value":"220-12"},{"id":16,"name":"Locomotive ID","value":"4015"},{"id":130,"name":"Impact","value":""},{"id":150,"name":"Time of Event (Mountain Time)","value":"20:05:53"},{"id":151,"name":"Denver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44"/>
        <v>start /low /b %USERPROFILE%\Documents\GitHub\eaglep3\Utilities\DownloadLogsFromS3.py --loco 4015 --day 2017-05-12</v>
      </c>
      <c r="AN135" s="154" t="str">
        <f t="shared" si="45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02:05:53"},{"id":29,"name":"Sharepoint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766</v>
      </c>
      <c r="B136" s="7">
        <v>4046</v>
      </c>
      <c r="C136" s="21" t="s">
        <v>206</v>
      </c>
      <c r="D136" s="21" t="s">
        <v>392</v>
      </c>
      <c r="E136" s="13">
        <v>42867.78733796296</v>
      </c>
      <c r="F136" s="13">
        <v>42867.791805555556</v>
      </c>
      <c r="G136" s="7">
        <v>1</v>
      </c>
      <c r="H136" s="21" t="s">
        <v>520</v>
      </c>
      <c r="I136" s="13">
        <v>42867.816736111112</v>
      </c>
      <c r="J136" s="7">
        <v>0</v>
      </c>
      <c r="K136" s="92" t="str">
        <f t="shared" si="30"/>
        <v>4045/4046</v>
      </c>
      <c r="L136" s="21" t="str">
        <f>VLOOKUP(A136,'Trips&amp;Operators'!$C$1:$G$99999,5,FALSE)</f>
        <v>BROWN JACOB</v>
      </c>
      <c r="M136" s="6">
        <f t="shared" si="31"/>
        <v>2.4930555555329192E-2</v>
      </c>
      <c r="N136" s="7">
        <f t="shared" si="49"/>
        <v>35.899999999674037</v>
      </c>
      <c r="O136" s="7"/>
      <c r="P136" s="7"/>
      <c r="Q136" s="22"/>
      <c r="R136" s="190"/>
      <c r="S136" s="196">
        <f t="shared" si="50"/>
        <v>1</v>
      </c>
      <c r="T136" s="190" t="str">
        <f t="shared" si="32"/>
        <v>NorthBound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1" t="str">
        <f t="shared" si="33"/>
        <v>https://d0f6bd738d7f1b3e5a7ca70fe4ff75f0.us-east-1.aws.found.io/app/kibana#/discover/Steve-Slow-Train-Analysis-(2080s-and-2083s)?_g=(refreshInterval:(display:Off,pause:!f,section:0,value:0),time:(from:'2017-05-12T17:53:46-0600',mode:absolute,to:'2017-05-12T20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6" s="192" t="str">
        <f t="shared" si="34"/>
        <v>N</v>
      </c>
      <c r="X136" s="192">
        <f t="shared" si="48"/>
        <v>1</v>
      </c>
      <c r="Y136" s="192">
        <f t="shared" si="35"/>
        <v>4.7800000000000002E-2</v>
      </c>
      <c r="Z136" s="192">
        <f t="shared" si="36"/>
        <v>23.328900000000001</v>
      </c>
      <c r="AA136" s="192">
        <f t="shared" si="37"/>
        <v>23.281100000000002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38"/>
        <v>0221-12</v>
      </c>
      <c r="AE136" s="80" t="str">
        <f t="shared" si="39"/>
        <v>aws s3 cp s3://rtdc.mdm.uploadarchive.raw/RTDC4046/ "%USERPROFILE%\AppData\Local\Temp\OnboardLogs"\RTDC4046\2017-05-12 --exclude "*" --recursive --include "*20170512*" &amp; "%USERPROFILE%\Documents\GitHub\mrs-test-scripts\Headless Mode &amp; Sideloading\WalkAndUnGZ.bat" "%USERPROFILE%\AppData\Local\Temp\OnboardLogs"\RTDC4046\2017-05-12 &amp; aws s3 cp s3://rtdc.mdm.uploadarchive.raw/RTDC4046/ "%USERPROFILE%\AppData\Local\Temp\OnboardLogs"\RTDC4046\2017-05-13 --exclude "*" --recursive --include "*20170513*" &amp; "%USERPROFILE%\Documents\GitHub\mrs-test-scripts\Headless Mode &amp; Sideloading\WalkAndUnGZ.bat" "%USERPROFILE%\AppData\Local\Temp\OnboardLogs"\RTDC4046\2017-05-13</v>
      </c>
      <c r="AF136" s="77" t="str">
        <f t="shared" si="40"/>
        <v>"C:\Program Files (x86)\AstroGrep\AstroGrep.exe" /e /r /s /spath="%USERPROFILE%\AppData\Local\Temp\OnboardLogs" /stypes="app*4046*20170513*" /stext=" 01:.+((SYSTEM_STATE.+slice.+state.+changed )|(ment ac)|(multiple cpu faults)|(system.+state.+changed )|(\[timeout)|(PRM\|1\|D)|(kpr)|(kdp)|(train st.+moving)|(\|lc)|(penalty))"</v>
      </c>
      <c r="AG136" s="1" t="str">
        <f t="shared" si="41"/>
        <v>EC</v>
      </c>
      <c r="AH136" s="81" t="str">
        <f t="shared" si="42"/>
        <v>"%USERPROFILE%\Documents\GitHub\eaglep3\Utilities\RefineRTDCRunTimes.py" --tripid 221-12 --locoid 4046 --swversion DE.1.0.9.0 --startMP 204:478 --initTime 2017-05-12T18:53:46 --startdatetime 2017-05-12T19:00:12 --delay 1 --endMP 204:233289 --enddatetime 2017-05-12T19:36:06 --enforcementcount 0 &gt;&gt;C:\Users\stu\Documents\GitHub\eaglep3-reporting\EC\2017-05-12-refined-times.txt</v>
      </c>
      <c r="AI136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{"issue":{"subject":"","project_id":79,"tracker_id":40,"status_id":1,"priority_id":2,"assigned_to_id":23,"start_date":"2017-05-12","description":"","custom_fields":[{"id":1,"name":"Subdivision","value":"EC"},{"id":4,"name":"Milepost","value":"23.3289"},{"id":17,"name":"Train ID","value":"221-12"},{"id":16,"name":"Locomotive ID","value":"4046"},{"id":130,"name":"Impact","value":""},{"id":150,"name":"Time of Event (Mountain Time)","value":"19:36:06"},{"id":151,"name":"Denver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44"/>
        <v>start /low /b %USERPROFILE%\Documents\GitHub\eaglep3\Utilities\DownloadLogsFromS3.py --loco 4046 --day 2017-05-12</v>
      </c>
      <c r="AN136" s="154" t="str">
        <f t="shared" si="45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01:36:06"},{"id":29,"name":"Sharepoint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x14ac:dyDescent="0.25">
      <c r="A137" s="32" t="s">
        <v>773</v>
      </c>
      <c r="B137" s="7">
        <v>4045</v>
      </c>
      <c r="C137" s="21" t="s">
        <v>206</v>
      </c>
      <c r="D137" s="21" t="s">
        <v>896</v>
      </c>
      <c r="E137" s="13">
        <v>42867.830208333333</v>
      </c>
      <c r="F137" s="13">
        <v>42867.831423611111</v>
      </c>
      <c r="G137" s="7">
        <v>1</v>
      </c>
      <c r="H137" s="21" t="s">
        <v>198</v>
      </c>
      <c r="I137" s="13">
        <v>42867.859016203707</v>
      </c>
      <c r="J137" s="7">
        <v>0</v>
      </c>
      <c r="K137" s="92" t="str">
        <f t="shared" si="30"/>
        <v>4045/4046</v>
      </c>
      <c r="L137" s="21" t="str">
        <f>VLOOKUP(A137,'Trips&amp;Operators'!$C$1:$G$99999,5,FALSE)</f>
        <v>BROWN JACOB</v>
      </c>
      <c r="M137" s="6">
        <f t="shared" si="31"/>
        <v>2.7592592596192844E-2</v>
      </c>
      <c r="N137" s="7">
        <f t="shared" si="49"/>
        <v>39.733333338517696</v>
      </c>
      <c r="O137" s="7"/>
      <c r="P137" s="7"/>
      <c r="Q137" s="22"/>
      <c r="R137" s="190"/>
      <c r="S137" s="196">
        <f t="shared" si="50"/>
        <v>1</v>
      </c>
      <c r="T137" s="190" t="str">
        <f t="shared" si="32"/>
        <v>Southbound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1" t="str">
        <f t="shared" si="33"/>
        <v>https://d0f6bd738d7f1b3e5a7ca70fe4ff75f0.us-east-1.aws.found.io/app/kibana#/discover/Steve-Slow-Train-Analysis-(2080s-and-2083s)?_g=(refreshInterval:(display:Off,pause:!f,section:0,value:0),time:(from:'2017-05-12T18:55:30-0600',mode:absolute,to:'2017-05-12T21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7" s="192" t="str">
        <f t="shared" si="34"/>
        <v>N</v>
      </c>
      <c r="X137" s="192">
        <f t="shared" si="48"/>
        <v>1</v>
      </c>
      <c r="Y137" s="192">
        <f t="shared" si="35"/>
        <v>23.3</v>
      </c>
      <c r="Z137" s="192">
        <f t="shared" si="36"/>
        <v>1.5800000000000002E-2</v>
      </c>
      <c r="AA137" s="192">
        <f t="shared" si="37"/>
        <v>23.284200000000002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38"/>
        <v>0222-12</v>
      </c>
      <c r="AE137" s="80" t="str">
        <f t="shared" si="39"/>
        <v>aws s3 cp s3://rtdc.mdm.uploadarchive.raw/RTDC4045/ "%USERPROFILE%\AppData\Local\Temp\OnboardLogs"\RTDC4045\2017-05-12 --exclude "*" --recursive --include "*20170512*" &amp; "%USERPROFILE%\Documents\GitHub\mrs-test-scripts\Headless Mode &amp; Sideloading\WalkAndUnGZ.bat" "%USERPROFILE%\AppData\Local\Temp\OnboardLogs"\RTDC4045\2017-05-12 &amp; aws s3 cp s3://rtdc.mdm.uploadarchive.raw/RTDC4045/ "%USERPROFILE%\AppData\Local\Temp\OnboardLogs"\RTDC4045\2017-05-13 --exclude "*" --recursive --include "*20170513*" &amp; "%USERPROFILE%\Documents\GitHub\mrs-test-scripts\Headless Mode &amp; Sideloading\WalkAndUnGZ.bat" "%USERPROFILE%\AppData\Local\Temp\OnboardLogs"\RTDC4045\2017-05-13</v>
      </c>
      <c r="AF137" s="77" t="str">
        <f t="shared" si="40"/>
        <v>"C:\Program Files (x86)\AstroGrep\AstroGrep.exe" /e /r /s /spath="%USERPROFILE%\AppData\Local\Temp\OnboardLogs" /stypes="app*4045*20170513*" /stext=" 02:.+((SYSTEM_STATE.+slice.+state.+changed )|(ment ac)|(multiple cpu faults)|(system.+state.+changed )|(\[timeout)|(PRM\|1\|D)|(kpr)|(kdp)|(train st.+moving)|(\|lc)|(penalty))"</v>
      </c>
      <c r="AG137" s="1" t="str">
        <f t="shared" si="41"/>
        <v>EC</v>
      </c>
      <c r="AH137" s="81" t="str">
        <f t="shared" si="42"/>
        <v>"%USERPROFILE%\Documents\GitHub\eaglep3\Utilities\RefineRTDCRunTimes.py" --tripid 222-12 --locoid 4045 --swversion DE.1.0.9.0 --startMP 204:233000 --initTime 2017-05-12T19:55:30 --startdatetime 2017-05-12T19:57:15 --delay 1 --endMP 204:158 --enddatetime 2017-05-12T20:36:59 --enforcementcount 0 &gt;&gt;C:\Users\stu\Documents\GitHub\eaglep3-reporting\EC\2017-05-12-refined-times.txt</v>
      </c>
      <c r="AI137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{"issue":{"subject":"","project_id":79,"tracker_id":40,"status_id":1,"priority_id":2,"assigned_to_id":23,"start_date":"2017-05-12","description":"","custom_fields":[{"id":1,"name":"Subdivision","value":"EC"},{"id":4,"name":"Milepost","value":"0.0158"},{"id":17,"name":"Train ID","value":"222-12"},{"id":16,"name":"Locomotive ID","value":"4045"},{"id":130,"name":"Impact","value":""},{"id":150,"name":"Time of Event (Mountain Time)","value":"20:36:59"},{"id":151,"name":"Denver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20"/>
      <c r="AK137" s="47"/>
      <c r="AL137" s="47"/>
      <c r="AM137" s="145" t="str">
        <f t="shared" si="44"/>
        <v>start /low /b %USERPROFILE%\Documents\GitHub\eaglep3\Utilities\DownloadLogsFromS3.py --loco 4045 --day 2017-05-12</v>
      </c>
      <c r="AN137" s="154" t="str">
        <f t="shared" si="45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02:36:59"},{"id":29,"name":"Sharepoint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38" spans="1:91" s="20" customFormat="1" x14ac:dyDescent="0.25">
      <c r="A138" s="32" t="s">
        <v>590</v>
      </c>
      <c r="B138" s="7">
        <v>4012</v>
      </c>
      <c r="C138" s="21" t="s">
        <v>206</v>
      </c>
      <c r="D138" s="21" t="s">
        <v>480</v>
      </c>
      <c r="E138" s="13">
        <v>42867.810590277775</v>
      </c>
      <c r="F138" s="13">
        <v>42867.812905092593</v>
      </c>
      <c r="G138" s="7">
        <v>2</v>
      </c>
      <c r="H138" s="21" t="s">
        <v>897</v>
      </c>
      <c r="I138" s="13">
        <v>42867.837743055556</v>
      </c>
      <c r="J138" s="7">
        <v>0</v>
      </c>
      <c r="K138" s="92" t="str">
        <f t="shared" si="30"/>
        <v>4011/4012</v>
      </c>
      <c r="L138" s="21" t="str">
        <f>VLOOKUP(A138,'Trips&amp;Operators'!$C$1:$G$99999,5,FALSE)</f>
        <v>LAMAR NEKESHA</v>
      </c>
      <c r="M138" s="6">
        <f t="shared" si="31"/>
        <v>2.4837962962919846E-2</v>
      </c>
      <c r="N138" s="7">
        <f t="shared" si="49"/>
        <v>35.766666666604578</v>
      </c>
      <c r="O138" s="7"/>
      <c r="P138" s="7"/>
      <c r="Q138" s="22"/>
      <c r="R138" s="190"/>
      <c r="S138" s="196">
        <f t="shared" si="50"/>
        <v>1</v>
      </c>
      <c r="T138" s="190" t="str">
        <f t="shared" si="32"/>
        <v>NorthBound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1" t="str">
        <f t="shared" si="33"/>
        <v>https://d0f6bd738d7f1b3e5a7ca70fe4ff75f0.us-east-1.aws.found.io/app/kibana#/discover/Steve-Slow-Train-Analysis-(2080s-and-2083s)?_g=(refreshInterval:(display:Off,pause:!f,section:0,value:0),time:(from:'2017-05-12T18:27:15-0600',mode:absolute,to:'2017-05-12T21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8" s="192" t="str">
        <f t="shared" si="34"/>
        <v>N</v>
      </c>
      <c r="X138" s="192">
        <f t="shared" si="48"/>
        <v>1</v>
      </c>
      <c r="Y138" s="192">
        <f t="shared" si="35"/>
        <v>4.24E-2</v>
      </c>
      <c r="Z138" s="192">
        <f t="shared" si="36"/>
        <v>23.3049</v>
      </c>
      <c r="AA138" s="192">
        <f t="shared" si="37"/>
        <v>23.262499999999999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38"/>
        <v>0223-12</v>
      </c>
      <c r="AE138" s="80" t="str">
        <f t="shared" si="39"/>
        <v>aws s3 cp s3://rtdc.mdm.uploadarchive.raw/RTDC4012/ "%USERPROFILE%\AppData\Local\Temp\OnboardLogs"\RTDC4012\2017-05-12 --exclude "*" --recursive --include "*20170512*" &amp; "%USERPROFILE%\Documents\GitHub\mrs-test-scripts\Headless Mode &amp; Sideloading\WalkAndUnGZ.bat" "%USERPROFILE%\AppData\Local\Temp\OnboardLogs"\RTDC4012\2017-05-12 &amp; aws s3 cp s3://rtdc.mdm.uploadarchive.raw/RTDC4012/ "%USERPROFILE%\AppData\Local\Temp\OnboardLogs"\RTDC4012\2017-05-13 --exclude "*" --recursive --include "*20170513*" &amp; "%USERPROFILE%\Documents\GitHub\mrs-test-scripts\Headless Mode &amp; Sideloading\WalkAndUnGZ.bat" "%USERPROFILE%\AppData\Local\Temp\OnboardLogs"\RTDC4012\2017-05-13</v>
      </c>
      <c r="AF138" s="77" t="str">
        <f t="shared" si="40"/>
        <v>"C:\Program Files (x86)\AstroGrep\AstroGrep.exe" /e /r /s /spath="%USERPROFILE%\AppData\Local\Temp\OnboardLogs" /stypes="app*4012*20170513*" /stext=" 02:.+((SYSTEM_STATE.+slice.+state.+changed )|(ment ac)|(multiple cpu faults)|(system.+state.+changed )|(\[timeout)|(PRM\|1\|D)|(kpr)|(kdp)|(train st.+moving)|(\|lc)|(penalty))"</v>
      </c>
      <c r="AG138" s="1" t="str">
        <f t="shared" si="41"/>
        <v>EC</v>
      </c>
      <c r="AH138" s="81" t="str">
        <f t="shared" si="42"/>
        <v>"%USERPROFILE%\Documents\GitHub\eaglep3\Utilities\RefineRTDCRunTimes.py" --tripid 223-12 --locoid 4012 --swversion DE.1.0.9.0 --startMP 204:424 --initTime 2017-05-12T19:27:15 --startdatetime 2017-05-12T19:30:35 --delay 2 --endMP 204:233049 --enddatetime 2017-05-12T20:06:21 --enforcementcount 0 &gt;&gt;C:\Users\stu\Documents\GitHub\eaglep3-reporting\EC\2017-05-12-refined-times.txt</v>
      </c>
      <c r="AI138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{"issue":{"subject":"","project_id":79,"tracker_id":40,"status_id":1,"priority_id":2,"assigned_to_id":23,"start_date":"2017-05-12","description":"","custom_fields":[{"id":1,"name":"Subdivision","value":"EC"},{"id":4,"name":"Milepost","value":"23.3049"},{"id":17,"name":"Train ID","value":"223-12"},{"id":16,"name":"Locomotive ID","value":"4012"},{"id":130,"name":"Impact","value":""},{"id":150,"name":"Time of Event (Mountain Time)","value":"20:06:21"},{"id":151,"name":"Denver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44"/>
        <v>start /low /b %USERPROFILE%\Documents\GitHub\eaglep3\Utilities\DownloadLogsFromS3.py --loco 4012 --day 2017-05-12</v>
      </c>
      <c r="AN138" s="154" t="str">
        <f t="shared" si="45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02:06:21"},{"id":29,"name":"Sharepoint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775</v>
      </c>
      <c r="B139" s="7">
        <v>4011</v>
      </c>
      <c r="C139" s="21" t="s">
        <v>206</v>
      </c>
      <c r="D139" s="21" t="s">
        <v>898</v>
      </c>
      <c r="E139" s="13">
        <v>42867.844305555554</v>
      </c>
      <c r="F139" s="13">
        <v>42867.851921296293</v>
      </c>
      <c r="G139" s="7">
        <v>1</v>
      </c>
      <c r="H139" s="21" t="s">
        <v>886</v>
      </c>
      <c r="I139" s="13">
        <v>42867.879259259258</v>
      </c>
      <c r="J139" s="7">
        <v>0</v>
      </c>
      <c r="K139" s="92" t="str">
        <f t="shared" si="30"/>
        <v>4011/4012</v>
      </c>
      <c r="L139" s="21" t="str">
        <f>VLOOKUP(A139,'Trips&amp;Operators'!$C$1:$G$99999,5,FALSE)</f>
        <v>LAMAR NEKESHA</v>
      </c>
      <c r="M139" s="6">
        <f t="shared" si="31"/>
        <v>2.7337962965248153E-2</v>
      </c>
      <c r="N139" s="7">
        <f t="shared" si="49"/>
        <v>39.36666666995734</v>
      </c>
      <c r="O139" s="7"/>
      <c r="P139" s="7"/>
      <c r="Q139" s="22"/>
      <c r="R139" s="190"/>
      <c r="S139" s="196">
        <f t="shared" si="50"/>
        <v>1</v>
      </c>
      <c r="T139" s="190" t="str">
        <f t="shared" si="32"/>
        <v>Southbound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1" t="str">
        <f t="shared" si="33"/>
        <v>https://d0f6bd738d7f1b3e5a7ca70fe4ff75f0.us-east-1.aws.found.io/app/kibana#/discover/Steve-Slow-Train-Analysis-(2080s-and-2083s)?_g=(refreshInterval:(display:Off,pause:!f,section:0,value:0),time:(from:'2017-05-12T19:15:48-0600',mode:absolute,to:'2017-05-12T22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9" s="192" t="str">
        <f t="shared" si="34"/>
        <v>N</v>
      </c>
      <c r="X139" s="192">
        <f t="shared" si="48"/>
        <v>1</v>
      </c>
      <c r="Y139" s="192">
        <f t="shared" si="35"/>
        <v>23.273800000000001</v>
      </c>
      <c r="Z139" s="192">
        <f t="shared" si="36"/>
        <v>1.6500000000000001E-2</v>
      </c>
      <c r="AA139" s="192">
        <f t="shared" si="37"/>
        <v>23.257300000000001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38"/>
        <v>0224-12</v>
      </c>
      <c r="AE139" s="80" t="str">
        <f t="shared" si="39"/>
        <v>aws s3 cp s3://rtdc.mdm.uploadarchive.raw/RTDC4011/ "%USERPROFILE%\AppData\Local\Temp\OnboardLogs"\RTDC4011\2017-05-12 --exclude "*" --recursive --include "*20170512*" &amp; "%USERPROFILE%\Documents\GitHub\mrs-test-scripts\Headless Mode &amp; Sideloading\WalkAndUnGZ.bat" "%USERPROFILE%\AppData\Local\Temp\OnboardLogs"\RTDC4011\2017-05-12 &amp; aws s3 cp s3://rtdc.mdm.uploadarchive.raw/RTDC4011/ "%USERPROFILE%\AppData\Local\Temp\OnboardLogs"\RTDC4011\2017-05-13 --exclude "*" --recursive --include "*20170513*" &amp; "%USERPROFILE%\Documents\GitHub\mrs-test-scripts\Headless Mode &amp; Sideloading\WalkAndUnGZ.bat" "%USERPROFILE%\AppData\Local\Temp\OnboardLogs"\RTDC4011\2017-05-13</v>
      </c>
      <c r="AF139" s="77" t="str">
        <f t="shared" si="40"/>
        <v>"C:\Program Files (x86)\AstroGrep\AstroGrep.exe" /e /r /s /spath="%USERPROFILE%\AppData\Local\Temp\OnboardLogs" /stypes="app*4011*20170513*" /stext=" 03:.+((SYSTEM_STATE.+slice.+state.+changed )|(ment ac)|(multiple cpu faults)|(system.+state.+changed )|(\[timeout)|(PRM\|1\|D)|(kpr)|(kdp)|(train st.+moving)|(\|lc)|(penalty))"</v>
      </c>
      <c r="AG139" s="1" t="str">
        <f t="shared" si="41"/>
        <v>EC</v>
      </c>
      <c r="AH139" s="81" t="str">
        <f t="shared" si="42"/>
        <v>"%USERPROFILE%\Documents\GitHub\eaglep3\Utilities\RefineRTDCRunTimes.py" --tripid 224-12 --locoid 4011 --swversion DE.1.0.9.0 --startMP 204:232738 --initTime 2017-05-12T20:15:48 --startdatetime 2017-05-12T20:26:46 --delay 1 --endMP 204:165 --enddatetime 2017-05-12T21:06:08 --enforcementcount 0 &gt;&gt;C:\Users\stu\Documents\GitHub\eaglep3-reporting\EC\2017-05-12-refined-times.txt</v>
      </c>
      <c r="AI139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{"issue":{"subject":"","project_id":79,"tracker_id":40,"status_id":1,"priority_id":2,"assigned_to_id":23,"start_date":"2017-05-12","description":"","custom_fields":[{"id":1,"name":"Subdivision","value":"EC"},{"id":4,"name":"Milepost","value":"0.0165"},{"id":17,"name":"Train ID","value":"224-12"},{"id":16,"name":"Locomotive ID","value":"4011"},{"id":130,"name":"Impact","value":""},{"id":150,"name":"Time of Event (Mountain Time)","value":"21:06:08"},{"id":151,"name":"Denver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44"/>
        <v>start /low /b %USERPROFILE%\Documents\GitHub\eaglep3\Utilities\DownloadLogsFromS3.py --loco 4011 --day 2017-05-12</v>
      </c>
      <c r="AN139" s="154" t="str">
        <f t="shared" si="45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03:06:08"},{"id":29,"name":"Sharepoint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771</v>
      </c>
      <c r="B140" s="7">
        <v>4022</v>
      </c>
      <c r="C140" s="21" t="s">
        <v>206</v>
      </c>
      <c r="D140" s="21" t="s">
        <v>372</v>
      </c>
      <c r="E140" s="13">
        <v>42867.828321759262</v>
      </c>
      <c r="F140" s="13">
        <v>42867.833599537036</v>
      </c>
      <c r="G140" s="7">
        <v>1</v>
      </c>
      <c r="H140" s="21" t="s">
        <v>438</v>
      </c>
      <c r="I140" s="13">
        <v>42867.859097222223</v>
      </c>
      <c r="J140" s="7">
        <v>0</v>
      </c>
      <c r="K140" s="92" t="str">
        <f t="shared" si="30"/>
        <v>4021/4022</v>
      </c>
      <c r="L140" s="21" t="str">
        <f>VLOOKUP(A140,'Trips&amp;Operators'!$C$1:$G$99999,5,FALSE)</f>
        <v>MAGEE KENYA</v>
      </c>
      <c r="M140" s="6">
        <f t="shared" si="31"/>
        <v>2.5497685186564922E-2</v>
      </c>
      <c r="N140" s="7">
        <f t="shared" si="49"/>
        <v>36.716666668653488</v>
      </c>
      <c r="O140" s="7"/>
      <c r="P140" s="7"/>
      <c r="Q140" s="22"/>
      <c r="R140" s="190"/>
      <c r="S140" s="196">
        <f t="shared" si="50"/>
        <v>1</v>
      </c>
      <c r="T140" s="190" t="str">
        <f t="shared" si="32"/>
        <v>NorthBound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1" t="str">
        <f t="shared" si="33"/>
        <v>https://d0f6bd738d7f1b3e5a7ca70fe4ff75f0.us-east-1.aws.found.io/app/kibana#/discover/Steve-Slow-Train-Analysis-(2080s-and-2083s)?_g=(refreshInterval:(display:Off,pause:!f,section:0,value:0),time:(from:'2017-05-12T18:52:47-0600',mode:absolute,to:'2017-05-12T21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0" s="192" t="str">
        <f t="shared" si="34"/>
        <v>N</v>
      </c>
      <c r="X140" s="192">
        <f t="shared" si="48"/>
        <v>1</v>
      </c>
      <c r="Y140" s="192">
        <f t="shared" si="35"/>
        <v>4.4699999999999997E-2</v>
      </c>
      <c r="Z140" s="192">
        <f t="shared" si="36"/>
        <v>23.327999999999999</v>
      </c>
      <c r="AA140" s="192">
        <f t="shared" si="37"/>
        <v>23.283300000000001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38"/>
        <v>0225-12</v>
      </c>
      <c r="AE140" s="80" t="str">
        <f t="shared" si="39"/>
        <v>aws s3 cp s3://rtdc.mdm.uploadarchive.raw/RTDC4022/ "%USERPROFILE%\AppData\Local\Temp\OnboardLogs"\RTDC4022\2017-05-12 --exclude "*" --recursive --include "*20170512*" &amp; "%USERPROFILE%\Documents\GitHub\mrs-test-scripts\Headless Mode &amp; Sideloading\WalkAndUnGZ.bat" "%USERPROFILE%\AppData\Local\Temp\OnboardLogs"\RTDC4022\2017-05-12 &amp; aws s3 cp s3://rtdc.mdm.uploadarchive.raw/RTDC4022/ "%USERPROFILE%\AppData\Local\Temp\OnboardLogs"\RTDC4022\2017-05-13 --exclude "*" --recursive --include "*20170513*" &amp; "%USERPROFILE%\Documents\GitHub\mrs-test-scripts\Headless Mode &amp; Sideloading\WalkAndUnGZ.bat" "%USERPROFILE%\AppData\Local\Temp\OnboardLogs"\RTDC4022\2017-05-13</v>
      </c>
      <c r="AF140" s="77" t="str">
        <f t="shared" si="40"/>
        <v>"C:\Program Files (x86)\AstroGrep\AstroGrep.exe" /e /r /s /spath="%USERPROFILE%\AppData\Local\Temp\OnboardLogs" /stypes="app*4022*20170513*" /stext=" 02:.+((SYSTEM_STATE.+slice.+state.+changed )|(ment ac)|(multiple cpu faults)|(system.+state.+changed )|(\[timeout)|(PRM\|1\|D)|(kpr)|(kdp)|(train st.+moving)|(\|lc)|(penalty))"</v>
      </c>
      <c r="AG140" s="1" t="str">
        <f t="shared" si="41"/>
        <v>EC</v>
      </c>
      <c r="AH140" s="81" t="str">
        <f t="shared" si="42"/>
        <v>"%USERPROFILE%\Documents\GitHub\eaglep3\Utilities\RefineRTDCRunTimes.py" --tripid 225-12 --locoid 4022 --swversion DE.1.0.9.0 --startMP 204:447 --initTime 2017-05-12T19:52:47 --startdatetime 2017-05-12T20:00:23 --delay 1 --endMP 204:233280 --enddatetime 2017-05-12T20:37:06 --enforcementcount 0 &gt;&gt;C:\Users\stu\Documents\GitHub\eaglep3-reporting\EC\2017-05-12-refined-times.txt</v>
      </c>
      <c r="AI140" s="99" t="str">
        <f t="shared" si="43"/>
        <v>echo {"issue":{"subject":"","project_id":79,"tracker_id":40,"status_id":1,"priority_id":2,"assigned_to_id":23,"start_date":"2017-05-12","description":"","custom_fields":[{"id":1,"name":"Subdivision","value":"EC"},{"id":4,"name":"Milepost","value":"23.328"},{"id":17,"name":"Train ID","value":"225-12"},{"id":16,"name":"Locomotive ID","value":"4022"},{"id":130,"name":"Impact","value":""},{"id":150,"name":"Time of Event (Mountain Time)","value":"20:37:06"},{"id":151,"name":"Denver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44"/>
        <v>start /low /b %USERPROFILE%\Documents\GitHub\eaglep3\Utilities\DownloadLogsFromS3.py --loco 4022 --day 2017-05-12</v>
      </c>
      <c r="AN140" s="154" t="str">
        <f t="shared" si="45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02:37:06"},{"id":29,"name":"Sharepoint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594</v>
      </c>
      <c r="B141" s="7">
        <v>4021</v>
      </c>
      <c r="C141" s="21" t="s">
        <v>206</v>
      </c>
      <c r="D141" s="21" t="s">
        <v>899</v>
      </c>
      <c r="E141" s="13">
        <v>42867.86996527778</v>
      </c>
      <c r="F141" s="13">
        <v>42867.872430555559</v>
      </c>
      <c r="G141" s="7">
        <v>1</v>
      </c>
      <c r="H141" s="21" t="s">
        <v>353</v>
      </c>
      <c r="I141" s="13">
        <v>42867.900243055556</v>
      </c>
      <c r="J141" s="7">
        <v>0</v>
      </c>
      <c r="K141" s="92" t="str">
        <f t="shared" ref="K141:K204" si="51">IF(ISEVEN(B141),(B141-1)&amp;"/"&amp;B141,B141&amp;"/"&amp;(B141+1))</f>
        <v>4021/4022</v>
      </c>
      <c r="L141" s="21" t="str">
        <f>VLOOKUP(A141,'Trips&amp;Operators'!$C$1:$G$99999,5,FALSE)</f>
        <v>MAGEE KENYA</v>
      </c>
      <c r="M141" s="6">
        <f t="shared" ref="M141:M204" si="52">I141-F141</f>
        <v>2.7812499996798579E-2</v>
      </c>
      <c r="N141" s="7">
        <f t="shared" si="49"/>
        <v>40.049999995389953</v>
      </c>
      <c r="O141" s="7"/>
      <c r="P141" s="7"/>
      <c r="Q141" s="22"/>
      <c r="R141" s="190"/>
      <c r="S141" s="196">
        <f t="shared" si="50"/>
        <v>1</v>
      </c>
      <c r="T141" s="190" t="str">
        <f t="shared" ref="T141:T204" si="53">IF(ISEVEN(LEFT(AD141,4)),"Southbound","NorthBound")</f>
        <v>Southbound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1" t="str">
        <f t="shared" ref="V141:V204" si="5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-05-12T19:52:45-0600',mode:absolute,to:'2017-05-12T22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1" s="192" t="str">
        <f t="shared" ref="W141:W204" si="55">IF(AA141&lt;IF(AG141="EC",23,5.65),"Y","N")</f>
        <v>N</v>
      </c>
      <c r="X141" s="192">
        <f t="shared" si="48"/>
        <v>1</v>
      </c>
      <c r="Y141" s="192">
        <f t="shared" ref="Y141:Y204" si="56">RIGHT(D141,LEN(D141)-4)/10000</f>
        <v>23.301300000000001</v>
      </c>
      <c r="Z141" s="192">
        <f t="shared" ref="Z141:Z204" si="57">RIGHT(H141,LEN(H141)-4)/10000</f>
        <v>1.4500000000000001E-2</v>
      </c>
      <c r="AA141" s="192">
        <f t="shared" ref="AA141:AA204" si="58">ABS(Z141-Y141)</f>
        <v>23.286799999999999</v>
      </c>
      <c r="AB141" s="57" t="str">
        <f>VLOOKUP(A141,Enforcements!$C$7:$K$13,8,0)</f>
        <v>Bulletin (2)</v>
      </c>
      <c r="AC141" s="53" t="str">
        <f>VLOOKUP(A141,Enforcements!$C$7:$E$13,3,0)</f>
        <v>GRADE CROSSING</v>
      </c>
      <c r="AD141" s="54" t="str">
        <f t="shared" ref="AD141:AD204" si="59">IF(LEN(A141)=6,"0"&amp;A141,A141)</f>
        <v>0226-12</v>
      </c>
      <c r="AE141" s="80" t="str">
        <f t="shared" ref="AE141:AE204" si="60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s3://rtdc.mdm.uploadarchive.raw/RTDC4021/ "%USERPROFILE%\AppData\Local\Temp\OnboardLogs"\RTDC4021\2017-05-12 --exclude "*" --recursive --include "*20170512*" &amp; "%USERPROFILE%\Documents\GitHub\mrs-test-scripts\Headless Mode &amp; Sideloading\WalkAndUnGZ.bat" "%USERPROFILE%\AppData\Local\Temp\OnboardLogs"\RTDC4021\2017-05-12 &amp; aws s3 cp s3://rtdc.mdm.uploadarchive.raw/RTDC4021/ "%USERPROFILE%\AppData\Local\Temp\OnboardLogs"\RTDC4021\2017-05-13 --exclude "*" --recursive --include "*20170513*" &amp; "%USERPROFILE%\Documents\GitHub\mrs-test-scripts\Headless Mode &amp; Sideloading\WalkAndUnGZ.bat" "%USERPROFILE%\AppData\Local\Temp\OnboardLogs"\RTDC4021\2017-05-13</v>
      </c>
      <c r="AF141" s="77" t="str">
        <f t="shared" ref="AF141:AF204" si="61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/stypes="app*4021*20170513*" /stext=" 03:.+((SYSTEM_STATE.+slice.+state.+changed )|(ment ac)|(multiple cpu faults)|(system.+state.+changed )|(\[timeout)|(PRM\|1\|D)|(kpr)|(kdp)|(train st.+moving)|(\|lc)|(penalty))"</v>
      </c>
      <c r="AG141" s="1" t="str">
        <f t="shared" ref="AG141:AG204" si="62">IFERROR(IF(VALUE(LEFT(AD141,2))&lt;=2,"EC",IF(OR(VALUE(LEFT(AD141,2))=8,VALUE(LEFT(AD141,2))=18),"NW","Other")),"Other")</f>
        <v>EC</v>
      </c>
      <c r="AH141" s="81" t="str">
        <f t="shared" ref="AH141:AH204" si="63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226-12 --locoid 4021 --swversion DE.1.0.9.0 --startMP 204:233013 --initTime 2017-05-12T20:52:45 --startdatetime 2017-05-12T20:56:18 --delay 1 --endMP 204:145 --enddatetime 2017-05-12T21:36:21 --enforcementcount 0 &gt;&gt;C:\Users\stu\Documents\GitHub\eaglep3-reporting\EC\2017-05-12-refined-times.txt</v>
      </c>
      <c r="AI141" s="99" t="str">
        <f t="shared" ref="AI141:AI204" si="64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{"issue":{"subject":"","project_id":79,"tracker_id":40,"status_id":1,"priority_id":2,"assigned_to_id":23,"start_date":"2017-05-12","description":"","custom_fields":[{"id":1,"name":"Subdivision","value":"EC"},{"id":4,"name":"Milepost","value":"0.0145"},{"id":17,"name":"Train ID","value":"226-12"},{"id":16,"name":"Locomotive ID","value":"4021"},{"id":130,"name":"Impact","value":""},{"id":150,"name":"Time of Event (Mountain Time)","value":"21:36:21"},{"id":151,"name":"Denver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ref="AM141:AM204" si="65">"start /low /b "&amp;dls3logs&amp;" --loco "&amp;B141&amp;" --day "&amp;TEXT(F141,"YYYY-MM-DD")</f>
        <v>start /low /b %USERPROFILE%\Documents\GitHub\eaglep3\Utilities\DownloadLogsFromS3.py --loco 4021 --day 2017-05-12</v>
      </c>
      <c r="AN141" s="154" t="str">
        <f t="shared" ref="AN141:AN204" si="66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03:36:21"},{"id":29,"name":"Sharepoint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774</v>
      </c>
      <c r="B142" s="7">
        <v>4016</v>
      </c>
      <c r="C142" s="21" t="s">
        <v>206</v>
      </c>
      <c r="D142" s="21" t="s">
        <v>370</v>
      </c>
      <c r="E142" s="13">
        <v>42867.839097222219</v>
      </c>
      <c r="F142" s="13">
        <v>42867.854328703703</v>
      </c>
      <c r="G142" s="7">
        <v>1</v>
      </c>
      <c r="H142" s="21" t="s">
        <v>900</v>
      </c>
      <c r="I142" s="13">
        <v>42867.878194444442</v>
      </c>
      <c r="J142" s="7">
        <v>0</v>
      </c>
      <c r="K142" s="92" t="str">
        <f t="shared" si="51"/>
        <v>4015/4016</v>
      </c>
      <c r="L142" s="21" t="str">
        <f>VLOOKUP(A142,'Trips&amp;Operators'!$C$1:$G$99999,5,FALSE)</f>
        <v>BIRENBAUM THOMAS</v>
      </c>
      <c r="M142" s="6">
        <f t="shared" si="52"/>
        <v>2.3865740738983732E-2</v>
      </c>
      <c r="N142" s="7">
        <f t="shared" si="49"/>
        <v>34.366666664136574</v>
      </c>
      <c r="O142" s="7"/>
      <c r="P142" s="7"/>
      <c r="Q142" s="22"/>
      <c r="R142" s="190"/>
      <c r="S142" s="196">
        <f t="shared" si="50"/>
        <v>1</v>
      </c>
      <c r="T142" s="190" t="str">
        <f t="shared" si="53"/>
        <v>NorthBound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1" t="str">
        <f t="shared" si="54"/>
        <v>https://d0f6bd738d7f1b3e5a7ca70fe4ff75f0.us-east-1.aws.found.io/app/kibana#/discover/Steve-Slow-Train-Analysis-(2080s-and-2083s)?_g=(refreshInterval:(display:Off,pause:!f,section:0,value:0),time:(from:'2017-05-12T19:08:18-0600',mode:absolute,to:'2017-05-12T22:04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2" s="192" t="str">
        <f t="shared" si="55"/>
        <v>N</v>
      </c>
      <c r="X142" s="192">
        <f t="shared" si="48"/>
        <v>1</v>
      </c>
      <c r="Y142" s="192">
        <f t="shared" si="56"/>
        <v>4.53E-2</v>
      </c>
      <c r="Z142" s="192">
        <f t="shared" si="57"/>
        <v>23.325500000000002</v>
      </c>
      <c r="AA142" s="192">
        <f t="shared" si="58"/>
        <v>23.280200000000001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59"/>
        <v>0227-12</v>
      </c>
      <c r="AE142" s="80" t="str">
        <f t="shared" si="60"/>
        <v>aws s3 cp s3://rtdc.mdm.uploadarchive.raw/RTDC4016/ "%USERPROFILE%\AppData\Local\Temp\OnboardLogs"\RTDC4016\2017-05-12 --exclude "*" --recursive --include "*20170512*" &amp; "%USERPROFILE%\Documents\GitHub\mrs-test-scripts\Headless Mode &amp; Sideloading\WalkAndUnGZ.bat" "%USERPROFILE%\AppData\Local\Temp\OnboardLogs"\RTDC4016\2017-05-12 &amp; aws s3 cp s3://rtdc.mdm.uploadarchive.raw/RTDC4016/ "%USERPROFILE%\AppData\Local\Temp\OnboardLogs"\RTDC4016\2017-05-13 --exclude "*" --recursive --include "*20170513*" &amp; "%USERPROFILE%\Documents\GitHub\mrs-test-scripts\Headless Mode &amp; Sideloading\WalkAndUnGZ.bat" "%USERPROFILE%\AppData\Local\Temp\OnboardLogs"\RTDC4016\2017-05-13</v>
      </c>
      <c r="AF142" s="77" t="str">
        <f t="shared" si="61"/>
        <v>"C:\Program Files (x86)\AstroGrep\AstroGrep.exe" /e /r /s /spath="%USERPROFILE%\AppData\Local\Temp\OnboardLogs" /stypes="app*4016*20170513*" /stext=" 03:.+((SYSTEM_STATE.+slice.+state.+changed )|(ment ac)|(multiple cpu faults)|(system.+state.+changed )|(\[timeout)|(PRM\|1\|D)|(kpr)|(kdp)|(train st.+moving)|(\|lc)|(penalty))"</v>
      </c>
      <c r="AG142" s="1" t="str">
        <f t="shared" si="62"/>
        <v>EC</v>
      </c>
      <c r="AH142" s="81" t="str">
        <f t="shared" si="63"/>
        <v>"%USERPROFILE%\Documents\GitHub\eaglep3\Utilities\RefineRTDCRunTimes.py" --tripid 227-12 --locoid 4016 --swversion DE.1.0.9.0 --startMP 204:453 --initTime 2017-05-12T20:08:18 --startdatetime 2017-05-12T20:30:14 --delay 1 --endMP 204:233255 --enddatetime 2017-05-12T21:04:36 --enforcementcount 0 &gt;&gt;C:\Users\stu\Documents\GitHub\eaglep3-reporting\EC\2017-05-12-refined-times.txt</v>
      </c>
      <c r="AI142" s="99" t="str">
        <f t="shared" si="64"/>
        <v>echo {"issue":{"subject":"","project_id":79,"tracker_id":40,"status_id":1,"priority_id":2,"assigned_to_id":23,"start_date":"2017-05-12","description":"","custom_fields":[{"id":1,"name":"Subdivision","value":"EC"},{"id":4,"name":"Milepost","value":"23.3255"},{"id":17,"name":"Train ID","value":"227-12"},{"id":16,"name":"Locomotive ID","value":"4016"},{"id":130,"name":"Impact","value":""},{"id":150,"name":"Time of Event (Mountain Time)","value":"21:04:36"},{"id":151,"name":"Denver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65"/>
        <v>start /low /b %USERPROFILE%\Documents\GitHub\eaglep3\Utilities\DownloadLogsFromS3.py --loco 4016 --day 2017-05-12</v>
      </c>
      <c r="AN142" s="154" t="str">
        <f t="shared" si="6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03:04:36"},{"id":29,"name":"Sharepoint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780</v>
      </c>
      <c r="B143" s="7">
        <v>4015</v>
      </c>
      <c r="C143" s="21" t="s">
        <v>206</v>
      </c>
      <c r="D143" s="21" t="s">
        <v>833</v>
      </c>
      <c r="E143" s="13">
        <v>42867.882025462961</v>
      </c>
      <c r="F143" s="13">
        <v>42867.893310185187</v>
      </c>
      <c r="G143" s="7">
        <v>0</v>
      </c>
      <c r="H143" s="21" t="s">
        <v>855</v>
      </c>
      <c r="I143" s="13">
        <v>42867.920601851853</v>
      </c>
      <c r="J143" s="7">
        <v>0</v>
      </c>
      <c r="K143" s="92" t="str">
        <f t="shared" si="51"/>
        <v>4015/4016</v>
      </c>
      <c r="L143" s="21" t="str">
        <f>VLOOKUP(A143,'Trips&amp;Operators'!$C$1:$G$99999,5,FALSE)</f>
        <v>BIRENBAUM THOMAS</v>
      </c>
      <c r="M143" s="6">
        <f t="shared" si="52"/>
        <v>2.7291666665405501E-2</v>
      </c>
      <c r="N143" s="7">
        <f t="shared" si="49"/>
        <v>39.299999998183921</v>
      </c>
      <c r="O143" s="7"/>
      <c r="P143" s="7"/>
      <c r="Q143" s="22"/>
      <c r="R143" s="190"/>
      <c r="S143" s="196">
        <f t="shared" si="50"/>
        <v>1</v>
      </c>
      <c r="T143" s="190" t="str">
        <f t="shared" si="53"/>
        <v>Southbound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1" t="str">
        <f t="shared" si="54"/>
        <v>https://d0f6bd738d7f1b3e5a7ca70fe4ff75f0.us-east-1.aws.found.io/app/kibana#/discover/Steve-Slow-Train-Analysis-(2080s-and-2083s)?_g=(refreshInterval:(display:Off,pause:!f,section:0,value:0),time:(from:'2017-05-12T20:10:07-0600',mode:absolute,to:'2017-05-12T23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3" s="192" t="str">
        <f t="shared" si="55"/>
        <v>N</v>
      </c>
      <c r="X143" s="192">
        <f t="shared" si="48"/>
        <v>1</v>
      </c>
      <c r="Y143" s="192">
        <f t="shared" si="56"/>
        <v>23.297999999999998</v>
      </c>
      <c r="Z143" s="192">
        <f t="shared" si="57"/>
        <v>1.7000000000000001E-2</v>
      </c>
      <c r="AA143" s="192">
        <f t="shared" si="58"/>
        <v>23.280999999999999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59"/>
        <v>0228-12</v>
      </c>
      <c r="AE143" s="80" t="str">
        <f t="shared" si="60"/>
        <v>aws s3 cp s3://rtdc.mdm.uploadarchive.raw/RTDC4015/ "%USERPROFILE%\AppData\Local\Temp\OnboardLogs"\RTDC4015\2017-05-12 --exclude "*" --recursive --include "*20170512*" &amp; "%USERPROFILE%\Documents\GitHub\mrs-test-scripts\Headless Mode &amp; Sideloading\WalkAndUnGZ.bat" "%USERPROFILE%\AppData\Local\Temp\OnboardLogs"\RTDC4015\2017-05-12 &amp; aws s3 cp s3://rtdc.mdm.uploadarchive.raw/RTDC4015/ "%USERPROFILE%\AppData\Local\Temp\OnboardLogs"\RTDC4015\2017-05-13 --exclude "*" --recursive --include "*20170513*" &amp; "%USERPROFILE%\Documents\GitHub\mrs-test-scripts\Headless Mode &amp; Sideloading\WalkAndUnGZ.bat" "%USERPROFILE%\AppData\Local\Temp\OnboardLogs"\RTDC4015\2017-05-13</v>
      </c>
      <c r="AF143" s="77" t="str">
        <f t="shared" si="61"/>
        <v>"C:\Program Files (x86)\AstroGrep\AstroGrep.exe" /e /r /s /spath="%USERPROFILE%\AppData\Local\Temp\OnboardLogs" /stypes="app*4015*20170513*" /stext=" 04:.+((SYSTEM_STATE.+slice.+state.+changed )|(ment ac)|(multiple cpu faults)|(system.+state.+changed )|(\[timeout)|(PRM\|1\|D)|(kpr)|(kdp)|(train st.+moving)|(\|lc)|(penalty))"</v>
      </c>
      <c r="AG143" s="1" t="str">
        <f t="shared" si="62"/>
        <v>EC</v>
      </c>
      <c r="AH143" s="81" t="str">
        <f t="shared" si="63"/>
        <v>"%USERPROFILE%\Documents\GitHub\eaglep3\Utilities\RefineRTDCRunTimes.py" --tripid 228-12 --locoid 4015 --swversion DE.1.0.9.0 --startMP 204:232980 --initTime 2017-05-12T21:10:07 --startdatetime 2017-05-12T21:26:22 --delay 0 --endMP 204:170 --enddatetime 2017-05-12T22:05:40 --enforcementcount 0 &gt;&gt;C:\Users\stu\Documents\GitHub\eaglep3-reporting\EC\2017-05-12-refined-times.txt</v>
      </c>
      <c r="AI143" s="99" t="str">
        <f t="shared" si="64"/>
        <v>echo {"issue":{"subject":"","project_id":79,"tracker_id":40,"status_id":1,"priority_id":2,"assigned_to_id":23,"start_date":"2017-05-12","description":"","custom_fields":[{"id":1,"name":"Subdivision","value":"EC"},{"id":4,"name":"Milepost","value":"0.017"},{"id":17,"name":"Train ID","value":"228-12"},{"id":16,"name":"Locomotive ID","value":"4015"},{"id":130,"name":"Impact","value":""},{"id":150,"name":"Time of Event (Mountain Time)","value":"22:05:40"},{"id":151,"name":"Denver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65"/>
        <v>start /low /b %USERPROFILE%\Documents\GitHub\eaglep3\Utilities\DownloadLogsFromS3.py --loco 4015 --day 2017-05-12</v>
      </c>
      <c r="AN143" s="154" t="str">
        <f t="shared" si="6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04:05:40"},{"id":29,"name":"Sharepoint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x14ac:dyDescent="0.25">
      <c r="A144" s="32" t="s">
        <v>779</v>
      </c>
      <c r="B144" s="7">
        <v>4046</v>
      </c>
      <c r="C144" s="21" t="s">
        <v>206</v>
      </c>
      <c r="D144" s="21" t="s">
        <v>367</v>
      </c>
      <c r="E144" s="13">
        <v>42867.871435185189</v>
      </c>
      <c r="F144" s="13">
        <v>42867.875127314815</v>
      </c>
      <c r="G144" s="7">
        <v>0</v>
      </c>
      <c r="H144" s="21" t="s">
        <v>856</v>
      </c>
      <c r="I144" s="13">
        <v>42867.900601851848</v>
      </c>
      <c r="J144" s="7">
        <v>0</v>
      </c>
      <c r="K144" s="92" t="str">
        <f t="shared" si="51"/>
        <v>4045/4046</v>
      </c>
      <c r="L144" s="21" t="str">
        <f>VLOOKUP(A144,'Trips&amp;Operators'!$C$1:$G$99999,5,FALSE)</f>
        <v>BROWN JACOB</v>
      </c>
      <c r="M144" s="6">
        <f t="shared" si="52"/>
        <v>2.5474537033005618E-2</v>
      </c>
      <c r="N144" s="7">
        <f t="shared" si="49"/>
        <v>36.683333327528089</v>
      </c>
      <c r="O144" s="7"/>
      <c r="P144" s="7"/>
      <c r="Q144" s="22"/>
      <c r="R144" s="190"/>
      <c r="S144" s="196">
        <f t="shared" si="50"/>
        <v>1</v>
      </c>
      <c r="T144" s="190" t="str">
        <f t="shared" si="53"/>
        <v>NorthBound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1" t="str">
        <f t="shared" si="54"/>
        <v>https://d0f6bd738d7f1b3e5a7ca70fe4ff75f0.us-east-1.aws.found.io/app/kibana#/discover/Steve-Slow-Train-Analysis-(2080s-and-2083s)?_g=(refreshInterval:(display:Off,pause:!f,section:0,value:0),time:(from:'2017-05-12T19:54:52-0600',mode:absolute,to:'2017-05-12T22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4" s="192" t="str">
        <f t="shared" si="55"/>
        <v>N</v>
      </c>
      <c r="X144" s="192">
        <f t="shared" si="48"/>
        <v>1</v>
      </c>
      <c r="Y144" s="192">
        <f t="shared" si="56"/>
        <v>4.6399999999999997E-2</v>
      </c>
      <c r="Z144" s="192">
        <f t="shared" si="57"/>
        <v>23.3323</v>
      </c>
      <c r="AA144" s="192">
        <f t="shared" si="58"/>
        <v>23.285900000000002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59"/>
        <v>0229-12</v>
      </c>
      <c r="AE144" s="80" t="str">
        <f t="shared" si="60"/>
        <v>aws s3 cp s3://rtdc.mdm.uploadarchive.raw/RTDC4046/ "%USERPROFILE%\AppData\Local\Temp\OnboardLogs"\RTDC4046\2017-05-12 --exclude "*" --recursive --include "*20170512*" &amp; "%USERPROFILE%\Documents\GitHub\mrs-test-scripts\Headless Mode &amp; Sideloading\WalkAndUnGZ.bat" "%USERPROFILE%\AppData\Local\Temp\OnboardLogs"\RTDC4046\2017-05-12 &amp; aws s3 cp s3://rtdc.mdm.uploadarchive.raw/RTDC4046/ "%USERPROFILE%\AppData\Local\Temp\OnboardLogs"\RTDC4046\2017-05-13 --exclude "*" --recursive --include "*20170513*" &amp; "%USERPROFILE%\Documents\GitHub\mrs-test-scripts\Headless Mode &amp; Sideloading\WalkAndUnGZ.bat" "%USERPROFILE%\AppData\Local\Temp\OnboardLogs"\RTDC4046\2017-05-13</v>
      </c>
      <c r="AF144" s="77" t="str">
        <f t="shared" si="61"/>
        <v>"C:\Program Files (x86)\AstroGrep\AstroGrep.exe" /e /r /s /spath="%USERPROFILE%\AppData\Local\Temp\OnboardLogs" /stypes="app*4046*20170513*" /stext=" 03:.+((SYSTEM_STATE.+slice.+state.+changed )|(ment ac)|(multiple cpu faults)|(system.+state.+changed )|(\[timeout)|(PRM\|1\|D)|(kpr)|(kdp)|(train st.+moving)|(\|lc)|(penalty))"</v>
      </c>
      <c r="AG144" s="1" t="str">
        <f t="shared" si="62"/>
        <v>EC</v>
      </c>
      <c r="AH144" s="81" t="str">
        <f t="shared" si="63"/>
        <v>"%USERPROFILE%\Documents\GitHub\eaglep3\Utilities\RefineRTDCRunTimes.py" --tripid 229-12 --locoid 4046 --swversion DE.1.0.9.0 --startMP 204:464 --initTime 2017-05-12T20:54:52 --startdatetime 2017-05-12T21:00:11 --delay 0 --endMP 204:233323 --enddatetime 2017-05-12T21:36:52 --enforcementcount 0 &gt;&gt;C:\Users\stu\Documents\GitHub\eaglep3-reporting\EC\2017-05-12-refined-times.txt</v>
      </c>
      <c r="AI144" s="99" t="str">
        <f t="shared" si="64"/>
        <v>echo {"issue":{"subject":"","project_id":79,"tracker_id":40,"status_id":1,"priority_id":2,"assigned_to_id":23,"start_date":"2017-05-12","description":"","custom_fields":[{"id":1,"name":"Subdivision","value":"EC"},{"id":4,"name":"Milepost","value":"23.3323"},{"id":17,"name":"Train ID","value":"229-12"},{"id":16,"name":"Locomotive ID","value":"4046"},{"id":130,"name":"Impact","value":""},{"id":150,"name":"Time of Event (Mountain Time)","value":"21:36:52"},{"id":151,"name":"Denver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20"/>
      <c r="AK144" s="47"/>
      <c r="AL144" s="47"/>
      <c r="AM144" s="145" t="str">
        <f t="shared" si="65"/>
        <v>start /low /b %USERPROFILE%\Documents\GitHub\eaglep3\Utilities\DownloadLogsFromS3.py --loco 4046 --day 2017-05-12</v>
      </c>
      <c r="AN144" s="154" t="str">
        <f t="shared" si="6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03:36:52"},{"id":29,"name":"Sharepoint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5" spans="1:91" x14ac:dyDescent="0.25">
      <c r="A145" s="32" t="s">
        <v>783</v>
      </c>
      <c r="B145" s="7">
        <v>4045</v>
      </c>
      <c r="C145" s="21" t="s">
        <v>206</v>
      </c>
      <c r="D145" s="21" t="s">
        <v>831</v>
      </c>
      <c r="E145" s="13">
        <v>42867.906284722223</v>
      </c>
      <c r="F145" s="13">
        <v>42867.914189814815</v>
      </c>
      <c r="G145" s="7">
        <v>1</v>
      </c>
      <c r="H145" s="21" t="s">
        <v>197</v>
      </c>
      <c r="I145" s="13">
        <v>42867.942129629628</v>
      </c>
      <c r="J145" s="7">
        <v>0</v>
      </c>
      <c r="K145" s="92" t="str">
        <f t="shared" si="51"/>
        <v>4045/4046</v>
      </c>
      <c r="L145" s="21" t="str">
        <f>VLOOKUP(A145,'Trips&amp;Operators'!$C$1:$G$99999,5,FALSE)</f>
        <v>BROWN JACOB</v>
      </c>
      <c r="M145" s="6">
        <f t="shared" si="52"/>
        <v>2.7939814812270924E-2</v>
      </c>
      <c r="N145" s="7">
        <f t="shared" si="49"/>
        <v>40.233333329670131</v>
      </c>
      <c r="O145" s="7"/>
      <c r="P145" s="7"/>
      <c r="Q145" s="22"/>
      <c r="R145" s="190"/>
      <c r="S145" s="196">
        <f t="shared" si="50"/>
        <v>1</v>
      </c>
      <c r="T145" s="190" t="str">
        <f t="shared" si="53"/>
        <v>Southbound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1" t="str">
        <f t="shared" si="54"/>
        <v>https://d0f6bd738d7f1b3e5a7ca70fe4ff75f0.us-east-1.aws.found.io/app/kibana#/discover/Steve-Slow-Train-Analysis-(2080s-and-2083s)?_g=(refreshInterval:(display:Off,pause:!f,section:0,value:0),time:(from:'2017-05-12T20:45:03-0600',mode:absolute,to:'2017-05-12T23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5" s="192" t="str">
        <f t="shared" si="55"/>
        <v>N</v>
      </c>
      <c r="X145" s="192">
        <f t="shared" si="48"/>
        <v>1</v>
      </c>
      <c r="Y145" s="192">
        <f t="shared" si="56"/>
        <v>23.300999999999998</v>
      </c>
      <c r="Z145" s="192">
        <f t="shared" si="57"/>
        <v>1.52E-2</v>
      </c>
      <c r="AA145" s="192">
        <f t="shared" si="58"/>
        <v>23.285799999999998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59"/>
        <v>0230-12</v>
      </c>
      <c r="AE145" s="80" t="str">
        <f t="shared" si="60"/>
        <v>aws s3 cp s3://rtdc.mdm.uploadarchive.raw/RTDC4045/ "%USERPROFILE%\AppData\Local\Temp\OnboardLogs"\RTDC4045\2017-05-12 --exclude "*" --recursive --include "*20170512*" &amp; "%USERPROFILE%\Documents\GitHub\mrs-test-scripts\Headless Mode &amp; Sideloading\WalkAndUnGZ.bat" "%USERPROFILE%\AppData\Local\Temp\OnboardLogs"\RTDC4045\2017-05-12 &amp; aws s3 cp s3://rtdc.mdm.uploadarchive.raw/RTDC4045/ "%USERPROFILE%\AppData\Local\Temp\OnboardLogs"\RTDC4045\2017-05-13 --exclude "*" --recursive --include "*20170513*" &amp; "%USERPROFILE%\Documents\GitHub\mrs-test-scripts\Headless Mode &amp; Sideloading\WalkAndUnGZ.bat" "%USERPROFILE%\AppData\Local\Temp\OnboardLogs"\RTDC4045\2017-05-13</v>
      </c>
      <c r="AF145" s="77" t="str">
        <f t="shared" si="61"/>
        <v>"C:\Program Files (x86)\AstroGrep\AstroGrep.exe" /e /r /s /spath="%USERPROFILE%\AppData\Local\Temp\OnboardLogs" /stypes="app*4045*20170513*" /stext=" 04:.+((SYSTEM_STATE.+slice.+state.+changed )|(ment ac)|(multiple cpu faults)|(system.+state.+changed )|(\[timeout)|(PRM\|1\|D)|(kpr)|(kdp)|(train st.+moving)|(\|lc)|(penalty))"</v>
      </c>
      <c r="AG145" s="1" t="str">
        <f t="shared" si="62"/>
        <v>EC</v>
      </c>
      <c r="AH145" s="81" t="str">
        <f t="shared" si="63"/>
        <v>"%USERPROFILE%\Documents\GitHub\eaglep3\Utilities\RefineRTDCRunTimes.py" --tripid 230-12 --locoid 4045 --swversion DE.1.0.9.0 --startMP 204:233010 --initTime 2017-05-12T21:45:03 --startdatetime 2017-05-12T21:56:26 --delay 1 --endMP 204:152 --enddatetime 2017-05-12T22:36:40 --enforcementcount 0 &gt;&gt;C:\Users\stu\Documents\GitHub\eaglep3-reporting\EC\2017-05-12-refined-times.txt</v>
      </c>
      <c r="AI145" s="99" t="str">
        <f t="shared" si="64"/>
        <v>echo {"issue":{"subject":"","project_id":79,"tracker_id":40,"status_id":1,"priority_id":2,"assigned_to_id":23,"start_date":"2017-05-12","description":"","custom_fields":[{"id":1,"name":"Subdivision","value":"EC"},{"id":4,"name":"Milepost","value":"0.0152"},{"id":17,"name":"Train ID","value":"230-12"},{"id":16,"name":"Locomotive ID","value":"4045"},{"id":130,"name":"Impact","value":""},{"id":150,"name":"Time of Event (Mountain Time)","value":"22:36:40"},{"id":151,"name":"Denver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20"/>
      <c r="AK145" s="47"/>
      <c r="AL145" s="47"/>
      <c r="AM145" s="145" t="str">
        <f t="shared" si="65"/>
        <v>start /low /b %USERPROFILE%\Documents\GitHub\eaglep3\Utilities\DownloadLogsFromS3.py --loco 4045 --day 2017-05-12</v>
      </c>
      <c r="AN145" s="154" t="str">
        <f t="shared" si="6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04:36:40"},{"id":29,"name":"Sharepoint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6" spans="1:91" s="20" customFormat="1" x14ac:dyDescent="0.25">
      <c r="A146" s="32" t="s">
        <v>781</v>
      </c>
      <c r="B146" s="7">
        <v>4012</v>
      </c>
      <c r="C146" s="21" t="s">
        <v>206</v>
      </c>
      <c r="D146" s="21" t="s">
        <v>439</v>
      </c>
      <c r="E146" s="13">
        <v>42867.892094907409</v>
      </c>
      <c r="F146" s="13">
        <v>42867.896053240744</v>
      </c>
      <c r="G146" s="7">
        <v>1</v>
      </c>
      <c r="H146" s="21" t="s">
        <v>887</v>
      </c>
      <c r="I146" s="13">
        <v>42867.922673611109</v>
      </c>
      <c r="J146" s="7">
        <v>0</v>
      </c>
      <c r="K146" s="92" t="str">
        <f t="shared" si="51"/>
        <v>4011/4012</v>
      </c>
      <c r="L146" s="21" t="str">
        <f>VLOOKUP(A146,'Trips&amp;Operators'!$C$1:$G$99999,5,FALSE)</f>
        <v>LAMAR NEKESHA</v>
      </c>
      <c r="M146" s="6">
        <f t="shared" si="52"/>
        <v>2.6620370364980772E-2</v>
      </c>
      <c r="N146" s="7">
        <f t="shared" si="49"/>
        <v>38.333333325572312</v>
      </c>
      <c r="O146" s="7"/>
      <c r="P146" s="7"/>
      <c r="Q146" s="22"/>
      <c r="R146" s="190"/>
      <c r="S146" s="196">
        <f t="shared" si="50"/>
        <v>1</v>
      </c>
      <c r="T146" s="190" t="str">
        <f t="shared" si="53"/>
        <v>NorthBound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1" t="str">
        <f t="shared" si="54"/>
        <v>https://d0f6bd738d7f1b3e5a7ca70fe4ff75f0.us-east-1.aws.found.io/app/kibana#/discover/Steve-Slow-Train-Analysis-(2080s-and-2083s)?_g=(refreshInterval:(display:Off,pause:!f,section:0,value:0),time:(from:'2017-05-12T20:24:37-0600',mode:absolute,to:'2017-05-12T23:08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6" s="192" t="str">
        <f t="shared" si="55"/>
        <v>N</v>
      </c>
      <c r="X146" s="192">
        <f t="shared" si="48"/>
        <v>1</v>
      </c>
      <c r="Y146" s="192">
        <f t="shared" si="56"/>
        <v>4.7699999999999999E-2</v>
      </c>
      <c r="Z146" s="192">
        <f t="shared" si="57"/>
        <v>23.329499999999999</v>
      </c>
      <c r="AA146" s="192">
        <f t="shared" si="58"/>
        <v>23.2818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59"/>
        <v>0231-12</v>
      </c>
      <c r="AE146" s="80" t="str">
        <f t="shared" si="60"/>
        <v>aws s3 cp s3://rtdc.mdm.uploadarchive.raw/RTDC4012/ "%USERPROFILE%\AppData\Local\Temp\OnboardLogs"\RTDC4012\2017-05-12 --exclude "*" --recursive --include "*20170512*" &amp; "%USERPROFILE%\Documents\GitHub\mrs-test-scripts\Headless Mode &amp; Sideloading\WalkAndUnGZ.bat" "%USERPROFILE%\AppData\Local\Temp\OnboardLogs"\RTDC4012\2017-05-12 &amp; aws s3 cp s3://rtdc.mdm.uploadarchive.raw/RTDC4012/ "%USERPROFILE%\AppData\Local\Temp\OnboardLogs"\RTDC4012\2017-05-13 --exclude "*" --recursive --include "*20170513*" &amp; "%USERPROFILE%\Documents\GitHub\mrs-test-scripts\Headless Mode &amp; Sideloading\WalkAndUnGZ.bat" "%USERPROFILE%\AppData\Local\Temp\OnboardLogs"\RTDC4012\2017-05-13</v>
      </c>
      <c r="AF146" s="77" t="str">
        <f t="shared" si="61"/>
        <v>"C:\Program Files (x86)\AstroGrep\AstroGrep.exe" /e /r /s /spath="%USERPROFILE%\AppData\Local\Temp\OnboardLogs" /stypes="app*4012*20170513*" /stext=" 04:.+((SYSTEM_STATE.+slice.+state.+changed )|(ment ac)|(multiple cpu faults)|(system.+state.+changed )|(\[timeout)|(PRM\|1\|D)|(kpr)|(kdp)|(train st.+moving)|(\|lc)|(penalty))"</v>
      </c>
      <c r="AG146" s="1" t="str">
        <f t="shared" si="62"/>
        <v>EC</v>
      </c>
      <c r="AH146" s="81" t="str">
        <f t="shared" si="63"/>
        <v>"%USERPROFILE%\Documents\GitHub\eaglep3\Utilities\RefineRTDCRunTimes.py" --tripid 231-12 --locoid 4012 --swversion DE.1.0.9.0 --startMP 204:477 --initTime 2017-05-12T21:24:37 --startdatetime 2017-05-12T21:30:19 --delay 1 --endMP 204:233295 --enddatetime 2017-05-12T22:08:39 --enforcementcount 0 &gt;&gt;C:\Users\stu\Documents\GitHub\eaglep3-reporting\EC\2017-05-12-refined-times.txt</v>
      </c>
      <c r="AI146" s="99" t="str">
        <f t="shared" si="64"/>
        <v>echo {"issue":{"subject":"","project_id":79,"tracker_id":40,"status_id":1,"priority_id":2,"assigned_to_id":23,"start_date":"2017-05-12","description":"","custom_fields":[{"id":1,"name":"Subdivision","value":"EC"},{"id":4,"name":"Milepost","value":"23.3295"},{"id":17,"name":"Train ID","value":"231-12"},{"id":16,"name":"Locomotive ID","value":"4012"},{"id":130,"name":"Impact","value":""},{"id":150,"name":"Time of Event (Mountain Time)","value":"22:08:39"},{"id":151,"name":"Denver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65"/>
        <v>start /low /b %USERPROFILE%\Documents\GitHub\eaglep3\Utilities\DownloadLogsFromS3.py --loco 4012 --day 2017-05-12</v>
      </c>
      <c r="AN146" s="154" t="str">
        <f t="shared" si="6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04:08:39"},{"id":29,"name":"Sharepoint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x14ac:dyDescent="0.25">
      <c r="A147" s="32" t="s">
        <v>786</v>
      </c>
      <c r="B147" s="7">
        <v>4011</v>
      </c>
      <c r="C147" s="21" t="s">
        <v>206</v>
      </c>
      <c r="D147" s="21" t="s">
        <v>896</v>
      </c>
      <c r="E147" s="13">
        <v>42867.928124999999</v>
      </c>
      <c r="F147" s="13">
        <v>42867.934884259259</v>
      </c>
      <c r="G147" s="7">
        <v>0</v>
      </c>
      <c r="H147" s="21" t="s">
        <v>524</v>
      </c>
      <c r="I147" s="13">
        <v>42867.964085648149</v>
      </c>
      <c r="J147" s="7">
        <v>0</v>
      </c>
      <c r="K147" s="92" t="str">
        <f t="shared" si="51"/>
        <v>4011/4012</v>
      </c>
      <c r="L147" s="21" t="str">
        <f>VLOOKUP(A147,'Trips&amp;Operators'!$C$1:$G$99999,5,FALSE)</f>
        <v>LAMAR NEKESHA</v>
      </c>
      <c r="M147" s="6">
        <f t="shared" si="52"/>
        <v>2.920138889021473E-2</v>
      </c>
      <c r="N147" s="7">
        <f t="shared" si="49"/>
        <v>42.050000001909211</v>
      </c>
      <c r="O147" s="7"/>
      <c r="P147" s="7"/>
      <c r="Q147" s="22"/>
      <c r="R147" s="190"/>
      <c r="S147" s="196">
        <f t="shared" si="50"/>
        <v>1</v>
      </c>
      <c r="T147" s="190" t="str">
        <f t="shared" si="53"/>
        <v>Southbound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1" t="str">
        <f t="shared" si="54"/>
        <v>https://d0f6bd738d7f1b3e5a7ca70fe4ff75f0.us-east-1.aws.found.io/app/kibana#/discover/Steve-Slow-Train-Analysis-(2080s-and-2083s)?_g=(refreshInterval:(display:Off,pause:!f,section:0,value:0),time:(from:'2017-05-12T21:16:30-0600',mode:absolute,to:'2017-05-13T00:08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7" s="192" t="str">
        <f t="shared" si="55"/>
        <v>N</v>
      </c>
      <c r="X147" s="192">
        <f t="shared" si="48"/>
        <v>1</v>
      </c>
      <c r="Y147" s="192">
        <f t="shared" si="56"/>
        <v>23.3</v>
      </c>
      <c r="Z147" s="192">
        <f t="shared" si="57"/>
        <v>1.54E-2</v>
      </c>
      <c r="AA147" s="192">
        <f t="shared" si="58"/>
        <v>23.284600000000001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59"/>
        <v>0232-12</v>
      </c>
      <c r="AE147" s="80" t="str">
        <f t="shared" si="60"/>
        <v>aws s3 cp s3://rtdc.mdm.uploadarchive.raw/RTDC4011/ "%USERPROFILE%\AppData\Local\Temp\OnboardLogs"\RTDC4011\2017-05-12 --exclude "*" --recursive --include "*20170512*" &amp; "%USERPROFILE%\Documents\GitHub\mrs-test-scripts\Headless Mode &amp; Sideloading\WalkAndUnGZ.bat" "%USERPROFILE%\AppData\Local\Temp\OnboardLogs"\RTDC4011\2017-05-12 &amp; aws s3 cp s3://rtdc.mdm.uploadarchive.raw/RTDC4011/ "%USERPROFILE%\AppData\Local\Temp\OnboardLogs"\RTDC4011\2017-05-13 --exclude "*" --recursive --include "*20170513*" &amp; "%USERPROFILE%\Documents\GitHub\mrs-test-scripts\Headless Mode &amp; Sideloading\WalkAndUnGZ.bat" "%USERPROFILE%\AppData\Local\Temp\OnboardLogs"\RTDC4011\2017-05-13</v>
      </c>
      <c r="AF147" s="77" t="str">
        <f t="shared" si="61"/>
        <v>"C:\Program Files (x86)\AstroGrep\AstroGrep.exe" /e /r /s /spath="%USERPROFILE%\AppData\Local\Temp\OnboardLogs" /stypes="app*4011*20170513*" /stext=" 05:.+((SYSTEM_STATE.+slice.+state.+changed )|(ment ac)|(multiple cpu faults)|(system.+state.+changed )|(\[timeout)|(PRM\|1\|D)|(kpr)|(kdp)|(train st.+moving)|(\|lc)|(penalty))"</v>
      </c>
      <c r="AG147" s="1" t="str">
        <f t="shared" si="62"/>
        <v>EC</v>
      </c>
      <c r="AH147" s="81" t="str">
        <f t="shared" si="63"/>
        <v>"%USERPROFILE%\Documents\GitHub\eaglep3\Utilities\RefineRTDCRunTimes.py" --tripid 232-12 --locoid 4011 --swversion DE.1.0.9.0 --startMP 204:233000 --initTime 2017-05-12T22:16:30 --startdatetime 2017-05-12T22:26:14 --delay 0 --endMP 204:154 --enddatetime 2017-05-12T23:08:17 --enforcementcount 0 &gt;&gt;C:\Users\stu\Documents\GitHub\eaglep3-reporting\EC\2017-05-12-refined-times.txt</v>
      </c>
      <c r="AI147" s="99" t="str">
        <f t="shared" si="64"/>
        <v>echo {"issue":{"subject":"","project_id":79,"tracker_id":40,"status_id":1,"priority_id":2,"assigned_to_id":23,"start_date":"2017-05-12","description":"","custom_fields":[{"id":1,"name":"Subdivision","value":"EC"},{"id":4,"name":"Milepost","value":"0.0154"},{"id":17,"name":"Train ID","value":"232-12"},{"id":16,"name":"Locomotive ID","value":"4011"},{"id":130,"name":"Impact","value":""},{"id":150,"name":"Time of Event (Mountain Time)","value":"23:08:17"},{"id":151,"name":"Denver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20"/>
      <c r="AK147" s="47"/>
      <c r="AL147" s="47"/>
      <c r="AM147" s="145" t="str">
        <f t="shared" si="65"/>
        <v>start /low /b %USERPROFILE%\Documents\GitHub\eaglep3\Utilities\DownloadLogsFromS3.py --loco 4011 --day 2017-05-12</v>
      </c>
      <c r="AN147" s="154" t="str">
        <f t="shared" si="6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05:08:17"},{"id":29,"name":"Sharepoint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8" spans="1:91" x14ac:dyDescent="0.25">
      <c r="A148" s="32" t="s">
        <v>784</v>
      </c>
      <c r="B148" s="7">
        <v>4022</v>
      </c>
      <c r="C148" s="21" t="s">
        <v>206</v>
      </c>
      <c r="D148" s="21" t="s">
        <v>370</v>
      </c>
      <c r="E148" s="13">
        <v>42867.910601851851</v>
      </c>
      <c r="F148" s="13">
        <v>42867.916909722226</v>
      </c>
      <c r="G148" s="7">
        <v>1</v>
      </c>
      <c r="H148" s="21" t="s">
        <v>901</v>
      </c>
      <c r="I148" s="13">
        <v>42867.943518518521</v>
      </c>
      <c r="J148" s="7">
        <v>0</v>
      </c>
      <c r="K148" s="92" t="str">
        <f t="shared" si="51"/>
        <v>4021/4022</v>
      </c>
      <c r="L148" s="21" t="str">
        <f>VLOOKUP(A148,'Trips&amp;Operators'!$C$1:$G$99999,5,FALSE)</f>
        <v>MAGEE KENYA</v>
      </c>
      <c r="M148" s="6">
        <f t="shared" si="52"/>
        <v>2.6608796295477077E-2</v>
      </c>
      <c r="N148" s="7">
        <f t="shared" si="49"/>
        <v>38.316666665486991</v>
      </c>
      <c r="O148" s="7"/>
      <c r="P148" s="7"/>
      <c r="Q148" s="22"/>
      <c r="R148" s="190"/>
      <c r="S148" s="196">
        <f t="shared" si="50"/>
        <v>1</v>
      </c>
      <c r="T148" s="190" t="str">
        <f t="shared" si="53"/>
        <v>NorthBound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1" t="str">
        <f t="shared" si="54"/>
        <v>https://d0f6bd738d7f1b3e5a7ca70fe4ff75f0.us-east-1.aws.found.io/app/kibana#/discover/Steve-Slow-Train-Analysis-(2080s-and-2083s)?_g=(refreshInterval:(display:Off,pause:!f,section:0,value:0),time:(from:'2017-05-12T20:51:16-0600',mode:absolute,to:'2017-05-12T23:38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8" s="192" t="str">
        <f t="shared" si="55"/>
        <v>N</v>
      </c>
      <c r="X148" s="192">
        <f t="shared" si="48"/>
        <v>1</v>
      </c>
      <c r="Y148" s="192">
        <f t="shared" si="56"/>
        <v>4.53E-2</v>
      </c>
      <c r="Z148" s="192">
        <f t="shared" si="57"/>
        <v>23.334900000000001</v>
      </c>
      <c r="AA148" s="192">
        <f t="shared" si="58"/>
        <v>23.2896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59"/>
        <v>0233-12</v>
      </c>
      <c r="AE148" s="80" t="str">
        <f t="shared" si="60"/>
        <v>aws s3 cp s3://rtdc.mdm.uploadarchive.raw/RTDC4022/ "%USERPROFILE%\AppData\Local\Temp\OnboardLogs"\RTDC4022\2017-05-12 --exclude "*" --recursive --include "*20170512*" &amp; "%USERPROFILE%\Documents\GitHub\mrs-test-scripts\Headless Mode &amp; Sideloading\WalkAndUnGZ.bat" "%USERPROFILE%\AppData\Local\Temp\OnboardLogs"\RTDC4022\2017-05-12 &amp; aws s3 cp s3://rtdc.mdm.uploadarchive.raw/RTDC4022/ "%USERPROFILE%\AppData\Local\Temp\OnboardLogs"\RTDC4022\2017-05-13 --exclude "*" --recursive --include "*20170513*" &amp; "%USERPROFILE%\Documents\GitHub\mrs-test-scripts\Headless Mode &amp; Sideloading\WalkAndUnGZ.bat" "%USERPROFILE%\AppData\Local\Temp\OnboardLogs"\RTDC4022\2017-05-13</v>
      </c>
      <c r="AF148" s="77" t="str">
        <f t="shared" si="61"/>
        <v>"C:\Program Files (x86)\AstroGrep\AstroGrep.exe" /e /r /s /spath="%USERPROFILE%\AppData\Local\Temp\OnboardLogs" /stypes="app*4022*20170513*" /stext=" 04:.+((SYSTEM_STATE.+slice.+state.+changed )|(ment ac)|(multiple cpu faults)|(system.+state.+changed )|(\[timeout)|(PRM\|1\|D)|(kpr)|(kdp)|(train st.+moving)|(\|lc)|(penalty))"</v>
      </c>
      <c r="AG148" s="1" t="str">
        <f t="shared" si="62"/>
        <v>EC</v>
      </c>
      <c r="AH148" s="81" t="str">
        <f t="shared" si="63"/>
        <v>"%USERPROFILE%\Documents\GitHub\eaglep3\Utilities\RefineRTDCRunTimes.py" --tripid 233-12 --locoid 4022 --swversion DE.1.0.9.0 --startMP 204:453 --initTime 2017-05-12T21:51:16 --startdatetime 2017-05-12T22:00:21 --delay 1 --endMP 204:233349 --enddatetime 2017-05-12T22:38:40 --enforcementcount 0 &gt;&gt;C:\Users\stu\Documents\GitHub\eaglep3-reporting\EC\2017-05-12-refined-times.txt</v>
      </c>
      <c r="AI148" s="99" t="str">
        <f t="shared" si="64"/>
        <v>echo {"issue":{"subject":"","project_id":79,"tracker_id":40,"status_id":1,"priority_id":2,"assigned_to_id":23,"start_date":"2017-05-12","description":"","custom_fields":[{"id":1,"name":"Subdivision","value":"EC"},{"id":4,"name":"Milepost","value":"23.3349"},{"id":17,"name":"Train ID","value":"233-12"},{"id":16,"name":"Locomotive ID","value":"4022"},{"id":130,"name":"Impact","value":""},{"id":150,"name":"Time of Event (Mountain Time)","value":"22:38:40"},{"id":151,"name":"Denver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20"/>
      <c r="AK148" s="47"/>
      <c r="AL148" s="47"/>
      <c r="AM148" s="145" t="str">
        <f t="shared" si="65"/>
        <v>start /low /b %USERPROFILE%\Documents\GitHub\eaglep3\Utilities\DownloadLogsFromS3.py --loco 4022 --day 2017-05-12</v>
      </c>
      <c r="AN148" s="154" t="str">
        <f t="shared" si="6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04:38:40"},{"id":29,"name":"Sharepoint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9" spans="1:91" s="20" customFormat="1" x14ac:dyDescent="0.25">
      <c r="A149" s="32" t="s">
        <v>789</v>
      </c>
      <c r="B149" s="7">
        <v>4021</v>
      </c>
      <c r="C149" s="21" t="s">
        <v>206</v>
      </c>
      <c r="D149" s="21" t="s">
        <v>902</v>
      </c>
      <c r="E149" s="13">
        <v>42867.953449074077</v>
      </c>
      <c r="F149" s="13">
        <v>42867.955972222226</v>
      </c>
      <c r="G149" s="7">
        <v>1</v>
      </c>
      <c r="H149" s="21" t="s">
        <v>358</v>
      </c>
      <c r="I149" s="13">
        <v>42867.987233796295</v>
      </c>
      <c r="J149" s="7">
        <v>0</v>
      </c>
      <c r="K149" s="92" t="str">
        <f t="shared" si="51"/>
        <v>4021/4022</v>
      </c>
      <c r="L149" s="21" t="str">
        <f>VLOOKUP(A149,'Trips&amp;Operators'!$C$1:$G$99999,5,FALSE)</f>
        <v>MAGEE KENYA</v>
      </c>
      <c r="M149" s="6">
        <f t="shared" si="52"/>
        <v>3.1261574069503695E-2</v>
      </c>
      <c r="N149" s="7">
        <f t="shared" si="49"/>
        <v>45.01666666008532</v>
      </c>
      <c r="O149" s="7"/>
      <c r="P149" s="7"/>
      <c r="Q149" s="22"/>
      <c r="R149" s="190"/>
      <c r="S149" s="196">
        <f t="shared" si="50"/>
        <v>1</v>
      </c>
      <c r="T149" s="190" t="str">
        <f t="shared" si="53"/>
        <v>Southbound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1" t="str">
        <f t="shared" si="54"/>
        <v>https://d0f6bd738d7f1b3e5a7ca70fe4ff75f0.us-east-1.aws.found.io/app/kibana#/discover/Steve-Slow-Train-Analysis-(2080s-and-2083s)?_g=(refreshInterval:(display:Off,pause:!f,section:0,value:0),time:(from:'2017-05-12T21:52:58-0600',mode:absolute,to:'2017-05-13T00:41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9" s="192" t="str">
        <f t="shared" si="55"/>
        <v>N</v>
      </c>
      <c r="X149" s="192">
        <f t="shared" si="48"/>
        <v>1</v>
      </c>
      <c r="Y149" s="192">
        <f t="shared" si="56"/>
        <v>23.302299999999999</v>
      </c>
      <c r="Z149" s="192">
        <f t="shared" si="57"/>
        <v>1.4999999999999999E-2</v>
      </c>
      <c r="AA149" s="192">
        <f t="shared" si="58"/>
        <v>23.287299999999998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59"/>
        <v>0234-12</v>
      </c>
      <c r="AE149" s="80" t="str">
        <f t="shared" si="60"/>
        <v>aws s3 cp s3://rtdc.mdm.uploadarchive.raw/RTDC4021/ "%USERPROFILE%\AppData\Local\Temp\OnboardLogs"\RTDC4021\2017-05-12 --exclude "*" --recursive --include "*20170512*" &amp; "%USERPROFILE%\Documents\GitHub\mrs-test-scripts\Headless Mode &amp; Sideloading\WalkAndUnGZ.bat" "%USERPROFILE%\AppData\Local\Temp\OnboardLogs"\RTDC4021\2017-05-12 &amp; aws s3 cp s3://rtdc.mdm.uploadarchive.raw/RTDC4021/ "%USERPROFILE%\AppData\Local\Temp\OnboardLogs"\RTDC4021\2017-05-13 --exclude "*" --recursive --include "*20170513*" &amp; "%USERPROFILE%\Documents\GitHub\mrs-test-scripts\Headless Mode &amp; Sideloading\WalkAndUnGZ.bat" "%USERPROFILE%\AppData\Local\Temp\OnboardLogs"\RTDC4021\2017-05-13</v>
      </c>
      <c r="AF149" s="77" t="str">
        <f t="shared" si="61"/>
        <v>"C:\Program Files (x86)\AstroGrep\AstroGrep.exe" /e /r /s /spath="%USERPROFILE%\AppData\Local\Temp\OnboardLogs" /stypes="app*4021*20170513*" /stext=" 05:.+((SYSTEM_STATE.+slice.+state.+changed )|(ment ac)|(multiple cpu faults)|(system.+state.+changed )|(\[timeout)|(PRM\|1\|D)|(kpr)|(kdp)|(train st.+moving)|(\|lc)|(penalty))"</v>
      </c>
      <c r="AG149" s="1" t="str">
        <f t="shared" si="62"/>
        <v>EC</v>
      </c>
      <c r="AH149" s="81" t="str">
        <f t="shared" si="63"/>
        <v>"%USERPROFILE%\Documents\GitHub\eaglep3\Utilities\RefineRTDCRunTimes.py" --tripid 234-12 --locoid 4021 --swversion DE.1.0.9.0 --startMP 204:233023 --initTime 2017-05-12T22:52:58 --startdatetime 2017-05-12T22:56:36 --delay 1 --endMP 204:150 --enddatetime 2017-05-12T23:41:37 --enforcementcount 0 &gt;&gt;C:\Users\stu\Documents\GitHub\eaglep3-reporting\EC\2017-05-12-refined-times.txt</v>
      </c>
      <c r="AI149" s="99" t="str">
        <f t="shared" si="64"/>
        <v>echo {"issue":{"subject":"","project_id":79,"tracker_id":40,"status_id":1,"priority_id":2,"assigned_to_id":23,"start_date":"2017-05-12","description":"","custom_fields":[{"id":1,"name":"Subdivision","value":"EC"},{"id":4,"name":"Milepost","value":"0.015"},{"id":17,"name":"Train ID","value":"234-12"},{"id":16,"name":"Locomotive ID","value":"4021"},{"id":130,"name":"Impact","value":""},{"id":150,"name":"Time of Event (Mountain Time)","value":"23:41:37"},{"id":151,"name":"Denver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65"/>
        <v>start /low /b %USERPROFILE%\Documents\GitHub\eaglep3\Utilities\DownloadLogsFromS3.py --loco 4021 --day 2017-05-12</v>
      </c>
      <c r="AN149" s="154" t="str">
        <f t="shared" si="6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05:41:37"},{"id":29,"name":"Sharepoint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2" t="s">
        <v>787</v>
      </c>
      <c r="B150" s="7">
        <v>4016</v>
      </c>
      <c r="C150" s="21" t="s">
        <v>206</v>
      </c>
      <c r="D150" s="21" t="s">
        <v>903</v>
      </c>
      <c r="E150" s="13">
        <v>42867.933217592596</v>
      </c>
      <c r="F150" s="13">
        <v>42867.937650462962</v>
      </c>
      <c r="G150" s="7">
        <v>1</v>
      </c>
      <c r="H150" s="21" t="s">
        <v>521</v>
      </c>
      <c r="I150" s="13">
        <v>42867.962256944447</v>
      </c>
      <c r="J150" s="7">
        <v>0</v>
      </c>
      <c r="K150" s="92" t="str">
        <f t="shared" si="51"/>
        <v>4015/4016</v>
      </c>
      <c r="L150" s="21" t="str">
        <f>VLOOKUP(A150,'Trips&amp;Operators'!$C$1:$G$99999,5,FALSE)</f>
        <v>BIRENBAUM THOMAS</v>
      </c>
      <c r="M150" s="6">
        <f t="shared" si="52"/>
        <v>2.4606481485534459E-2</v>
      </c>
      <c r="N150" s="7">
        <f t="shared" si="49"/>
        <v>35.433333339169621</v>
      </c>
      <c r="O150" s="7"/>
      <c r="P150" s="7"/>
      <c r="Q150" s="22"/>
      <c r="R150" s="190"/>
      <c r="S150" s="196">
        <f t="shared" si="50"/>
        <v>1</v>
      </c>
      <c r="T150" s="190" t="str">
        <f t="shared" si="53"/>
        <v>NorthBound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1" t="str">
        <f t="shared" si="54"/>
        <v>https://d0f6bd738d7f1b3e5a7ca70fe4ff75f0.us-east-1.aws.found.io/app/kibana#/discover/Steve-Slow-Train-Analysis-(2080s-and-2083s)?_g=(refreshInterval:(display:Off,pause:!f,section:0,value:0),time:(from:'2017-05-12T21:23:50-0600',mode:absolute,to:'2017-05-13T00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0" s="192" t="str">
        <f t="shared" si="55"/>
        <v>N</v>
      </c>
      <c r="X150" s="192">
        <f t="shared" si="48"/>
        <v>1</v>
      </c>
      <c r="Y150" s="192">
        <f t="shared" si="56"/>
        <v>4.8800000000000003E-2</v>
      </c>
      <c r="Z150" s="192">
        <f t="shared" si="57"/>
        <v>23.337800000000001</v>
      </c>
      <c r="AA150" s="192">
        <f t="shared" si="58"/>
        <v>23.289000000000001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59"/>
        <v>0235-12</v>
      </c>
      <c r="AE150" s="80" t="str">
        <f t="shared" si="60"/>
        <v>aws s3 cp s3://rtdc.mdm.uploadarchive.raw/RTDC4016/ "%USERPROFILE%\AppData\Local\Temp\OnboardLogs"\RTDC4016\2017-05-12 --exclude "*" --recursive --include "*20170512*" &amp; "%USERPROFILE%\Documents\GitHub\mrs-test-scripts\Headless Mode &amp; Sideloading\WalkAndUnGZ.bat" "%USERPROFILE%\AppData\Local\Temp\OnboardLogs"\RTDC4016\2017-05-12 &amp; aws s3 cp s3://rtdc.mdm.uploadarchive.raw/RTDC4016/ "%USERPROFILE%\AppData\Local\Temp\OnboardLogs"\RTDC4016\2017-05-13 --exclude "*" --recursive --include "*20170513*" &amp; "%USERPROFILE%\Documents\GitHub\mrs-test-scripts\Headless Mode &amp; Sideloading\WalkAndUnGZ.bat" "%USERPROFILE%\AppData\Local\Temp\OnboardLogs"\RTDC4016\2017-05-13</v>
      </c>
      <c r="AF150" s="77" t="str">
        <f t="shared" si="61"/>
        <v>"C:\Program Files (x86)\AstroGrep\AstroGrep.exe" /e /r /s /spath="%USERPROFILE%\AppData\Local\Temp\OnboardLogs" /stypes="app*4016*20170513*" /stext=" 05:.+((SYSTEM_STATE.+slice.+state.+changed )|(ment ac)|(multiple cpu faults)|(system.+state.+changed )|(\[timeout)|(PRM\|1\|D)|(kpr)|(kdp)|(train st.+moving)|(\|lc)|(penalty))"</v>
      </c>
      <c r="AG150" s="1" t="str">
        <f t="shared" si="62"/>
        <v>EC</v>
      </c>
      <c r="AH150" s="81" t="str">
        <f t="shared" si="63"/>
        <v>"%USERPROFILE%\Documents\GitHub\eaglep3\Utilities\RefineRTDCRunTimes.py" --tripid 235-12 --locoid 4016 --swversion DE.1.0.9.0 --startMP 204:488 --initTime 2017-05-12T22:23:50 --startdatetime 2017-05-12T22:30:13 --delay 1 --endMP 204:233378 --enddatetime 2017-05-12T23:05:39 --enforcementcount 0 &gt;&gt;C:\Users\stu\Documents\GitHub\eaglep3-reporting\EC\2017-05-12-refined-times.txt</v>
      </c>
      <c r="AI150" s="99" t="str">
        <f t="shared" si="64"/>
        <v>echo {"issue":{"subject":"","project_id":79,"tracker_id":40,"status_id":1,"priority_id":2,"assigned_to_id":23,"start_date":"2017-05-12","description":"","custom_fields":[{"id":1,"name":"Subdivision","value":"EC"},{"id":4,"name":"Milepost","value":"23.3378"},{"id":17,"name":"Train ID","value":"235-12"},{"id":16,"name":"Locomotive ID","value":"4016"},{"id":130,"name":"Impact","value":""},{"id":150,"name":"Time of Event (Mountain Time)","value":"23:05:39"},{"id":151,"name":"Denver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7"/>
      <c r="AL150" s="47"/>
      <c r="AM150" s="145" t="str">
        <f t="shared" si="65"/>
        <v>start /low /b %USERPROFILE%\Documents\GitHub\eaglep3\Utilities\DownloadLogsFromS3.py --loco 4016 --day 2017-05-12</v>
      </c>
      <c r="AN150" s="154" t="str">
        <f t="shared" si="6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05:05:39"},{"id":29,"name":"Sharepoint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1" spans="1:91" s="20" customFormat="1" x14ac:dyDescent="0.25">
      <c r="A151" s="32" t="s">
        <v>791</v>
      </c>
      <c r="B151" s="7">
        <v>4015</v>
      </c>
      <c r="C151" s="21" t="s">
        <v>206</v>
      </c>
      <c r="D151" s="21" t="s">
        <v>453</v>
      </c>
      <c r="E151" s="13">
        <v>42867.964722222219</v>
      </c>
      <c r="F151" s="13">
        <v>42867.976527777777</v>
      </c>
      <c r="G151" s="7">
        <v>1</v>
      </c>
      <c r="H151" s="21" t="s">
        <v>524</v>
      </c>
      <c r="I151" s="13">
        <v>42868.002800925926</v>
      </c>
      <c r="J151" s="7">
        <v>0</v>
      </c>
      <c r="K151" s="92" t="str">
        <f t="shared" si="51"/>
        <v>4015/4016</v>
      </c>
      <c r="L151" s="21" t="str">
        <f>VLOOKUP(A151,'Trips&amp;Operators'!$C$1:$G$99999,5,FALSE)</f>
        <v>BIRENBAUM THOMAS</v>
      </c>
      <c r="M151" s="6">
        <f t="shared" si="52"/>
        <v>2.6273148148902692E-2</v>
      </c>
      <c r="N151" s="7">
        <f t="shared" si="49"/>
        <v>37.833333334419876</v>
      </c>
      <c r="O151" s="7"/>
      <c r="P151" s="7"/>
      <c r="Q151" s="22"/>
      <c r="R151" s="190"/>
      <c r="S151" s="196">
        <f t="shared" si="50"/>
        <v>1</v>
      </c>
      <c r="T151" s="190" t="str">
        <f t="shared" si="53"/>
        <v>Southbound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1" t="str">
        <f t="shared" si="54"/>
        <v>https://d0f6bd738d7f1b3e5a7ca70fe4ff75f0.us-east-1.aws.found.io/app/kibana#/discover/Steve-Slow-Train-Analysis-(2080s-and-2083s)?_g=(refreshInterval:(display:Off,pause:!f,section:0,value:0),time:(from:'2017-05-12T22:09:12-0600',mode:absolute,to:'2017-05-13T01:04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1" s="192" t="str">
        <f t="shared" si="55"/>
        <v>N</v>
      </c>
      <c r="X151" s="192">
        <f t="shared" si="48"/>
        <v>1</v>
      </c>
      <c r="Y151" s="192">
        <f t="shared" si="56"/>
        <v>23.297699999999999</v>
      </c>
      <c r="Z151" s="192">
        <f t="shared" si="57"/>
        <v>1.54E-2</v>
      </c>
      <c r="AA151" s="192">
        <f t="shared" si="58"/>
        <v>23.282299999999999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59"/>
        <v>0236-12</v>
      </c>
      <c r="AE151" s="80" t="str">
        <f t="shared" si="60"/>
        <v>aws s3 cp s3://rtdc.mdm.uploadarchive.raw/RTDC4015/ "%USERPROFILE%\AppData\Local\Temp\OnboardLogs"\RTDC4015\2017-05-12 --exclude "*" --recursive --include "*20170512*" &amp; "%USERPROFILE%\Documents\GitHub\mrs-test-scripts\Headless Mode &amp; Sideloading\WalkAndUnGZ.bat" "%USERPROFILE%\AppData\Local\Temp\OnboardLogs"\RTDC4015\2017-05-12 &amp; aws s3 cp s3://rtdc.mdm.uploadarchive.raw/RTDC4015/ "%USERPROFILE%\AppData\Local\Temp\OnboardLogs"\RTDC4015\2017-05-13 --exclude "*" --recursive --include "*20170513*" &amp; "%USERPROFILE%\Documents\GitHub\mrs-test-scripts\Headless Mode &amp; Sideloading\WalkAndUnGZ.bat" "%USERPROFILE%\AppData\Local\Temp\OnboardLogs"\RTDC4015\2017-05-13</v>
      </c>
      <c r="AF151" s="77" t="str">
        <f t="shared" si="61"/>
        <v>"C:\Program Files (x86)\AstroGrep\AstroGrep.exe" /e /r /s /spath="%USERPROFILE%\AppData\Local\Temp\OnboardLogs" /stypes="app*4015*20170513*" /stext=" 06:.+((SYSTEM_STATE.+slice.+state.+changed )|(ment ac)|(multiple cpu faults)|(system.+state.+changed )|(\[timeout)|(PRM\|1\|D)|(kpr)|(kdp)|(train st.+moving)|(\|lc)|(penalty))"</v>
      </c>
      <c r="AG151" s="1" t="str">
        <f t="shared" si="62"/>
        <v>EC</v>
      </c>
      <c r="AH151" s="81" t="str">
        <f t="shared" si="63"/>
        <v>"%USERPROFILE%\Documents\GitHub\eaglep3\Utilities\RefineRTDCRunTimes.py" --tripid 236-12 --locoid 4015 --swversion DE.1.0.9.0 --startMP 204:232977 --initTime 2017-05-12T23:09:12 --startdatetime 2017-05-12T23:26:12 --delay 1 --endMP 204:154 --enddatetime 2017-05-13T00:04:02 --enforcementcount 0 &gt;&gt;C:\Users\stu\Documents\GitHub\eaglep3-reporting\EC\2017-05-12-refined-times.txt</v>
      </c>
      <c r="AI151" s="99" t="str">
        <f t="shared" si="64"/>
        <v>echo {"issue":{"subject":"","project_id":79,"tracker_id":40,"status_id":1,"priority_id":2,"assigned_to_id":23,"start_date":"2017-05-13","description":"","custom_fields":[{"id":1,"name":"Subdivision","value":"EC"},{"id":4,"name":"Milepost","value":"0.0154"},{"id":17,"name":"Train ID","value":"236-12"},{"id":16,"name":"Locomotive ID","value":"4015"},{"id":130,"name":"Impact","value":""},{"id":150,"name":"Time of Event (Mountain Time)","value":"00:04:02"},{"id":151,"name":"Denver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65"/>
        <v>start /low /b %USERPROFILE%\Documents\GitHub\eaglep3\Utilities\DownloadLogsFromS3.py --loco 4015 --day 2017-05-12</v>
      </c>
      <c r="AN151" s="154" t="str">
        <f t="shared" si="6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06:04:02"},{"id":29,"name":"Sharepoint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2" t="s">
        <v>790</v>
      </c>
      <c r="B152" s="7">
        <v>4046</v>
      </c>
      <c r="C152" s="21" t="s">
        <v>206</v>
      </c>
      <c r="D152" s="21" t="s">
        <v>355</v>
      </c>
      <c r="E152" s="13">
        <v>42867.955150462964</v>
      </c>
      <c r="F152" s="13">
        <v>42867.958495370367</v>
      </c>
      <c r="G152" s="7">
        <v>2</v>
      </c>
      <c r="H152" s="21" t="s">
        <v>810</v>
      </c>
      <c r="I152" s="13">
        <v>42867.983634259261</v>
      </c>
      <c r="J152" s="7">
        <v>0</v>
      </c>
      <c r="K152" s="92" t="str">
        <f t="shared" si="51"/>
        <v>4045/4046</v>
      </c>
      <c r="L152" s="21" t="str">
        <f>VLOOKUP(A152,'Trips&amp;Operators'!$C$1:$G$99999,5,FALSE)</f>
        <v>BROWN JACOB</v>
      </c>
      <c r="M152" s="6">
        <f t="shared" si="52"/>
        <v>2.513888889370719E-2</v>
      </c>
      <c r="N152" s="7">
        <f t="shared" si="49"/>
        <v>36.200000006938353</v>
      </c>
      <c r="O152" s="7"/>
      <c r="P152" s="7"/>
      <c r="Q152" s="22"/>
      <c r="R152" s="190"/>
      <c r="S152" s="196">
        <f t="shared" si="50"/>
        <v>1</v>
      </c>
      <c r="T152" s="190" t="str">
        <f t="shared" si="53"/>
        <v>NorthBound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1" t="str">
        <f t="shared" si="54"/>
        <v>https://d0f6bd738d7f1b3e5a7ca70fe4ff75f0.us-east-1.aws.found.io/app/kibana#/discover/Steve-Slow-Train-Analysis-(2080s-and-2083s)?_g=(refreshInterval:(display:Off,pause:!f,section:0,value:0),time:(from:'2017-05-12T21:55:25-0600',mode:absolute,to:'2017-05-13T00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2" s="192" t="str">
        <f t="shared" si="55"/>
        <v>N</v>
      </c>
      <c r="X152" s="192">
        <f t="shared" si="48"/>
        <v>1</v>
      </c>
      <c r="Y152" s="192">
        <f t="shared" si="56"/>
        <v>4.58E-2</v>
      </c>
      <c r="Z152" s="192">
        <f t="shared" si="57"/>
        <v>23.331600000000002</v>
      </c>
      <c r="AA152" s="192">
        <f t="shared" si="58"/>
        <v>23.285800000000002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59"/>
        <v>0237-12</v>
      </c>
      <c r="AE152" s="80" t="str">
        <f t="shared" si="60"/>
        <v>aws s3 cp s3://rtdc.mdm.uploadarchive.raw/RTDC4046/ "%USERPROFILE%\AppData\Local\Temp\OnboardLogs"\RTDC4046\2017-05-12 --exclude "*" --recursive --include "*20170512*" &amp; "%USERPROFILE%\Documents\GitHub\mrs-test-scripts\Headless Mode &amp; Sideloading\WalkAndUnGZ.bat" "%USERPROFILE%\AppData\Local\Temp\OnboardLogs"\RTDC4046\2017-05-12 &amp; aws s3 cp s3://rtdc.mdm.uploadarchive.raw/RTDC4046/ "%USERPROFILE%\AppData\Local\Temp\OnboardLogs"\RTDC4046\2017-05-13 --exclude "*" --recursive --include "*20170513*" &amp; "%USERPROFILE%\Documents\GitHub\mrs-test-scripts\Headless Mode &amp; Sideloading\WalkAndUnGZ.bat" "%USERPROFILE%\AppData\Local\Temp\OnboardLogs"\RTDC4046\2017-05-13</v>
      </c>
      <c r="AF152" s="77" t="str">
        <f t="shared" si="61"/>
        <v>"C:\Program Files (x86)\AstroGrep\AstroGrep.exe" /e /r /s /spath="%USERPROFILE%\AppData\Local\Temp\OnboardLogs" /stypes="app*4046*20170513*" /stext=" 05:.+((SYSTEM_STATE.+slice.+state.+changed )|(ment ac)|(multiple cpu faults)|(system.+state.+changed )|(\[timeout)|(PRM\|1\|D)|(kpr)|(kdp)|(train st.+moving)|(\|lc)|(penalty))"</v>
      </c>
      <c r="AG152" s="1" t="str">
        <f t="shared" si="62"/>
        <v>EC</v>
      </c>
      <c r="AH152" s="81" t="str">
        <f t="shared" si="63"/>
        <v>"%USERPROFILE%\Documents\GitHub\eaglep3\Utilities\RefineRTDCRunTimes.py" --tripid 237-12 --locoid 4046 --swversion DE.1.0.9.0 --startMP 204:458 --initTime 2017-05-12T22:55:25 --startdatetime 2017-05-12T23:00:14 --delay 2 --endMP 204:233316 --enddatetime 2017-05-12T23:36:26 --enforcementcount 0 &gt;&gt;C:\Users\stu\Documents\GitHub\eaglep3-reporting\EC\2017-05-12-refined-times.txt</v>
      </c>
      <c r="AI152" s="99" t="str">
        <f t="shared" si="64"/>
        <v>echo {"issue":{"subject":"","project_id":79,"tracker_id":40,"status_id":1,"priority_id":2,"assigned_to_id":23,"start_date":"2017-05-12","description":"","custom_fields":[{"id":1,"name":"Subdivision","value":"EC"},{"id":4,"name":"Milepost","value":"23.3316"},{"id":17,"name":"Train ID","value":"237-12"},{"id":16,"name":"Locomotive ID","value":"4046"},{"id":130,"name":"Impact","value":""},{"id":150,"name":"Time of Event (Mountain Time)","value":"23:36:26"},{"id":151,"name":"Denver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5" t="str">
        <f t="shared" si="65"/>
        <v>start /low /b %USERPROFILE%\Documents\GitHub\eaglep3\Utilities\DownloadLogsFromS3.py --loco 4046 --day 2017-05-12</v>
      </c>
      <c r="AN152" s="154" t="str">
        <f t="shared" si="6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05:36:26"},{"id":29,"name":"Sharepoint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s="20" customFormat="1" x14ac:dyDescent="0.25">
      <c r="A153" s="32" t="s">
        <v>793</v>
      </c>
      <c r="B153" s="7">
        <v>4045</v>
      </c>
      <c r="C153" s="21" t="s">
        <v>206</v>
      </c>
      <c r="D153" s="21" t="s">
        <v>904</v>
      </c>
      <c r="E153" s="13">
        <v>42868.014826388891</v>
      </c>
      <c r="F153" s="13">
        <v>42868.016469907408</v>
      </c>
      <c r="G153" s="7">
        <v>1</v>
      </c>
      <c r="H153" s="21" t="s">
        <v>198</v>
      </c>
      <c r="I153" s="13">
        <v>42868.033645833333</v>
      </c>
      <c r="J153" s="7">
        <v>0</v>
      </c>
      <c r="K153" s="92" t="str">
        <f t="shared" si="51"/>
        <v>4045/4046</v>
      </c>
      <c r="L153" s="21" t="str">
        <f>VLOOKUP(A153,'Trips&amp;Operators'!$C$1:$G$99999,5,FALSE)</f>
        <v>BROWN JACOB</v>
      </c>
      <c r="M153" s="6">
        <f t="shared" si="52"/>
        <v>1.7175925924675539E-2</v>
      </c>
      <c r="N153" s="7"/>
      <c r="O153" s="7"/>
      <c r="P153" s="7">
        <f>24*60*SUM($M153:$M153)</f>
        <v>24.733333331532776</v>
      </c>
      <c r="Q153" s="22"/>
      <c r="R153" s="190" t="s">
        <v>554</v>
      </c>
      <c r="S153" s="196">
        <f t="shared" si="50"/>
        <v>1</v>
      </c>
      <c r="T153" s="190" t="str">
        <f t="shared" si="53"/>
        <v>Southbound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1" t="str">
        <f t="shared" si="54"/>
        <v>https://d0f6bd738d7f1b3e5a7ca70fe4ff75f0.us-east-1.aws.found.io/app/kibana#/discover/Steve-Slow-Train-Analysis-(2080s-and-2083s)?_g=(refreshInterval:(display:Off,pause:!f,section:0,value:0),time:(from:'2017-05-12T23:21:21-0600',mode:absolute,to:'2017-05-13T01:48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3" s="192" t="str">
        <f t="shared" si="55"/>
        <v>Y</v>
      </c>
      <c r="X153" s="192">
        <f t="shared" si="48"/>
        <v>1</v>
      </c>
      <c r="Y153" s="192">
        <f t="shared" si="56"/>
        <v>12.786099999999999</v>
      </c>
      <c r="Z153" s="192">
        <f t="shared" si="57"/>
        <v>1.5800000000000002E-2</v>
      </c>
      <c r="AA153" s="192">
        <f t="shared" si="58"/>
        <v>12.770299999999999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59"/>
        <v>0238-12</v>
      </c>
      <c r="AE153" s="80" t="str">
        <f t="shared" si="60"/>
        <v>aws s3 cp s3://rtdc.mdm.uploadarchive.raw/RTDC4045/ "%USERPROFILE%\AppData\Local\Temp\OnboardLogs"\RTDC4045\2017-05-13 --exclude "*" --recursive --include "*20170513*" &amp; "%USERPROFILE%\Documents\GitHub\mrs-test-scripts\Headless Mode &amp; Sideloading\WalkAndUnGZ.bat" "%USERPROFILE%\AppData\Local\Temp\OnboardLogs"\RTDC4045\2017-05-13 &amp; aws s3 cp s3://rtdc.mdm.uploadarchive.raw/RTDC4045/ "%USERPROFILE%\AppData\Local\Temp\OnboardLogs"\RTDC4045\2017-05-14 --exclude "*" --recursive --include "*20170514*" &amp; "%USERPROFILE%\Documents\GitHub\mrs-test-scripts\Headless Mode &amp; Sideloading\WalkAndUnGZ.bat" "%USERPROFILE%\AppData\Local\Temp\OnboardLogs"\RTDC4045\2017-05-14</v>
      </c>
      <c r="AF153" s="77" t="str">
        <f t="shared" si="61"/>
        <v>"C:\Program Files (x86)\AstroGrep\AstroGrep.exe" /e /r /s /spath="%USERPROFILE%\AppData\Local\Temp\OnboardLogs" /stypes="app*4045*20170513*" /stext=" 06:.+((SYSTEM_STATE.+slice.+state.+changed )|(ment ac)|(multiple cpu faults)|(system.+state.+changed )|(\[timeout)|(PRM\|1\|D)|(kpr)|(kdp)|(train st.+moving)|(\|lc)|(penalty))"</v>
      </c>
      <c r="AG153" s="1" t="str">
        <f t="shared" si="62"/>
        <v>EC</v>
      </c>
      <c r="AH153" s="81" t="str">
        <f t="shared" si="63"/>
        <v>"%USERPROFILE%\Documents\GitHub\eaglep3\Utilities\RefineRTDCRunTimes.py" --tripid 238-12 --locoid 4045 --swversion DE.1.0.9.0 --startMP 204:127861 --initTime 2017-05-13T00:21:21 --startdatetime 2017-05-13T00:23:43 --delay 1 --endMP 204:158 --enddatetime 2017-05-13T00:48:27 --enforcementcount 0 &gt;&gt;C:\Users\stu\Documents\GitHub\eaglep3-reporting\EC\2017-05-12-refined-times.txt</v>
      </c>
      <c r="AI153" s="99" t="str">
        <f t="shared" si="64"/>
        <v>echo {"issue":{"subject":"Onboard in-route failure","project_id":79,"tracker_id":40,"status_id":1,"priority_id":2,"assigned_to_id":23,"start_date":"2017-05-13","description":"","custom_fields":[{"id":1,"name":"Subdivision","value":"EC"},{"id":4,"name":"Milepost","value":"0.0158"},{"id":17,"name":"Train ID","value":"238-12"},{"id":16,"name":"Locomotive ID","value":"4045"},{"id":130,"name":"Impact","value":""},{"id":150,"name":"Time of Event (Mountain Time)","value":"00:48:27"},{"id":151,"name":"Denver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65"/>
        <v>start /low /b %USERPROFILE%\Documents\GitHub\eaglep3\Utilities\DownloadLogsFromS3.py --loco 4045 --day 2017-05-13</v>
      </c>
      <c r="AN153" s="154" t="str">
        <f t="shared" si="66"/>
        <v>echo {"issue":{"subject":"Onboard in-route failure","project_id":30,"tracker_id":4,"status_id":1,"priority_id":1,"assigned_to_id":10,"start_date":"2017-05-13","description":"","custom_fields":[{"id":30,"name":"Category","value":"Issue"},{"id":3,"name":"Functional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06:48:27"},{"id":29,"name":"Sharepoint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2" t="s">
        <v>793</v>
      </c>
      <c r="B154" s="7">
        <v>4045</v>
      </c>
      <c r="C154" s="21" t="s">
        <v>206</v>
      </c>
      <c r="D154" s="21" t="s">
        <v>455</v>
      </c>
      <c r="E154" s="13">
        <v>42867.99417824074</v>
      </c>
      <c r="F154" s="13">
        <v>42868.016469907408</v>
      </c>
      <c r="G154" s="7">
        <v>1</v>
      </c>
      <c r="H154" s="21" t="s">
        <v>845</v>
      </c>
      <c r="I154" s="13">
        <v>42868.033645833333</v>
      </c>
      <c r="J154" s="7">
        <v>0</v>
      </c>
      <c r="K154" s="92" t="str">
        <f t="shared" si="51"/>
        <v>4045/4046</v>
      </c>
      <c r="L154" s="21" t="str">
        <f>VLOOKUP(A154,'Trips&amp;Operators'!$C$1:$G$99999,5,FALSE)</f>
        <v>BROWN JACOB</v>
      </c>
      <c r="M154" s="6">
        <f t="shared" si="52"/>
        <v>1.7175925924675539E-2</v>
      </c>
      <c r="N154" s="7"/>
      <c r="O154" s="7"/>
      <c r="P154" s="7"/>
      <c r="Q154" s="22"/>
      <c r="R154" s="190"/>
      <c r="S154" s="196"/>
      <c r="T154" s="190" t="str">
        <f t="shared" si="53"/>
        <v>Southbound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0</v>
      </c>
      <c r="V154" s="191" t="str">
        <f t="shared" si="54"/>
        <v>https://d0f6bd738d7f1b3e5a7ca70fe4ff75f0.us-east-1.aws.found.io/app/kibana#/discover/Steve-Slow-Train-Analysis-(2080s-and-2083s)?_g=(refreshInterval:(display:Off,pause:!f,section:0,value:0),time:(from:'2017-05-12T22:51:37-0600',mode:absolute,to:'2017-05-13T01:48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4" s="192" t="str">
        <f t="shared" si="55"/>
        <v>Y</v>
      </c>
      <c r="X154" s="192">
        <f t="shared" si="48"/>
        <v>0</v>
      </c>
      <c r="Y154" s="192">
        <f t="shared" si="56"/>
        <v>23.2988</v>
      </c>
      <c r="Z154" s="192">
        <f t="shared" si="57"/>
        <v>23.298999999999999</v>
      </c>
      <c r="AA154" s="192">
        <f t="shared" si="58"/>
        <v>1.9999999999953388E-4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59"/>
        <v>0238-12</v>
      </c>
      <c r="AE154" s="80" t="str">
        <f t="shared" si="60"/>
        <v>aws s3 cp s3://rtdc.mdm.uploadarchive.raw/RTDC4045/ "%USERPROFILE%\AppData\Local\Temp\OnboardLogs"\RTDC4045\2017-05-13 --exclude "*" --recursive --include "*20170513*" &amp; "%USERPROFILE%\Documents\GitHub\mrs-test-scripts\Headless Mode &amp; Sideloading\WalkAndUnGZ.bat" "%USERPROFILE%\AppData\Local\Temp\OnboardLogs"\RTDC4045\2017-05-13 &amp; aws s3 cp s3://rtdc.mdm.uploadarchive.raw/RTDC4045/ "%USERPROFILE%\AppData\Local\Temp\OnboardLogs"\RTDC4045\2017-05-14 --exclude "*" --recursive --include "*20170514*" &amp; "%USERPROFILE%\Documents\GitHub\mrs-test-scripts\Headless Mode &amp; Sideloading\WalkAndUnGZ.bat" "%USERPROFILE%\AppData\Local\Temp\OnboardLogs"\RTDC4045\2017-05-14</v>
      </c>
      <c r="AF154" s="77" t="str">
        <f t="shared" si="61"/>
        <v>"C:\Program Files (x86)\AstroGrep\AstroGrep.exe" /e /r /s /spath="%USERPROFILE%\AppData\Local\Temp\OnboardLogs" /stypes="app*4045*20170513*" /stext=" 06:.+((SYSTEM_STATE.+slice.+state.+changed )|(ment ac)|(multiple cpu faults)|(system.+state.+changed )|(\[timeout)|(PRM\|1\|D)|(kpr)|(kdp)|(train st.+moving)|(\|lc)|(penalty))"</v>
      </c>
      <c r="AG154" s="1" t="str">
        <f t="shared" si="62"/>
        <v>EC</v>
      </c>
      <c r="AH154" s="81" t="str">
        <f t="shared" si="63"/>
        <v>"%USERPROFILE%\Documents\GitHub\eaglep3\Utilities\RefineRTDCRunTimes.py" --tripid 238-12 --locoid 4045 --swversion DE.1.0.9.0 --startMP 204:232988 --initTime 2017-05-12T23:51:37 --startdatetime 2017-05-13T00:23:43 --delay 1 --endMP 204:232990 --enddatetime 2017-05-13T00:48:27 --enforcementcount 0 &gt;&gt;C:\Users\stu\Documents\GitHub\eaglep3-reporting\EC\2017-05-12-refined-times.txt</v>
      </c>
      <c r="AI154" s="99" t="str">
        <f t="shared" si="64"/>
        <v>echo {"issue":{"subject":"","project_id":79,"tracker_id":40,"status_id":1,"priority_id":2,"assigned_to_id":23,"start_date":"2017-05-13","description":"","custom_fields":[{"id":1,"name":"Subdivision","value":"EC"},{"id":4,"name":"Milepost","value":"23.299"},{"id":17,"name":"Train ID","value":"238-12"},{"id":16,"name":"Locomotive ID","value":"4045"},{"id":130,"name":"Impact","value":""},{"id":150,"name":"Time of Event (Mountain Time)","value":"00:48:27"},{"id":151,"name":"Denver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5" t="str">
        <f t="shared" si="65"/>
        <v>start /low /b %USERPROFILE%\Documents\GitHub\eaglep3\Utilities\DownloadLogsFromS3.py --loco 4045 --day 2017-05-13</v>
      </c>
      <c r="AN154" s="154" t="str">
        <f t="shared" si="6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06:48:27"},{"id":29,"name":"Sharepoint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x14ac:dyDescent="0.25">
      <c r="A155" s="32" t="s">
        <v>793</v>
      </c>
      <c r="B155" s="7">
        <v>4045</v>
      </c>
      <c r="C155" s="21" t="s">
        <v>206</v>
      </c>
      <c r="D155" s="21" t="s">
        <v>845</v>
      </c>
      <c r="E155" s="13">
        <v>42867.99417824074</v>
      </c>
      <c r="F155" s="13">
        <v>42868.016469907408</v>
      </c>
      <c r="G155" s="7">
        <v>3</v>
      </c>
      <c r="H155" s="21" t="s">
        <v>845</v>
      </c>
      <c r="I155" s="13">
        <v>42868.033645833333</v>
      </c>
      <c r="J155" s="7">
        <v>0</v>
      </c>
      <c r="K155" s="92" t="str">
        <f t="shared" si="51"/>
        <v>4045/4046</v>
      </c>
      <c r="L155" s="21" t="str">
        <f>VLOOKUP(A155,'Trips&amp;Operators'!$C$1:$G$99999,5,FALSE)</f>
        <v>BROWN JACOB</v>
      </c>
      <c r="M155" s="6">
        <f t="shared" si="52"/>
        <v>1.7175925924675539E-2</v>
      </c>
      <c r="N155" s="7"/>
      <c r="O155" s="7"/>
      <c r="P155" s="7"/>
      <c r="Q155" s="22"/>
      <c r="R155" s="190"/>
      <c r="S155" s="196"/>
      <c r="T155" s="190" t="str">
        <f t="shared" si="53"/>
        <v>Southbound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0</v>
      </c>
      <c r="V155" s="191" t="str">
        <f t="shared" si="54"/>
        <v>https://d0f6bd738d7f1b3e5a7ca70fe4ff75f0.us-east-1.aws.found.io/app/kibana#/discover/Steve-Slow-Train-Analysis-(2080s-and-2083s)?_g=(refreshInterval:(display:Off,pause:!f,section:0,value:0),time:(from:'2017-05-12T22:51:37-0600',mode:absolute,to:'2017-05-13T01:48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5" s="192" t="str">
        <f t="shared" si="55"/>
        <v>Y</v>
      </c>
      <c r="X155" s="192">
        <f t="shared" si="48"/>
        <v>0</v>
      </c>
      <c r="Y155" s="192">
        <f t="shared" si="56"/>
        <v>23.298999999999999</v>
      </c>
      <c r="Z155" s="192">
        <f t="shared" si="57"/>
        <v>23.298999999999999</v>
      </c>
      <c r="AA155" s="192">
        <f t="shared" si="58"/>
        <v>0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59"/>
        <v>0238-12</v>
      </c>
      <c r="AE155" s="80" t="str">
        <f t="shared" si="60"/>
        <v>aws s3 cp s3://rtdc.mdm.uploadarchive.raw/RTDC4045/ "%USERPROFILE%\AppData\Local\Temp\OnboardLogs"\RTDC4045\2017-05-13 --exclude "*" --recursive --include "*20170513*" &amp; "%USERPROFILE%\Documents\GitHub\mrs-test-scripts\Headless Mode &amp; Sideloading\WalkAndUnGZ.bat" "%USERPROFILE%\AppData\Local\Temp\OnboardLogs"\RTDC4045\2017-05-13 &amp; aws s3 cp s3://rtdc.mdm.uploadarchive.raw/RTDC4045/ "%USERPROFILE%\AppData\Local\Temp\OnboardLogs"\RTDC4045\2017-05-14 --exclude "*" --recursive --include "*20170514*" &amp; "%USERPROFILE%\Documents\GitHub\mrs-test-scripts\Headless Mode &amp; Sideloading\WalkAndUnGZ.bat" "%USERPROFILE%\AppData\Local\Temp\OnboardLogs"\RTDC4045\2017-05-14</v>
      </c>
      <c r="AF155" s="77" t="str">
        <f t="shared" si="61"/>
        <v>"C:\Program Files (x86)\AstroGrep\AstroGrep.exe" /e /r /s /spath="%USERPROFILE%\AppData\Local\Temp\OnboardLogs" /stypes="app*4045*20170513*" /stext=" 06:.+((SYSTEM_STATE.+slice.+state.+changed )|(ment ac)|(multiple cpu faults)|(system.+state.+changed )|(\[timeout)|(PRM\|1\|D)|(kpr)|(kdp)|(train st.+moving)|(\|lc)|(penalty))"</v>
      </c>
      <c r="AG155" s="1" t="str">
        <f t="shared" si="62"/>
        <v>EC</v>
      </c>
      <c r="AH155" s="81" t="str">
        <f t="shared" si="63"/>
        <v>"%USERPROFILE%\Documents\GitHub\eaglep3\Utilities\RefineRTDCRunTimes.py" --tripid 238-12 --locoid 4045 --swversion DE.1.0.9.0 --startMP 204:232990 --initTime 2017-05-12T23:51:37 --startdatetime 2017-05-13T00:23:43 --delay 3 --endMP 204:232990 --enddatetime 2017-05-13T00:48:27 --enforcementcount 0 &gt;&gt;C:\Users\stu\Documents\GitHub\eaglep3-reporting\EC\2017-05-12-refined-times.txt</v>
      </c>
      <c r="AI155" s="99" t="str">
        <f t="shared" si="64"/>
        <v>echo {"issue":{"subject":"","project_id":79,"tracker_id":40,"status_id":1,"priority_id":2,"assigned_to_id":23,"start_date":"2017-05-13","description":"","custom_fields":[{"id":1,"name":"Subdivision","value":"EC"},{"id":4,"name":"Milepost","value":"23.299"},{"id":17,"name":"Train ID","value":"238-12"},{"id":16,"name":"Locomotive ID","value":"4045"},{"id":130,"name":"Impact","value":""},{"id":150,"name":"Time of Event (Mountain Time)","value":"00:48:27"},{"id":151,"name":"Denver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5" t="str">
        <f t="shared" si="65"/>
        <v>start /low /b %USERPROFILE%\Documents\GitHub\eaglep3\Utilities\DownloadLogsFromS3.py --loco 4045 --day 2017-05-13</v>
      </c>
      <c r="AN155" s="154" t="str">
        <f t="shared" si="6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06:48:27"},{"id":29,"name":"Sharepoint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x14ac:dyDescent="0.25">
      <c r="A156" s="32" t="s">
        <v>792</v>
      </c>
      <c r="B156" s="7">
        <v>4012</v>
      </c>
      <c r="C156" s="21" t="s">
        <v>206</v>
      </c>
      <c r="D156" s="21" t="s">
        <v>347</v>
      </c>
      <c r="E156" s="13">
        <v>42867.972268518519</v>
      </c>
      <c r="F156" s="13">
        <v>42867.979421296295</v>
      </c>
      <c r="G156" s="7">
        <v>1</v>
      </c>
      <c r="H156" s="21" t="s">
        <v>366</v>
      </c>
      <c r="I156" s="13">
        <v>42868.008356481485</v>
      </c>
      <c r="J156" s="7">
        <v>0</v>
      </c>
      <c r="K156" s="92" t="str">
        <f t="shared" si="51"/>
        <v>4011/4012</v>
      </c>
      <c r="L156" s="21" t="str">
        <f>VLOOKUP(A156,'Trips&amp;Operators'!$C$1:$G$99999,5,FALSE)</f>
        <v>LAMAR NEKESHA</v>
      </c>
      <c r="M156" s="6">
        <f t="shared" si="52"/>
        <v>2.8935185189766344E-2</v>
      </c>
      <c r="N156" s="7">
        <f t="shared" ref="N156:N199" si="67">24*60*SUM($M156:$M156)</f>
        <v>41.666666673263535</v>
      </c>
      <c r="O156" s="7"/>
      <c r="P156" s="7"/>
      <c r="Q156" s="22"/>
      <c r="R156" s="190"/>
      <c r="S156" s="196">
        <f t="shared" ref="S156:S187" si="68">SUM(U156:U156)/IF(AG156="EC",12,1)</f>
        <v>1</v>
      </c>
      <c r="T156" s="190" t="str">
        <f t="shared" si="53"/>
        <v>NorthBound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1" t="str">
        <f t="shared" si="54"/>
        <v>https://d0f6bd738d7f1b3e5a7ca70fe4ff75f0.us-east-1.aws.found.io/app/kibana#/discover/Steve-Slow-Train-Analysis-(2080s-and-2083s)?_g=(refreshInterval:(display:Off,pause:!f,section:0,value:0),time:(from:'2017-05-12T22:20:04-0600',mode:absolute,to:'2017-05-13T01:12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6" s="192" t="str">
        <f t="shared" si="55"/>
        <v>N</v>
      </c>
      <c r="X156" s="192">
        <f t="shared" si="48"/>
        <v>1</v>
      </c>
      <c r="Y156" s="192">
        <f t="shared" si="56"/>
        <v>4.4900000000000002E-2</v>
      </c>
      <c r="Z156" s="192">
        <f t="shared" si="57"/>
        <v>23.331399999999999</v>
      </c>
      <c r="AA156" s="192">
        <f t="shared" si="58"/>
        <v>23.2865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59"/>
        <v>0239-12</v>
      </c>
      <c r="AE156" s="80" t="str">
        <f t="shared" si="60"/>
        <v>aws s3 cp s3://rtdc.mdm.uploadarchive.raw/RTDC4012/ "%USERPROFILE%\AppData\Local\Temp\OnboardLogs"\RTDC4012\2017-05-12 --exclude "*" --recursive --include "*20170512*" &amp; "%USERPROFILE%\Documents\GitHub\mrs-test-scripts\Headless Mode &amp; Sideloading\WalkAndUnGZ.bat" "%USERPROFILE%\AppData\Local\Temp\OnboardLogs"\RTDC4012\2017-05-12 &amp; aws s3 cp s3://rtdc.mdm.uploadarchive.raw/RTDC4012/ "%USERPROFILE%\AppData\Local\Temp\OnboardLogs"\RTDC4012\2017-05-13 --exclude "*" --recursive --include "*20170513*" &amp; "%USERPROFILE%\Documents\GitHub\mrs-test-scripts\Headless Mode &amp; Sideloading\WalkAndUnGZ.bat" "%USERPROFILE%\AppData\Local\Temp\OnboardLogs"\RTDC4012\2017-05-13</v>
      </c>
      <c r="AF156" s="77" t="str">
        <f t="shared" si="61"/>
        <v>"C:\Program Files (x86)\AstroGrep\AstroGrep.exe" /e /r /s /spath="%USERPROFILE%\AppData\Local\Temp\OnboardLogs" /stypes="app*4012*20170513*" /stext=" 06:.+((SYSTEM_STATE.+slice.+state.+changed )|(ment ac)|(multiple cpu faults)|(system.+state.+changed )|(\[timeout)|(PRM\|1\|D)|(kpr)|(kdp)|(train st.+moving)|(\|lc)|(penalty))"</v>
      </c>
      <c r="AG156" s="1" t="str">
        <f t="shared" si="62"/>
        <v>EC</v>
      </c>
      <c r="AH156" s="81" t="str">
        <f t="shared" si="63"/>
        <v>"%USERPROFILE%\Documents\GitHub\eaglep3\Utilities\RefineRTDCRunTimes.py" --tripid 239-12 --locoid 4012 --swversion DE.1.0.9.0 --startMP 204:449 --initTime 2017-05-12T23:20:04 --startdatetime 2017-05-12T23:30:22 --delay 1 --endMP 204:233314 --enddatetime 2017-05-13T00:12:02 --enforcementcount 0 &gt;&gt;C:\Users\stu\Documents\GitHub\eaglep3-reporting\EC\2017-05-12-refined-times.txt</v>
      </c>
      <c r="AI156" s="99" t="str">
        <f t="shared" si="64"/>
        <v>echo {"issue":{"subject":"","project_id":79,"tracker_id":40,"status_id":1,"priority_id":2,"assigned_to_id":23,"start_date":"2017-05-13","description":"","custom_fields":[{"id":1,"name":"Subdivision","value":"EC"},{"id":4,"name":"Milepost","value":"23.3314"},{"id":17,"name":"Train ID","value":"239-12"},{"id":16,"name":"Locomotive ID","value":"4012"},{"id":130,"name":"Impact","value":""},{"id":150,"name":"Time of Event (Mountain Time)","value":"00:12:02"},{"id":151,"name":"Denver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5" t="str">
        <f t="shared" si="65"/>
        <v>start /low /b %USERPROFILE%\Documents\GitHub\eaglep3\Utilities\DownloadLogsFromS3.py --loco 4012 --day 2017-05-12</v>
      </c>
      <c r="AN156" s="154" t="str">
        <f t="shared" si="6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06:12:02"},{"id":29,"name":"Sharepoint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s="20" customFormat="1" x14ac:dyDescent="0.25">
      <c r="A157" s="32" t="s">
        <v>797</v>
      </c>
      <c r="B157" s="7">
        <v>4011</v>
      </c>
      <c r="C157" s="21" t="s">
        <v>206</v>
      </c>
      <c r="D157" s="21" t="s">
        <v>834</v>
      </c>
      <c r="E157" s="13">
        <v>42868.011956018519</v>
      </c>
      <c r="F157" s="13">
        <v>42868.018275462964</v>
      </c>
      <c r="G157" s="7">
        <v>1</v>
      </c>
      <c r="H157" s="21" t="s">
        <v>354</v>
      </c>
      <c r="I157" s="13">
        <v>42868.046261574076</v>
      </c>
      <c r="J157" s="7">
        <v>0</v>
      </c>
      <c r="K157" s="92" t="str">
        <f t="shared" si="51"/>
        <v>4011/4012</v>
      </c>
      <c r="L157" s="21" t="str">
        <f>VLOOKUP(A157,'Trips&amp;Operators'!$C$1:$G$99999,5,FALSE)</f>
        <v>LAMAR NEKESHA</v>
      </c>
      <c r="M157" s="6">
        <f t="shared" si="52"/>
        <v>2.7986111112113576E-2</v>
      </c>
      <c r="N157" s="7">
        <f t="shared" si="67"/>
        <v>40.30000000144355</v>
      </c>
      <c r="O157" s="7"/>
      <c r="P157" s="7"/>
      <c r="Q157" s="22"/>
      <c r="R157" s="190"/>
      <c r="S157" s="196">
        <f t="shared" si="68"/>
        <v>1</v>
      </c>
      <c r="T157" s="190" t="str">
        <f t="shared" si="53"/>
        <v>Southbound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1" t="str">
        <f t="shared" si="54"/>
        <v>https://d0f6bd738d7f1b3e5a7ca70fe4ff75f0.us-east-1.aws.found.io/app/kibana#/discover/Steve-Slow-Train-Analysis-(2080s-and-2083s)?_g=(refreshInterval:(display:Off,pause:!f,section:0,value:0),time:(from:'2017-05-12T23:17:13-0600',mode:absolute,to:'2017-05-13T02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7" s="192" t="str">
        <f t="shared" si="55"/>
        <v>N</v>
      </c>
      <c r="X157" s="192">
        <f t="shared" si="48"/>
        <v>1</v>
      </c>
      <c r="Y157" s="192">
        <f t="shared" si="56"/>
        <v>23.3002</v>
      </c>
      <c r="Z157" s="192">
        <f t="shared" si="57"/>
        <v>1.6E-2</v>
      </c>
      <c r="AA157" s="192">
        <f t="shared" si="58"/>
        <v>23.284200000000002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59"/>
        <v>0240-12</v>
      </c>
      <c r="AE157" s="80" t="str">
        <f t="shared" si="60"/>
        <v>aws s3 cp s3://rtdc.mdm.uploadarchive.raw/RTDC4011/ "%USERPROFILE%\AppData\Local\Temp\OnboardLogs"\RTDC4011\2017-05-13 --exclude "*" --recursive --include "*20170513*" &amp; "%USERPROFILE%\Documents\GitHub\mrs-test-scripts\Headless Mode &amp; Sideloading\WalkAndUnGZ.bat" "%USERPROFILE%\AppData\Local\Temp\OnboardLogs"\RTDC4011\2017-05-13 &amp; aws s3 cp s3://rtdc.mdm.uploadarchive.raw/RTDC4011/ "%USERPROFILE%\AppData\Local\Temp\OnboardLogs"\RTDC4011\2017-05-14 --exclude "*" --recursive --include "*20170514*" &amp; "%USERPROFILE%\Documents\GitHub\mrs-test-scripts\Headless Mode &amp; Sideloading\WalkAndUnGZ.bat" "%USERPROFILE%\AppData\Local\Temp\OnboardLogs"\RTDC4011\2017-05-14</v>
      </c>
      <c r="AF157" s="77" t="str">
        <f t="shared" si="61"/>
        <v>"C:\Program Files (x86)\AstroGrep\AstroGrep.exe" /e /r /s /spath="%USERPROFILE%\AppData\Local\Temp\OnboardLogs" /stypes="app*4011*20170513*" /stext=" 07:.+((SYSTEM_STATE.+slice.+state.+changed )|(ment ac)|(multiple cpu faults)|(system.+state.+changed )|(\[timeout)|(PRM\|1\|D)|(kpr)|(kdp)|(train st.+moving)|(\|lc)|(penalty))"</v>
      </c>
      <c r="AG157" s="1" t="str">
        <f t="shared" si="62"/>
        <v>EC</v>
      </c>
      <c r="AH157" s="81" t="str">
        <f t="shared" si="63"/>
        <v>"%USERPROFILE%\Documents\GitHub\eaglep3\Utilities\RefineRTDCRunTimes.py" --tripid 240-12 --locoid 4011 --swversion DE.1.0.9.0 --startMP 204:233002 --initTime 2017-05-13T00:17:13 --startdatetime 2017-05-13T00:26:19 --delay 1 --endMP 204:160 --enddatetime 2017-05-13T01:06:37 --enforcementcount 0 &gt;&gt;C:\Users\stu\Documents\GitHub\eaglep3-reporting\EC\2017-05-12-refined-times.txt</v>
      </c>
      <c r="AI157" s="99" t="str">
        <f t="shared" si="64"/>
        <v>echo {"issue":{"subject":"","project_id":79,"tracker_id":40,"status_id":1,"priority_id":2,"assigned_to_id":23,"start_date":"2017-05-13","description":"","custom_fields":[{"id":1,"name":"Subdivision","value":"EC"},{"id":4,"name":"Milepost","value":"0.016"},{"id":17,"name":"Train ID","value":"240-12"},{"id":16,"name":"Locomotive ID","value":"4011"},{"id":130,"name":"Impact","value":""},{"id":150,"name":"Time of Event (Mountain Time)","value":"01:06:37"},{"id":151,"name":"Denver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5" t="str">
        <f t="shared" si="65"/>
        <v>start /low /b %USERPROFILE%\Documents\GitHub\eaglep3\Utilities\DownloadLogsFromS3.py --loco 4011 --day 2017-05-13</v>
      </c>
      <c r="AN157" s="154" t="str">
        <f t="shared" si="6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07:06:37"},{"id":29,"name":"Sharepoint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794</v>
      </c>
      <c r="B158" s="7">
        <v>4022</v>
      </c>
      <c r="C158" s="21" t="s">
        <v>206</v>
      </c>
      <c r="D158" s="21" t="s">
        <v>905</v>
      </c>
      <c r="E158" s="13">
        <v>42867.995416666665</v>
      </c>
      <c r="F158" s="13">
        <v>42868.000532407408</v>
      </c>
      <c r="G158" s="7">
        <v>1</v>
      </c>
      <c r="H158" s="21" t="s">
        <v>906</v>
      </c>
      <c r="I158" s="13">
        <v>42868.025196759256</v>
      </c>
      <c r="J158" s="7">
        <v>0</v>
      </c>
      <c r="K158" s="92" t="str">
        <f t="shared" si="51"/>
        <v>4021/4022</v>
      </c>
      <c r="L158" s="21" t="str">
        <f>VLOOKUP(A158,'Trips&amp;Operators'!$C$1:$G$99999,5,FALSE)</f>
        <v>MAGEE KENYA</v>
      </c>
      <c r="M158" s="6">
        <f t="shared" si="52"/>
        <v>2.4664351847604848E-2</v>
      </c>
      <c r="N158" s="7">
        <f t="shared" si="67"/>
        <v>35.516666660550982</v>
      </c>
      <c r="O158" s="7"/>
      <c r="P158" s="7"/>
      <c r="Q158" s="22"/>
      <c r="R158" s="190"/>
      <c r="S158" s="196">
        <f t="shared" si="68"/>
        <v>1</v>
      </c>
      <c r="T158" s="190" t="str">
        <f t="shared" si="53"/>
        <v>NorthBound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1" t="str">
        <f t="shared" si="54"/>
        <v>https://d0f6bd738d7f1b3e5a7ca70fe4ff75f0.us-east-1.aws.found.io/app/kibana#/discover/Steve-Slow-Train-Analysis-(2080s-and-2083s)?_g=(refreshInterval:(display:Off,pause:!f,section:0,value:0),time:(from:'2017-05-12T22:53:24-0600',mode:absolute,to:'2017-05-13T01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8" s="192" t="str">
        <f t="shared" si="55"/>
        <v>N</v>
      </c>
      <c r="X158" s="192">
        <f t="shared" si="48"/>
        <v>1</v>
      </c>
      <c r="Y158" s="192">
        <f t="shared" si="56"/>
        <v>4.7300000000000002E-2</v>
      </c>
      <c r="Z158" s="192">
        <f t="shared" si="57"/>
        <v>23.3339</v>
      </c>
      <c r="AA158" s="192">
        <f t="shared" si="58"/>
        <v>23.2866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59"/>
        <v>0241-12</v>
      </c>
      <c r="AE158" s="80" t="str">
        <f t="shared" si="60"/>
        <v>aws s3 cp s3://rtdc.mdm.uploadarchive.raw/RTDC4022/ "%USERPROFILE%\AppData\Local\Temp\OnboardLogs"\RTDC4022\2017-05-13 --exclude "*" --recursive --include "*20170513*" &amp; "%USERPROFILE%\Documents\GitHub\mrs-test-scripts\Headless Mode &amp; Sideloading\WalkAndUnGZ.bat" "%USERPROFILE%\AppData\Local\Temp\OnboardLogs"\RTDC4022\2017-05-13 &amp; aws s3 cp s3://rtdc.mdm.uploadarchive.raw/RTDC4022/ "%USERPROFILE%\AppData\Local\Temp\OnboardLogs"\RTDC4022\2017-05-14 --exclude "*" --recursive --include "*20170514*" &amp; "%USERPROFILE%\Documents\GitHub\mrs-test-scripts\Headless Mode &amp; Sideloading\WalkAndUnGZ.bat" "%USERPROFILE%\AppData\Local\Temp\OnboardLogs"\RTDC4022\2017-05-14</v>
      </c>
      <c r="AF158" s="77" t="str">
        <f t="shared" si="61"/>
        <v>"C:\Program Files (x86)\AstroGrep\AstroGrep.exe" /e /r /s /spath="%USERPROFILE%\AppData\Local\Temp\OnboardLogs" /stypes="app*4022*20170513*" /stext=" 06:.+((SYSTEM_STATE.+slice.+state.+changed )|(ment ac)|(multiple cpu faults)|(system.+state.+changed )|(\[timeout)|(PRM\|1\|D)|(kpr)|(kdp)|(train st.+moving)|(\|lc)|(penalty))"</v>
      </c>
      <c r="AG158" s="1" t="str">
        <f t="shared" si="62"/>
        <v>EC</v>
      </c>
      <c r="AH158" s="81" t="str">
        <f t="shared" si="63"/>
        <v>"%USERPROFILE%\Documents\GitHub\eaglep3\Utilities\RefineRTDCRunTimes.py" --tripid 241-12 --locoid 4022 --swversion DE.1.0.9.0 --startMP 204:473 --initTime 2017-05-12T23:53:24 --startdatetime 2017-05-13T00:00:46 --delay 1 --endMP 204:233339 --enddatetime 2017-05-13T00:36:17 --enforcementcount 0 &gt;&gt;C:\Users\stu\Documents\GitHub\eaglep3-reporting\EC\2017-05-12-refined-times.txt</v>
      </c>
      <c r="AI158" s="99" t="str">
        <f t="shared" si="64"/>
        <v>echo {"issue":{"subject":"","project_id":79,"tracker_id":40,"status_id":1,"priority_id":2,"assigned_to_id":23,"start_date":"2017-05-13","description":"","custom_fields":[{"id":1,"name":"Subdivision","value":"EC"},{"id":4,"name":"Milepost","value":"23.3339"},{"id":17,"name":"Train ID","value":"241-12"},{"id":16,"name":"Locomotive ID","value":"4022"},{"id":130,"name":"Impact","value":""},{"id":150,"name":"Time of Event (Mountain Time)","value":"00:36:17"},{"id":151,"name":"Denver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5" t="str">
        <f t="shared" si="65"/>
        <v>start /low /b %USERPROFILE%\Documents\GitHub\eaglep3\Utilities\DownloadLogsFromS3.py --loco 4022 --day 2017-05-13</v>
      </c>
      <c r="AN158" s="154" t="str">
        <f t="shared" si="6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06:36:17"},{"id":29,"name":"Sharepoint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599</v>
      </c>
      <c r="B159" s="7">
        <v>4021</v>
      </c>
      <c r="C159" s="21" t="s">
        <v>206</v>
      </c>
      <c r="D159" s="21" t="s">
        <v>907</v>
      </c>
      <c r="E159" s="13">
        <v>42868.029490740744</v>
      </c>
      <c r="F159" s="13">
        <v>42868.039155092592</v>
      </c>
      <c r="G159" s="7">
        <v>1</v>
      </c>
      <c r="H159" s="21" t="s">
        <v>368</v>
      </c>
      <c r="I159" s="13">
        <v>42868.066666666666</v>
      </c>
      <c r="J159" s="7">
        <v>0</v>
      </c>
      <c r="K159" s="92" t="str">
        <f t="shared" si="51"/>
        <v>4021/4022</v>
      </c>
      <c r="L159" s="21" t="str">
        <f>VLOOKUP(A159,'Trips&amp;Operators'!$C$1:$G$99999,5,FALSE)</f>
        <v>MAGEE KENYA</v>
      </c>
      <c r="M159" s="6">
        <f t="shared" si="52"/>
        <v>2.7511574073287193E-2</v>
      </c>
      <c r="N159" s="7">
        <f t="shared" si="67"/>
        <v>39.616666665533558</v>
      </c>
      <c r="O159" s="7"/>
      <c r="P159" s="7"/>
      <c r="Q159" s="22"/>
      <c r="R159" s="190"/>
      <c r="S159" s="196">
        <f t="shared" si="68"/>
        <v>1</v>
      </c>
      <c r="T159" s="190" t="str">
        <f t="shared" si="53"/>
        <v>Southbound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1" t="str">
        <f t="shared" si="54"/>
        <v>https://d0f6bd738d7f1b3e5a7ca70fe4ff75f0.us-east-1.aws.found.io/app/kibana#/discover/Steve-Slow-Train-Analysis-(2080s-and-2083s)?_g=(refreshInterval:(display:Off,pause:!f,section:0,value:0),time:(from:'2017-05-12T23:42:28-0600',mode:absolute,to:'2017-05-13T02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9" s="192" t="str">
        <f t="shared" si="55"/>
        <v>N</v>
      </c>
      <c r="X159" s="192">
        <f t="shared" si="48"/>
        <v>1</v>
      </c>
      <c r="Y159" s="192">
        <f t="shared" si="56"/>
        <v>23.3032</v>
      </c>
      <c r="Z159" s="192">
        <f t="shared" si="57"/>
        <v>1.5599999999999999E-2</v>
      </c>
      <c r="AA159" s="192">
        <f t="shared" si="58"/>
        <v>23.287600000000001</v>
      </c>
      <c r="AB159" s="57" t="str">
        <f>VLOOKUP(A159,Enforcements!$C$7:$K$13,8,0)</f>
        <v>Bulletin (2)</v>
      </c>
      <c r="AC159" s="53" t="str">
        <f>VLOOKUP(A159,Enforcements!$C$7:$E$13,3,0)</f>
        <v>GRADE CROSSING</v>
      </c>
      <c r="AD159" s="54" t="str">
        <f t="shared" si="59"/>
        <v>0242-12</v>
      </c>
      <c r="AE159" s="80" t="str">
        <f t="shared" si="60"/>
        <v>aws s3 cp s3://rtdc.mdm.uploadarchive.raw/RTDC4021/ "%USERPROFILE%\AppData\Local\Temp\OnboardLogs"\RTDC4021\2017-05-13 --exclude "*" --recursive --include "*20170513*" &amp; "%USERPROFILE%\Documents\GitHub\mrs-test-scripts\Headless Mode &amp; Sideloading\WalkAndUnGZ.bat" "%USERPROFILE%\AppData\Local\Temp\OnboardLogs"\RTDC4021\2017-05-13 &amp; aws s3 cp s3://rtdc.mdm.uploadarchive.raw/RTDC4021/ "%USERPROFILE%\AppData\Local\Temp\OnboardLogs"\RTDC4021\2017-05-14 --exclude "*" --recursive --include "*20170514*" &amp; "%USERPROFILE%\Documents\GitHub\mrs-test-scripts\Headless Mode &amp; Sideloading\WalkAndUnGZ.bat" "%USERPROFILE%\AppData\Local\Temp\OnboardLogs"\RTDC4021\2017-05-14</v>
      </c>
      <c r="AF159" s="77" t="str">
        <f t="shared" si="61"/>
        <v>"C:\Program Files (x86)\AstroGrep\AstroGrep.exe" /e /r /s /spath="%USERPROFILE%\AppData\Local\Temp\OnboardLogs" /stypes="app*4021*20170513*" /stext=" 07:.+((SYSTEM_STATE.+slice.+state.+changed )|(ment ac)|(multiple cpu faults)|(system.+state.+changed )|(\[timeout)|(PRM\|1\|D)|(kpr)|(kdp)|(train st.+moving)|(\|lc)|(penalty))"</v>
      </c>
      <c r="AG159" s="1" t="str">
        <f t="shared" si="62"/>
        <v>EC</v>
      </c>
      <c r="AH159" s="81" t="str">
        <f t="shared" si="63"/>
        <v>"%USERPROFILE%\Documents\GitHub\eaglep3\Utilities\RefineRTDCRunTimes.py" --tripid 242-12 --locoid 4021 --swversion DE.1.0.9.0 --startMP 204:233032 --initTime 2017-05-13T00:42:28 --startdatetime 2017-05-13T00:56:23 --delay 1 --endMP 204:156 --enddatetime 2017-05-13T01:36:00 --enforcementcount 0 &gt;&gt;C:\Users\stu\Documents\GitHub\eaglep3-reporting\EC\2017-05-12-refined-times.txt</v>
      </c>
      <c r="AI159" s="99" t="str">
        <f t="shared" si="64"/>
        <v>echo {"issue":{"subject":"","project_id":79,"tracker_id":40,"status_id":1,"priority_id":2,"assigned_to_id":23,"start_date":"2017-05-13","description":"","custom_fields":[{"id":1,"name":"Subdivision","value":"EC"},{"id":4,"name":"Milepost","value":"0.0156"},{"id":17,"name":"Train ID","value":"242-12"},{"id":16,"name":"Locomotive ID","value":"4021"},{"id":130,"name":"Impact","value":""},{"id":150,"name":"Time of Event (Mountain Time)","value":"01:36:00"},{"id":151,"name":"Denver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5" t="str">
        <f t="shared" si="65"/>
        <v>start /low /b %USERPROFILE%\Documents\GitHub\eaglep3\Utilities\DownloadLogsFromS3.py --loco 4021 --day 2017-05-13</v>
      </c>
      <c r="AN159" s="154" t="str">
        <f t="shared" si="6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07:36:00"},{"id":29,"name":"Sharepoint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796</v>
      </c>
      <c r="B160" s="7">
        <v>4016</v>
      </c>
      <c r="C160" s="21" t="s">
        <v>206</v>
      </c>
      <c r="D160" s="21" t="s">
        <v>370</v>
      </c>
      <c r="E160" s="13">
        <v>42868.004189814812</v>
      </c>
      <c r="F160" s="13">
        <v>42868.020995370367</v>
      </c>
      <c r="G160" s="7">
        <v>1</v>
      </c>
      <c r="H160" s="21" t="s">
        <v>390</v>
      </c>
      <c r="I160" s="13">
        <v>42868.045370370368</v>
      </c>
      <c r="J160" s="7">
        <v>0</v>
      </c>
      <c r="K160" s="92" t="str">
        <f t="shared" si="51"/>
        <v>4015/4016</v>
      </c>
      <c r="L160" s="21" t="str">
        <f>VLOOKUP(A160,'Trips&amp;Operators'!$C$1:$G$99999,5,FALSE)</f>
        <v>BIRENBAUM THOMAS</v>
      </c>
      <c r="M160" s="6">
        <f t="shared" si="52"/>
        <v>2.4375000000873115E-2</v>
      </c>
      <c r="N160" s="7">
        <f t="shared" si="67"/>
        <v>35.100000001257285</v>
      </c>
      <c r="O160" s="7"/>
      <c r="P160" s="7"/>
      <c r="Q160" s="22"/>
      <c r="R160" s="190"/>
      <c r="S160" s="196">
        <f t="shared" si="68"/>
        <v>1</v>
      </c>
      <c r="T160" s="190" t="str">
        <f t="shared" si="53"/>
        <v>NorthBound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91" t="str">
        <f t="shared" si="54"/>
        <v>https://d0f6bd738d7f1b3e5a7ca70fe4ff75f0.us-east-1.aws.found.io/app/kibana#/discover/Steve-Slow-Train-Analysis-(2080s-and-2083s)?_g=(refreshInterval:(display:Off,pause:!f,section:0,value:0),time:(from:'2017-05-12T23:06:02-0600',mode:absolute,to:'2017-05-13T02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0" s="192" t="str">
        <f t="shared" si="55"/>
        <v>N</v>
      </c>
      <c r="X160" s="192">
        <f t="shared" si="48"/>
        <v>1</v>
      </c>
      <c r="Y160" s="192">
        <f t="shared" si="56"/>
        <v>4.53E-2</v>
      </c>
      <c r="Z160" s="192">
        <f t="shared" si="57"/>
        <v>23.331199999999999</v>
      </c>
      <c r="AA160" s="192">
        <f t="shared" si="58"/>
        <v>23.285899999999998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59"/>
        <v>0243-12</v>
      </c>
      <c r="AE160" s="80" t="str">
        <f t="shared" si="60"/>
        <v>aws s3 cp s3://rtdc.mdm.uploadarchive.raw/RTDC4016/ "%USERPROFILE%\AppData\Local\Temp\OnboardLogs"\RTDC4016\2017-05-13 --exclude "*" --recursive --include "*20170513*" &amp; "%USERPROFILE%\Documents\GitHub\mrs-test-scripts\Headless Mode &amp; Sideloading\WalkAndUnGZ.bat" "%USERPROFILE%\AppData\Local\Temp\OnboardLogs"\RTDC4016\2017-05-13 &amp; aws s3 cp s3://rtdc.mdm.uploadarchive.raw/RTDC4016/ "%USERPROFILE%\AppData\Local\Temp\OnboardLogs"\RTDC4016\2017-05-14 --exclude "*" --recursive --include "*20170514*" &amp; "%USERPROFILE%\Documents\GitHub\mrs-test-scripts\Headless Mode &amp; Sideloading\WalkAndUnGZ.bat" "%USERPROFILE%\AppData\Local\Temp\OnboardLogs"\RTDC4016\2017-05-14</v>
      </c>
      <c r="AF160" s="77" t="str">
        <f t="shared" si="61"/>
        <v>"C:\Program Files (x86)\AstroGrep\AstroGrep.exe" /e /r /s /spath="%USERPROFILE%\AppData\Local\Temp\OnboardLogs" /stypes="app*4016*20170513*" /stext=" 07:.+((SYSTEM_STATE.+slice.+state.+changed )|(ment ac)|(multiple cpu faults)|(system.+state.+changed )|(\[timeout)|(PRM\|1\|D)|(kpr)|(kdp)|(train st.+moving)|(\|lc)|(penalty))"</v>
      </c>
      <c r="AG160" s="1" t="str">
        <f t="shared" si="62"/>
        <v>EC</v>
      </c>
      <c r="AH160" s="81" t="str">
        <f t="shared" si="63"/>
        <v>"%USERPROFILE%\Documents\GitHub\eaglep3\Utilities\RefineRTDCRunTimes.py" --tripid 243-12 --locoid 4016 --swversion DE.1.0.9.0 --startMP 204:453 --initTime 2017-05-13T00:06:02 --startdatetime 2017-05-13T00:30:14 --delay 1 --endMP 204:233312 --enddatetime 2017-05-13T01:05:20 --enforcementcount 0 &gt;&gt;C:\Users\stu\Documents\GitHub\eaglep3-reporting\EC\2017-05-12-refined-times.txt</v>
      </c>
      <c r="AI160" s="99" t="str">
        <f t="shared" si="64"/>
        <v>echo {"issue":{"subject":"","project_id":79,"tracker_id":40,"status_id":1,"priority_id":2,"assigned_to_id":23,"start_date":"2017-05-13","description":"","custom_fields":[{"id":1,"name":"Subdivision","value":"EC"},{"id":4,"name":"Milepost","value":"23.3312"},{"id":17,"name":"Train ID","value":"243-12"},{"id":16,"name":"Locomotive ID","value":"4016"},{"id":130,"name":"Impact","value":""},{"id":150,"name":"Time of Event (Mountain Time)","value":"01:05:20"},{"id":151,"name":"Denver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5" t="str">
        <f t="shared" si="65"/>
        <v>start /low /b %USERPROFILE%\Documents\GitHub\eaglep3\Utilities\DownloadLogsFromS3.py --loco 4016 --day 2017-05-13</v>
      </c>
      <c r="AN160" s="154" t="str">
        <f t="shared" si="6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07:05:20"},{"id":29,"name":"Sharepoint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800</v>
      </c>
      <c r="B161" s="7">
        <v>4015</v>
      </c>
      <c r="C161" s="21" t="s">
        <v>206</v>
      </c>
      <c r="D161" s="21" t="s">
        <v>840</v>
      </c>
      <c r="E161" s="13">
        <v>42868.053888888891</v>
      </c>
      <c r="F161" s="13">
        <v>42868.059849537036</v>
      </c>
      <c r="G161" s="7">
        <v>1</v>
      </c>
      <c r="H161" s="21" t="s">
        <v>368</v>
      </c>
      <c r="I161" s="13">
        <v>42868.085729166669</v>
      </c>
      <c r="J161" s="7">
        <v>0</v>
      </c>
      <c r="K161" s="92" t="str">
        <f t="shared" si="51"/>
        <v>4015/4016</v>
      </c>
      <c r="L161" s="21" t="str">
        <f>VLOOKUP(A161,'Trips&amp;Operators'!$C$1:$G$99999,5,FALSE)</f>
        <v>BIRENBAUM THOMAS</v>
      </c>
      <c r="M161" s="6">
        <f t="shared" si="52"/>
        <v>2.587962963298196E-2</v>
      </c>
      <c r="N161" s="7">
        <f t="shared" si="67"/>
        <v>37.266666671494022</v>
      </c>
      <c r="O161" s="7"/>
      <c r="P161" s="7"/>
      <c r="Q161" s="22"/>
      <c r="R161" s="190"/>
      <c r="S161" s="196">
        <f t="shared" si="68"/>
        <v>1</v>
      </c>
      <c r="T161" s="190" t="str">
        <f t="shared" si="53"/>
        <v>Southbound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91" t="str">
        <f t="shared" si="54"/>
        <v>https://d0f6bd738d7f1b3e5a7ca70fe4ff75f0.us-east-1.aws.found.io/app/kibana#/discover/Steve-Slow-Train-Analysis-(2080s-and-2083s)?_g=(refreshInterval:(display:Off,pause:!f,section:0,value:0),time:(from:'2017-05-13T00:17:36-0600',mode:absolute,to:'2017-05-13T03:03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1" s="192" t="str">
        <f t="shared" si="55"/>
        <v>N</v>
      </c>
      <c r="X161" s="192">
        <f t="shared" si="48"/>
        <v>1</v>
      </c>
      <c r="Y161" s="192">
        <f t="shared" si="56"/>
        <v>23.3004</v>
      </c>
      <c r="Z161" s="192">
        <f t="shared" si="57"/>
        <v>1.5599999999999999E-2</v>
      </c>
      <c r="AA161" s="192">
        <f t="shared" si="58"/>
        <v>23.284800000000001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59"/>
        <v>0244-12</v>
      </c>
      <c r="AE161" s="80" t="str">
        <f t="shared" si="60"/>
        <v>aws s3 cp s3://rtdc.mdm.uploadarchive.raw/RTDC4015/ "%USERPROFILE%\AppData\Local\Temp\OnboardLogs"\RTDC4015\2017-05-13 --exclude "*" --recursive --include "*20170513*" &amp; "%USERPROFILE%\Documents\GitHub\mrs-test-scripts\Headless Mode &amp; Sideloading\WalkAndUnGZ.bat" "%USERPROFILE%\AppData\Local\Temp\OnboardLogs"\RTDC4015\2017-05-13 &amp; aws s3 cp s3://rtdc.mdm.uploadarchive.raw/RTDC4015/ "%USERPROFILE%\AppData\Local\Temp\OnboardLogs"\RTDC4015\2017-05-14 --exclude "*" --recursive --include "*20170514*" &amp; "%USERPROFILE%\Documents\GitHub\mrs-test-scripts\Headless Mode &amp; Sideloading\WalkAndUnGZ.bat" "%USERPROFILE%\AppData\Local\Temp\OnboardLogs"\RTDC4015\2017-05-14</v>
      </c>
      <c r="AF161" s="77" t="str">
        <f t="shared" si="61"/>
        <v>"C:\Program Files (x86)\AstroGrep\AstroGrep.exe" /e /r /s /spath="%USERPROFILE%\AppData\Local\Temp\OnboardLogs" /stypes="app*4015*20170513*" /stext=" 08:.+((SYSTEM_STATE.+slice.+state.+changed )|(ment ac)|(multiple cpu faults)|(system.+state.+changed )|(\[timeout)|(PRM\|1\|D)|(kpr)|(kdp)|(train st.+moving)|(\|lc)|(penalty))"</v>
      </c>
      <c r="AG161" s="1" t="str">
        <f t="shared" si="62"/>
        <v>EC</v>
      </c>
      <c r="AH161" s="81" t="str">
        <f t="shared" si="63"/>
        <v>"%USERPROFILE%\Documents\GitHub\eaglep3\Utilities\RefineRTDCRunTimes.py" --tripid 244-12 --locoid 4015 --swversion DE.1.0.9.0 --startMP 204:233004 --initTime 2017-05-13T01:17:36 --startdatetime 2017-05-13T01:26:11 --delay 1 --endMP 204:156 --enddatetime 2017-05-13T02:03:27 --enforcementcount 0 &gt;&gt;C:\Users\stu\Documents\GitHub\eaglep3-reporting\EC\2017-05-12-refined-times.txt</v>
      </c>
      <c r="AI161" s="99" t="str">
        <f t="shared" si="64"/>
        <v>echo {"issue":{"subject":"","project_id":79,"tracker_id":40,"status_id":1,"priority_id":2,"assigned_to_id":23,"start_date":"2017-05-13","description":"","custom_fields":[{"id":1,"name":"Subdivision","value":"EC"},{"id":4,"name":"Milepost","value":"0.0156"},{"id":17,"name":"Train ID","value":"244-12"},{"id":16,"name":"Locomotive ID","value":"4015"},{"id":130,"name":"Impact","value":""},{"id":150,"name":"Time of Event (Mountain Time)","value":"02:03:27"},{"id":151,"name":"Denver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5" t="str">
        <f t="shared" si="65"/>
        <v>start /low /b %USERPROFILE%\Documents\GitHub\eaglep3\Utilities\DownloadLogsFromS3.py --loco 4015 --day 2017-05-13</v>
      </c>
      <c r="AN161" s="154" t="str">
        <f t="shared" si="6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08:03:27"},{"id":29,"name":"Sharepoint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798</v>
      </c>
      <c r="B162" s="7">
        <v>4046</v>
      </c>
      <c r="C162" s="21" t="s">
        <v>206</v>
      </c>
      <c r="D162" s="21" t="s">
        <v>367</v>
      </c>
      <c r="E162" s="13">
        <v>42868.037615740737</v>
      </c>
      <c r="F162" s="13">
        <v>42868.041875000003</v>
      </c>
      <c r="G162" s="7">
        <v>1</v>
      </c>
      <c r="H162" s="21" t="s">
        <v>908</v>
      </c>
      <c r="I162" s="13">
        <v>42868.067118055558</v>
      </c>
      <c r="J162" s="7">
        <v>0</v>
      </c>
      <c r="K162" s="92" t="str">
        <f t="shared" si="51"/>
        <v>4045/4046</v>
      </c>
      <c r="L162" s="21" t="str">
        <f>VLOOKUP(A162,'Trips&amp;Operators'!$C$1:$G$99999,5,FALSE)</f>
        <v>BROWN JACOB</v>
      </c>
      <c r="M162" s="6">
        <f t="shared" si="52"/>
        <v>2.5243055555620231E-2</v>
      </c>
      <c r="N162" s="7">
        <f t="shared" si="67"/>
        <v>36.350000000093132</v>
      </c>
      <c r="O162" s="7"/>
      <c r="P162" s="7"/>
      <c r="Q162" s="22"/>
      <c r="R162" s="190"/>
      <c r="S162" s="196">
        <f t="shared" si="68"/>
        <v>1</v>
      </c>
      <c r="T162" s="190" t="str">
        <f t="shared" si="53"/>
        <v>NorthBound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91" t="str">
        <f t="shared" si="54"/>
        <v>https://d0f6bd738d7f1b3e5a7ca70fe4ff75f0.us-east-1.aws.found.io/app/kibana#/discover/Steve-Slow-Train-Analysis-(2080s-and-2083s)?_g=(refreshInterval:(display:Off,pause:!f,section:0,value:0),time:(from:'2017-05-12T23:54:10-0600',mode:absolute,to:'2017-05-13T02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2" s="192" t="str">
        <f t="shared" si="55"/>
        <v>N</v>
      </c>
      <c r="X162" s="192">
        <f t="shared" si="48"/>
        <v>1</v>
      </c>
      <c r="Y162" s="192">
        <f t="shared" si="56"/>
        <v>4.6399999999999997E-2</v>
      </c>
      <c r="Z162" s="192">
        <f t="shared" si="57"/>
        <v>23.331499999999998</v>
      </c>
      <c r="AA162" s="192">
        <f t="shared" si="58"/>
        <v>23.2851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59"/>
        <v>0245-12</v>
      </c>
      <c r="AE162" s="80" t="str">
        <f t="shared" si="60"/>
        <v>aws s3 cp s3://rtdc.mdm.uploadarchive.raw/RTDC4046/ "%USERPROFILE%\AppData\Local\Temp\OnboardLogs"\RTDC4046\2017-05-13 --exclude "*" --recursive --include "*20170513*" &amp; "%USERPROFILE%\Documents\GitHub\mrs-test-scripts\Headless Mode &amp; Sideloading\WalkAndUnGZ.bat" "%USERPROFILE%\AppData\Local\Temp\OnboardLogs"\RTDC4046\2017-05-13 &amp; aws s3 cp s3://rtdc.mdm.uploadarchive.raw/RTDC4046/ "%USERPROFILE%\AppData\Local\Temp\OnboardLogs"\RTDC4046\2017-05-14 --exclude "*" --recursive --include "*20170514*" &amp; "%USERPROFILE%\Documents\GitHub\mrs-test-scripts\Headless Mode &amp; Sideloading\WalkAndUnGZ.bat" "%USERPROFILE%\AppData\Local\Temp\OnboardLogs"\RTDC4046\2017-05-14</v>
      </c>
      <c r="AF162" s="77" t="str">
        <f t="shared" si="61"/>
        <v>"C:\Program Files (x86)\AstroGrep\AstroGrep.exe" /e /r /s /spath="%USERPROFILE%\AppData\Local\Temp\OnboardLogs" /stypes="app*4046*20170513*" /stext=" 07:.+((SYSTEM_STATE.+slice.+state.+changed )|(ment ac)|(multiple cpu faults)|(system.+state.+changed )|(\[timeout)|(PRM\|1\|D)|(kpr)|(kdp)|(train st.+moving)|(\|lc)|(penalty))"</v>
      </c>
      <c r="AG162" s="1" t="str">
        <f t="shared" si="62"/>
        <v>EC</v>
      </c>
      <c r="AH162" s="81" t="str">
        <f t="shared" si="63"/>
        <v>"%USERPROFILE%\Documents\GitHub\eaglep3\Utilities\RefineRTDCRunTimes.py" --tripid 245-12 --locoid 4046 --swversion DE.1.0.9.0 --startMP 204:464 --initTime 2017-05-13T00:54:10 --startdatetime 2017-05-13T01:00:18 --delay 1 --endMP 204:233315 --enddatetime 2017-05-13T01:36:39 --enforcementcount 0 &gt;&gt;C:\Users\stu\Documents\GitHub\eaglep3-reporting\EC\2017-05-12-refined-times.txt</v>
      </c>
      <c r="AI162" s="99" t="str">
        <f t="shared" si="64"/>
        <v>echo {"issue":{"subject":"","project_id":79,"tracker_id":40,"status_id":1,"priority_id":2,"assigned_to_id":23,"start_date":"2017-05-13","description":"","custom_fields":[{"id":1,"name":"Subdivision","value":"EC"},{"id":4,"name":"Milepost","value":"23.3315"},{"id":17,"name":"Train ID","value":"245-12"},{"id":16,"name":"Locomotive ID","value":"4046"},{"id":130,"name":"Impact","value":""},{"id":150,"name":"Time of Event (Mountain Time)","value":"01:36:39"},{"id":151,"name":"Denver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5" t="str">
        <f t="shared" si="65"/>
        <v>start /low /b %USERPROFILE%\Documents\GitHub\eaglep3\Utilities\DownloadLogsFromS3.py --loco 4046 --day 2017-05-13</v>
      </c>
      <c r="AN162" s="154" t="str">
        <f t="shared" si="6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07:36:39"},{"id":29,"name":"Sharepoint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802</v>
      </c>
      <c r="B163" s="7">
        <v>4045</v>
      </c>
      <c r="C163" s="21" t="s">
        <v>206</v>
      </c>
      <c r="D163" s="21" t="s">
        <v>483</v>
      </c>
      <c r="E163" s="13">
        <v>42868.078449074077</v>
      </c>
      <c r="F163" s="13">
        <v>42868.080729166664</v>
      </c>
      <c r="G163" s="7">
        <v>1</v>
      </c>
      <c r="H163" s="21" t="s">
        <v>358</v>
      </c>
      <c r="I163" s="13">
        <v>42868.107604166667</v>
      </c>
      <c r="J163" s="7">
        <v>0</v>
      </c>
      <c r="K163" s="92" t="str">
        <f t="shared" si="51"/>
        <v>4045/4046</v>
      </c>
      <c r="L163" s="21" t="str">
        <f>VLOOKUP(A163,'Trips&amp;Operators'!$C$1:$G$99999,5,FALSE)</f>
        <v>BROWN JACOB</v>
      </c>
      <c r="M163" s="6">
        <f t="shared" si="52"/>
        <v>2.6875000003201421E-2</v>
      </c>
      <c r="N163" s="7">
        <f t="shared" si="67"/>
        <v>38.700000004610047</v>
      </c>
      <c r="O163" s="7"/>
      <c r="P163" s="7"/>
      <c r="Q163" s="22"/>
      <c r="R163" s="190"/>
      <c r="S163" s="196">
        <f t="shared" si="68"/>
        <v>1</v>
      </c>
      <c r="T163" s="190" t="str">
        <f t="shared" si="53"/>
        <v>Southbound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191" t="str">
        <f t="shared" si="54"/>
        <v>https://d0f6bd738d7f1b3e5a7ca70fe4ff75f0.us-east-1.aws.found.io/app/kibana#/discover/Steve-Slow-Train-Analysis-(2080s-and-2083s)?_g=(refreshInterval:(display:Off,pause:!f,section:0,value:0),time:(from:'2017-05-13T00:52:58-0600',mode:absolute,to:'2017-05-13T03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3" s="192" t="str">
        <f t="shared" si="55"/>
        <v>N</v>
      </c>
      <c r="X163" s="192">
        <f t="shared" si="48"/>
        <v>1</v>
      </c>
      <c r="Y163" s="192">
        <f t="shared" si="56"/>
        <v>23.300599999999999</v>
      </c>
      <c r="Z163" s="192">
        <f t="shared" si="57"/>
        <v>1.4999999999999999E-2</v>
      </c>
      <c r="AA163" s="192">
        <f t="shared" si="58"/>
        <v>23.285599999999999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59"/>
        <v>0246-12</v>
      </c>
      <c r="AE163" s="80" t="str">
        <f t="shared" si="60"/>
        <v>aws s3 cp s3://rtdc.mdm.uploadarchive.raw/RTDC4045/ "%USERPROFILE%\AppData\Local\Temp\OnboardLogs"\RTDC4045\2017-05-13 --exclude "*" --recursive --include "*20170513*" &amp; "%USERPROFILE%\Documents\GitHub\mrs-test-scripts\Headless Mode &amp; Sideloading\WalkAndUnGZ.bat" "%USERPROFILE%\AppData\Local\Temp\OnboardLogs"\RTDC4045\2017-05-13 &amp; aws s3 cp s3://rtdc.mdm.uploadarchive.raw/RTDC4045/ "%USERPROFILE%\AppData\Local\Temp\OnboardLogs"\RTDC4045\2017-05-14 --exclude "*" --recursive --include "*20170514*" &amp; "%USERPROFILE%\Documents\GitHub\mrs-test-scripts\Headless Mode &amp; Sideloading\WalkAndUnGZ.bat" "%USERPROFILE%\AppData\Local\Temp\OnboardLogs"\RTDC4045\2017-05-14</v>
      </c>
      <c r="AF163" s="77" t="str">
        <f t="shared" si="61"/>
        <v>"C:\Program Files (x86)\AstroGrep\AstroGrep.exe" /e /r /s /spath="%USERPROFILE%\AppData\Local\Temp\OnboardLogs" /stypes="app*4045*20170513*" /stext=" 08:.+((SYSTEM_STATE.+slice.+state.+changed )|(ment ac)|(multiple cpu faults)|(system.+state.+changed )|(\[timeout)|(PRM\|1\|D)|(kpr)|(kdp)|(train st.+moving)|(\|lc)|(penalty))"</v>
      </c>
      <c r="AG163" s="1" t="str">
        <f t="shared" si="62"/>
        <v>EC</v>
      </c>
      <c r="AH163" s="81" t="str">
        <f t="shared" si="63"/>
        <v>"%USERPROFILE%\Documents\GitHub\eaglep3\Utilities\RefineRTDCRunTimes.py" --tripid 246-12 --locoid 4045 --swversion DE.1.0.9.0 --startMP 204:233006 --initTime 2017-05-13T01:52:58 --startdatetime 2017-05-13T01:56:15 --delay 1 --endMP 204:150 --enddatetime 2017-05-13T02:34:57 --enforcementcount 0 &gt;&gt;C:\Users\stu\Documents\GitHub\eaglep3-reporting\EC\2017-05-12-refined-times.txt</v>
      </c>
      <c r="AI163" s="99" t="str">
        <f t="shared" si="64"/>
        <v>echo {"issue":{"subject":"","project_id":79,"tracker_id":40,"status_id":1,"priority_id":2,"assigned_to_id":23,"start_date":"2017-05-13","description":"","custom_fields":[{"id":1,"name":"Subdivision","value":"EC"},{"id":4,"name":"Milepost","value":"0.015"},{"id":17,"name":"Train ID","value":"246-12"},{"id":16,"name":"Locomotive ID","value":"4045"},{"id":130,"name":"Impact","value":""},{"id":150,"name":"Time of Event (Mountain Time)","value":"02:34:57"},{"id":151,"name":"Denver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65"/>
        <v>start /low /b %USERPROFILE%\Documents\GitHub\eaglep3\Utilities\DownloadLogsFromS3.py --loco 4045 --day 2017-05-13</v>
      </c>
      <c r="AN163" s="154" t="str">
        <f t="shared" si="6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08:34:57"},{"id":29,"name":"Sharepoint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617</v>
      </c>
      <c r="B164" s="7">
        <v>4051</v>
      </c>
      <c r="C164" s="21" t="s">
        <v>206</v>
      </c>
      <c r="D164" s="21" t="s">
        <v>962</v>
      </c>
      <c r="E164" s="13">
        <v>42867.210011574076</v>
      </c>
      <c r="F164" s="13">
        <v>42867.211898148147</v>
      </c>
      <c r="G164" s="7">
        <v>1</v>
      </c>
      <c r="H164" s="21" t="s">
        <v>536</v>
      </c>
      <c r="I164" s="13">
        <v>42867.225254629629</v>
      </c>
      <c r="J164" s="7">
        <v>0</v>
      </c>
      <c r="K164" s="92" t="str">
        <f t="shared" si="51"/>
        <v>4051/4052</v>
      </c>
      <c r="L164" s="21" t="str">
        <f>VLOOKUP(A164,'Trips&amp;Operators'!$C$1:$G$99999,5,FALSE)</f>
        <v>GEBRETEKLE DAGNEW</v>
      </c>
      <c r="M164" s="6">
        <f t="shared" si="52"/>
        <v>1.3356481482333038E-2</v>
      </c>
      <c r="N164" s="7">
        <f t="shared" si="67"/>
        <v>19.233333334559575</v>
      </c>
      <c r="O164" s="7"/>
      <c r="P164" s="7"/>
      <c r="Q164" s="22"/>
      <c r="R164" s="190"/>
      <c r="S164" s="196">
        <f t="shared" si="68"/>
        <v>1</v>
      </c>
      <c r="T164" s="190" t="str">
        <f t="shared" si="53"/>
        <v>Southbound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1" t="str">
        <f t="shared" si="54"/>
        <v>https://d0f6bd738d7f1b3e5a7ca70fe4ff75f0.us-east-1.aws.found.io/app/kibana#/discover/Steve-Slow-Train-Analysis-(2080s-and-2083s)?_g=(refreshInterval:(display:Off,pause:!f,section:0,value:0),time:(from:'2017-05-12T04:02:25-0600',mode:absolute,to:'2017-05-12T06:24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4" s="192" t="str">
        <f t="shared" si="55"/>
        <v>N</v>
      </c>
      <c r="X164" s="192">
        <f t="shared" si="48"/>
        <v>554</v>
      </c>
      <c r="Y164" s="192">
        <f t="shared" si="56"/>
        <v>5.8659999999999997</v>
      </c>
      <c r="Z164" s="192">
        <f t="shared" si="57"/>
        <v>7.0499999999999993E-2</v>
      </c>
      <c r="AA164" s="192">
        <f t="shared" si="58"/>
        <v>5.7954999999999997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59"/>
        <v>0800-12</v>
      </c>
      <c r="AE164" s="80" t="str">
        <f t="shared" si="60"/>
        <v>aws s3 cp s3://rtdc.mdm.uploadarchive.raw/RTDC4051/ "%USERPROFILE%\AppData\Local\Temp\OnboardLogs"\RTDC4051\2017-05-12 --exclude "*" --recursive --include "*20170512*" &amp; "%USERPROFILE%\Documents\GitHub\mrs-test-scripts\Headless Mode &amp; Sideloading\WalkAndUnGZ.bat" "%USERPROFILE%\AppData\Local\Temp\OnboardLogs"\RTDC4051\2017-05-12 &amp; aws s3 cp s3://rtdc.mdm.uploadarchive.raw/RTDC4051/ "%USERPROFILE%\AppData\Local\Temp\OnboardLogs"\RTDC4051\2017-05-13 --exclude "*" --recursive --include "*20170513*" &amp; "%USERPROFILE%\Documents\GitHub\mrs-test-scripts\Headless Mode &amp; Sideloading\WalkAndUnGZ.bat" "%USERPROFILE%\AppData\Local\Temp\OnboardLogs"\RTDC4051\2017-05-13</v>
      </c>
      <c r="AF164" s="77" t="str">
        <f t="shared" si="61"/>
        <v>"C:\Program Files (x86)\AstroGrep\AstroGrep.exe" /e /r /s /spath="%USERPROFILE%\AppData\Local\Temp\OnboardLogs" /stypes="app*4051*20170512*" /stext=" 11:.+((SYSTEM_STATE.+slice.+state.+changed )|(ment ac)|(multiple cpu faults)|(system.+state.+changed )|(\[timeout)|(PRM\|1\|D)|(kpr)|(kdp)|(train st.+moving)|(\|lc)|(penalty))"</v>
      </c>
      <c r="AG164" s="1" t="str">
        <f t="shared" si="62"/>
        <v>NW</v>
      </c>
      <c r="AH164" s="81" t="str">
        <f t="shared" si="63"/>
        <v>"%USERPROFILE%\Documents\GitHub\eaglep3\Utilities\RefineRTDCRunTimes.py" --tripid 800-12 --locoid 4051 --swversion DE.1.0.9.0 --startMP 300:58660 --initTime 2017-05-12T05:02:25 --startdatetime 2017-05-12T05:05:08 --delay 1 --endMP 204:705 --enddatetime 2017-05-12T05:24:22 --enforcementcount 0 &gt;&gt;C:\Users\stu\Documents\GitHub\eaglep3-reporting\EC\2017-05-12-refined-times.txt</v>
      </c>
      <c r="AI164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{"issue":{"subject":"","project_id":79,"tracker_id":40,"status_id":1,"priority_id":2,"assigned_to_id":23,"start_date":"2017-05-12","description":"","custom_fields":[{"id":1,"name":"Subdivision","value":"NW"},{"id":4,"name":"Milepost","value":"0.0705"},{"id":17,"name":"Train ID","value":"800-12"},{"id":16,"name":"Locomotive ID","value":"4051"},{"id":130,"name":"Impact","value":""},{"id":150,"name":"Time of Event (Mountain Time)","value":"05:24:22"},{"id":151,"name":"Denver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5" t="str">
        <f t="shared" si="65"/>
        <v>start /low /b %USERPROFILE%\Documents\GitHub\eaglep3\Utilities\DownloadLogsFromS3.py --loco 4051 --day 2017-05-12</v>
      </c>
      <c r="AN164" s="154" t="str">
        <f t="shared" si="66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11:24:22"},{"id":29,"name":"Sharepoint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620</v>
      </c>
      <c r="B165" s="7">
        <v>4052</v>
      </c>
      <c r="C165" s="21" t="s">
        <v>206</v>
      </c>
      <c r="D165" s="21" t="s">
        <v>963</v>
      </c>
      <c r="E165" s="13">
        <v>42867.226770833331</v>
      </c>
      <c r="F165" s="13">
        <v>42867.243958333333</v>
      </c>
      <c r="G165" s="7">
        <v>1</v>
      </c>
      <c r="H165" s="21" t="s">
        <v>964</v>
      </c>
      <c r="I165" s="13">
        <v>42867.253125000003</v>
      </c>
      <c r="J165" s="7">
        <v>0</v>
      </c>
      <c r="K165" s="92" t="str">
        <f t="shared" si="51"/>
        <v>4051/4052</v>
      </c>
      <c r="L165" s="21" t="str">
        <f>VLOOKUP(A165,'Trips&amp;Operators'!$C$1:$G$99999,5,FALSE)</f>
        <v>GEBRETEKLE DAGNEW</v>
      </c>
      <c r="M165" s="6">
        <f t="shared" si="52"/>
        <v>9.1666666703531519E-3</v>
      </c>
      <c r="N165" s="7">
        <f t="shared" si="67"/>
        <v>13.200000005308539</v>
      </c>
      <c r="O165" s="7"/>
      <c r="P165" s="7"/>
      <c r="Q165" s="22"/>
      <c r="R165" s="190"/>
      <c r="S165" s="196">
        <f t="shared" si="68"/>
        <v>1</v>
      </c>
      <c r="T165" s="190" t="str">
        <f t="shared" si="53"/>
        <v>NorthBound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1" t="str">
        <f t="shared" si="54"/>
        <v>https://d0f6bd738d7f1b3e5a7ca70fe4ff75f0.us-east-1.aws.found.io/app/kibana#/discover/Steve-Slow-Train-Analysis-(2080s-and-2083s)?_g=(refreshInterval:(display:Off,pause:!f,section:0,value:0),time:(from:'2017-05-12T04:26:33-0600',mode:absolute,to:'2017-05-12T07:04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5" s="192" t="str">
        <f t="shared" si="55"/>
        <v>N</v>
      </c>
      <c r="X165" s="192">
        <f t="shared" si="48"/>
        <v>1</v>
      </c>
      <c r="Y165" s="192">
        <f t="shared" si="56"/>
        <v>9.9900000000000003E-2</v>
      </c>
      <c r="Z165" s="192">
        <f t="shared" si="57"/>
        <v>5.8983999999999996</v>
      </c>
      <c r="AA165" s="192">
        <f t="shared" si="58"/>
        <v>5.7984999999999998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59"/>
        <v>0801-12</v>
      </c>
      <c r="AE165" s="80" t="str">
        <f t="shared" si="60"/>
        <v>aws s3 cp s3://rtdc.mdm.uploadarchive.raw/RTDC4052/ "%USERPROFILE%\AppData\Local\Temp\OnboardLogs"\RTDC4052\2017-05-12 --exclude "*" --recursive --include "*20170512*" &amp; "%USERPROFILE%\Documents\GitHub\mrs-test-scripts\Headless Mode &amp; Sideloading\WalkAndUnGZ.bat" "%USERPROFILE%\AppData\Local\Temp\OnboardLogs"\RTDC4052\2017-05-12 &amp; aws s3 cp s3://rtdc.mdm.uploadarchive.raw/RTDC4052/ "%USERPROFILE%\AppData\Local\Temp\OnboardLogs"\RTDC4052\2017-05-13 --exclude "*" --recursive --include "*20170513*" &amp; "%USERPROFILE%\Documents\GitHub\mrs-test-scripts\Headless Mode &amp; Sideloading\WalkAndUnGZ.bat" "%USERPROFILE%\AppData\Local\Temp\OnboardLogs"\RTDC4052\2017-05-13</v>
      </c>
      <c r="AF165" s="77" t="str">
        <f t="shared" si="61"/>
        <v>"C:\Program Files (x86)\AstroGrep\AstroGrep.exe" /e /r /s /spath="%USERPROFILE%\AppData\Local\Temp\OnboardLogs" /stypes="app*4052*20170512*" /stext=" 12:.+((SYSTEM_STATE.+slice.+state.+changed )|(ment ac)|(multiple cpu faults)|(system.+state.+changed )|(\[timeout)|(PRM\|1\|D)|(kpr)|(kdp)|(train st.+moving)|(\|lc)|(penalty))"</v>
      </c>
      <c r="AG165" s="1" t="str">
        <f t="shared" si="62"/>
        <v>NW</v>
      </c>
      <c r="AH165" s="81" t="str">
        <f t="shared" si="63"/>
        <v>"%USERPROFILE%\Documents\GitHub\eaglep3\Utilities\RefineRTDCRunTimes.py" --tripid 801-12 --locoid 4052 --swversion DE.1.0.9.0 --startMP 204:999 --initTime 2017-05-12T05:26:33 --startdatetime 2017-05-12T05:51:18 --delay 1 --endMP 300:58984 --enddatetime 2017-05-12T06:04:30 --enforcementcount 0 &gt;&gt;C:\Users\stu\Documents\GitHub\eaglep3-reporting\EC\2017-05-12-refined-times.txt</v>
      </c>
      <c r="AI165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{"issue":{"subject":"","project_id":79,"tracker_id":40,"status_id":1,"priority_id":2,"assigned_to_id":23,"start_date":"2017-05-12","description":"","custom_fields":[{"id":1,"name":"Subdivision","value":"NW"},{"id":4,"name":"Milepost","value":"5.8984"},{"id":17,"name":"Train ID","value":"801-12"},{"id":16,"name":"Locomotive ID","value":"4052"},{"id":130,"name":"Impact","value":""},{"id":150,"name":"Time of Event (Mountain Time)","value":"06:04:30"},{"id":151,"name":"Denver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5" t="str">
        <f t="shared" si="65"/>
        <v>start /low /b %USERPROFILE%\Documents\GitHub\eaglep3\Utilities\DownloadLogsFromS3.py --loco 4052 --day 2017-05-12</v>
      </c>
      <c r="AN165" s="154" t="str">
        <f t="shared" si="66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12:04:30"},{"id":29,"name":"Sharepoint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x14ac:dyDescent="0.25">
      <c r="A166" s="32" t="s">
        <v>630</v>
      </c>
      <c r="B166" s="7">
        <v>4051</v>
      </c>
      <c r="C166" s="21" t="s">
        <v>206</v>
      </c>
      <c r="D166" s="21" t="s">
        <v>965</v>
      </c>
      <c r="E166" s="13">
        <v>42867.254270833335</v>
      </c>
      <c r="F166" s="13">
        <v>42867.25571759259</v>
      </c>
      <c r="G166" s="7">
        <v>1</v>
      </c>
      <c r="H166" s="21" t="s">
        <v>966</v>
      </c>
      <c r="I166" s="13">
        <v>42867.26730324074</v>
      </c>
      <c r="J166" s="7">
        <v>0</v>
      </c>
      <c r="K166" s="92" t="str">
        <f t="shared" si="51"/>
        <v>4051/4052</v>
      </c>
      <c r="L166" s="21" t="str">
        <f>VLOOKUP(A166,'Trips&amp;Operators'!$C$1:$G$99999,5,FALSE)</f>
        <v>GEBRETEKLE DAGNEW</v>
      </c>
      <c r="M166" s="6">
        <f t="shared" si="52"/>
        <v>1.1585648149775807E-2</v>
      </c>
      <c r="N166" s="7">
        <f t="shared" si="67"/>
        <v>16.683333335677162</v>
      </c>
      <c r="O166" s="7"/>
      <c r="P166" s="7"/>
      <c r="Q166" s="22"/>
      <c r="R166" s="190"/>
      <c r="S166" s="196">
        <f t="shared" si="68"/>
        <v>1</v>
      </c>
      <c r="T166" s="190" t="str">
        <f t="shared" si="53"/>
        <v>Southbound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 t="shared" si="54"/>
        <v>https://d0f6bd738d7f1b3e5a7ca70fe4ff75f0.us-east-1.aws.found.io/app/kibana#/discover/Steve-Slow-Train-Analysis-(2080s-and-2083s)?_g=(refreshInterval:(display:Off,pause:!f,section:0,value:0),time:(from:'2017-05-12T05:06:09-0600',mode:absolute,to:'2017-05-12T07:24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6" s="192" t="str">
        <f t="shared" si="55"/>
        <v>N</v>
      </c>
      <c r="X166" s="192">
        <f t="shared" si="48"/>
        <v>1</v>
      </c>
      <c r="Y166" s="192">
        <f t="shared" si="56"/>
        <v>5.8667999999999996</v>
      </c>
      <c r="Z166" s="192">
        <f t="shared" si="57"/>
        <v>7.0999999999999994E-2</v>
      </c>
      <c r="AA166" s="192">
        <f t="shared" si="58"/>
        <v>5.7957999999999998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59"/>
        <v>0802-12</v>
      </c>
      <c r="AE166" s="80" t="str">
        <f t="shared" si="60"/>
        <v>aws s3 cp s3://rtdc.mdm.uploadarchive.raw/RTDC4051/ "%USERPROFILE%\AppData\Local\Temp\OnboardLogs"\RTDC4051\2017-05-12 --exclude "*" --recursive --include "*20170512*" &amp; "%USERPROFILE%\Documents\GitHub\mrs-test-scripts\Headless Mode &amp; Sideloading\WalkAndUnGZ.bat" "%USERPROFILE%\AppData\Local\Temp\OnboardLogs"\RTDC4051\2017-05-12 &amp; aws s3 cp s3://rtdc.mdm.uploadarchive.raw/RTDC4051/ "%USERPROFILE%\AppData\Local\Temp\OnboardLogs"\RTDC4051\2017-05-13 --exclude "*" --recursive --include "*20170513*" &amp; "%USERPROFILE%\Documents\GitHub\mrs-test-scripts\Headless Mode &amp; Sideloading\WalkAndUnGZ.bat" "%USERPROFILE%\AppData\Local\Temp\OnboardLogs"\RTDC4051\2017-05-13</v>
      </c>
      <c r="AF166" s="77" t="str">
        <f t="shared" si="61"/>
        <v>"C:\Program Files (x86)\AstroGrep\AstroGrep.exe" /e /r /s /spath="%USERPROFILE%\AppData\Local\Temp\OnboardLogs" /stypes="app*4051*20170512*" /stext=" 12:.+((SYSTEM_STATE.+slice.+state.+changed )|(ment ac)|(multiple cpu faults)|(system.+state.+changed )|(\[timeout)|(PRM\|1\|D)|(kpr)|(kdp)|(train st.+moving)|(\|lc)|(penalty))"</v>
      </c>
      <c r="AG166" s="1" t="str">
        <f t="shared" si="62"/>
        <v>NW</v>
      </c>
      <c r="AH166" s="81" t="str">
        <f t="shared" si="63"/>
        <v>"%USERPROFILE%\Documents\GitHub\eaglep3\Utilities\RefineRTDCRunTimes.py" --tripid 802-12 --locoid 4051 --swversion DE.1.0.9.0 --startMP 300:58668 --initTime 2017-05-12T06:06:09 --startdatetime 2017-05-12T06:08:14 --delay 1 --endMP 204:710 --enddatetime 2017-05-12T06:24:55 --enforcementcount 0 &gt;&gt;C:\Users\stu\Documents\GitHub\eaglep3-reporting\EC\2017-05-12-refined-times.txt</v>
      </c>
      <c r="AI166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{"issue":{"subject":"","project_id":79,"tracker_id":40,"status_id":1,"priority_id":2,"assigned_to_id":23,"start_date":"2017-05-12","description":"","custom_fields":[{"id":1,"name":"Subdivision","value":"NW"},{"id":4,"name":"Milepost","value":"0.071"},{"id":17,"name":"Train ID","value":"802-12"},{"id":16,"name":"Locomotive ID","value":"4051"},{"id":130,"name":"Impact","value":""},{"id":150,"name":"Time of Event (Mountain Time)","value":"06:24:55"},{"id":151,"name":"Denver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5" t="str">
        <f t="shared" si="65"/>
        <v>start /low /b %USERPROFILE%\Documents\GitHub\eaglep3\Utilities\DownloadLogsFromS3.py --loco 4051 --day 2017-05-12</v>
      </c>
      <c r="AN166" s="154" t="str">
        <f t="shared" si="66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12:24:55"},{"id":29,"name":"Sharepoint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2" t="s">
        <v>627</v>
      </c>
      <c r="B167" s="7">
        <v>4002</v>
      </c>
      <c r="C167" s="21" t="s">
        <v>206</v>
      </c>
      <c r="D167" s="21" t="s">
        <v>967</v>
      </c>
      <c r="E167" s="13">
        <v>42867.251423611109</v>
      </c>
      <c r="F167" s="13">
        <v>42867.264826388891</v>
      </c>
      <c r="G167" s="7">
        <v>1</v>
      </c>
      <c r="H167" s="21" t="s">
        <v>539</v>
      </c>
      <c r="I167" s="13">
        <v>42867.274780092594</v>
      </c>
      <c r="J167" s="7">
        <v>0</v>
      </c>
      <c r="K167" s="92" t="str">
        <f t="shared" si="51"/>
        <v>4001/4002</v>
      </c>
      <c r="L167" s="21" t="str">
        <f>VLOOKUP(A167,'Trips&amp;Operators'!$C$1:$G$99999,5,FALSE)</f>
        <v>MACDONALD THOMAS</v>
      </c>
      <c r="M167" s="6">
        <f t="shared" si="52"/>
        <v>9.9537037021946162E-3</v>
      </c>
      <c r="N167" s="7">
        <f t="shared" si="67"/>
        <v>14.333333331160247</v>
      </c>
      <c r="O167" s="7"/>
      <c r="P167" s="7"/>
      <c r="Q167" s="22"/>
      <c r="R167" s="190"/>
      <c r="S167" s="196">
        <f t="shared" si="68"/>
        <v>1</v>
      </c>
      <c r="T167" s="190" t="str">
        <f t="shared" si="53"/>
        <v>NorthBound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1" t="str">
        <f t="shared" si="54"/>
        <v>https://d0f6bd738d7f1b3e5a7ca70fe4ff75f0.us-east-1.aws.found.io/app/kibana#/discover/Steve-Slow-Train-Analysis-(2080s-and-2083s)?_g=(refreshInterval:(display:Off,pause:!f,section:0,value:0),time:(from:'2017-05-12T05:02:03-0600',mode:absolute,to:'2017-05-12T07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7" s="192" t="str">
        <f t="shared" si="55"/>
        <v>N</v>
      </c>
      <c r="X167" s="192">
        <f t="shared" si="48"/>
        <v>1</v>
      </c>
      <c r="Y167" s="192">
        <f t="shared" si="56"/>
        <v>8.9899999999999994E-2</v>
      </c>
      <c r="Z167" s="192">
        <f t="shared" si="57"/>
        <v>5.8948</v>
      </c>
      <c r="AA167" s="192">
        <f t="shared" si="58"/>
        <v>5.8048999999999999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59"/>
        <v>0803-12</v>
      </c>
      <c r="AE167" s="80" t="str">
        <f t="shared" si="60"/>
        <v>aws s3 cp s3://rtdc.mdm.uploadarchive.raw/RTDC4002/ "%USERPROFILE%\AppData\Local\Temp\OnboardLogs"\RTDC4002\2017-05-12 --exclude "*" --recursive --include "*20170512*" &amp; "%USERPROFILE%\Documents\GitHub\mrs-test-scripts\Headless Mode &amp; Sideloading\WalkAndUnGZ.bat" "%USERPROFILE%\AppData\Local\Temp\OnboardLogs"\RTDC4002\2017-05-12 &amp; aws s3 cp s3://rtdc.mdm.uploadarchive.raw/RTDC4002/ "%USERPROFILE%\AppData\Local\Temp\OnboardLogs"\RTDC4002\2017-05-13 --exclude "*" --recursive --include "*20170513*" &amp; "%USERPROFILE%\Documents\GitHub\mrs-test-scripts\Headless Mode &amp; Sideloading\WalkAndUnGZ.bat" "%USERPROFILE%\AppData\Local\Temp\OnboardLogs"\RTDC4002\2017-05-13</v>
      </c>
      <c r="AF167" s="77" t="str">
        <f t="shared" si="61"/>
        <v>"C:\Program Files (x86)\AstroGrep\AstroGrep.exe" /e /r /s /spath="%USERPROFILE%\AppData\Local\Temp\OnboardLogs" /stypes="app*4002*20170512*" /stext=" 12:.+((SYSTEM_STATE.+slice.+state.+changed )|(ment ac)|(multiple cpu faults)|(system.+state.+changed )|(\[timeout)|(PRM\|1\|D)|(kpr)|(kdp)|(train st.+moving)|(\|lc)|(penalty))"</v>
      </c>
      <c r="AG167" s="1" t="str">
        <f t="shared" si="62"/>
        <v>NW</v>
      </c>
      <c r="AH167" s="81" t="str">
        <f t="shared" si="63"/>
        <v>"%USERPROFILE%\Documents\GitHub\eaglep3\Utilities\RefineRTDCRunTimes.py" --tripid 803-12 --locoid 4002 --swversion DE.1.0.9.0 --startMP 204:899 --initTime 2017-05-12T06:02:03 --startdatetime 2017-05-12T06:21:21 --delay 1 --endMP 300:58948 --enddatetime 2017-05-12T06:35:41 --enforcementcount 0 &gt;&gt;C:\Users\stu\Documents\GitHub\eaglep3-reporting\EC\2017-05-12-refined-times.txt</v>
      </c>
      <c r="AI167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{"issue":{"subject":"","project_id":79,"tracker_id":40,"status_id":1,"priority_id":2,"assigned_to_id":23,"start_date":"2017-05-12","description":"","custom_fields":[{"id":1,"name":"Subdivision","value":"NW"},{"id":4,"name":"Milepost","value":"5.8948"},{"id":17,"name":"Train ID","value":"803-12"},{"id":16,"name":"Locomotive ID","value":"4002"},{"id":130,"name":"Impact","value":""},{"id":150,"name":"Time of Event (Mountain Time)","value":"06:35:41"},{"id":151,"name":"Denver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5" t="str">
        <f t="shared" si="65"/>
        <v>start /low /b %USERPROFILE%\Documents\GitHub\eaglep3\Utilities\DownloadLogsFromS3.py --loco 4002 --day 2017-05-12</v>
      </c>
      <c r="AN167" s="154" t="str">
        <f t="shared" si="66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12:35:41"},{"id":29,"name":"Sharepoint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x14ac:dyDescent="0.25">
      <c r="A168" s="32" t="s">
        <v>563</v>
      </c>
      <c r="B168" s="7">
        <v>4001</v>
      </c>
      <c r="C168" s="21" t="s">
        <v>206</v>
      </c>
      <c r="D168" s="21" t="s">
        <v>462</v>
      </c>
      <c r="E168" s="13">
        <v>42867.275509259256</v>
      </c>
      <c r="F168" s="13">
        <v>42867.276585648149</v>
      </c>
      <c r="G168" s="7">
        <v>1</v>
      </c>
      <c r="H168" s="21" t="s">
        <v>968</v>
      </c>
      <c r="I168" s="13">
        <v>42867.289317129631</v>
      </c>
      <c r="J168" s="7">
        <v>0</v>
      </c>
      <c r="K168" s="92" t="str">
        <f t="shared" si="51"/>
        <v>4001/4002</v>
      </c>
      <c r="L168" s="21" t="str">
        <f>VLOOKUP(A168,'Trips&amp;Operators'!$C$1:$G$99999,5,FALSE)</f>
        <v>MACDONALD THOMAS</v>
      </c>
      <c r="M168" s="6">
        <f t="shared" si="52"/>
        <v>1.2731481481750961E-2</v>
      </c>
      <c r="N168" s="7">
        <f t="shared" si="67"/>
        <v>18.333333333721384</v>
      </c>
      <c r="O168" s="7"/>
      <c r="P168" s="7"/>
      <c r="Q168" s="22"/>
      <c r="R168" s="190"/>
      <c r="S168" s="196">
        <f t="shared" si="68"/>
        <v>1</v>
      </c>
      <c r="T168" s="190" t="str">
        <f t="shared" si="53"/>
        <v>Southbound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 t="shared" si="54"/>
        <v>https://d0f6bd738d7f1b3e5a7ca70fe4ff75f0.us-east-1.aws.found.io/app/kibana#/discover/Steve-Slow-Train-Analysis-(2080s-and-2083s)?_g=(refreshInterval:(display:Off,pause:!f,section:0,value:0),time:(from:'2017-05-12T05:36:44-0600',mode:absolute,to:'2017-05-12T07:56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8" s="192" t="str">
        <f t="shared" si="55"/>
        <v>N</v>
      </c>
      <c r="X168" s="192">
        <f t="shared" si="48"/>
        <v>1</v>
      </c>
      <c r="Y168" s="192">
        <f t="shared" si="56"/>
        <v>5.8624000000000001</v>
      </c>
      <c r="Z168" s="192">
        <f t="shared" si="57"/>
        <v>7.3400000000000007E-2</v>
      </c>
      <c r="AA168" s="192">
        <f t="shared" si="58"/>
        <v>5.7889999999999997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59"/>
        <v>0804-12</v>
      </c>
      <c r="AE168" s="80" t="str">
        <f t="shared" si="60"/>
        <v>aws s3 cp s3://rtdc.mdm.uploadarchive.raw/RTDC4001/ "%USERPROFILE%\AppData\Local\Temp\OnboardLogs"\RTDC4001\2017-05-12 --exclude "*" --recursive --include "*20170512*" &amp; "%USERPROFILE%\Documents\GitHub\mrs-test-scripts\Headless Mode &amp; Sideloading\WalkAndUnGZ.bat" "%USERPROFILE%\AppData\Local\Temp\OnboardLogs"\RTDC4001\2017-05-12 &amp; aws s3 cp s3://rtdc.mdm.uploadarchive.raw/RTDC4001/ "%USERPROFILE%\AppData\Local\Temp\OnboardLogs"\RTDC4001\2017-05-13 --exclude "*" --recursive --include "*20170513*" &amp; "%USERPROFILE%\Documents\GitHub\mrs-test-scripts\Headless Mode &amp; Sideloading\WalkAndUnGZ.bat" "%USERPROFILE%\AppData\Local\Temp\OnboardLogs"\RTDC4001\2017-05-13</v>
      </c>
      <c r="AF168" s="77" t="str">
        <f t="shared" si="61"/>
        <v>"C:\Program Files (x86)\AstroGrep\AstroGrep.exe" /e /r /s /spath="%USERPROFILE%\AppData\Local\Temp\OnboardLogs" /stypes="app*4001*20170512*" /stext=" 12:.+((SYSTEM_STATE.+slice.+state.+changed )|(ment ac)|(multiple cpu faults)|(system.+state.+changed )|(\[timeout)|(PRM\|1\|D)|(kpr)|(kdp)|(train st.+moving)|(\|lc)|(penalty))"</v>
      </c>
      <c r="AG168" s="1" t="str">
        <f t="shared" si="62"/>
        <v>NW</v>
      </c>
      <c r="AH168" s="81" t="str">
        <f t="shared" si="63"/>
        <v>"%USERPROFILE%\Documents\GitHub\eaglep3\Utilities\RefineRTDCRunTimes.py" --tripid 804-12 --locoid 4001 --swversion DE.1.0.9.0 --startMP 300:58624 --initTime 2017-05-12T06:36:44 --startdatetime 2017-05-12T06:38:17 --delay 1 --endMP 204:734 --enddatetime 2017-05-12T06:56:37 --enforcementcount 0 &gt;&gt;C:\Users\stu\Documents\GitHub\eaglep3-reporting\EC\2017-05-12-refined-times.txt</v>
      </c>
      <c r="AI168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{"issue":{"subject":"","project_id":79,"tracker_id":40,"status_id":1,"priority_id":2,"assigned_to_id":23,"start_date":"2017-05-12","description":"","custom_fields":[{"id":1,"name":"Subdivision","value":"NW"},{"id":4,"name":"Milepost","value":"0.0734"},{"id":17,"name":"Train ID","value":"804-12"},{"id":16,"name":"Locomotive ID","value":"4001"},{"id":130,"name":"Impact","value":""},{"id":150,"name":"Time of Event (Mountain Time)","value":"06:56:37"},{"id":151,"name":"Denver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5" t="str">
        <f t="shared" si="65"/>
        <v>start /low /b %USERPROFILE%\Documents\GitHub\eaglep3\Utilities\DownloadLogsFromS3.py --loco 4001 --day 2017-05-12</v>
      </c>
      <c r="AN168" s="154" t="str">
        <f t="shared" si="66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12:56:37"},{"id":29,"name":"Sharepoint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x14ac:dyDescent="0.25">
      <c r="A169" s="32" t="s">
        <v>635</v>
      </c>
      <c r="B169" s="7">
        <v>4052</v>
      </c>
      <c r="C169" s="21" t="s">
        <v>206</v>
      </c>
      <c r="D169" s="21" t="s">
        <v>969</v>
      </c>
      <c r="E169" s="13">
        <v>42867.268726851849</v>
      </c>
      <c r="F169" s="13">
        <v>42867.285601851851</v>
      </c>
      <c r="G169" s="7">
        <v>1</v>
      </c>
      <c r="H169" s="21" t="s">
        <v>970</v>
      </c>
      <c r="I169" s="13">
        <v>42867.294224537036</v>
      </c>
      <c r="J169" s="7">
        <v>0</v>
      </c>
      <c r="K169" s="92" t="str">
        <f t="shared" si="51"/>
        <v>4051/4052</v>
      </c>
      <c r="L169" s="21" t="str">
        <f>VLOOKUP(A169,'Trips&amp;Operators'!$C$1:$G$99999,5,FALSE)</f>
        <v>GEBRETEKLE DAGNEW</v>
      </c>
      <c r="M169" s="6">
        <f t="shared" si="52"/>
        <v>8.6226851854007691E-3</v>
      </c>
      <c r="N169" s="7">
        <f t="shared" si="67"/>
        <v>12.416666666977108</v>
      </c>
      <c r="O169" s="7"/>
      <c r="P169" s="7"/>
      <c r="Q169" s="22"/>
      <c r="R169" s="190"/>
      <c r="S169" s="196">
        <f t="shared" si="68"/>
        <v>1</v>
      </c>
      <c r="T169" s="190" t="str">
        <f t="shared" si="53"/>
        <v>NorthBound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 t="shared" si="54"/>
        <v>https://d0f6bd738d7f1b3e5a7ca70fe4ff75f0.us-east-1.aws.found.io/app/kibana#/discover/Steve-Slow-Train-Analysis-(2080s-and-2083s)?_g=(refreshInterval:(display:Off,pause:!f,section:0,value:0),time:(from:'2017-05-12T05:26:58-0600',mode:absolute,to:'2017-05-12T08:03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9" s="192" t="str">
        <f t="shared" si="55"/>
        <v>N</v>
      </c>
      <c r="X169" s="192">
        <f t="shared" si="48"/>
        <v>1</v>
      </c>
      <c r="Y169" s="192">
        <f t="shared" si="56"/>
        <v>9.9299999999999999E-2</v>
      </c>
      <c r="Z169" s="192">
        <f t="shared" si="57"/>
        <v>5.8986000000000001</v>
      </c>
      <c r="AA169" s="192">
        <f t="shared" si="58"/>
        <v>5.7992999999999997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59"/>
        <v>0805-12</v>
      </c>
      <c r="AE169" s="80" t="str">
        <f t="shared" si="60"/>
        <v>aws s3 cp s3://rtdc.mdm.uploadarchive.raw/RTDC4052/ "%USERPROFILE%\AppData\Local\Temp\OnboardLogs"\RTDC4052\2017-05-12 --exclude "*" --recursive --include "*20170512*" &amp; "%USERPROFILE%\Documents\GitHub\mrs-test-scripts\Headless Mode &amp; Sideloading\WalkAndUnGZ.bat" "%USERPROFILE%\AppData\Local\Temp\OnboardLogs"\RTDC4052\2017-05-12 &amp; aws s3 cp s3://rtdc.mdm.uploadarchive.raw/RTDC4052/ "%USERPROFILE%\AppData\Local\Temp\OnboardLogs"\RTDC4052\2017-05-13 --exclude "*" --recursive --include "*20170513*" &amp; "%USERPROFILE%\Documents\GitHub\mrs-test-scripts\Headless Mode &amp; Sideloading\WalkAndUnGZ.bat" "%USERPROFILE%\AppData\Local\Temp\OnboardLogs"\RTDC4052\2017-05-13</v>
      </c>
      <c r="AF169" s="77" t="str">
        <f t="shared" si="61"/>
        <v>"C:\Program Files (x86)\AstroGrep\AstroGrep.exe" /e /r /s /spath="%USERPROFILE%\AppData\Local\Temp\OnboardLogs" /stypes="app*4052*20170512*" /stext=" 13:.+((SYSTEM_STATE.+slice.+state.+changed )|(ment ac)|(multiple cpu faults)|(system.+state.+changed )|(\[timeout)|(PRM\|1\|D)|(kpr)|(kdp)|(train st.+moving)|(\|lc)|(penalty))"</v>
      </c>
      <c r="AG169" s="1" t="str">
        <f t="shared" si="62"/>
        <v>NW</v>
      </c>
      <c r="AH169" s="81" t="str">
        <f t="shared" si="63"/>
        <v>"%USERPROFILE%\Documents\GitHub\eaglep3\Utilities\RefineRTDCRunTimes.py" --tripid 805-12 --locoid 4052 --swversion DE.1.0.9.0 --startMP 204:993 --initTime 2017-05-12T06:26:58 --startdatetime 2017-05-12T06:51:16 --delay 1 --endMP 300:58986 --enddatetime 2017-05-12T07:03:41 --enforcementcount 0 &gt;&gt;C:\Users\stu\Documents\GitHub\eaglep3-reporting\EC\2017-05-12-refined-times.txt</v>
      </c>
      <c r="AI169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{"issue":{"subject":"","project_id":79,"tracker_id":40,"status_id":1,"priority_id":2,"assigned_to_id":23,"start_date":"2017-05-12","description":"","custom_fields":[{"id":1,"name":"Subdivision","value":"NW"},{"id":4,"name":"Milepost","value":"5.8986"},{"id":17,"name":"Train ID","value":"805-12"},{"id":16,"name":"Locomotive ID","value":"4052"},{"id":130,"name":"Impact","value":""},{"id":150,"name":"Time of Event (Mountain Time)","value":"07:03:41"},{"id":151,"name":"Denver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5" t="str">
        <f t="shared" si="65"/>
        <v>start /low /b %USERPROFILE%\Documents\GitHub\eaglep3\Utilities\DownloadLogsFromS3.py --loco 4052 --day 2017-05-12</v>
      </c>
      <c r="AN169" s="154" t="str">
        <f t="shared" si="66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13:03:41"},{"id":29,"name":"Sharepoint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x14ac:dyDescent="0.25">
      <c r="A170" s="32" t="s">
        <v>639</v>
      </c>
      <c r="B170" s="7">
        <v>4051</v>
      </c>
      <c r="C170" s="21" t="s">
        <v>206</v>
      </c>
      <c r="D170" s="21" t="s">
        <v>971</v>
      </c>
      <c r="E170" s="13">
        <v>42867.295486111114</v>
      </c>
      <c r="F170" s="13">
        <v>42867.297106481485</v>
      </c>
      <c r="G170" s="7">
        <v>1</v>
      </c>
      <c r="H170" s="21" t="s">
        <v>972</v>
      </c>
      <c r="I170" s="13">
        <v>42867.308958333335</v>
      </c>
      <c r="J170" s="7">
        <v>0</v>
      </c>
      <c r="K170" s="92" t="str">
        <f t="shared" si="51"/>
        <v>4051/4052</v>
      </c>
      <c r="L170" s="21" t="str">
        <f>VLOOKUP(A170,'Trips&amp;Operators'!$C$1:$G$99999,5,FALSE)</f>
        <v>GEBRETEKLE DAGNEW</v>
      </c>
      <c r="M170" s="6">
        <f t="shared" si="52"/>
        <v>1.1851851850224193E-2</v>
      </c>
      <c r="N170" s="7">
        <f t="shared" si="67"/>
        <v>17.066666664322838</v>
      </c>
      <c r="O170" s="7"/>
      <c r="P170" s="7"/>
      <c r="Q170" s="22"/>
      <c r="R170" s="190"/>
      <c r="S170" s="196">
        <f t="shared" si="68"/>
        <v>1</v>
      </c>
      <c r="T170" s="190" t="str">
        <f t="shared" si="53"/>
        <v>Southbound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 t="shared" si="54"/>
        <v>https://d0f6bd738d7f1b3e5a7ca70fe4ff75f0.us-east-1.aws.found.io/app/kibana#/discover/Steve-Slow-Train-Analysis-(2080s-and-2083s)?_g=(refreshInterval:(display:Off,pause:!f,section:0,value:0),time:(from:'2017-05-12T06:05:30-0600',mode:absolute,to:'2017-05-12T08:24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0" s="192" t="str">
        <f t="shared" si="55"/>
        <v>N</v>
      </c>
      <c r="X170" s="192">
        <f t="shared" si="48"/>
        <v>1</v>
      </c>
      <c r="Y170" s="192">
        <f t="shared" si="56"/>
        <v>5.867</v>
      </c>
      <c r="Z170" s="192">
        <f t="shared" si="57"/>
        <v>7.2400000000000006E-2</v>
      </c>
      <c r="AA170" s="192">
        <f t="shared" si="58"/>
        <v>5.7946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59"/>
        <v>0806-12</v>
      </c>
      <c r="AE170" s="80" t="str">
        <f t="shared" si="60"/>
        <v>aws s3 cp s3://rtdc.mdm.uploadarchive.raw/RTDC4051/ "%USERPROFILE%\AppData\Local\Temp\OnboardLogs"\RTDC4051\2017-05-12 --exclude "*" --recursive --include "*20170512*" &amp; "%USERPROFILE%\Documents\GitHub\mrs-test-scripts\Headless Mode &amp; Sideloading\WalkAndUnGZ.bat" "%USERPROFILE%\AppData\Local\Temp\OnboardLogs"\RTDC4051\2017-05-12 &amp; aws s3 cp s3://rtdc.mdm.uploadarchive.raw/RTDC4051/ "%USERPROFILE%\AppData\Local\Temp\OnboardLogs"\RTDC4051\2017-05-13 --exclude "*" --recursive --include "*20170513*" &amp; "%USERPROFILE%\Documents\GitHub\mrs-test-scripts\Headless Mode &amp; Sideloading\WalkAndUnGZ.bat" "%USERPROFILE%\AppData\Local\Temp\OnboardLogs"\RTDC4051\2017-05-13</v>
      </c>
      <c r="AF170" s="77" t="str">
        <f t="shared" si="61"/>
        <v>"C:\Program Files (x86)\AstroGrep\AstroGrep.exe" /e /r /s /spath="%USERPROFILE%\AppData\Local\Temp\OnboardLogs" /stypes="app*4051*20170512*" /stext=" 13:.+((SYSTEM_STATE.+slice.+state.+changed )|(ment ac)|(multiple cpu faults)|(system.+state.+changed )|(\[timeout)|(PRM\|1\|D)|(kpr)|(kdp)|(train st.+moving)|(\|lc)|(penalty))"</v>
      </c>
      <c r="AG170" s="1" t="str">
        <f t="shared" si="62"/>
        <v>NW</v>
      </c>
      <c r="AH170" s="81" t="str">
        <f t="shared" si="63"/>
        <v>"%USERPROFILE%\Documents\GitHub\eaglep3\Utilities\RefineRTDCRunTimes.py" --tripid 806-12 --locoid 4051 --swversion DE.1.0.9.0 --startMP 300:58670 --initTime 2017-05-12T07:05:30 --startdatetime 2017-05-12T07:07:50 --delay 1 --endMP 204:724 --enddatetime 2017-05-12T07:24:54 --enforcementcount 0 &gt;&gt;C:\Users\stu\Documents\GitHub\eaglep3-reporting\EC\2017-05-12-refined-times.txt</v>
      </c>
      <c r="AI170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{"issue":{"subject":"","project_id":79,"tracker_id":40,"status_id":1,"priority_id":2,"assigned_to_id":23,"start_date":"2017-05-12","description":"","custom_fields":[{"id":1,"name":"Subdivision","value":"NW"},{"id":4,"name":"Milepost","value":"0.0724"},{"id":17,"name":"Train ID","value":"806-12"},{"id":16,"name":"Locomotive ID","value":"4051"},{"id":130,"name":"Impact","value":""},{"id":150,"name":"Time of Event (Mountain Time)","value":"07:24:54"},{"id":151,"name":"Denver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5" t="str">
        <f t="shared" si="65"/>
        <v>start /low /b %USERPROFILE%\Documents\GitHub\eaglep3\Utilities\DownloadLogsFromS3.py --loco 4051 --day 2017-05-12</v>
      </c>
      <c r="AN170" s="154" t="str">
        <f t="shared" si="66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13:24:54"},{"id":29,"name":"Sharepoint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2" t="s">
        <v>640</v>
      </c>
      <c r="B171" s="7">
        <v>4002</v>
      </c>
      <c r="C171" s="21" t="s">
        <v>206</v>
      </c>
      <c r="D171" s="21" t="s">
        <v>973</v>
      </c>
      <c r="E171" s="13">
        <v>42867.300185185188</v>
      </c>
      <c r="F171" s="13">
        <v>42867.306423611109</v>
      </c>
      <c r="G171" s="7">
        <v>1</v>
      </c>
      <c r="H171" s="21" t="s">
        <v>539</v>
      </c>
      <c r="I171" s="13">
        <v>42867.316736111112</v>
      </c>
      <c r="J171" s="7">
        <v>0</v>
      </c>
      <c r="K171" s="92" t="str">
        <f t="shared" si="51"/>
        <v>4001/4002</v>
      </c>
      <c r="L171" s="21" t="str">
        <f>VLOOKUP(A171,'Trips&amp;Operators'!$C$1:$G$99999,5,FALSE)</f>
        <v>MACDONALD THOMAS</v>
      </c>
      <c r="M171" s="6">
        <f t="shared" si="52"/>
        <v>1.0312500002328306E-2</v>
      </c>
      <c r="N171" s="7">
        <f t="shared" si="67"/>
        <v>14.850000003352761</v>
      </c>
      <c r="O171" s="7"/>
      <c r="P171" s="7"/>
      <c r="Q171" s="22"/>
      <c r="R171" s="190"/>
      <c r="S171" s="196">
        <f t="shared" si="68"/>
        <v>1</v>
      </c>
      <c r="T171" s="190" t="str">
        <f t="shared" si="53"/>
        <v>NorthBound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 t="shared" si="54"/>
        <v>https://d0f6bd738d7f1b3e5a7ca70fe4ff75f0.us-east-1.aws.found.io/app/kibana#/discover/Steve-Slow-Train-Analysis-(2080s-and-2083s)?_g=(refreshInterval:(display:Off,pause:!f,section:0,value:0),time:(from:'2017-05-12T06:12:16-0600',mode:absolute,to:'2017-05-12T08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1" s="192" t="str">
        <f t="shared" si="55"/>
        <v>N</v>
      </c>
      <c r="X171" s="192">
        <f t="shared" si="48"/>
        <v>1</v>
      </c>
      <c r="Y171" s="192">
        <f t="shared" si="56"/>
        <v>0.10299999999999999</v>
      </c>
      <c r="Z171" s="192">
        <f t="shared" si="57"/>
        <v>5.8948</v>
      </c>
      <c r="AA171" s="192">
        <f t="shared" si="58"/>
        <v>5.7918000000000003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59"/>
        <v>0807-12</v>
      </c>
      <c r="AE171" s="80" t="str">
        <f t="shared" si="60"/>
        <v>aws s3 cp s3://rtdc.mdm.uploadarchive.raw/RTDC4002/ "%USERPROFILE%\AppData\Local\Temp\OnboardLogs"\RTDC4002\2017-05-12 --exclude "*" --recursive --include "*20170512*" &amp; "%USERPROFILE%\Documents\GitHub\mrs-test-scripts\Headless Mode &amp; Sideloading\WalkAndUnGZ.bat" "%USERPROFILE%\AppData\Local\Temp\OnboardLogs"\RTDC4002\2017-05-12 &amp; aws s3 cp s3://rtdc.mdm.uploadarchive.raw/RTDC4002/ "%USERPROFILE%\AppData\Local\Temp\OnboardLogs"\RTDC4002\2017-05-13 --exclude "*" --recursive --include "*20170513*" &amp; "%USERPROFILE%\Documents\GitHub\mrs-test-scripts\Headless Mode &amp; Sideloading\WalkAndUnGZ.bat" "%USERPROFILE%\AppData\Local\Temp\OnboardLogs"\RTDC4002\2017-05-13</v>
      </c>
      <c r="AF171" s="77" t="str">
        <f t="shared" si="61"/>
        <v>"C:\Program Files (x86)\AstroGrep\AstroGrep.exe" /e /r /s /spath="%USERPROFILE%\AppData\Local\Temp\OnboardLogs" /stypes="app*4002*20170512*" /stext=" 13:.+((SYSTEM_STATE.+slice.+state.+changed )|(ment ac)|(multiple cpu faults)|(system.+state.+changed )|(\[timeout)|(PRM\|1\|D)|(kpr)|(kdp)|(train st.+moving)|(\|lc)|(penalty))"</v>
      </c>
      <c r="AG171" s="1" t="str">
        <f t="shared" si="62"/>
        <v>NW</v>
      </c>
      <c r="AH171" s="81" t="str">
        <f t="shared" si="63"/>
        <v>"%USERPROFILE%\Documents\GitHub\eaglep3\Utilities\RefineRTDCRunTimes.py" --tripid 807-12 --locoid 4002 --swversion DE.1.0.9.0 --startMP 204:1030 --initTime 2017-05-12T07:12:16 --startdatetime 2017-05-12T07:21:15 --delay 1 --endMP 300:58948 --enddatetime 2017-05-12T07:36:06 --enforcementcount 0 &gt;&gt;C:\Users\stu\Documents\GitHub\eaglep3-reporting\EC\2017-05-12-refined-times.txt</v>
      </c>
      <c r="AI171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{"issue":{"subject":"","project_id":79,"tracker_id":40,"status_id":1,"priority_id":2,"assigned_to_id":23,"start_date":"2017-05-12","description":"","custom_fields":[{"id":1,"name":"Subdivision","value":"NW"},{"id":4,"name":"Milepost","value":"5.8948"},{"id":17,"name":"Train ID","value":"807-12"},{"id":16,"name":"Locomotive ID","value":"4002"},{"id":130,"name":"Impact","value":""},{"id":150,"name":"Time of Event (Mountain Time)","value":"07:36:06"},{"id":151,"name":"Denver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5" t="str">
        <f t="shared" si="65"/>
        <v>start /low /b %USERPROFILE%\Documents\GitHub\eaglep3\Utilities\DownloadLogsFromS3.py --loco 4002 --day 2017-05-12</v>
      </c>
      <c r="AN171" s="154" t="str">
        <f t="shared" si="66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13:36:06"},{"id":29,"name":"Sharepoint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2" t="s">
        <v>566</v>
      </c>
      <c r="B172" s="7">
        <v>4001</v>
      </c>
      <c r="C172" s="21" t="s">
        <v>206</v>
      </c>
      <c r="D172" s="21" t="s">
        <v>540</v>
      </c>
      <c r="E172" s="13">
        <v>42867.317615740743</v>
      </c>
      <c r="F172" s="13">
        <v>42867.31890046296</v>
      </c>
      <c r="G172" s="7">
        <v>1</v>
      </c>
      <c r="H172" s="21" t="s">
        <v>974</v>
      </c>
      <c r="I172" s="13">
        <v>42867.330289351848</v>
      </c>
      <c r="J172" s="7">
        <v>0</v>
      </c>
      <c r="K172" s="92" t="str">
        <f t="shared" si="51"/>
        <v>4001/4002</v>
      </c>
      <c r="L172" s="21" t="str">
        <f>VLOOKUP(A172,'Trips&amp;Operators'!$C$1:$G$99999,5,FALSE)</f>
        <v>MACDONALD THOMAS</v>
      </c>
      <c r="M172" s="6">
        <f t="shared" si="52"/>
        <v>1.1388888888177462E-2</v>
      </c>
      <c r="N172" s="7">
        <f t="shared" si="67"/>
        <v>16.399999998975545</v>
      </c>
      <c r="O172" s="7"/>
      <c r="P172" s="7"/>
      <c r="Q172" s="22"/>
      <c r="R172" s="190"/>
      <c r="S172" s="196">
        <f t="shared" si="68"/>
        <v>1</v>
      </c>
      <c r="T172" s="190" t="str">
        <f t="shared" si="53"/>
        <v>Southbound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 t="shared" si="54"/>
        <v>https://d0f6bd738d7f1b3e5a7ca70fe4ff75f0.us-east-1.aws.found.io/app/kibana#/discover/Steve-Slow-Train-Analysis-(2080s-and-2083s)?_g=(refreshInterval:(display:Off,pause:!f,section:0,value:0),time:(from:'2017-05-12T06:37:22-0600',mode:absolute,to:'2017-05-12T08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2" s="192" t="str">
        <f t="shared" si="55"/>
        <v>N</v>
      </c>
      <c r="X172" s="192">
        <f t="shared" si="48"/>
        <v>1</v>
      </c>
      <c r="Y172" s="192">
        <f t="shared" si="56"/>
        <v>5.8638000000000003</v>
      </c>
      <c r="Z172" s="192">
        <f t="shared" si="57"/>
        <v>6.7699999999999996E-2</v>
      </c>
      <c r="AA172" s="192">
        <f t="shared" si="58"/>
        <v>5.7961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59"/>
        <v>0808-12</v>
      </c>
      <c r="AE172" s="80" t="str">
        <f t="shared" si="60"/>
        <v>aws s3 cp s3://rtdc.mdm.uploadarchive.raw/RTDC4001/ "%USERPROFILE%\AppData\Local\Temp\OnboardLogs"\RTDC4001\2017-05-12 --exclude "*" --recursive --include "*20170512*" &amp; "%USERPROFILE%\Documents\GitHub\mrs-test-scripts\Headless Mode &amp; Sideloading\WalkAndUnGZ.bat" "%USERPROFILE%\AppData\Local\Temp\OnboardLogs"\RTDC4001\2017-05-12 &amp; aws s3 cp s3://rtdc.mdm.uploadarchive.raw/RTDC4001/ "%USERPROFILE%\AppData\Local\Temp\OnboardLogs"\RTDC4001\2017-05-13 --exclude "*" --recursive --include "*20170513*" &amp; "%USERPROFILE%\Documents\GitHub\mrs-test-scripts\Headless Mode &amp; Sideloading\WalkAndUnGZ.bat" "%USERPROFILE%\AppData\Local\Temp\OnboardLogs"\RTDC4001\2017-05-13</v>
      </c>
      <c r="AF172" s="77" t="str">
        <f t="shared" si="61"/>
        <v>"C:\Program Files (x86)\AstroGrep\AstroGrep.exe" /e /r /s /spath="%USERPROFILE%\AppData\Local\Temp\OnboardLogs" /stypes="app*4001*20170512*" /stext=" 13:.+((SYSTEM_STATE.+slice.+state.+changed )|(ment ac)|(multiple cpu faults)|(system.+state.+changed )|(\[timeout)|(PRM\|1\|D)|(kpr)|(kdp)|(train st.+moving)|(\|lc)|(penalty))"</v>
      </c>
      <c r="AG172" s="1" t="str">
        <f t="shared" si="62"/>
        <v>NW</v>
      </c>
      <c r="AH172" s="81" t="str">
        <f t="shared" si="63"/>
        <v>"%USERPROFILE%\Documents\GitHub\eaglep3\Utilities\RefineRTDCRunTimes.py" --tripid 808-12 --locoid 4001 --swversion DE.1.0.9.0 --startMP 300:58638 --initTime 2017-05-12T07:37:22 --startdatetime 2017-05-12T07:39:13 --delay 1 --endMP 204:677 --enddatetime 2017-05-12T07:55:37 --enforcementcount 0 &gt;&gt;C:\Users\stu\Documents\GitHub\eaglep3-reporting\EC\2017-05-12-refined-times.txt</v>
      </c>
      <c r="AI172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{"issue":{"subject":"","project_id":79,"tracker_id":40,"status_id":1,"priority_id":2,"assigned_to_id":23,"start_date":"2017-05-12","description":"","custom_fields":[{"id":1,"name":"Subdivision","value":"NW"},{"id":4,"name":"Milepost","value":"0.0677"},{"id":17,"name":"Train ID","value":"808-12"},{"id":16,"name":"Locomotive ID","value":"4001"},{"id":130,"name":"Impact","value":""},{"id":150,"name":"Time of Event (Mountain Time)","value":"07:55:37"},{"id":151,"name":"Denver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5" t="str">
        <f t="shared" si="65"/>
        <v>start /low /b %USERPROFILE%\Documents\GitHub\eaglep3\Utilities\DownloadLogsFromS3.py --loco 4001 --day 2017-05-12</v>
      </c>
      <c r="AN172" s="154" t="str">
        <f t="shared" si="66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13:55:37"},{"id":29,"name":"Sharepoint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x14ac:dyDescent="0.25">
      <c r="A173" s="32" t="s">
        <v>643</v>
      </c>
      <c r="B173" s="7">
        <v>4052</v>
      </c>
      <c r="C173" s="21" t="s">
        <v>206</v>
      </c>
      <c r="D173" s="21" t="s">
        <v>975</v>
      </c>
      <c r="E173" s="13">
        <v>42867.310300925928</v>
      </c>
      <c r="F173" s="13">
        <v>42867.327268518522</v>
      </c>
      <c r="G173" s="7">
        <v>1</v>
      </c>
      <c r="H173" s="21" t="s">
        <v>970</v>
      </c>
      <c r="I173" s="13">
        <v>42867.335995370369</v>
      </c>
      <c r="J173" s="7">
        <v>0</v>
      </c>
      <c r="K173" s="92" t="str">
        <f t="shared" si="51"/>
        <v>4051/4052</v>
      </c>
      <c r="L173" s="21" t="str">
        <f>VLOOKUP(A173,'Trips&amp;Operators'!$C$1:$G$99999,5,FALSE)</f>
        <v>GEBRETEKLE DAGNEW</v>
      </c>
      <c r="M173" s="6">
        <f t="shared" si="52"/>
        <v>8.7268518473138101E-3</v>
      </c>
      <c r="N173" s="7">
        <f t="shared" si="67"/>
        <v>12.566666660131887</v>
      </c>
      <c r="O173" s="7"/>
      <c r="P173" s="7"/>
      <c r="Q173" s="22"/>
      <c r="R173" s="190"/>
      <c r="S173" s="196">
        <f t="shared" si="68"/>
        <v>1</v>
      </c>
      <c r="T173" s="190" t="str">
        <f t="shared" si="53"/>
        <v>NorthBound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 t="shared" si="54"/>
        <v>https://d0f6bd738d7f1b3e5a7ca70fe4ff75f0.us-east-1.aws.found.io/app/kibana#/discover/Steve-Slow-Train-Analysis-(2080s-and-2083s)?_g=(refreshInterval:(display:Off,pause:!f,section:0,value:0),time:(from:'2017-05-12T06:26:50-0600',mode:absolute,to:'2017-05-12T09:03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3" s="192" t="str">
        <f t="shared" si="55"/>
        <v>N</v>
      </c>
      <c r="X173" s="192">
        <f t="shared" si="48"/>
        <v>1</v>
      </c>
      <c r="Y173" s="192">
        <f t="shared" si="56"/>
        <v>0.1002</v>
      </c>
      <c r="Z173" s="192">
        <f t="shared" si="57"/>
        <v>5.8986000000000001</v>
      </c>
      <c r="AA173" s="192">
        <f t="shared" si="58"/>
        <v>5.7984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59"/>
        <v>0809-12</v>
      </c>
      <c r="AE173" s="80" t="str">
        <f t="shared" si="60"/>
        <v>aws s3 cp s3://rtdc.mdm.uploadarchive.raw/RTDC4052/ "%USERPROFILE%\AppData\Local\Temp\OnboardLogs"\RTDC4052\2017-05-12 --exclude "*" --recursive --include "*20170512*" &amp; "%USERPROFILE%\Documents\GitHub\mrs-test-scripts\Headless Mode &amp; Sideloading\WalkAndUnGZ.bat" "%USERPROFILE%\AppData\Local\Temp\OnboardLogs"\RTDC4052\2017-05-12 &amp; aws s3 cp s3://rtdc.mdm.uploadarchive.raw/RTDC4052/ "%USERPROFILE%\AppData\Local\Temp\OnboardLogs"\RTDC4052\2017-05-13 --exclude "*" --recursive --include "*20170513*" &amp; "%USERPROFILE%\Documents\GitHub\mrs-test-scripts\Headless Mode &amp; Sideloading\WalkAndUnGZ.bat" "%USERPROFILE%\AppData\Local\Temp\OnboardLogs"\RTDC4052\2017-05-13</v>
      </c>
      <c r="AF173" s="77" t="str">
        <f t="shared" si="61"/>
        <v>"C:\Program Files (x86)\AstroGrep\AstroGrep.exe" /e /r /s /spath="%USERPROFILE%\AppData\Local\Temp\OnboardLogs" /stypes="app*4052*20170512*" /stext=" 14:.+((SYSTEM_STATE.+slice.+state.+changed )|(ment ac)|(multiple cpu faults)|(system.+state.+changed )|(\[timeout)|(PRM\|1\|D)|(kpr)|(kdp)|(train st.+moving)|(\|lc)|(penalty))"</v>
      </c>
      <c r="AG173" s="1" t="str">
        <f t="shared" si="62"/>
        <v>NW</v>
      </c>
      <c r="AH173" s="81" t="str">
        <f t="shared" si="63"/>
        <v>"%USERPROFILE%\Documents\GitHub\eaglep3\Utilities\RefineRTDCRunTimes.py" --tripid 809-12 --locoid 4052 --swversion DE.1.0.9.0 --startMP 204:1002 --initTime 2017-05-12T07:26:50 --startdatetime 2017-05-12T07:51:16 --delay 1 --endMP 300:58986 --enddatetime 2017-05-12T08:03:50 --enforcementcount 0 &gt;&gt;C:\Users\stu\Documents\GitHub\eaglep3-reporting\EC\2017-05-12-refined-times.txt</v>
      </c>
      <c r="AI173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{"issue":{"subject":"","project_id":79,"tracker_id":40,"status_id":1,"priority_id":2,"assigned_to_id":23,"start_date":"2017-05-12","description":"","custom_fields":[{"id":1,"name":"Subdivision","value":"NW"},{"id":4,"name":"Milepost","value":"5.8986"},{"id":17,"name":"Train ID","value":"809-12"},{"id":16,"name":"Locomotive ID","value":"4052"},{"id":130,"name":"Impact","value":""},{"id":150,"name":"Time of Event (Mountain Time)","value":"08:03:50"},{"id":151,"name":"Denver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5" t="str">
        <f t="shared" si="65"/>
        <v>start /low /b %USERPROFILE%\Documents\GitHub\eaglep3\Utilities\DownloadLogsFromS3.py --loco 4052 --day 2017-05-12</v>
      </c>
      <c r="AN173" s="154" t="str">
        <f t="shared" si="66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14:03:50"},{"id":29,"name":"Sharepoint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2" t="s">
        <v>649</v>
      </c>
      <c r="B174" s="7">
        <v>4051</v>
      </c>
      <c r="C174" s="21" t="s">
        <v>206</v>
      </c>
      <c r="D174" s="21" t="s">
        <v>976</v>
      </c>
      <c r="E174" s="13">
        <v>42867.33761574074</v>
      </c>
      <c r="F174" s="13">
        <v>42867.354143518518</v>
      </c>
      <c r="G174" s="7">
        <v>1</v>
      </c>
      <c r="H174" s="21" t="s">
        <v>977</v>
      </c>
      <c r="I174" s="13">
        <v>42867.361284722225</v>
      </c>
      <c r="J174" s="7">
        <v>0</v>
      </c>
      <c r="K174" s="92" t="str">
        <f t="shared" si="51"/>
        <v>4051/4052</v>
      </c>
      <c r="L174" s="21" t="str">
        <f>VLOOKUP(A174,'Trips&amp;Operators'!$C$1:$G$99999,5,FALSE)</f>
        <v>GEBRETEKLE DAGNEW</v>
      </c>
      <c r="M174" s="6">
        <f t="shared" si="52"/>
        <v>7.1412037068512291E-3</v>
      </c>
      <c r="N174" s="7">
        <f t="shared" si="67"/>
        <v>10.28333333786577</v>
      </c>
      <c r="O174" s="7"/>
      <c r="P174" s="7"/>
      <c r="Q174" s="22"/>
      <c r="R174" s="190"/>
      <c r="S174" s="196">
        <f t="shared" si="68"/>
        <v>1</v>
      </c>
      <c r="T174" s="190" t="str">
        <f t="shared" si="53"/>
        <v>Southbound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 t="shared" si="54"/>
        <v>https://d0f6bd738d7f1b3e5a7ca70fe4ff75f0.us-east-1.aws.found.io/app/kibana#/discover/Steve-Slow-Train-Analysis-(2080s-and-2083s)?_g=(refreshInterval:(display:Off,pause:!f,section:0,value:0),time:(from:'2017-05-12T07:06:10-0600',mode:absolute,to:'2017-05-12T09:40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4" s="192" t="str">
        <f t="shared" si="55"/>
        <v>N</v>
      </c>
      <c r="X174" s="192">
        <f t="shared" si="48"/>
        <v>1</v>
      </c>
      <c r="Y174" s="192">
        <f t="shared" si="56"/>
        <v>5.8663999999999996</v>
      </c>
      <c r="Z174" s="192">
        <f t="shared" si="57"/>
        <v>1.37E-2</v>
      </c>
      <c r="AA174" s="192">
        <f t="shared" si="58"/>
        <v>5.8526999999999996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59"/>
        <v>0810-12</v>
      </c>
      <c r="AE174" s="80" t="str">
        <f t="shared" si="60"/>
        <v>aws s3 cp s3://rtdc.mdm.uploadarchive.raw/RTDC4051/ "%USERPROFILE%\AppData\Local\Temp\OnboardLogs"\RTDC4051\2017-05-12 --exclude "*" --recursive --include "*20170512*" &amp; "%USERPROFILE%\Documents\GitHub\mrs-test-scripts\Headless Mode &amp; Sideloading\WalkAndUnGZ.bat" "%USERPROFILE%\AppData\Local\Temp\OnboardLogs"\RTDC4051\2017-05-12 &amp; aws s3 cp s3://rtdc.mdm.uploadarchive.raw/RTDC4051/ "%USERPROFILE%\AppData\Local\Temp\OnboardLogs"\RTDC4051\2017-05-13 --exclude "*" --recursive --include "*20170513*" &amp; "%USERPROFILE%\Documents\GitHub\mrs-test-scripts\Headless Mode &amp; Sideloading\WalkAndUnGZ.bat" "%USERPROFILE%\AppData\Local\Temp\OnboardLogs"\RTDC4051\2017-05-13</v>
      </c>
      <c r="AF174" s="77" t="str">
        <f t="shared" si="61"/>
        <v>"C:\Program Files (x86)\AstroGrep\AstroGrep.exe" /e /r /s /spath="%USERPROFILE%\AppData\Local\Temp\OnboardLogs" /stypes="app*4051*20170512*" /stext=" 14:.+((SYSTEM_STATE.+slice.+state.+changed )|(ment ac)|(multiple cpu faults)|(system.+state.+changed )|(\[timeout)|(PRM\|1\|D)|(kpr)|(kdp)|(train st.+moving)|(\|lc)|(penalty))"</v>
      </c>
      <c r="AG174" s="1" t="str">
        <f t="shared" si="62"/>
        <v>NW</v>
      </c>
      <c r="AH174" s="81" t="str">
        <f t="shared" si="63"/>
        <v>"%USERPROFILE%\Documents\GitHub\eaglep3\Utilities\RefineRTDCRunTimes.py" --tripid 810-12 --locoid 4051 --swversion DE.1.0.9.0 --startMP 300:58664 --initTime 2017-05-12T08:06:10 --startdatetime 2017-05-12T08:29:58 --delay 1 --endMP 204:137 --enddatetime 2017-05-12T08:40:15 --enforcementcount 0 &gt;&gt;C:\Users\stu\Documents\GitHub\eaglep3-reporting\EC\2017-05-12-refined-times.txt</v>
      </c>
      <c r="AI174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{"issue":{"subject":"","project_id":79,"tracker_id":40,"status_id":1,"priority_id":2,"assigned_to_id":23,"start_date":"2017-05-12","description":"","custom_fields":[{"id":1,"name":"Subdivision","value":"NW"},{"id":4,"name":"Milepost","value":"0.0137"},{"id":17,"name":"Train ID","value":"810-12"},{"id":16,"name":"Locomotive ID","value":"4051"},{"id":130,"name":"Impact","value":""},{"id":150,"name":"Time of Event (Mountain Time)","value":"08:40:15"},{"id":151,"name":"Denver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5" t="str">
        <f t="shared" si="65"/>
        <v>start /low /b %USERPROFILE%\Documents\GitHub\eaglep3\Utilities\DownloadLogsFromS3.py --loco 4051 --day 2017-05-12</v>
      </c>
      <c r="AN174" s="154" t="str">
        <f t="shared" si="66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14:40:15"},{"id":29,"name":"Sharepoint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2" t="s">
        <v>648</v>
      </c>
      <c r="B175" s="7">
        <v>4002</v>
      </c>
      <c r="C175" s="21" t="s">
        <v>206</v>
      </c>
      <c r="D175" s="21" t="s">
        <v>978</v>
      </c>
      <c r="E175" s="13">
        <v>42867.331458333334</v>
      </c>
      <c r="F175" s="13">
        <v>42867.348043981481</v>
      </c>
      <c r="G175" s="7">
        <v>1</v>
      </c>
      <c r="H175" s="21" t="s">
        <v>543</v>
      </c>
      <c r="I175" s="13">
        <v>42867.358217592591</v>
      </c>
      <c r="J175" s="7">
        <v>0</v>
      </c>
      <c r="K175" s="92" t="str">
        <f t="shared" si="51"/>
        <v>4001/4002</v>
      </c>
      <c r="L175" s="21" t="str">
        <f>VLOOKUP(A175,'Trips&amp;Operators'!$C$1:$G$99999,5,FALSE)</f>
        <v>MACDONALD THOMAS</v>
      </c>
      <c r="M175" s="6">
        <f t="shared" si="52"/>
        <v>1.0173611110076308E-2</v>
      </c>
      <c r="N175" s="7">
        <f t="shared" si="67"/>
        <v>14.649999998509884</v>
      </c>
      <c r="O175" s="7"/>
      <c r="P175" s="7"/>
      <c r="Q175" s="22"/>
      <c r="R175" s="190"/>
      <c r="S175" s="196">
        <f t="shared" si="68"/>
        <v>1</v>
      </c>
      <c r="T175" s="190" t="str">
        <f t="shared" si="53"/>
        <v>NorthBound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 t="shared" si="54"/>
        <v>https://d0f6bd738d7f1b3e5a7ca70fe4ff75f0.us-east-1.aws.found.io/app/kibana#/discover/Steve-Slow-Train-Analysis-(2080s-and-2083s)?_g=(refreshInterval:(display:Off,pause:!f,section:0,value:0),time:(from:'2017-05-12T06:57:18-0600',mode:absolute,to:'2017-05-12T09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5" s="192" t="str">
        <f t="shared" si="55"/>
        <v>N</v>
      </c>
      <c r="X175" s="192">
        <f t="shared" si="48"/>
        <v>1</v>
      </c>
      <c r="Y175" s="192">
        <f t="shared" si="56"/>
        <v>9.6199999999999994E-2</v>
      </c>
      <c r="Z175" s="192">
        <f t="shared" si="57"/>
        <v>5.8945999999999996</v>
      </c>
      <c r="AA175" s="192">
        <f t="shared" si="58"/>
        <v>5.7984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59"/>
        <v>0811-12</v>
      </c>
      <c r="AE175" s="80" t="str">
        <f t="shared" si="60"/>
        <v>aws s3 cp s3://rtdc.mdm.uploadarchive.raw/RTDC4002/ "%USERPROFILE%\AppData\Local\Temp\OnboardLogs"\RTDC4002\2017-05-12 --exclude "*" --recursive --include "*20170512*" &amp; "%USERPROFILE%\Documents\GitHub\mrs-test-scripts\Headless Mode &amp; Sideloading\WalkAndUnGZ.bat" "%USERPROFILE%\AppData\Local\Temp\OnboardLogs"\RTDC4002\2017-05-12 &amp; aws s3 cp s3://rtdc.mdm.uploadarchive.raw/RTDC4002/ "%USERPROFILE%\AppData\Local\Temp\OnboardLogs"\RTDC4002\2017-05-13 --exclude "*" --recursive --include "*20170513*" &amp; "%USERPROFILE%\Documents\GitHub\mrs-test-scripts\Headless Mode &amp; Sideloading\WalkAndUnGZ.bat" "%USERPROFILE%\AppData\Local\Temp\OnboardLogs"\RTDC4002\2017-05-13</v>
      </c>
      <c r="AF175" s="77" t="str">
        <f t="shared" si="61"/>
        <v>"C:\Program Files (x86)\AstroGrep\AstroGrep.exe" /e /r /s /spath="%USERPROFILE%\AppData\Local\Temp\OnboardLogs" /stypes="app*4002*20170512*" /stext=" 14:.+((SYSTEM_STATE.+slice.+state.+changed )|(ment ac)|(multiple cpu faults)|(system.+state.+changed )|(\[timeout)|(PRM\|1\|D)|(kpr)|(kdp)|(train st.+moving)|(\|lc)|(penalty))"</v>
      </c>
      <c r="AG175" s="1" t="str">
        <f t="shared" si="62"/>
        <v>NW</v>
      </c>
      <c r="AH175" s="81" t="str">
        <f t="shared" si="63"/>
        <v>"%USERPROFILE%\Documents\GitHub\eaglep3\Utilities\RefineRTDCRunTimes.py" --tripid 811-12 --locoid 4002 --swversion DE.1.0.9.0 --startMP 204:962 --initTime 2017-05-12T07:57:18 --startdatetime 2017-05-12T08:21:11 --delay 1 --endMP 300:58946 --enddatetime 2017-05-12T08:35:50 --enforcementcount 0 &gt;&gt;C:\Users\stu\Documents\GitHub\eaglep3-reporting\EC\2017-05-12-refined-times.txt</v>
      </c>
      <c r="AI175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{"issue":{"subject":"","project_id":79,"tracker_id":40,"status_id":1,"priority_id":2,"assigned_to_id":23,"start_date":"2017-05-12","description":"","custom_fields":[{"id":1,"name":"Subdivision","value":"NW"},{"id":4,"name":"Milepost","value":"5.8946"},{"id":17,"name":"Train ID","value":"811-12"},{"id":16,"name":"Locomotive ID","value":"4002"},{"id":130,"name":"Impact","value":""},{"id":150,"name":"Time of Event (Mountain Time)","value":"08:35:50"},{"id":151,"name":"Denver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5" t="str">
        <f t="shared" si="65"/>
        <v>start /low /b %USERPROFILE%\Documents\GitHub\eaglep3\Utilities\DownloadLogsFromS3.py --loco 4002 --day 2017-05-12</v>
      </c>
      <c r="AN175" s="154" t="str">
        <f t="shared" si="66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14:35:50"},{"id":29,"name":"Sharepoint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s="20" customFormat="1" x14ac:dyDescent="0.25">
      <c r="A176" s="32" t="s">
        <v>658</v>
      </c>
      <c r="B176" s="7">
        <v>4001</v>
      </c>
      <c r="C176" s="21" t="s">
        <v>206</v>
      </c>
      <c r="D176" s="21" t="s">
        <v>979</v>
      </c>
      <c r="E176" s="13">
        <v>42867.359027777777</v>
      </c>
      <c r="F176" s="13">
        <v>42867.360046296293</v>
      </c>
      <c r="G176" s="7">
        <v>0</v>
      </c>
      <c r="H176" s="21" t="s">
        <v>980</v>
      </c>
      <c r="I176" s="13">
        <v>42867.371168981481</v>
      </c>
      <c r="J176" s="7">
        <v>0</v>
      </c>
      <c r="K176" s="92" t="str">
        <f t="shared" si="51"/>
        <v>4001/4002</v>
      </c>
      <c r="L176" s="21" t="str">
        <f>VLOOKUP(A176,'Trips&amp;Operators'!$C$1:$G$99999,5,FALSE)</f>
        <v>MACDONALD THOMAS</v>
      </c>
      <c r="M176" s="6">
        <f t="shared" si="52"/>
        <v>1.1122685187729076E-2</v>
      </c>
      <c r="N176" s="7">
        <f t="shared" si="67"/>
        <v>16.016666670329869</v>
      </c>
      <c r="O176" s="7"/>
      <c r="P176" s="7"/>
      <c r="Q176" s="22"/>
      <c r="R176" s="190"/>
      <c r="S176" s="196">
        <f t="shared" si="68"/>
        <v>1</v>
      </c>
      <c r="T176" s="190" t="str">
        <f t="shared" si="53"/>
        <v>Southbound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 t="shared" si="54"/>
        <v>https://d0f6bd738d7f1b3e5a7ca70fe4ff75f0.us-east-1.aws.found.io/app/kibana#/discover/Steve-Slow-Train-Analysis-(2080s-and-2083s)?_g=(refreshInterval:(display:Off,pause:!f,section:0,value:0),time:(from:'2017-05-12T07:37:00-0600',mode:absolute,to:'2017-05-12T09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6" s="192" t="str">
        <f t="shared" si="55"/>
        <v>N</v>
      </c>
      <c r="X176" s="192">
        <f t="shared" si="48"/>
        <v>1</v>
      </c>
      <c r="Y176" s="192">
        <f t="shared" si="56"/>
        <v>5.8640999999999996</v>
      </c>
      <c r="Z176" s="192">
        <f t="shared" si="57"/>
        <v>7.0800000000000002E-2</v>
      </c>
      <c r="AA176" s="192">
        <f t="shared" si="58"/>
        <v>5.7932999999999995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59"/>
        <v>0812-12</v>
      </c>
      <c r="AE176" s="80" t="str">
        <f t="shared" si="60"/>
        <v>aws s3 cp s3://rtdc.mdm.uploadarchive.raw/RTDC4001/ "%USERPROFILE%\AppData\Local\Temp\OnboardLogs"\RTDC4001\2017-05-12 --exclude "*" --recursive --include "*20170512*" &amp; "%USERPROFILE%\Documents\GitHub\mrs-test-scripts\Headless Mode &amp; Sideloading\WalkAndUnGZ.bat" "%USERPROFILE%\AppData\Local\Temp\OnboardLogs"\RTDC4001\2017-05-12 &amp; aws s3 cp s3://rtdc.mdm.uploadarchive.raw/RTDC4001/ "%USERPROFILE%\AppData\Local\Temp\OnboardLogs"\RTDC4001\2017-05-13 --exclude "*" --recursive --include "*20170513*" &amp; "%USERPROFILE%\Documents\GitHub\mrs-test-scripts\Headless Mode &amp; Sideloading\WalkAndUnGZ.bat" "%USERPROFILE%\AppData\Local\Temp\OnboardLogs"\RTDC4001\2017-05-13</v>
      </c>
      <c r="AF176" s="77" t="str">
        <f t="shared" si="61"/>
        <v>"C:\Program Files (x86)\AstroGrep\AstroGrep.exe" /e /r /s /spath="%USERPROFILE%\AppData\Local\Temp\OnboardLogs" /stypes="app*4001*20170512*" /stext=" 14:.+((SYSTEM_STATE.+slice.+state.+changed )|(ment ac)|(multiple cpu faults)|(system.+state.+changed )|(\[timeout)|(PRM\|1\|D)|(kpr)|(kdp)|(train st.+moving)|(\|lc)|(penalty))"</v>
      </c>
      <c r="AG176" s="1" t="str">
        <f t="shared" si="62"/>
        <v>NW</v>
      </c>
      <c r="AH176" s="81" t="str">
        <f t="shared" si="63"/>
        <v>"%USERPROFILE%\Documents\GitHub\eaglep3\Utilities\RefineRTDCRunTimes.py" --tripid 812-12 --locoid 4001 --swversion DE.1.0.9.0 --startMP 300:58641 --initTime 2017-05-12T08:37:00 --startdatetime 2017-05-12T08:38:28 --delay 0 --endMP 204:708 --enddatetime 2017-05-12T08:54:29 --enforcementcount 0 &gt;&gt;C:\Users\stu\Documents\GitHub\eaglep3-reporting\EC\2017-05-12-refined-times.txt</v>
      </c>
      <c r="AI176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{"issue":{"subject":"","project_id":79,"tracker_id":40,"status_id":1,"priority_id":2,"assigned_to_id":23,"start_date":"2017-05-12","description":"","custom_fields":[{"id":1,"name":"Subdivision","value":"NW"},{"id":4,"name":"Milepost","value":"0.0708"},{"id":17,"name":"Train ID","value":"812-12"},{"id":16,"name":"Locomotive ID","value":"4001"},{"id":130,"name":"Impact","value":""},{"id":150,"name":"Time of Event (Mountain Time)","value":"08:54:29"},{"id":151,"name":"Denver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5" t="str">
        <f t="shared" si="65"/>
        <v>start /low /b %USERPROFILE%\Documents\GitHub\eaglep3\Utilities\DownloadLogsFromS3.py --loco 4001 --day 2017-05-12</v>
      </c>
      <c r="AN176" s="154" t="str">
        <f t="shared" si="66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14:54:29"},{"id":29,"name":"Sharepoint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661</v>
      </c>
      <c r="B177" s="7">
        <v>4002</v>
      </c>
      <c r="C177" s="21" t="s">
        <v>206</v>
      </c>
      <c r="D177" s="21" t="s">
        <v>981</v>
      </c>
      <c r="E177" s="13">
        <v>42867.372083333335</v>
      </c>
      <c r="F177" s="13">
        <v>42867.389884259261</v>
      </c>
      <c r="G177" s="7">
        <v>0</v>
      </c>
      <c r="H177" s="21" t="s">
        <v>982</v>
      </c>
      <c r="I177" s="13">
        <v>42867.399629629632</v>
      </c>
      <c r="J177" s="7">
        <v>0</v>
      </c>
      <c r="K177" s="92" t="str">
        <f t="shared" si="51"/>
        <v>4001/4002</v>
      </c>
      <c r="L177" s="21" t="str">
        <f>VLOOKUP(A177,'Trips&amp;Operators'!$C$1:$G$99999,5,FALSE)</f>
        <v>MACDONALD THOMAS</v>
      </c>
      <c r="M177" s="6">
        <f t="shared" si="52"/>
        <v>9.7453703710925765E-3</v>
      </c>
      <c r="N177" s="7">
        <f t="shared" si="67"/>
        <v>14.03333333437331</v>
      </c>
      <c r="O177" s="7"/>
      <c r="P177" s="7"/>
      <c r="Q177" s="22"/>
      <c r="R177" s="190"/>
      <c r="S177" s="196">
        <f t="shared" si="68"/>
        <v>1</v>
      </c>
      <c r="T177" s="190" t="str">
        <f t="shared" si="53"/>
        <v>NorthBound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 t="shared" si="54"/>
        <v>https://d0f6bd738d7f1b3e5a7ca70fe4ff75f0.us-east-1.aws.found.io/app/kibana#/discover/Steve-Slow-Train-Analysis-(2080s-and-2083s)?_g=(refreshInterval:(display:Off,pause:!f,section:0,value:0),time:(from:'2017-05-12T07:55:48-0600',mode:absolute,to:'2017-05-12T10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7" s="192" t="str">
        <f t="shared" si="55"/>
        <v>N</v>
      </c>
      <c r="X177" s="192">
        <f t="shared" si="48"/>
        <v>1</v>
      </c>
      <c r="Y177" s="192">
        <f t="shared" si="56"/>
        <v>0.10059999999999999</v>
      </c>
      <c r="Z177" s="192">
        <f t="shared" si="57"/>
        <v>5.8928000000000003</v>
      </c>
      <c r="AA177" s="192">
        <f t="shared" si="58"/>
        <v>5.7922000000000002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59"/>
        <v>0813-12</v>
      </c>
      <c r="AE177" s="80" t="str">
        <f t="shared" si="60"/>
        <v>aws s3 cp s3://rtdc.mdm.uploadarchive.raw/RTDC4002/ "%USERPROFILE%\AppData\Local\Temp\OnboardLogs"\RTDC4002\2017-05-12 --exclude "*" --recursive --include "*20170512*" &amp; "%USERPROFILE%\Documents\GitHub\mrs-test-scripts\Headless Mode &amp; Sideloading\WalkAndUnGZ.bat" "%USERPROFILE%\AppData\Local\Temp\OnboardLogs"\RTDC4002\2017-05-12 &amp; aws s3 cp s3://rtdc.mdm.uploadarchive.raw/RTDC4002/ "%USERPROFILE%\AppData\Local\Temp\OnboardLogs"\RTDC4002\2017-05-13 --exclude "*" --recursive --include "*20170513*" &amp; "%USERPROFILE%\Documents\GitHub\mrs-test-scripts\Headless Mode &amp; Sideloading\WalkAndUnGZ.bat" "%USERPROFILE%\AppData\Local\Temp\OnboardLogs"\RTDC4002\2017-05-13</v>
      </c>
      <c r="AF177" s="77" t="str">
        <f t="shared" si="61"/>
        <v>"C:\Program Files (x86)\AstroGrep\AstroGrep.exe" /e /r /s /spath="%USERPROFILE%\AppData\Local\Temp\OnboardLogs" /stypes="app*4002*20170512*" /stext=" 15:.+((SYSTEM_STATE.+slice.+state.+changed )|(ment ac)|(multiple cpu faults)|(system.+state.+changed )|(\[timeout)|(PRM\|1\|D)|(kpr)|(kdp)|(train st.+moving)|(\|lc)|(penalty))"</v>
      </c>
      <c r="AG177" s="1" t="str">
        <f t="shared" si="62"/>
        <v>NW</v>
      </c>
      <c r="AH177" s="81" t="str">
        <f t="shared" si="63"/>
        <v>"%USERPROFILE%\Documents\GitHub\eaglep3\Utilities\RefineRTDCRunTimes.py" --tripid 813-12 --locoid 4002 --swversion DE.1.0.9.0 --startMP 204:1006 --initTime 2017-05-12T08:55:48 --startdatetime 2017-05-12T09:21:26 --delay 0 --endMP 300:58928 --enddatetime 2017-05-12T09:35:28 --enforcementcount 0 &gt;&gt;C:\Users\stu\Documents\GitHub\eaglep3-reporting\EC\2017-05-12-refined-times.txt</v>
      </c>
      <c r="AI177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{"issue":{"subject":"","project_id":79,"tracker_id":40,"status_id":1,"priority_id":2,"assigned_to_id":23,"start_date":"2017-05-12","description":"","custom_fields":[{"id":1,"name":"Subdivision","value":"NW"},{"id":4,"name":"Milepost","value":"5.8928"},{"id":17,"name":"Train ID","value":"813-12"},{"id":16,"name":"Locomotive ID","value":"4002"},{"id":130,"name":"Impact","value":""},{"id":150,"name":"Time of Event (Mountain Time)","value":"09:35:28"},{"id":151,"name":"Denver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5" t="str">
        <f t="shared" si="65"/>
        <v>start /low /b %USERPROFILE%\Documents\GitHub\eaglep3\Utilities\DownloadLogsFromS3.py --loco 4002 --day 2017-05-12</v>
      </c>
      <c r="AN177" s="154" t="str">
        <f t="shared" si="66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15:35:28"},{"id":29,"name":"Sharepoint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667</v>
      </c>
      <c r="B178" s="7">
        <v>4001</v>
      </c>
      <c r="C178" s="21" t="s">
        <v>206</v>
      </c>
      <c r="D178" s="21" t="s">
        <v>548</v>
      </c>
      <c r="E178" s="13">
        <v>42867.400451388887</v>
      </c>
      <c r="F178" s="13">
        <v>42867.401550925926</v>
      </c>
      <c r="G178" s="7">
        <v>1</v>
      </c>
      <c r="H178" s="21" t="s">
        <v>983</v>
      </c>
      <c r="I178" s="13">
        <v>42867.413460648146</v>
      </c>
      <c r="J178" s="7">
        <v>0</v>
      </c>
      <c r="K178" s="92" t="str">
        <f t="shared" si="51"/>
        <v>4001/4002</v>
      </c>
      <c r="L178" s="21" t="str">
        <f>VLOOKUP(A178,'Trips&amp;Operators'!$C$1:$G$99999,5,FALSE)</f>
        <v>MACDONALD THOMAS</v>
      </c>
      <c r="M178" s="6">
        <f t="shared" si="52"/>
        <v>1.190972221957054E-2</v>
      </c>
      <c r="N178" s="7">
        <f t="shared" si="67"/>
        <v>17.149999996181577</v>
      </c>
      <c r="O178" s="7"/>
      <c r="P178" s="7"/>
      <c r="Q178" s="22"/>
      <c r="R178" s="190"/>
      <c r="S178" s="196">
        <f t="shared" si="68"/>
        <v>1</v>
      </c>
      <c r="T178" s="190" t="str">
        <f t="shared" si="53"/>
        <v>Southbound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1" t="str">
        <f t="shared" si="54"/>
        <v>https://d0f6bd738d7f1b3e5a7ca70fe4ff75f0.us-east-1.aws.found.io/app/kibana#/discover/Steve-Slow-Train-Analysis-(2080s-and-2083s)?_g=(refreshInterval:(display:Off,pause:!f,section:0,value:0),time:(from:'2017-05-12T08:36:39-0600',mode:absolute,to:'2017-05-12T10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8" s="192" t="str">
        <f t="shared" si="55"/>
        <v>N</v>
      </c>
      <c r="X178" s="192">
        <f t="shared" si="48"/>
        <v>1</v>
      </c>
      <c r="Y178" s="192">
        <f t="shared" si="56"/>
        <v>5.8608000000000002</v>
      </c>
      <c r="Z178" s="192">
        <f t="shared" si="57"/>
        <v>7.3599999999999999E-2</v>
      </c>
      <c r="AA178" s="192">
        <f t="shared" si="58"/>
        <v>5.7872000000000003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59"/>
        <v>0814-12</v>
      </c>
      <c r="AE178" s="80" t="str">
        <f t="shared" si="60"/>
        <v>aws s3 cp s3://rtdc.mdm.uploadarchive.raw/RTDC4001/ "%USERPROFILE%\AppData\Local\Temp\OnboardLogs"\RTDC4001\2017-05-12 --exclude "*" --recursive --include "*20170512*" &amp; "%USERPROFILE%\Documents\GitHub\mrs-test-scripts\Headless Mode &amp; Sideloading\WalkAndUnGZ.bat" "%USERPROFILE%\AppData\Local\Temp\OnboardLogs"\RTDC4001\2017-05-12 &amp; aws s3 cp s3://rtdc.mdm.uploadarchive.raw/RTDC4001/ "%USERPROFILE%\AppData\Local\Temp\OnboardLogs"\RTDC4001\2017-05-13 --exclude "*" --recursive --include "*20170513*" &amp; "%USERPROFILE%\Documents\GitHub\mrs-test-scripts\Headless Mode &amp; Sideloading\WalkAndUnGZ.bat" "%USERPROFILE%\AppData\Local\Temp\OnboardLogs"\RTDC4001\2017-05-13</v>
      </c>
      <c r="AF178" s="77" t="str">
        <f t="shared" si="61"/>
        <v>"C:\Program Files (x86)\AstroGrep\AstroGrep.exe" /e /r /s /spath="%USERPROFILE%\AppData\Local\Temp\OnboardLogs" /stypes="app*4001*20170512*" /stext=" 15:.+((SYSTEM_STATE.+slice.+state.+changed )|(ment ac)|(multiple cpu faults)|(system.+state.+changed )|(\[timeout)|(PRM\|1\|D)|(kpr)|(kdp)|(train st.+moving)|(\|lc)|(penalty))"</v>
      </c>
      <c r="AG178" s="1" t="str">
        <f t="shared" si="62"/>
        <v>NW</v>
      </c>
      <c r="AH178" s="81" t="str">
        <f t="shared" si="63"/>
        <v>"%USERPROFILE%\Documents\GitHub\eaglep3\Utilities\RefineRTDCRunTimes.py" --tripid 814-12 --locoid 4001 --swversion DE.1.0.9.0 --startMP 300:58608 --initTime 2017-05-12T09:36:39 --startdatetime 2017-05-12T09:38:14 --delay 1 --endMP 204:736 --enddatetime 2017-05-12T09:55:23 --enforcementcount 0 &gt;&gt;C:\Users\stu\Documents\GitHub\eaglep3-reporting\EC\2017-05-12-refined-times.txt</v>
      </c>
      <c r="AI178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{"issue":{"subject":"","project_id":79,"tracker_id":40,"status_id":1,"priority_id":2,"assigned_to_id":23,"start_date":"2017-05-12","description":"","custom_fields":[{"id":1,"name":"Subdivision","value":"NW"},{"id":4,"name":"Milepost","value":"0.0736"},{"id":17,"name":"Train ID","value":"814-12"},{"id":16,"name":"Locomotive ID","value":"4001"},{"id":130,"name":"Impact","value":""},{"id":150,"name":"Time of Event (Mountain Time)","value":"09:55:23"},{"id":151,"name":"Denver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5" t="str">
        <f t="shared" si="65"/>
        <v>start /low /b %USERPROFILE%\Documents\GitHub\eaglep3\Utilities\DownloadLogsFromS3.py --loco 4001 --day 2017-05-12</v>
      </c>
      <c r="AN178" s="154" t="str">
        <f t="shared" si="66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15:55:23"},{"id":29,"name":"Sharepoint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2" t="s">
        <v>672</v>
      </c>
      <c r="B179" s="7">
        <v>4002</v>
      </c>
      <c r="C179" s="21" t="s">
        <v>206</v>
      </c>
      <c r="D179" s="21" t="s">
        <v>984</v>
      </c>
      <c r="E179" s="13">
        <v>42867.414155092592</v>
      </c>
      <c r="F179" s="13">
        <v>42867.431435185186</v>
      </c>
      <c r="G179" s="7">
        <v>0</v>
      </c>
      <c r="H179" s="21" t="s">
        <v>543</v>
      </c>
      <c r="I179" s="13">
        <v>42867.441631944443</v>
      </c>
      <c r="J179" s="7">
        <v>0</v>
      </c>
      <c r="K179" s="92" t="str">
        <f t="shared" si="51"/>
        <v>4001/4002</v>
      </c>
      <c r="L179" s="21" t="str">
        <f>VLOOKUP(A179,'Trips&amp;Operators'!$C$1:$G$99999,5,FALSE)</f>
        <v>MACDONALD THOMAS</v>
      </c>
      <c r="M179" s="6">
        <f t="shared" si="52"/>
        <v>1.0196759256359655E-2</v>
      </c>
      <c r="N179" s="7">
        <f t="shared" si="67"/>
        <v>14.683333329157904</v>
      </c>
      <c r="O179" s="7"/>
      <c r="P179" s="7"/>
      <c r="Q179" s="22"/>
      <c r="R179" s="190"/>
      <c r="S179" s="196">
        <f t="shared" si="68"/>
        <v>1</v>
      </c>
      <c r="T179" s="190" t="str">
        <f t="shared" si="53"/>
        <v>NorthBound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 t="shared" si="54"/>
        <v>https://d0f6bd738d7f1b3e5a7ca70fe4ff75f0.us-east-1.aws.found.io/app/kibana#/discover/Steve-Slow-Train-Analysis-(2080s-and-2083s)?_g=(refreshInterval:(display:Off,pause:!f,section:0,value:0),time:(from:'2017-05-12T08:56:23-0600',mode:absolute,to:'2017-05-12T11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9" s="192" t="str">
        <f t="shared" si="55"/>
        <v>N</v>
      </c>
      <c r="X179" s="192">
        <f t="shared" si="48"/>
        <v>1</v>
      </c>
      <c r="Y179" s="192">
        <f t="shared" si="56"/>
        <v>0.10349999999999999</v>
      </c>
      <c r="Z179" s="192">
        <f t="shared" si="57"/>
        <v>5.8945999999999996</v>
      </c>
      <c r="AA179" s="192">
        <f t="shared" si="58"/>
        <v>5.7910999999999992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59"/>
        <v>0815-12</v>
      </c>
      <c r="AE179" s="80" t="str">
        <f t="shared" si="60"/>
        <v>aws s3 cp s3://rtdc.mdm.uploadarchive.raw/RTDC4002/ "%USERPROFILE%\AppData\Local\Temp\OnboardLogs"\RTDC4002\2017-05-12 --exclude "*" --recursive --include "*20170512*" &amp; "%USERPROFILE%\Documents\GitHub\mrs-test-scripts\Headless Mode &amp; Sideloading\WalkAndUnGZ.bat" "%USERPROFILE%\AppData\Local\Temp\OnboardLogs"\RTDC4002\2017-05-12 &amp; aws s3 cp s3://rtdc.mdm.uploadarchive.raw/RTDC4002/ "%USERPROFILE%\AppData\Local\Temp\OnboardLogs"\RTDC4002\2017-05-13 --exclude "*" --recursive --include "*20170513*" &amp; "%USERPROFILE%\Documents\GitHub\mrs-test-scripts\Headless Mode &amp; Sideloading\WalkAndUnGZ.bat" "%USERPROFILE%\AppData\Local\Temp\OnboardLogs"\RTDC4002\2017-05-13</v>
      </c>
      <c r="AF179" s="77" t="str">
        <f t="shared" si="61"/>
        <v>"C:\Program Files (x86)\AstroGrep\AstroGrep.exe" /e /r /s /spath="%USERPROFILE%\AppData\Local\Temp\OnboardLogs" /stypes="app*4002*20170512*" /stext=" 16:.+((SYSTEM_STATE.+slice.+state.+changed )|(ment ac)|(multiple cpu faults)|(system.+state.+changed )|(\[timeout)|(PRM\|1\|D)|(kpr)|(kdp)|(train st.+moving)|(\|lc)|(penalty))"</v>
      </c>
      <c r="AG179" s="1" t="str">
        <f t="shared" si="62"/>
        <v>NW</v>
      </c>
      <c r="AH179" s="81" t="str">
        <f t="shared" si="63"/>
        <v>"%USERPROFILE%\Documents\GitHub\eaglep3\Utilities\RefineRTDCRunTimes.py" --tripid 815-12 --locoid 4002 --swversion DE.1.0.9.0 --startMP 204:1035 --initTime 2017-05-12T09:56:23 --startdatetime 2017-05-12T10:21:16 --delay 0 --endMP 300:58946 --enddatetime 2017-05-12T10:35:57 --enforcementcount 0 &gt;&gt;C:\Users\stu\Documents\GitHub\eaglep3-reporting\EC\2017-05-12-refined-times.txt</v>
      </c>
      <c r="AI179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{"issue":{"subject":"","project_id":79,"tracker_id":40,"status_id":1,"priority_id":2,"assigned_to_id":23,"start_date":"2017-05-12","description":"","custom_fields":[{"id":1,"name":"Subdivision","value":"NW"},{"id":4,"name":"Milepost","value":"5.8946"},{"id":17,"name":"Train ID","value":"815-12"},{"id":16,"name":"Locomotive ID","value":"4002"},{"id":130,"name":"Impact","value":""},{"id":150,"name":"Time of Event (Mountain Time)","value":"10:35:57"},{"id":151,"name":"Denver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65"/>
        <v>start /low /b %USERPROFILE%\Documents\GitHub\eaglep3\Utilities\DownloadLogsFromS3.py --loco 4002 --day 2017-05-12</v>
      </c>
      <c r="AN179" s="154" t="str">
        <f t="shared" si="66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16:35:57"},{"id":29,"name":"Sharepoint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2" t="s">
        <v>678</v>
      </c>
      <c r="B180" s="7">
        <v>4001</v>
      </c>
      <c r="C180" s="21" t="s">
        <v>206</v>
      </c>
      <c r="D180" s="21" t="s">
        <v>985</v>
      </c>
      <c r="E180" s="13">
        <v>42867.442337962966</v>
      </c>
      <c r="F180" s="13">
        <v>42867.443460648145</v>
      </c>
      <c r="G180" s="7">
        <v>1</v>
      </c>
      <c r="H180" s="21" t="s">
        <v>542</v>
      </c>
      <c r="I180" s="13">
        <v>42867.45516203704</v>
      </c>
      <c r="J180" s="7">
        <v>0</v>
      </c>
      <c r="K180" s="92" t="str">
        <f t="shared" si="51"/>
        <v>4001/4002</v>
      </c>
      <c r="L180" s="21" t="str">
        <f>VLOOKUP(A180,'Trips&amp;Operators'!$C$1:$G$99999,5,FALSE)</f>
        <v>MACDONALD THOMAS</v>
      </c>
      <c r="M180" s="6">
        <f t="shared" si="52"/>
        <v>1.1701388895744458E-2</v>
      </c>
      <c r="N180" s="7">
        <f t="shared" si="67"/>
        <v>16.850000009872019</v>
      </c>
      <c r="O180" s="7"/>
      <c r="P180" s="7"/>
      <c r="Q180" s="22"/>
      <c r="R180" s="190"/>
      <c r="S180" s="196">
        <f t="shared" si="68"/>
        <v>1</v>
      </c>
      <c r="T180" s="190" t="str">
        <f t="shared" si="53"/>
        <v>Southbound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 t="shared" si="54"/>
        <v>https://d0f6bd738d7f1b3e5a7ca70fe4ff75f0.us-east-1.aws.found.io/app/kibana#/discover/Steve-Slow-Train-Analysis-(2080s-and-2083s)?_g=(refreshInterval:(display:Off,pause:!f,section:0,value:0),time:(from:'2017-05-12T09:36:58-0600',mode:absolute,to:'2017-05-12T11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0" s="192" t="str">
        <f t="shared" si="55"/>
        <v>N</v>
      </c>
      <c r="X180" s="192">
        <f t="shared" si="48"/>
        <v>1</v>
      </c>
      <c r="Y180" s="192">
        <f t="shared" si="56"/>
        <v>5.8628</v>
      </c>
      <c r="Z180" s="192">
        <f t="shared" si="57"/>
        <v>6.6400000000000001E-2</v>
      </c>
      <c r="AA180" s="192">
        <f t="shared" si="58"/>
        <v>5.7964000000000002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59"/>
        <v>0816-12</v>
      </c>
      <c r="AE180" s="80" t="str">
        <f t="shared" si="60"/>
        <v>aws s3 cp s3://rtdc.mdm.uploadarchive.raw/RTDC4001/ "%USERPROFILE%\AppData\Local\Temp\OnboardLogs"\RTDC4001\2017-05-12 --exclude "*" --recursive --include "*20170512*" &amp; "%USERPROFILE%\Documents\GitHub\mrs-test-scripts\Headless Mode &amp; Sideloading\WalkAndUnGZ.bat" "%USERPROFILE%\AppData\Local\Temp\OnboardLogs"\RTDC4001\2017-05-12 &amp; aws s3 cp s3://rtdc.mdm.uploadarchive.raw/RTDC4001/ "%USERPROFILE%\AppData\Local\Temp\OnboardLogs"\RTDC4001\2017-05-13 --exclude "*" --recursive --include "*20170513*" &amp; "%USERPROFILE%\Documents\GitHub\mrs-test-scripts\Headless Mode &amp; Sideloading\WalkAndUnGZ.bat" "%USERPROFILE%\AppData\Local\Temp\OnboardLogs"\RTDC4001\2017-05-13</v>
      </c>
      <c r="AF180" s="77" t="str">
        <f t="shared" si="61"/>
        <v>"C:\Program Files (x86)\AstroGrep\AstroGrep.exe" /e /r /s /spath="%USERPROFILE%\AppData\Local\Temp\OnboardLogs" /stypes="app*4001*20170512*" /stext=" 16:.+((SYSTEM_STATE.+slice.+state.+changed )|(ment ac)|(multiple cpu faults)|(system.+state.+changed )|(\[timeout)|(PRM\|1\|D)|(kpr)|(kdp)|(train st.+moving)|(\|lc)|(penalty))"</v>
      </c>
      <c r="AG180" s="1" t="str">
        <f t="shared" si="62"/>
        <v>NW</v>
      </c>
      <c r="AH180" s="81" t="str">
        <f t="shared" si="63"/>
        <v>"%USERPROFILE%\Documents\GitHub\eaglep3\Utilities\RefineRTDCRunTimes.py" --tripid 816-12 --locoid 4001 --swversion DE.1.0.9.0 --startMP 300:58628 --initTime 2017-05-12T10:36:58 --startdatetime 2017-05-12T10:38:35 --delay 1 --endMP 204:664 --enddatetime 2017-05-12T10:55:26 --enforcementcount 0 &gt;&gt;C:\Users\stu\Documents\GitHub\eaglep3-reporting\EC\2017-05-12-refined-times.txt</v>
      </c>
      <c r="AI180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{"issue":{"subject":"","project_id":79,"tracker_id":40,"status_id":1,"priority_id":2,"assigned_to_id":23,"start_date":"2017-05-12","description":"","custom_fields":[{"id":1,"name":"Subdivision","value":"NW"},{"id":4,"name":"Milepost","value":"0.0664"},{"id":17,"name":"Train ID","value":"816-12"},{"id":16,"name":"Locomotive ID","value":"4001"},{"id":130,"name":"Impact","value":""},{"id":150,"name":"Time of Event (Mountain Time)","value":"10:55:26"},{"id":151,"name":"Denver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65"/>
        <v>start /low /b %USERPROFILE%\Documents\GitHub\eaglep3\Utilities\DownloadLogsFromS3.py --loco 4001 --day 2017-05-12</v>
      </c>
      <c r="AN180" s="154" t="str">
        <f t="shared" si="66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16:55:26"},{"id":29,"name":"Sharepoint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569</v>
      </c>
      <c r="B181" s="7">
        <v>4002</v>
      </c>
      <c r="C181" s="21" t="s">
        <v>206</v>
      </c>
      <c r="D181" s="21" t="s">
        <v>986</v>
      </c>
      <c r="E181" s="13">
        <v>42867.470046296294</v>
      </c>
      <c r="F181" s="13">
        <v>42867.473402777781</v>
      </c>
      <c r="G181" s="7">
        <v>1</v>
      </c>
      <c r="H181" s="21" t="s">
        <v>491</v>
      </c>
      <c r="I181" s="13">
        <v>42867.484085648146</v>
      </c>
      <c r="J181" s="7">
        <v>0</v>
      </c>
      <c r="K181" s="92" t="str">
        <f t="shared" si="51"/>
        <v>4001/4002</v>
      </c>
      <c r="L181" s="21" t="str">
        <f>VLOOKUP(A181,'Trips&amp;Operators'!$C$1:$G$99999,5,FALSE)</f>
        <v>MACDONALD THOMAS</v>
      </c>
      <c r="M181" s="6">
        <f t="shared" si="52"/>
        <v>1.0682870364689734E-2</v>
      </c>
      <c r="N181" s="7">
        <f t="shared" si="67"/>
        <v>15.383333325153217</v>
      </c>
      <c r="O181" s="7"/>
      <c r="P181" s="7"/>
      <c r="Q181" s="22"/>
      <c r="R181" s="190"/>
      <c r="S181" s="196">
        <f t="shared" si="68"/>
        <v>1</v>
      </c>
      <c r="T181" s="190" t="str">
        <f t="shared" si="53"/>
        <v>NorthBound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1" t="str">
        <f t="shared" si="54"/>
        <v>https://d0f6bd738d7f1b3e5a7ca70fe4ff75f0.us-east-1.aws.found.io/app/kibana#/discover/Steve-Slow-Train-Analysis-(2080s-and-2083s)?_g=(refreshInterval:(display:Off,pause:!f,section:0,value:0),time:(from:'2017-05-12T10:16:52-0600',mode:absolute,to:'2017-05-12T12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1" s="192" t="str">
        <f t="shared" si="55"/>
        <v>N</v>
      </c>
      <c r="X181" s="192">
        <f t="shared" si="48"/>
        <v>1</v>
      </c>
      <c r="Y181" s="192">
        <f t="shared" si="56"/>
        <v>9.5500000000000002E-2</v>
      </c>
      <c r="Z181" s="192">
        <f t="shared" si="57"/>
        <v>5.8929</v>
      </c>
      <c r="AA181" s="192">
        <f t="shared" si="58"/>
        <v>5.7973999999999997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59"/>
        <v>0817-12</v>
      </c>
      <c r="AE181" s="80" t="str">
        <f t="shared" si="60"/>
        <v>aws s3 cp s3://rtdc.mdm.uploadarchive.raw/RTDC4002/ "%USERPROFILE%\AppData\Local\Temp\OnboardLogs"\RTDC4002\2017-05-12 --exclude "*" --recursive --include "*20170512*" &amp; "%USERPROFILE%\Documents\GitHub\mrs-test-scripts\Headless Mode &amp; Sideloading\WalkAndUnGZ.bat" "%USERPROFILE%\AppData\Local\Temp\OnboardLogs"\RTDC4002\2017-05-12 &amp; aws s3 cp s3://rtdc.mdm.uploadarchive.raw/RTDC4002/ "%USERPROFILE%\AppData\Local\Temp\OnboardLogs"\RTDC4002\2017-05-13 --exclude "*" --recursive --include "*20170513*" &amp; "%USERPROFILE%\Documents\GitHub\mrs-test-scripts\Headless Mode &amp; Sideloading\WalkAndUnGZ.bat" "%USERPROFILE%\AppData\Local\Temp\OnboardLogs"\RTDC4002\2017-05-13</v>
      </c>
      <c r="AF181" s="77" t="str">
        <f t="shared" si="61"/>
        <v>"C:\Program Files (x86)\AstroGrep\AstroGrep.exe" /e /r /s /spath="%USERPROFILE%\AppData\Local\Temp\OnboardLogs" /stypes="app*4002*20170512*" /stext=" 17:.+((SYSTEM_STATE.+slice.+state.+changed )|(ment ac)|(multiple cpu faults)|(system.+state.+changed )|(\[timeout)|(PRM\|1\|D)|(kpr)|(kdp)|(train st.+moving)|(\|lc)|(penalty))"</v>
      </c>
      <c r="AG181" s="1" t="str">
        <f t="shared" si="62"/>
        <v>NW</v>
      </c>
      <c r="AH181" s="81" t="str">
        <f t="shared" si="63"/>
        <v>"%USERPROFILE%\Documents\GitHub\eaglep3\Utilities\RefineRTDCRunTimes.py" --tripid 817-12 --locoid 4002 --swversion DE.1.0.9.0 --startMP 204:955 --initTime 2017-05-12T11:16:52 --startdatetime 2017-05-12T11:21:42 --delay 1 --endMP 300:58929 --enddatetime 2017-05-12T11:37:05 --enforcementcount 0 &gt;&gt;C:\Users\stu\Documents\GitHub\eaglep3-reporting\EC\2017-05-12-refined-times.txt</v>
      </c>
      <c r="AI181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{"issue":{"subject":"","project_id":79,"tracker_id":40,"status_id":1,"priority_id":2,"assigned_to_id":23,"start_date":"2017-05-12","description":"","custom_fields":[{"id":1,"name":"Subdivision","value":"NW"},{"id":4,"name":"Milepost","value":"5.8929"},{"id":17,"name":"Train ID","value":"817-12"},{"id":16,"name":"Locomotive ID","value":"4002"},{"id":130,"name":"Impact","value":""},{"id":150,"name":"Time of Event (Mountain Time)","value":"11:37:05"},{"id":151,"name":"Denver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65"/>
        <v>start /low /b %USERPROFILE%\Documents\GitHub\eaglep3\Utilities\DownloadLogsFromS3.py --loco 4002 --day 2017-05-12</v>
      </c>
      <c r="AN181" s="154" t="str">
        <f t="shared" si="66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17:37:05"},{"id":29,"name":"Sharepoint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570</v>
      </c>
      <c r="B182" s="7">
        <v>4001</v>
      </c>
      <c r="C182" s="21" t="s">
        <v>206</v>
      </c>
      <c r="D182" s="21" t="s">
        <v>547</v>
      </c>
      <c r="E182" s="13">
        <v>42867.484780092593</v>
      </c>
      <c r="F182" s="13">
        <v>42867.485810185186</v>
      </c>
      <c r="G182" s="7">
        <v>0</v>
      </c>
      <c r="H182" s="21" t="s">
        <v>974</v>
      </c>
      <c r="I182" s="13">
        <v>42867.496469907404</v>
      </c>
      <c r="J182" s="7">
        <v>0</v>
      </c>
      <c r="K182" s="92" t="str">
        <f t="shared" si="51"/>
        <v>4001/4002</v>
      </c>
      <c r="L182" s="21" t="str">
        <f>VLOOKUP(A182,'Trips&amp;Operators'!$C$1:$G$99999,5,FALSE)</f>
        <v>MACDONALD THOMAS</v>
      </c>
      <c r="M182" s="6">
        <f t="shared" si="52"/>
        <v>1.0659722218406387E-2</v>
      </c>
      <c r="N182" s="7">
        <f t="shared" si="67"/>
        <v>15.349999994505197</v>
      </c>
      <c r="O182" s="7"/>
      <c r="P182" s="7"/>
      <c r="Q182" s="22"/>
      <c r="R182" s="190"/>
      <c r="S182" s="196">
        <f t="shared" si="68"/>
        <v>1</v>
      </c>
      <c r="T182" s="190" t="str">
        <f t="shared" si="53"/>
        <v>Southbound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 t="shared" si="54"/>
        <v>https://d0f6bd738d7f1b3e5a7ca70fe4ff75f0.us-east-1.aws.found.io/app/kibana#/discover/Steve-Slow-Train-Analysis-(2080s-and-2083s)?_g=(refreshInterval:(display:Off,pause:!f,section:0,value:0),time:(from:'2017-05-12T10:38:05-0600',mode:absolute,to:'2017-05-12T12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2" s="192" t="str">
        <f t="shared" si="55"/>
        <v>N</v>
      </c>
      <c r="X182" s="192">
        <f t="shared" si="48"/>
        <v>1</v>
      </c>
      <c r="Y182" s="192">
        <f t="shared" si="56"/>
        <v>5.8615000000000004</v>
      </c>
      <c r="Z182" s="192">
        <f t="shared" si="57"/>
        <v>6.7699999999999996E-2</v>
      </c>
      <c r="AA182" s="192">
        <f t="shared" si="58"/>
        <v>5.7938000000000001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59"/>
        <v>0818-12</v>
      </c>
      <c r="AE182" s="80" t="str">
        <f t="shared" si="60"/>
        <v>aws s3 cp s3://rtdc.mdm.uploadarchive.raw/RTDC4001/ "%USERPROFILE%\AppData\Local\Temp\OnboardLogs"\RTDC4001\2017-05-12 --exclude "*" --recursive --include "*20170512*" &amp; "%USERPROFILE%\Documents\GitHub\mrs-test-scripts\Headless Mode &amp; Sideloading\WalkAndUnGZ.bat" "%USERPROFILE%\AppData\Local\Temp\OnboardLogs"\RTDC4001\2017-05-12 &amp; aws s3 cp s3://rtdc.mdm.uploadarchive.raw/RTDC4001/ "%USERPROFILE%\AppData\Local\Temp\OnboardLogs"\RTDC4001\2017-05-13 --exclude "*" --recursive --include "*20170513*" &amp; "%USERPROFILE%\Documents\GitHub\mrs-test-scripts\Headless Mode &amp; Sideloading\WalkAndUnGZ.bat" "%USERPROFILE%\AppData\Local\Temp\OnboardLogs"\RTDC4001\2017-05-13</v>
      </c>
      <c r="AF182" s="77" t="str">
        <f t="shared" si="61"/>
        <v>"C:\Program Files (x86)\AstroGrep\AstroGrep.exe" /e /r /s /spath="%USERPROFILE%\AppData\Local\Temp\OnboardLogs" /stypes="app*4001*20170512*" /stext=" 17:.+((SYSTEM_STATE.+slice.+state.+changed )|(ment ac)|(multiple cpu faults)|(system.+state.+changed )|(\[timeout)|(PRM\|1\|D)|(kpr)|(kdp)|(train st.+moving)|(\|lc)|(penalty))"</v>
      </c>
      <c r="AG182" s="1" t="str">
        <f t="shared" si="62"/>
        <v>NW</v>
      </c>
      <c r="AH182" s="81" t="str">
        <f t="shared" si="63"/>
        <v>"%USERPROFILE%\Documents\GitHub\eaglep3\Utilities\RefineRTDCRunTimes.py" --tripid 818-12 --locoid 4001 --swversion DE.1.0.9.0 --startMP 300:58615 --initTime 2017-05-12T11:38:05 --startdatetime 2017-05-12T11:39:34 --delay 0 --endMP 204:677 --enddatetime 2017-05-12T11:54:55 --enforcementcount 0 &gt;&gt;C:\Users\stu\Documents\GitHub\eaglep3-reporting\EC\2017-05-12-refined-times.txt</v>
      </c>
      <c r="AI182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{"issue":{"subject":"","project_id":79,"tracker_id":40,"status_id":1,"priority_id":2,"assigned_to_id":23,"start_date":"2017-05-12","description":"","custom_fields":[{"id":1,"name":"Subdivision","value":"NW"},{"id":4,"name":"Milepost","value":"0.0677"},{"id":17,"name":"Train ID","value":"818-12"},{"id":16,"name":"Locomotive ID","value":"4001"},{"id":130,"name":"Impact","value":""},{"id":150,"name":"Time of Event (Mountain Time)","value":"11:54:55"},{"id":151,"name":"Denver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65"/>
        <v>start /low /b %USERPROFILE%\Documents\GitHub\eaglep3\Utilities\DownloadLogsFromS3.py --loco 4001 --day 2017-05-12</v>
      </c>
      <c r="AN182" s="154" t="str">
        <f t="shared" si="66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17:54:55"},{"id":29,"name":"Sharepoint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689</v>
      </c>
      <c r="B183" s="7">
        <v>4002</v>
      </c>
      <c r="C183" s="21" t="s">
        <v>206</v>
      </c>
      <c r="D183" s="21" t="s">
        <v>978</v>
      </c>
      <c r="E183" s="13">
        <v>42867.498645833337</v>
      </c>
      <c r="F183" s="13">
        <v>42867.514965277776</v>
      </c>
      <c r="G183" s="7">
        <v>0</v>
      </c>
      <c r="H183" s="21" t="s">
        <v>987</v>
      </c>
      <c r="I183" s="13">
        <v>42867.525266203702</v>
      </c>
      <c r="J183" s="7">
        <v>0</v>
      </c>
      <c r="K183" s="92" t="str">
        <f t="shared" si="51"/>
        <v>4001/4002</v>
      </c>
      <c r="L183" s="21" t="str">
        <f>VLOOKUP(A183,'Trips&amp;Operators'!$C$1:$G$99999,5,FALSE)</f>
        <v>MACDONALD THOMAS</v>
      </c>
      <c r="M183" s="6">
        <f t="shared" si="52"/>
        <v>1.0300925925548654E-2</v>
      </c>
      <c r="N183" s="7">
        <f t="shared" si="67"/>
        <v>14.833333332790062</v>
      </c>
      <c r="O183" s="7"/>
      <c r="P183" s="7"/>
      <c r="Q183" s="22"/>
      <c r="R183" s="190"/>
      <c r="S183" s="196">
        <f t="shared" si="68"/>
        <v>1</v>
      </c>
      <c r="T183" s="190" t="str">
        <f t="shared" si="53"/>
        <v>NorthBound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1" t="str">
        <f t="shared" si="54"/>
        <v>https://d0f6bd738d7f1b3e5a7ca70fe4ff75f0.us-east-1.aws.found.io/app/kibana#/discover/Steve-Slow-Train-Analysis-(2080s-and-2083s)?_g=(refreshInterval:(display:Off,pause:!f,section:0,value:0),time:(from:'2017-05-12T10:58:03-0600',mode:absolute,to:'2017-05-12T13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3" s="192" t="str">
        <f t="shared" si="55"/>
        <v>N</v>
      </c>
      <c r="X183" s="192">
        <f t="shared" si="48"/>
        <v>1</v>
      </c>
      <c r="Y183" s="192">
        <f t="shared" si="56"/>
        <v>9.6199999999999994E-2</v>
      </c>
      <c r="Z183" s="192">
        <f t="shared" si="57"/>
        <v>5.8939000000000004</v>
      </c>
      <c r="AA183" s="192">
        <f t="shared" si="58"/>
        <v>5.7977000000000007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59"/>
        <v>0819-12</v>
      </c>
      <c r="AE183" s="80" t="str">
        <f t="shared" si="60"/>
        <v>aws s3 cp s3://rtdc.mdm.uploadarchive.raw/RTDC4002/ "%USERPROFILE%\AppData\Local\Temp\OnboardLogs"\RTDC4002\2017-05-12 --exclude "*" --recursive --include "*20170512*" &amp; "%USERPROFILE%\Documents\GitHub\mrs-test-scripts\Headless Mode &amp; Sideloading\WalkAndUnGZ.bat" "%USERPROFILE%\AppData\Local\Temp\OnboardLogs"\RTDC4002\2017-05-12 &amp; aws s3 cp s3://rtdc.mdm.uploadarchive.raw/RTDC4002/ "%USERPROFILE%\AppData\Local\Temp\OnboardLogs"\RTDC4002\2017-05-13 --exclude "*" --recursive --include "*20170513*" &amp; "%USERPROFILE%\Documents\GitHub\mrs-test-scripts\Headless Mode &amp; Sideloading\WalkAndUnGZ.bat" "%USERPROFILE%\AppData\Local\Temp\OnboardLogs"\RTDC4002\2017-05-13</v>
      </c>
      <c r="AF183" s="77" t="str">
        <f t="shared" si="61"/>
        <v>"C:\Program Files (x86)\AstroGrep\AstroGrep.exe" /e /r /s /spath="%USERPROFILE%\AppData\Local\Temp\OnboardLogs" /stypes="app*4002*20170512*" /stext=" 18:.+((SYSTEM_STATE.+slice.+state.+changed )|(ment ac)|(multiple cpu faults)|(system.+state.+changed )|(\[timeout)|(PRM\|1\|D)|(kpr)|(kdp)|(train st.+moving)|(\|lc)|(penalty))"</v>
      </c>
      <c r="AG183" s="1" t="str">
        <f t="shared" si="62"/>
        <v>NW</v>
      </c>
      <c r="AH183" s="81" t="str">
        <f t="shared" si="63"/>
        <v>"%USERPROFILE%\Documents\GitHub\eaglep3\Utilities\RefineRTDCRunTimes.py" --tripid 819-12 --locoid 4002 --swversion DE.1.0.9.0 --startMP 204:962 --initTime 2017-05-12T11:58:03 --startdatetime 2017-05-12T12:21:33 --delay 0 --endMP 300:58939 --enddatetime 2017-05-12T12:36:23 --enforcementcount 0 &gt;&gt;C:\Users\stu\Documents\GitHub\eaglep3-reporting\EC\2017-05-12-refined-times.txt</v>
      </c>
      <c r="AI183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{"issue":{"subject":"","project_id":79,"tracker_id":40,"status_id":1,"priority_id":2,"assigned_to_id":23,"start_date":"2017-05-12","description":"","custom_fields":[{"id":1,"name":"Subdivision","value":"NW"},{"id":4,"name":"Milepost","value":"5.8939"},{"id":17,"name":"Train ID","value":"819-12"},{"id":16,"name":"Locomotive ID","value":"4002"},{"id":130,"name":"Impact","value":""},{"id":150,"name":"Time of Event (Mountain Time)","value":"12:36:23"},{"id":151,"name":"Denver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65"/>
        <v>start /low /b %USERPROFILE%\Documents\GitHub\eaglep3\Utilities\DownloadLogsFromS3.py --loco 4002 --day 2017-05-12</v>
      </c>
      <c r="AN183" s="154" t="str">
        <f t="shared" si="66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18:36:23"},{"id":29,"name":"Sharepoint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694</v>
      </c>
      <c r="B184" s="7">
        <v>4001</v>
      </c>
      <c r="C184" s="21" t="s">
        <v>206</v>
      </c>
      <c r="D184" s="21" t="s">
        <v>440</v>
      </c>
      <c r="E184" s="13">
        <v>42867.526377314818</v>
      </c>
      <c r="F184" s="13">
        <v>42867.527395833335</v>
      </c>
      <c r="G184" s="7">
        <v>0</v>
      </c>
      <c r="H184" s="21" t="s">
        <v>549</v>
      </c>
      <c r="I184" s="13">
        <v>42867.538078703707</v>
      </c>
      <c r="J184" s="7">
        <v>0</v>
      </c>
      <c r="K184" s="92" t="str">
        <f t="shared" si="51"/>
        <v>4001/4002</v>
      </c>
      <c r="L184" s="21" t="str">
        <f>VLOOKUP(A184,'Trips&amp;Operators'!$C$1:$G$99999,5,FALSE)</f>
        <v>MACDONALD THOMAS</v>
      </c>
      <c r="M184" s="6">
        <f t="shared" si="52"/>
        <v>1.0682870371965691E-2</v>
      </c>
      <c r="N184" s="7">
        <f t="shared" si="67"/>
        <v>15.383333335630596</v>
      </c>
      <c r="O184" s="7"/>
      <c r="P184" s="7"/>
      <c r="Q184" s="22"/>
      <c r="R184" s="190"/>
      <c r="S184" s="196">
        <f t="shared" si="68"/>
        <v>1</v>
      </c>
      <c r="T184" s="190" t="str">
        <f t="shared" si="53"/>
        <v>Southbound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 t="shared" si="54"/>
        <v>https://d0f6bd738d7f1b3e5a7ca70fe4ff75f0.us-east-1.aws.found.io/app/kibana#/discover/Steve-Slow-Train-Analysis-(2080s-and-2083s)?_g=(refreshInterval:(display:Off,pause:!f,section:0,value:0),time:(from:'2017-05-12T11:37:59-0600',mode:absolute,to:'2017-05-12T13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4" s="192" t="str">
        <f t="shared" si="55"/>
        <v>N</v>
      </c>
      <c r="X184" s="192">
        <f t="shared" si="48"/>
        <v>1</v>
      </c>
      <c r="Y184" s="192">
        <f t="shared" si="56"/>
        <v>5.8616999999999999</v>
      </c>
      <c r="Z184" s="192">
        <f t="shared" si="57"/>
        <v>6.7000000000000004E-2</v>
      </c>
      <c r="AA184" s="192">
        <f t="shared" si="58"/>
        <v>5.7946999999999997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59"/>
        <v>0820-12</v>
      </c>
      <c r="AE184" s="80" t="str">
        <f t="shared" si="60"/>
        <v>aws s3 cp s3://rtdc.mdm.uploadarchive.raw/RTDC4001/ "%USERPROFILE%\AppData\Local\Temp\OnboardLogs"\RTDC4001\2017-05-12 --exclude "*" --recursive --include "*20170512*" &amp; "%USERPROFILE%\Documents\GitHub\mrs-test-scripts\Headless Mode &amp; Sideloading\WalkAndUnGZ.bat" "%USERPROFILE%\AppData\Local\Temp\OnboardLogs"\RTDC4001\2017-05-12 &amp; aws s3 cp s3://rtdc.mdm.uploadarchive.raw/RTDC4001/ "%USERPROFILE%\AppData\Local\Temp\OnboardLogs"\RTDC4001\2017-05-13 --exclude "*" --recursive --include "*20170513*" &amp; "%USERPROFILE%\Documents\GitHub\mrs-test-scripts\Headless Mode &amp; Sideloading\WalkAndUnGZ.bat" "%USERPROFILE%\AppData\Local\Temp\OnboardLogs"\RTDC4001\2017-05-13</v>
      </c>
      <c r="AF184" s="77" t="str">
        <f t="shared" si="61"/>
        <v>"C:\Program Files (x86)\AstroGrep\AstroGrep.exe" /e /r /s /spath="%USERPROFILE%\AppData\Local\Temp\OnboardLogs" /stypes="app*4001*20170512*" /stext=" 18:.+((SYSTEM_STATE.+slice.+state.+changed )|(ment ac)|(multiple cpu faults)|(system.+state.+changed )|(\[timeout)|(PRM\|1\|D)|(kpr)|(kdp)|(train st.+moving)|(\|lc)|(penalty))"</v>
      </c>
      <c r="AG184" s="1" t="str">
        <f t="shared" si="62"/>
        <v>NW</v>
      </c>
      <c r="AH184" s="81" t="str">
        <f t="shared" si="63"/>
        <v>"%USERPROFILE%\Documents\GitHub\eaglep3\Utilities\RefineRTDCRunTimes.py" --tripid 820-12 --locoid 4001 --swversion DE.1.0.9.0 --startMP 300:58617 --initTime 2017-05-12T12:37:59 --startdatetime 2017-05-12T12:39:27 --delay 0 --endMP 204:670 --enddatetime 2017-05-12T12:54:50 --enforcementcount 0 &gt;&gt;C:\Users\stu\Documents\GitHub\eaglep3-reporting\EC\2017-05-12-refined-times.txt</v>
      </c>
      <c r="AI184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{"issue":{"subject":"","project_id":79,"tracker_id":40,"status_id":1,"priority_id":2,"assigned_to_id":23,"start_date":"2017-05-12","description":"","custom_fields":[{"id":1,"name":"Subdivision","value":"NW"},{"id":4,"name":"Milepost","value":"0.067"},{"id":17,"name":"Train ID","value":"820-12"},{"id":16,"name":"Locomotive ID","value":"4001"},{"id":130,"name":"Impact","value":""},{"id":150,"name":"Time of Event (Mountain Time)","value":"12:54:50"},{"id":151,"name":"Denver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65"/>
        <v>start /low /b %USERPROFILE%\Documents\GitHub\eaglep3\Utilities\DownloadLogsFromS3.py --loco 4001 --day 2017-05-12</v>
      </c>
      <c r="AN184" s="154" t="str">
        <f t="shared" si="66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18:54:50"},{"id":29,"name":"Sharepoint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2" t="s">
        <v>698</v>
      </c>
      <c r="B185" s="7">
        <v>4002</v>
      </c>
      <c r="C185" s="21" t="s">
        <v>206</v>
      </c>
      <c r="D185" s="21" t="s">
        <v>986</v>
      </c>
      <c r="E185" s="13">
        <v>42867.542245370372</v>
      </c>
      <c r="F185" s="13">
        <v>42867.556388888886</v>
      </c>
      <c r="G185" s="7">
        <v>1</v>
      </c>
      <c r="H185" s="21" t="s">
        <v>988</v>
      </c>
      <c r="I185" s="13">
        <v>42867.566655092596</v>
      </c>
      <c r="J185" s="7">
        <v>0</v>
      </c>
      <c r="K185" s="92" t="str">
        <f t="shared" si="51"/>
        <v>4001/4002</v>
      </c>
      <c r="L185" s="21" t="str">
        <f>VLOOKUP(A185,'Trips&amp;Operators'!$C$1:$G$99999,5,FALSE)</f>
        <v>ZEWDU DEREJE</v>
      </c>
      <c r="M185" s="6">
        <f t="shared" si="52"/>
        <v>1.0266203709761612E-2</v>
      </c>
      <c r="N185" s="7">
        <f t="shared" si="67"/>
        <v>14.783333342056721</v>
      </c>
      <c r="O185" s="7"/>
      <c r="P185" s="7"/>
      <c r="Q185" s="22"/>
      <c r="R185" s="190"/>
      <c r="S185" s="196">
        <f t="shared" si="68"/>
        <v>1</v>
      </c>
      <c r="T185" s="190" t="str">
        <f t="shared" si="53"/>
        <v>NorthBound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1" t="str">
        <f t="shared" si="54"/>
        <v>https://d0f6bd738d7f1b3e5a7ca70fe4ff75f0.us-east-1.aws.found.io/app/kibana#/discover/Steve-Slow-Train-Analysis-(2080s-and-2083s)?_g=(refreshInterval:(display:Off,pause:!f,section:0,value:0),time:(from:'2017-05-12T12:00:50-0600',mode:absolute,to:'2017-05-12T14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5" s="192" t="str">
        <f t="shared" si="55"/>
        <v>N</v>
      </c>
      <c r="X185" s="192">
        <f t="shared" si="48"/>
        <v>1</v>
      </c>
      <c r="Y185" s="192">
        <f t="shared" si="56"/>
        <v>9.5500000000000002E-2</v>
      </c>
      <c r="Z185" s="192">
        <f t="shared" si="57"/>
        <v>5.8978000000000002</v>
      </c>
      <c r="AA185" s="192">
        <f t="shared" si="58"/>
        <v>5.8022999999999998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59"/>
        <v>0821-12</v>
      </c>
      <c r="AE185" s="80" t="str">
        <f t="shared" si="60"/>
        <v>aws s3 cp s3://rtdc.mdm.uploadarchive.raw/RTDC4002/ "%USERPROFILE%\AppData\Local\Temp\OnboardLogs"\RTDC4002\2017-05-12 --exclude "*" --recursive --include "*20170512*" &amp; "%USERPROFILE%\Documents\GitHub\mrs-test-scripts\Headless Mode &amp; Sideloading\WalkAndUnGZ.bat" "%USERPROFILE%\AppData\Local\Temp\OnboardLogs"\RTDC4002\2017-05-12 &amp; aws s3 cp s3://rtdc.mdm.uploadarchive.raw/RTDC4002/ "%USERPROFILE%\AppData\Local\Temp\OnboardLogs"\RTDC4002\2017-05-13 --exclude "*" --recursive --include "*20170513*" &amp; "%USERPROFILE%\Documents\GitHub\mrs-test-scripts\Headless Mode &amp; Sideloading\WalkAndUnGZ.bat" "%USERPROFILE%\AppData\Local\Temp\OnboardLogs"\RTDC4002\2017-05-13</v>
      </c>
      <c r="AF185" s="77" t="str">
        <f t="shared" si="61"/>
        <v>"C:\Program Files (x86)\AstroGrep\AstroGrep.exe" /e /r /s /spath="%USERPROFILE%\AppData\Local\Temp\OnboardLogs" /stypes="app*4002*20170512*" /stext=" 19:.+((SYSTEM_STATE.+slice.+state.+changed )|(ment ac)|(multiple cpu faults)|(system.+state.+changed )|(\[timeout)|(PRM\|1\|D)|(kpr)|(kdp)|(train st.+moving)|(\|lc)|(penalty))"</v>
      </c>
      <c r="AG185" s="1" t="str">
        <f t="shared" si="62"/>
        <v>NW</v>
      </c>
      <c r="AH185" s="81" t="str">
        <f t="shared" si="63"/>
        <v>"%USERPROFILE%\Documents\GitHub\eaglep3\Utilities\RefineRTDCRunTimes.py" --tripid 821-12 --locoid 4002 --swversion DE.1.0.9.0 --startMP 204:955 --initTime 2017-05-12T13:00:50 --startdatetime 2017-05-12T13:21:12 --delay 1 --endMP 300:58978 --enddatetime 2017-05-12T13:35:59 --enforcementcount 0 &gt;&gt;C:\Users\stu\Documents\GitHub\eaglep3-reporting\EC\2017-05-12-refined-times.txt</v>
      </c>
      <c r="AI185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{"issue":{"subject":"","project_id":79,"tracker_id":40,"status_id":1,"priority_id":2,"assigned_to_id":23,"start_date":"2017-05-12","description":"","custom_fields":[{"id":1,"name":"Subdivision","value":"NW"},{"id":4,"name":"Milepost","value":"5.8978"},{"id":17,"name":"Train ID","value":"821-12"},{"id":16,"name":"Locomotive ID","value":"4002"},{"id":130,"name":"Impact","value":""},{"id":150,"name":"Time of Event (Mountain Time)","value":"13:35:59"},{"id":151,"name":"Denver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65"/>
        <v>start /low /b %USERPROFILE%\Documents\GitHub\eaglep3\Utilities\DownloadLogsFromS3.py --loco 4002 --day 2017-05-12</v>
      </c>
      <c r="AN185" s="154" t="str">
        <f t="shared" si="66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19:35:59"},{"id":29,"name":"Sharepoint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2" t="s">
        <v>704</v>
      </c>
      <c r="B186" s="7">
        <v>4001</v>
      </c>
      <c r="C186" s="21" t="s">
        <v>206</v>
      </c>
      <c r="D186" s="21" t="s">
        <v>550</v>
      </c>
      <c r="E186" s="13">
        <v>42867.56759259259</v>
      </c>
      <c r="F186" s="13">
        <v>42867.569421296299</v>
      </c>
      <c r="G186" s="7">
        <v>1</v>
      </c>
      <c r="H186" s="21" t="s">
        <v>545</v>
      </c>
      <c r="I186" s="13">
        <v>42867.58</v>
      </c>
      <c r="J186" s="7">
        <v>0</v>
      </c>
      <c r="K186" s="92" t="str">
        <f t="shared" si="51"/>
        <v>4001/4002</v>
      </c>
      <c r="L186" s="21" t="str">
        <f>VLOOKUP(A186,'Trips&amp;Operators'!$C$1:$G$99999,5,FALSE)</f>
        <v>ZEWDU DEREJE</v>
      </c>
      <c r="M186" s="6">
        <f t="shared" si="52"/>
        <v>1.0578703702776693E-2</v>
      </c>
      <c r="N186" s="7">
        <f t="shared" si="67"/>
        <v>15.233333331998438</v>
      </c>
      <c r="O186" s="7"/>
      <c r="P186" s="7"/>
      <c r="Q186" s="22"/>
      <c r="R186" s="190"/>
      <c r="S186" s="196">
        <f t="shared" si="68"/>
        <v>1</v>
      </c>
      <c r="T186" s="190" t="str">
        <f t="shared" si="53"/>
        <v>Southbound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 t="shared" si="54"/>
        <v>https://d0f6bd738d7f1b3e5a7ca70fe4ff75f0.us-east-1.aws.found.io/app/kibana#/discover/Steve-Slow-Train-Analysis-(2080s-and-2083s)?_g=(refreshInterval:(display:Off,pause:!f,section:0,value:0),time:(from:'2017-05-12T12:37:20-0600',mode:absolute,to:'2017-05-12T14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6" s="192" t="str">
        <f t="shared" si="55"/>
        <v>N</v>
      </c>
      <c r="X186" s="192">
        <f t="shared" si="48"/>
        <v>1</v>
      </c>
      <c r="Y186" s="192">
        <f t="shared" si="56"/>
        <v>5.8662000000000001</v>
      </c>
      <c r="Z186" s="192">
        <f t="shared" si="57"/>
        <v>6.9800000000000001E-2</v>
      </c>
      <c r="AA186" s="192">
        <f t="shared" si="58"/>
        <v>5.7964000000000002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59"/>
        <v>0822-12</v>
      </c>
      <c r="AE186" s="80" t="str">
        <f t="shared" si="60"/>
        <v>aws s3 cp s3://rtdc.mdm.uploadarchive.raw/RTDC4001/ "%USERPROFILE%\AppData\Local\Temp\OnboardLogs"\RTDC4001\2017-05-12 --exclude "*" --recursive --include "*20170512*" &amp; "%USERPROFILE%\Documents\GitHub\mrs-test-scripts\Headless Mode &amp; Sideloading\WalkAndUnGZ.bat" "%USERPROFILE%\AppData\Local\Temp\OnboardLogs"\RTDC4001\2017-05-12 &amp; aws s3 cp s3://rtdc.mdm.uploadarchive.raw/RTDC4001/ "%USERPROFILE%\AppData\Local\Temp\OnboardLogs"\RTDC4001\2017-05-13 --exclude "*" --recursive --include "*20170513*" &amp; "%USERPROFILE%\Documents\GitHub\mrs-test-scripts\Headless Mode &amp; Sideloading\WalkAndUnGZ.bat" "%USERPROFILE%\AppData\Local\Temp\OnboardLogs"\RTDC4001\2017-05-13</v>
      </c>
      <c r="AF186" s="77" t="str">
        <f t="shared" si="61"/>
        <v>"C:\Program Files (x86)\AstroGrep\AstroGrep.exe" /e /r /s /spath="%USERPROFILE%\AppData\Local\Temp\OnboardLogs" /stypes="app*4001*20170512*" /stext=" 19:.+((SYSTEM_STATE.+slice.+state.+changed )|(ment ac)|(multiple cpu faults)|(system.+state.+changed )|(\[timeout)|(PRM\|1\|D)|(kpr)|(kdp)|(train st.+moving)|(\|lc)|(penalty))"</v>
      </c>
      <c r="AG186" s="1" t="str">
        <f t="shared" si="62"/>
        <v>NW</v>
      </c>
      <c r="AH186" s="81" t="str">
        <f t="shared" si="63"/>
        <v>"%USERPROFILE%\Documents\GitHub\eaglep3\Utilities\RefineRTDCRunTimes.py" --tripid 822-12 --locoid 4001 --swversion DE.1.0.9.0 --startMP 300:58662 --initTime 2017-05-12T13:37:20 --startdatetime 2017-05-12T13:39:58 --delay 1 --endMP 204:698 --enddatetime 2017-05-12T13:55:12 --enforcementcount 0 &gt;&gt;C:\Users\stu\Documents\GitHub\eaglep3-reporting\EC\2017-05-12-refined-times.txt</v>
      </c>
      <c r="AI186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{"issue":{"subject":"","project_id":79,"tracker_id":40,"status_id":1,"priority_id":2,"assigned_to_id":23,"start_date":"2017-05-12","description":"","custom_fields":[{"id":1,"name":"Subdivision","value":"NW"},{"id":4,"name":"Milepost","value":"0.0698"},{"id":17,"name":"Train ID","value":"822-12"},{"id":16,"name":"Locomotive ID","value":"4001"},{"id":130,"name":"Impact","value":""},{"id":150,"name":"Time of Event (Mountain Time)","value":"13:55:12"},{"id":151,"name":"Denver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65"/>
        <v>start /low /b %USERPROFILE%\Documents\GitHub\eaglep3\Utilities\DownloadLogsFromS3.py --loco 4001 --day 2017-05-12</v>
      </c>
      <c r="AN186" s="154" t="str">
        <f t="shared" si="66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19:55:12"},{"id":29,"name":"Sharepoint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707</v>
      </c>
      <c r="B187" s="7">
        <v>4002</v>
      </c>
      <c r="C187" s="21" t="s">
        <v>206</v>
      </c>
      <c r="D187" s="21" t="s">
        <v>537</v>
      </c>
      <c r="E187" s="13">
        <v>42867.581678240742</v>
      </c>
      <c r="F187" s="13">
        <v>42867.598078703704</v>
      </c>
      <c r="G187" s="7">
        <v>1</v>
      </c>
      <c r="H187" s="21" t="s">
        <v>546</v>
      </c>
      <c r="I187" s="13">
        <v>42867.608229166668</v>
      </c>
      <c r="J187" s="7">
        <v>0</v>
      </c>
      <c r="K187" s="92" t="str">
        <f t="shared" si="51"/>
        <v>4001/4002</v>
      </c>
      <c r="L187" s="21" t="str">
        <f>VLOOKUP(A187,'Trips&amp;Operators'!$C$1:$G$99999,5,FALSE)</f>
        <v>ZEWDU DEREJE</v>
      </c>
      <c r="M187" s="6">
        <f t="shared" si="52"/>
        <v>1.0150462963792961E-2</v>
      </c>
      <c r="N187" s="7">
        <f t="shared" si="67"/>
        <v>14.616666667861864</v>
      </c>
      <c r="O187" s="7"/>
      <c r="P187" s="7"/>
      <c r="Q187" s="22"/>
      <c r="R187" s="190"/>
      <c r="S187" s="196">
        <f t="shared" si="68"/>
        <v>1</v>
      </c>
      <c r="T187" s="190" t="str">
        <f t="shared" si="53"/>
        <v>NorthBound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 t="shared" si="54"/>
        <v>https://d0f6bd738d7f1b3e5a7ca70fe4ff75f0.us-east-1.aws.found.io/app/kibana#/discover/Steve-Slow-Train-Analysis-(2080s-and-2083s)?_g=(refreshInterval:(display:Off,pause:!f,section:0,value:0),time:(from:'2017-05-12T12:57:37-0600',mode:absolute,to:'2017-05-12T15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7" s="192" t="str">
        <f t="shared" si="55"/>
        <v>N</v>
      </c>
      <c r="X187" s="192">
        <f t="shared" si="48"/>
        <v>1</v>
      </c>
      <c r="Y187" s="192">
        <f t="shared" si="56"/>
        <v>9.8799999999999999E-2</v>
      </c>
      <c r="Z187" s="192">
        <f t="shared" si="57"/>
        <v>5.8952</v>
      </c>
      <c r="AA187" s="192">
        <f t="shared" si="58"/>
        <v>5.7964000000000002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59"/>
        <v>0823-12</v>
      </c>
      <c r="AE187" s="80" t="str">
        <f t="shared" si="60"/>
        <v>aws s3 cp s3://rtdc.mdm.uploadarchive.raw/RTDC4002/ "%USERPROFILE%\AppData\Local\Temp\OnboardLogs"\RTDC4002\2017-05-12 --exclude "*" --recursive --include "*20170512*" &amp; "%USERPROFILE%\Documents\GitHub\mrs-test-scripts\Headless Mode &amp; Sideloading\WalkAndUnGZ.bat" "%USERPROFILE%\AppData\Local\Temp\OnboardLogs"\RTDC4002\2017-05-12 &amp; aws s3 cp s3://rtdc.mdm.uploadarchive.raw/RTDC4002/ "%USERPROFILE%\AppData\Local\Temp\OnboardLogs"\RTDC4002\2017-05-13 --exclude "*" --recursive --include "*20170513*" &amp; "%USERPROFILE%\Documents\GitHub\mrs-test-scripts\Headless Mode &amp; Sideloading\WalkAndUnGZ.bat" "%USERPROFILE%\AppData\Local\Temp\OnboardLogs"\RTDC4002\2017-05-13</v>
      </c>
      <c r="AF187" s="77" t="str">
        <f t="shared" si="61"/>
        <v>"C:\Program Files (x86)\AstroGrep\AstroGrep.exe" /e /r /s /spath="%USERPROFILE%\AppData\Local\Temp\OnboardLogs" /stypes="app*4002*20170512*" /stext=" 20:.+((SYSTEM_STATE.+slice.+state.+changed )|(ment ac)|(multiple cpu faults)|(system.+state.+changed )|(\[timeout)|(PRM\|1\|D)|(kpr)|(kdp)|(train st.+moving)|(\|lc)|(penalty))"</v>
      </c>
      <c r="AG187" s="1" t="str">
        <f t="shared" si="62"/>
        <v>NW</v>
      </c>
      <c r="AH187" s="81" t="str">
        <f t="shared" si="63"/>
        <v>"%USERPROFILE%\Documents\GitHub\eaglep3\Utilities\RefineRTDCRunTimes.py" --tripid 823-12 --locoid 4002 --swversion DE.1.0.9.0 --startMP 204:988 --initTime 2017-05-12T13:57:37 --startdatetime 2017-05-12T14:21:14 --delay 1 --endMP 300:58952 --enddatetime 2017-05-12T14:35:51 --enforcementcount 0 &gt;&gt;C:\Users\stu\Documents\GitHub\eaglep3-reporting\EC\2017-05-12-refined-times.txt</v>
      </c>
      <c r="AI187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{"issue":{"subject":"","project_id":79,"tracker_id":40,"status_id":1,"priority_id":2,"assigned_to_id":23,"start_date":"2017-05-12","description":"","custom_fields":[{"id":1,"name":"Subdivision","value":"NW"},{"id":4,"name":"Milepost","value":"5.8952"},{"id":17,"name":"Train ID","value":"823-12"},{"id":16,"name":"Locomotive ID","value":"4002"},{"id":130,"name":"Impact","value":""},{"id":150,"name":"Time of Event (Mountain Time)","value":"14:35:51"},{"id":151,"name":"Denver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65"/>
        <v>start /low /b %USERPROFILE%\Documents\GitHub\eaglep3\Utilities\DownloadLogsFromS3.py --loco 4002 --day 2017-05-12</v>
      </c>
      <c r="AN187" s="154" t="str">
        <f t="shared" si="66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20:35:51"},{"id":29,"name":"Sharepoint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s="20" customFormat="1" x14ac:dyDescent="0.25">
      <c r="A188" s="32" t="s">
        <v>578</v>
      </c>
      <c r="B188" s="7">
        <v>4001</v>
      </c>
      <c r="C188" s="21" t="s">
        <v>206</v>
      </c>
      <c r="D188" s="21" t="s">
        <v>989</v>
      </c>
      <c r="E188" s="13">
        <v>42867.609618055554</v>
      </c>
      <c r="F188" s="13">
        <v>42867.611597222225</v>
      </c>
      <c r="G188" s="7">
        <v>1</v>
      </c>
      <c r="H188" s="21" t="s">
        <v>990</v>
      </c>
      <c r="I188" s="13">
        <v>42867.621620370373</v>
      </c>
      <c r="J188" s="7">
        <v>0</v>
      </c>
      <c r="K188" s="92" t="str">
        <f t="shared" si="51"/>
        <v>4001/4002</v>
      </c>
      <c r="L188" s="21" t="str">
        <f>VLOOKUP(A188,'Trips&amp;Operators'!$C$1:$G$99999,5,FALSE)</f>
        <v>ZEWDU DEREJE</v>
      </c>
      <c r="M188" s="6">
        <f t="shared" si="52"/>
        <v>1.0023148148320615E-2</v>
      </c>
      <c r="N188" s="7">
        <f t="shared" si="67"/>
        <v>14.433333333581686</v>
      </c>
      <c r="O188" s="7"/>
      <c r="P188" s="7"/>
      <c r="Q188" s="22"/>
      <c r="R188" s="190"/>
      <c r="S188" s="196">
        <f t="shared" ref="S188:S219" si="69">SUM(U188:U188)/IF(AG188="EC",12,1)</f>
        <v>1</v>
      </c>
      <c r="T188" s="190" t="str">
        <f t="shared" si="53"/>
        <v>Southbound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1" t="str">
        <f t="shared" si="54"/>
        <v>https://d0f6bd738d7f1b3e5a7ca70fe4ff75f0.us-east-1.aws.found.io/app/kibana#/discover/Steve-Slow-Train-Analysis-(2080s-and-2083s)?_g=(refreshInterval:(display:Off,pause:!f,section:0,value:0),time:(from:'2017-05-12T13:37:51-0600',mode:absolute,to:'2017-05-12T15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8" s="192" t="str">
        <f t="shared" si="55"/>
        <v>N</v>
      </c>
      <c r="X188" s="192">
        <f t="shared" si="48"/>
        <v>1</v>
      </c>
      <c r="Y188" s="192">
        <f t="shared" si="56"/>
        <v>5.8630000000000004</v>
      </c>
      <c r="Z188" s="192">
        <f t="shared" si="57"/>
        <v>6.9599999999999995E-2</v>
      </c>
      <c r="AA188" s="192">
        <f t="shared" si="58"/>
        <v>5.7934000000000001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59"/>
        <v>0824-12</v>
      </c>
      <c r="AE188" s="80" t="str">
        <f t="shared" si="60"/>
        <v>aws s3 cp s3://rtdc.mdm.uploadarchive.raw/RTDC4001/ "%USERPROFILE%\AppData\Local\Temp\OnboardLogs"\RTDC4001\2017-05-12 --exclude "*" --recursive --include "*20170512*" &amp; "%USERPROFILE%\Documents\GitHub\mrs-test-scripts\Headless Mode &amp; Sideloading\WalkAndUnGZ.bat" "%USERPROFILE%\AppData\Local\Temp\OnboardLogs"\RTDC4001\2017-05-12 &amp; aws s3 cp s3://rtdc.mdm.uploadarchive.raw/RTDC4001/ "%USERPROFILE%\AppData\Local\Temp\OnboardLogs"\RTDC4001\2017-05-13 --exclude "*" --recursive --include "*20170513*" &amp; "%USERPROFILE%\Documents\GitHub\mrs-test-scripts\Headless Mode &amp; Sideloading\WalkAndUnGZ.bat" "%USERPROFILE%\AppData\Local\Temp\OnboardLogs"\RTDC4001\2017-05-13</v>
      </c>
      <c r="AF188" s="77" t="str">
        <f t="shared" si="61"/>
        <v>"C:\Program Files (x86)\AstroGrep\AstroGrep.exe" /e /r /s /spath="%USERPROFILE%\AppData\Local\Temp\OnboardLogs" /stypes="app*4001*20170512*" /stext=" 20:.+((SYSTEM_STATE.+slice.+state.+changed )|(ment ac)|(multiple cpu faults)|(system.+state.+changed )|(\[timeout)|(PRM\|1\|D)|(kpr)|(kdp)|(train st.+moving)|(\|lc)|(penalty))"</v>
      </c>
      <c r="AG188" s="1" t="str">
        <f t="shared" si="62"/>
        <v>NW</v>
      </c>
      <c r="AH188" s="81" t="str">
        <f t="shared" si="63"/>
        <v>"%USERPROFILE%\Documents\GitHub\eaglep3\Utilities\RefineRTDCRunTimes.py" --tripid 824-12 --locoid 4001 --swversion DE.1.0.9.0 --startMP 300:58630 --initTime 2017-05-12T14:37:51 --startdatetime 2017-05-12T14:40:42 --delay 1 --endMP 204:696 --enddatetime 2017-05-12T14:55:08 --enforcementcount 0 &gt;&gt;C:\Users\stu\Documents\GitHub\eaglep3-reporting\EC\2017-05-12-refined-times.txt</v>
      </c>
      <c r="AI188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{"issue":{"subject":"","project_id":79,"tracker_id":40,"status_id":1,"priority_id":2,"assigned_to_id":23,"start_date":"2017-05-12","description":"","custom_fields":[{"id":1,"name":"Subdivision","value":"NW"},{"id":4,"name":"Milepost","value":"0.0696"},{"id":17,"name":"Train ID","value":"824-12"},{"id":16,"name":"Locomotive ID","value":"4001"},{"id":130,"name":"Impact","value":""},{"id":150,"name":"Time of Event (Mountain Time)","value":"14:55:08"},{"id":151,"name":"Denver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7"/>
      <c r="AL188" s="47"/>
      <c r="AM188" s="145" t="str">
        <f t="shared" si="65"/>
        <v>start /low /b %USERPROFILE%\Documents\GitHub\eaglep3\Utilities\DownloadLogsFromS3.py --loco 4001 --day 2017-05-12</v>
      </c>
      <c r="AN188" s="154" t="str">
        <f t="shared" si="66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20:55:08"},{"id":29,"name":"Sharepoint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2" t="s">
        <v>717</v>
      </c>
      <c r="B189" s="7">
        <v>4002</v>
      </c>
      <c r="C189" s="21" t="s">
        <v>206</v>
      </c>
      <c r="D189" s="21" t="s">
        <v>991</v>
      </c>
      <c r="E189" s="13">
        <v>42867.63244212963</v>
      </c>
      <c r="F189" s="13">
        <v>42867.639756944445</v>
      </c>
      <c r="G189" s="7">
        <v>1</v>
      </c>
      <c r="H189" s="21" t="s">
        <v>992</v>
      </c>
      <c r="I189" s="13">
        <v>42867.650219907409</v>
      </c>
      <c r="J189" s="7">
        <v>0</v>
      </c>
      <c r="K189" s="92" t="str">
        <f t="shared" si="51"/>
        <v>4001/4002</v>
      </c>
      <c r="L189" s="21" t="str">
        <f>VLOOKUP(A189,'Trips&amp;Operators'!$C$1:$G$99999,5,FALSE)</f>
        <v>ZEWDU DEREJE</v>
      </c>
      <c r="M189" s="6">
        <f t="shared" si="52"/>
        <v>1.0462962964083999E-2</v>
      </c>
      <c r="N189" s="7">
        <f t="shared" si="67"/>
        <v>15.066666668280959</v>
      </c>
      <c r="O189" s="7"/>
      <c r="P189" s="7"/>
      <c r="Q189" s="22"/>
      <c r="R189" s="190"/>
      <c r="S189" s="196">
        <f t="shared" si="69"/>
        <v>1</v>
      </c>
      <c r="T189" s="190" t="str">
        <f t="shared" si="53"/>
        <v>NorthBound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 t="shared" si="54"/>
        <v>https://d0f6bd738d7f1b3e5a7ca70fe4ff75f0.us-east-1.aws.found.io/app/kibana#/discover/Steve-Slow-Train-Analysis-(2080s-and-2083s)?_g=(refreshInterval:(display:Off,pause:!f,section:0,value:0),time:(from:'2017-05-12T14:10:43-0600',mode:absolute,to:'2017-05-12T16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9" s="192" t="str">
        <f t="shared" si="55"/>
        <v>N</v>
      </c>
      <c r="X189" s="192">
        <f t="shared" si="48"/>
        <v>1</v>
      </c>
      <c r="Y189" s="192">
        <f t="shared" si="56"/>
        <v>9.9699999999999997E-2</v>
      </c>
      <c r="Z189" s="192">
        <f t="shared" si="57"/>
        <v>5.8973000000000004</v>
      </c>
      <c r="AA189" s="192">
        <f t="shared" si="58"/>
        <v>5.7976000000000001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59"/>
        <v>0825-12</v>
      </c>
      <c r="AE189" s="80" t="str">
        <f t="shared" si="60"/>
        <v>aws s3 cp s3://rtdc.mdm.uploadarchive.raw/RTDC4002/ "%USERPROFILE%\AppData\Local\Temp\OnboardLogs"\RTDC4002\2017-05-12 --exclude "*" --recursive --include "*20170512*" &amp; "%USERPROFILE%\Documents\GitHub\mrs-test-scripts\Headless Mode &amp; Sideloading\WalkAndUnGZ.bat" "%USERPROFILE%\AppData\Local\Temp\OnboardLogs"\RTDC4002\2017-05-12 &amp; aws s3 cp s3://rtdc.mdm.uploadarchive.raw/RTDC4002/ "%USERPROFILE%\AppData\Local\Temp\OnboardLogs"\RTDC4002\2017-05-13 --exclude "*" --recursive --include "*20170513*" &amp; "%USERPROFILE%\Documents\GitHub\mrs-test-scripts\Headless Mode &amp; Sideloading\WalkAndUnGZ.bat" "%USERPROFILE%\AppData\Local\Temp\OnboardLogs"\RTDC4002\2017-05-13</v>
      </c>
      <c r="AF189" s="77" t="str">
        <f t="shared" si="61"/>
        <v>"C:\Program Files (x86)\AstroGrep\AstroGrep.exe" /e /r /s /spath="%USERPROFILE%\AppData\Local\Temp\OnboardLogs" /stypes="app*4002*20170512*" /stext=" 21:.+((SYSTEM_STATE.+slice.+state.+changed )|(ment ac)|(multiple cpu faults)|(system.+state.+changed )|(\[timeout)|(PRM\|1\|D)|(kpr)|(kdp)|(train st.+moving)|(\|lc)|(penalty))"</v>
      </c>
      <c r="AG189" s="1" t="str">
        <f t="shared" si="62"/>
        <v>NW</v>
      </c>
      <c r="AH189" s="81" t="str">
        <f t="shared" si="63"/>
        <v>"%USERPROFILE%\Documents\GitHub\eaglep3\Utilities\RefineRTDCRunTimes.py" --tripid 825-12 --locoid 4002 --swversion DE.1.0.9.0 --startMP 204:997 --initTime 2017-05-12T15:10:43 --startdatetime 2017-05-12T15:21:15 --delay 1 --endMP 300:58973 --enddatetime 2017-05-12T15:36:19 --enforcementcount 0 &gt;&gt;C:\Users\stu\Documents\GitHub\eaglep3-reporting\EC\2017-05-12-refined-times.txt</v>
      </c>
      <c r="AI189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{"issue":{"subject":"","project_id":79,"tracker_id":40,"status_id":1,"priority_id":2,"assigned_to_id":23,"start_date":"2017-05-12","description":"","custom_fields":[{"id":1,"name":"Subdivision","value":"NW"},{"id":4,"name":"Milepost","value":"5.8973"},{"id":17,"name":"Train ID","value":"825-12"},{"id":16,"name":"Locomotive ID","value":"4002"},{"id":130,"name":"Impact","value":""},{"id":150,"name":"Time of Event (Mountain Time)","value":"15:36:19"},{"id":151,"name":"Denver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65"/>
        <v>start /low /b %USERPROFILE%\Documents\GitHub\eaglep3\Utilities\DownloadLogsFromS3.py --loco 4002 --day 2017-05-12</v>
      </c>
      <c r="AN189" s="154" t="str">
        <f t="shared" si="66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21:36:19"},{"id":29,"name":"Sharepoint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722</v>
      </c>
      <c r="B190" s="7">
        <v>4001</v>
      </c>
      <c r="C190" s="21" t="s">
        <v>206</v>
      </c>
      <c r="D190" s="21" t="s">
        <v>993</v>
      </c>
      <c r="E190" s="13">
        <v>42867.65111111111</v>
      </c>
      <c r="F190" s="13">
        <v>42867.652777777781</v>
      </c>
      <c r="G190" s="7">
        <v>1</v>
      </c>
      <c r="H190" s="21" t="s">
        <v>990</v>
      </c>
      <c r="I190" s="13">
        <v>42867.663935185185</v>
      </c>
      <c r="J190" s="7">
        <v>0</v>
      </c>
      <c r="K190" s="92" t="str">
        <f t="shared" si="51"/>
        <v>4001/4002</v>
      </c>
      <c r="L190" s="21" t="str">
        <f>VLOOKUP(A190,'Trips&amp;Operators'!$C$1:$G$99999,5,FALSE)</f>
        <v>ZEWDU DEREJE</v>
      </c>
      <c r="M190" s="6">
        <f t="shared" si="52"/>
        <v>1.1157407403516117E-2</v>
      </c>
      <c r="N190" s="7">
        <f t="shared" si="67"/>
        <v>16.066666661063209</v>
      </c>
      <c r="O190" s="7"/>
      <c r="P190" s="7"/>
      <c r="Q190" s="22"/>
      <c r="R190" s="190"/>
      <c r="S190" s="196">
        <f t="shared" si="69"/>
        <v>1</v>
      </c>
      <c r="T190" s="190" t="str">
        <f t="shared" si="53"/>
        <v>Southbound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 t="shared" si="54"/>
        <v>https://d0f6bd738d7f1b3e5a7ca70fe4ff75f0.us-east-1.aws.found.io/app/kibana#/discover/Steve-Slow-Train-Analysis-(2080s-and-2083s)?_g=(refreshInterval:(display:Off,pause:!f,section:0,value:0),time:(from:'2017-05-12T14:37:36-0600',mode:absolute,to:'2017-05-12T16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0" s="192" t="str">
        <f t="shared" si="55"/>
        <v>N</v>
      </c>
      <c r="X190" s="192">
        <f t="shared" si="48"/>
        <v>1</v>
      </c>
      <c r="Y190" s="192">
        <f t="shared" si="56"/>
        <v>5.8666</v>
      </c>
      <c r="Z190" s="192">
        <f t="shared" si="57"/>
        <v>6.9599999999999995E-2</v>
      </c>
      <c r="AA190" s="192">
        <f t="shared" si="58"/>
        <v>5.7969999999999997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59"/>
        <v>0826-12</v>
      </c>
      <c r="AE190" s="80" t="str">
        <f t="shared" si="60"/>
        <v>aws s3 cp s3://rtdc.mdm.uploadarchive.raw/RTDC4001/ "%USERPROFILE%\AppData\Local\Temp\OnboardLogs"\RTDC4001\2017-05-12 --exclude "*" --recursive --include "*20170512*" &amp; "%USERPROFILE%\Documents\GitHub\mrs-test-scripts\Headless Mode &amp; Sideloading\WalkAndUnGZ.bat" "%USERPROFILE%\AppData\Local\Temp\OnboardLogs"\RTDC4001\2017-05-12 &amp; aws s3 cp s3://rtdc.mdm.uploadarchive.raw/RTDC4001/ "%USERPROFILE%\AppData\Local\Temp\OnboardLogs"\RTDC4001\2017-05-13 --exclude "*" --recursive --include "*20170513*" &amp; "%USERPROFILE%\Documents\GitHub\mrs-test-scripts\Headless Mode &amp; Sideloading\WalkAndUnGZ.bat" "%USERPROFILE%\AppData\Local\Temp\OnboardLogs"\RTDC4001\2017-05-13</v>
      </c>
      <c r="AF190" s="77" t="str">
        <f t="shared" si="61"/>
        <v>"C:\Program Files (x86)\AstroGrep\AstroGrep.exe" /e /r /s /spath="%USERPROFILE%\AppData\Local\Temp\OnboardLogs" /stypes="app*4001*20170512*" /stext=" 21:.+((SYSTEM_STATE.+slice.+state.+changed )|(ment ac)|(multiple cpu faults)|(system.+state.+changed )|(\[timeout)|(PRM\|1\|D)|(kpr)|(kdp)|(train st.+moving)|(\|lc)|(penalty))"</v>
      </c>
      <c r="AG190" s="1" t="str">
        <f t="shared" si="62"/>
        <v>NW</v>
      </c>
      <c r="AH190" s="81" t="str">
        <f t="shared" si="63"/>
        <v>"%USERPROFILE%\Documents\GitHub\eaglep3\Utilities\RefineRTDCRunTimes.py" --tripid 826-12 --locoid 4001 --swversion DE.1.0.9.0 --startMP 300:58666 --initTime 2017-05-12T15:37:36 --startdatetime 2017-05-12T15:40:00 --delay 1 --endMP 204:696 --enddatetime 2017-05-12T15:56:04 --enforcementcount 0 &gt;&gt;C:\Users\stu\Documents\GitHub\eaglep3-reporting\EC\2017-05-12-refined-times.txt</v>
      </c>
      <c r="AI190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{"issue":{"subject":"","project_id":79,"tracker_id":40,"status_id":1,"priority_id":2,"assigned_to_id":23,"start_date":"2017-05-12","description":"","custom_fields":[{"id":1,"name":"Subdivision","value":"NW"},{"id":4,"name":"Milepost","value":"0.0696"},{"id":17,"name":"Train ID","value":"826-12"},{"id":16,"name":"Locomotive ID","value":"4001"},{"id":130,"name":"Impact","value":""},{"id":150,"name":"Time of Event (Mountain Time)","value":"15:56:04"},{"id":151,"name":"Denver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65"/>
        <v>start /low /b %USERPROFILE%\Documents\GitHub\eaglep3\Utilities\DownloadLogsFromS3.py --loco 4001 --day 2017-05-12</v>
      </c>
      <c r="AN190" s="154" t="str">
        <f t="shared" si="66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21:56:04"},{"id":29,"name":"Sharepoint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723</v>
      </c>
      <c r="B191" s="7">
        <v>4052</v>
      </c>
      <c r="C191" s="21" t="s">
        <v>206</v>
      </c>
      <c r="D191" s="21" t="s">
        <v>441</v>
      </c>
      <c r="E191" s="13">
        <v>42867.651689814818</v>
      </c>
      <c r="F191" s="13">
        <v>42867.660694444443</v>
      </c>
      <c r="G191" s="7">
        <v>1</v>
      </c>
      <c r="H191" s="21" t="s">
        <v>539</v>
      </c>
      <c r="I191" s="13">
        <v>42867.670231481483</v>
      </c>
      <c r="J191" s="7">
        <v>0</v>
      </c>
      <c r="K191" s="92" t="str">
        <f t="shared" si="51"/>
        <v>4051/4052</v>
      </c>
      <c r="L191" s="21" t="str">
        <f>VLOOKUP(A191,'Trips&amp;Operators'!$C$1:$G$99999,5,FALSE)</f>
        <v>THOMPSON LESTER</v>
      </c>
      <c r="M191" s="6">
        <f t="shared" si="52"/>
        <v>9.5370370399905369E-3</v>
      </c>
      <c r="N191" s="7">
        <f t="shared" si="67"/>
        <v>13.733333337586373</v>
      </c>
      <c r="O191" s="7"/>
      <c r="P191" s="7"/>
      <c r="Q191" s="22"/>
      <c r="R191" s="190"/>
      <c r="S191" s="196">
        <f t="shared" si="69"/>
        <v>1</v>
      </c>
      <c r="T191" s="190" t="str">
        <f t="shared" si="53"/>
        <v>NorthBound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 t="shared" si="54"/>
        <v>https://d0f6bd738d7f1b3e5a7ca70fe4ff75f0.us-east-1.aws.found.io/app/kibana#/discover/Steve-Slow-Train-Analysis-(2080s-and-2083s)?_g=(refreshInterval:(display:Off,pause:!f,section:0,value:0),time:(from:'2017-05-12T14:38:26-0600',mode:absolute,to:'2017-05-12T17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1" s="192" t="str">
        <f t="shared" si="55"/>
        <v>N</v>
      </c>
      <c r="X191" s="192">
        <f t="shared" ref="X191:X254" si="70">VALUE(LEFT(AD191,4))-VALUE(LEFT(AD190,4))</f>
        <v>1</v>
      </c>
      <c r="Y191" s="192">
        <f t="shared" si="56"/>
        <v>9.7900000000000001E-2</v>
      </c>
      <c r="Z191" s="192">
        <f t="shared" si="57"/>
        <v>5.8948</v>
      </c>
      <c r="AA191" s="192">
        <f t="shared" si="58"/>
        <v>5.7968999999999999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59"/>
        <v>0827-12</v>
      </c>
      <c r="AE191" s="80" t="str">
        <f t="shared" si="60"/>
        <v>aws s3 cp s3://rtdc.mdm.uploadarchive.raw/RTDC4052/ "%USERPROFILE%\AppData\Local\Temp\OnboardLogs"\RTDC4052\2017-05-12 --exclude "*" --recursive --include "*20170512*" &amp; "%USERPROFILE%\Documents\GitHub\mrs-test-scripts\Headless Mode &amp; Sideloading\WalkAndUnGZ.bat" "%USERPROFILE%\AppData\Local\Temp\OnboardLogs"\RTDC4052\2017-05-12 &amp; aws s3 cp s3://rtdc.mdm.uploadarchive.raw/RTDC4052/ "%USERPROFILE%\AppData\Local\Temp\OnboardLogs"\RTDC4052\2017-05-13 --exclude "*" --recursive --include "*20170513*" &amp; "%USERPROFILE%\Documents\GitHub\mrs-test-scripts\Headless Mode &amp; Sideloading\WalkAndUnGZ.bat" "%USERPROFILE%\AppData\Local\Temp\OnboardLogs"\RTDC4052\2017-05-13</v>
      </c>
      <c r="AF191" s="77" t="str">
        <f t="shared" si="61"/>
        <v>"C:\Program Files (x86)\AstroGrep\AstroGrep.exe" /e /r /s /spath="%USERPROFILE%\AppData\Local\Temp\OnboardLogs" /stypes="app*4052*20170512*" /stext=" 22:.+((SYSTEM_STATE.+slice.+state.+changed )|(ment ac)|(multiple cpu faults)|(system.+state.+changed )|(\[timeout)|(PRM\|1\|D)|(kpr)|(kdp)|(train st.+moving)|(\|lc)|(penalty))"</v>
      </c>
      <c r="AG191" s="1" t="str">
        <f t="shared" si="62"/>
        <v>NW</v>
      </c>
      <c r="AH191" s="81" t="str">
        <f t="shared" si="63"/>
        <v>"%USERPROFILE%\Documents\GitHub\eaglep3\Utilities\RefineRTDCRunTimes.py" --tripid 827-12 --locoid 4052 --swversion DE.1.0.9.0 --startMP 204:979 --initTime 2017-05-12T15:38:26 --startdatetime 2017-05-12T15:51:24 --delay 1 --endMP 300:58948 --enddatetime 2017-05-12T16:05:08 --enforcementcount 0 &gt;&gt;C:\Users\stu\Documents\GitHub\eaglep3-reporting\EC\2017-05-12-refined-times.txt</v>
      </c>
      <c r="AI191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{"issue":{"subject":"","project_id":79,"tracker_id":40,"status_id":1,"priority_id":2,"assigned_to_id":23,"start_date":"2017-05-12","description":"","custom_fields":[{"id":1,"name":"Subdivision","value":"NW"},{"id":4,"name":"Milepost","value":"5.8948"},{"id":17,"name":"Train ID","value":"827-12"},{"id":16,"name":"Locomotive ID","value":"4052"},{"id":130,"name":"Impact","value":""},{"id":150,"name":"Time of Event (Mountain Time)","value":"16:05:08"},{"id":151,"name":"Denver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65"/>
        <v>start /low /b %USERPROFILE%\Documents\GitHub\eaglep3\Utilities\DownloadLogsFromS3.py --loco 4052 --day 2017-05-12</v>
      </c>
      <c r="AN191" s="154" t="str">
        <f t="shared" si="66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22:05:08"},{"id":29,"name":"Sharepoint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s="20" customFormat="1" x14ac:dyDescent="0.25">
      <c r="A192" s="32" t="s">
        <v>583</v>
      </c>
      <c r="B192" s="7">
        <v>4051</v>
      </c>
      <c r="C192" s="21" t="s">
        <v>206</v>
      </c>
      <c r="D192" s="21" t="s">
        <v>463</v>
      </c>
      <c r="E192" s="13">
        <v>42867.671331018515</v>
      </c>
      <c r="F192" s="13">
        <v>42867.672731481478</v>
      </c>
      <c r="G192" s="7">
        <v>1</v>
      </c>
      <c r="H192" s="21" t="s">
        <v>534</v>
      </c>
      <c r="I192" s="13">
        <v>42867.68550925926</v>
      </c>
      <c r="J192" s="7">
        <v>0</v>
      </c>
      <c r="K192" s="92" t="str">
        <f t="shared" si="51"/>
        <v>4051/4052</v>
      </c>
      <c r="L192" s="21" t="str">
        <f>VLOOKUP(A192,'Trips&amp;Operators'!$C$1:$G$99999,5,FALSE)</f>
        <v>THOMPSON LESTER</v>
      </c>
      <c r="M192" s="6">
        <f t="shared" si="52"/>
        <v>1.2777777781593613E-2</v>
      </c>
      <c r="N192" s="7">
        <f t="shared" si="67"/>
        <v>18.400000005494803</v>
      </c>
      <c r="O192" s="7"/>
      <c r="P192" s="7"/>
      <c r="Q192" s="22"/>
      <c r="R192" s="190"/>
      <c r="S192" s="196">
        <f t="shared" si="69"/>
        <v>1</v>
      </c>
      <c r="T192" s="190" t="str">
        <f t="shared" si="53"/>
        <v>Southbound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1" t="str">
        <f t="shared" si="54"/>
        <v>https://d0f6bd738d7f1b3e5a7ca70fe4ff75f0.us-east-1.aws.found.io/app/kibana#/discover/Steve-Slow-Train-Analysis-(2080s-and-2083s)?_g=(refreshInterval:(display:Off,pause:!f,section:0,value:0),time:(from:'2017-05-12T15:06:43-0600',mode:absolute,to:'2017-05-12T17:27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2" s="192" t="str">
        <f t="shared" si="55"/>
        <v>N</v>
      </c>
      <c r="X192" s="192">
        <f t="shared" si="70"/>
        <v>1</v>
      </c>
      <c r="Y192" s="192">
        <f t="shared" si="56"/>
        <v>5.8634000000000004</v>
      </c>
      <c r="Z192" s="192">
        <f t="shared" si="57"/>
        <v>6.9099999999999995E-2</v>
      </c>
      <c r="AA192" s="192">
        <f t="shared" si="58"/>
        <v>5.7943000000000007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59"/>
        <v>0828-12</v>
      </c>
      <c r="AE192" s="80" t="str">
        <f t="shared" si="60"/>
        <v>aws s3 cp s3://rtdc.mdm.uploadarchive.raw/RTDC4051/ "%USERPROFILE%\AppData\Local\Temp\OnboardLogs"\RTDC4051\2017-05-12 --exclude "*" --recursive --include "*20170512*" &amp; "%USERPROFILE%\Documents\GitHub\mrs-test-scripts\Headless Mode &amp; Sideloading\WalkAndUnGZ.bat" "%USERPROFILE%\AppData\Local\Temp\OnboardLogs"\RTDC4051\2017-05-12 &amp; aws s3 cp s3://rtdc.mdm.uploadarchive.raw/RTDC4051/ "%USERPROFILE%\AppData\Local\Temp\OnboardLogs"\RTDC4051\2017-05-13 --exclude "*" --recursive --include "*20170513*" &amp; "%USERPROFILE%\Documents\GitHub\mrs-test-scripts\Headless Mode &amp; Sideloading\WalkAndUnGZ.bat" "%USERPROFILE%\AppData\Local\Temp\OnboardLogs"\RTDC4051\2017-05-13</v>
      </c>
      <c r="AF192" s="77" t="str">
        <f t="shared" si="61"/>
        <v>"C:\Program Files (x86)\AstroGrep\AstroGrep.exe" /e /r /s /spath="%USERPROFILE%\AppData\Local\Temp\OnboardLogs" /stypes="app*4051*20170512*" /stext=" 22:.+((SYSTEM_STATE.+slice.+state.+changed )|(ment ac)|(multiple cpu faults)|(system.+state.+changed )|(\[timeout)|(PRM\|1\|D)|(kpr)|(kdp)|(train st.+moving)|(\|lc)|(penalty))"</v>
      </c>
      <c r="AG192" s="1" t="str">
        <f t="shared" si="62"/>
        <v>NW</v>
      </c>
      <c r="AH192" s="81" t="str">
        <f t="shared" si="63"/>
        <v>"%USERPROFILE%\Documents\GitHub\eaglep3\Utilities\RefineRTDCRunTimes.py" --tripid 828-12 --locoid 4051 --swversion DE.1.0.9.0 --startMP 300:58634 --initTime 2017-05-12T16:06:43 --startdatetime 2017-05-12T16:08:44 --delay 1 --endMP 204:691 --enddatetime 2017-05-12T16:27:08 --enforcementcount 0 &gt;&gt;C:\Users\stu\Documents\GitHub\eaglep3-reporting\EC\2017-05-12-refined-times.txt</v>
      </c>
      <c r="AI192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{"issue":{"subject":"","project_id":79,"tracker_id":40,"status_id":1,"priority_id":2,"assigned_to_id":23,"start_date":"2017-05-12","description":"","custom_fields":[{"id":1,"name":"Subdivision","value":"NW"},{"id":4,"name":"Milepost","value":"0.0691"},{"id":17,"name":"Train ID","value":"828-12"},{"id":16,"name":"Locomotive ID","value":"4051"},{"id":130,"name":"Impact","value":""},{"id":150,"name":"Time of Event (Mountain Time)","value":"16:27:08"},{"id":151,"name":"Denver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2" s="47"/>
      <c r="AL192" s="47"/>
      <c r="AM192" s="145" t="str">
        <f t="shared" si="65"/>
        <v>start /low /b %USERPROFILE%\Documents\GitHub\eaglep3\Utilities\DownloadLogsFromS3.py --loco 4051 --day 2017-05-12</v>
      </c>
      <c r="AN192" s="154" t="str">
        <f t="shared" si="66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22:27:08"},{"id":29,"name":"Sharepoint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2" t="s">
        <v>727</v>
      </c>
      <c r="B193" s="7">
        <v>4002</v>
      </c>
      <c r="C193" s="21" t="s">
        <v>206</v>
      </c>
      <c r="D193" s="21" t="s">
        <v>994</v>
      </c>
      <c r="E193" s="13">
        <v>42867.665833333333</v>
      </c>
      <c r="F193" s="13">
        <v>42867.681423611109</v>
      </c>
      <c r="G193" s="7">
        <v>15</v>
      </c>
      <c r="H193" s="21" t="s">
        <v>988</v>
      </c>
      <c r="I193" s="13">
        <v>42867.692141203705</v>
      </c>
      <c r="J193" s="7">
        <v>0</v>
      </c>
      <c r="K193" s="92" t="str">
        <f t="shared" si="51"/>
        <v>4001/4002</v>
      </c>
      <c r="L193" s="21" t="str">
        <f>VLOOKUP(A193,'Trips&amp;Operators'!$C$1:$G$99999,5,FALSE)</f>
        <v>ZEWDU DEREJE</v>
      </c>
      <c r="M193" s="6">
        <f t="shared" si="52"/>
        <v>1.0717592595028691E-2</v>
      </c>
      <c r="N193" s="7">
        <f t="shared" si="67"/>
        <v>15.433333336841315</v>
      </c>
      <c r="O193" s="7"/>
      <c r="P193" s="7"/>
      <c r="Q193" s="22"/>
      <c r="R193" s="190"/>
      <c r="S193" s="196">
        <f t="shared" si="69"/>
        <v>1</v>
      </c>
      <c r="T193" s="190" t="str">
        <f t="shared" si="53"/>
        <v>NorthBound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1" t="str">
        <f t="shared" si="54"/>
        <v>https://d0f6bd738d7f1b3e5a7ca70fe4ff75f0.us-east-1.aws.found.io/app/kibana#/discover/Steve-Slow-Train-Analysis-(2080s-and-2083s)?_g=(refreshInterval:(display:Off,pause:!f,section:0,value:0),time:(from:'2017-05-12T14:58:48-0600',mode:absolute,to:'2017-05-12T17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3" s="192" t="str">
        <f t="shared" si="55"/>
        <v>N</v>
      </c>
      <c r="X193" s="192">
        <f t="shared" si="70"/>
        <v>1</v>
      </c>
      <c r="Y193" s="192">
        <f t="shared" si="56"/>
        <v>9.8299999999999998E-2</v>
      </c>
      <c r="Z193" s="192">
        <f t="shared" si="57"/>
        <v>5.8978000000000002</v>
      </c>
      <c r="AA193" s="192">
        <f t="shared" si="58"/>
        <v>5.7995000000000001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59"/>
        <v>0829-12</v>
      </c>
      <c r="AE193" s="80" t="str">
        <f t="shared" si="60"/>
        <v>aws s3 cp s3://rtdc.mdm.uploadarchive.raw/RTDC4002/ "%USERPROFILE%\AppData\Local\Temp\OnboardLogs"\RTDC4002\2017-05-12 --exclude "*" --recursive --include "*20170512*" &amp; "%USERPROFILE%\Documents\GitHub\mrs-test-scripts\Headless Mode &amp; Sideloading\WalkAndUnGZ.bat" "%USERPROFILE%\AppData\Local\Temp\OnboardLogs"\RTDC4002\2017-05-12 &amp; aws s3 cp s3://rtdc.mdm.uploadarchive.raw/RTDC4002/ "%USERPROFILE%\AppData\Local\Temp\OnboardLogs"\RTDC4002\2017-05-13 --exclude "*" --recursive --include "*20170513*" &amp; "%USERPROFILE%\Documents\GitHub\mrs-test-scripts\Headless Mode &amp; Sideloading\WalkAndUnGZ.bat" "%USERPROFILE%\AppData\Local\Temp\OnboardLogs"\RTDC4002\2017-05-13</v>
      </c>
      <c r="AF193" s="77" t="str">
        <f t="shared" si="61"/>
        <v>"C:\Program Files (x86)\AstroGrep\AstroGrep.exe" /e /r /s /spath="%USERPROFILE%\AppData\Local\Temp\OnboardLogs" /stypes="app*4002*20170512*" /stext=" 22:.+((SYSTEM_STATE.+slice.+state.+changed )|(ment ac)|(multiple cpu faults)|(system.+state.+changed )|(\[timeout)|(PRM\|1\|D)|(kpr)|(kdp)|(train st.+moving)|(\|lc)|(penalty))"</v>
      </c>
      <c r="AG193" s="1" t="str">
        <f t="shared" si="62"/>
        <v>NW</v>
      </c>
      <c r="AH193" s="81" t="str">
        <f t="shared" si="63"/>
        <v>"%USERPROFILE%\Documents\GitHub\eaglep3\Utilities\RefineRTDCRunTimes.py" --tripid 829-12 --locoid 4002 --swversion DE.1.0.9.0 --startMP 204:983 --initTime 2017-05-12T15:58:48 --startdatetime 2017-05-12T16:21:15 --delay 15 --endMP 300:58978 --enddatetime 2017-05-12T16:36:41 --enforcementcount 0 &gt;&gt;C:\Users\stu\Documents\GitHub\eaglep3-reporting\EC\2017-05-12-refined-times.txt</v>
      </c>
      <c r="AI193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{"issue":{"subject":"","project_id":79,"tracker_id":40,"status_id":1,"priority_id":2,"assigned_to_id":23,"start_date":"2017-05-12","description":"","custom_fields":[{"id":1,"name":"Subdivision","value":"NW"},{"id":4,"name":"Milepost","value":"5.8978"},{"id":17,"name":"Train ID","value":"829-12"},{"id":16,"name":"Locomotive ID","value":"4002"},{"id":130,"name":"Impact","value":""},{"id":150,"name":"Time of Event (Mountain Time)","value":"16:36:41"},{"id":151,"name":"Denver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65"/>
        <v>start /low /b %USERPROFILE%\Documents\GitHub\eaglep3\Utilities\DownloadLogsFromS3.py --loco 4002 --day 2017-05-12</v>
      </c>
      <c r="AN193" s="154" t="str">
        <f t="shared" si="66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22:36:41"},{"id":29,"name":"Sharepoint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x14ac:dyDescent="0.25">
      <c r="A194" s="32" t="s">
        <v>732</v>
      </c>
      <c r="B194" s="7">
        <v>4001</v>
      </c>
      <c r="C194" s="21" t="s">
        <v>206</v>
      </c>
      <c r="D194" s="21" t="s">
        <v>996</v>
      </c>
      <c r="E194" s="13">
        <v>42867.693067129629</v>
      </c>
      <c r="F194" s="13">
        <v>42867.694479166668</v>
      </c>
      <c r="G194" s="7">
        <v>1</v>
      </c>
      <c r="H194" s="21" t="s">
        <v>493</v>
      </c>
      <c r="I194" s="13">
        <v>42867.705543981479</v>
      </c>
      <c r="J194" s="7">
        <v>0</v>
      </c>
      <c r="K194" s="92" t="str">
        <f t="shared" si="51"/>
        <v>4001/4002</v>
      </c>
      <c r="L194" s="21" t="str">
        <f>VLOOKUP(A194,'Trips&amp;Operators'!$C$1:$G$99999,5,FALSE)</f>
        <v>ZEWDU DEREJE</v>
      </c>
      <c r="M194" s="6">
        <f t="shared" si="52"/>
        <v>1.1064814811106771E-2</v>
      </c>
      <c r="N194" s="7">
        <f t="shared" si="67"/>
        <v>15.933333327993751</v>
      </c>
      <c r="O194" s="7"/>
      <c r="P194" s="7"/>
      <c r="Q194" s="22"/>
      <c r="R194" s="190"/>
      <c r="S194" s="196">
        <f t="shared" si="69"/>
        <v>1</v>
      </c>
      <c r="T194" s="190" t="str">
        <f t="shared" si="53"/>
        <v>Southbound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1" t="str">
        <f t="shared" si="54"/>
        <v>https://d0f6bd738d7f1b3e5a7ca70fe4ff75f0.us-east-1.aws.found.io/app/kibana#/discover/Steve-Slow-Train-Analysis-(2080s-and-2083s)?_g=(refreshInterval:(display:Off,pause:!f,section:0,value:0),time:(from:'2017-05-12T15:38:01-0600',mode:absolute,to:'2017-05-12T17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4" s="192" t="str">
        <f t="shared" si="55"/>
        <v>N</v>
      </c>
      <c r="X194" s="192">
        <f t="shared" si="70"/>
        <v>1</v>
      </c>
      <c r="Y194" s="192">
        <f t="shared" si="56"/>
        <v>5.8658999999999999</v>
      </c>
      <c r="Z194" s="192">
        <f t="shared" si="57"/>
        <v>6.8699999999999997E-2</v>
      </c>
      <c r="AA194" s="192">
        <f t="shared" si="58"/>
        <v>5.7972000000000001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59"/>
        <v>0830-12</v>
      </c>
      <c r="AE194" s="80" t="str">
        <f t="shared" si="60"/>
        <v>aws s3 cp s3://rtdc.mdm.uploadarchive.raw/RTDC4001/ "%USERPROFILE%\AppData\Local\Temp\OnboardLogs"\RTDC4001\2017-05-12 --exclude "*" --recursive --include "*20170512*" &amp; "%USERPROFILE%\Documents\GitHub\mrs-test-scripts\Headless Mode &amp; Sideloading\WalkAndUnGZ.bat" "%USERPROFILE%\AppData\Local\Temp\OnboardLogs"\RTDC4001\2017-05-12 &amp; aws s3 cp s3://rtdc.mdm.uploadarchive.raw/RTDC4001/ "%USERPROFILE%\AppData\Local\Temp\OnboardLogs"\RTDC4001\2017-05-13 --exclude "*" --recursive --include "*20170513*" &amp; "%USERPROFILE%\Documents\GitHub\mrs-test-scripts\Headless Mode &amp; Sideloading\WalkAndUnGZ.bat" "%USERPROFILE%\AppData\Local\Temp\OnboardLogs"\RTDC4001\2017-05-13</v>
      </c>
      <c r="AF194" s="77" t="str">
        <f t="shared" si="61"/>
        <v>"C:\Program Files (x86)\AstroGrep\AstroGrep.exe" /e /r /s /spath="%USERPROFILE%\AppData\Local\Temp\OnboardLogs" /stypes="app*4001*20170512*" /stext=" 22:.+((SYSTEM_STATE.+slice.+state.+changed )|(ment ac)|(multiple cpu faults)|(system.+state.+changed )|(\[timeout)|(PRM\|1\|D)|(kpr)|(kdp)|(train st.+moving)|(\|lc)|(penalty))"</v>
      </c>
      <c r="AG194" s="1" t="str">
        <f t="shared" si="62"/>
        <v>NW</v>
      </c>
      <c r="AH194" s="81" t="str">
        <f t="shared" si="63"/>
        <v>"%USERPROFILE%\Documents\GitHub\eaglep3\Utilities\RefineRTDCRunTimes.py" --tripid 830-12 --locoid 4001 --swversion DE.1.0.9.0 --startMP 300:58659 --initTime 2017-05-12T16:38:01 --startdatetime 2017-05-12T16:40:03 --delay 1 --endMP 204:687 --enddatetime 2017-05-12T16:55:59 --enforcementcount 0 &gt;&gt;C:\Users\stu\Documents\GitHub\eaglep3-reporting\EC\2017-05-12-refined-times.txt</v>
      </c>
      <c r="AI194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{"issue":{"subject":"","project_id":79,"tracker_id":40,"status_id":1,"priority_id":2,"assigned_to_id":23,"start_date":"2017-05-12","description":"","custom_fields":[{"id":1,"name":"Subdivision","value":"NW"},{"id":4,"name":"Milepost","value":"0.0687"},{"id":17,"name":"Train ID","value":"830-12"},{"id":16,"name":"Locomotive ID","value":"4001"},{"id":130,"name":"Impact","value":""},{"id":150,"name":"Time of Event (Mountain Time)","value":"16:55:59"},{"id":151,"name":"Denver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65"/>
        <v>start /low /b %USERPROFILE%\Documents\GitHub\eaglep3\Utilities\DownloadLogsFromS3.py --loco 4001 --day 2017-05-12</v>
      </c>
      <c r="AN194" s="154" t="str">
        <f t="shared" si="66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22:55:59"},{"id":29,"name":"Sharepoint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x14ac:dyDescent="0.25">
      <c r="A195" s="32" t="s">
        <v>733</v>
      </c>
      <c r="B195" s="7">
        <v>4052</v>
      </c>
      <c r="C195" s="21" t="s">
        <v>206</v>
      </c>
      <c r="D195" s="21" t="s">
        <v>531</v>
      </c>
      <c r="E195" s="13">
        <v>42867.694166666668</v>
      </c>
      <c r="F195" s="13">
        <v>42867.702465277776</v>
      </c>
      <c r="G195" s="7">
        <v>2</v>
      </c>
      <c r="H195" s="21" t="s">
        <v>460</v>
      </c>
      <c r="I195" s="13">
        <v>42867.712002314816</v>
      </c>
      <c r="J195" s="7">
        <v>0</v>
      </c>
      <c r="K195" s="92" t="str">
        <f t="shared" si="51"/>
        <v>4051/4052</v>
      </c>
      <c r="L195" s="21" t="str">
        <f>VLOOKUP(A195,'Trips&amp;Operators'!$C$1:$G$99999,5,FALSE)</f>
        <v>THOMPSON LESTER</v>
      </c>
      <c r="M195" s="6">
        <f t="shared" si="52"/>
        <v>9.5370370399905369E-3</v>
      </c>
      <c r="N195" s="7">
        <f t="shared" si="67"/>
        <v>13.733333337586373</v>
      </c>
      <c r="O195" s="7"/>
      <c r="P195" s="7"/>
      <c r="Q195" s="22"/>
      <c r="R195" s="190"/>
      <c r="S195" s="196">
        <f t="shared" si="69"/>
        <v>1</v>
      </c>
      <c r="T195" s="190" t="str">
        <f t="shared" si="53"/>
        <v>NorthBound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1" t="str">
        <f t="shared" si="54"/>
        <v>https://d0f6bd738d7f1b3e5a7ca70fe4ff75f0.us-east-1.aws.found.io/app/kibana#/discover/Steve-Slow-Train-Analysis-(2080s-and-2083s)?_g=(refreshInterval:(display:Off,pause:!f,section:0,value:0),time:(from:'2017-05-12T15:39:36-0600',mode:absolute,to:'2017-05-12T18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5" s="192" t="str">
        <f t="shared" si="55"/>
        <v>N</v>
      </c>
      <c r="X195" s="192">
        <f t="shared" si="70"/>
        <v>1</v>
      </c>
      <c r="Y195" s="192">
        <f t="shared" si="56"/>
        <v>9.8500000000000004E-2</v>
      </c>
      <c r="Z195" s="192">
        <f t="shared" si="57"/>
        <v>5.8956</v>
      </c>
      <c r="AA195" s="192">
        <f t="shared" si="58"/>
        <v>5.7971000000000004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59"/>
        <v>0831-12</v>
      </c>
      <c r="AE195" s="80" t="str">
        <f t="shared" si="60"/>
        <v>aws s3 cp s3://rtdc.mdm.uploadarchive.raw/RTDC4052/ "%USERPROFILE%\AppData\Local\Temp\OnboardLogs"\RTDC4052\2017-05-12 --exclude "*" --recursive --include "*20170512*" &amp; "%USERPROFILE%\Documents\GitHub\mrs-test-scripts\Headless Mode &amp; Sideloading\WalkAndUnGZ.bat" "%USERPROFILE%\AppData\Local\Temp\OnboardLogs"\RTDC4052\2017-05-12 &amp; aws s3 cp s3://rtdc.mdm.uploadarchive.raw/RTDC4052/ "%USERPROFILE%\AppData\Local\Temp\OnboardLogs"\RTDC4052\2017-05-13 --exclude "*" --recursive --include "*20170513*" &amp; "%USERPROFILE%\Documents\GitHub\mrs-test-scripts\Headless Mode &amp; Sideloading\WalkAndUnGZ.bat" "%USERPROFILE%\AppData\Local\Temp\OnboardLogs"\RTDC4052\2017-05-13</v>
      </c>
      <c r="AF195" s="77" t="str">
        <f t="shared" si="61"/>
        <v>"C:\Program Files (x86)\AstroGrep\AstroGrep.exe" /e /r /s /spath="%USERPROFILE%\AppData\Local\Temp\OnboardLogs" /stypes="app*4052*20170512*" /stext=" 23:.+((SYSTEM_STATE.+slice.+state.+changed )|(ment ac)|(multiple cpu faults)|(system.+state.+changed )|(\[timeout)|(PRM\|1\|D)|(kpr)|(kdp)|(train st.+moving)|(\|lc)|(penalty))"</v>
      </c>
      <c r="AG195" s="1" t="str">
        <f t="shared" si="62"/>
        <v>NW</v>
      </c>
      <c r="AH195" s="81" t="str">
        <f t="shared" si="63"/>
        <v>"%USERPROFILE%\Documents\GitHub\eaglep3\Utilities\RefineRTDCRunTimes.py" --tripid 831-12 --locoid 4052 --swversion DE.1.0.9.0 --startMP 204:985 --initTime 2017-05-12T16:39:36 --startdatetime 2017-05-12T16:51:33 --delay 2 --endMP 300:58956 --enddatetime 2017-05-12T17:05:17 --enforcementcount 0 &gt;&gt;C:\Users\stu\Documents\GitHub\eaglep3-reporting\EC\2017-05-12-refined-times.txt</v>
      </c>
      <c r="AI195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{"issue":{"subject":"","project_id":79,"tracker_id":40,"status_id":1,"priority_id":2,"assigned_to_id":23,"start_date":"2017-05-12","description":"","custom_fields":[{"id":1,"name":"Subdivision","value":"NW"},{"id":4,"name":"Milepost","value":"5.8956"},{"id":17,"name":"Train ID","value":"831-12"},{"id":16,"name":"Locomotive ID","value":"4052"},{"id":130,"name":"Impact","value":""},{"id":150,"name":"Time of Event (Mountain Time)","value":"17:05:17"},{"id":151,"name":"Denver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65"/>
        <v>start /low /b %USERPROFILE%\Documents\GitHub\eaglep3\Utilities\DownloadLogsFromS3.py --loco 4052 --day 2017-05-12</v>
      </c>
      <c r="AN195" s="154" t="str">
        <f t="shared" si="66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23:05:17"},{"id":29,"name":"Sharepoint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s="20" customFormat="1" x14ac:dyDescent="0.25">
      <c r="A196" s="32" t="s">
        <v>738</v>
      </c>
      <c r="B196" s="7">
        <v>4051</v>
      </c>
      <c r="C196" s="21" t="s">
        <v>206</v>
      </c>
      <c r="D196" s="21" t="s">
        <v>492</v>
      </c>
      <c r="E196" s="13">
        <v>42867.713356481479</v>
      </c>
      <c r="F196" s="13">
        <v>42867.714942129627</v>
      </c>
      <c r="G196" s="7">
        <v>1</v>
      </c>
      <c r="H196" s="21" t="s">
        <v>551</v>
      </c>
      <c r="I196" s="13">
        <v>42867.726435185185</v>
      </c>
      <c r="J196" s="7">
        <v>0</v>
      </c>
      <c r="K196" s="92" t="str">
        <f t="shared" si="51"/>
        <v>4051/4052</v>
      </c>
      <c r="L196" s="21" t="str">
        <f>VLOOKUP(A196,'Trips&amp;Operators'!$C$1:$G$99999,5,FALSE)</f>
        <v>THOMPSON LESTER</v>
      </c>
      <c r="M196" s="6">
        <f t="shared" si="52"/>
        <v>1.1493055557366461E-2</v>
      </c>
      <c r="N196" s="7">
        <f t="shared" si="67"/>
        <v>16.550000002607703</v>
      </c>
      <c r="O196" s="7"/>
      <c r="P196" s="7"/>
      <c r="Q196" s="22"/>
      <c r="R196" s="190"/>
      <c r="S196" s="196">
        <f t="shared" si="69"/>
        <v>1</v>
      </c>
      <c r="T196" s="190" t="str">
        <f t="shared" si="53"/>
        <v>Southbound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1" t="str">
        <f t="shared" si="54"/>
        <v>https://d0f6bd738d7f1b3e5a7ca70fe4ff75f0.us-east-1.aws.found.io/app/kibana#/discover/Steve-Slow-Train-Analysis-(2080s-and-2083s)?_g=(refreshInterval:(display:Off,pause:!f,section:0,value:0),time:(from:'2017-05-12T16:07:14-0600',mode:absolute,to:'2017-05-12T18:26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6" s="192" t="str">
        <f t="shared" si="55"/>
        <v>N</v>
      </c>
      <c r="X196" s="192">
        <f t="shared" si="70"/>
        <v>1</v>
      </c>
      <c r="Y196" s="192">
        <f t="shared" si="56"/>
        <v>5.8619000000000003</v>
      </c>
      <c r="Z196" s="192">
        <f t="shared" si="57"/>
        <v>6.8500000000000005E-2</v>
      </c>
      <c r="AA196" s="192">
        <f t="shared" si="58"/>
        <v>5.7934000000000001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59"/>
        <v>0832-12</v>
      </c>
      <c r="AE196" s="80" t="str">
        <f t="shared" si="60"/>
        <v>aws s3 cp s3://rtdc.mdm.uploadarchive.raw/RTDC4051/ "%USERPROFILE%\AppData\Local\Temp\OnboardLogs"\RTDC4051\2017-05-12 --exclude "*" --recursive --include "*20170512*" &amp; "%USERPROFILE%\Documents\GitHub\mrs-test-scripts\Headless Mode &amp; Sideloading\WalkAndUnGZ.bat" "%USERPROFILE%\AppData\Local\Temp\OnboardLogs"\RTDC4051\2017-05-12 &amp; aws s3 cp s3://rtdc.mdm.uploadarchive.raw/RTDC4051/ "%USERPROFILE%\AppData\Local\Temp\OnboardLogs"\RTDC4051\2017-05-13 --exclude "*" --recursive --include "*20170513*" &amp; "%USERPROFILE%\Documents\GitHub\mrs-test-scripts\Headless Mode &amp; Sideloading\WalkAndUnGZ.bat" "%USERPROFILE%\AppData\Local\Temp\OnboardLogs"\RTDC4051\2017-05-13</v>
      </c>
      <c r="AF196" s="77" t="str">
        <f t="shared" si="61"/>
        <v>"C:\Program Files (x86)\AstroGrep\AstroGrep.exe" /e /r /s /spath="%USERPROFILE%\AppData\Local\Temp\OnboardLogs" /stypes="app*4051*20170512*" /stext=" 23:.+((SYSTEM_STATE.+slice.+state.+changed )|(ment ac)|(multiple cpu faults)|(system.+state.+changed )|(\[timeout)|(PRM\|1\|D)|(kpr)|(kdp)|(train st.+moving)|(\|lc)|(penalty))"</v>
      </c>
      <c r="AG196" s="1" t="str">
        <f t="shared" si="62"/>
        <v>NW</v>
      </c>
      <c r="AH196" s="81" t="str">
        <f t="shared" si="63"/>
        <v>"%USERPROFILE%\Documents\GitHub\eaglep3\Utilities\RefineRTDCRunTimes.py" --tripid 832-12 --locoid 4051 --swversion DE.1.0.9.0 --startMP 300:58619 --initTime 2017-05-12T17:07:14 --startdatetime 2017-05-12T17:09:31 --delay 1 --endMP 204:685 --enddatetime 2017-05-12T17:26:04 --enforcementcount 0 &gt;&gt;C:\Users\stu\Documents\GitHub\eaglep3-reporting\EC\2017-05-12-refined-times.txt</v>
      </c>
      <c r="AI196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{"issue":{"subject":"","project_id":79,"tracker_id":40,"status_id":1,"priority_id":2,"assigned_to_id":23,"start_date":"2017-05-12","description":"","custom_fields":[{"id":1,"name":"Subdivision","value":"NW"},{"id":4,"name":"Milepost","value":"0.0685"},{"id":17,"name":"Train ID","value":"832-12"},{"id":16,"name":"Locomotive ID","value":"4051"},{"id":130,"name":"Impact","value":""},{"id":150,"name":"Time of Event (Mountain Time)","value":"17:26:04"},{"id":151,"name":"Denver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5" t="str">
        <f t="shared" si="65"/>
        <v>start /low /b %USERPROFILE%\Documents\GitHub\eaglep3\Utilities\DownloadLogsFromS3.py --loco 4051 --day 2017-05-12</v>
      </c>
      <c r="AN196" s="154" t="str">
        <f t="shared" si="66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23:26:04"},{"id":29,"name":"Sharepoint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2" t="s">
        <v>741</v>
      </c>
      <c r="B197" s="7">
        <v>4002</v>
      </c>
      <c r="C197" s="21" t="s">
        <v>206</v>
      </c>
      <c r="D197" s="21" t="s">
        <v>537</v>
      </c>
      <c r="E197" s="13">
        <v>42867.718229166669</v>
      </c>
      <c r="F197" s="13">
        <v>42867.723310185182</v>
      </c>
      <c r="G197" s="7">
        <v>1</v>
      </c>
      <c r="H197" s="21" t="s">
        <v>491</v>
      </c>
      <c r="I197" s="13">
        <v>42867.733576388891</v>
      </c>
      <c r="J197" s="7">
        <v>0</v>
      </c>
      <c r="K197" s="92" t="str">
        <f t="shared" si="51"/>
        <v>4001/4002</v>
      </c>
      <c r="L197" s="21" t="str">
        <f>VLOOKUP(A197,'Trips&amp;Operators'!$C$1:$G$99999,5,FALSE)</f>
        <v>ZEWDU DEREJE</v>
      </c>
      <c r="M197" s="6">
        <f t="shared" si="52"/>
        <v>1.0266203709761612E-2</v>
      </c>
      <c r="N197" s="7">
        <f t="shared" si="67"/>
        <v>14.783333342056721</v>
      </c>
      <c r="O197" s="7"/>
      <c r="P197" s="7"/>
      <c r="Q197" s="22"/>
      <c r="R197" s="190"/>
      <c r="S197" s="196">
        <f t="shared" si="69"/>
        <v>1</v>
      </c>
      <c r="T197" s="190" t="str">
        <f t="shared" si="53"/>
        <v>NorthBound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1" t="str">
        <f t="shared" si="54"/>
        <v>https://d0f6bd738d7f1b3e5a7ca70fe4ff75f0.us-east-1.aws.found.io/app/kibana#/discover/Steve-Slow-Train-Analysis-(2080s-and-2083s)?_g=(refreshInterval:(display:Off,pause:!f,section:0,value:0),time:(from:'2017-05-12T16:14:15-0600',mode:absolute,to:'2017-05-12T18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7" s="192" t="str">
        <f t="shared" si="55"/>
        <v>N</v>
      </c>
      <c r="X197" s="192">
        <f t="shared" si="70"/>
        <v>1</v>
      </c>
      <c r="Y197" s="192">
        <f t="shared" si="56"/>
        <v>9.8799999999999999E-2</v>
      </c>
      <c r="Z197" s="192">
        <f t="shared" si="57"/>
        <v>5.8929</v>
      </c>
      <c r="AA197" s="192">
        <f t="shared" si="58"/>
        <v>5.7941000000000003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59"/>
        <v>0833-12</v>
      </c>
      <c r="AE197" s="80" t="str">
        <f t="shared" si="60"/>
        <v>aws s3 cp s3://rtdc.mdm.uploadarchive.raw/RTDC4002/ "%USERPROFILE%\AppData\Local\Temp\OnboardLogs"\RTDC4002\2017-05-12 --exclude "*" --recursive --include "*20170512*" &amp; "%USERPROFILE%\Documents\GitHub\mrs-test-scripts\Headless Mode &amp; Sideloading\WalkAndUnGZ.bat" "%USERPROFILE%\AppData\Local\Temp\OnboardLogs"\RTDC4002\2017-05-12 &amp; aws s3 cp s3://rtdc.mdm.uploadarchive.raw/RTDC4002/ "%USERPROFILE%\AppData\Local\Temp\OnboardLogs"\RTDC4002\2017-05-13 --exclude "*" --recursive --include "*20170513*" &amp; "%USERPROFILE%\Documents\GitHub\mrs-test-scripts\Headless Mode &amp; Sideloading\WalkAndUnGZ.bat" "%USERPROFILE%\AppData\Local\Temp\OnboardLogs"\RTDC4002\2017-05-13</v>
      </c>
      <c r="AF197" s="77" t="str">
        <f t="shared" si="61"/>
        <v>"C:\Program Files (x86)\AstroGrep\AstroGrep.exe" /e /r /s /spath="%USERPROFILE%\AppData\Local\Temp\OnboardLogs" /stypes="app*4002*20170512*" /stext=" 23:.+((SYSTEM_STATE.+slice.+state.+changed )|(ment ac)|(multiple cpu faults)|(system.+state.+changed )|(\[timeout)|(PRM\|1\|D)|(kpr)|(kdp)|(train st.+moving)|(\|lc)|(penalty))"</v>
      </c>
      <c r="AG197" s="1" t="str">
        <f t="shared" si="62"/>
        <v>NW</v>
      </c>
      <c r="AH197" s="81" t="str">
        <f t="shared" si="63"/>
        <v>"%USERPROFILE%\Documents\GitHub\eaglep3\Utilities\RefineRTDCRunTimes.py" --tripid 833-12 --locoid 4002 --swversion DE.1.0.9.0 --startMP 204:988 --initTime 2017-05-12T17:14:15 --startdatetime 2017-05-12T17:21:34 --delay 1 --endMP 300:58929 --enddatetime 2017-05-12T17:36:21 --enforcementcount 0 &gt;&gt;C:\Users\stu\Documents\GitHub\eaglep3-reporting\EC\2017-05-12-refined-times.txt</v>
      </c>
      <c r="AI197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{"issue":{"subject":"","project_id":79,"tracker_id":40,"status_id":1,"priority_id":2,"assigned_to_id":23,"start_date":"2017-05-12","description":"","custom_fields":[{"id":1,"name":"Subdivision","value":"NW"},{"id":4,"name":"Milepost","value":"5.8929"},{"id":17,"name":"Train ID","value":"833-12"},{"id":16,"name":"Locomotive ID","value":"4002"},{"id":130,"name":"Impact","value":""},{"id":150,"name":"Time of Event (Mountain Time)","value":"17:36:21"},{"id":151,"name":"Denver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65"/>
        <v>start /low /b %USERPROFILE%\Documents\GitHub\eaglep3\Utilities\DownloadLogsFromS3.py --loco 4002 --day 2017-05-12</v>
      </c>
      <c r="AN197" s="154" t="str">
        <f t="shared" si="66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23:36:21"},{"id":29,"name":"Sharepoint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744</v>
      </c>
      <c r="B198" s="7">
        <v>4001</v>
      </c>
      <c r="C198" s="21" t="s">
        <v>206</v>
      </c>
      <c r="D198" s="21" t="s">
        <v>997</v>
      </c>
      <c r="E198" s="13">
        <v>42867.734502314815</v>
      </c>
      <c r="F198" s="13">
        <v>42867.736006944448</v>
      </c>
      <c r="G198" s="7">
        <v>1</v>
      </c>
      <c r="H198" s="21" t="s">
        <v>461</v>
      </c>
      <c r="I198" s="13">
        <v>42867.747534722221</v>
      </c>
      <c r="J198" s="7">
        <v>0</v>
      </c>
      <c r="K198" s="92" t="str">
        <f t="shared" si="51"/>
        <v>4001/4002</v>
      </c>
      <c r="L198" s="21" t="str">
        <f>VLOOKUP(A198,'Trips&amp;Operators'!$C$1:$G$99999,5,FALSE)</f>
        <v>ZEWDU DEREJE</v>
      </c>
      <c r="M198" s="6">
        <f t="shared" si="52"/>
        <v>1.1527777773153502E-2</v>
      </c>
      <c r="N198" s="7">
        <f t="shared" si="67"/>
        <v>16.599999993341044</v>
      </c>
      <c r="O198" s="7"/>
      <c r="P198" s="7"/>
      <c r="Q198" s="22"/>
      <c r="R198" s="190"/>
      <c r="S198" s="196">
        <f t="shared" si="69"/>
        <v>1</v>
      </c>
      <c r="T198" s="190" t="str">
        <f t="shared" si="53"/>
        <v>Southbound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1" t="str">
        <f t="shared" si="54"/>
        <v>https://d0f6bd738d7f1b3e5a7ca70fe4ff75f0.us-east-1.aws.found.io/app/kibana#/discover/Steve-Slow-Train-Analysis-(2080s-and-2083s)?_g=(refreshInterval:(display:Off,pause:!f,section:0,value:0),time:(from:'2017-05-12T16:37:41-0600',mode:absolute,to:'2017-05-12T18:56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8" s="192" t="str">
        <f t="shared" si="55"/>
        <v>N</v>
      </c>
      <c r="X198" s="192">
        <f t="shared" si="70"/>
        <v>1</v>
      </c>
      <c r="Y198" s="192">
        <f t="shared" si="56"/>
        <v>5.8613</v>
      </c>
      <c r="Z198" s="192">
        <f t="shared" si="57"/>
        <v>6.8400000000000002E-2</v>
      </c>
      <c r="AA198" s="192">
        <f t="shared" si="58"/>
        <v>5.7929000000000004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59"/>
        <v>0834-12</v>
      </c>
      <c r="AE198" s="80" t="str">
        <f t="shared" si="60"/>
        <v>aws s3 cp s3://rtdc.mdm.uploadarchive.raw/RTDC4001/ "%USERPROFILE%\AppData\Local\Temp\OnboardLogs"\RTDC4001\2017-05-12 --exclude "*" --recursive --include "*20170512*" &amp; "%USERPROFILE%\Documents\GitHub\mrs-test-scripts\Headless Mode &amp; Sideloading\WalkAndUnGZ.bat" "%USERPROFILE%\AppData\Local\Temp\OnboardLogs"\RTDC4001\2017-05-12 &amp; aws s3 cp s3://rtdc.mdm.uploadarchive.raw/RTDC4001/ "%USERPROFILE%\AppData\Local\Temp\OnboardLogs"\RTDC4001\2017-05-13 --exclude "*" --recursive --include "*20170513*" &amp; "%USERPROFILE%\Documents\GitHub\mrs-test-scripts\Headless Mode &amp; Sideloading\WalkAndUnGZ.bat" "%USERPROFILE%\AppData\Local\Temp\OnboardLogs"\RTDC4001\2017-05-13</v>
      </c>
      <c r="AF198" s="77" t="str">
        <f t="shared" si="61"/>
        <v>"C:\Program Files (x86)\AstroGrep\AstroGrep.exe" /e /r /s /spath="%USERPROFILE%\AppData\Local\Temp\OnboardLogs" /stypes="app*4001*20170512*" /stext=" 23:.+((SYSTEM_STATE.+slice.+state.+changed )|(ment ac)|(multiple cpu faults)|(system.+state.+changed )|(\[timeout)|(PRM\|1\|D)|(kpr)|(kdp)|(train st.+moving)|(\|lc)|(penalty))"</v>
      </c>
      <c r="AG198" s="1" t="str">
        <f t="shared" si="62"/>
        <v>NW</v>
      </c>
      <c r="AH198" s="81" t="str">
        <f t="shared" si="63"/>
        <v>"%USERPROFILE%\Documents\GitHub\eaglep3\Utilities\RefineRTDCRunTimes.py" --tripid 834-12 --locoid 4001 --swversion DE.1.0.9.0 --startMP 300:58613 --initTime 2017-05-12T17:37:41 --startdatetime 2017-05-12T17:39:51 --delay 1 --endMP 204:684 --enddatetime 2017-05-12T17:56:27 --enforcementcount 0 &gt;&gt;C:\Users\stu\Documents\GitHub\eaglep3-reporting\EC\2017-05-12-refined-times.txt</v>
      </c>
      <c r="AI198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{"issue":{"subject":"","project_id":79,"tracker_id":40,"status_id":1,"priority_id":2,"assigned_to_id":23,"start_date":"2017-05-12","description":"","custom_fields":[{"id":1,"name":"Subdivision","value":"NW"},{"id":4,"name":"Milepost","value":"0.0684"},{"id":17,"name":"Train ID","value":"834-12"},{"id":16,"name":"Locomotive ID","value":"4001"},{"id":130,"name":"Impact","value":""},{"id":150,"name":"Time of Event (Mountain Time)","value":"17:56:27"},{"id":151,"name":"Denver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65"/>
        <v>start /low /b %USERPROFILE%\Documents\GitHub\eaglep3\Utilities\DownloadLogsFromS3.py --loco 4001 --day 2017-05-12</v>
      </c>
      <c r="AN198" s="154" t="str">
        <f t="shared" si="66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23:56:27"},{"id":29,"name":"Sharepoint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s="20" customFormat="1" x14ac:dyDescent="0.25">
      <c r="A199" s="32" t="s">
        <v>743</v>
      </c>
      <c r="B199" s="7">
        <v>4052</v>
      </c>
      <c r="C199" s="21" t="s">
        <v>206</v>
      </c>
      <c r="D199" s="21" t="s">
        <v>969</v>
      </c>
      <c r="E199" s="13">
        <v>42867.731562499997</v>
      </c>
      <c r="F199" s="13">
        <v>42867.744016203702</v>
      </c>
      <c r="G199" s="7">
        <v>1</v>
      </c>
      <c r="H199" s="21" t="s">
        <v>541</v>
      </c>
      <c r="I199" s="13">
        <v>42867.754131944443</v>
      </c>
      <c r="J199" s="7">
        <v>0</v>
      </c>
      <c r="K199" s="92" t="str">
        <f t="shared" si="51"/>
        <v>4051/4052</v>
      </c>
      <c r="L199" s="21" t="str">
        <f>VLOOKUP(A199,'Trips&amp;Operators'!$C$1:$G$99999,5,FALSE)</f>
        <v>THOMPSON LESTER</v>
      </c>
      <c r="M199" s="6">
        <f t="shared" si="52"/>
        <v>1.0115740740729962E-2</v>
      </c>
      <c r="N199" s="7">
        <f t="shared" si="67"/>
        <v>14.566666666651145</v>
      </c>
      <c r="O199" s="7"/>
      <c r="P199" s="7"/>
      <c r="Q199" s="22"/>
      <c r="R199" s="190"/>
      <c r="S199" s="196">
        <f t="shared" si="69"/>
        <v>1</v>
      </c>
      <c r="T199" s="190" t="str">
        <f t="shared" si="53"/>
        <v>NorthBound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1" t="str">
        <f t="shared" si="54"/>
        <v>https://d0f6bd738d7f1b3e5a7ca70fe4ff75f0.us-east-1.aws.found.io/app/kibana#/discover/Steve-Slow-Train-Analysis-(2080s-and-2083s)?_g=(refreshInterval:(display:Off,pause:!f,section:0,value:0),time:(from:'2017-05-12T16:33:27-0600',mode:absolute,to:'2017-05-12T19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9" s="192" t="str">
        <f t="shared" si="55"/>
        <v>N</v>
      </c>
      <c r="X199" s="192">
        <f t="shared" si="70"/>
        <v>1</v>
      </c>
      <c r="Y199" s="192">
        <f t="shared" si="56"/>
        <v>9.9299999999999999E-2</v>
      </c>
      <c r="Z199" s="192">
        <f t="shared" si="57"/>
        <v>5.8958000000000004</v>
      </c>
      <c r="AA199" s="192">
        <f t="shared" si="58"/>
        <v>5.7965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59"/>
        <v>0835-12</v>
      </c>
      <c r="AE199" s="80" t="str">
        <f t="shared" si="60"/>
        <v>aws s3 cp s3://rtdc.mdm.uploadarchive.raw/RTDC4052/ "%USERPROFILE%\AppData\Local\Temp\OnboardLogs"\RTDC4052\2017-05-12 --exclude "*" --recursive --include "*20170512*" &amp; "%USERPROFILE%\Documents\GitHub\mrs-test-scripts\Headless Mode &amp; Sideloading\WalkAndUnGZ.bat" "%USERPROFILE%\AppData\Local\Temp\OnboardLogs"\RTDC4052\2017-05-12 &amp; aws s3 cp s3://rtdc.mdm.uploadarchive.raw/RTDC4052/ "%USERPROFILE%\AppData\Local\Temp\OnboardLogs"\RTDC4052\2017-05-13 --exclude "*" --recursive --include "*20170513*" &amp; "%USERPROFILE%\Documents\GitHub\mrs-test-scripts\Headless Mode &amp; Sideloading\WalkAndUnGZ.bat" "%USERPROFILE%\AppData\Local\Temp\OnboardLogs"\RTDC4052\2017-05-13</v>
      </c>
      <c r="AF199" s="77" t="str">
        <f t="shared" si="61"/>
        <v>"C:\Program Files (x86)\AstroGrep\AstroGrep.exe" /e /r /s /spath="%USERPROFILE%\AppData\Local\Temp\OnboardLogs" /stypes="app*4052*20170513*" /stext=" 00:.+((SYSTEM_STATE.+slice.+state.+changed )|(ment ac)|(multiple cpu faults)|(system.+state.+changed )|(\[timeout)|(PRM\|1\|D)|(kpr)|(kdp)|(train st.+moving)|(\|lc)|(penalty))"</v>
      </c>
      <c r="AG199" s="1" t="str">
        <f t="shared" si="62"/>
        <v>NW</v>
      </c>
      <c r="AH199" s="81" t="str">
        <f t="shared" si="63"/>
        <v>"%USERPROFILE%\Documents\GitHub\eaglep3\Utilities\RefineRTDCRunTimes.py" --tripid 835-12 --locoid 4052 --swversion DE.1.0.9.0 --startMP 204:993 --initTime 2017-05-12T17:33:27 --startdatetime 2017-05-12T17:51:23 --delay 1 --endMP 300:58958 --enddatetime 2017-05-12T18:05:57 --enforcementcount 0 &gt;&gt;C:\Users\stu\Documents\GitHub\eaglep3-reporting\EC\2017-05-12-refined-times.txt</v>
      </c>
      <c r="AI199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{"issue":{"subject":"","project_id":79,"tracker_id":40,"status_id":1,"priority_id":2,"assigned_to_id":23,"start_date":"2017-05-12","description":"","custom_fields":[{"id":1,"name":"Subdivision","value":"NW"},{"id":4,"name":"Milepost","value":"5.8958"},{"id":17,"name":"Train ID","value":"835-12"},{"id":16,"name":"Locomotive ID","value":"4052"},{"id":130,"name":"Impact","value":""},{"id":150,"name":"Time of Event (Mountain Time)","value":"18:05:57"},{"id":151,"name":"Denver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9" s="47"/>
      <c r="AL199" s="47"/>
      <c r="AM199" s="145" t="str">
        <f t="shared" si="65"/>
        <v>start /low /b %USERPROFILE%\Documents\GitHub\eaglep3\Utilities\DownloadLogsFromS3.py --loco 4052 --day 2017-05-12</v>
      </c>
      <c r="AN199" s="154" t="str">
        <f t="shared" si="6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00:05:57"},{"id":29,"name":"Sharepoint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2" t="s">
        <v>754</v>
      </c>
      <c r="B200" s="7">
        <v>4051</v>
      </c>
      <c r="C200" s="21" t="s">
        <v>206</v>
      </c>
      <c r="D200" s="21" t="s">
        <v>490</v>
      </c>
      <c r="E200" s="13">
        <v>42867.755173611113</v>
      </c>
      <c r="F200" s="13">
        <v>42867.756898148145</v>
      </c>
      <c r="G200" s="7">
        <v>1</v>
      </c>
      <c r="H200" s="21" t="s">
        <v>998</v>
      </c>
      <c r="I200" s="13">
        <v>42867.764872685184</v>
      </c>
      <c r="J200" s="7">
        <v>0</v>
      </c>
      <c r="K200" s="92" t="str">
        <f t="shared" si="51"/>
        <v>4051/4052</v>
      </c>
      <c r="L200" s="21" t="str">
        <f>VLOOKUP(A200,'Trips&amp;Operators'!$C$1:$G$99999,5,FALSE)</f>
        <v>THOMPSON LESTER</v>
      </c>
      <c r="M200" s="6">
        <f t="shared" si="52"/>
        <v>7.9745370385353453E-3</v>
      </c>
      <c r="N200" s="7"/>
      <c r="O200" s="7"/>
      <c r="P200" s="7">
        <f>24*60*SUM($M200:$M200)</f>
        <v>11.483333335490897</v>
      </c>
      <c r="Q200" s="22"/>
      <c r="R200" s="190" t="s">
        <v>1052</v>
      </c>
      <c r="S200" s="196">
        <f t="shared" si="69"/>
        <v>1</v>
      </c>
      <c r="T200" s="190" t="str">
        <f t="shared" si="53"/>
        <v>Southbound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1" t="str">
        <f t="shared" si="54"/>
        <v>https://d0f6bd738d7f1b3e5a7ca70fe4ff75f0.us-east-1.aws.found.io/app/kibana#/discover/Steve-Slow-Train-Analysis-(2080s-and-2083s)?_g=(refreshInterval:(display:Off,pause:!f,section:0,value:0),time:(from:'2017-05-12T17:07:27-0600',mode:absolute,to:'2017-05-12T19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0" s="192" t="str">
        <f t="shared" si="55"/>
        <v>Y</v>
      </c>
      <c r="X200" s="192">
        <f t="shared" si="70"/>
        <v>1</v>
      </c>
      <c r="Y200" s="192">
        <f t="shared" si="56"/>
        <v>5.8647</v>
      </c>
      <c r="Z200" s="192">
        <f t="shared" si="57"/>
        <v>0.98680000000000001</v>
      </c>
      <c r="AA200" s="192">
        <f t="shared" si="58"/>
        <v>4.8779000000000003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59"/>
        <v>0836-12</v>
      </c>
      <c r="AE200" s="80" t="str">
        <f t="shared" si="60"/>
        <v>aws s3 cp s3://rtdc.mdm.uploadarchive.raw/RTDC4051/ "%USERPROFILE%\AppData\Local\Temp\OnboardLogs"\RTDC4051\2017-05-12 --exclude "*" --recursive --include "*20170512*" &amp; "%USERPROFILE%\Documents\GitHub\mrs-test-scripts\Headless Mode &amp; Sideloading\WalkAndUnGZ.bat" "%USERPROFILE%\AppData\Local\Temp\OnboardLogs"\RTDC4051\2017-05-12 &amp; aws s3 cp s3://rtdc.mdm.uploadarchive.raw/RTDC4051/ "%USERPROFILE%\AppData\Local\Temp\OnboardLogs"\RTDC4051\2017-05-13 --exclude "*" --recursive --include "*20170513*" &amp; "%USERPROFILE%\Documents\GitHub\mrs-test-scripts\Headless Mode &amp; Sideloading\WalkAndUnGZ.bat" "%USERPROFILE%\AppData\Local\Temp\OnboardLogs"\RTDC4051\2017-05-13</v>
      </c>
      <c r="AF200" s="77" t="str">
        <f t="shared" si="61"/>
        <v>"C:\Program Files (x86)\AstroGrep\AstroGrep.exe" /e /r /s /spath="%USERPROFILE%\AppData\Local\Temp\OnboardLogs" /stypes="app*4051*20170513*" /stext=" 00:.+((SYSTEM_STATE.+slice.+state.+changed )|(ment ac)|(multiple cpu faults)|(system.+state.+changed )|(\[timeout)|(PRM\|1\|D)|(kpr)|(kdp)|(train st.+moving)|(\|lc)|(penalty))"</v>
      </c>
      <c r="AG200" s="1" t="str">
        <f t="shared" si="62"/>
        <v>NW</v>
      </c>
      <c r="AH200" s="81" t="str">
        <f t="shared" si="63"/>
        <v>"%USERPROFILE%\Documents\GitHub\eaglep3\Utilities\RefineRTDCRunTimes.py" --tripid 836-12 --locoid 4051 --swversion DE.1.0.9.0 --startMP 300:58647 --initTime 2017-05-12T18:07:27 --startdatetime 2017-05-12T18:09:56 --delay 1 --endMP 300:9868 --enddatetime 2017-05-12T18:21:25 --enforcementcount 0 &gt;&gt;C:\Users\stu\Documents\GitHub\eaglep3-reporting\EC\2017-05-12-refined-times.txt</v>
      </c>
      <c r="AI200" s="99" t="str">
        <f t="shared" si="64"/>
        <v>echo {"issue":{"subject":"Locomotive propulsion failure","project_id":79,"tracker_id":40,"status_id":1,"priority_id":2,"assigned_to_id":23,"start_date":"2017-05-12","description":"","custom_fields":[{"id":1,"name":"Subdivision","value":"NW"},{"id":4,"name":"Milepost","value":"0.9868"},{"id":17,"name":"Train ID","value":"836-12"},{"id":16,"name":"Locomotive ID","value":"4051"},{"id":130,"name":"Impact","value":""},{"id":150,"name":"Time of Event (Mountain Time)","value":"18:21:25"},{"id":151,"name":"Denver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65"/>
        <v>start /low /b %USERPROFILE%\Documents\GitHub\eaglep3\Utilities\DownloadLogsFromS3.py --loco 4051 --day 2017-05-12</v>
      </c>
      <c r="AN200" s="154" t="str">
        <f t="shared" si="66"/>
        <v>echo {"issue":{"subject":"Locomotive propulsion failure","project_id":30,"tracker_id":4,"status_id":1,"priority_id":1,"assigned_to_id":10,"start_date":"2017-05-13","description":"","custom_fields":[{"id":30,"name":"Category","value":"Issue"},{"id":3,"name":"Functional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00:21:25"},{"id":29,"name":"Sharepoint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753</v>
      </c>
      <c r="B201" s="7">
        <v>4002</v>
      </c>
      <c r="C201" s="21" t="s">
        <v>206</v>
      </c>
      <c r="D201" s="21" t="s">
        <v>533</v>
      </c>
      <c r="E201" s="13">
        <v>42867.750069444446</v>
      </c>
      <c r="F201" s="13">
        <v>42867.764722222222</v>
      </c>
      <c r="G201" s="7">
        <v>13</v>
      </c>
      <c r="H201" s="21" t="s">
        <v>532</v>
      </c>
      <c r="I201" s="13">
        <v>42867.775405092594</v>
      </c>
      <c r="J201" s="7">
        <v>0</v>
      </c>
      <c r="K201" s="92" t="str">
        <f t="shared" si="51"/>
        <v>4001/4002</v>
      </c>
      <c r="L201" s="21" t="str">
        <f>VLOOKUP(A201,'Trips&amp;Operators'!$C$1:$G$99999,5,FALSE)</f>
        <v>ZEWDU DEREJE</v>
      </c>
      <c r="M201" s="6">
        <f t="shared" si="52"/>
        <v>1.0682870371965691E-2</v>
      </c>
      <c r="N201" s="7">
        <f>24*60*SUM($M201:$M201)</f>
        <v>15.383333335630596</v>
      </c>
      <c r="O201" s="7"/>
      <c r="P201" s="7"/>
      <c r="Q201" s="22"/>
      <c r="R201" s="190"/>
      <c r="S201" s="196">
        <f t="shared" si="69"/>
        <v>1</v>
      </c>
      <c r="T201" s="190" t="str">
        <f t="shared" si="53"/>
        <v>NorthBound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1" t="str">
        <f t="shared" si="54"/>
        <v>https://d0f6bd738d7f1b3e5a7ca70fe4ff75f0.us-east-1.aws.found.io/app/kibana#/discover/Steve-Slow-Train-Analysis-(2080s-and-2083s)?_g=(refreshInterval:(display:Off,pause:!f,section:0,value:0),time:(from:'2017-05-12T17:00:06-0600',mode:absolute,to:'2017-05-12T19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1" s="192" t="str">
        <f t="shared" si="55"/>
        <v>N</v>
      </c>
      <c r="X201" s="192">
        <f t="shared" si="70"/>
        <v>1</v>
      </c>
      <c r="Y201" s="192">
        <f t="shared" si="56"/>
        <v>9.7600000000000006E-2</v>
      </c>
      <c r="Z201" s="192">
        <f t="shared" si="57"/>
        <v>5.8944000000000001</v>
      </c>
      <c r="AA201" s="192">
        <f t="shared" si="58"/>
        <v>5.7968000000000002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59"/>
        <v>0837-12</v>
      </c>
      <c r="AE201" s="80" t="str">
        <f t="shared" si="60"/>
        <v>aws s3 cp s3://rtdc.mdm.uploadarchive.raw/RTDC4002/ "%USERPROFILE%\AppData\Local\Temp\OnboardLogs"\RTDC4002\2017-05-12 --exclude "*" --recursive --include "*20170512*" &amp; "%USERPROFILE%\Documents\GitHub\mrs-test-scripts\Headless Mode &amp; Sideloading\WalkAndUnGZ.bat" "%USERPROFILE%\AppData\Local\Temp\OnboardLogs"\RTDC4002\2017-05-12 &amp; aws s3 cp s3://rtdc.mdm.uploadarchive.raw/RTDC4002/ "%USERPROFILE%\AppData\Local\Temp\OnboardLogs"\RTDC4002\2017-05-13 --exclude "*" --recursive --include "*20170513*" &amp; "%USERPROFILE%\Documents\GitHub\mrs-test-scripts\Headless Mode &amp; Sideloading\WalkAndUnGZ.bat" "%USERPROFILE%\AppData\Local\Temp\OnboardLogs"\RTDC4002\2017-05-13</v>
      </c>
      <c r="AF201" s="77" t="str">
        <f t="shared" si="61"/>
        <v>"C:\Program Files (x86)\AstroGrep\AstroGrep.exe" /e /r /s /spath="%USERPROFILE%\AppData\Local\Temp\OnboardLogs" /stypes="app*4002*20170513*" /stext=" 00:.+((SYSTEM_STATE.+slice.+state.+changed )|(ment ac)|(multiple cpu faults)|(system.+state.+changed )|(\[timeout)|(PRM\|1\|D)|(kpr)|(kdp)|(train st.+moving)|(\|lc)|(penalty))"</v>
      </c>
      <c r="AG201" s="1" t="str">
        <f t="shared" si="62"/>
        <v>NW</v>
      </c>
      <c r="AH201" s="81" t="str">
        <f t="shared" si="63"/>
        <v>"%USERPROFILE%\Documents\GitHub\eaglep3\Utilities\RefineRTDCRunTimes.py" --tripid 837-12 --locoid 4002 --swversion DE.1.0.9.0 --startMP 204:976 --initTime 2017-05-12T18:00:06 --startdatetime 2017-05-12T18:21:12 --delay 13 --endMP 300:58944 --enddatetime 2017-05-12T18:36:35 --enforcementcount 0 &gt;&gt;C:\Users\stu\Documents\GitHub\eaglep3-reporting\EC\2017-05-12-refined-times.txt</v>
      </c>
      <c r="AI201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{"issue":{"subject":"","project_id":79,"tracker_id":40,"status_id":1,"priority_id":2,"assigned_to_id":23,"start_date":"2017-05-12","description":"","custom_fields":[{"id":1,"name":"Subdivision","value":"NW"},{"id":4,"name":"Milepost","value":"5.8944"},{"id":17,"name":"Train ID","value":"837-12"},{"id":16,"name":"Locomotive ID","value":"4002"},{"id":130,"name":"Impact","value":""},{"id":150,"name":"Time of Event (Mountain Time)","value":"18:36:35"},{"id":151,"name":"Denver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65"/>
        <v>start /low /b %USERPROFILE%\Documents\GitHub\eaglep3\Utilities\DownloadLogsFromS3.py --loco 4002 --day 2017-05-12</v>
      </c>
      <c r="AN201" s="154" t="str">
        <f t="shared" si="6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00:36:35"},{"id":29,"name":"Sharepoint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761</v>
      </c>
      <c r="B202" s="7">
        <v>4001</v>
      </c>
      <c r="C202" s="21" t="s">
        <v>206</v>
      </c>
      <c r="D202" s="21" t="s">
        <v>999</v>
      </c>
      <c r="E202" s="13">
        <v>42867.776504629626</v>
      </c>
      <c r="F202" s="13">
        <v>42867.778055555558</v>
      </c>
      <c r="G202" s="7">
        <v>1</v>
      </c>
      <c r="H202" s="21" t="s">
        <v>1000</v>
      </c>
      <c r="I202" s="13">
        <v>42867.789467592593</v>
      </c>
      <c r="J202" s="7">
        <v>0</v>
      </c>
      <c r="K202" s="92" t="str">
        <f t="shared" si="51"/>
        <v>4001/4002</v>
      </c>
      <c r="L202" s="21" t="str">
        <f>VLOOKUP(A202,'Trips&amp;Operators'!$C$1:$G$99999,5,FALSE)</f>
        <v>ZEWDU DEREJE</v>
      </c>
      <c r="M202" s="6">
        <f t="shared" si="52"/>
        <v>1.1412037034460809E-2</v>
      </c>
      <c r="N202" s="7"/>
      <c r="O202" s="7"/>
      <c r="P202" s="7">
        <f>24*60*SUM($M202:$M202)</f>
        <v>16.433333329623565</v>
      </c>
      <c r="Q202" s="22"/>
      <c r="R202" s="190" t="s">
        <v>1053</v>
      </c>
      <c r="S202" s="196">
        <f t="shared" si="69"/>
        <v>0</v>
      </c>
      <c r="T202" s="190" t="str">
        <f t="shared" si="53"/>
        <v>Southbound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191" t="str">
        <f t="shared" si="54"/>
        <v>https://d0f6bd738d7f1b3e5a7ca70fe4ff75f0.us-east-1.aws.found.io/app/kibana#/discover/Steve-Slow-Train-Analysis-(2080s-and-2083s)?_g=(refreshInterval:(display:Off,pause:!f,section:0,value:0),time:(from:'2017-05-12T17:38:10-0600',mode:absolute,to:'2017-05-12T19:56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2" s="192" t="str">
        <f t="shared" si="55"/>
        <v>Y</v>
      </c>
      <c r="X202" s="192">
        <f t="shared" si="70"/>
        <v>1</v>
      </c>
      <c r="Y202" s="192">
        <f t="shared" si="56"/>
        <v>5.8625999999999996</v>
      </c>
      <c r="Z202" s="192">
        <f t="shared" si="57"/>
        <v>1.4197</v>
      </c>
      <c r="AA202" s="192">
        <f t="shared" si="58"/>
        <v>4.4428999999999998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59"/>
        <v>0838-12</v>
      </c>
      <c r="AE202" s="80" t="str">
        <f t="shared" si="60"/>
        <v>aws s3 cp s3://rtdc.mdm.uploadarchive.raw/RTDC4001/ "%USERPROFILE%\AppData\Local\Temp\OnboardLogs"\RTDC4001\2017-05-12 --exclude "*" --recursive --include "*20170512*" &amp; "%USERPROFILE%\Documents\GitHub\mrs-test-scripts\Headless Mode &amp; Sideloading\WalkAndUnGZ.bat" "%USERPROFILE%\AppData\Local\Temp\OnboardLogs"\RTDC4001\2017-05-12 &amp; aws s3 cp s3://rtdc.mdm.uploadarchive.raw/RTDC4001/ "%USERPROFILE%\AppData\Local\Temp\OnboardLogs"\RTDC4001\2017-05-13 --exclude "*" --recursive --include "*20170513*" &amp; "%USERPROFILE%\Documents\GitHub\mrs-test-scripts\Headless Mode &amp; Sideloading\WalkAndUnGZ.bat" "%USERPROFILE%\AppData\Local\Temp\OnboardLogs"\RTDC4001\2017-05-13</v>
      </c>
      <c r="AF202" s="77" t="str">
        <f t="shared" si="61"/>
        <v>"C:\Program Files (x86)\AstroGrep\AstroGrep.exe" /e /r /s /spath="%USERPROFILE%\AppData\Local\Temp\OnboardLogs" /stypes="app*4001*20170513*" /stext=" 00:.+((SYSTEM_STATE.+slice.+state.+changed )|(ment ac)|(multiple cpu faults)|(system.+state.+changed )|(\[timeout)|(PRM\|1\|D)|(kpr)|(kdp)|(train st.+moving)|(\|lc)|(penalty))"</v>
      </c>
      <c r="AG202" s="1" t="str">
        <f t="shared" si="62"/>
        <v>NW</v>
      </c>
      <c r="AH202" s="81" t="str">
        <f t="shared" si="63"/>
        <v>"%USERPROFILE%\Documents\GitHub\eaglep3\Utilities\RefineRTDCRunTimes.py" --tripid 838-12 --locoid 4001 --swversion DE.1.0.9.0 --startMP 300:58626 --initTime 2017-05-12T18:38:10 --startdatetime 2017-05-12T18:40:24 --delay 1 --endMP 300:14197 --enddatetime 2017-05-12T18:56:50 --enforcementcount 0 &gt;&gt;C:\Users\stu\Documents\GitHub\eaglep3-reporting\EC\2017-05-12-refined-times.txt</v>
      </c>
      <c r="AI202" s="99" t="str">
        <f t="shared" si="64"/>
        <v>echo {"issue":{"subject":"Cascade from 836-12","project_id":79,"tracker_id":40,"status_id":1,"priority_id":2,"assigned_to_id":23,"start_date":"2017-05-12","description":"","custom_fields":[{"id":1,"name":"Subdivision","value":"NW"},{"id":4,"name":"Milepost","value":"1.4197"},{"id":17,"name":"Train ID","value":"838-12"},{"id":16,"name":"Locomotive ID","value":"4001"},{"id":130,"name":"Impact","value":""},{"id":150,"name":"Time of Event (Mountain Time)","value":"18:56:50"},{"id":151,"name":"Denver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65"/>
        <v>start /low /b %USERPROFILE%\Documents\GitHub\eaglep3\Utilities\DownloadLogsFromS3.py --loco 4001 --day 2017-05-12</v>
      </c>
      <c r="AN202" s="154" t="str">
        <f t="shared" si="66"/>
        <v>echo {"issue":{"subject":"Cascade from 836-12","project_id":30,"tracker_id":4,"status_id":1,"priority_id":1,"assigned_to_id":10,"start_date":"2017-05-13","description":"","custom_fields":[{"id":30,"name":"Category","value":"Issue"},{"id":3,"name":"Functional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00:56:50"},{"id":29,"name":"Sharepoint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2" t="s">
        <v>765</v>
      </c>
      <c r="B203" s="7">
        <v>4026</v>
      </c>
      <c r="C203" s="21" t="s">
        <v>206</v>
      </c>
      <c r="D203" s="21" t="s">
        <v>535</v>
      </c>
      <c r="E203" s="13">
        <v>42867.787245370368</v>
      </c>
      <c r="F203" s="13">
        <v>42867.793402777781</v>
      </c>
      <c r="G203" s="7">
        <v>1</v>
      </c>
      <c r="H203" s="21" t="s">
        <v>1001</v>
      </c>
      <c r="I203" s="13">
        <v>42867.805694444447</v>
      </c>
      <c r="J203" s="7">
        <v>0</v>
      </c>
      <c r="K203" s="92" t="str">
        <f t="shared" si="51"/>
        <v>4025/4026</v>
      </c>
      <c r="L203" s="21" t="str">
        <f>VLOOKUP(A203,'Trips&amp;Operators'!$C$1:$G$99999,5,FALSE)</f>
        <v>DUNCAN SHEILA</v>
      </c>
      <c r="M203" s="6">
        <f t="shared" si="52"/>
        <v>1.2291666665987577E-2</v>
      </c>
      <c r="N203" s="7">
        <f t="shared" ref="N203:P234" si="71">24*60*SUM($M203:$M203)</f>
        <v>17.699999999022111</v>
      </c>
      <c r="O203" s="7"/>
      <c r="P203" s="7"/>
      <c r="Q203" s="22"/>
      <c r="R203" s="190"/>
      <c r="S203" s="196">
        <f t="shared" si="69"/>
        <v>1</v>
      </c>
      <c r="T203" s="190" t="str">
        <f t="shared" si="53"/>
        <v>NorthBound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1" t="str">
        <f t="shared" si="54"/>
        <v>https://d0f6bd738d7f1b3e5a7ca70fe4ff75f0.us-east-1.aws.found.io/app/kibana#/discover/Steve-Slow-Train-Analysis-(2080s-and-2083s)?_g=(refreshInterval:(display:Off,pause:!f,section:0,value:0),time:(from:'2017-05-12T17:53:38-0600',mode:absolute,to:'2017-05-12T20:20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3" s="192" t="str">
        <f t="shared" si="55"/>
        <v>N</v>
      </c>
      <c r="X203" s="192">
        <f t="shared" si="70"/>
        <v>1</v>
      </c>
      <c r="Y203" s="192">
        <f t="shared" si="56"/>
        <v>9.7100000000000006E-2</v>
      </c>
      <c r="Z203" s="192">
        <f t="shared" si="57"/>
        <v>5.8924000000000003</v>
      </c>
      <c r="AA203" s="192">
        <f t="shared" si="58"/>
        <v>5.7953000000000001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59"/>
        <v>0839-12</v>
      </c>
      <c r="AE203" s="80" t="str">
        <f t="shared" si="60"/>
        <v>aws s3 cp s3://rtdc.mdm.uploadarchive.raw/RTDC4026/ "%USERPROFILE%\AppData\Local\Temp\OnboardLogs"\RTDC4026\2017-05-12 --exclude "*" --recursive --include "*20170512*" &amp; "%USERPROFILE%\Documents\GitHub\mrs-test-scripts\Headless Mode &amp; Sideloading\WalkAndUnGZ.bat" "%USERPROFILE%\AppData\Local\Temp\OnboardLogs"\RTDC4026\2017-05-12 &amp; aws s3 cp s3://rtdc.mdm.uploadarchive.raw/RTDC4026/ "%USERPROFILE%\AppData\Local\Temp\OnboardLogs"\RTDC4026\2017-05-13 --exclude "*" --recursive --include "*20170513*" &amp; "%USERPROFILE%\Documents\GitHub\mrs-test-scripts\Headless Mode &amp; Sideloading\WalkAndUnGZ.bat" "%USERPROFILE%\AppData\Local\Temp\OnboardLogs"\RTDC4026\2017-05-13</v>
      </c>
      <c r="AF203" s="77" t="str">
        <f t="shared" si="61"/>
        <v>"C:\Program Files (x86)\AstroGrep\AstroGrep.exe" /e /r /s /spath="%USERPROFILE%\AppData\Local\Temp\OnboardLogs" /stypes="app*4026*20170513*" /stext=" 01:.+((SYSTEM_STATE.+slice.+state.+changed )|(ment ac)|(multiple cpu faults)|(system.+state.+changed )|(\[timeout)|(PRM\|1\|D)|(kpr)|(kdp)|(train st.+moving)|(\|lc)|(penalty))"</v>
      </c>
      <c r="AG203" s="1" t="str">
        <f t="shared" si="62"/>
        <v>NW</v>
      </c>
      <c r="AH203" s="81" t="str">
        <f t="shared" si="63"/>
        <v>"%USERPROFILE%\Documents\GitHub\eaglep3\Utilities\RefineRTDCRunTimes.py" --tripid 839-12 --locoid 4026 --swversion DE.1.0.9.0 --startMP 204:971 --initTime 2017-05-12T18:53:38 --startdatetime 2017-05-12T19:02:30 --delay 1 --endMP 300:58924 --enddatetime 2017-05-12T19:20:12 --enforcementcount 0 &gt;&gt;C:\Users\stu\Documents\GitHub\eaglep3-reporting\EC\2017-05-12-refined-times.txt</v>
      </c>
      <c r="AI203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{"issue":{"subject":"","project_id":79,"tracker_id":40,"status_id":1,"priority_id":2,"assigned_to_id":23,"start_date":"2017-05-12","description":"","custom_fields":[{"id":1,"name":"Subdivision","value":"NW"},{"id":4,"name":"Milepost","value":"5.8924"},{"id":17,"name":"Train ID","value":"839-12"},{"id":16,"name":"Locomotive ID","value":"4026"},{"id":130,"name":"Impact","value":""},{"id":150,"name":"Time of Event (Mountain Time)","value":"19:20:12"},{"id":151,"name":"Denver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65"/>
        <v>start /low /b %USERPROFILE%\Documents\GitHub\eaglep3\Utilities\DownloadLogsFromS3.py --loco 4026 --day 2017-05-12</v>
      </c>
      <c r="AN203" s="154" t="str">
        <f t="shared" si="6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01:20:12"},{"id":29,"name":"Sharepoint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591</v>
      </c>
      <c r="B204" s="7">
        <v>4001</v>
      </c>
      <c r="C204" s="21" t="s">
        <v>206</v>
      </c>
      <c r="D204" s="21" t="s">
        <v>490</v>
      </c>
      <c r="E204" s="13">
        <v>42867.835173611114</v>
      </c>
      <c r="F204" s="13">
        <v>42867.836412037039</v>
      </c>
      <c r="G204" s="7">
        <v>1</v>
      </c>
      <c r="H204" s="21" t="s">
        <v>1002</v>
      </c>
      <c r="I204" s="13">
        <v>42867.846064814818</v>
      </c>
      <c r="J204" s="7">
        <v>0</v>
      </c>
      <c r="K204" s="92" t="str">
        <f t="shared" si="51"/>
        <v>4001/4002</v>
      </c>
      <c r="L204" s="21" t="str">
        <f>VLOOKUP(A204,'Trips&amp;Operators'!$C$1:$G$99999,5,FALSE)</f>
        <v>ZEWDU DEREJE</v>
      </c>
      <c r="M204" s="6">
        <f t="shared" si="52"/>
        <v>9.6527777786832303E-3</v>
      </c>
      <c r="N204" s="7">
        <f t="shared" si="71"/>
        <v>13.900000001303852</v>
      </c>
      <c r="O204" s="7"/>
      <c r="P204" s="7"/>
      <c r="Q204" s="22"/>
      <c r="R204" s="190"/>
      <c r="S204" s="196">
        <f t="shared" si="69"/>
        <v>1</v>
      </c>
      <c r="T204" s="190" t="str">
        <f t="shared" si="53"/>
        <v>Southbound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1" t="str">
        <f t="shared" si="54"/>
        <v>https://d0f6bd738d7f1b3e5a7ca70fe4ff75f0.us-east-1.aws.found.io/app/kibana#/discover/Steve-Slow-Train-Analysis-(2080s-and-2083s)?_g=(refreshInterval:(display:Off,pause:!f,section:0,value:0),time:(from:'2017-05-12T19:02:39-0600',mode:absolute,to:'2017-05-12T21:18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4" s="192" t="str">
        <f t="shared" si="55"/>
        <v>N</v>
      </c>
      <c r="X204" s="192">
        <f t="shared" si="70"/>
        <v>1</v>
      </c>
      <c r="Y204" s="192">
        <f t="shared" si="56"/>
        <v>5.8647</v>
      </c>
      <c r="Z204" s="192">
        <f t="shared" si="57"/>
        <v>7.2700000000000001E-2</v>
      </c>
      <c r="AA204" s="192">
        <f t="shared" si="58"/>
        <v>5.7919999999999998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59"/>
        <v>0840-12</v>
      </c>
      <c r="AE204" s="80" t="str">
        <f t="shared" si="60"/>
        <v>aws s3 cp s3://rtdc.mdm.uploadarchive.raw/RTDC4001/ "%USERPROFILE%\AppData\Local\Temp\OnboardLogs"\RTDC4001\2017-05-12 --exclude "*" --recursive --include "*20170512*" &amp; "%USERPROFILE%\Documents\GitHub\mrs-test-scripts\Headless Mode &amp; Sideloading\WalkAndUnGZ.bat" "%USERPROFILE%\AppData\Local\Temp\OnboardLogs"\RTDC4001\2017-05-12 &amp; aws s3 cp s3://rtdc.mdm.uploadarchive.raw/RTDC4001/ "%USERPROFILE%\AppData\Local\Temp\OnboardLogs"\RTDC4001\2017-05-13 --exclude "*" --recursive --include "*20170513*" &amp; "%USERPROFILE%\Documents\GitHub\mrs-test-scripts\Headless Mode &amp; Sideloading\WalkAndUnGZ.bat" "%USERPROFILE%\AppData\Local\Temp\OnboardLogs"\RTDC4001\2017-05-13</v>
      </c>
      <c r="AF204" s="77" t="str">
        <f t="shared" si="61"/>
        <v>"C:\Program Files (x86)\AstroGrep\AstroGrep.exe" /e /r /s /spath="%USERPROFILE%\AppData\Local\Temp\OnboardLogs" /stypes="app*4001*20170513*" /stext=" 02:.+((SYSTEM_STATE.+slice.+state.+changed )|(ment ac)|(multiple cpu faults)|(system.+state.+changed )|(\[timeout)|(PRM\|1\|D)|(kpr)|(kdp)|(train st.+moving)|(\|lc)|(penalty))"</v>
      </c>
      <c r="AG204" s="1" t="str">
        <f t="shared" si="62"/>
        <v>NW</v>
      </c>
      <c r="AH204" s="81" t="str">
        <f t="shared" si="63"/>
        <v>"%USERPROFILE%\Documents\GitHub\eaglep3\Utilities\RefineRTDCRunTimes.py" --tripid 840-12 --locoid 4001 --swversion DE.1.0.9.0 --startMP 300:58647 --initTime 2017-05-12T20:02:39 --startdatetime 2017-05-12T20:04:26 --delay 1 --endMP 204:727 --enddatetime 2017-05-12T20:18:20 --enforcementcount 0 &gt;&gt;C:\Users\stu\Documents\GitHub\eaglep3-reporting\EC\2017-05-12-refined-times.txt</v>
      </c>
      <c r="AI204" s="99" t="str">
        <f t="shared" si="64"/>
        <v>echo {"issue":{"subject":"","project_id":79,"tracker_id":40,"status_id":1,"priority_id":2,"assigned_to_id":23,"start_date":"2017-05-12","description":"","custom_fields":[{"id":1,"name":"Subdivision","value":"NW"},{"id":4,"name":"Milepost","value":"0.0727"},{"id":17,"name":"Train ID","value":"840-12"},{"id":16,"name":"Locomotive ID","value":"4001"},{"id":130,"name":"Impact","value":""},{"id":150,"name":"Time of Event (Mountain Time)","value":"20:18:20"},{"id":151,"name":"Denver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65"/>
        <v>start /low /b %USERPROFILE%\Documents\GitHub\eaglep3\Utilities\DownloadLogsFromS3.py --loco 4001 --day 2017-05-12</v>
      </c>
      <c r="AN204" s="154" t="str">
        <f t="shared" si="6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02:18:20"},{"id":29,"name":"Sharepoint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770</v>
      </c>
      <c r="B205" s="7">
        <v>4002</v>
      </c>
      <c r="C205" s="21" t="s">
        <v>206</v>
      </c>
      <c r="D205" s="21" t="s">
        <v>1003</v>
      </c>
      <c r="E205" s="13">
        <v>42867.81994212963</v>
      </c>
      <c r="F205" s="13">
        <v>42867.82203703704</v>
      </c>
      <c r="G205" s="7">
        <v>1</v>
      </c>
      <c r="H205" s="21" t="s">
        <v>1004</v>
      </c>
      <c r="I205" s="13">
        <v>42867.834386574075</v>
      </c>
      <c r="J205" s="7">
        <v>0</v>
      </c>
      <c r="K205" s="92" t="str">
        <f t="shared" ref="K205:K264" si="72">IF(ISEVEN(B205),(B205-1)&amp;"/"&amp;B205,B205&amp;"/"&amp;(B205+1))</f>
        <v>4001/4002</v>
      </c>
      <c r="L205" s="21" t="str">
        <f>VLOOKUP(A205,'Trips&amp;Operators'!$C$1:$G$99999,5,FALSE)</f>
        <v>ZEWDU DEREJE</v>
      </c>
      <c r="M205" s="6">
        <f t="shared" ref="M205:M264" si="73">I205-F205</f>
        <v>1.2349537035333924E-2</v>
      </c>
      <c r="N205" s="7">
        <f t="shared" si="71"/>
        <v>17.783333330880851</v>
      </c>
      <c r="O205" s="7"/>
      <c r="P205" s="7"/>
      <c r="Q205" s="22"/>
      <c r="R205" s="190"/>
      <c r="S205" s="196">
        <f t="shared" si="69"/>
        <v>1</v>
      </c>
      <c r="T205" s="190" t="str">
        <f t="shared" ref="T205:T264" si="74">IF(ISEVEN(LEFT(AD205,4)),"Southbound","NorthBound")</f>
        <v>NorthBound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1" t="str">
        <f t="shared" ref="V205:V264" si="75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-05-12T18:40:43-0600',mode:absolute,to:'2017-05-12T21:01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5" s="192" t="str">
        <f t="shared" ref="W205:W264" si="76">IF(AA205&lt;IF(AG205="EC",23,5.65),"Y","N")</f>
        <v>N</v>
      </c>
      <c r="X205" s="192">
        <f t="shared" si="70"/>
        <v>1</v>
      </c>
      <c r="Y205" s="192">
        <f t="shared" ref="Y205:Y264" si="77">RIGHT(D205,LEN(D205)-4)/10000</f>
        <v>7.5899999999999995E-2</v>
      </c>
      <c r="Z205" s="192">
        <f t="shared" ref="Z205:Z264" si="78">RIGHT(H205,LEN(H205)-4)/10000</f>
        <v>5.8967000000000001</v>
      </c>
      <c r="AA205" s="192">
        <f t="shared" ref="AA205:AA264" si="79">ABS(Z205-Y205)</f>
        <v>5.8208000000000002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ref="AD205:AD264" si="80">IF(LEN(A205)=6,"0"&amp;A205,A205)</f>
        <v>0841-12</v>
      </c>
      <c r="AE205" s="80" t="str">
        <f t="shared" ref="AE205:AE264" si="8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s3://rtdc.mdm.uploadarchive.raw/RTDC4002/ "%USERPROFILE%\AppData\Local\Temp\OnboardLogs"\RTDC4002\2017-05-12 --exclude "*" --recursive --include "*20170512*" &amp; "%USERPROFILE%\Documents\GitHub\mrs-test-scripts\Headless Mode &amp; Sideloading\WalkAndUnGZ.bat" "%USERPROFILE%\AppData\Local\Temp\OnboardLogs"\RTDC4002\2017-05-12 &amp; aws s3 cp s3://rtdc.mdm.uploadarchive.raw/RTDC4002/ "%USERPROFILE%\AppData\Local\Temp\OnboardLogs"\RTDC4002\2017-05-13 --exclude "*" --recursive --include "*20170513*" &amp; "%USERPROFILE%\Documents\GitHub\mrs-test-scripts\Headless Mode &amp; Sideloading\WalkAndUnGZ.bat" "%USERPROFILE%\AppData\Local\Temp\OnboardLogs"\RTDC4002\2017-05-13</v>
      </c>
      <c r="AF205" s="77" t="str">
        <f t="shared" ref="AF205:AF264" si="82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/stypes="app*4002*20170513*" /stext=" 02:.+((SYSTEM_STATE.+slice.+state.+changed )|(ment ac)|(multiple cpu faults)|(system.+state.+changed )|(\[timeout)|(PRM\|1\|D)|(kpr)|(kdp)|(train st.+moving)|(\|lc)|(penalty))"</v>
      </c>
      <c r="AG205" s="1" t="str">
        <f t="shared" ref="AG205:AG264" si="83">IFERROR(IF(VALUE(LEFT(AD205,2))&lt;=2,"EC",IF(OR(VALUE(LEFT(AD205,2))=8,VALUE(LEFT(AD205,2))=18),"NW","Other")),"Other")</f>
        <v>NW</v>
      </c>
      <c r="AH205" s="81" t="str">
        <f t="shared" ref="AH205:AH264" si="84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841-12 --locoid 4002 --swversion DE.1.0.9.0 --startMP 204:759 --initTime 2017-05-12T19:40:43 --startdatetime 2017-05-12T19:43:44 --delay 1 --endMP 300:58967 --enddatetime 2017-05-12T20:01:31 --enforcementcount 0 &gt;&gt;C:\Users\stu\Documents\GitHub\eaglep3-reporting\EC\2017-05-12-refined-times.txt</v>
      </c>
      <c r="AI205" s="99" t="str">
        <f t="shared" ref="AI205:AI264" si="85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{"issue":{"subject":"","project_id":79,"tracker_id":40,"status_id":1,"priority_id":2,"assigned_to_id":23,"start_date":"2017-05-12","description":"","custom_fields":[{"id":1,"name":"Subdivision","value":"NW"},{"id":4,"name":"Milepost","value":"5.8967"},{"id":17,"name":"Train ID","value":"841-12"},{"id":16,"name":"Locomotive ID","value":"4002"},{"id":130,"name":"Impact","value":""},{"id":150,"name":"Time of Event (Mountain Time)","value":"20:01:31"},{"id":151,"name":"Denver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ref="AM205:AM264" si="86">"start /low /b "&amp;dls3logs&amp;" --loco "&amp;B205&amp;" --day "&amp;TEXT(F205,"YYYY-MM-DD")</f>
        <v>start /low /b %USERPROFILE%\Documents\GitHub\eaglep3\Utilities\DownloadLogsFromS3.py --loco 4002 --day 2017-05-12</v>
      </c>
      <c r="AN205" s="154" t="str">
        <f t="shared" ref="AN205:AN264" si="87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02:01:31"},{"id":29,"name":"Sharepoint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778</v>
      </c>
      <c r="B206" s="7">
        <v>4001</v>
      </c>
      <c r="C206" s="21" t="s">
        <v>206</v>
      </c>
      <c r="D206" s="21" t="s">
        <v>1005</v>
      </c>
      <c r="E206" s="13">
        <v>42867.86141203704</v>
      </c>
      <c r="F206" s="13">
        <v>42867.863043981481</v>
      </c>
      <c r="G206" s="7">
        <v>1</v>
      </c>
      <c r="H206" s="21" t="s">
        <v>545</v>
      </c>
      <c r="I206" s="13">
        <v>42867.875219907408</v>
      </c>
      <c r="J206" s="7">
        <v>0</v>
      </c>
      <c r="K206" s="92" t="str">
        <f t="shared" si="72"/>
        <v>4001/4002</v>
      </c>
      <c r="L206" s="21" t="str">
        <f>VLOOKUP(A206,'Trips&amp;Operators'!$C$1:$G$99999,5,FALSE)</f>
        <v>ZEWDU DEREJE</v>
      </c>
      <c r="M206" s="6">
        <f t="shared" si="73"/>
        <v>1.2175925927294884E-2</v>
      </c>
      <c r="N206" s="7">
        <f t="shared" si="71"/>
        <v>17.533333335304633</v>
      </c>
      <c r="O206" s="7"/>
      <c r="P206" s="7"/>
      <c r="Q206" s="22"/>
      <c r="R206" s="190"/>
      <c r="S206" s="196">
        <f t="shared" si="69"/>
        <v>1</v>
      </c>
      <c r="T206" s="190" t="str">
        <f t="shared" si="74"/>
        <v>Southbound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1" t="str">
        <f t="shared" si="75"/>
        <v>https://d0f6bd738d7f1b3e5a7ca70fe4ff75f0.us-east-1.aws.found.io/app/kibana#/discover/Steve-Slow-Train-Analysis-(2080s-and-2083s)?_g=(refreshInterval:(display:Off,pause:!f,section:0,value:0),time:(from:'2017-05-12T19:40:26-0600',mode:absolute,to:'2017-05-12T22:00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6" s="192" t="str">
        <f t="shared" si="76"/>
        <v>N</v>
      </c>
      <c r="X206" s="192">
        <f t="shared" si="70"/>
        <v>1</v>
      </c>
      <c r="Y206" s="192">
        <f t="shared" si="77"/>
        <v>5.8632</v>
      </c>
      <c r="Z206" s="192">
        <f t="shared" si="78"/>
        <v>6.9800000000000001E-2</v>
      </c>
      <c r="AA206" s="192">
        <f t="shared" si="79"/>
        <v>5.7934000000000001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80"/>
        <v>0842-12</v>
      </c>
      <c r="AE206" s="80" t="str">
        <f t="shared" si="81"/>
        <v>aws s3 cp s3://rtdc.mdm.uploadarchive.raw/RTDC4001/ "%USERPROFILE%\AppData\Local\Temp\OnboardLogs"\RTDC4001\2017-05-12 --exclude "*" --recursive --include "*20170512*" &amp; "%USERPROFILE%\Documents\GitHub\mrs-test-scripts\Headless Mode &amp; Sideloading\WalkAndUnGZ.bat" "%USERPROFILE%\AppData\Local\Temp\OnboardLogs"\RTDC4001\2017-05-12 &amp; aws s3 cp s3://rtdc.mdm.uploadarchive.raw/RTDC4001/ "%USERPROFILE%\AppData\Local\Temp\OnboardLogs"\RTDC4001\2017-05-13 --exclude "*" --recursive --include "*20170513*" &amp; "%USERPROFILE%\Documents\GitHub\mrs-test-scripts\Headless Mode &amp; Sideloading\WalkAndUnGZ.bat" "%USERPROFILE%\AppData\Local\Temp\OnboardLogs"\RTDC4001\2017-05-13</v>
      </c>
      <c r="AF206" s="77" t="str">
        <f t="shared" si="82"/>
        <v>"C:\Program Files (x86)\AstroGrep\AstroGrep.exe" /e /r /s /spath="%USERPROFILE%\AppData\Local\Temp\OnboardLogs" /stypes="app*4001*20170513*" /stext=" 03:.+((SYSTEM_STATE.+slice.+state.+changed )|(ment ac)|(multiple cpu faults)|(system.+state.+changed )|(\[timeout)|(PRM\|1\|D)|(kpr)|(kdp)|(train st.+moving)|(\|lc)|(penalty))"</v>
      </c>
      <c r="AG206" s="1" t="str">
        <f t="shared" si="83"/>
        <v>NW</v>
      </c>
      <c r="AH206" s="81" t="str">
        <f t="shared" si="84"/>
        <v>"%USERPROFILE%\Documents\GitHub\eaglep3\Utilities\RefineRTDCRunTimes.py" --tripid 842-12 --locoid 4001 --swversion DE.1.0.9.0 --startMP 300:58632 --initTime 2017-05-12T20:40:26 --startdatetime 2017-05-12T20:42:47 --delay 1 --endMP 204:698 --enddatetime 2017-05-12T21:00:19 --enforcementcount 0 &gt;&gt;C:\Users\stu\Documents\GitHub\eaglep3-reporting\EC\2017-05-12-refined-times.txt</v>
      </c>
      <c r="AI206" s="99" t="str">
        <f t="shared" si="85"/>
        <v>echo {"issue":{"subject":"","project_id":79,"tracker_id":40,"status_id":1,"priority_id":2,"assigned_to_id":23,"start_date":"2017-05-12","description":"","custom_fields":[{"id":1,"name":"Subdivision","value":"NW"},{"id":4,"name":"Milepost","value":"0.0698"},{"id":17,"name":"Train ID","value":"842-12"},{"id":16,"name":"Locomotive ID","value":"4001"},{"id":130,"name":"Impact","value":""},{"id":150,"name":"Time of Event (Mountain Time)","value":"21:00:19"},{"id":151,"name":"Denver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86"/>
        <v>start /low /b %USERPROFILE%\Documents\GitHub\eaglep3\Utilities\DownloadLogsFromS3.py --loco 4001 --day 2017-05-12</v>
      </c>
      <c r="AN206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03:00:19"},{"id":29,"name":"Sharepoint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777</v>
      </c>
      <c r="B207" s="7">
        <v>4002</v>
      </c>
      <c r="C207" s="21" t="s">
        <v>206</v>
      </c>
      <c r="D207" s="21" t="s">
        <v>1006</v>
      </c>
      <c r="E207" s="13">
        <v>42867.846979166665</v>
      </c>
      <c r="F207" s="13">
        <v>42867.863043981481</v>
      </c>
      <c r="G207" s="7">
        <v>1</v>
      </c>
      <c r="H207" s="21" t="s">
        <v>539</v>
      </c>
      <c r="I207" s="13">
        <v>42867.875219907408</v>
      </c>
      <c r="J207" s="7">
        <v>0</v>
      </c>
      <c r="K207" s="92" t="str">
        <f t="shared" si="72"/>
        <v>4001/4002</v>
      </c>
      <c r="L207" s="21" t="str">
        <f>VLOOKUP(A207,'Trips&amp;Operators'!$C$1:$G$99999,5,FALSE)</f>
        <v>ZEWDU DEREJE</v>
      </c>
      <c r="M207" s="6">
        <f t="shared" si="73"/>
        <v>1.2175925927294884E-2</v>
      </c>
      <c r="N207" s="7">
        <f t="shared" si="71"/>
        <v>17.533333335304633</v>
      </c>
      <c r="O207" s="7"/>
      <c r="P207" s="7"/>
      <c r="Q207" s="22"/>
      <c r="R207" s="190"/>
      <c r="S207" s="196">
        <f t="shared" si="69"/>
        <v>1</v>
      </c>
      <c r="T207" s="190" t="str">
        <f t="shared" si="74"/>
        <v>NorthBound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1" t="str">
        <f t="shared" si="75"/>
        <v>https://d0f6bd738d7f1b3e5a7ca70fe4ff75f0.us-east-1.aws.found.io/app/kibana#/discover/Steve-Slow-Train-Analysis-(2080s-and-2083s)?_g=(refreshInterval:(display:Off,pause:!f,section:0,value:0),time:(from:'2017-05-12T19:19:39-0600',mode:absolute,to:'2017-05-12T22:00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7" s="192" t="str">
        <f t="shared" si="76"/>
        <v>N</v>
      </c>
      <c r="X207" s="192">
        <f t="shared" si="70"/>
        <v>1</v>
      </c>
      <c r="Y207" s="192">
        <f t="shared" si="77"/>
        <v>0.10199999999999999</v>
      </c>
      <c r="Z207" s="192">
        <f t="shared" si="78"/>
        <v>5.8948</v>
      </c>
      <c r="AA207" s="192">
        <f t="shared" si="79"/>
        <v>5.7927999999999997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80"/>
        <v>0843-12</v>
      </c>
      <c r="AE207" s="80" t="str">
        <f t="shared" si="81"/>
        <v>aws s3 cp s3://rtdc.mdm.uploadarchive.raw/RTDC4002/ "%USERPROFILE%\AppData\Local\Temp\OnboardLogs"\RTDC4002\2017-05-12 --exclude "*" --recursive --include "*20170512*" &amp; "%USERPROFILE%\Documents\GitHub\mrs-test-scripts\Headless Mode &amp; Sideloading\WalkAndUnGZ.bat" "%USERPROFILE%\AppData\Local\Temp\OnboardLogs"\RTDC4002\2017-05-12 &amp; aws s3 cp s3://rtdc.mdm.uploadarchive.raw/RTDC4002/ "%USERPROFILE%\AppData\Local\Temp\OnboardLogs"\RTDC4002\2017-05-13 --exclude "*" --recursive --include "*20170513*" &amp; "%USERPROFILE%\Documents\GitHub\mrs-test-scripts\Headless Mode &amp; Sideloading\WalkAndUnGZ.bat" "%USERPROFILE%\AppData\Local\Temp\OnboardLogs"\RTDC4002\2017-05-13</v>
      </c>
      <c r="AF207" s="77" t="str">
        <f t="shared" si="82"/>
        <v>"C:\Program Files (x86)\AstroGrep\AstroGrep.exe" /e /r /s /spath="%USERPROFILE%\AppData\Local\Temp\OnboardLogs" /stypes="app*4002*20170513*" /stext=" 03:.+((SYSTEM_STATE.+slice.+state.+changed )|(ment ac)|(multiple cpu faults)|(system.+state.+changed )|(\[timeout)|(PRM\|1\|D)|(kpr)|(kdp)|(train st.+moving)|(\|lc)|(penalty))"</v>
      </c>
      <c r="AG207" s="1" t="str">
        <f t="shared" si="83"/>
        <v>NW</v>
      </c>
      <c r="AH207" s="81" t="str">
        <f t="shared" si="84"/>
        <v>"%USERPROFILE%\Documents\GitHub\eaglep3\Utilities\RefineRTDCRunTimes.py" --tripid 843-12 --locoid 4002 --swversion DE.1.0.9.0 --startMP 204:1020 --initTime 2017-05-12T20:19:39 --startdatetime 2017-05-12T20:42:47 --delay 1 --endMP 300:58948 --enddatetime 2017-05-12T21:00:19 --enforcementcount 0 &gt;&gt;C:\Users\stu\Documents\GitHub\eaglep3-reporting\EC\2017-05-12-refined-times.txt</v>
      </c>
      <c r="AI207" s="99" t="str">
        <f t="shared" si="85"/>
        <v>echo {"issue":{"subject":"","project_id":79,"tracker_id":40,"status_id":1,"priority_id":2,"assigned_to_id":23,"start_date":"2017-05-12","description":"","custom_fields":[{"id":1,"name":"Subdivision","value":"NW"},{"id":4,"name":"Milepost","value":"5.8948"},{"id":17,"name":"Train ID","value":"843-12"},{"id":16,"name":"Locomotive ID","value":"4002"},{"id":130,"name":"Impact","value":""},{"id":150,"name":"Time of Event (Mountain Time)","value":"21:00:19"},{"id":151,"name":"Denver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86"/>
        <v>start /low /b %USERPROFILE%\Documents\GitHub\eaglep3\Utilities\DownloadLogsFromS3.py --loco 4002 --day 2017-05-12</v>
      </c>
      <c r="AN207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03:00:19"},{"id":29,"name":"Sharepoint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782</v>
      </c>
      <c r="B208" s="7">
        <v>4001</v>
      </c>
      <c r="C208" s="21" t="s">
        <v>206</v>
      </c>
      <c r="D208" s="21" t="s">
        <v>1007</v>
      </c>
      <c r="E208" s="13">
        <v>42867.90221064815</v>
      </c>
      <c r="F208" s="13">
        <v>42867.904270833336</v>
      </c>
      <c r="G208" s="7">
        <v>2</v>
      </c>
      <c r="H208" s="21" t="s">
        <v>538</v>
      </c>
      <c r="I208" s="13">
        <v>42867.916122685187</v>
      </c>
      <c r="J208" s="7">
        <v>0</v>
      </c>
      <c r="K208" s="92" t="str">
        <f t="shared" si="72"/>
        <v>4001/4002</v>
      </c>
      <c r="L208" s="21" t="str">
        <f>VLOOKUP(A208,'Trips&amp;Operators'!$C$1:$G$99999,5,FALSE)</f>
        <v>THOMPSON LESTER</v>
      </c>
      <c r="M208" s="6">
        <f t="shared" si="73"/>
        <v>1.1851851850224193E-2</v>
      </c>
      <c r="N208" s="7">
        <f t="shared" si="71"/>
        <v>17.066666664322838</v>
      </c>
      <c r="O208" s="7"/>
      <c r="P208" s="7"/>
      <c r="Q208" s="22"/>
      <c r="R208" s="190"/>
      <c r="S208" s="196">
        <f t="shared" si="69"/>
        <v>1</v>
      </c>
      <c r="T208" s="190" t="str">
        <f t="shared" si="74"/>
        <v>Southbound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1" t="str">
        <f t="shared" si="75"/>
        <v>https://d0f6bd738d7f1b3e5a7ca70fe4ff75f0.us-east-1.aws.found.io/app/kibana#/discover/Steve-Slow-Train-Analysis-(2080s-and-2083s)?_g=(refreshInterval:(display:Off,pause:!f,section:0,value:0),time:(from:'2017-05-12T20:39:11-0600',mode:absolute,to:'2017-05-12T22:59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8" s="192" t="str">
        <f t="shared" si="76"/>
        <v>N</v>
      </c>
      <c r="X208" s="192">
        <f t="shared" si="70"/>
        <v>1</v>
      </c>
      <c r="Y208" s="192">
        <f t="shared" si="77"/>
        <v>5.8624999999999998</v>
      </c>
      <c r="Z208" s="192">
        <f t="shared" si="78"/>
        <v>6.9400000000000003E-2</v>
      </c>
      <c r="AA208" s="192">
        <f t="shared" si="79"/>
        <v>5.7930999999999999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80"/>
        <v>0844-12</v>
      </c>
      <c r="AE208" s="80" t="str">
        <f t="shared" si="81"/>
        <v>aws s3 cp s3://rtdc.mdm.uploadarchive.raw/RTDC4001/ "%USERPROFILE%\AppData\Local\Temp\OnboardLogs"\RTDC4001\2017-05-12 --exclude "*" --recursive --include "*20170512*" &amp; "%USERPROFILE%\Documents\GitHub\mrs-test-scripts\Headless Mode &amp; Sideloading\WalkAndUnGZ.bat" "%USERPROFILE%\AppData\Local\Temp\OnboardLogs"\RTDC4001\2017-05-12 &amp; aws s3 cp s3://rtdc.mdm.uploadarchive.raw/RTDC4001/ "%USERPROFILE%\AppData\Local\Temp\OnboardLogs"\RTDC4001\2017-05-13 --exclude "*" --recursive --include "*20170513*" &amp; "%USERPROFILE%\Documents\GitHub\mrs-test-scripts\Headless Mode &amp; Sideloading\WalkAndUnGZ.bat" "%USERPROFILE%\AppData\Local\Temp\OnboardLogs"\RTDC4001\2017-05-13</v>
      </c>
      <c r="AF208" s="77" t="str">
        <f t="shared" si="82"/>
        <v>"C:\Program Files (x86)\AstroGrep\AstroGrep.exe" /e /r /s /spath="%USERPROFILE%\AppData\Local\Temp\OnboardLogs" /stypes="app*4001*20170513*" /stext=" 03:.+((SYSTEM_STATE.+slice.+state.+changed )|(ment ac)|(multiple cpu faults)|(system.+state.+changed )|(\[timeout)|(PRM\|1\|D)|(kpr)|(kdp)|(train st.+moving)|(\|lc)|(penalty))"</v>
      </c>
      <c r="AG208" s="1" t="str">
        <f t="shared" si="83"/>
        <v>NW</v>
      </c>
      <c r="AH208" s="81" t="str">
        <f t="shared" si="84"/>
        <v>"%USERPROFILE%\Documents\GitHub\eaglep3\Utilities\RefineRTDCRunTimes.py" --tripid 844-12 --locoid 4001 --swversion DE.1.0.9.0 --startMP 300:58625 --initTime 2017-05-12T21:39:11 --startdatetime 2017-05-12T21:42:09 --delay 2 --endMP 204:694 --enddatetime 2017-05-12T21:59:13 --enforcementcount 0 &gt;&gt;C:\Users\stu\Documents\GitHub\eaglep3-reporting\EC\2017-05-12-refined-times.txt</v>
      </c>
      <c r="AI208" s="99" t="str">
        <f t="shared" si="85"/>
        <v>echo {"issue":{"subject":"","project_id":79,"tracker_id":40,"status_id":1,"priority_id":2,"assigned_to_id":23,"start_date":"2017-05-12","description":"","custom_fields":[{"id":1,"name":"Subdivision","value":"NW"},{"id":4,"name":"Milepost","value":"0.0694"},{"id":17,"name":"Train ID","value":"844-12"},{"id":16,"name":"Locomotive ID","value":"4001"},{"id":130,"name":"Impact","value":""},{"id":150,"name":"Time of Event (Mountain Time)","value":"21:59:13"},{"id":151,"name":"Denver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86"/>
        <v>start /low /b %USERPROFILE%\Documents\GitHub\eaglep3\Utilities\DownloadLogsFromS3.py --loco 4001 --day 2017-05-12</v>
      </c>
      <c r="AN208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03:59:13"},{"id":29,"name":"Sharepoint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595</v>
      </c>
      <c r="B209" s="7">
        <v>4002</v>
      </c>
      <c r="C209" s="21" t="s">
        <v>206</v>
      </c>
      <c r="D209" s="21" t="s">
        <v>544</v>
      </c>
      <c r="E209" s="13">
        <v>42867.879641203705</v>
      </c>
      <c r="F209" s="13">
        <v>42867.889780092592</v>
      </c>
      <c r="G209" s="7">
        <v>2</v>
      </c>
      <c r="H209" s="21" t="s">
        <v>1008</v>
      </c>
      <c r="I209" s="13">
        <v>42867.901087962964</v>
      </c>
      <c r="J209" s="7">
        <v>0</v>
      </c>
      <c r="K209" s="92" t="str">
        <f t="shared" si="72"/>
        <v>4001/4002</v>
      </c>
      <c r="L209" s="21" t="str">
        <f>VLOOKUP(A209,'Trips&amp;Operators'!$C$1:$G$99999,5,FALSE)</f>
        <v>THOMPSON LESTER</v>
      </c>
      <c r="M209" s="6">
        <f t="shared" si="73"/>
        <v>1.1307870372547768E-2</v>
      </c>
      <c r="N209" s="7">
        <f t="shared" si="71"/>
        <v>16.283333336468786</v>
      </c>
      <c r="O209" s="7"/>
      <c r="P209" s="7"/>
      <c r="Q209" s="22"/>
      <c r="R209" s="190"/>
      <c r="S209" s="196">
        <f t="shared" si="69"/>
        <v>1</v>
      </c>
      <c r="T209" s="190" t="str">
        <f t="shared" si="74"/>
        <v>NorthBound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1" t="str">
        <f t="shared" si="75"/>
        <v>https://d0f6bd738d7f1b3e5a7ca70fe4ff75f0.us-east-1.aws.found.io/app/kibana#/discover/Steve-Slow-Train-Analysis-(2080s-and-2083s)?_g=(refreshInterval:(display:Off,pause:!f,section:0,value:0),time:(from:'2017-05-12T20:06:41-0600',mode:absolute,to:'2017-05-12T22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9" s="192" t="str">
        <f t="shared" si="76"/>
        <v>N</v>
      </c>
      <c r="X209" s="192">
        <f t="shared" si="70"/>
        <v>1</v>
      </c>
      <c r="Y209" s="192">
        <f t="shared" si="77"/>
        <v>9.74E-2</v>
      </c>
      <c r="Z209" s="192">
        <f t="shared" si="78"/>
        <v>5.8940999999999999</v>
      </c>
      <c r="AA209" s="192">
        <f t="shared" si="79"/>
        <v>5.7966999999999995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80"/>
        <v>0845-12</v>
      </c>
      <c r="AE209" s="80" t="str">
        <f t="shared" si="81"/>
        <v>aws s3 cp s3://rtdc.mdm.uploadarchive.raw/RTDC4002/ "%USERPROFILE%\AppData\Local\Temp\OnboardLogs"\RTDC4002\2017-05-12 --exclude "*" --recursive --include "*20170512*" &amp; "%USERPROFILE%\Documents\GitHub\mrs-test-scripts\Headless Mode &amp; Sideloading\WalkAndUnGZ.bat" "%USERPROFILE%\AppData\Local\Temp\OnboardLogs"\RTDC4002\2017-05-12 &amp; aws s3 cp s3://rtdc.mdm.uploadarchive.raw/RTDC4002/ "%USERPROFILE%\AppData\Local\Temp\OnboardLogs"\RTDC4002\2017-05-13 --exclude "*" --recursive --include "*20170513*" &amp; "%USERPROFILE%\Documents\GitHub\mrs-test-scripts\Headless Mode &amp; Sideloading\WalkAndUnGZ.bat" "%USERPROFILE%\AppData\Local\Temp\OnboardLogs"\RTDC4002\2017-05-13</v>
      </c>
      <c r="AF209" s="77" t="str">
        <f t="shared" si="82"/>
        <v>"C:\Program Files (x86)\AstroGrep\AstroGrep.exe" /e /r /s /spath="%USERPROFILE%\AppData\Local\Temp\OnboardLogs" /stypes="app*4002*20170513*" /stext=" 03:.+((SYSTEM_STATE.+slice.+state.+changed )|(ment ac)|(multiple cpu faults)|(system.+state.+changed )|(\[timeout)|(PRM\|1\|D)|(kpr)|(kdp)|(train st.+moving)|(\|lc)|(penalty))"</v>
      </c>
      <c r="AG209" s="1" t="str">
        <f t="shared" si="83"/>
        <v>NW</v>
      </c>
      <c r="AH209" s="81" t="str">
        <f t="shared" si="84"/>
        <v>"%USERPROFILE%\Documents\GitHub\eaglep3\Utilities\RefineRTDCRunTimes.py" --tripid 845-12 --locoid 4002 --swversion DE.1.0.9.0 --startMP 204:974 --initTime 2017-05-12T21:06:41 --startdatetime 2017-05-12T21:21:17 --delay 2 --endMP 300:58941 --enddatetime 2017-05-12T21:37:34 --enforcementcount 0 &gt;&gt;C:\Users\stu\Documents\GitHub\eaglep3-reporting\EC\2017-05-12-refined-times.txt</v>
      </c>
      <c r="AI209" s="99" t="str">
        <f t="shared" si="85"/>
        <v>echo {"issue":{"subject":"","project_id":79,"tracker_id":40,"status_id":1,"priority_id":2,"assigned_to_id":23,"start_date":"2017-05-12","description":"","custom_fields":[{"id":1,"name":"Subdivision","value":"NW"},{"id":4,"name":"Milepost","value":"5.8941"},{"id":17,"name":"Train ID","value":"845-12"},{"id":16,"name":"Locomotive ID","value":"4002"},{"id":130,"name":"Impact","value":""},{"id":150,"name":"Time of Event (Mountain Time)","value":"21:37:34"},{"id":151,"name":"Denver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86"/>
        <v>start /low /b %USERPROFILE%\Documents\GitHub\eaglep3\Utilities\DownloadLogsFromS3.py --loco 4002 --day 2017-05-12</v>
      </c>
      <c r="AN209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03:37:34"},{"id":29,"name":"Sharepoint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785</v>
      </c>
      <c r="B210" s="7">
        <v>4002</v>
      </c>
      <c r="C210" s="21" t="s">
        <v>206</v>
      </c>
      <c r="D210" s="21" t="s">
        <v>531</v>
      </c>
      <c r="E210" s="13">
        <v>42867.918611111112</v>
      </c>
      <c r="F210" s="13">
        <v>42867.93141203704</v>
      </c>
      <c r="G210" s="7">
        <v>1</v>
      </c>
      <c r="H210" s="21" t="s">
        <v>1009</v>
      </c>
      <c r="I210" s="13">
        <v>42867.942418981482</v>
      </c>
      <c r="J210" s="7">
        <v>0</v>
      </c>
      <c r="K210" s="92" t="str">
        <f t="shared" si="72"/>
        <v>4001/4002</v>
      </c>
      <c r="L210" s="21" t="str">
        <f>VLOOKUP(A210,'Trips&amp;Operators'!$C$1:$G$99999,5,FALSE)</f>
        <v>THOMPSON LESTER</v>
      </c>
      <c r="M210" s="6">
        <f t="shared" si="73"/>
        <v>1.1006944441760425E-2</v>
      </c>
      <c r="N210" s="7">
        <f t="shared" si="71"/>
        <v>15.849999996135011</v>
      </c>
      <c r="O210" s="7"/>
      <c r="P210" s="7"/>
      <c r="Q210" s="22"/>
      <c r="R210" s="190"/>
      <c r="S210" s="196">
        <f t="shared" si="69"/>
        <v>1</v>
      </c>
      <c r="T210" s="190" t="str">
        <f t="shared" si="74"/>
        <v>NorthBound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1" t="str">
        <f t="shared" si="75"/>
        <v>https://d0f6bd738d7f1b3e5a7ca70fe4ff75f0.us-east-1.aws.found.io/app/kibana#/discover/Steve-Slow-Train-Analysis-(2080s-and-2083s)?_g=(refreshInterval:(display:Off,pause:!f,section:0,value:0),time:(from:'2017-05-12T21:02:48-0600',mode:absolute,to:'2017-05-12T23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0" s="192" t="str">
        <f t="shared" si="76"/>
        <v>N</v>
      </c>
      <c r="X210" s="192">
        <f t="shared" si="70"/>
        <v>2</v>
      </c>
      <c r="Y210" s="192">
        <f t="shared" si="77"/>
        <v>9.8500000000000004E-2</v>
      </c>
      <c r="Z210" s="192">
        <f t="shared" si="78"/>
        <v>5.9001000000000001</v>
      </c>
      <c r="AA210" s="192">
        <f t="shared" si="79"/>
        <v>5.8016000000000005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80"/>
        <v>0847-12</v>
      </c>
      <c r="AE210" s="80" t="str">
        <f t="shared" si="81"/>
        <v>aws s3 cp s3://rtdc.mdm.uploadarchive.raw/RTDC4002/ "%USERPROFILE%\AppData\Local\Temp\OnboardLogs"\RTDC4002\2017-05-12 --exclude "*" --recursive --include "*20170512*" &amp; "%USERPROFILE%\Documents\GitHub\mrs-test-scripts\Headless Mode &amp; Sideloading\WalkAndUnGZ.bat" "%USERPROFILE%\AppData\Local\Temp\OnboardLogs"\RTDC4002\2017-05-12 &amp; aws s3 cp s3://rtdc.mdm.uploadarchive.raw/RTDC4002/ "%USERPROFILE%\AppData\Local\Temp\OnboardLogs"\RTDC4002\2017-05-13 --exclude "*" --recursive --include "*20170513*" &amp; "%USERPROFILE%\Documents\GitHub\mrs-test-scripts\Headless Mode &amp; Sideloading\WalkAndUnGZ.bat" "%USERPROFILE%\AppData\Local\Temp\OnboardLogs"\RTDC4002\2017-05-13</v>
      </c>
      <c r="AF210" s="77" t="str">
        <f t="shared" si="82"/>
        <v>"C:\Program Files (x86)\AstroGrep\AstroGrep.exe" /e /r /s /spath="%USERPROFILE%\AppData\Local\Temp\OnboardLogs" /stypes="app*4002*20170513*" /stext=" 04:.+((SYSTEM_STATE.+slice.+state.+changed )|(ment ac)|(multiple cpu faults)|(system.+state.+changed )|(\[timeout)|(PRM\|1\|D)|(kpr)|(kdp)|(train st.+moving)|(\|lc)|(penalty))"</v>
      </c>
      <c r="AG210" s="1" t="str">
        <f t="shared" si="83"/>
        <v>NW</v>
      </c>
      <c r="AH210" s="81" t="str">
        <f t="shared" si="84"/>
        <v>"%USERPROFILE%\Documents\GitHub\eaglep3\Utilities\RefineRTDCRunTimes.py" --tripid 847-12 --locoid 4002 --swversion DE.1.0.9.0 --startMP 204:985 --initTime 2017-05-12T22:02:48 --startdatetime 2017-05-12T22:21:14 --delay 1 --endMP 300:59001 --enddatetime 2017-05-12T22:37:05 --enforcementcount 0 &gt;&gt;C:\Users\stu\Documents\GitHub\eaglep3-reporting\EC\2017-05-12-refined-times.txt</v>
      </c>
      <c r="AI210" s="99" t="str">
        <f t="shared" si="85"/>
        <v>echo {"issue":{"subject":"","project_id":79,"tracker_id":40,"status_id":1,"priority_id":2,"assigned_to_id":23,"start_date":"2017-05-12","description":"","custom_fields":[{"id":1,"name":"Subdivision","value":"NW"},{"id":4,"name":"Milepost","value":"5.9001"},{"id":17,"name":"Train ID","value":"847-12"},{"id":16,"name":"Locomotive ID","value":"4002"},{"id":130,"name":"Impact","value":""},{"id":150,"name":"Time of Event (Mountain Time)","value":"22:37:05"},{"id":151,"name":"Denver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86"/>
        <v>start /low /b %USERPROFILE%\Documents\GitHub\eaglep3\Utilities\DownloadLogsFromS3.py --loco 4002 --day 2017-05-12</v>
      </c>
      <c r="AN210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04:37:05"},{"id":29,"name":"Sharepoint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600</v>
      </c>
      <c r="B211" s="7">
        <v>4031</v>
      </c>
      <c r="C211" s="21" t="s">
        <v>206</v>
      </c>
      <c r="D211" s="21" t="s">
        <v>909</v>
      </c>
      <c r="E211" s="13">
        <v>42867.116944444446</v>
      </c>
      <c r="F211" s="13">
        <v>42867.12159722222</v>
      </c>
      <c r="G211" s="7">
        <v>6</v>
      </c>
      <c r="H211" s="21" t="s">
        <v>910</v>
      </c>
      <c r="I211" s="13">
        <v>42867.127696759257</v>
      </c>
      <c r="J211" s="7">
        <v>0</v>
      </c>
      <c r="K211" s="92" t="str">
        <f t="shared" si="72"/>
        <v>4031/4032</v>
      </c>
      <c r="L211" s="21" t="str">
        <f>VLOOKUP(A211,'Trips&amp;Operators'!$C$1:$G$99999,5,FALSE)</f>
        <v>BADERTSCHER DIANE</v>
      </c>
      <c r="M211" s="6">
        <f t="shared" si="73"/>
        <v>6.0995370367891155E-3</v>
      </c>
      <c r="N211" s="7">
        <f t="shared" si="71"/>
        <v>8.7833333329763263</v>
      </c>
      <c r="O211" s="7"/>
      <c r="P211" s="7"/>
      <c r="Q211" s="22"/>
      <c r="R211" s="190"/>
      <c r="S211" s="196">
        <f t="shared" si="69"/>
        <v>1</v>
      </c>
      <c r="T211" s="190" t="str">
        <f t="shared" si="74"/>
        <v>Southbound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1" t="str">
        <f t="shared" si="75"/>
        <v>https://d0f6bd738d7f1b3e5a7ca70fe4ff75f0.us-east-1.aws.found.io/app/kibana#/discover/Steve-Slow-Train-Analysis-(2080s-and-2083s)?_g=(refreshInterval:(display:Off,pause:!f,section:0,value:0),time:(from:'2017-05-12T01:48:24-0600',mode:absolute,to:'2017-05-12T04:03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1" s="192" t="str">
        <f t="shared" si="76"/>
        <v>Y</v>
      </c>
      <c r="X211" s="192">
        <f t="shared" si="70"/>
        <v>-545</v>
      </c>
      <c r="Y211" s="192">
        <f t="shared" si="77"/>
        <v>2.2896000000000001</v>
      </c>
      <c r="Z211" s="192">
        <f t="shared" si="78"/>
        <v>1.1599999999999999E-2</v>
      </c>
      <c r="AA211" s="192">
        <f t="shared" si="79"/>
        <v>2.278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80"/>
        <v>0302-12</v>
      </c>
      <c r="AE211" s="80" t="str">
        <f t="shared" si="81"/>
        <v>aws s3 cp s3://rtdc.mdm.uploadarchive.raw/RTDC4031/ "%USERPROFILE%\AppData\Local\Temp\OnboardLogs"\RTDC4031\2017-05-12 --exclude "*" --recursive --include "*20170512*" &amp; "%USERPROFILE%\Documents\GitHub\mrs-test-scripts\Headless Mode &amp; Sideloading\WalkAndUnGZ.bat" "%USERPROFILE%\AppData\Local\Temp\OnboardLogs"\RTDC4031\2017-05-12 &amp; aws s3 cp s3://rtdc.mdm.uploadarchive.raw/RTDC4031/ "%USERPROFILE%\AppData\Local\Temp\OnboardLogs"\RTDC4031\2017-05-13 --exclude "*" --recursive --include "*20170513*" &amp; "%USERPROFILE%\Documents\GitHub\mrs-test-scripts\Headless Mode &amp; Sideloading\WalkAndUnGZ.bat" "%USERPROFILE%\AppData\Local\Temp\OnboardLogs"\RTDC4031\2017-05-13</v>
      </c>
      <c r="AF211" s="77" t="str">
        <f t="shared" si="82"/>
        <v>"C:\Program Files (x86)\AstroGrep\AstroGrep.exe" /e /r /s /spath="%USERPROFILE%\AppData\Local\Temp\OnboardLogs" /stypes="app*4031*20170512*" /stext=" 09:.+((SYSTEM_STATE.+slice.+state.+changed )|(ment ac)|(multiple cpu faults)|(system.+state.+changed )|(\[timeout)|(PRM\|1\|D)|(kpr)|(kdp)|(train st.+moving)|(\|lc)|(penalty))"</v>
      </c>
      <c r="AG211" s="1" t="str">
        <f t="shared" si="83"/>
        <v>Other</v>
      </c>
      <c r="AH211" s="81" t="str">
        <f t="shared" si="84"/>
        <v>"%USERPROFILE%\Documents\GitHub\eaglep3\Utilities\RefineRTDCRunTimes.py" --tripid 302-12 --locoid 4031 --swversion DE.1.0.9.0 --startMP 300:22896 --initTime 2017-05-12T02:48:24 --startdatetime 2017-05-12T02:55:06 --delay 6 --endMP 204:116 --enddatetime 2017-05-12T03:03:53 --enforcementcount 0 &gt;&gt;C:\Users\stu\Documents\GitHub\eaglep3-reporting\EC\2017-05-12-refined-times.txt</v>
      </c>
      <c r="AI211" s="99" t="str">
        <f t="shared" si="85"/>
        <v>echo {"issue":{"subject":"","project_id":79,"tracker_id":40,"status_id":1,"priority_id":2,"assigned_to_id":23,"start_date":"2017-05-12","description":"","custom_fields":[{"id":1,"name":"Subdivision","value":"Other"},{"id":4,"name":"Milepost","value":"0.0116"},{"id":17,"name":"Train ID","value":"302-12"},{"id":16,"name":"Locomotive ID","value":"4031"},{"id":130,"name":"Impact","value":""},{"id":150,"name":"Time of Event (Mountain Time)","value":"03:03:53"},{"id":151,"name":"Denver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86"/>
        <v>start /low /b %USERPROFILE%\Documents\GitHub\eaglep3\Utilities\DownloadLogsFromS3.py --loco 4031 --day 2017-05-12</v>
      </c>
      <c r="AN211" s="154" t="str">
        <f t="shared" si="87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09:03:53"},{"id":29,"name":"Sharepoint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762</v>
      </c>
      <c r="B212" s="7">
        <v>4010</v>
      </c>
      <c r="C212" s="21" t="s">
        <v>206</v>
      </c>
      <c r="D212" s="21" t="s">
        <v>386</v>
      </c>
      <c r="E212" s="13">
        <v>42867.77715277778</v>
      </c>
      <c r="F212" s="13">
        <v>42867.808344907404</v>
      </c>
      <c r="G212" s="7">
        <v>1</v>
      </c>
      <c r="H212" s="21" t="s">
        <v>911</v>
      </c>
      <c r="I212" s="13">
        <v>42867.814965277779</v>
      </c>
      <c r="J212" s="7">
        <v>0</v>
      </c>
      <c r="K212" s="92" t="str">
        <f t="shared" si="72"/>
        <v>4009/4010</v>
      </c>
      <c r="L212" s="21" t="str">
        <f>VLOOKUP(A212,'Trips&amp;Operators'!$C$1:$G$99999,5,FALSE)</f>
        <v>LOPES KIMBERLY</v>
      </c>
      <c r="M212" s="6">
        <f t="shared" si="73"/>
        <v>6.6203703754581511E-3</v>
      </c>
      <c r="N212" s="7">
        <f t="shared" si="71"/>
        <v>9.5333333406597376</v>
      </c>
      <c r="O212" s="7"/>
      <c r="P212" s="7"/>
      <c r="Q212" s="22"/>
      <c r="R212" s="190"/>
      <c r="S212" s="196">
        <f t="shared" si="69"/>
        <v>1</v>
      </c>
      <c r="T212" s="190" t="str">
        <f t="shared" si="74"/>
        <v>NorthBound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1" t="str">
        <f t="shared" si="75"/>
        <v>https://d0f6bd738d7f1b3e5a7ca70fe4ff75f0.us-east-1.aws.found.io/app/kibana#/discover/Steve-Slow-Train-Analysis-(2080s-and-2083s)?_g=(refreshInterval:(display:Off,pause:!f,section:0,value:0),time:(from:'2017-05-12T17:39:06-0600',mode:absolute,to:'2017-05-12T20:33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2" s="192" t="str">
        <f t="shared" si="76"/>
        <v>Y</v>
      </c>
      <c r="X212" s="192">
        <f t="shared" si="70"/>
        <v>1</v>
      </c>
      <c r="Y212" s="192">
        <f t="shared" si="77"/>
        <v>4.5499999999999999E-2</v>
      </c>
      <c r="Z212" s="192">
        <f t="shared" si="78"/>
        <v>2.3296999999999999</v>
      </c>
      <c r="AA212" s="192">
        <f t="shared" si="79"/>
        <v>2.2841999999999998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80"/>
        <v>0303-12</v>
      </c>
      <c r="AE212" s="80" t="str">
        <f t="shared" si="81"/>
        <v>aws s3 cp s3://rtdc.mdm.uploadarchive.raw/RTDC4010/ "%USERPROFILE%\AppData\Local\Temp\OnboardLogs"\RTDC4010\2017-05-12 --exclude "*" --recursive --include "*20170512*" &amp; "%USERPROFILE%\Documents\GitHub\mrs-test-scripts\Headless Mode &amp; Sideloading\WalkAndUnGZ.bat" "%USERPROFILE%\AppData\Local\Temp\OnboardLogs"\RTDC4010\2017-05-12 &amp; aws s3 cp s3://rtdc.mdm.uploadarchive.raw/RTDC4010/ "%USERPROFILE%\AppData\Local\Temp\OnboardLogs"\RTDC4010\2017-05-13 --exclude "*" --recursive --include "*20170513*" &amp; "%USERPROFILE%\Documents\GitHub\mrs-test-scripts\Headless Mode &amp; Sideloading\WalkAndUnGZ.bat" "%USERPROFILE%\AppData\Local\Temp\OnboardLogs"\RTDC4010\2017-05-13</v>
      </c>
      <c r="AF212" s="77" t="str">
        <f t="shared" si="82"/>
        <v>"C:\Program Files (x86)\AstroGrep\AstroGrep.exe" /e /r /s /spath="%USERPROFILE%\AppData\Local\Temp\OnboardLogs" /stypes="app*4010*20170513*" /stext=" 01:.+((SYSTEM_STATE.+slice.+state.+changed )|(ment ac)|(multiple cpu faults)|(system.+state.+changed )|(\[timeout)|(PRM\|1\|D)|(kpr)|(kdp)|(train st.+moving)|(\|lc)|(penalty))"</v>
      </c>
      <c r="AG212" s="1" t="str">
        <f t="shared" si="83"/>
        <v>Other</v>
      </c>
      <c r="AH212" s="81" t="str">
        <f t="shared" si="84"/>
        <v>"%USERPROFILE%\Documents\GitHub\eaglep3\Utilities\RefineRTDCRunTimes.py" --tripid 303-12 --locoid 4010 --swversion DE.1.0.9.0 --startMP 204:455 --initTime 2017-05-12T18:39:06 --startdatetime 2017-05-12T19:24:01 --delay 1 --endMP 300:23297 --enddatetime 2017-05-12T19:33:33 --enforcementcount 0 &gt;&gt;C:\Users\stu\Documents\GitHub\eaglep3-reporting\EC\2017-05-12-refined-times.txt</v>
      </c>
      <c r="AI212" s="99" t="str">
        <f t="shared" si="85"/>
        <v>echo {"issue":{"subject":"","project_id":79,"tracker_id":40,"status_id":1,"priority_id":2,"assigned_to_id":23,"start_date":"2017-05-12","description":"","custom_fields":[{"id":1,"name":"Subdivision","value":"Other"},{"id":4,"name":"Milepost","value":"2.3297"},{"id":17,"name":"Train ID","value":"303-12"},{"id":16,"name":"Locomotive ID","value":"4010"},{"id":130,"name":"Impact","value":""},{"id":150,"name":"Time of Event (Mountain Time)","value":"19:33:33"},{"id":151,"name":"Denver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86"/>
        <v>start /low /b %USERPROFILE%\Documents\GitHub\eaglep3\Utilities\DownloadLogsFromS3.py --loco 4010 --day 2017-05-12</v>
      </c>
      <c r="AN212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01:33:33"},{"id":29,"name":"Sharepoint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603</v>
      </c>
      <c r="B213" s="7">
        <v>4013</v>
      </c>
      <c r="C213" s="21" t="s">
        <v>206</v>
      </c>
      <c r="D213" s="21" t="s">
        <v>912</v>
      </c>
      <c r="E213" s="13">
        <v>42867.137141203704</v>
      </c>
      <c r="F213" s="13">
        <v>42867.139745370368</v>
      </c>
      <c r="G213" s="7">
        <v>3</v>
      </c>
      <c r="H213" s="21" t="s">
        <v>360</v>
      </c>
      <c r="I213" s="13">
        <v>42867.145162037035</v>
      </c>
      <c r="J213" s="7">
        <v>0</v>
      </c>
      <c r="K213" s="92" t="str">
        <f t="shared" si="72"/>
        <v>4013/4014</v>
      </c>
      <c r="L213" s="21" t="str">
        <f>VLOOKUP(A213,'Trips&amp;Operators'!$C$1:$G$99999,5,FALSE)</f>
        <v>YANAI IAN</v>
      </c>
      <c r="M213" s="6">
        <f t="shared" si="73"/>
        <v>5.4166666668606922E-3</v>
      </c>
      <c r="N213" s="7">
        <f t="shared" si="71"/>
        <v>7.8000000002793968</v>
      </c>
      <c r="O213" s="7"/>
      <c r="P213" s="7"/>
      <c r="Q213" s="22"/>
      <c r="R213" s="190"/>
      <c r="S213" s="196">
        <f t="shared" si="69"/>
        <v>1</v>
      </c>
      <c r="T213" s="190" t="str">
        <f t="shared" si="74"/>
        <v>Southbound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1" t="str">
        <f t="shared" si="75"/>
        <v>https://d0f6bd738d7f1b3e5a7ca70fe4ff75f0.us-east-1.aws.found.io/app/kibana#/discover/Steve-Slow-Train-Analysis-(2080s-and-2083s)?_g=(refreshInterval:(display:Off,pause:!f,section:0,value:0),time:(from:'2017-05-12T02:17:29-0600',mode:absolute,to:'2017-05-12T04:29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3" s="192" t="str">
        <f t="shared" si="76"/>
        <v>Y</v>
      </c>
      <c r="X213" s="192">
        <f t="shared" si="70"/>
        <v>1</v>
      </c>
      <c r="Y213" s="192">
        <f t="shared" si="77"/>
        <v>2.3525</v>
      </c>
      <c r="Z213" s="192">
        <f t="shared" si="78"/>
        <v>1.43E-2</v>
      </c>
      <c r="AA213" s="192">
        <f t="shared" si="79"/>
        <v>2.3382000000000001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80"/>
        <v>0304-12</v>
      </c>
      <c r="AE213" s="80" t="str">
        <f t="shared" si="81"/>
        <v>aws s3 cp s3://rtdc.mdm.uploadarchive.raw/RTDC4013/ "%USERPROFILE%\AppData\Local\Temp\OnboardLogs"\RTDC4013\2017-05-12 --exclude "*" --recursive --include "*20170512*" &amp; "%USERPROFILE%\Documents\GitHub\mrs-test-scripts\Headless Mode &amp; Sideloading\WalkAndUnGZ.bat" "%USERPROFILE%\AppData\Local\Temp\OnboardLogs"\RTDC4013\2017-05-12 &amp; aws s3 cp s3://rtdc.mdm.uploadarchive.raw/RTDC4013/ "%USERPROFILE%\AppData\Local\Temp\OnboardLogs"\RTDC4013\2017-05-13 --exclude "*" --recursive --include "*20170513*" &amp; "%USERPROFILE%\Documents\GitHub\mrs-test-scripts\Headless Mode &amp; Sideloading\WalkAndUnGZ.bat" "%USERPROFILE%\AppData\Local\Temp\OnboardLogs"\RTDC4013\2017-05-13</v>
      </c>
      <c r="AF213" s="77" t="str">
        <f t="shared" si="82"/>
        <v>"C:\Program Files (x86)\AstroGrep\AstroGrep.exe" /e /r /s /spath="%USERPROFILE%\AppData\Local\Temp\OnboardLogs" /stypes="app*4013*20170512*" /stext=" 09:.+((SYSTEM_STATE.+slice.+state.+changed )|(ment ac)|(multiple cpu faults)|(system.+state.+changed )|(\[timeout)|(PRM\|1\|D)|(kpr)|(kdp)|(train st.+moving)|(\|lc)|(penalty))"</v>
      </c>
      <c r="AG213" s="1" t="str">
        <f t="shared" si="83"/>
        <v>Other</v>
      </c>
      <c r="AH213" s="81" t="str">
        <f t="shared" si="84"/>
        <v>"%USERPROFILE%\Documents\GitHub\eaglep3\Utilities\RefineRTDCRunTimes.py" --tripid 304-12 --locoid 4013 --swversion DE.1.0.9.0 --startMP 300:23525 --initTime 2017-05-12T03:17:29 --startdatetime 2017-05-12T03:21:14 --delay 3 --endMP 204:143 --enddatetime 2017-05-12T03:29:02 --enforcementcount 0 &gt;&gt;C:\Users\stu\Documents\GitHub\eaglep3-reporting\EC\2017-05-12-refined-times.txt</v>
      </c>
      <c r="AI213" s="99" t="str">
        <f t="shared" si="85"/>
        <v>echo {"issue":{"subject":"","project_id":79,"tracker_id":40,"status_id":1,"priority_id":2,"assigned_to_id":23,"start_date":"2017-05-12","description":"","custom_fields":[{"id":1,"name":"Subdivision","value":"Other"},{"id":4,"name":"Milepost","value":"0.0143"},{"id":17,"name":"Train ID","value":"304-12"},{"id":16,"name":"Locomotive ID","value":"4013"},{"id":130,"name":"Impact","value":""},{"id":150,"name":"Time of Event (Mountain Time)","value":"03:29:02"},{"id":151,"name":"Denver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86"/>
        <v>start /low /b %USERPROFILE%\Documents\GitHub\eaglep3\Utilities\DownloadLogsFromS3.py --loco 4013 --day 2017-05-12</v>
      </c>
      <c r="AN213" s="154" t="str">
        <f t="shared" si="87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09:29:02"},{"id":29,"name":"Sharepoint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768</v>
      </c>
      <c r="B214" s="7">
        <v>4032</v>
      </c>
      <c r="C214" s="21" t="s">
        <v>206</v>
      </c>
      <c r="D214" s="21" t="s">
        <v>913</v>
      </c>
      <c r="E214" s="13">
        <v>42867.799224537041</v>
      </c>
      <c r="F214" s="13">
        <v>42867.810474537036</v>
      </c>
      <c r="G214" s="7">
        <v>1</v>
      </c>
      <c r="H214" s="21" t="s">
        <v>914</v>
      </c>
      <c r="I214" s="13">
        <v>42867.820613425924</v>
      </c>
      <c r="J214" s="7">
        <v>0</v>
      </c>
      <c r="K214" s="92" t="str">
        <f t="shared" si="72"/>
        <v>4031/4032</v>
      </c>
      <c r="L214" s="21" t="str">
        <f>VLOOKUP(A214,'Trips&amp;Operators'!$C$1:$G$99999,5,FALSE)</f>
        <v>BRANDNER MELINDA</v>
      </c>
      <c r="M214" s="6">
        <f t="shared" si="73"/>
        <v>1.0138888887013309E-2</v>
      </c>
      <c r="N214" s="7">
        <f t="shared" si="71"/>
        <v>14.599999997299165</v>
      </c>
      <c r="O214" s="7"/>
      <c r="P214" s="7"/>
      <c r="Q214" s="22"/>
      <c r="R214" s="190"/>
      <c r="S214" s="196">
        <f t="shared" si="69"/>
        <v>1</v>
      </c>
      <c r="T214" s="190" t="str">
        <f t="shared" si="74"/>
        <v>NorthBound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1" t="str">
        <f t="shared" si="75"/>
        <v>https://d0f6bd738d7f1b3e5a7ca70fe4ff75f0.us-east-1.aws.found.io/app/kibana#/discover/Steve-Slow-Train-Analysis-(2080s-and-2083s)?_g=(refreshInterval:(display:Off,pause:!f,section:0,value:0),time:(from:'2017-05-12T18:10:53-0600',mode:absolute,to:'2017-05-12T20:41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4" s="192" t="str">
        <f t="shared" si="76"/>
        <v>Y</v>
      </c>
      <c r="X214" s="192">
        <f t="shared" si="70"/>
        <v>1</v>
      </c>
      <c r="Y214" s="192">
        <f t="shared" si="77"/>
        <v>0.13159999999999999</v>
      </c>
      <c r="Z214" s="192">
        <f t="shared" si="78"/>
        <v>3.1354000000000002</v>
      </c>
      <c r="AA214" s="192">
        <f t="shared" si="79"/>
        <v>3.0038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80"/>
        <v>0305-12</v>
      </c>
      <c r="AE214" s="80" t="str">
        <f t="shared" si="81"/>
        <v>aws s3 cp s3://rtdc.mdm.uploadarchive.raw/RTDC4032/ "%USERPROFILE%\AppData\Local\Temp\OnboardLogs"\RTDC4032\2017-05-12 --exclude "*" --recursive --include "*20170512*" &amp; "%USERPROFILE%\Documents\GitHub\mrs-test-scripts\Headless Mode &amp; Sideloading\WalkAndUnGZ.bat" "%USERPROFILE%\AppData\Local\Temp\OnboardLogs"\RTDC4032\2017-05-12 &amp; aws s3 cp s3://rtdc.mdm.uploadarchive.raw/RTDC4032/ "%USERPROFILE%\AppData\Local\Temp\OnboardLogs"\RTDC4032\2017-05-13 --exclude "*" --recursive --include "*20170513*" &amp; "%USERPROFILE%\Documents\GitHub\mrs-test-scripts\Headless Mode &amp; Sideloading\WalkAndUnGZ.bat" "%USERPROFILE%\AppData\Local\Temp\OnboardLogs"\RTDC4032\2017-05-13</v>
      </c>
      <c r="AF214" s="77" t="str">
        <f t="shared" si="82"/>
        <v>"C:\Program Files (x86)\AstroGrep\AstroGrep.exe" /e /r /s /spath="%USERPROFILE%\AppData\Local\Temp\OnboardLogs" /stypes="app*4032*20170513*" /stext=" 01:.+((SYSTEM_STATE.+slice.+state.+changed )|(ment ac)|(multiple cpu faults)|(system.+state.+changed )|(\[timeout)|(PRM\|1\|D)|(kpr)|(kdp)|(train st.+moving)|(\|lc)|(penalty))"</v>
      </c>
      <c r="AG214" s="1" t="str">
        <f t="shared" si="83"/>
        <v>Other</v>
      </c>
      <c r="AH214" s="81" t="str">
        <f t="shared" si="84"/>
        <v>"%USERPROFILE%\Documents\GitHub\eaglep3\Utilities\RefineRTDCRunTimes.py" --tripid 305-12 --locoid 4032 --swversion DE.1.0.9.0 --startMP 204:1316 --initTime 2017-05-12T19:10:53 --startdatetime 2017-05-12T19:27:05 --delay 1 --endMP 300:31354 --enddatetime 2017-05-12T19:41:41 --enforcementcount 0 &gt;&gt;C:\Users\stu\Documents\GitHub\eaglep3-reporting\EC\2017-05-12-refined-times.txt</v>
      </c>
      <c r="AI214" s="99" t="str">
        <f t="shared" si="85"/>
        <v>echo {"issue":{"subject":"","project_id":79,"tracker_id":40,"status_id":1,"priority_id":2,"assigned_to_id":23,"start_date":"2017-05-12","description":"","custom_fields":[{"id":1,"name":"Subdivision","value":"Other"},{"id":4,"name":"Milepost","value":"3.1354"},{"id":17,"name":"Train ID","value":"305-12"},{"id":16,"name":"Locomotive ID","value":"4032"},{"id":130,"name":"Impact","value":""},{"id":150,"name":"Time of Event (Mountain Time)","value":"19:41:41"},{"id":151,"name":"Denver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86"/>
        <v>start /low /b %USERPROFILE%\Documents\GitHub\eaglep3\Utilities\DownloadLogsFromS3.py --loco 4032 --day 2017-05-12</v>
      </c>
      <c r="AN214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01:41:41"},{"id":29,"name":"Sharepoint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559</v>
      </c>
      <c r="B215" s="7">
        <v>4049</v>
      </c>
      <c r="C215" s="21" t="s">
        <v>206</v>
      </c>
      <c r="D215" s="21" t="s">
        <v>915</v>
      </c>
      <c r="E215" s="13">
        <v>42867.161469907405</v>
      </c>
      <c r="F215" s="13">
        <v>42867.168206018519</v>
      </c>
      <c r="G215" s="7">
        <v>9</v>
      </c>
      <c r="H215" s="21" t="s">
        <v>916</v>
      </c>
      <c r="I215" s="13">
        <v>42867.168715277781</v>
      </c>
      <c r="J215" s="7">
        <v>0</v>
      </c>
      <c r="K215" s="92" t="str">
        <f t="shared" si="72"/>
        <v>4049/4050</v>
      </c>
      <c r="L215" s="21" t="str">
        <f>VLOOKUP(A215,'Trips&amp;Operators'!$C$1:$G$99999,5,FALSE)</f>
        <v>ROBINSON KADDIBA</v>
      </c>
      <c r="M215" s="6">
        <f t="shared" si="73"/>
        <v>5.092592618893832E-4</v>
      </c>
      <c r="N215" s="7">
        <f t="shared" si="71"/>
        <v>0.7333333371207118</v>
      </c>
      <c r="O215" s="7"/>
      <c r="P215" s="7"/>
      <c r="Q215" s="22"/>
      <c r="R215" s="190"/>
      <c r="S215" s="196">
        <f t="shared" si="69"/>
        <v>0</v>
      </c>
      <c r="T215" s="190" t="str">
        <f t="shared" si="74"/>
        <v>Southbound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1" t="str">
        <f t="shared" si="75"/>
        <v>https://d0f6bd738d7f1b3e5a7ca70fe4ff75f0.us-east-1.aws.found.io/app/kibana#/discover/Steve-Slow-Train-Analysis-(2080s-and-2083s)?_g=(refreshInterval:(display:Off,pause:!f,section:0,value:0),time:(from:'2017-05-12T02:52:31-0600',mode:absolute,to:'2017-05-12T05:02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5" s="192" t="str">
        <f t="shared" si="76"/>
        <v>Y</v>
      </c>
      <c r="X215" s="192">
        <f t="shared" si="70"/>
        <v>1</v>
      </c>
      <c r="Y215" s="192">
        <f t="shared" si="77"/>
        <v>2.3003999999999998</v>
      </c>
      <c r="Z215" s="192">
        <f t="shared" si="78"/>
        <v>2.2162999999999999</v>
      </c>
      <c r="AA215" s="192">
        <f t="shared" si="79"/>
        <v>8.4099999999999842E-2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80"/>
        <v>0306-12</v>
      </c>
      <c r="AE215" s="80" t="str">
        <f t="shared" si="81"/>
        <v>aws s3 cp s3://rtdc.mdm.uploadarchive.raw/RTDC4049/ "%USERPROFILE%\AppData\Local\Temp\OnboardLogs"\RTDC4049\2017-05-12 --exclude "*" --recursive --include "*20170512*" &amp; "%USERPROFILE%\Documents\GitHub\mrs-test-scripts\Headless Mode &amp; Sideloading\WalkAndUnGZ.bat" "%USERPROFILE%\AppData\Local\Temp\OnboardLogs"\RTDC4049\2017-05-12 &amp; aws s3 cp s3://rtdc.mdm.uploadarchive.raw/RTDC4049/ "%USERPROFILE%\AppData\Local\Temp\OnboardLogs"\RTDC4049\2017-05-13 --exclude "*" --recursive --include "*20170513*" &amp; "%USERPROFILE%\Documents\GitHub\mrs-test-scripts\Headless Mode &amp; Sideloading\WalkAndUnGZ.bat" "%USERPROFILE%\AppData\Local\Temp\OnboardLogs"\RTDC4049\2017-05-13</v>
      </c>
      <c r="AF215" s="77" t="str">
        <f t="shared" si="82"/>
        <v>"C:\Program Files (x86)\AstroGrep\AstroGrep.exe" /e /r /s /spath="%USERPROFILE%\AppData\Local\Temp\OnboardLogs" /stypes="app*4049*20170512*" /stext=" 10:.+((SYSTEM_STATE.+slice.+state.+changed )|(ment ac)|(multiple cpu faults)|(system.+state.+changed )|(\[timeout)|(PRM\|1\|D)|(kpr)|(kdp)|(train st.+moving)|(\|lc)|(penalty))"</v>
      </c>
      <c r="AG215" s="1" t="str">
        <f t="shared" si="83"/>
        <v>Other</v>
      </c>
      <c r="AH215" s="81" t="str">
        <f t="shared" si="84"/>
        <v>"%USERPROFILE%\Documents\GitHub\eaglep3\Utilities\RefineRTDCRunTimes.py" --tripid 306-12 --locoid 4049 --swversion DE.1.0.9.0 --startMP 300:23004 --initTime 2017-05-12T03:52:31 --startdatetime 2017-05-12T04:02:13 --delay 9 --endMP 300:22163 --enddatetime 2017-05-12T04:02:57 --enforcementcount 0 &gt;&gt;C:\Users\stu\Documents\GitHub\eaglep3-reporting\EC\2017-05-12-refined-times.txt</v>
      </c>
      <c r="AI215" s="99" t="str">
        <f t="shared" si="85"/>
        <v>echo {"issue":{"subject":"","project_id":79,"tracker_id":40,"status_id":1,"priority_id":2,"assigned_to_id":23,"start_date":"2017-05-12","description":"","custom_fields":[{"id":1,"name":"Subdivision","value":"Other"},{"id":4,"name":"Milepost","value":"2.2163"},{"id":17,"name":"Train ID","value":"306-12"},{"id":16,"name":"Locomotive ID","value":"4049"},{"id":130,"name":"Impact","value":""},{"id":150,"name":"Time of Event (Mountain Time)","value":"04:02:57"},{"id":151,"name":"Denver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86"/>
        <v>start /low /b %USERPROFILE%\Documents\GitHub\eaglep3\Utilities\DownloadLogsFromS3.py --loco 4049 --day 2017-05-12</v>
      </c>
      <c r="AN215" s="154" t="str">
        <f t="shared" si="87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10:02:57"},{"id":29,"name":"Sharepoint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769</v>
      </c>
      <c r="B216" s="7">
        <v>4014</v>
      </c>
      <c r="C216" s="21" t="s">
        <v>206</v>
      </c>
      <c r="D216" s="21" t="s">
        <v>917</v>
      </c>
      <c r="E216" s="13">
        <v>42867.819363425922</v>
      </c>
      <c r="F216" s="13">
        <v>42867.832708333335</v>
      </c>
      <c r="G216" s="7">
        <v>1</v>
      </c>
      <c r="H216" s="21" t="s">
        <v>364</v>
      </c>
      <c r="I216" s="13">
        <v>42867.841296296298</v>
      </c>
      <c r="J216" s="7">
        <v>0</v>
      </c>
      <c r="K216" s="92" t="str">
        <f t="shared" si="72"/>
        <v>4013/4014</v>
      </c>
      <c r="L216" s="21" t="str">
        <f>VLOOKUP(A216,'Trips&amp;Operators'!$C$1:$G$99999,5,FALSE)</f>
        <v>MOSES BRADLEY</v>
      </c>
      <c r="M216" s="6">
        <f t="shared" si="73"/>
        <v>8.5879629623377696E-3</v>
      </c>
      <c r="N216" s="7">
        <f t="shared" si="71"/>
        <v>12.366666665766388</v>
      </c>
      <c r="O216" s="7"/>
      <c r="P216" s="7"/>
      <c r="Q216" s="22"/>
      <c r="R216" s="190"/>
      <c r="S216" s="196">
        <f t="shared" si="69"/>
        <v>1</v>
      </c>
      <c r="T216" s="190" t="str">
        <f t="shared" si="74"/>
        <v>NorthBound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1" t="str">
        <f t="shared" si="75"/>
        <v>https://d0f6bd738d7f1b3e5a7ca70fe4ff75f0.us-east-1.aws.found.io/app/kibana#/discover/Steve-Slow-Train-Analysis-(2080s-and-2083s)?_g=(refreshInterval:(display:Off,pause:!f,section:0,value:0),time:(from:'2017-05-12T18:39:53-0600',mode:absolute,to:'2017-05-12T21:11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6" s="192" t="str">
        <f t="shared" si="76"/>
        <v>Y</v>
      </c>
      <c r="X216" s="192">
        <f t="shared" si="70"/>
        <v>1</v>
      </c>
      <c r="Y216" s="192">
        <f t="shared" si="77"/>
        <v>4.82E-2</v>
      </c>
      <c r="Z216" s="192">
        <f t="shared" si="78"/>
        <v>2.3346</v>
      </c>
      <c r="AA216" s="192">
        <f t="shared" si="79"/>
        <v>2.2864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80"/>
        <v>0307-12</v>
      </c>
      <c r="AE216" s="80" t="str">
        <f t="shared" si="81"/>
        <v>aws s3 cp s3://rtdc.mdm.uploadarchive.raw/RTDC4014/ "%USERPROFILE%\AppData\Local\Temp\OnboardLogs"\RTDC4014\2017-05-12 --exclude "*" --recursive --include "*20170512*" &amp; "%USERPROFILE%\Documents\GitHub\mrs-test-scripts\Headless Mode &amp; Sideloading\WalkAndUnGZ.bat" "%USERPROFILE%\AppData\Local\Temp\OnboardLogs"\RTDC4014\2017-05-12 &amp; aws s3 cp s3://rtdc.mdm.uploadarchive.raw/RTDC4014/ "%USERPROFILE%\AppData\Local\Temp\OnboardLogs"\RTDC4014\2017-05-13 --exclude "*" --recursive --include "*20170513*" &amp; "%USERPROFILE%\Documents\GitHub\mrs-test-scripts\Headless Mode &amp; Sideloading\WalkAndUnGZ.bat" "%USERPROFILE%\AppData\Local\Temp\OnboardLogs"\RTDC4014\2017-05-13</v>
      </c>
      <c r="AF216" s="77" t="str">
        <f t="shared" si="82"/>
        <v>"C:\Program Files (x86)\AstroGrep\AstroGrep.exe" /e /r /s /spath="%USERPROFILE%\AppData\Local\Temp\OnboardLogs" /stypes="app*4014*20170513*" /stext=" 02:.+((SYSTEM_STATE.+slice.+state.+changed )|(ment ac)|(multiple cpu faults)|(system.+state.+changed )|(\[timeout)|(PRM\|1\|D)|(kpr)|(kdp)|(train st.+moving)|(\|lc)|(penalty))"</v>
      </c>
      <c r="AG216" s="1" t="str">
        <f t="shared" si="83"/>
        <v>Other</v>
      </c>
      <c r="AH216" s="81" t="str">
        <f t="shared" si="84"/>
        <v>"%USERPROFILE%\Documents\GitHub\eaglep3\Utilities\RefineRTDCRunTimes.py" --tripid 307-12 --locoid 4014 --swversion DE.1.0.9.0 --startMP 204:482 --initTime 2017-05-12T19:39:53 --startdatetime 2017-05-12T19:59:06 --delay 1 --endMP 300:23346 --enddatetime 2017-05-12T20:11:28 --enforcementcount 0 &gt;&gt;C:\Users\stu\Documents\GitHub\eaglep3-reporting\EC\2017-05-12-refined-times.txt</v>
      </c>
      <c r="AI216" s="99" t="str">
        <f t="shared" si="85"/>
        <v>echo {"issue":{"subject":"","project_id":79,"tracker_id":40,"status_id":1,"priority_id":2,"assigned_to_id":23,"start_date":"2017-05-12","description":"","custom_fields":[{"id":1,"name":"Subdivision","value":"Other"},{"id":4,"name":"Milepost","value":"2.3346"},{"id":17,"name":"Train ID","value":"307-12"},{"id":16,"name":"Locomotive ID","value":"4014"},{"id":130,"name":"Impact","value":""},{"id":150,"name":"Time of Event (Mountain Time)","value":"20:11:28"},{"id":151,"name":"Denver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86"/>
        <v>start /low /b %USERPROFILE%\Documents\GitHub\eaglep3\Utilities\DownloadLogsFromS3.py --loco 4014 --day 2017-05-12</v>
      </c>
      <c r="AN216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02:11:28"},{"id":29,"name":"Sharepoint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606</v>
      </c>
      <c r="B217" s="7">
        <v>4015</v>
      </c>
      <c r="C217" s="21" t="s">
        <v>206</v>
      </c>
      <c r="D217" s="21" t="s">
        <v>918</v>
      </c>
      <c r="E217" s="13">
        <v>42867.169791666667</v>
      </c>
      <c r="F217" s="13">
        <v>42867.1721412037</v>
      </c>
      <c r="G217" s="7">
        <v>3</v>
      </c>
      <c r="H217" s="21" t="s">
        <v>358</v>
      </c>
      <c r="I217" s="13">
        <v>42867.177708333336</v>
      </c>
      <c r="J217" s="7">
        <v>0</v>
      </c>
      <c r="K217" s="92" t="str">
        <f t="shared" si="72"/>
        <v>4015/4016</v>
      </c>
      <c r="L217" s="21" t="str">
        <f>VLOOKUP(A217,'Trips&amp;Operators'!$C$1:$G$99999,5,FALSE)</f>
        <v>ACKERMAN JARED</v>
      </c>
      <c r="M217" s="6">
        <f t="shared" si="73"/>
        <v>5.5671296358923428E-3</v>
      </c>
      <c r="N217" s="7">
        <f t="shared" si="71"/>
        <v>8.0166666756849736</v>
      </c>
      <c r="O217" s="7"/>
      <c r="P217" s="7"/>
      <c r="Q217" s="22"/>
      <c r="R217" s="190"/>
      <c r="S217" s="196">
        <f t="shared" si="69"/>
        <v>1</v>
      </c>
      <c r="T217" s="190" t="str">
        <f t="shared" si="74"/>
        <v>Southbound</v>
      </c>
      <c r="U217" s="19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1" t="str">
        <f t="shared" si="75"/>
        <v>https://d0f6bd738d7f1b3e5a7ca70fe4ff75f0.us-east-1.aws.found.io/app/kibana#/discover/Steve-Slow-Train-Analysis-(2080s-and-2083s)?_g=(refreshInterval:(display:Off,pause:!f,section:0,value:0),time:(from:'2017-05-12T03:04:30-0600',mode:absolute,to:'2017-05-12T05:15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7" s="192" t="str">
        <f t="shared" si="76"/>
        <v>Y</v>
      </c>
      <c r="X217" s="192">
        <f t="shared" si="70"/>
        <v>1</v>
      </c>
      <c r="Y217" s="192">
        <f t="shared" si="77"/>
        <v>2.3454999999999999</v>
      </c>
      <c r="Z217" s="192">
        <f t="shared" si="78"/>
        <v>1.4999999999999999E-2</v>
      </c>
      <c r="AA217" s="192">
        <f t="shared" si="79"/>
        <v>2.3304999999999998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80"/>
        <v>0308-12</v>
      </c>
      <c r="AE217" s="80" t="str">
        <f t="shared" si="81"/>
        <v>aws s3 cp s3://rtdc.mdm.uploadarchive.raw/RTDC4015/ "%USERPROFILE%\AppData\Local\Temp\OnboardLogs"\RTDC4015\2017-05-12 --exclude "*" --recursive --include "*20170512*" &amp; "%USERPROFILE%\Documents\GitHub\mrs-test-scripts\Headless Mode &amp; Sideloading\WalkAndUnGZ.bat" "%USERPROFILE%\AppData\Local\Temp\OnboardLogs"\RTDC4015\2017-05-12 &amp; aws s3 cp s3://rtdc.mdm.uploadarchive.raw/RTDC4015/ "%USERPROFILE%\AppData\Local\Temp\OnboardLogs"\RTDC4015\2017-05-13 --exclude "*" --recursive --include "*20170513*" &amp; "%USERPROFILE%\Documents\GitHub\mrs-test-scripts\Headless Mode &amp; Sideloading\WalkAndUnGZ.bat" "%USERPROFILE%\AppData\Local\Temp\OnboardLogs"\RTDC4015\2017-05-13</v>
      </c>
      <c r="AF217" s="77" t="str">
        <f t="shared" si="82"/>
        <v>"C:\Program Files (x86)\AstroGrep\AstroGrep.exe" /e /r /s /spath="%USERPROFILE%\AppData\Local\Temp\OnboardLogs" /stypes="app*4015*20170512*" /stext=" 10:.+((SYSTEM_STATE.+slice.+state.+changed )|(ment ac)|(multiple cpu faults)|(system.+state.+changed )|(\[timeout)|(PRM\|1\|D)|(kpr)|(kdp)|(train st.+moving)|(\|lc)|(penalty))"</v>
      </c>
      <c r="AG217" s="1" t="str">
        <f t="shared" si="83"/>
        <v>Other</v>
      </c>
      <c r="AH217" s="81" t="str">
        <f t="shared" si="84"/>
        <v>"%USERPROFILE%\Documents\GitHub\eaglep3\Utilities\RefineRTDCRunTimes.py" --tripid 308-12 --locoid 4015 --swversion DE.1.0.9.0 --startMP 300:23455 --initTime 2017-05-12T04:04:30 --startdatetime 2017-05-12T04:07:53 --delay 3 --endMP 204:150 --enddatetime 2017-05-12T04:15:54 --enforcementcount 0 &gt;&gt;C:\Users\stu\Documents\GitHub\eaglep3-reporting\EC\2017-05-12-refined-times.txt</v>
      </c>
      <c r="AI217" s="99" t="str">
        <f t="shared" si="85"/>
        <v>echo {"issue":{"subject":"","project_id":79,"tracker_id":40,"status_id":1,"priority_id":2,"assigned_to_id":23,"start_date":"2017-05-12","description":"","custom_fields":[{"id":1,"name":"Subdivision","value":"Other"},{"id":4,"name":"Milepost","value":"0.015"},{"id":17,"name":"Train ID","value":"308-12"},{"id":16,"name":"Locomotive ID","value":"4015"},{"id":130,"name":"Impact","value":""},{"id":150,"name":"Time of Event (Mountain Time)","value":"04:15:54"},{"id":151,"name":"Denver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86"/>
        <v>start /low /b %USERPROFILE%\Documents\GitHub\eaglep3\Utilities\DownloadLogsFromS3.py --loco 4015 --day 2017-05-12</v>
      </c>
      <c r="AN217" s="154" t="str">
        <f t="shared" si="87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10:15:54"},{"id":29,"name":"Sharepoint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s="20" customFormat="1" x14ac:dyDescent="0.25">
      <c r="A218" s="32" t="s">
        <v>610</v>
      </c>
      <c r="B218" s="7">
        <v>4009</v>
      </c>
      <c r="C218" s="21" t="s">
        <v>206</v>
      </c>
      <c r="D218" s="21" t="s">
        <v>919</v>
      </c>
      <c r="E218" s="13">
        <v>42867.188020833331</v>
      </c>
      <c r="F218" s="13">
        <v>42867.190289351849</v>
      </c>
      <c r="G218" s="7">
        <v>3</v>
      </c>
      <c r="H218" s="21" t="s">
        <v>525</v>
      </c>
      <c r="I218" s="13">
        <v>42867.195393518516</v>
      </c>
      <c r="J218" s="7">
        <v>0</v>
      </c>
      <c r="K218" s="92" t="str">
        <f t="shared" si="72"/>
        <v>4009/4010</v>
      </c>
      <c r="L218" s="21" t="str">
        <f>VLOOKUP(A218,'Trips&amp;Operators'!$C$1:$G$99999,5,FALSE)</f>
        <v>LOZA FIDEL</v>
      </c>
      <c r="M218" s="6">
        <f t="shared" si="73"/>
        <v>5.1041666665696539E-3</v>
      </c>
      <c r="N218" s="7">
        <f t="shared" si="71"/>
        <v>7.3499999998603016</v>
      </c>
      <c r="O218" s="7"/>
      <c r="P218" s="7"/>
      <c r="Q218" s="22"/>
      <c r="R218" s="190"/>
      <c r="S218" s="196">
        <f t="shared" si="69"/>
        <v>1</v>
      </c>
      <c r="T218" s="190" t="str">
        <f t="shared" si="74"/>
        <v>Southbound</v>
      </c>
      <c r="U218" s="19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1" t="str">
        <f t="shared" si="75"/>
        <v>https://d0f6bd738d7f1b3e5a7ca70fe4ff75f0.us-east-1.aws.found.io/app/kibana#/discover/Steve-Slow-Train-Analysis-(2080s-and-2083s)?_g=(refreshInterval:(display:Off,pause:!f,section:0,value:0),time:(from:'2017-05-12T03:30:45-0600',mode:absolute,to:'2017-05-12T05:41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8" s="192" t="str">
        <f t="shared" si="76"/>
        <v>Y</v>
      </c>
      <c r="X218" s="192">
        <f t="shared" si="70"/>
        <v>2</v>
      </c>
      <c r="Y218" s="192">
        <f t="shared" si="77"/>
        <v>2.3475999999999999</v>
      </c>
      <c r="Z218" s="192">
        <f t="shared" si="78"/>
        <v>1.6299999999999999E-2</v>
      </c>
      <c r="AA218" s="192">
        <f t="shared" si="79"/>
        <v>2.3312999999999997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80"/>
        <v>0310-12</v>
      </c>
      <c r="AE218" s="80" t="str">
        <f t="shared" si="81"/>
        <v>aws s3 cp s3://rtdc.mdm.uploadarchive.raw/RTDC4009/ "%USERPROFILE%\AppData\Local\Temp\OnboardLogs"\RTDC4009\2017-05-12 --exclude "*" --recursive --include "*20170512*" &amp; "%USERPROFILE%\Documents\GitHub\mrs-test-scripts\Headless Mode &amp; Sideloading\WalkAndUnGZ.bat" "%USERPROFILE%\AppData\Local\Temp\OnboardLogs"\RTDC4009\2017-05-12 &amp; aws s3 cp s3://rtdc.mdm.uploadarchive.raw/RTDC4009/ "%USERPROFILE%\AppData\Local\Temp\OnboardLogs"\RTDC4009\2017-05-13 --exclude "*" --recursive --include "*20170513*" &amp; "%USERPROFILE%\Documents\GitHub\mrs-test-scripts\Headless Mode &amp; Sideloading\WalkAndUnGZ.bat" "%USERPROFILE%\AppData\Local\Temp\OnboardLogs"\RTDC4009\2017-05-13</v>
      </c>
      <c r="AF218" s="77" t="str">
        <f t="shared" si="82"/>
        <v>"C:\Program Files (x86)\AstroGrep\AstroGrep.exe" /e /r /s /spath="%USERPROFILE%\AppData\Local\Temp\OnboardLogs" /stypes="app*4009*20170512*" /stext=" 10:.+((SYSTEM_STATE.+slice.+state.+changed )|(ment ac)|(multiple cpu faults)|(system.+state.+changed )|(\[timeout)|(PRM\|1\|D)|(kpr)|(kdp)|(train st.+moving)|(\|lc)|(penalty))"</v>
      </c>
      <c r="AG218" s="1" t="str">
        <f t="shared" si="83"/>
        <v>Other</v>
      </c>
      <c r="AH218" s="81" t="str">
        <f t="shared" si="84"/>
        <v>"%USERPROFILE%\Documents\GitHub\eaglep3\Utilities\RefineRTDCRunTimes.py" --tripid 310-12 --locoid 4009 --swversion DE.1.0.9.0 --startMP 300:23476 --initTime 2017-05-12T04:30:45 --startdatetime 2017-05-12T04:34:01 --delay 3 --endMP 204:163 --enddatetime 2017-05-12T04:41:22 --enforcementcount 0 &gt;&gt;C:\Users\stu\Documents\GitHub\eaglep3-reporting\EC\2017-05-12-refined-times.txt</v>
      </c>
      <c r="AI218" s="99" t="str">
        <f t="shared" si="85"/>
        <v>echo {"issue":{"subject":"","project_id":79,"tracker_id":40,"status_id":1,"priority_id":2,"assigned_to_id":23,"start_date":"2017-05-12","description":"","custom_fields":[{"id":1,"name":"Subdivision","value":"Other"},{"id":4,"name":"Milepost","value":"0.0163"},{"id":17,"name":"Train ID","value":"310-12"},{"id":16,"name":"Locomotive ID","value":"4009"},{"id":130,"name":"Impact","value":""},{"id":150,"name":"Time of Event (Mountain Time)","value":"04:41:22"},{"id":151,"name":"Denver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8" s="47"/>
      <c r="AL218" s="47"/>
      <c r="AM218" s="145" t="str">
        <f t="shared" si="86"/>
        <v>start /low /b %USERPROFILE%\Documents\GitHub\eaglep3\Utilities\DownloadLogsFromS3.py --loco 4009 --day 2017-05-12</v>
      </c>
      <c r="AN218" s="154" t="str">
        <f t="shared" si="87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10:41:22"},{"id":29,"name":"Sharepoint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801</v>
      </c>
      <c r="B219" s="7">
        <v>4022</v>
      </c>
      <c r="C219" s="21" t="s">
        <v>206</v>
      </c>
      <c r="D219" s="21" t="s">
        <v>920</v>
      </c>
      <c r="E219" s="13">
        <v>42868.06821759259</v>
      </c>
      <c r="F219" s="13">
        <v>42868.069340277776</v>
      </c>
      <c r="G219" s="7">
        <v>1</v>
      </c>
      <c r="H219" s="21" t="s">
        <v>528</v>
      </c>
      <c r="I219" s="13">
        <v>42868.076597222222</v>
      </c>
      <c r="J219" s="7">
        <v>0</v>
      </c>
      <c r="K219" s="92" t="str">
        <f t="shared" si="72"/>
        <v>4021/4022</v>
      </c>
      <c r="L219" s="21" t="str">
        <f>VLOOKUP(A219,'Trips&amp;Operators'!$C$1:$G$99999,5,FALSE)</f>
        <v>MAGEE KENYA</v>
      </c>
      <c r="M219" s="6">
        <f t="shared" si="73"/>
        <v>7.2569444455439225E-3</v>
      </c>
      <c r="N219" s="7">
        <f t="shared" si="71"/>
        <v>10.450000001583248</v>
      </c>
      <c r="O219" s="7"/>
      <c r="P219" s="7"/>
      <c r="Q219" s="22"/>
      <c r="R219" s="190"/>
      <c r="S219" s="196">
        <f t="shared" si="69"/>
        <v>1</v>
      </c>
      <c r="T219" s="190" t="str">
        <f t="shared" si="74"/>
        <v>NorthBound</v>
      </c>
      <c r="U219" s="19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1" t="str">
        <f t="shared" si="75"/>
        <v>https://d0f6bd738d7f1b3e5a7ca70fe4ff75f0.us-east-1.aws.found.io/app/kibana#/discover/Steve-Slow-Train-Analysis-(2080s-and-2083s)?_g=(refreshInterval:(display:Off,pause:!f,section:0,value:0),time:(from:'2017-05-13T00:38:14-0600',mode:absolute,to:'2017-05-13T02:50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9" s="192" t="str">
        <f t="shared" si="76"/>
        <v>Y</v>
      </c>
      <c r="X219" s="192">
        <f t="shared" si="70"/>
        <v>1</v>
      </c>
      <c r="Y219" s="192">
        <f t="shared" si="77"/>
        <v>4.3999999999999997E-2</v>
      </c>
      <c r="Z219" s="192">
        <f t="shared" si="78"/>
        <v>2.3300999999999998</v>
      </c>
      <c r="AA219" s="192">
        <f t="shared" si="79"/>
        <v>2.2860999999999998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80"/>
        <v>0311-12</v>
      </c>
      <c r="AE219" s="80" t="str">
        <f t="shared" si="81"/>
        <v>aws s3 cp s3://rtdc.mdm.uploadarchive.raw/RTDC4022/ "%USERPROFILE%\AppData\Local\Temp\OnboardLogs"\RTDC4022\2017-05-13 --exclude "*" --recursive --include "*20170513*" &amp; "%USERPROFILE%\Documents\GitHub\mrs-test-scripts\Headless Mode &amp; Sideloading\WalkAndUnGZ.bat" "%USERPROFILE%\AppData\Local\Temp\OnboardLogs"\RTDC4022\2017-05-13 &amp; aws s3 cp s3://rtdc.mdm.uploadarchive.raw/RTDC4022/ "%USERPROFILE%\AppData\Local\Temp\OnboardLogs"\RTDC4022\2017-05-14 --exclude "*" --recursive --include "*20170514*" &amp; "%USERPROFILE%\Documents\GitHub\mrs-test-scripts\Headless Mode &amp; Sideloading\WalkAndUnGZ.bat" "%USERPROFILE%\AppData\Local\Temp\OnboardLogs"\RTDC4022\2017-05-14</v>
      </c>
      <c r="AF219" s="77" t="str">
        <f t="shared" si="82"/>
        <v>"C:\Program Files (x86)\AstroGrep\AstroGrep.exe" /e /r /s /spath="%USERPROFILE%\AppData\Local\Temp\OnboardLogs" /stypes="app*4022*20170513*" /stext=" 07:.+((SYSTEM_STATE.+slice.+state.+changed )|(ment ac)|(multiple cpu faults)|(system.+state.+changed )|(\[timeout)|(PRM\|1\|D)|(kpr)|(kdp)|(train st.+moving)|(\|lc)|(penalty))"</v>
      </c>
      <c r="AG219" s="1" t="str">
        <f t="shared" si="83"/>
        <v>Other</v>
      </c>
      <c r="AH219" s="81" t="str">
        <f t="shared" si="84"/>
        <v>"%USERPROFILE%\Documents\GitHub\eaglep3\Utilities\RefineRTDCRunTimes.py" --tripid 311-12 --locoid 4022 --swversion DE.1.0.9.0 --startMP 204:440 --initTime 2017-05-13T01:38:14 --startdatetime 2017-05-13T01:39:51 --delay 1 --endMP 300:23301 --enddatetime 2017-05-13T01:50:18 --enforcementcount 0 &gt;&gt;C:\Users\stu\Documents\GitHub\eaglep3-reporting\EC\2017-05-12-refined-times.txt</v>
      </c>
      <c r="AI219" s="99" t="str">
        <f t="shared" si="85"/>
        <v>echo {"issue":{"subject":"","project_id":79,"tracker_id":40,"status_id":1,"priority_id":2,"assigned_to_id":23,"start_date":"2017-05-13","description":"","custom_fields":[{"id":1,"name":"Subdivision","value":"Other"},{"id":4,"name":"Milepost","value":"2.3301"},{"id":17,"name":"Train ID","value":"311-12"},{"id":16,"name":"Locomotive ID","value":"4022"},{"id":130,"name":"Impact","value":""},{"id":150,"name":"Time of Event (Mountain Time)","value":"01:50:18"},{"id":151,"name":"Denver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86"/>
        <v>start /low /b %USERPROFILE%\Documents\GitHub\eaglep3\Utilities\DownloadLogsFromS3.py --loco 4022 --day 2017-05-13</v>
      </c>
      <c r="AN219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07:50:18"},{"id":29,"name":"Sharepoint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515</v>
      </c>
      <c r="B220" s="7">
        <v>4004</v>
      </c>
      <c r="C220" s="21" t="s">
        <v>206</v>
      </c>
      <c r="D220" s="21" t="s">
        <v>454</v>
      </c>
      <c r="E220" s="13">
        <v>42867.089918981481</v>
      </c>
      <c r="F220" s="13">
        <v>42867.091331018521</v>
      </c>
      <c r="G220" s="7">
        <v>1</v>
      </c>
      <c r="H220" s="21" t="s">
        <v>364</v>
      </c>
      <c r="I220" s="13">
        <v>42867.099074074074</v>
      </c>
      <c r="J220" s="7">
        <v>0</v>
      </c>
      <c r="K220" s="92" t="str">
        <f t="shared" si="72"/>
        <v>4003/4004</v>
      </c>
      <c r="L220" s="21" t="str">
        <f>VLOOKUP(A220,'Trips&amp;Operators'!$C$1:$G$99999,5,FALSE)</f>
        <v>FORTUNATO FRANK</v>
      </c>
      <c r="M220" s="6">
        <f t="shared" si="73"/>
        <v>7.7430555538740009E-3</v>
      </c>
      <c r="N220" s="7">
        <f t="shared" si="71"/>
        <v>11.149999997578561</v>
      </c>
      <c r="O220" s="7"/>
      <c r="P220" s="7"/>
      <c r="Q220" s="22"/>
      <c r="R220" s="190"/>
      <c r="S220" s="196">
        <f t="shared" ref="S220:S251" si="88">SUM(U220:U220)/IF(AG220="EC",12,1)</f>
        <v>1</v>
      </c>
      <c r="T220" s="190" t="str">
        <f t="shared" si="74"/>
        <v>NorthBound</v>
      </c>
      <c r="U220" s="19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1" t="str">
        <f t="shared" si="75"/>
        <v>https://d0f6bd738d7f1b3e5a7ca70fe4ff75f0.us-east-1.aws.found.io/app/kibana#/discover/Steve-Slow-Train-Analysis-(2080s-and-2083s)?_g=(refreshInterval:(display:Off,pause:!f,section:0,value:0),time:(from:'2017-05-12T01:09:29-0600',mode:absolute,to:'2017-05-12T03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0" s="192" t="str">
        <f t="shared" si="76"/>
        <v>Y</v>
      </c>
      <c r="X220" s="192">
        <f t="shared" si="70"/>
        <v>2</v>
      </c>
      <c r="Y220" s="192">
        <f t="shared" si="77"/>
        <v>4.3799999999999999E-2</v>
      </c>
      <c r="Z220" s="192">
        <f t="shared" si="78"/>
        <v>2.3346</v>
      </c>
      <c r="AA220" s="192">
        <f t="shared" si="79"/>
        <v>2.2907999999999999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80"/>
        <v>0313-11</v>
      </c>
      <c r="AE220" s="80" t="str">
        <f t="shared" si="81"/>
        <v>aws s3 cp s3://rtdc.mdm.uploadarchive.raw/RTDC4004/ "%USERPROFILE%\AppData\Local\Temp\OnboardLogs"\RTDC4004\2017-05-12 --exclude "*" --recursive --include "*20170512*" &amp; "%USERPROFILE%\Documents\GitHub\mrs-test-scripts\Headless Mode &amp; Sideloading\WalkAndUnGZ.bat" "%USERPROFILE%\AppData\Local\Temp\OnboardLogs"\RTDC4004\2017-05-12 &amp; aws s3 cp s3://rtdc.mdm.uploadarchive.raw/RTDC4004/ "%USERPROFILE%\AppData\Local\Temp\OnboardLogs"\RTDC4004\2017-05-13 --exclude "*" --recursive --include "*20170513*" &amp; "%USERPROFILE%\Documents\GitHub\mrs-test-scripts\Headless Mode &amp; Sideloading\WalkAndUnGZ.bat" "%USERPROFILE%\AppData\Local\Temp\OnboardLogs"\RTDC4004\2017-05-13</v>
      </c>
      <c r="AF220" s="77" t="str">
        <f t="shared" si="82"/>
        <v>"C:\Program Files (x86)\AstroGrep\AstroGrep.exe" /e /r /s /spath="%USERPROFILE%\AppData\Local\Temp\OnboardLogs" /stypes="app*4004*20170512*" /stext=" 08:.+((SYSTEM_STATE.+slice.+state.+changed )|(ment ac)|(multiple cpu faults)|(system.+state.+changed )|(\[timeout)|(PRM\|1\|D)|(kpr)|(kdp)|(train st.+moving)|(\|lc)|(penalty))"</v>
      </c>
      <c r="AG220" s="1" t="str">
        <f t="shared" si="83"/>
        <v>Other</v>
      </c>
      <c r="AH220" s="81" t="str">
        <f t="shared" si="84"/>
        <v>"%USERPROFILE%\Documents\GitHub\eaglep3\Utilities\RefineRTDCRunTimes.py" --tripid 313-11 --locoid 4004 --swversion DE.1.0.9.0 --startMP 204:438 --initTime 2017-05-12T02:09:29 --startdatetime 2017-05-12T02:11:31 --delay 1 --endMP 300:23346 --enddatetime 2017-05-12T02:22:40 --enforcementcount 0 &gt;&gt;C:\Users\stu\Documents\GitHub\eaglep3-reporting\EC\2017-05-12-refined-times.txt</v>
      </c>
      <c r="AI220" s="99" t="str">
        <f t="shared" si="85"/>
        <v>echo {"issue":{"subject":"","project_id":79,"tracker_id":40,"status_id":1,"priority_id":2,"assigned_to_id":23,"start_date":"2017-05-12","description":"","custom_fields":[{"id":1,"name":"Subdivision","value":"Other"},{"id":4,"name":"Milepost","value":"2.3346"},{"id":17,"name":"Train ID","value":"313-11"},{"id":16,"name":"Locomotive ID","value":"4004"},{"id":130,"name":"Impact","value":""},{"id":150,"name":"Time of Event (Mountain Time)","value":"02:22:40"},{"id":151,"name":"Denver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86"/>
        <v>start /low /b %USERPROFILE%\Documents\GitHub\eaglep3\Utilities\DownloadLogsFromS3.py --loco 4004 --day 2017-05-12</v>
      </c>
      <c r="AN220" s="154" t="str">
        <f t="shared" si="87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08:22:40"},{"id":29,"name":"Sharepoint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2" t="s">
        <v>803</v>
      </c>
      <c r="B221" s="7">
        <v>4016</v>
      </c>
      <c r="C221" s="21" t="s">
        <v>206</v>
      </c>
      <c r="D221" s="21" t="s">
        <v>363</v>
      </c>
      <c r="E221" s="13">
        <v>42868.088171296295</v>
      </c>
      <c r="F221" s="13">
        <v>42868.089513888888</v>
      </c>
      <c r="G221" s="7">
        <v>1</v>
      </c>
      <c r="H221" s="21" t="s">
        <v>364</v>
      </c>
      <c r="I221" s="13">
        <v>42868.100324074076</v>
      </c>
      <c r="J221" s="7">
        <v>0</v>
      </c>
      <c r="K221" s="92" t="str">
        <f t="shared" si="72"/>
        <v>4015/4016</v>
      </c>
      <c r="L221" s="21" t="str">
        <f>VLOOKUP(A221,'Trips&amp;Operators'!$C$1:$G$99999,5,FALSE)</f>
        <v>BIRENBAUM THOMAS</v>
      </c>
      <c r="M221" s="6">
        <f t="shared" si="73"/>
        <v>1.0810185187438037E-2</v>
      </c>
      <c r="N221" s="7">
        <f t="shared" si="71"/>
        <v>15.566666669910774</v>
      </c>
      <c r="O221" s="7"/>
      <c r="P221" s="7"/>
      <c r="Q221" s="22"/>
      <c r="R221" s="190"/>
      <c r="S221" s="196">
        <f t="shared" si="88"/>
        <v>1</v>
      </c>
      <c r="T221" s="190" t="str">
        <f t="shared" si="74"/>
        <v>NorthBound</v>
      </c>
      <c r="U221" s="19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1" t="str">
        <f t="shared" si="75"/>
        <v>https://d0f6bd738d7f1b3e5a7ca70fe4ff75f0.us-east-1.aws.found.io/app/kibana#/discover/Steve-Slow-Train-Analysis-(2080s-and-2083s)?_g=(refreshInterval:(display:Off,pause:!f,section:0,value:0),time:(from:'2017-05-13T01:06:58-0600',mode:absolute,to:'2017-05-13T03:24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1" s="192" t="str">
        <f t="shared" si="76"/>
        <v>Y</v>
      </c>
      <c r="X221" s="192">
        <f t="shared" si="70"/>
        <v>0</v>
      </c>
      <c r="Y221" s="192">
        <f t="shared" si="77"/>
        <v>4.5100000000000001E-2</v>
      </c>
      <c r="Z221" s="192">
        <f t="shared" si="78"/>
        <v>2.3346</v>
      </c>
      <c r="AA221" s="192">
        <f t="shared" si="79"/>
        <v>2.2894999999999999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80"/>
        <v>0313-12</v>
      </c>
      <c r="AE221" s="80" t="str">
        <f t="shared" si="81"/>
        <v>aws s3 cp s3://rtdc.mdm.uploadarchive.raw/RTDC4016/ "%USERPROFILE%\AppData\Local\Temp\OnboardLogs"\RTDC4016\2017-05-13 --exclude "*" --recursive --include "*20170513*" &amp; "%USERPROFILE%\Documents\GitHub\mrs-test-scripts\Headless Mode &amp; Sideloading\WalkAndUnGZ.bat" "%USERPROFILE%\AppData\Local\Temp\OnboardLogs"\RTDC4016\2017-05-13 &amp; aws s3 cp s3://rtdc.mdm.uploadarchive.raw/RTDC4016/ "%USERPROFILE%\AppData\Local\Temp\OnboardLogs"\RTDC4016\2017-05-14 --exclude "*" --recursive --include "*20170514*" &amp; "%USERPROFILE%\Documents\GitHub\mrs-test-scripts\Headless Mode &amp; Sideloading\WalkAndUnGZ.bat" "%USERPROFILE%\AppData\Local\Temp\OnboardLogs"\RTDC4016\2017-05-14</v>
      </c>
      <c r="AF221" s="77" t="str">
        <f t="shared" si="82"/>
        <v>"C:\Program Files (x86)\AstroGrep\AstroGrep.exe" /e /r /s /spath="%USERPROFILE%\AppData\Local\Temp\OnboardLogs" /stypes="app*4016*20170513*" /stext=" 08:.+((SYSTEM_STATE.+slice.+state.+changed )|(ment ac)|(multiple cpu faults)|(system.+state.+changed )|(\[timeout)|(PRM\|1\|D)|(kpr)|(kdp)|(train st.+moving)|(\|lc)|(penalty))"</v>
      </c>
      <c r="AG221" s="1" t="str">
        <f t="shared" si="83"/>
        <v>Other</v>
      </c>
      <c r="AH221" s="81" t="str">
        <f t="shared" si="84"/>
        <v>"%USERPROFILE%\Documents\GitHub\eaglep3\Utilities\RefineRTDCRunTimes.py" --tripid 313-12 --locoid 4016 --swversion DE.1.0.9.0 --startMP 204:451 --initTime 2017-05-13T02:06:58 --startdatetime 2017-05-13T02:08:54 --delay 1 --endMP 300:23346 --enddatetime 2017-05-13T02:24:28 --enforcementcount 0 &gt;&gt;C:\Users\stu\Documents\GitHub\eaglep3-reporting\EC\2017-05-12-refined-times.txt</v>
      </c>
      <c r="AI221" s="99" t="str">
        <f t="shared" si="85"/>
        <v>echo {"issue":{"subject":"","project_id":79,"tracker_id":40,"status_id":1,"priority_id":2,"assigned_to_id":23,"start_date":"2017-05-13","description":"","custom_fields":[{"id":1,"name":"Subdivision","value":"Other"},{"id":4,"name":"Milepost","value":"2.3346"},{"id":17,"name":"Train ID","value":"313-12"},{"id":16,"name":"Locomotive ID","value":"4016"},{"id":130,"name":"Impact","value":""},{"id":150,"name":"Time of Event (Mountain Time)","value":"02:24:28"},{"id":151,"name":"Denver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86"/>
        <v>start /low /b %USERPROFILE%\Documents\GitHub\eaglep3\Utilities\DownloadLogsFromS3.py --loco 4016 --day 2017-05-13</v>
      </c>
      <c r="AN221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08:24:28"},{"id":29,"name":"Sharepoint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2" t="s">
        <v>804</v>
      </c>
      <c r="B222" s="7">
        <v>4046</v>
      </c>
      <c r="C222" s="21" t="s">
        <v>206</v>
      </c>
      <c r="D222" s="21" t="s">
        <v>367</v>
      </c>
      <c r="E222" s="13">
        <v>42868.110636574071</v>
      </c>
      <c r="F222" s="13">
        <v>42868.112025462964</v>
      </c>
      <c r="G222" s="7">
        <v>1</v>
      </c>
      <c r="H222" s="21" t="s">
        <v>489</v>
      </c>
      <c r="I222" s="13">
        <v>42868.120555555557</v>
      </c>
      <c r="J222" s="7">
        <v>0</v>
      </c>
      <c r="K222" s="92" t="str">
        <f t="shared" si="72"/>
        <v>4045/4046</v>
      </c>
      <c r="L222" s="21" t="str">
        <f>VLOOKUP(A222,'Trips&amp;Operators'!$C$1:$G$99999,5,FALSE)</f>
        <v>BROWN JACOB</v>
      </c>
      <c r="M222" s="6">
        <f t="shared" si="73"/>
        <v>8.5300925929914229E-3</v>
      </c>
      <c r="N222" s="7">
        <f t="shared" si="71"/>
        <v>12.283333333907649</v>
      </c>
      <c r="O222" s="7"/>
      <c r="P222" s="7"/>
      <c r="Q222" s="22"/>
      <c r="R222" s="190"/>
      <c r="S222" s="196">
        <f t="shared" si="88"/>
        <v>1</v>
      </c>
      <c r="T222" s="190" t="str">
        <f t="shared" si="74"/>
        <v>NorthBound</v>
      </c>
      <c r="U222" s="19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1" t="str">
        <f t="shared" si="75"/>
        <v>https://d0f6bd738d7f1b3e5a7ca70fe4ff75f0.us-east-1.aws.found.io/app/kibana#/discover/Steve-Slow-Train-Analysis-(2080s-and-2083s)?_g=(refreshInterval:(display:Off,pause:!f,section:0,value:0),time:(from:'2017-05-13T01:39:19-0600',mode:absolute,to:'2017-05-13T03:53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2" s="192" t="str">
        <f t="shared" si="76"/>
        <v>Y</v>
      </c>
      <c r="X222" s="192">
        <f t="shared" si="70"/>
        <v>2</v>
      </c>
      <c r="Y222" s="192">
        <f t="shared" si="77"/>
        <v>4.6399999999999997E-2</v>
      </c>
      <c r="Z222" s="192">
        <f t="shared" si="78"/>
        <v>2.3308</v>
      </c>
      <c r="AA222" s="192">
        <f t="shared" si="79"/>
        <v>2.2843999999999998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80"/>
        <v>0315-12</v>
      </c>
      <c r="AE222" s="80" t="str">
        <f t="shared" si="81"/>
        <v>aws s3 cp s3://rtdc.mdm.uploadarchive.raw/RTDC4046/ "%USERPROFILE%\AppData\Local\Temp\OnboardLogs"\RTDC4046\2017-05-13 --exclude "*" --recursive --include "*20170513*" &amp; "%USERPROFILE%\Documents\GitHub\mrs-test-scripts\Headless Mode &amp; Sideloading\WalkAndUnGZ.bat" "%USERPROFILE%\AppData\Local\Temp\OnboardLogs"\RTDC4046\2017-05-13 &amp; aws s3 cp s3://rtdc.mdm.uploadarchive.raw/RTDC4046/ "%USERPROFILE%\AppData\Local\Temp\OnboardLogs"\RTDC4046\2017-05-14 --exclude "*" --recursive --include "*20170514*" &amp; "%USERPROFILE%\Documents\GitHub\mrs-test-scripts\Headless Mode &amp; Sideloading\WalkAndUnGZ.bat" "%USERPROFILE%\AppData\Local\Temp\OnboardLogs"\RTDC4046\2017-05-14</v>
      </c>
      <c r="AF222" s="77" t="str">
        <f t="shared" si="82"/>
        <v>"C:\Program Files (x86)\AstroGrep\AstroGrep.exe" /e /r /s /spath="%USERPROFILE%\AppData\Local\Temp\OnboardLogs" /stypes="app*4046*20170513*" /stext=" 08:.+((SYSTEM_STATE.+slice.+state.+changed )|(ment ac)|(multiple cpu faults)|(system.+state.+changed )|(\[timeout)|(PRM\|1\|D)|(kpr)|(kdp)|(train st.+moving)|(\|lc)|(penalty))"</v>
      </c>
      <c r="AG222" s="1" t="str">
        <f t="shared" si="83"/>
        <v>Other</v>
      </c>
      <c r="AH222" s="81" t="str">
        <f t="shared" si="84"/>
        <v>"%USERPROFILE%\Documents\GitHub\eaglep3\Utilities\RefineRTDCRunTimes.py" --tripid 315-12 --locoid 4046 --swversion DE.1.0.9.0 --startMP 204:464 --initTime 2017-05-13T02:39:19 --startdatetime 2017-05-13T02:41:19 --delay 1 --endMP 300:23308 --enddatetime 2017-05-13T02:53:36 --enforcementcount 0 &gt;&gt;C:\Users\stu\Documents\GitHub\eaglep3-reporting\EC\2017-05-12-refined-times.txt</v>
      </c>
      <c r="AI222" s="99" t="str">
        <f t="shared" si="85"/>
        <v>echo {"issue":{"subject":"","project_id":79,"tracker_id":40,"status_id":1,"priority_id":2,"assigned_to_id":23,"start_date":"2017-05-13","description":"","custom_fields":[{"id":1,"name":"Subdivision","value":"Other"},{"id":4,"name":"Milepost","value":"2.3308"},{"id":17,"name":"Train ID","value":"315-12"},{"id":16,"name":"Locomotive ID","value":"4046"},{"id":130,"name":"Impact","value":""},{"id":150,"name":"Time of Event (Mountain Time)","value":"02:53:36"},{"id":151,"name":"Denver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86"/>
        <v>start /low /b %USERPROFILE%\Documents\GitHub\eaglep3\Utilities\DownloadLogsFromS3.py --loco 4046 --day 2017-05-13</v>
      </c>
      <c r="AN222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08:53:36"},{"id":29,"name":"Sharepoint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2" t="s">
        <v>613</v>
      </c>
      <c r="B223" s="7">
        <v>4052</v>
      </c>
      <c r="C223" s="21" t="s">
        <v>206</v>
      </c>
      <c r="D223" s="21" t="s">
        <v>1022</v>
      </c>
      <c r="E223" s="13">
        <v>42867.199583333335</v>
      </c>
      <c r="F223" s="13">
        <v>42867.203090277777</v>
      </c>
      <c r="G223" s="7">
        <v>4</v>
      </c>
      <c r="H223" s="21" t="s">
        <v>970</v>
      </c>
      <c r="I223" s="13">
        <v>42867.208240740743</v>
      </c>
      <c r="J223" s="7">
        <v>0</v>
      </c>
      <c r="K223" s="92" t="str">
        <f t="shared" si="72"/>
        <v>4051/4052</v>
      </c>
      <c r="L223" s="21" t="str">
        <f>VLOOKUP(A223,'Trips&amp;Operators'!$C$1:$G$99999,5,FALSE)</f>
        <v>GEBRETEKLE DAGNEW</v>
      </c>
      <c r="M223" s="6">
        <f t="shared" si="73"/>
        <v>5.1504629664123058E-3</v>
      </c>
      <c r="N223" s="7">
        <f t="shared" si="71"/>
        <v>7.4166666716337204</v>
      </c>
      <c r="O223" s="7"/>
      <c r="P223" s="7"/>
      <c r="Q223" s="22"/>
      <c r="R223" s="190"/>
      <c r="S223" s="196">
        <f t="shared" si="88"/>
        <v>0</v>
      </c>
      <c r="T223" s="190" t="str">
        <f t="shared" si="74"/>
        <v>NorthBound</v>
      </c>
      <c r="U223" s="19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1" t="str">
        <f t="shared" si="75"/>
        <v>https://d0f6bd738d7f1b3e5a7ca70fe4ff75f0.us-east-1.aws.found.io/app/kibana#/discover/Steve-Slow-Train-Analysis-(2080s-and-2083s)?_g=(refreshInterval:(display:Off,pause:!f,section:0,value:0),time:(from:'2017-05-12T03:47:24-0600',mode:absolute,to:'2017-05-12T05:59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3" s="192" t="str">
        <f t="shared" si="76"/>
        <v>Y</v>
      </c>
      <c r="X223" s="192">
        <f t="shared" si="70"/>
        <v>586</v>
      </c>
      <c r="Y223" s="192">
        <f t="shared" si="77"/>
        <v>3.0070000000000001</v>
      </c>
      <c r="Z223" s="192">
        <f t="shared" si="78"/>
        <v>5.8986000000000001</v>
      </c>
      <c r="AA223" s="192">
        <f t="shared" si="79"/>
        <v>2.8915999999999999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80"/>
        <v>0901-12</v>
      </c>
      <c r="AE223" s="80" t="str">
        <f t="shared" si="81"/>
        <v>aws s3 cp s3://rtdc.mdm.uploadarchive.raw/RTDC4052/ "%USERPROFILE%\AppData\Local\Temp\OnboardLogs"\RTDC4052\2017-05-12 --exclude "*" --recursive --include "*20170512*" &amp; "%USERPROFILE%\Documents\GitHub\mrs-test-scripts\Headless Mode &amp; Sideloading\WalkAndUnGZ.bat" "%USERPROFILE%\AppData\Local\Temp\OnboardLogs"\RTDC4052\2017-05-12 &amp; aws s3 cp s3://rtdc.mdm.uploadarchive.raw/RTDC4052/ "%USERPROFILE%\AppData\Local\Temp\OnboardLogs"\RTDC4052\2017-05-13 --exclude "*" --recursive --include "*20170513*" &amp; "%USERPROFILE%\Documents\GitHub\mrs-test-scripts\Headless Mode &amp; Sideloading\WalkAndUnGZ.bat" "%USERPROFILE%\AppData\Local\Temp\OnboardLogs"\RTDC4052\2017-05-13</v>
      </c>
      <c r="AF223" s="77" t="str">
        <f t="shared" si="82"/>
        <v>"C:\Program Files (x86)\AstroGrep\AstroGrep.exe" /e /r /s /spath="%USERPROFILE%\AppData\Local\Temp\OnboardLogs" /stypes="app*4052*20170512*" /stext=" 10:.+((SYSTEM_STATE.+slice.+state.+changed )|(ment ac)|(multiple cpu faults)|(system.+state.+changed )|(\[timeout)|(PRM\|1\|D)|(kpr)|(kdp)|(train st.+moving)|(\|lc)|(penalty))"</v>
      </c>
      <c r="AG223" s="1" t="str">
        <f t="shared" si="83"/>
        <v>Other</v>
      </c>
      <c r="AH223" s="81" t="str">
        <f t="shared" si="84"/>
        <v>"%USERPROFILE%\Documents\GitHub\eaglep3\Utilities\RefineRTDCRunTimes.py" --tripid 901-12 --locoid 4052 --swversion DE.1.0.9.0 --startMP 300:30070 --initTime 2017-05-12T04:47:24 --startdatetime 2017-05-12T04:52:27 --delay 4 --endMP 300:58986 --enddatetime 2017-05-12T04:59:52 --enforcementcount 0 &gt;&gt;C:\Users\stu\Documents\GitHub\eaglep3-reporting\EC\2017-05-12-refined-times.txt</v>
      </c>
      <c r="AI223" s="99" t="str">
        <f t="shared" si="85"/>
        <v>echo {"issue":{"subject":"","project_id":79,"tracker_id":40,"status_id":1,"priority_id":2,"assigned_to_id":23,"start_date":"2017-05-12","description":"","custom_fields":[{"id":1,"name":"Subdivision","value":"Other"},{"id":4,"name":"Milepost","value":"5.8986"},{"id":17,"name":"Train ID","value":"901-12"},{"id":16,"name":"Locomotive ID","value":"4052"},{"id":130,"name":"Impact","value":""},{"id":150,"name":"Time of Event (Mountain Time)","value":"04:59:52"},{"id":151,"name":"Denver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86"/>
        <v>start /low /b %USERPROFILE%\Documents\GitHub\eaglep3\Utilities\DownloadLogsFromS3.py --loco 4052 --day 2017-05-12</v>
      </c>
      <c r="AN223" s="154" t="str">
        <f t="shared" si="87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10:59:52"},{"id":29,"name":"Sharepoint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2" t="s">
        <v>562</v>
      </c>
      <c r="B224" s="7">
        <v>4001</v>
      </c>
      <c r="C224" s="21" t="s">
        <v>206</v>
      </c>
      <c r="D224" s="21" t="s">
        <v>1023</v>
      </c>
      <c r="E224" s="13">
        <v>42867.239259259259</v>
      </c>
      <c r="F224" s="13">
        <v>42867.241863425923</v>
      </c>
      <c r="G224" s="7">
        <v>3</v>
      </c>
      <c r="H224" s="21" t="s">
        <v>1024</v>
      </c>
      <c r="I224" s="13">
        <v>42867.242002314815</v>
      </c>
      <c r="J224" s="7">
        <v>0</v>
      </c>
      <c r="K224" s="92" t="str">
        <f t="shared" si="72"/>
        <v>4001/4002</v>
      </c>
      <c r="L224" s="21" t="str">
        <f>VLOOKUP(A224,'Trips&amp;Operators'!$C$1:$G$99999,5,FALSE)</f>
        <v>MACDONALD THOMAS</v>
      </c>
      <c r="M224" s="6">
        <f t="shared" si="73"/>
        <v>1.3888889225199819E-4</v>
      </c>
      <c r="N224" s="7">
        <f t="shared" si="71"/>
        <v>0.20000000484287739</v>
      </c>
      <c r="O224" s="7"/>
      <c r="P224" s="7"/>
      <c r="Q224" s="22"/>
      <c r="R224" s="190"/>
      <c r="S224" s="196">
        <f t="shared" si="88"/>
        <v>0</v>
      </c>
      <c r="T224" s="190" t="str">
        <f t="shared" si="74"/>
        <v>Southbound</v>
      </c>
      <c r="U224" s="19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1" t="str">
        <f t="shared" si="75"/>
        <v>https://d0f6bd738d7f1b3e5a7ca70fe4ff75f0.us-east-1.aws.found.io/app/kibana#/discover/Steve-Slow-Train-Analysis-(2080s-and-2083s)?_g=(refreshInterval:(display:Off,pause:!f,section:0,value:0),time:(from:'2017-05-12T04:44:32-0600',mode:absolute,to:'2017-05-12T06:48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4" s="192" t="str">
        <f t="shared" si="76"/>
        <v>Y</v>
      </c>
      <c r="X224" s="192">
        <f t="shared" si="70"/>
        <v>1</v>
      </c>
      <c r="Y224" s="192">
        <f t="shared" si="77"/>
        <v>2.379</v>
      </c>
      <c r="Z224" s="192">
        <f t="shared" si="78"/>
        <v>2.3302999999999998</v>
      </c>
      <c r="AA224" s="192">
        <f t="shared" si="79"/>
        <v>4.8700000000000188E-2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80"/>
        <v>0902-12</v>
      </c>
      <c r="AE224" s="80" t="str">
        <f t="shared" si="81"/>
        <v>aws s3 cp s3://rtdc.mdm.uploadarchive.raw/RTDC4001/ "%USERPROFILE%\AppData\Local\Temp\OnboardLogs"\RTDC4001\2017-05-12 --exclude "*" --recursive --include "*20170512*" &amp; "%USERPROFILE%\Documents\GitHub\mrs-test-scripts\Headless Mode &amp; Sideloading\WalkAndUnGZ.bat" "%USERPROFILE%\AppData\Local\Temp\OnboardLogs"\RTDC4001\2017-05-12 &amp; aws s3 cp s3://rtdc.mdm.uploadarchive.raw/RTDC4001/ "%USERPROFILE%\AppData\Local\Temp\OnboardLogs"\RTDC4001\2017-05-13 --exclude "*" --recursive --include "*20170513*" &amp; "%USERPROFILE%\Documents\GitHub\mrs-test-scripts\Headless Mode &amp; Sideloading\WalkAndUnGZ.bat" "%USERPROFILE%\AppData\Local\Temp\OnboardLogs"\RTDC4001\2017-05-13</v>
      </c>
      <c r="AF224" s="77" t="str">
        <f t="shared" si="82"/>
        <v>"C:\Program Files (x86)\AstroGrep\AstroGrep.exe" /e /r /s /spath="%USERPROFILE%\AppData\Local\Temp\OnboardLogs" /stypes="app*4001*20170512*" /stext=" 11:.+((SYSTEM_STATE.+slice.+state.+changed )|(ment ac)|(multiple cpu faults)|(system.+state.+changed )|(\[timeout)|(PRM\|1\|D)|(kpr)|(kdp)|(train st.+moving)|(\|lc)|(penalty))"</v>
      </c>
      <c r="AG224" s="1" t="str">
        <f t="shared" si="83"/>
        <v>Other</v>
      </c>
      <c r="AH224" s="81" t="str">
        <f t="shared" si="84"/>
        <v>"%USERPROFILE%\Documents\GitHub\eaglep3\Utilities\RefineRTDCRunTimes.py" --tripid 902-12 --locoid 4001 --swversion DE.1.0.9.0 --startMP 300:23790 --initTime 2017-05-12T05:44:32 --startdatetime 2017-05-12T05:48:17 --delay 3 --endMP 300:23303 --enddatetime 2017-05-12T05:48:29 --enforcementcount 0 &gt;&gt;C:\Users\stu\Documents\GitHub\eaglep3-reporting\EC\2017-05-12-refined-times.txt</v>
      </c>
      <c r="AI224" s="99" t="str">
        <f t="shared" si="85"/>
        <v>echo {"issue":{"subject":"","project_id":79,"tracker_id":40,"status_id":1,"priority_id":2,"assigned_to_id":23,"start_date":"2017-05-12","description":"","custom_fields":[{"id":1,"name":"Subdivision","value":"Other"},{"id":4,"name":"Milepost","value":"2.3303"},{"id":17,"name":"Train ID","value":"902-12"},{"id":16,"name":"Locomotive ID","value":"4001"},{"id":130,"name":"Impact","value":""},{"id":150,"name":"Time of Event (Mountain Time)","value":"05:48:29"},{"id":151,"name":"Denver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86"/>
        <v>start /low /b %USERPROFILE%\Documents\GitHub\eaglep3\Utilities\DownloadLogsFromS3.py --loco 4001 --day 2017-05-12</v>
      </c>
      <c r="AN224" s="154" t="str">
        <f t="shared" si="87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11:48:29"},{"id":29,"name":"Sharepoint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653</v>
      </c>
      <c r="B225" s="7">
        <v>4052</v>
      </c>
      <c r="C225" s="21" t="s">
        <v>206</v>
      </c>
      <c r="D225" s="21" t="s">
        <v>1025</v>
      </c>
      <c r="E225" s="13">
        <v>42867.352627314816</v>
      </c>
      <c r="F225" s="13">
        <v>42867.354143518518</v>
      </c>
      <c r="G225" s="7">
        <v>1</v>
      </c>
      <c r="H225" s="21" t="s">
        <v>1026</v>
      </c>
      <c r="I225" s="13">
        <v>42867.361284722225</v>
      </c>
      <c r="J225" s="7">
        <v>0</v>
      </c>
      <c r="K225" s="92" t="str">
        <f t="shared" si="72"/>
        <v>4051/4052</v>
      </c>
      <c r="L225" s="21" t="str">
        <f>VLOOKUP(A225,'Trips&amp;Operators'!$C$1:$G$99999,5,FALSE)</f>
        <v>GEBRETEKLE DAGNEW</v>
      </c>
      <c r="M225" s="6">
        <f t="shared" si="73"/>
        <v>7.1412037068512291E-3</v>
      </c>
      <c r="N225" s="7">
        <f t="shared" si="71"/>
        <v>10.28333333786577</v>
      </c>
      <c r="O225" s="7"/>
      <c r="P225" s="7"/>
      <c r="Q225" s="22"/>
      <c r="R225" s="190"/>
      <c r="S225" s="196">
        <f t="shared" si="88"/>
        <v>1</v>
      </c>
      <c r="T225" s="190" t="str">
        <f t="shared" si="74"/>
        <v>NorthBound</v>
      </c>
      <c r="U225" s="19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91" t="str">
        <f t="shared" si="75"/>
        <v>https://d0f6bd738d7f1b3e5a7ca70fe4ff75f0.us-east-1.aws.found.io/app/kibana#/discover/Steve-Slow-Train-Analysis-(2080s-and-2083s)?_g=(refreshInterval:(display:Off,pause:!f,section:0,value:0),time:(from:'2017-05-12T07:27:47-0600',mode:absolute,to:'2017-05-12T09:40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5" s="192" t="str">
        <f t="shared" si="76"/>
        <v>Y</v>
      </c>
      <c r="X225" s="192">
        <f t="shared" si="70"/>
        <v>1</v>
      </c>
      <c r="Y225" s="192">
        <f t="shared" si="77"/>
        <v>4.4999999999999998E-2</v>
      </c>
      <c r="Z225" s="192">
        <f t="shared" si="78"/>
        <v>2.4253999999999998</v>
      </c>
      <c r="AA225" s="192">
        <f t="shared" si="79"/>
        <v>2.3803999999999998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80"/>
        <v>0903-12</v>
      </c>
      <c r="AE225" s="80" t="str">
        <f t="shared" si="81"/>
        <v>aws s3 cp s3://rtdc.mdm.uploadarchive.raw/RTDC4052/ "%USERPROFILE%\AppData\Local\Temp\OnboardLogs"\RTDC4052\2017-05-12 --exclude "*" --recursive --include "*20170512*" &amp; "%USERPROFILE%\Documents\GitHub\mrs-test-scripts\Headless Mode &amp; Sideloading\WalkAndUnGZ.bat" "%USERPROFILE%\AppData\Local\Temp\OnboardLogs"\RTDC4052\2017-05-12 &amp; aws s3 cp s3://rtdc.mdm.uploadarchive.raw/RTDC4052/ "%USERPROFILE%\AppData\Local\Temp\OnboardLogs"\RTDC4052\2017-05-13 --exclude "*" --recursive --include "*20170513*" &amp; "%USERPROFILE%\Documents\GitHub\mrs-test-scripts\Headless Mode &amp; Sideloading\WalkAndUnGZ.bat" "%USERPROFILE%\AppData\Local\Temp\OnboardLogs"\RTDC4052\2017-05-13</v>
      </c>
      <c r="AF225" s="77" t="str">
        <f t="shared" si="82"/>
        <v>"C:\Program Files (x86)\AstroGrep\AstroGrep.exe" /e /r /s /spath="%USERPROFILE%\AppData\Local\Temp\OnboardLogs" /stypes="app*4052*20170512*" /stext=" 14:.+((SYSTEM_STATE.+slice.+state.+changed )|(ment ac)|(multiple cpu faults)|(system.+state.+changed )|(\[timeout)|(PRM\|1\|D)|(kpr)|(kdp)|(train st.+moving)|(\|lc)|(penalty))"</v>
      </c>
      <c r="AG225" s="1" t="str">
        <f t="shared" si="83"/>
        <v>Other</v>
      </c>
      <c r="AH225" s="81" t="str">
        <f t="shared" si="84"/>
        <v>"%USERPROFILE%\Documents\GitHub\eaglep3\Utilities\RefineRTDCRunTimes.py" --tripid 903-12 --locoid 4052 --swversion DE.1.0.9.0 --startMP 204:450 --initTime 2017-05-12T08:27:47 --startdatetime 2017-05-12T08:29:58 --delay 1 --endMP 300:24254 --enddatetime 2017-05-12T08:40:15 --enforcementcount 0 &gt;&gt;C:\Users\stu\Documents\GitHub\eaglep3-reporting\EC\2017-05-12-refined-times.txt</v>
      </c>
      <c r="AI225" s="99" t="str">
        <f t="shared" si="85"/>
        <v>echo {"issue":{"subject":"","project_id":79,"tracker_id":40,"status_id":1,"priority_id":2,"assigned_to_id":23,"start_date":"2017-05-12","description":"","custom_fields":[{"id":1,"name":"Subdivision","value":"Other"},{"id":4,"name":"Milepost","value":"2.4254"},{"id":17,"name":"Train ID","value":"903-12"},{"id":16,"name":"Locomotive ID","value":"4052"},{"id":130,"name":"Impact","value":""},{"id":150,"name":"Time of Event (Mountain Time)","value":"08:40:15"},{"id":151,"name":"Denver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86"/>
        <v>start /low /b %USERPROFILE%\Documents\GitHub\eaglep3\Utilities\DownloadLogsFromS3.py --loco 4052 --day 2017-05-12</v>
      </c>
      <c r="AN225" s="154" t="str">
        <f t="shared" si="87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14:40:15"},{"id":29,"name":"Sharepoint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719</v>
      </c>
      <c r="B226" s="7">
        <v>4051</v>
      </c>
      <c r="C226" s="21" t="s">
        <v>206</v>
      </c>
      <c r="D226" s="21" t="s">
        <v>1027</v>
      </c>
      <c r="E226" s="13">
        <v>42867.640219907407</v>
      </c>
      <c r="F226" s="13">
        <v>42867.643912037034</v>
      </c>
      <c r="G226" s="7">
        <v>5</v>
      </c>
      <c r="H226" s="21" t="s">
        <v>551</v>
      </c>
      <c r="I226" s="13">
        <v>42867.649837962963</v>
      </c>
      <c r="J226" s="7">
        <v>0</v>
      </c>
      <c r="K226" s="92" t="str">
        <f t="shared" si="72"/>
        <v>4051/4052</v>
      </c>
      <c r="L226" s="21" t="str">
        <f>VLOOKUP(A226,'Trips&amp;Operators'!$C$1:$G$99999,5,FALSE)</f>
        <v>THOMPSON LESTER</v>
      </c>
      <c r="M226" s="6">
        <f t="shared" si="73"/>
        <v>5.9259259287500754E-3</v>
      </c>
      <c r="N226" s="7">
        <f t="shared" si="71"/>
        <v>8.5333333374001086</v>
      </c>
      <c r="O226" s="7"/>
      <c r="P226" s="7"/>
      <c r="Q226" s="22"/>
      <c r="R226" s="190"/>
      <c r="S226" s="196">
        <f t="shared" si="88"/>
        <v>1</v>
      </c>
      <c r="T226" s="190" t="str">
        <f t="shared" si="74"/>
        <v>Southbound</v>
      </c>
      <c r="U226" s="19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91" t="str">
        <f t="shared" si="75"/>
        <v>https://d0f6bd738d7f1b3e5a7ca70fe4ff75f0.us-east-1.aws.found.io/app/kibana#/discover/Steve-Slow-Train-Analysis-(2080s-and-2083s)?_g=(refreshInterval:(display:Off,pause:!f,section:0,value:0),time:(from:'2017-05-12T14:21:55-0600',mode:absolute,to:'2017-05-12T16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6" s="192" t="str">
        <f t="shared" si="76"/>
        <v>Y</v>
      </c>
      <c r="X226" s="192">
        <f t="shared" si="70"/>
        <v>1</v>
      </c>
      <c r="Y226" s="192">
        <f t="shared" si="77"/>
        <v>2.3389000000000002</v>
      </c>
      <c r="Z226" s="192">
        <f t="shared" si="78"/>
        <v>6.8500000000000005E-2</v>
      </c>
      <c r="AA226" s="192">
        <f t="shared" si="79"/>
        <v>2.2704000000000004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80"/>
        <v>0904-12</v>
      </c>
      <c r="AE226" s="80" t="str">
        <f t="shared" si="81"/>
        <v>aws s3 cp s3://rtdc.mdm.uploadarchive.raw/RTDC4051/ "%USERPROFILE%\AppData\Local\Temp\OnboardLogs"\RTDC4051\2017-05-12 --exclude "*" --recursive --include "*20170512*" &amp; "%USERPROFILE%\Documents\GitHub\mrs-test-scripts\Headless Mode &amp; Sideloading\WalkAndUnGZ.bat" "%USERPROFILE%\AppData\Local\Temp\OnboardLogs"\RTDC4051\2017-05-12 &amp; aws s3 cp s3://rtdc.mdm.uploadarchive.raw/RTDC4051/ "%USERPROFILE%\AppData\Local\Temp\OnboardLogs"\RTDC4051\2017-05-13 --exclude "*" --recursive --include "*20170513*" &amp; "%USERPROFILE%\Documents\GitHub\mrs-test-scripts\Headless Mode &amp; Sideloading\WalkAndUnGZ.bat" "%USERPROFILE%\AppData\Local\Temp\OnboardLogs"\RTDC4051\2017-05-13</v>
      </c>
      <c r="AF226" s="77" t="str">
        <f t="shared" si="82"/>
        <v>"C:\Program Files (x86)\AstroGrep\AstroGrep.exe" /e /r /s /spath="%USERPROFILE%\AppData\Local\Temp\OnboardLogs" /stypes="app*4051*20170512*" /stext=" 21:.+((SYSTEM_STATE.+slice.+state.+changed )|(ment ac)|(multiple cpu faults)|(system.+state.+changed )|(\[timeout)|(PRM\|1\|D)|(kpr)|(kdp)|(train st.+moving)|(\|lc)|(penalty))"</v>
      </c>
      <c r="AG226" s="1" t="str">
        <f t="shared" si="83"/>
        <v>Other</v>
      </c>
      <c r="AH226" s="81" t="str">
        <f t="shared" si="84"/>
        <v>"%USERPROFILE%\Documents\GitHub\eaglep3\Utilities\RefineRTDCRunTimes.py" --tripid 904-12 --locoid 4051 --swversion DE.1.0.9.0 --startMP 300:23389 --initTime 2017-05-12T15:21:55 --startdatetime 2017-05-12T15:27:14 --delay 5 --endMP 204:685 --enddatetime 2017-05-12T15:35:46 --enforcementcount 0 &gt;&gt;C:\Users\stu\Documents\GitHub\eaglep3-reporting\EC\2017-05-12-refined-times.txt</v>
      </c>
      <c r="AI226" s="99" t="str">
        <f t="shared" si="85"/>
        <v>echo {"issue":{"subject":"","project_id":79,"tracker_id":40,"status_id":1,"priority_id":2,"assigned_to_id":23,"start_date":"2017-05-12","description":"","custom_fields":[{"id":1,"name":"Subdivision","value":"Other"},{"id":4,"name":"Milepost","value":"0.0685"},{"id":17,"name":"Train ID","value":"904-12"},{"id":16,"name":"Locomotive ID","value":"4051"},{"id":130,"name":"Impact","value":""},{"id":150,"name":"Time of Event (Mountain Time)","value":"15:35:46"},{"id":151,"name":"Denver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86"/>
        <v>start /low /b %USERPROFILE%\Documents\GitHub\eaglep3\Utilities\DownloadLogsFromS3.py --loco 4051 --day 2017-05-12</v>
      </c>
      <c r="AN226" s="154" t="str">
        <f t="shared" si="87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21:35:46"},{"id":29,"name":"Sharepoint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588</v>
      </c>
      <c r="B227" s="7">
        <v>4025</v>
      </c>
      <c r="C227" s="21" t="s">
        <v>206</v>
      </c>
      <c r="D227" s="21" t="s">
        <v>492</v>
      </c>
      <c r="E227" s="13">
        <v>42867.806932870371</v>
      </c>
      <c r="F227" s="13">
        <v>42867.808483796296</v>
      </c>
      <c r="G227" s="7">
        <v>1</v>
      </c>
      <c r="H227" s="21" t="s">
        <v>1028</v>
      </c>
      <c r="I227" s="13">
        <v>42867.820081018515</v>
      </c>
      <c r="J227" s="7">
        <v>0</v>
      </c>
      <c r="K227" s="92" t="str">
        <f t="shared" si="72"/>
        <v>4025/4026</v>
      </c>
      <c r="L227" s="21" t="str">
        <f>VLOOKUP(A227,'Trips&amp;Operators'!$C$1:$G$99999,5,FALSE)</f>
        <v>DUNCAN SHEILA</v>
      </c>
      <c r="M227" s="6">
        <f t="shared" si="73"/>
        <v>1.1597222219279502E-2</v>
      </c>
      <c r="N227" s="7">
        <f t="shared" si="71"/>
        <v>16.699999995762482</v>
      </c>
      <c r="O227" s="7"/>
      <c r="P227" s="7"/>
      <c r="Q227" s="22"/>
      <c r="R227" s="190"/>
      <c r="S227" s="196">
        <f t="shared" si="88"/>
        <v>1</v>
      </c>
      <c r="T227" s="190" t="str">
        <f t="shared" si="74"/>
        <v>Southbound</v>
      </c>
      <c r="U227" s="190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191" t="str">
        <f t="shared" si="75"/>
        <v>https://d0f6bd738d7f1b3e5a7ca70fe4ff75f0.us-east-1.aws.found.io/app/kibana#/discover/Steve-Slow-Train-Analysis-(2080s-and-2083s)?_g=(refreshInterval:(display:Off,pause:!f,section:0,value:0),time:(from:'2017-05-12T18:21:59-0600',mode:absolute,to:'2017-05-12T20:40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7" s="192" t="str">
        <f t="shared" si="76"/>
        <v>N</v>
      </c>
      <c r="X227" s="192">
        <f t="shared" si="70"/>
        <v>2</v>
      </c>
      <c r="Y227" s="192">
        <f t="shared" si="77"/>
        <v>5.8619000000000003</v>
      </c>
      <c r="Z227" s="192">
        <f t="shared" si="78"/>
        <v>0.2019</v>
      </c>
      <c r="AA227" s="192">
        <f t="shared" si="79"/>
        <v>5.66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80"/>
        <v>0906-12</v>
      </c>
      <c r="AE227" s="80" t="str">
        <f t="shared" si="81"/>
        <v>aws s3 cp s3://rtdc.mdm.uploadarchive.raw/RTDC4025/ "%USERPROFILE%\AppData\Local\Temp\OnboardLogs"\RTDC4025\2017-05-12 --exclude "*" --recursive --include "*20170512*" &amp; "%USERPROFILE%\Documents\GitHub\mrs-test-scripts\Headless Mode &amp; Sideloading\WalkAndUnGZ.bat" "%USERPROFILE%\AppData\Local\Temp\OnboardLogs"\RTDC4025\2017-05-12 &amp; aws s3 cp s3://rtdc.mdm.uploadarchive.raw/RTDC4025/ "%USERPROFILE%\AppData\Local\Temp\OnboardLogs"\RTDC4025\2017-05-13 --exclude "*" --recursive --include "*20170513*" &amp; "%USERPROFILE%\Documents\GitHub\mrs-test-scripts\Headless Mode &amp; Sideloading\WalkAndUnGZ.bat" "%USERPROFILE%\AppData\Local\Temp\OnboardLogs"\RTDC4025\2017-05-13</v>
      </c>
      <c r="AF227" s="77" t="str">
        <f t="shared" si="82"/>
        <v>"C:\Program Files (x86)\AstroGrep\AstroGrep.exe" /e /r /s /spath="%USERPROFILE%\AppData\Local\Temp\OnboardLogs" /stypes="app*4025*20170513*" /stext=" 01:.+((SYSTEM_STATE.+slice.+state.+changed )|(ment ac)|(multiple cpu faults)|(system.+state.+changed )|(\[timeout)|(PRM\|1\|D)|(kpr)|(kdp)|(train st.+moving)|(\|lc)|(penalty))"</v>
      </c>
      <c r="AG227" s="1" t="str">
        <f t="shared" si="83"/>
        <v>Other</v>
      </c>
      <c r="AH227" s="81" t="str">
        <f t="shared" si="84"/>
        <v>"%USERPROFILE%\Documents\GitHub\eaglep3\Utilities\RefineRTDCRunTimes.py" --tripid 906-12 --locoid 4025 --swversion DE.1.0.9.0 --startMP 300:58619 --initTime 2017-05-12T19:21:59 --startdatetime 2017-05-12T19:24:13 --delay 1 --endMP 204:2019 --enddatetime 2017-05-12T19:40:55 --enforcementcount 0 &gt;&gt;C:\Users\stu\Documents\GitHub\eaglep3-reporting\EC\2017-05-12-refined-times.txt</v>
      </c>
      <c r="AI227" s="99" t="str">
        <f t="shared" si="85"/>
        <v>echo {"issue":{"subject":"","project_id":79,"tracker_id":40,"status_id":1,"priority_id":2,"assigned_to_id":23,"start_date":"2017-05-12","description":"","custom_fields":[{"id":1,"name":"Subdivision","value":"Other"},{"id":4,"name":"Milepost","value":"0.2019"},{"id":17,"name":"Train ID","value":"906-12"},{"id":16,"name":"Locomotive ID","value":"4025"},{"id":130,"name":"Impact","value":""},{"id":150,"name":"Time of Event (Mountain Time)","value":"19:40:55"},{"id":151,"name":"Denver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86"/>
        <v>start /low /b %USERPROFILE%\Documents\GitHub\eaglep3\Utilities\DownloadLogsFromS3.py --loco 4025 --day 2017-05-12</v>
      </c>
      <c r="AN227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01:40:55"},{"id":29,"name":"Sharepoint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788</v>
      </c>
      <c r="B228" s="7">
        <v>4001</v>
      </c>
      <c r="C228" s="21" t="s">
        <v>206</v>
      </c>
      <c r="D228" s="21" t="s">
        <v>1029</v>
      </c>
      <c r="E228" s="13">
        <v>42867.943796296298</v>
      </c>
      <c r="F228" s="13">
        <v>25568.708333333332</v>
      </c>
      <c r="G228" s="7">
        <v>1</v>
      </c>
      <c r="H228" s="21" t="s">
        <v>1030</v>
      </c>
      <c r="I228" s="13">
        <v>25568.708333333332</v>
      </c>
      <c r="J228" s="7">
        <v>0</v>
      </c>
      <c r="K228" s="92" t="str">
        <f t="shared" si="72"/>
        <v>4001/4002</v>
      </c>
      <c r="L228" s="21" t="str">
        <f>VLOOKUP(A228,'Trips&amp;Operators'!$C$1:$G$99999,5,FALSE)</f>
        <v>THOMPSON LESTER</v>
      </c>
      <c r="M228" s="6">
        <f t="shared" si="73"/>
        <v>0</v>
      </c>
      <c r="N228" s="7">
        <f t="shared" si="71"/>
        <v>0</v>
      </c>
      <c r="O228" s="7"/>
      <c r="P228" s="7"/>
      <c r="Q228" s="22"/>
      <c r="R228" s="190"/>
      <c r="S228" s="196">
        <f t="shared" si="88"/>
        <v>0</v>
      </c>
      <c r="T228" s="190" t="str">
        <f t="shared" si="74"/>
        <v>Southbound</v>
      </c>
      <c r="U228" s="190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1" t="str">
        <f t="shared" si="75"/>
        <v>https://d0f6bd738d7f1b3e5a7ca70fe4ff75f0.us-east-1.aws.found.io/app/kibana#/discover/Steve-Slow-Train-Analysis-(2080s-and-2083s)?_g=(refreshInterval:(display:Off,pause:!f,section:0,value:0),time:(from:'2017-05-12T21:39:04-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8" s="192" t="str">
        <f t="shared" si="76"/>
        <v>Y</v>
      </c>
      <c r="X228" s="192">
        <f t="shared" si="70"/>
        <v>2</v>
      </c>
      <c r="Y228" s="192">
        <f t="shared" si="77"/>
        <v>5.8677000000000001</v>
      </c>
      <c r="Z228" s="192">
        <f t="shared" si="78"/>
        <v>2.1574</v>
      </c>
      <c r="AA228" s="192">
        <f t="shared" si="79"/>
        <v>3.7103000000000002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80"/>
        <v>0908-12</v>
      </c>
      <c r="AE228" s="80" t="str">
        <f t="shared" si="81"/>
        <v>aws s3 cp s3://rtdc.mdm.uploadarchive.raw/RTDC4001/ "%USERPROFILE%\AppData\Local\Temp\OnboardLogs"\RTDC4001\1969-12-31 --exclude "*" --recursive --include "*19691231*" &amp; "%USERPROFILE%\Documents\GitHub\mrs-test-scripts\Headless Mode &amp; Sideloading\WalkAndUnGZ.bat" "%USERPROFILE%\AppData\Local\Temp\OnboardLogs"\RTDC4001\1969-12-31 &amp; aws s3 cp s3://rtdc.mdm.uploadarchive.raw/RTDC4001/ "%USERPROFILE%\AppData\Local\Temp\OnboardLogs"\RTDC4001\1970-01-01 --exclude "*" --recursive --include "*19700101*" &amp; "%USERPROFILE%\Documents\GitHub\mrs-test-scripts\Headless Mode &amp; Sideloading\WalkAndUnGZ.bat" "%USERPROFILE%\AppData\Local\Temp\OnboardLogs"\RTDC4001\1970-01-01</v>
      </c>
      <c r="AF228" s="77" t="str">
        <f t="shared" si="82"/>
        <v>"C:\Program Files (x86)\AstroGrep\AstroGrep.exe" /e /r /s /spath="%USERPROFILE%\AppData\Local\Temp\OnboardLogs" /stypes="app*4001*19691231*" /stext=" 23:.+((SYSTEM_STATE.+slice.+state.+changed )|(ment ac)|(multiple cpu faults)|(system.+state.+changed )|(\[timeout)|(PRM\|1\|D)|(kpr)|(kdp)|(train st.+moving)|(\|lc)|(penalty))"</v>
      </c>
      <c r="AG228" s="1" t="str">
        <f t="shared" si="83"/>
        <v>Other</v>
      </c>
      <c r="AH228" s="81" t="str">
        <f t="shared" si="84"/>
        <v>"%USERPROFILE%\Documents\GitHub\eaglep3\Utilities\RefineRTDCRunTimes.py" --tripid 908-12 --locoid 4001 --swversion DE.1.0.9.0 --startMP 300:58677 --initTime 2017-05-12T22:39:04 --startdatetime 1969-12-31T17:00:00 --delay 1 --endMP 300:21574 --enddatetime 1969-12-31T17:00:00 --enforcementcount 0 &gt;&gt;C:\Users\stu\Documents\GitHub\eaglep3-reporting\EC\2017-05-12-refined-times.txt</v>
      </c>
      <c r="AI228" s="9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{"issue":{"subject":"","project_id":79,"tracker_id":40,"status_id":1,"priority_id":2,"assigned_to_id":23,"start_date":"1969-12-31","description":"","custom_fields":[{"id":1,"name":"Subdivision","value":"Other"},{"id":4,"name":"Milepost","value":"2.1574"},{"id":17,"name":"Train ID","value":"908-12"},{"id":16,"name":"Locomotive ID","value":"4001"},{"id":130,"name":"Impact","value":""},{"id":150,"name":"Time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86"/>
        <v>start /low /b %USERPROFILE%\Documents\GitHub\eaglep3\Utilities\DownloadLogsFromS3.py --loco 4001 --day 1969-12-31</v>
      </c>
      <c r="AN228" s="154" t="str">
        <f t="shared" si="87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674</v>
      </c>
      <c r="B229" s="7">
        <v>4017</v>
      </c>
      <c r="C229" s="21" t="s">
        <v>206</v>
      </c>
      <c r="D229" s="21" t="s">
        <v>921</v>
      </c>
      <c r="E229" s="13">
        <v>42867.43204861111</v>
      </c>
      <c r="F229" s="13">
        <v>42867.434618055559</v>
      </c>
      <c r="G229" s="7">
        <v>3</v>
      </c>
      <c r="H229" s="21" t="s">
        <v>922</v>
      </c>
      <c r="I229" s="13">
        <v>42867.439872685187</v>
      </c>
      <c r="J229" s="7">
        <v>0</v>
      </c>
      <c r="K229" s="92" t="str">
        <f t="shared" si="72"/>
        <v>4017/4018</v>
      </c>
      <c r="L229" s="21" t="str">
        <f>VLOOKUP(A229,'Trips&amp;Operators'!$C$1:$G$99999,5,FALSE)</f>
        <v>DELGADO DIANAH</v>
      </c>
      <c r="M229" s="6">
        <f t="shared" si="73"/>
        <v>5.2546296283253469E-3</v>
      </c>
      <c r="N229" s="7">
        <f t="shared" si="71"/>
        <v>7.5666666647884995</v>
      </c>
      <c r="O229" s="7"/>
      <c r="P229" s="7"/>
      <c r="Q229" s="22"/>
      <c r="R229" s="190"/>
      <c r="S229" s="196">
        <f t="shared" si="88"/>
        <v>0</v>
      </c>
      <c r="T229" s="190" t="e">
        <f t="shared" si="74"/>
        <v>#VALUE!</v>
      </c>
      <c r="U229" s="190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1" t="str">
        <f t="shared" si="75"/>
        <v>https://d0f6bd738d7f1b3e5a7ca70fe4ff75f0.us-east-1.aws.found.io/app/kibana#/discover/Steve-Slow-Train-Analysis-(2080s-and-2083s)?_g=(refreshInterval:(display:Off,pause:!f,section:0,value:0),time:(from:'2017-05-12T09:22:09-0600',mode:absolute,to:'2017-05-12T11:33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9" s="192" t="str">
        <f t="shared" si="76"/>
        <v>Y</v>
      </c>
      <c r="X229" s="192" t="e">
        <f t="shared" si="70"/>
        <v>#VALUE!</v>
      </c>
      <c r="Y229" s="192">
        <f t="shared" si="77"/>
        <v>2.2862</v>
      </c>
      <c r="Z229" s="192">
        <f t="shared" si="78"/>
        <v>8.6E-3</v>
      </c>
      <c r="AA229" s="192">
        <f t="shared" si="79"/>
        <v>2.2776000000000001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80"/>
        <v>50-12</v>
      </c>
      <c r="AE229" s="80" t="str">
        <f t="shared" si="81"/>
        <v>aws s3 cp s3://rtdc.mdm.uploadarchive.raw/RTDC4017/ "%USERPROFILE%\AppData\Local\Temp\OnboardLogs"\RTDC4017\2017-05-12 --exclude "*" --recursive --include "*20170512*" &amp; "%USERPROFILE%\Documents\GitHub\mrs-test-scripts\Headless Mode &amp; Sideloading\WalkAndUnGZ.bat" "%USERPROFILE%\AppData\Local\Temp\OnboardLogs"\RTDC4017\2017-05-12 &amp; aws s3 cp s3://rtdc.mdm.uploadarchive.raw/RTDC4017/ "%USERPROFILE%\AppData\Local\Temp\OnboardLogs"\RTDC4017\2017-05-13 --exclude "*" --recursive --include "*20170513*" &amp; "%USERPROFILE%\Documents\GitHub\mrs-test-scripts\Headless Mode &amp; Sideloading\WalkAndUnGZ.bat" "%USERPROFILE%\AppData\Local\Temp\OnboardLogs"\RTDC4017\2017-05-13</v>
      </c>
      <c r="AF229" s="77" t="str">
        <f t="shared" si="82"/>
        <v>"C:\Program Files (x86)\AstroGrep\AstroGrep.exe" /e /r /s /spath="%USERPROFILE%\AppData\Local\Temp\OnboardLogs" /stypes="app*4017*20170512*" /stext=" 16:.+((SYSTEM_STATE.+slice.+state.+changed )|(ment ac)|(multiple cpu faults)|(system.+state.+changed )|(\[timeout)|(PRM\|1\|D)|(kpr)|(kdp)|(train st.+moving)|(\|lc)|(penalty))"</v>
      </c>
      <c r="AG229" s="1" t="str">
        <f t="shared" si="83"/>
        <v>Other</v>
      </c>
      <c r="AH229" s="81" t="str">
        <f t="shared" si="84"/>
        <v>"%USERPROFILE%\Documents\GitHub\eaglep3\Utilities\RefineRTDCRunTimes.py" --tripid 50-12 --locoid 4017 --swversion DE.1.0.9.0 --startMP 300:22862 --initTime 2017-05-12T10:22:09 --startdatetime 2017-05-12T10:25:51 --delay 3 --endMP 204:86 --enddatetime 2017-05-12T10:33:25 --enforcementcount 0 &gt;&gt;C:\Users\stu\Documents\GitHub\eaglep3-reporting\EC\2017-05-12-refined-times.txt</v>
      </c>
      <c r="AI229" s="99" t="str">
        <f t="shared" si="85"/>
        <v>echo {"issue":{"subject":"","project_id":79,"tracker_id":40,"status_id":1,"priority_id":2,"assigned_to_id":23,"start_date":"2017-05-12","description":"","custom_fields":[{"id":1,"name":"Subdivision","value":"Other"},{"id":4,"name":"Milepost","value":"0.0086"},{"id":17,"name":"Train ID","value":"50-12"},{"id":16,"name":"Locomotive ID","value":"4017"},{"id":130,"name":"Impact","value":""},{"id":150,"name":"Time of Event (Mountain Time)","value":"10:33:25"},{"id":151,"name":"Denver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86"/>
        <v>start /low /b %USERPROFILE%\Documents\GitHub\eaglep3\Utilities\DownloadLogsFromS3.py --loco 4017 --day 2017-05-12</v>
      </c>
      <c r="AN229" s="154" t="str">
        <f t="shared" si="87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16:33:25"},{"id":29,"name":"Sharepoint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629</v>
      </c>
      <c r="B230" s="7">
        <v>4049</v>
      </c>
      <c r="C230" s="21" t="s">
        <v>206</v>
      </c>
      <c r="D230" s="21" t="s">
        <v>923</v>
      </c>
      <c r="E230" s="13">
        <v>42867.260474537034</v>
      </c>
      <c r="F230" s="13">
        <v>42867.262245370373</v>
      </c>
      <c r="G230" s="7">
        <v>1</v>
      </c>
      <c r="H230" s="21" t="s">
        <v>924</v>
      </c>
      <c r="I230" s="13">
        <v>42867.263194444444</v>
      </c>
      <c r="J230" s="7">
        <v>0</v>
      </c>
      <c r="K230" s="92" t="str">
        <f t="shared" si="72"/>
        <v>4049/4050</v>
      </c>
      <c r="L230" s="21" t="str">
        <f>VLOOKUP(A230,'Trips&amp;Operators'!$C$1:$G$99999,5,FALSE)</f>
        <v>SPECTOR MICHAEL</v>
      </c>
      <c r="M230" s="6">
        <f t="shared" si="73"/>
        <v>9.4907407037680969E-4</v>
      </c>
      <c r="N230" s="7">
        <f t="shared" si="71"/>
        <v>1.3666666613426059</v>
      </c>
      <c r="O230" s="7"/>
      <c r="P230" s="7"/>
      <c r="Q230" s="22"/>
      <c r="R230" s="190"/>
      <c r="S230" s="196">
        <f t="shared" si="88"/>
        <v>0</v>
      </c>
      <c r="T230" s="190" t="e">
        <f t="shared" si="74"/>
        <v>#VALUE!</v>
      </c>
      <c r="U230" s="190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1" t="str">
        <f t="shared" si="75"/>
        <v>https://d0f6bd738d7f1b3e5a7ca70fe4ff75f0.us-east-1.aws.found.io/app/kibana#/discover/Steve-Slow-Train-Analysis-(2080s-and-2083s)?_g=(refreshInterval:(display:Off,pause:!f,section:0,value:0),time:(from:'2017-05-12T05:15:05-0600',mode:absolute,to:'2017-05-12T07:19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0" s="192" t="str">
        <f t="shared" si="76"/>
        <v>Y</v>
      </c>
      <c r="X230" s="192" t="e">
        <f t="shared" si="70"/>
        <v>#VALUE!</v>
      </c>
      <c r="Y230" s="192">
        <f t="shared" si="77"/>
        <v>0.32290000000000002</v>
      </c>
      <c r="Z230" s="192">
        <f t="shared" si="78"/>
        <v>0.1169</v>
      </c>
      <c r="AA230" s="192">
        <f t="shared" si="79"/>
        <v>0.20600000000000002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80"/>
        <v>51-12</v>
      </c>
      <c r="AE230" s="80" t="str">
        <f t="shared" si="81"/>
        <v>aws s3 cp s3://rtdc.mdm.uploadarchive.raw/RTDC4049/ "%USERPROFILE%\AppData\Local\Temp\OnboardLogs"\RTDC4049\2017-05-12 --exclude "*" --recursive --include "*20170512*" &amp; "%USERPROFILE%\Documents\GitHub\mrs-test-scripts\Headless Mode &amp; Sideloading\WalkAndUnGZ.bat" "%USERPROFILE%\AppData\Local\Temp\OnboardLogs"\RTDC4049\2017-05-12 &amp; aws s3 cp s3://rtdc.mdm.uploadarchive.raw/RTDC4049/ "%USERPROFILE%\AppData\Local\Temp\OnboardLogs"\RTDC4049\2017-05-13 --exclude "*" --recursive --include "*20170513*" &amp; "%USERPROFILE%\Documents\GitHub\mrs-test-scripts\Headless Mode &amp; Sideloading\WalkAndUnGZ.bat" "%USERPROFILE%\AppData\Local\Temp\OnboardLogs"\RTDC4049\2017-05-13</v>
      </c>
      <c r="AF230" s="77" t="str">
        <f t="shared" si="82"/>
        <v>"C:\Program Files (x86)\AstroGrep\AstroGrep.exe" /e /r /s /spath="%USERPROFILE%\AppData\Local\Temp\OnboardLogs" /stypes="app*4049*20170512*" /stext=" 12:.+((SYSTEM_STATE.+slice.+state.+changed )|(ment ac)|(multiple cpu faults)|(system.+state.+changed )|(\[timeout)|(PRM\|1\|D)|(kpr)|(kdp)|(train st.+moving)|(\|lc)|(penalty))"</v>
      </c>
      <c r="AG230" s="1" t="str">
        <f t="shared" si="83"/>
        <v>Other</v>
      </c>
      <c r="AH230" s="81" t="str">
        <f t="shared" si="84"/>
        <v>"%USERPROFILE%\Documents\GitHub\eaglep3\Utilities\RefineRTDCRunTimes.py" --tripid 51-12 --locoid 4049 --swversion DE.1.0.9.0 --startMP 204:3229 --initTime 2017-05-12T06:15:05 --startdatetime 2017-05-12T06:17:38 --delay 1 --endMP 204:1169 --enddatetime 2017-05-12T06:19:00 --enforcementcount 0 &gt;&gt;C:\Users\stu\Documents\GitHub\eaglep3-reporting\EC\2017-05-12-refined-times.txt</v>
      </c>
      <c r="AI230" s="99" t="str">
        <f t="shared" si="85"/>
        <v>echo {"issue":{"subject":"","project_id":79,"tracker_id":40,"status_id":1,"priority_id":2,"assigned_to_id":23,"start_date":"2017-05-12","description":"","custom_fields":[{"id":1,"name":"Subdivision","value":"Other"},{"id":4,"name":"Milepost","value":"0.1169"},{"id":17,"name":"Train ID","value":"51-12"},{"id":16,"name":"Locomotive ID","value":"4049"},{"id":130,"name":"Impact","value":""},{"id":150,"name":"Time of Event (Mountain Time)","value":"06:19:00"},{"id":151,"name":"Denver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86"/>
        <v>start /low /b %USERPROFILE%\Documents\GitHub\eaglep3\Utilities\DownloadLogsFromS3.py --loco 4049 --day 2017-05-12</v>
      </c>
      <c r="AN230" s="154" t="str">
        <f t="shared" si="87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12:19:00"},{"id":29,"name":"Sharepoint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629</v>
      </c>
      <c r="B231" s="7">
        <v>4050</v>
      </c>
      <c r="C231" s="21" t="s">
        <v>206</v>
      </c>
      <c r="D231" s="21" t="s">
        <v>361</v>
      </c>
      <c r="E231" s="13">
        <v>42867.25203703704</v>
      </c>
      <c r="F231" s="13">
        <v>42867.262245370373</v>
      </c>
      <c r="G231" s="7">
        <v>1</v>
      </c>
      <c r="H231" s="21" t="s">
        <v>925</v>
      </c>
      <c r="I231" s="13">
        <v>42867.263194444444</v>
      </c>
      <c r="J231" s="7">
        <v>0</v>
      </c>
      <c r="K231" s="92" t="str">
        <f t="shared" si="72"/>
        <v>4049/4050</v>
      </c>
      <c r="L231" s="21" t="str">
        <f>VLOOKUP(A231,'Trips&amp;Operators'!$C$1:$G$99999,5,FALSE)</f>
        <v>SPECTOR MICHAEL</v>
      </c>
      <c r="M231" s="6">
        <f t="shared" si="73"/>
        <v>9.4907407037680969E-4</v>
      </c>
      <c r="N231" s="7">
        <f t="shared" si="71"/>
        <v>1.3666666613426059</v>
      </c>
      <c r="O231" s="7"/>
      <c r="P231" s="7"/>
      <c r="Q231" s="22"/>
      <c r="R231" s="190"/>
      <c r="S231" s="196">
        <f t="shared" si="88"/>
        <v>0</v>
      </c>
      <c r="T231" s="190" t="e">
        <f t="shared" si="74"/>
        <v>#VALUE!</v>
      </c>
      <c r="U231" s="190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1" t="str">
        <f t="shared" si="75"/>
        <v>https://d0f6bd738d7f1b3e5a7ca70fe4ff75f0.us-east-1.aws.found.io/app/kibana#/discover/Steve-Slow-Train-Analysis-(2080s-and-2083s)?_g=(refreshInterval:(display:Off,pause:!f,section:0,value:0),time:(from:'2017-05-12T05:02:56-0600',mode:absolute,to:'2017-05-12T07:19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1" s="192" t="str">
        <f t="shared" si="76"/>
        <v>Y</v>
      </c>
      <c r="X231" s="192" t="e">
        <f t="shared" si="70"/>
        <v>#VALUE!</v>
      </c>
      <c r="Y231" s="192">
        <f t="shared" si="77"/>
        <v>4.6600000000000003E-2</v>
      </c>
      <c r="Z231" s="192">
        <f t="shared" si="78"/>
        <v>0.35470000000000002</v>
      </c>
      <c r="AA231" s="192">
        <f t="shared" si="79"/>
        <v>0.30810000000000004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80"/>
        <v>51-12</v>
      </c>
      <c r="AE231" s="80" t="str">
        <f t="shared" si="81"/>
        <v>aws s3 cp s3://rtdc.mdm.uploadarchive.raw/RTDC4050/ "%USERPROFILE%\AppData\Local\Temp\OnboardLogs"\RTDC4050\2017-05-12 --exclude "*" --recursive --include "*20170512*" &amp; "%USERPROFILE%\Documents\GitHub\mrs-test-scripts\Headless Mode &amp; Sideloading\WalkAndUnGZ.bat" "%USERPROFILE%\AppData\Local\Temp\OnboardLogs"\RTDC4050\2017-05-12 &amp; aws s3 cp s3://rtdc.mdm.uploadarchive.raw/RTDC4050/ "%USERPROFILE%\AppData\Local\Temp\OnboardLogs"\RTDC4050\2017-05-13 --exclude "*" --recursive --include "*20170513*" &amp; "%USERPROFILE%\Documents\GitHub\mrs-test-scripts\Headless Mode &amp; Sideloading\WalkAndUnGZ.bat" "%USERPROFILE%\AppData\Local\Temp\OnboardLogs"\RTDC4050\2017-05-13</v>
      </c>
      <c r="AF231" s="77" t="str">
        <f t="shared" si="82"/>
        <v>"C:\Program Files (x86)\AstroGrep\AstroGrep.exe" /e /r /s /spath="%USERPROFILE%\AppData\Local\Temp\OnboardLogs" /stypes="app*4050*20170512*" /stext=" 12:.+((SYSTEM_STATE.+slice.+state.+changed )|(ment ac)|(multiple cpu faults)|(system.+state.+changed )|(\[timeout)|(PRM\|1\|D)|(kpr)|(kdp)|(train st.+moving)|(\|lc)|(penalty))"</v>
      </c>
      <c r="AG231" s="1" t="str">
        <f t="shared" si="83"/>
        <v>Other</v>
      </c>
      <c r="AH231" s="81" t="str">
        <f t="shared" si="84"/>
        <v>"%USERPROFILE%\Documents\GitHub\eaglep3\Utilities\RefineRTDCRunTimes.py" --tripid 51-12 --locoid 4050 --swversion DE.1.0.9.0 --startMP 204:466 --initTime 2017-05-12T06:02:56 --startdatetime 2017-05-12T06:17:38 --delay 1 --endMP 204:3547 --enddatetime 2017-05-12T06:19:00 --enforcementcount 0 &gt;&gt;C:\Users\stu\Documents\GitHub\eaglep3-reporting\EC\2017-05-12-refined-times.txt</v>
      </c>
      <c r="AI231" s="99" t="str">
        <f t="shared" si="85"/>
        <v>echo {"issue":{"subject":"","project_id":79,"tracker_id":40,"status_id":1,"priority_id":2,"assigned_to_id":23,"start_date":"2017-05-12","description":"","custom_fields":[{"id":1,"name":"Subdivision","value":"Other"},{"id":4,"name":"Milepost","value":"0.3547"},{"id":17,"name":"Train ID","value":"51-12"},{"id":16,"name":"Locomotive ID","value":"4050"},{"id":130,"name":"Impact","value":""},{"id":150,"name":"Time of Event (Mountain Time)","value":"06:19:00"},{"id":151,"name":"Denver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86"/>
        <v>start /low /b %USERPROFILE%\Documents\GitHub\eaglep3\Utilities\DownloadLogsFromS3.py --loco 4050 --day 2017-05-12</v>
      </c>
      <c r="AN231" s="154" t="str">
        <f t="shared" si="87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12:19:00"},{"id":29,"name":"Sharepoint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760</v>
      </c>
      <c r="B232" s="7">
        <v>4018</v>
      </c>
      <c r="C232" s="21" t="s">
        <v>206</v>
      </c>
      <c r="D232" s="21" t="s">
        <v>352</v>
      </c>
      <c r="E232" s="13">
        <v>42867.7734837963</v>
      </c>
      <c r="F232" s="13">
        <v>42867.77484953704</v>
      </c>
      <c r="G232" s="7">
        <v>0</v>
      </c>
      <c r="H232" s="21" t="s">
        <v>926</v>
      </c>
      <c r="I232" s="13">
        <v>42867.781851851854</v>
      </c>
      <c r="J232" s="7">
        <v>0</v>
      </c>
      <c r="K232" s="92" t="str">
        <f t="shared" si="72"/>
        <v>4017/4018</v>
      </c>
      <c r="L232" s="21" t="str">
        <f>VLOOKUP(A232,'Trips&amp;Operators'!$C$1:$G$99999,5,FALSE)</f>
        <v>CLARK KATHLEEN</v>
      </c>
      <c r="M232" s="6">
        <f t="shared" si="73"/>
        <v>7.0023148145992309E-3</v>
      </c>
      <c r="N232" s="7">
        <f t="shared" si="71"/>
        <v>10.083333333022892</v>
      </c>
      <c r="O232" s="7"/>
      <c r="P232" s="7"/>
      <c r="Q232" s="22"/>
      <c r="R232" s="190"/>
      <c r="S232" s="196">
        <f t="shared" si="88"/>
        <v>0</v>
      </c>
      <c r="T232" s="190" t="e">
        <f t="shared" si="74"/>
        <v>#VALUE!</v>
      </c>
      <c r="U232" s="190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1" t="str">
        <f t="shared" si="75"/>
        <v>https://d0f6bd738d7f1b3e5a7ca70fe4ff75f0.us-east-1.aws.found.io/app/kibana#/discover/Steve-Slow-Train-Analysis-(2080s-and-2083s)?_g=(refreshInterval:(display:Off,pause:!f,section:0,value:0),time:(from:'2017-05-12T17:33:49-0600',mode:absolute,to:'2017-05-12T19:45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2" s="192" t="str">
        <f t="shared" si="76"/>
        <v>Y</v>
      </c>
      <c r="X232" s="192" t="e">
        <f t="shared" si="70"/>
        <v>#VALUE!</v>
      </c>
      <c r="Y232" s="192">
        <f t="shared" si="77"/>
        <v>4.4600000000000001E-2</v>
      </c>
      <c r="Z232" s="192">
        <f t="shared" si="78"/>
        <v>2.5162</v>
      </c>
      <c r="AA232" s="192">
        <f t="shared" si="79"/>
        <v>2.4716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 t="shared" si="80"/>
        <v>52-12</v>
      </c>
      <c r="AE232" s="80" t="str">
        <f t="shared" si="81"/>
        <v>aws s3 cp s3://rtdc.mdm.uploadarchive.raw/RTDC4018/ "%USERPROFILE%\AppData\Local\Temp\OnboardLogs"\RTDC4018\2017-05-12 --exclude "*" --recursive --include "*20170512*" &amp; "%USERPROFILE%\Documents\GitHub\mrs-test-scripts\Headless Mode &amp; Sideloading\WalkAndUnGZ.bat" "%USERPROFILE%\AppData\Local\Temp\OnboardLogs"\RTDC4018\2017-05-12 &amp; aws s3 cp s3://rtdc.mdm.uploadarchive.raw/RTDC4018/ "%USERPROFILE%\AppData\Local\Temp\OnboardLogs"\RTDC4018\2017-05-13 --exclude "*" --recursive --include "*20170513*" &amp; "%USERPROFILE%\Documents\GitHub\mrs-test-scripts\Headless Mode &amp; Sideloading\WalkAndUnGZ.bat" "%USERPROFILE%\AppData\Local\Temp\OnboardLogs"\RTDC4018\2017-05-13</v>
      </c>
      <c r="AF232" s="77" t="str">
        <f t="shared" si="82"/>
        <v>"C:\Program Files (x86)\AstroGrep\AstroGrep.exe" /e /r /s /spath="%USERPROFILE%\AppData\Local\Temp\OnboardLogs" /stypes="app*4018*20170513*" /stext=" 00:.+((SYSTEM_STATE.+slice.+state.+changed )|(ment ac)|(multiple cpu faults)|(system.+state.+changed )|(\[timeout)|(PRM\|1\|D)|(kpr)|(kdp)|(train st.+moving)|(\|lc)|(penalty))"</v>
      </c>
      <c r="AG232" s="1" t="str">
        <f t="shared" si="83"/>
        <v>Other</v>
      </c>
      <c r="AH232" s="81" t="str">
        <f t="shared" si="84"/>
        <v>"%USERPROFILE%\Documents\GitHub\eaglep3\Utilities\RefineRTDCRunTimes.py" --tripid 52-12 --locoid 4018 --swversion DE.1.0.9.0 --startMP 204:446 --initTime 2017-05-12T18:33:49 --startdatetime 2017-05-12T18:35:47 --delay 0 --endMP 300:25162 --enddatetime 2017-05-12T18:45:52 --enforcementcount 0 &gt;&gt;C:\Users\stu\Documents\GitHub\eaglep3-reporting\EC\2017-05-12-refined-times.txt</v>
      </c>
      <c r="AI232" s="99" t="str">
        <f t="shared" si="85"/>
        <v>echo {"issue":{"subject":"","project_id":79,"tracker_id":40,"status_id":1,"priority_id":2,"assigned_to_id":23,"start_date":"2017-05-12","description":"","custom_fields":[{"id":1,"name":"Subdivision","value":"Other"},{"id":4,"name":"Milepost","value":"2.5162"},{"id":17,"name":"Train ID","value":"52-12"},{"id":16,"name":"Locomotive ID","value":"4018"},{"id":130,"name":"Impact","value":""},{"id":150,"name":"Time of Event (Mountain Time)","value":"18:45:52"},{"id":151,"name":"Denver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86"/>
        <v>start /low /b %USERPROFILE%\Documents\GitHub\eaglep3\Utilities\DownloadLogsFromS3.py --loco 4018 --day 2017-05-12</v>
      </c>
      <c r="AN232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00:45:52"},{"id":29,"name":"Sharepoint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683</v>
      </c>
      <c r="B233" s="7">
        <v>4018</v>
      </c>
      <c r="C233" s="21" t="s">
        <v>206</v>
      </c>
      <c r="D233" s="21" t="s">
        <v>927</v>
      </c>
      <c r="E233" s="13">
        <v>42867.460879629631</v>
      </c>
      <c r="F233" s="13">
        <v>42867.467164351852</v>
      </c>
      <c r="G233" s="7">
        <v>2</v>
      </c>
      <c r="H233" s="21" t="s">
        <v>928</v>
      </c>
      <c r="I233" s="13">
        <v>42867.472303240742</v>
      </c>
      <c r="J233" s="7">
        <v>0</v>
      </c>
      <c r="K233" s="92" t="str">
        <f t="shared" si="72"/>
        <v>4017/4018</v>
      </c>
      <c r="L233" s="21" t="str">
        <f>VLOOKUP(A233,'Trips&amp;Operators'!$C$1:$G$99999,5,FALSE)</f>
        <v>YANAI IAN</v>
      </c>
      <c r="M233" s="6">
        <f t="shared" si="73"/>
        <v>5.1388888896326534E-3</v>
      </c>
      <c r="N233" s="7">
        <f t="shared" si="71"/>
        <v>7.400000001071021</v>
      </c>
      <c r="O233" s="7"/>
      <c r="P233" s="7"/>
      <c r="Q233" s="22"/>
      <c r="R233" s="190"/>
      <c r="S233" s="196">
        <f t="shared" si="88"/>
        <v>0</v>
      </c>
      <c r="T233" s="190" t="e">
        <f t="shared" si="74"/>
        <v>#VALUE!</v>
      </c>
      <c r="U233" s="190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1" t="str">
        <f t="shared" si="75"/>
        <v>https://d0f6bd738d7f1b3e5a7ca70fe4ff75f0.us-east-1.aws.found.io/app/kibana#/discover/Steve-Slow-Train-Analysis-(2080s-and-2083s)?_g=(refreshInterval:(display:Off,pause:!f,section:0,value:0),time:(from:'2017-05-12T10:03:40-0600',mode:absolute,to:'2017-05-12T12:20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3" s="192" t="str">
        <f t="shared" si="76"/>
        <v>Y</v>
      </c>
      <c r="X233" s="192" t="e">
        <f t="shared" si="70"/>
        <v>#VALUE!</v>
      </c>
      <c r="Y233" s="192">
        <f t="shared" si="77"/>
        <v>3.9699999999999999E-2</v>
      </c>
      <c r="Z233" s="192">
        <f t="shared" si="78"/>
        <v>2.4074</v>
      </c>
      <c r="AA233" s="192">
        <f t="shared" si="79"/>
        <v>2.3677000000000001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 t="shared" si="80"/>
        <v>53-12</v>
      </c>
      <c r="AE233" s="80" t="str">
        <f t="shared" si="81"/>
        <v>aws s3 cp s3://rtdc.mdm.uploadarchive.raw/RTDC4018/ "%USERPROFILE%\AppData\Local\Temp\OnboardLogs"\RTDC4018\2017-05-12 --exclude "*" --recursive --include "*20170512*" &amp; "%USERPROFILE%\Documents\GitHub\mrs-test-scripts\Headless Mode &amp; Sideloading\WalkAndUnGZ.bat" "%USERPROFILE%\AppData\Local\Temp\OnboardLogs"\RTDC4018\2017-05-12 &amp; aws s3 cp s3://rtdc.mdm.uploadarchive.raw/RTDC4018/ "%USERPROFILE%\AppData\Local\Temp\OnboardLogs"\RTDC4018\2017-05-13 --exclude "*" --recursive --include "*20170513*" &amp; "%USERPROFILE%\Documents\GitHub\mrs-test-scripts\Headless Mode &amp; Sideloading\WalkAndUnGZ.bat" "%USERPROFILE%\AppData\Local\Temp\OnboardLogs"\RTDC4018\2017-05-13</v>
      </c>
      <c r="AF233" s="77" t="str">
        <f t="shared" si="82"/>
        <v>"C:\Program Files (x86)\AstroGrep\AstroGrep.exe" /e /r /s /spath="%USERPROFILE%\AppData\Local\Temp\OnboardLogs" /stypes="app*4018*20170512*" /stext=" 17:.+((SYSTEM_STATE.+slice.+state.+changed )|(ment ac)|(multiple cpu faults)|(system.+state.+changed )|(\[timeout)|(PRM\|1\|D)|(kpr)|(kdp)|(train st.+moving)|(\|lc)|(penalty))"</v>
      </c>
      <c r="AG233" s="1" t="str">
        <f t="shared" si="83"/>
        <v>Other</v>
      </c>
      <c r="AH233" s="81" t="str">
        <f t="shared" si="84"/>
        <v>"%USERPROFILE%\Documents\GitHub\eaglep3\Utilities\RefineRTDCRunTimes.py" --tripid 53-12 --locoid 4018 --swversion DE.1.0.9.0 --startMP 204:397 --initTime 2017-05-12T11:03:40 --startdatetime 2017-05-12T11:12:43 --delay 2 --endMP 300:24074 --enddatetime 2017-05-12T11:20:07 --enforcementcount 0 &gt;&gt;C:\Users\stu\Documents\GitHub\eaglep3-reporting\EC\2017-05-12-refined-times.txt</v>
      </c>
      <c r="AI233" s="99" t="str">
        <f t="shared" si="85"/>
        <v>echo {"issue":{"subject":"","project_id":79,"tracker_id":40,"status_id":1,"priority_id":2,"assigned_to_id":23,"start_date":"2017-05-12","description":"","custom_fields":[{"id":1,"name":"Subdivision","value":"Other"},{"id":4,"name":"Milepost","value":"2.4074"},{"id":17,"name":"Train ID","value":"53-12"},{"id":16,"name":"Locomotive ID","value":"4018"},{"id":130,"name":"Impact","value":""},{"id":150,"name":"Time of Event (Mountain Time)","value":"11:20:07"},{"id":151,"name":"Denver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86"/>
        <v>start /low /b %USERPROFILE%\Documents\GitHub\eaglep3\Utilities\DownloadLogsFromS3.py --loco 4018 --day 2017-05-12</v>
      </c>
      <c r="AN233" s="154" t="str">
        <f t="shared" si="87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17:20:07"},{"id":29,"name":"Sharepoint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2" t="s">
        <v>592</v>
      </c>
      <c r="B234" s="7">
        <v>4005</v>
      </c>
      <c r="C234" s="21" t="s">
        <v>206</v>
      </c>
      <c r="D234" s="21" t="s">
        <v>929</v>
      </c>
      <c r="E234" s="13">
        <v>42867.866608796299</v>
      </c>
      <c r="F234" s="13">
        <v>42867.868680555555</v>
      </c>
      <c r="G234" s="7">
        <v>2</v>
      </c>
      <c r="H234" s="21" t="s">
        <v>930</v>
      </c>
      <c r="I234" s="13">
        <v>42867.877824074072</v>
      </c>
      <c r="J234" s="7">
        <v>0</v>
      </c>
      <c r="K234" s="92" t="str">
        <f t="shared" si="72"/>
        <v>4005/4006</v>
      </c>
      <c r="L234" s="21" t="str">
        <f>VLOOKUP(A234,'Trips&amp;Operators'!$C$1:$G$99999,5,FALSE)</f>
        <v>WILLIAMS DONTE</v>
      </c>
      <c r="M234" s="6">
        <f t="shared" si="73"/>
        <v>9.1435185167938471E-3</v>
      </c>
      <c r="N234" s="7"/>
      <c r="O234" s="7"/>
      <c r="P234" s="7">
        <f t="shared" si="71"/>
        <v>13.16666666418314</v>
      </c>
      <c r="Q234" s="22"/>
      <c r="R234" s="190" t="s">
        <v>557</v>
      </c>
      <c r="S234" s="196">
        <f t="shared" si="88"/>
        <v>0</v>
      </c>
      <c r="T234" s="190" t="e">
        <f t="shared" si="74"/>
        <v>#VALUE!</v>
      </c>
      <c r="U234" s="190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1" t="str">
        <f t="shared" si="75"/>
        <v>https://d0f6bd738d7f1b3e5a7ca70fe4ff75f0.us-east-1.aws.found.io/app/kibana#/discover/Steve-Slow-Train-Analysis-(2080s-and-2083s)?_g=(refreshInterval:(display:Off,pause:!f,section:0,value:0),time:(from:'2017-05-12T19:47:55-0600',mode:absolute,to:'2017-05-12T22:04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34" s="192" t="str">
        <f t="shared" si="76"/>
        <v>Y</v>
      </c>
      <c r="X234" s="192" t="e">
        <f t="shared" si="70"/>
        <v>#VALUE!</v>
      </c>
      <c r="Y234" s="192">
        <f t="shared" si="77"/>
        <v>2.2774999999999999</v>
      </c>
      <c r="Z234" s="192">
        <f t="shared" si="78"/>
        <v>9.4999999999999998E-3</v>
      </c>
      <c r="AA234" s="192">
        <f t="shared" si="79"/>
        <v>2.2679999999999998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 t="shared" si="80"/>
        <v>54-12</v>
      </c>
      <c r="AE234" s="80" t="str">
        <f t="shared" si="81"/>
        <v>aws s3 cp s3://rtdc.mdm.uploadarchive.raw/RTDC4005/ "%USERPROFILE%\AppData\Local\Temp\OnboardLogs"\RTDC4005\2017-05-12 --exclude "*" --recursive --include "*20170512*" &amp; "%USERPROFILE%\Documents\GitHub\mrs-test-scripts\Headless Mode &amp; Sideloading\WalkAndUnGZ.bat" "%USERPROFILE%\AppData\Local\Temp\OnboardLogs"\RTDC4005\2017-05-12 &amp; aws s3 cp s3://rtdc.mdm.uploadarchive.raw/RTDC4005/ "%USERPROFILE%\AppData\Local\Temp\OnboardLogs"\RTDC4005\2017-05-13 --exclude "*" --recursive --include "*20170513*" &amp; "%USERPROFILE%\Documents\GitHub\mrs-test-scripts\Headless Mode &amp; Sideloading\WalkAndUnGZ.bat" "%USERPROFILE%\AppData\Local\Temp\OnboardLogs"\RTDC4005\2017-05-13</v>
      </c>
      <c r="AF234" s="77" t="str">
        <f t="shared" si="82"/>
        <v>"C:\Program Files (x86)\AstroGrep\AstroGrep.exe" /e /r /s /spath="%USERPROFILE%\AppData\Local\Temp\OnboardLogs" /stypes="app*4005*20170513*" /stext=" 03:.+((SYSTEM_STATE.+slice.+state.+changed )|(ment ac)|(multiple cpu faults)|(system.+state.+changed )|(\[timeout)|(PRM\|1\|D)|(kpr)|(kdp)|(train st.+moving)|(\|lc)|(penalty))"</v>
      </c>
      <c r="AG234" s="1" t="str">
        <f t="shared" si="83"/>
        <v>Other</v>
      </c>
      <c r="AH234" s="81" t="str">
        <f t="shared" si="84"/>
        <v>"%USERPROFILE%\Documents\GitHub\eaglep3\Utilities\RefineRTDCRunTimes.py" --tripid 54-12 --locoid 4005 --swversion DE.1.0.9.0 --startMP 300:22775 --initTime 2017-05-12T20:47:55 --startdatetime 2017-05-12T20:50:54 --delay 2 --endMP 204:95 --enddatetime 2017-05-12T21:04:04 --enforcementcount 0 &gt;&gt;C:\Users\stu\Documents\GitHub\eaglep3-reporting\EC\2017-05-12-refined-times.txt</v>
      </c>
      <c r="AI234" s="99" t="str">
        <f t="shared" si="85"/>
        <v>echo {"issue":{"subject":"Selected wrong track","project_id":79,"tracker_id":40,"status_id":1,"priority_id":2,"assigned_to_id":23,"start_date":"2017-05-12","description":"","custom_fields":[{"id":1,"name":"Subdivision","value":"Other"},{"id":4,"name":"Milepost","value":"0.0095"},{"id":17,"name":"Train ID","value":"54-12"},{"id":16,"name":"Locomotive ID","value":"4005"},{"id":130,"name":"Impact","value":""},{"id":150,"name":"Time of Event (Mountain Time)","value":"21:04:04"},{"id":151,"name":"Denver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5" t="str">
        <f t="shared" si="86"/>
        <v>start /low /b %USERPROFILE%\Documents\GitHub\eaglep3\Utilities\DownloadLogsFromS3.py --loco 4005 --day 2017-05-12</v>
      </c>
      <c r="AN234" s="154" t="str">
        <f t="shared" si="87"/>
        <v>echo {"issue":{"subject":"Selected wrong track","project_id":30,"tracker_id":4,"status_id":1,"priority_id":1,"assigned_to_id":10,"start_date":"2017-05-13","description":"","custom_fields":[{"id":30,"name":"Category","value":"Issue"},{"id":3,"name":"Functional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03:04:04"},{"id":29,"name":"Sharepoint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2" t="s">
        <v>592</v>
      </c>
      <c r="B235" s="7">
        <v>4005</v>
      </c>
      <c r="C235" s="21" t="s">
        <v>206</v>
      </c>
      <c r="D235" s="21" t="s">
        <v>931</v>
      </c>
      <c r="E235" s="13">
        <v>42867.850034722222</v>
      </c>
      <c r="F235" s="13">
        <v>42867.868680555555</v>
      </c>
      <c r="G235" s="7">
        <v>1</v>
      </c>
      <c r="H235" s="21" t="s">
        <v>932</v>
      </c>
      <c r="I235" s="13">
        <v>42867.877824074072</v>
      </c>
      <c r="J235" s="7">
        <v>0</v>
      </c>
      <c r="K235" s="92" t="str">
        <f t="shared" si="72"/>
        <v>4005/4006</v>
      </c>
      <c r="L235" s="21" t="str">
        <f>VLOOKUP(A235,'Trips&amp;Operators'!$C$1:$G$99999,5,FALSE)</f>
        <v>WILLIAMS DONTE</v>
      </c>
      <c r="M235" s="6">
        <f t="shared" si="73"/>
        <v>9.1435185167938471E-3</v>
      </c>
      <c r="N235" s="7">
        <f t="shared" ref="N235:P264" si="89">24*60*SUM($M235:$M235)</f>
        <v>13.16666666418314</v>
      </c>
      <c r="O235" s="7"/>
      <c r="P235" s="7"/>
      <c r="Q235" s="22"/>
      <c r="R235" s="190"/>
      <c r="S235" s="196">
        <f t="shared" si="88"/>
        <v>0</v>
      </c>
      <c r="T235" s="190" t="e">
        <f t="shared" si="74"/>
        <v>#VALUE!</v>
      </c>
      <c r="U235" s="190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1" t="str">
        <f t="shared" si="75"/>
        <v>https://d0f6bd738d7f1b3e5a7ca70fe4ff75f0.us-east-1.aws.found.io/app/kibana#/discover/Steve-Slow-Train-Analysis-(2080s-and-2083s)?_g=(refreshInterval:(display:Off,pause:!f,section:0,value:0),time:(from:'2017-05-12T19:24:03-0600',mode:absolute,to:'2017-05-12T22:04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35" s="192" t="str">
        <f t="shared" si="76"/>
        <v>Y</v>
      </c>
      <c r="X235" s="192" t="e">
        <f t="shared" si="70"/>
        <v>#VALUE!</v>
      </c>
      <c r="Y235" s="192">
        <f t="shared" si="77"/>
        <v>2.4197000000000002</v>
      </c>
      <c r="Z235" s="192">
        <f t="shared" si="78"/>
        <v>2.3860000000000001</v>
      </c>
      <c r="AA235" s="192">
        <f t="shared" si="79"/>
        <v>3.3700000000000063E-2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 t="shared" si="80"/>
        <v>54-12</v>
      </c>
      <c r="AE235" s="80" t="str">
        <f t="shared" si="81"/>
        <v>aws s3 cp s3://rtdc.mdm.uploadarchive.raw/RTDC4005/ "%USERPROFILE%\AppData\Local\Temp\OnboardLogs"\RTDC4005\2017-05-12 --exclude "*" --recursive --include "*20170512*" &amp; "%USERPROFILE%\Documents\GitHub\mrs-test-scripts\Headless Mode &amp; Sideloading\WalkAndUnGZ.bat" "%USERPROFILE%\AppData\Local\Temp\OnboardLogs"\RTDC4005\2017-05-12 &amp; aws s3 cp s3://rtdc.mdm.uploadarchive.raw/RTDC4005/ "%USERPROFILE%\AppData\Local\Temp\OnboardLogs"\RTDC4005\2017-05-13 --exclude "*" --recursive --include "*20170513*" &amp; "%USERPROFILE%\Documents\GitHub\mrs-test-scripts\Headless Mode &amp; Sideloading\WalkAndUnGZ.bat" "%USERPROFILE%\AppData\Local\Temp\OnboardLogs"\RTDC4005\2017-05-13</v>
      </c>
      <c r="AF235" s="77" t="str">
        <f t="shared" si="82"/>
        <v>"C:\Program Files (x86)\AstroGrep\AstroGrep.exe" /e /r /s /spath="%USERPROFILE%\AppData\Local\Temp\OnboardLogs" /stypes="app*4005*20170513*" /stext=" 03:.+((SYSTEM_STATE.+slice.+state.+changed )|(ment ac)|(multiple cpu faults)|(system.+state.+changed )|(\[timeout)|(PRM\|1\|D)|(kpr)|(kdp)|(train st.+moving)|(\|lc)|(penalty))"</v>
      </c>
      <c r="AG235" s="1" t="str">
        <f t="shared" si="83"/>
        <v>Other</v>
      </c>
      <c r="AH235" s="81" t="str">
        <f t="shared" si="84"/>
        <v>"%USERPROFILE%\Documents\GitHub\eaglep3\Utilities\RefineRTDCRunTimes.py" --tripid 54-12 --locoid 4005 --swversion DE.1.0.9.0 --startMP 300:24197 --initTime 2017-05-12T20:24:03 --startdatetime 2017-05-12T20:50:54 --delay 1 --endMP 300:23860 --enddatetime 2017-05-12T21:04:04 --enforcementcount 0 &gt;&gt;C:\Users\stu\Documents\GitHub\eaglep3-reporting\EC\2017-05-12-refined-times.txt</v>
      </c>
      <c r="AI235" s="99" t="str">
        <f t="shared" si="85"/>
        <v>echo {"issue":{"subject":"","project_id":79,"tracker_id":40,"status_id":1,"priority_id":2,"assigned_to_id":23,"start_date":"2017-05-12","description":"","custom_fields":[{"id":1,"name":"Subdivision","value":"Other"},{"id":4,"name":"Milepost","value":"2.386"},{"id":17,"name":"Train ID","value":"54-12"},{"id":16,"name":"Locomotive ID","value":"4005"},{"id":130,"name":"Impact","value":""},{"id":150,"name":"Time of Event (Mountain Time)","value":"21:04:04"},{"id":151,"name":"Denver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5" t="str">
        <f t="shared" si="86"/>
        <v>start /low /b %USERPROFILE%\Documents\GitHub\eaglep3\Utilities\DownloadLogsFromS3.py --loco 4005 --day 2017-05-12</v>
      </c>
      <c r="AN235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03:04:04"},{"id":29,"name":"Sharepoint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592</v>
      </c>
      <c r="B236" s="7">
        <v>4005</v>
      </c>
      <c r="C236" s="21" t="s">
        <v>206</v>
      </c>
      <c r="D236" s="21" t="s">
        <v>933</v>
      </c>
      <c r="E236" s="13">
        <v>42867.936307870368</v>
      </c>
      <c r="F236" s="13">
        <v>42867.939247685186</v>
      </c>
      <c r="G236" s="7">
        <v>1</v>
      </c>
      <c r="H236" s="21" t="s">
        <v>934</v>
      </c>
      <c r="I236" s="13">
        <v>42867.951608796298</v>
      </c>
      <c r="J236" s="7">
        <v>0</v>
      </c>
      <c r="K236" s="92" t="str">
        <f t="shared" si="72"/>
        <v>4005/4006</v>
      </c>
      <c r="L236" s="21" t="str">
        <f>VLOOKUP(A236,'Trips&amp;Operators'!$C$1:$G$99999,5,FALSE)</f>
        <v>WILLIAMS DONTE</v>
      </c>
      <c r="M236" s="6">
        <f t="shared" si="73"/>
        <v>1.2361111112113576E-2</v>
      </c>
      <c r="N236" s="7">
        <f t="shared" si="89"/>
        <v>17.80000000144355</v>
      </c>
      <c r="O236" s="7"/>
      <c r="P236" s="7"/>
      <c r="Q236" s="22"/>
      <c r="R236" s="190"/>
      <c r="S236" s="196">
        <f t="shared" si="88"/>
        <v>0</v>
      </c>
      <c r="T236" s="190" t="e">
        <f t="shared" si="74"/>
        <v>#VALUE!</v>
      </c>
      <c r="U236" s="190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1" t="str">
        <f t="shared" si="75"/>
        <v>https://d0f6bd738d7f1b3e5a7ca70fe4ff75f0.us-east-1.aws.found.io/app/kibana#/discover/Steve-Slow-Train-Analysis-(2080s-and-2083s)?_g=(refreshInterval:(display:Off,pause:!f,section:0,value:0),time:(from:'2017-05-12T21:28:17-0600',mode:absolute,to:'2017-05-12T23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36" s="192" t="str">
        <f t="shared" si="76"/>
        <v>Y</v>
      </c>
      <c r="X236" s="192" t="e">
        <f t="shared" si="70"/>
        <v>#VALUE!</v>
      </c>
      <c r="Y236" s="192">
        <f t="shared" si="77"/>
        <v>3.8967000000000001</v>
      </c>
      <c r="Z236" s="192">
        <f t="shared" si="78"/>
        <v>4.0800000000000003E-2</v>
      </c>
      <c r="AA236" s="192">
        <f t="shared" si="79"/>
        <v>3.8559000000000001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 t="shared" si="80"/>
        <v>54-12</v>
      </c>
      <c r="AE236" s="80" t="str">
        <f t="shared" si="81"/>
        <v>aws s3 cp s3://rtdc.mdm.uploadarchive.raw/RTDC4005/ "%USERPROFILE%\AppData\Local\Temp\OnboardLogs"\RTDC4005\2017-05-12 --exclude "*" --recursive --include "*20170512*" &amp; "%USERPROFILE%\Documents\GitHub\mrs-test-scripts\Headless Mode &amp; Sideloading\WalkAndUnGZ.bat" "%USERPROFILE%\AppData\Local\Temp\OnboardLogs"\RTDC4005\2017-05-12 &amp; aws s3 cp s3://rtdc.mdm.uploadarchive.raw/RTDC4005/ "%USERPROFILE%\AppData\Local\Temp\OnboardLogs"\RTDC4005\2017-05-13 --exclude "*" --recursive --include "*20170513*" &amp; "%USERPROFILE%\Documents\GitHub\mrs-test-scripts\Headless Mode &amp; Sideloading\WalkAndUnGZ.bat" "%USERPROFILE%\AppData\Local\Temp\OnboardLogs"\RTDC4005\2017-05-13</v>
      </c>
      <c r="AF236" s="77" t="str">
        <f t="shared" si="82"/>
        <v>"C:\Program Files (x86)\AstroGrep\AstroGrep.exe" /e /r /s /spath="%USERPROFILE%\AppData\Local\Temp\OnboardLogs" /stypes="app*4005*20170513*" /stext=" 04:.+((SYSTEM_STATE.+slice.+state.+changed )|(ment ac)|(multiple cpu faults)|(system.+state.+changed )|(\[timeout)|(PRM\|1\|D)|(kpr)|(kdp)|(train st.+moving)|(\|lc)|(penalty))"</v>
      </c>
      <c r="AG236" s="1" t="str">
        <f t="shared" si="83"/>
        <v>Other</v>
      </c>
      <c r="AH236" s="81" t="str">
        <f t="shared" si="84"/>
        <v>"%USERPROFILE%\Documents\GitHub\eaglep3\Utilities\RefineRTDCRunTimes.py" --tripid 54-12 --locoid 4005 --swversion DE.1.0.9.0 --startMP 300:38967 --initTime 2017-05-12T22:28:17 --startdatetime 2017-05-12T22:32:31 --delay 1 --endMP 204:408 --enddatetime 2017-05-12T22:50:19 --enforcementcount 0 &gt;&gt;C:\Users\stu\Documents\GitHub\eaglep3-reporting\EC\2017-05-12-refined-times.txt</v>
      </c>
      <c r="AI236" s="99" t="str">
        <f t="shared" si="85"/>
        <v>echo {"issue":{"subject":"","project_id":79,"tracker_id":40,"status_id":1,"priority_id":2,"assigned_to_id":23,"start_date":"2017-05-12","description":"","custom_fields":[{"id":1,"name":"Subdivision","value":"Other"},{"id":4,"name":"Milepost","value":"0.0408"},{"id":17,"name":"Train ID","value":"54-12"},{"id":16,"name":"Locomotive ID","value":"4005"},{"id":130,"name":"Impact","value":""},{"id":150,"name":"Time of Event (Mountain Time)","value":"22:50:19"},{"id":151,"name":"Denver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86"/>
        <v>start /low /b %USERPROFILE%\Documents\GitHub\eaglep3\Utilities\DownloadLogsFromS3.py --loco 4005 --day 2017-05-12</v>
      </c>
      <c r="AN236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04:50:19"},{"id":29,"name":"Sharepoint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592</v>
      </c>
      <c r="B237" s="7">
        <v>4005</v>
      </c>
      <c r="C237" s="21" t="s">
        <v>206</v>
      </c>
      <c r="D237" s="21" t="s">
        <v>935</v>
      </c>
      <c r="E237" s="13">
        <v>42867.904236111113</v>
      </c>
      <c r="F237" s="13">
        <v>42867.939247685186</v>
      </c>
      <c r="G237" s="7">
        <v>1</v>
      </c>
      <c r="H237" s="21" t="s">
        <v>936</v>
      </c>
      <c r="I237" s="13">
        <v>42867.951608796298</v>
      </c>
      <c r="J237" s="7">
        <v>0</v>
      </c>
      <c r="K237" s="92" t="str">
        <f t="shared" si="72"/>
        <v>4005/4006</v>
      </c>
      <c r="L237" s="21" t="str">
        <f>VLOOKUP(A237,'Trips&amp;Operators'!$C$1:$G$99999,5,FALSE)</f>
        <v>WILLIAMS DONTE</v>
      </c>
      <c r="M237" s="6">
        <f t="shared" si="73"/>
        <v>1.2361111112113576E-2</v>
      </c>
      <c r="N237" s="7">
        <f t="shared" si="89"/>
        <v>17.80000000144355</v>
      </c>
      <c r="O237" s="7"/>
      <c r="P237" s="7"/>
      <c r="Q237" s="22"/>
      <c r="R237" s="190"/>
      <c r="S237" s="196">
        <f t="shared" si="88"/>
        <v>0</v>
      </c>
      <c r="T237" s="190" t="e">
        <f t="shared" si="74"/>
        <v>#VALUE!</v>
      </c>
      <c r="U237" s="190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1" t="str">
        <f t="shared" si="75"/>
        <v>https://d0f6bd738d7f1b3e5a7ca70fe4ff75f0.us-east-1.aws.found.io/app/kibana#/discover/Steve-Slow-Train-Analysis-(2080s-and-2083s)?_g=(refreshInterval:(display:Off,pause:!f,section:0,value:0),time:(from:'2017-05-12T20:42:06-0600',mode:absolute,to:'2017-05-12T23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37" s="192" t="str">
        <f t="shared" si="76"/>
        <v>Y</v>
      </c>
      <c r="X237" s="192" t="e">
        <f t="shared" si="70"/>
        <v>#VALUE!</v>
      </c>
      <c r="Y237" s="192">
        <f t="shared" si="77"/>
        <v>3.9245999999999999</v>
      </c>
      <c r="Z237" s="192">
        <f t="shared" si="78"/>
        <v>0.1079</v>
      </c>
      <c r="AA237" s="192">
        <f t="shared" si="79"/>
        <v>3.8167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 t="shared" si="80"/>
        <v>54-12</v>
      </c>
      <c r="AE237" s="80" t="str">
        <f t="shared" si="81"/>
        <v>aws s3 cp s3://rtdc.mdm.uploadarchive.raw/RTDC4005/ "%USERPROFILE%\AppData\Local\Temp\OnboardLogs"\RTDC4005\2017-05-12 --exclude "*" --recursive --include "*20170512*" &amp; "%USERPROFILE%\Documents\GitHub\mrs-test-scripts\Headless Mode &amp; Sideloading\WalkAndUnGZ.bat" "%USERPROFILE%\AppData\Local\Temp\OnboardLogs"\RTDC4005\2017-05-12 &amp; aws s3 cp s3://rtdc.mdm.uploadarchive.raw/RTDC4005/ "%USERPROFILE%\AppData\Local\Temp\OnboardLogs"\RTDC4005\2017-05-13 --exclude "*" --recursive --include "*20170513*" &amp; "%USERPROFILE%\Documents\GitHub\mrs-test-scripts\Headless Mode &amp; Sideloading\WalkAndUnGZ.bat" "%USERPROFILE%\AppData\Local\Temp\OnboardLogs"\RTDC4005\2017-05-13</v>
      </c>
      <c r="AF237" s="77" t="str">
        <f t="shared" si="82"/>
        <v>"C:\Program Files (x86)\AstroGrep\AstroGrep.exe" /e /r /s /spath="%USERPROFILE%\AppData\Local\Temp\OnboardLogs" /stypes="app*4005*20170513*" /stext=" 04:.+((SYSTEM_STATE.+slice.+state.+changed )|(ment ac)|(multiple cpu faults)|(system.+state.+changed )|(\[timeout)|(PRM\|1\|D)|(kpr)|(kdp)|(train st.+moving)|(\|lc)|(penalty))"</v>
      </c>
      <c r="AG237" s="1" t="str">
        <f t="shared" si="83"/>
        <v>Other</v>
      </c>
      <c r="AH237" s="81" t="str">
        <f t="shared" si="84"/>
        <v>"%USERPROFILE%\Documents\GitHub\eaglep3\Utilities\RefineRTDCRunTimes.py" --tripid 54-12 --locoid 4005 --swversion DE.1.0.9.0 --startMP 300:39246 --initTime 2017-05-12T21:42:06 --startdatetime 2017-05-12T22:32:31 --delay 1 --endMP 204:1079 --enddatetime 2017-05-12T22:50:19 --enforcementcount 0 &gt;&gt;C:\Users\stu\Documents\GitHub\eaglep3-reporting\EC\2017-05-12-refined-times.txt</v>
      </c>
      <c r="AI237" s="99" t="str">
        <f t="shared" si="85"/>
        <v>echo {"issue":{"subject":"","project_id":79,"tracker_id":40,"status_id":1,"priority_id":2,"assigned_to_id":23,"start_date":"2017-05-12","description":"","custom_fields":[{"id":1,"name":"Subdivision","value":"Other"},{"id":4,"name":"Milepost","value":"0.1079"},{"id":17,"name":"Train ID","value":"54-12"},{"id":16,"name":"Locomotive ID","value":"4005"},{"id":130,"name":"Impact","value":""},{"id":150,"name":"Time of Event (Mountain Time)","value":"22:50:19"},{"id":151,"name":"Denver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86"/>
        <v>start /low /b %USERPROFILE%\Documents\GitHub\eaglep3\Utilities\DownloadLogsFromS3.py --loco 4005 --day 2017-05-12</v>
      </c>
      <c r="AN237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04:50:19"},{"id":29,"name":"Sharepoint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776</v>
      </c>
      <c r="B238" s="7">
        <v>4006</v>
      </c>
      <c r="C238" s="21" t="s">
        <v>206</v>
      </c>
      <c r="D238" s="21" t="s">
        <v>937</v>
      </c>
      <c r="E238" s="13">
        <v>42867.925740740742</v>
      </c>
      <c r="F238" s="13">
        <v>42867.969305555554</v>
      </c>
      <c r="G238" s="7">
        <v>2</v>
      </c>
      <c r="H238" s="21" t="s">
        <v>938</v>
      </c>
      <c r="I238" s="13">
        <v>42867.974583333336</v>
      </c>
      <c r="J238" s="7">
        <v>0</v>
      </c>
      <c r="K238" s="92" t="str">
        <f t="shared" si="72"/>
        <v>4005/4006</v>
      </c>
      <c r="L238" s="21" t="str">
        <f>VLOOKUP(A238,'Trips&amp;Operators'!$C$1:$G$99999,5,FALSE)</f>
        <v>WILLIAMS DONTE</v>
      </c>
      <c r="M238" s="6">
        <f t="shared" si="73"/>
        <v>5.2777777818846516E-3</v>
      </c>
      <c r="N238" s="7">
        <f t="shared" si="89"/>
        <v>7.6000000059138983</v>
      </c>
      <c r="O238" s="7"/>
      <c r="P238" s="7"/>
      <c r="Q238" s="22"/>
      <c r="R238" s="190"/>
      <c r="S238" s="196">
        <f t="shared" si="88"/>
        <v>0</v>
      </c>
      <c r="T238" s="190" t="e">
        <f t="shared" si="74"/>
        <v>#VALUE!</v>
      </c>
      <c r="U238" s="190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1" t="str">
        <f t="shared" si="75"/>
        <v>https://d0f6bd738d7f1b3e5a7ca70fe4ff75f0.us-east-1.aws.found.io/app/kibana#/discover/Steve-Slow-Train-Analysis-(2080s-and-2083s)?_g=(refreshInterval:(display:Off,pause:!f,section:0,value:0),time:(from:'2017-05-12T21:13:04-0600',mode:absolute,to:'2017-05-13T00:23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8" s="192" t="str">
        <f t="shared" si="76"/>
        <v>Y</v>
      </c>
      <c r="X238" s="192" t="e">
        <f t="shared" si="70"/>
        <v>#VALUE!</v>
      </c>
      <c r="Y238" s="192">
        <f t="shared" si="77"/>
        <v>0.13850000000000001</v>
      </c>
      <c r="Z238" s="192">
        <f t="shared" si="78"/>
        <v>3.9287999999999998</v>
      </c>
      <c r="AA238" s="192">
        <f t="shared" si="79"/>
        <v>3.7902999999999998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 t="shared" si="80"/>
        <v>57-12</v>
      </c>
      <c r="AE238" s="80" t="str">
        <f t="shared" si="81"/>
        <v>aws s3 cp s3://rtdc.mdm.uploadarchive.raw/RTDC4006/ "%USERPROFILE%\AppData\Local\Temp\OnboardLogs"\RTDC4006\2017-05-12 --exclude "*" --recursive --include "*20170512*" &amp; "%USERPROFILE%\Documents\GitHub\mrs-test-scripts\Headless Mode &amp; Sideloading\WalkAndUnGZ.bat" "%USERPROFILE%\AppData\Local\Temp\OnboardLogs"\RTDC4006\2017-05-12 &amp; aws s3 cp s3://rtdc.mdm.uploadarchive.raw/RTDC4006/ "%USERPROFILE%\AppData\Local\Temp\OnboardLogs"\RTDC4006\2017-05-13 --exclude "*" --recursive --include "*20170513*" &amp; "%USERPROFILE%\Documents\GitHub\mrs-test-scripts\Headless Mode &amp; Sideloading\WalkAndUnGZ.bat" "%USERPROFILE%\AppData\Local\Temp\OnboardLogs"\RTDC4006\2017-05-13</v>
      </c>
      <c r="AF238" s="77" t="str">
        <f t="shared" si="82"/>
        <v>"C:\Program Files (x86)\AstroGrep\AstroGrep.exe" /e /r /s /spath="%USERPROFILE%\AppData\Local\Temp\OnboardLogs" /stypes="app*4006*20170513*" /stext=" 05:.+((SYSTEM_STATE.+slice.+state.+changed )|(ment ac)|(multiple cpu faults)|(system.+state.+changed )|(\[timeout)|(PRM\|1\|D)|(kpr)|(kdp)|(train st.+moving)|(\|lc)|(penalty))"</v>
      </c>
      <c r="AG238" s="1" t="str">
        <f t="shared" si="83"/>
        <v>Other</v>
      </c>
      <c r="AH238" s="81" t="str">
        <f t="shared" si="84"/>
        <v>"%USERPROFILE%\Documents\GitHub\eaglep3\Utilities\RefineRTDCRunTimes.py" --tripid 57-12 --locoid 4006 --swversion DE.1.0.9.0 --startMP 204:1385 --initTime 2017-05-12T22:13:04 --startdatetime 2017-05-12T23:15:48 --delay 2 --endMP 300:39288 --enddatetime 2017-05-12T23:23:24 --enforcementcount 0 &gt;&gt;C:\Users\stu\Documents\GitHub\eaglep3-reporting\EC\2017-05-12-refined-times.txt</v>
      </c>
      <c r="AI238" s="99" t="str">
        <f t="shared" si="85"/>
        <v>echo {"issue":{"subject":"","project_id":79,"tracker_id":40,"status_id":1,"priority_id":2,"assigned_to_id":23,"start_date":"2017-05-12","description":"","custom_fields":[{"id":1,"name":"Subdivision","value":"Other"},{"id":4,"name":"Milepost","value":"3.9288"},{"id":17,"name":"Train ID","value":"57-12"},{"id":16,"name":"Locomotive ID","value":"4006"},{"id":130,"name":"Impact","value":""},{"id":150,"name":"Time of Event (Mountain Time)","value":"23:23:24"},{"id":151,"name":"Denver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86"/>
        <v>start /low /b %USERPROFILE%\Documents\GitHub\eaglep3\Utilities\DownloadLogsFromS3.py --loco 4006 --day 2017-05-12</v>
      </c>
      <c r="AN238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05:23:24"},{"id":29,"name":"Sharepoint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2" t="s">
        <v>776</v>
      </c>
      <c r="B239" s="7">
        <v>4006</v>
      </c>
      <c r="C239" s="21" t="s">
        <v>206</v>
      </c>
      <c r="D239" s="21" t="s">
        <v>939</v>
      </c>
      <c r="E239" s="13">
        <v>42867.879664351851</v>
      </c>
      <c r="F239" s="13">
        <v>42867.893634259257</v>
      </c>
      <c r="G239" s="7">
        <v>1</v>
      </c>
      <c r="H239" s="21" t="s">
        <v>940</v>
      </c>
      <c r="I239" s="13">
        <v>42867.899942129632</v>
      </c>
      <c r="J239" s="7">
        <v>0</v>
      </c>
      <c r="K239" s="92" t="str">
        <f t="shared" si="72"/>
        <v>4005/4006</v>
      </c>
      <c r="L239" s="21" t="str">
        <f>VLOOKUP(A239,'Trips&amp;Operators'!$C$1:$G$99999,5,FALSE)</f>
        <v>WILLIAMS DONTE</v>
      </c>
      <c r="M239" s="6">
        <f t="shared" si="73"/>
        <v>6.3078703751671128E-3</v>
      </c>
      <c r="N239" s="7">
        <f t="shared" si="89"/>
        <v>9.0833333402406424</v>
      </c>
      <c r="O239" s="7"/>
      <c r="P239" s="7"/>
      <c r="Q239" s="22"/>
      <c r="R239" s="190"/>
      <c r="S239" s="196">
        <f t="shared" si="88"/>
        <v>0</v>
      </c>
      <c r="T239" s="190" t="e">
        <f t="shared" si="74"/>
        <v>#VALUE!</v>
      </c>
      <c r="U239" s="190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1" t="str">
        <f t="shared" si="75"/>
        <v>https://d0f6bd738d7f1b3e5a7ca70fe4ff75f0.us-east-1.aws.found.io/app/kibana#/discover/Steve-Slow-Train-Analysis-(2080s-and-2083s)?_g=(refreshInterval:(display:Off,pause:!f,section:0,value:0),time:(from:'2017-05-12T20:06:43-0600',mode:absolute,to:'2017-05-12T22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9" s="192" t="str">
        <f t="shared" si="76"/>
        <v>Y</v>
      </c>
      <c r="X239" s="192" t="e">
        <f t="shared" si="70"/>
        <v>#VALUE!</v>
      </c>
      <c r="Y239" s="192">
        <f t="shared" si="77"/>
        <v>3.8800000000000001E-2</v>
      </c>
      <c r="Z239" s="192">
        <f t="shared" si="78"/>
        <v>3.9573999999999998</v>
      </c>
      <c r="AA239" s="192">
        <f t="shared" si="79"/>
        <v>3.9185999999999996</v>
      </c>
      <c r="AB239" s="57" t="e">
        <f>VLOOKUP(A239,Enforcements!$C$7:$K$13,8,0)</f>
        <v>#N/A</v>
      </c>
      <c r="AC239" s="53" t="e">
        <f>VLOOKUP(A239,Enforcements!$C$7:$E$13,3,0)</f>
        <v>#N/A</v>
      </c>
      <c r="AD239" s="54" t="str">
        <f t="shared" si="80"/>
        <v>57-12</v>
      </c>
      <c r="AE239" s="80" t="str">
        <f t="shared" si="81"/>
        <v>aws s3 cp s3://rtdc.mdm.uploadarchive.raw/RTDC4006/ "%USERPROFILE%\AppData\Local\Temp\OnboardLogs"\RTDC4006\2017-05-12 --exclude "*" --recursive --include "*20170512*" &amp; "%USERPROFILE%\Documents\GitHub\mrs-test-scripts\Headless Mode &amp; Sideloading\WalkAndUnGZ.bat" "%USERPROFILE%\AppData\Local\Temp\OnboardLogs"\RTDC4006\2017-05-12 &amp; aws s3 cp s3://rtdc.mdm.uploadarchive.raw/RTDC4006/ "%USERPROFILE%\AppData\Local\Temp\OnboardLogs"\RTDC4006\2017-05-13 --exclude "*" --recursive --include "*20170513*" &amp; "%USERPROFILE%\Documents\GitHub\mrs-test-scripts\Headless Mode &amp; Sideloading\WalkAndUnGZ.bat" "%USERPROFILE%\AppData\Local\Temp\OnboardLogs"\RTDC4006\2017-05-13</v>
      </c>
      <c r="AF239" s="77" t="str">
        <f t="shared" si="82"/>
        <v>"C:\Program Files (x86)\AstroGrep\AstroGrep.exe" /e /r /s /spath="%USERPROFILE%\AppData\Local\Temp\OnboardLogs" /stypes="app*4006*20170513*" /stext=" 03:.+((SYSTEM_STATE.+slice.+state.+changed )|(ment ac)|(multiple cpu faults)|(system.+state.+changed )|(\[timeout)|(PRM\|1\|D)|(kpr)|(kdp)|(train st.+moving)|(\|lc)|(penalty))"</v>
      </c>
      <c r="AG239" s="1" t="str">
        <f t="shared" si="83"/>
        <v>Other</v>
      </c>
      <c r="AH239" s="81" t="str">
        <f t="shared" si="84"/>
        <v>"%USERPROFILE%\Documents\GitHub\eaglep3\Utilities\RefineRTDCRunTimes.py" --tripid 57-12 --locoid 4006 --swversion DE.1.0.9.0 --startMP 204:388 --initTime 2017-05-12T21:06:43 --startdatetime 2017-05-12T21:26:50 --delay 1 --endMP 300:39574 --enddatetime 2017-05-12T21:35:55 --enforcementcount 0 &gt;&gt;C:\Users\stu\Documents\GitHub\eaglep3-reporting\EC\2017-05-12-refined-times.txt</v>
      </c>
      <c r="AI239" s="99" t="str">
        <f t="shared" si="85"/>
        <v>echo {"issue":{"subject":"","project_id":79,"tracker_id":40,"status_id":1,"priority_id":2,"assigned_to_id":23,"start_date":"2017-05-12","description":"","custom_fields":[{"id":1,"name":"Subdivision","value":"Other"},{"id":4,"name":"Milepost","value":"3.9574"},{"id":17,"name":"Train ID","value":"57-12"},{"id":16,"name":"Locomotive ID","value":"4006"},{"id":130,"name":"Impact","value":""},{"id":150,"name":"Time of Event (Mountain Time)","value":"21:35:55"},{"id":151,"name":"Denver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5" t="str">
        <f t="shared" si="86"/>
        <v>start /low /b %USERPROFILE%\Documents\GitHub\eaglep3\Utilities\DownloadLogsFromS3.py --loco 4006 --day 2017-05-12</v>
      </c>
      <c r="AN239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03:35:55"},{"id":29,"name":"Sharepoint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2" t="s">
        <v>776</v>
      </c>
      <c r="B240" s="7">
        <v>4006</v>
      </c>
      <c r="C240" s="21" t="s">
        <v>206</v>
      </c>
      <c r="D240" s="21" t="s">
        <v>941</v>
      </c>
      <c r="E240" s="13">
        <v>42867.953090277777</v>
      </c>
      <c r="F240" s="13">
        <v>42867.980520833335</v>
      </c>
      <c r="G240" s="7">
        <v>1</v>
      </c>
      <c r="H240" s="21" t="s">
        <v>942</v>
      </c>
      <c r="I240" s="13">
        <v>42867.980891203704</v>
      </c>
      <c r="J240" s="7">
        <v>0</v>
      </c>
      <c r="K240" s="92" t="str">
        <f t="shared" si="72"/>
        <v>4005/4006</v>
      </c>
      <c r="L240" s="21" t="str">
        <f>VLOOKUP(A240,'Trips&amp;Operators'!$C$1:$G$99999,5,FALSE)</f>
        <v>WILLIAMS DONTE</v>
      </c>
      <c r="M240" s="6">
        <f t="shared" si="73"/>
        <v>3.7037036963738501E-4</v>
      </c>
      <c r="N240" s="7">
        <f t="shared" si="89"/>
        <v>0.53333333227783442</v>
      </c>
      <c r="O240" s="7"/>
      <c r="P240" s="7"/>
      <c r="Q240" s="22"/>
      <c r="R240" s="190"/>
      <c r="S240" s="196">
        <f t="shared" si="88"/>
        <v>0</v>
      </c>
      <c r="T240" s="190" t="e">
        <f t="shared" si="74"/>
        <v>#VALUE!</v>
      </c>
      <c r="U240" s="190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1" t="str">
        <f t="shared" si="75"/>
        <v>https://d0f6bd738d7f1b3e5a7ca70fe4ff75f0.us-east-1.aws.found.io/app/kibana#/discover/Steve-Slow-Train-Analysis-(2080s-and-2083s)?_g=(refreshInterval:(display:Off,pause:!f,section:0,value:0),time:(from:'2017-05-12T21:52:27-0600',mode:absolute,to:'2017-05-13T00:32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40" s="192" t="str">
        <f t="shared" si="76"/>
        <v>Y</v>
      </c>
      <c r="X240" s="192" t="e">
        <f t="shared" si="70"/>
        <v>#VALUE!</v>
      </c>
      <c r="Y240" s="192">
        <f t="shared" si="77"/>
        <v>6.7900000000000002E-2</v>
      </c>
      <c r="Z240" s="192">
        <f t="shared" si="78"/>
        <v>3.1061999999999999</v>
      </c>
      <c r="AA240" s="192">
        <f t="shared" si="79"/>
        <v>3.0383</v>
      </c>
      <c r="AB240" s="57" t="e">
        <f>VLOOKUP(A240,Enforcements!$C$7:$K$13,8,0)</f>
        <v>#N/A</v>
      </c>
      <c r="AC240" s="53" t="e">
        <f>VLOOKUP(A240,Enforcements!$C$7:$E$13,3,0)</f>
        <v>#N/A</v>
      </c>
      <c r="AD240" s="54" t="str">
        <f t="shared" si="80"/>
        <v>57-12</v>
      </c>
      <c r="AE240" s="80" t="str">
        <f t="shared" si="81"/>
        <v>aws s3 cp s3://rtdc.mdm.uploadarchive.raw/RTDC4006/ "%USERPROFILE%\AppData\Local\Temp\OnboardLogs"\RTDC4006\2017-05-12 --exclude "*" --recursive --include "*20170512*" &amp; "%USERPROFILE%\Documents\GitHub\mrs-test-scripts\Headless Mode &amp; Sideloading\WalkAndUnGZ.bat" "%USERPROFILE%\AppData\Local\Temp\OnboardLogs"\RTDC4006\2017-05-12 &amp; aws s3 cp s3://rtdc.mdm.uploadarchive.raw/RTDC4006/ "%USERPROFILE%\AppData\Local\Temp\OnboardLogs"\RTDC4006\2017-05-13 --exclude "*" --recursive --include "*20170513*" &amp; "%USERPROFILE%\Documents\GitHub\mrs-test-scripts\Headless Mode &amp; Sideloading\WalkAndUnGZ.bat" "%USERPROFILE%\AppData\Local\Temp\OnboardLogs"\RTDC4006\2017-05-13</v>
      </c>
      <c r="AF240" s="77" t="str">
        <f t="shared" si="82"/>
        <v>"C:\Program Files (x86)\AstroGrep\AstroGrep.exe" /e /r /s /spath="%USERPROFILE%\AppData\Local\Temp\OnboardLogs" /stypes="app*4006*20170513*" /stext=" 05:.+((SYSTEM_STATE.+slice.+state.+changed )|(ment ac)|(multiple cpu faults)|(system.+state.+changed )|(\[timeout)|(PRM\|1\|D)|(kpr)|(kdp)|(train st.+moving)|(\|lc)|(penalty))"</v>
      </c>
      <c r="AG240" s="1" t="str">
        <f t="shared" si="83"/>
        <v>Other</v>
      </c>
      <c r="AH240" s="81" t="str">
        <f t="shared" si="84"/>
        <v>"%USERPROFILE%\Documents\GitHub\eaglep3\Utilities\RefineRTDCRunTimes.py" --tripid 57-12 --locoid 4006 --swversion DE.1.0.9.0 --startMP 204:679 --initTime 2017-05-12T22:52:27 --startdatetime 2017-05-12T23:31:57 --delay 1 --endMP 300:31062 --enddatetime 2017-05-12T23:32:29 --enforcementcount 0 &gt;&gt;C:\Users\stu\Documents\GitHub\eaglep3-reporting\EC\2017-05-12-refined-times.txt</v>
      </c>
      <c r="AI240" s="99" t="str">
        <f t="shared" si="85"/>
        <v>echo {"issue":{"subject":"","project_id":79,"tracker_id":40,"status_id":1,"priority_id":2,"assigned_to_id":23,"start_date":"2017-05-12","description":"","custom_fields":[{"id":1,"name":"Subdivision","value":"Other"},{"id":4,"name":"Milepost","value":"3.1062"},{"id":17,"name":"Train ID","value":"57-12"},{"id":16,"name":"Locomotive ID","value":"4006"},{"id":130,"name":"Impact","value":""},{"id":150,"name":"Time of Event (Mountain Time)","value":"23:32:29"},{"id":151,"name":"Denver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5" t="str">
        <f t="shared" si="86"/>
        <v>start /low /b %USERPROFILE%\Documents\GitHub\eaglep3\Utilities\DownloadLogsFromS3.py --loco 4006 --day 2017-05-12</v>
      </c>
      <c r="AN240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05:32:29"},{"id":29,"name":"Sharepoint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2" t="s">
        <v>763</v>
      </c>
      <c r="B241" s="7">
        <v>4025</v>
      </c>
      <c r="C241" s="21" t="s">
        <v>206</v>
      </c>
      <c r="D241" s="21" t="s">
        <v>943</v>
      </c>
      <c r="E241" s="13">
        <v>42867.782893518517</v>
      </c>
      <c r="F241" s="13">
        <v>42867.784016203703</v>
      </c>
      <c r="G241" s="7">
        <v>0</v>
      </c>
      <c r="H241" s="21" t="s">
        <v>944</v>
      </c>
      <c r="I241" s="13">
        <v>42867.786064814813</v>
      </c>
      <c r="J241" s="7">
        <v>0</v>
      </c>
      <c r="K241" s="92" t="str">
        <f t="shared" si="72"/>
        <v>4025/4026</v>
      </c>
      <c r="L241" s="21" t="str">
        <f>VLOOKUP(A241,'Trips&amp;Operators'!$C$1:$G$99999,5,FALSE)</f>
        <v>DUNCAN SHEILA</v>
      </c>
      <c r="M241" s="6">
        <f t="shared" si="73"/>
        <v>2.0486111097852699E-3</v>
      </c>
      <c r="N241" s="7">
        <f t="shared" si="89"/>
        <v>2.9499999980907887</v>
      </c>
      <c r="O241" s="7"/>
      <c r="P241" s="7"/>
      <c r="Q241" s="22"/>
      <c r="R241" s="190"/>
      <c r="S241" s="196">
        <f t="shared" si="88"/>
        <v>0</v>
      </c>
      <c r="T241" s="190" t="e">
        <f t="shared" si="74"/>
        <v>#VALUE!</v>
      </c>
      <c r="U241" s="190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1" t="str">
        <f t="shared" si="75"/>
        <v>https://d0f6bd738d7f1b3e5a7ca70fe4ff75f0.us-east-1.aws.found.io/app/kibana#/discover/Steve-Slow-Train-Analysis-(2080s-and-2083s)?_g=(refreshInterval:(display:Off,pause:!f,section:0,value:0),time:(from:'2017-05-12T17:47:22-0600',mode:absolute,to:'2017-05-12T19:51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1" s="192" t="str">
        <f t="shared" si="76"/>
        <v>Y</v>
      </c>
      <c r="X241" s="192" t="e">
        <f t="shared" si="70"/>
        <v>#VALUE!</v>
      </c>
      <c r="Y241" s="192">
        <f t="shared" si="77"/>
        <v>0.50560000000000005</v>
      </c>
      <c r="Z241" s="192">
        <f t="shared" si="78"/>
        <v>7.0099999999999996E-2</v>
      </c>
      <c r="AA241" s="192">
        <f t="shared" si="79"/>
        <v>0.43550000000000005</v>
      </c>
      <c r="AB241" s="57" t="e">
        <f>VLOOKUP(A241,Enforcements!$C$7:$K$13,8,0)</f>
        <v>#N/A</v>
      </c>
      <c r="AC241" s="53" t="e">
        <f>VLOOKUP(A241,Enforcements!$C$7:$E$13,3,0)</f>
        <v>#N/A</v>
      </c>
      <c r="AD241" s="54" t="str">
        <f t="shared" si="80"/>
        <v>58-12</v>
      </c>
      <c r="AE241" s="80" t="str">
        <f t="shared" si="81"/>
        <v>aws s3 cp s3://rtdc.mdm.uploadarchive.raw/RTDC4025/ "%USERPROFILE%\AppData\Local\Temp\OnboardLogs"\RTDC4025\2017-05-12 --exclude "*" --recursive --include "*20170512*" &amp; "%USERPROFILE%\Documents\GitHub\mrs-test-scripts\Headless Mode &amp; Sideloading\WalkAndUnGZ.bat" "%USERPROFILE%\AppData\Local\Temp\OnboardLogs"\RTDC4025\2017-05-12 &amp; aws s3 cp s3://rtdc.mdm.uploadarchive.raw/RTDC4025/ "%USERPROFILE%\AppData\Local\Temp\OnboardLogs"\RTDC4025\2017-05-13 --exclude "*" --recursive --include "*20170513*" &amp; "%USERPROFILE%\Documents\GitHub\mrs-test-scripts\Headless Mode &amp; Sideloading\WalkAndUnGZ.bat" "%USERPROFILE%\AppData\Local\Temp\OnboardLogs"\RTDC4025\2017-05-13</v>
      </c>
      <c r="AF241" s="77" t="str">
        <f t="shared" si="82"/>
        <v>"C:\Program Files (x86)\AstroGrep\AstroGrep.exe" /e /r /s /spath="%USERPROFILE%\AppData\Local\Temp\OnboardLogs" /stypes="app*4025*20170513*" /stext=" 00:.+((SYSTEM_STATE.+slice.+state.+changed )|(ment ac)|(multiple cpu faults)|(system.+state.+changed )|(\[timeout)|(PRM\|1\|D)|(kpr)|(kdp)|(train st.+moving)|(\|lc)|(penalty))"</v>
      </c>
      <c r="AG241" s="1" t="str">
        <f t="shared" si="83"/>
        <v>Other</v>
      </c>
      <c r="AH241" s="81" t="str">
        <f t="shared" si="84"/>
        <v>"%USERPROFILE%\Documents\GitHub\eaglep3\Utilities\RefineRTDCRunTimes.py" --tripid 58-12 --locoid 4025 --swversion DE.1.0.9.0 --startMP 204:5056 --initTime 2017-05-12T18:47:22 --startdatetime 2017-05-12T18:48:59 --delay 0 --endMP 204:701 --enddatetime 2017-05-12T18:51:56 --enforcementcount 0 &gt;&gt;C:\Users\stu\Documents\GitHub\eaglep3-reporting\EC\2017-05-12-refined-times.txt</v>
      </c>
      <c r="AI241" s="99" t="str">
        <f t="shared" si="85"/>
        <v>echo {"issue":{"subject":"","project_id":79,"tracker_id":40,"status_id":1,"priority_id":2,"assigned_to_id":23,"start_date":"2017-05-12","description":"","custom_fields":[{"id":1,"name":"Subdivision","value":"Other"},{"id":4,"name":"Milepost","value":"0.0701"},{"id":17,"name":"Train ID","value":"58-12"},{"id":16,"name":"Locomotive ID","value":"4025"},{"id":130,"name":"Impact","value":""},{"id":150,"name":"Time of Event (Mountain Time)","value":"18:51:56"},{"id":151,"name":"Denver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5" t="str">
        <f t="shared" si="86"/>
        <v>start /low /b %USERPROFILE%\Documents\GitHub\eaglep3\Utilities\DownloadLogsFromS3.py --loco 4025 --day 2017-05-12</v>
      </c>
      <c r="AN241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00:51:56"},{"id":29,"name":"Sharepoint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2" t="s">
        <v>763</v>
      </c>
      <c r="B242" s="7">
        <v>4026</v>
      </c>
      <c r="C242" s="21" t="s">
        <v>206</v>
      </c>
      <c r="D242" s="21" t="s">
        <v>945</v>
      </c>
      <c r="E242" s="13">
        <v>42867.777673611112</v>
      </c>
      <c r="F242" s="13">
        <v>42867.784016203703</v>
      </c>
      <c r="G242" s="7">
        <v>1</v>
      </c>
      <c r="H242" s="21" t="s">
        <v>946</v>
      </c>
      <c r="I242" s="13">
        <v>42867.786064814813</v>
      </c>
      <c r="J242" s="7">
        <v>0</v>
      </c>
      <c r="K242" s="92" t="str">
        <f t="shared" si="72"/>
        <v>4025/4026</v>
      </c>
      <c r="L242" s="21" t="str">
        <f>VLOOKUP(A242,'Trips&amp;Operators'!$C$1:$G$99999,5,FALSE)</f>
        <v>DUNCAN SHEILA</v>
      </c>
      <c r="M242" s="6">
        <f t="shared" si="73"/>
        <v>2.0486111097852699E-3</v>
      </c>
      <c r="N242" s="7">
        <f t="shared" si="89"/>
        <v>2.9499999980907887</v>
      </c>
      <c r="O242" s="7"/>
      <c r="P242" s="7"/>
      <c r="Q242" s="22"/>
      <c r="R242" s="190"/>
      <c r="S242" s="196">
        <f t="shared" si="88"/>
        <v>0</v>
      </c>
      <c r="T242" s="190" t="e">
        <f t="shared" si="74"/>
        <v>#VALUE!</v>
      </c>
      <c r="U242" s="190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1" t="str">
        <f t="shared" si="75"/>
        <v>https://d0f6bd738d7f1b3e5a7ca70fe4ff75f0.us-east-1.aws.found.io/app/kibana#/discover/Steve-Slow-Train-Analysis-(2080s-and-2083s)?_g=(refreshInterval:(display:Off,pause:!f,section:0,value:0),time:(from:'2017-05-12T17:39:51-0600',mode:absolute,to:'2017-05-12T19:51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42" s="192" t="str">
        <f t="shared" si="76"/>
        <v>Y</v>
      </c>
      <c r="X242" s="192" t="e">
        <f t="shared" si="70"/>
        <v>#VALUE!</v>
      </c>
      <c r="Y242" s="192">
        <f t="shared" si="77"/>
        <v>0.1158</v>
      </c>
      <c r="Z242" s="192">
        <f t="shared" si="78"/>
        <v>0.53820000000000001</v>
      </c>
      <c r="AA242" s="192">
        <f t="shared" si="79"/>
        <v>0.4224</v>
      </c>
      <c r="AB242" s="57" t="e">
        <f>VLOOKUP(A242,Enforcements!$C$7:$K$13,8,0)</f>
        <v>#N/A</v>
      </c>
      <c r="AC242" s="53" t="e">
        <f>VLOOKUP(A242,Enforcements!$C$7:$E$13,3,0)</f>
        <v>#N/A</v>
      </c>
      <c r="AD242" s="54" t="str">
        <f t="shared" si="80"/>
        <v>58-12</v>
      </c>
      <c r="AE242" s="80" t="str">
        <f t="shared" si="81"/>
        <v>aws s3 cp s3://rtdc.mdm.uploadarchive.raw/RTDC4026/ "%USERPROFILE%\AppData\Local\Temp\OnboardLogs"\RTDC4026\2017-05-12 --exclude "*" --recursive --include "*20170512*" &amp; "%USERPROFILE%\Documents\GitHub\mrs-test-scripts\Headless Mode &amp; Sideloading\WalkAndUnGZ.bat" "%USERPROFILE%\AppData\Local\Temp\OnboardLogs"\RTDC4026\2017-05-12 &amp; aws s3 cp s3://rtdc.mdm.uploadarchive.raw/RTDC4026/ "%USERPROFILE%\AppData\Local\Temp\OnboardLogs"\RTDC4026\2017-05-13 --exclude "*" --recursive --include "*20170513*" &amp; "%USERPROFILE%\Documents\GitHub\mrs-test-scripts\Headless Mode &amp; Sideloading\WalkAndUnGZ.bat" "%USERPROFILE%\AppData\Local\Temp\OnboardLogs"\RTDC4026\2017-05-13</v>
      </c>
      <c r="AF242" s="77" t="str">
        <f t="shared" si="82"/>
        <v>"C:\Program Files (x86)\AstroGrep\AstroGrep.exe" /e /r /s /spath="%USERPROFILE%\AppData\Local\Temp\OnboardLogs" /stypes="app*4026*20170513*" /stext=" 00:.+((SYSTEM_STATE.+slice.+state.+changed )|(ment ac)|(multiple cpu faults)|(system.+state.+changed )|(\[timeout)|(PRM\|1\|D)|(kpr)|(kdp)|(train st.+moving)|(\|lc)|(penalty))"</v>
      </c>
      <c r="AG242" s="1" t="str">
        <f t="shared" si="83"/>
        <v>Other</v>
      </c>
      <c r="AH242" s="81" t="str">
        <f t="shared" si="84"/>
        <v>"%USERPROFILE%\Documents\GitHub\eaglep3\Utilities\RefineRTDCRunTimes.py" --tripid 58-12 --locoid 4026 --swversion DE.1.0.9.0 --startMP 204:1158 --initTime 2017-05-12T18:39:51 --startdatetime 2017-05-12T18:48:59 --delay 1 --endMP 204:5382 --enddatetime 2017-05-12T18:51:56 --enforcementcount 0 &gt;&gt;C:\Users\stu\Documents\GitHub\eaglep3-reporting\EC\2017-05-12-refined-times.txt</v>
      </c>
      <c r="AI242" s="99" t="str">
        <f t="shared" si="85"/>
        <v>echo {"issue":{"subject":"","project_id":79,"tracker_id":40,"status_id":1,"priority_id":2,"assigned_to_id":23,"start_date":"2017-05-12","description":"","custom_fields":[{"id":1,"name":"Subdivision","value":"Other"},{"id":4,"name":"Milepost","value":"0.5382"},{"id":17,"name":"Train ID","value":"58-12"},{"id":16,"name":"Locomotive ID","value":"4026"},{"id":130,"name":"Impact","value":""},{"id":150,"name":"Time of Event (Mountain Time)","value":"18:51:56"},{"id":151,"name":"Denver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5" t="str">
        <f t="shared" si="86"/>
        <v>start /low /b %USERPROFILE%\Documents\GitHub\eaglep3\Utilities\DownloadLogsFromS3.py --loco 4026 --day 2017-05-12</v>
      </c>
      <c r="AN242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00:51:56"},{"id":29,"name":"Sharepoint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2" t="s">
        <v>596</v>
      </c>
      <c r="B243" s="7">
        <v>4033</v>
      </c>
      <c r="C243" s="21" t="s">
        <v>206</v>
      </c>
      <c r="D243" s="21" t="s">
        <v>947</v>
      </c>
      <c r="E243" s="13">
        <v>42868.004745370374</v>
      </c>
      <c r="F243" s="13">
        <v>42868.005995370368</v>
      </c>
      <c r="G243" s="7">
        <v>1</v>
      </c>
      <c r="H243" s="21" t="s">
        <v>376</v>
      </c>
      <c r="I243" s="13">
        <v>42868.024178240739</v>
      </c>
      <c r="J243" s="7">
        <v>0</v>
      </c>
      <c r="K243" s="92" t="str">
        <f t="shared" si="72"/>
        <v>4033/4034</v>
      </c>
      <c r="L243" s="21" t="str">
        <f>VLOOKUP(A243,'Trips&amp;Operators'!$C$1:$G$99999,5,FALSE)</f>
        <v>FORTUNATO FRANK</v>
      </c>
      <c r="M243" s="6">
        <f t="shared" si="73"/>
        <v>1.8182870371674653E-2</v>
      </c>
      <c r="N243" s="7">
        <f t="shared" si="89"/>
        <v>26.183333335211501</v>
      </c>
      <c r="O243" s="7"/>
      <c r="P243" s="7"/>
      <c r="Q243" s="22"/>
      <c r="R243" s="190"/>
      <c r="S243" s="196">
        <f t="shared" si="88"/>
        <v>0</v>
      </c>
      <c r="T243" s="190" t="e">
        <f t="shared" si="74"/>
        <v>#VALUE!</v>
      </c>
      <c r="U243" s="190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1" t="str">
        <f t="shared" si="75"/>
        <v>https://d0f6bd738d7f1b3e5a7ca70fe4ff75f0.us-east-1.aws.found.io/app/kibana#/discover/Steve-Slow-Train-Analysis-(2080s-and-2083s)?_g=(refreshInterval:(display:Off,pause:!f,section:0,value:0),time:(from:'2017-05-12T23:06:50-0600',mode:absolute,to:'2017-05-13T01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43" s="192" t="str">
        <f t="shared" si="76"/>
        <v>N</v>
      </c>
      <c r="X243" s="192" t="e">
        <f t="shared" si="70"/>
        <v>#VALUE!</v>
      </c>
      <c r="Y243" s="192">
        <f t="shared" si="77"/>
        <v>10.8592</v>
      </c>
      <c r="Z243" s="192">
        <f t="shared" si="78"/>
        <v>1.47E-2</v>
      </c>
      <c r="AA243" s="192">
        <f t="shared" si="79"/>
        <v>10.8445</v>
      </c>
      <c r="AB243" s="57" t="e">
        <f>VLOOKUP(A243,Enforcements!$C$7:$K$13,8,0)</f>
        <v>#N/A</v>
      </c>
      <c r="AC243" s="53" t="e">
        <f>VLOOKUP(A243,Enforcements!$C$7:$E$13,3,0)</f>
        <v>#N/A</v>
      </c>
      <c r="AD243" s="54" t="str">
        <f t="shared" si="80"/>
        <v>62-12</v>
      </c>
      <c r="AE243" s="80" t="str">
        <f t="shared" si="81"/>
        <v>aws s3 cp s3://rtdc.mdm.uploadarchive.raw/RTDC4033/ "%USERPROFILE%\AppData\Local\Temp\OnboardLogs"\RTDC4033\2017-05-13 --exclude "*" --recursive --include "*20170513*" &amp; "%USERPROFILE%\Documents\GitHub\mrs-test-scripts\Headless Mode &amp; Sideloading\WalkAndUnGZ.bat" "%USERPROFILE%\AppData\Local\Temp\OnboardLogs"\RTDC4033\2017-05-13 &amp; aws s3 cp s3://rtdc.mdm.uploadarchive.raw/RTDC4033/ "%USERPROFILE%\AppData\Local\Temp\OnboardLogs"\RTDC4033\2017-05-14 --exclude "*" --recursive --include "*20170514*" &amp; "%USERPROFILE%\Documents\GitHub\mrs-test-scripts\Headless Mode &amp; Sideloading\WalkAndUnGZ.bat" "%USERPROFILE%\AppData\Local\Temp\OnboardLogs"\RTDC4033\2017-05-14</v>
      </c>
      <c r="AF243" s="77" t="str">
        <f t="shared" si="82"/>
        <v>"C:\Program Files (x86)\AstroGrep\AstroGrep.exe" /e /r /s /spath="%USERPROFILE%\AppData\Local\Temp\OnboardLogs" /stypes="app*4033*20170513*" /stext=" 06:.+((SYSTEM_STATE.+slice.+state.+changed )|(ment ac)|(multiple cpu faults)|(system.+state.+changed )|(\[timeout)|(PRM\|1\|D)|(kpr)|(kdp)|(train st.+moving)|(\|lc)|(penalty))"</v>
      </c>
      <c r="AG243" s="1" t="str">
        <f t="shared" si="83"/>
        <v>Other</v>
      </c>
      <c r="AH243" s="81" t="str">
        <f t="shared" si="84"/>
        <v>"%USERPROFILE%\Documents\GitHub\eaglep3\Utilities\RefineRTDCRunTimes.py" --tripid 62-12 --locoid 4033 --swversion DE.1.0.9.0 --startMP 204:108592 --initTime 2017-05-13T00:06:50 --startdatetime 2017-05-13T00:08:38 --delay 1 --endMP 204:147 --enddatetime 2017-05-13T00:34:49 --enforcementcount 0 &gt;&gt;C:\Users\stu\Documents\GitHub\eaglep3-reporting\EC\2017-05-12-refined-times.txt</v>
      </c>
      <c r="AI243" s="99" t="str">
        <f t="shared" si="85"/>
        <v>echo {"issue":{"subject":"","project_id":79,"tracker_id":40,"status_id":1,"priority_id":2,"assigned_to_id":23,"start_date":"2017-05-13","description":"","custom_fields":[{"id":1,"name":"Subdivision","value":"Other"},{"id":4,"name":"Milepost","value":"0.0147"},{"id":17,"name":"Train ID","value":"62-12"},{"id":16,"name":"Locomotive ID","value":"4033"},{"id":130,"name":"Impact","value":""},{"id":150,"name":"Time of Event (Mountain Time)","value":"00:34:49"},{"id":151,"name":"Denver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5" t="str">
        <f t="shared" si="86"/>
        <v>start /low /b %USERPROFILE%\Documents\GitHub\eaglep3\Utilities\DownloadLogsFromS3.py --loco 4033 --day 2017-05-13</v>
      </c>
      <c r="AN243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06:34:49"},{"id":29,"name":"Sharepoint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 s="32" t="s">
        <v>596</v>
      </c>
      <c r="B244" s="7">
        <v>4033</v>
      </c>
      <c r="C244" s="21" t="s">
        <v>206</v>
      </c>
      <c r="D244" s="21" t="s">
        <v>948</v>
      </c>
      <c r="E244" s="13">
        <v>42867.968124999999</v>
      </c>
      <c r="F244" s="13">
        <v>42868.005995370368</v>
      </c>
      <c r="G244" s="7">
        <v>1</v>
      </c>
      <c r="H244" s="21" t="s">
        <v>949</v>
      </c>
      <c r="I244" s="13">
        <v>42868.024178240739</v>
      </c>
      <c r="J244" s="7">
        <v>0</v>
      </c>
      <c r="K244" s="92" t="str">
        <f t="shared" si="72"/>
        <v>4033/4034</v>
      </c>
      <c r="L244" s="21" t="str">
        <f>VLOOKUP(A244,'Trips&amp;Operators'!$C$1:$G$99999,5,FALSE)</f>
        <v>FORTUNATO FRANK</v>
      </c>
      <c r="M244" s="6">
        <f t="shared" si="73"/>
        <v>1.8182870371674653E-2</v>
      </c>
      <c r="N244" s="7">
        <f t="shared" si="89"/>
        <v>26.183333335211501</v>
      </c>
      <c r="O244" s="7"/>
      <c r="P244" s="7"/>
      <c r="Q244" s="22"/>
      <c r="R244" s="190"/>
      <c r="S244" s="196">
        <f t="shared" si="88"/>
        <v>0</v>
      </c>
      <c r="T244" s="190" t="e">
        <f t="shared" si="74"/>
        <v>#VALUE!</v>
      </c>
      <c r="U244" s="190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1" t="str">
        <f t="shared" si="75"/>
        <v>https://d0f6bd738d7f1b3e5a7ca70fe4ff75f0.us-east-1.aws.found.io/app/kibana#/discover/Steve-Slow-Train-Analysis-(2080s-and-2083s)?_g=(refreshInterval:(display:Off,pause:!f,section:0,value:0),time:(from:'2017-05-12T22:14:06-0600',mode:absolute,to:'2017-05-13T01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44" s="192" t="str">
        <f t="shared" si="76"/>
        <v>N</v>
      </c>
      <c r="X244" s="192" t="e">
        <f t="shared" si="70"/>
        <v>#VALUE!</v>
      </c>
      <c r="Y244" s="192">
        <f t="shared" si="77"/>
        <v>23.290400000000002</v>
      </c>
      <c r="Z244" s="192">
        <f t="shared" si="78"/>
        <v>10.6067</v>
      </c>
      <c r="AA244" s="192">
        <f t="shared" si="79"/>
        <v>12.683700000000002</v>
      </c>
      <c r="AB244" s="57" t="e">
        <f>VLOOKUP(A244,Enforcements!$C$7:$K$13,8,0)</f>
        <v>#N/A</v>
      </c>
      <c r="AC244" s="53" t="e">
        <f>VLOOKUP(A244,Enforcements!$C$7:$E$13,3,0)</f>
        <v>#N/A</v>
      </c>
      <c r="AD244" s="54" t="str">
        <f t="shared" si="80"/>
        <v>62-12</v>
      </c>
      <c r="AE244" s="80" t="str">
        <f t="shared" si="81"/>
        <v>aws s3 cp s3://rtdc.mdm.uploadarchive.raw/RTDC4033/ "%USERPROFILE%\AppData\Local\Temp\OnboardLogs"\RTDC4033\2017-05-13 --exclude "*" --recursive --include "*20170513*" &amp; "%USERPROFILE%\Documents\GitHub\mrs-test-scripts\Headless Mode &amp; Sideloading\WalkAndUnGZ.bat" "%USERPROFILE%\AppData\Local\Temp\OnboardLogs"\RTDC4033\2017-05-13 &amp; aws s3 cp s3://rtdc.mdm.uploadarchive.raw/RTDC4033/ "%USERPROFILE%\AppData\Local\Temp\OnboardLogs"\RTDC4033\2017-05-14 --exclude "*" --recursive --include "*20170514*" &amp; "%USERPROFILE%\Documents\GitHub\mrs-test-scripts\Headless Mode &amp; Sideloading\WalkAndUnGZ.bat" "%USERPROFILE%\AppData\Local\Temp\OnboardLogs"\RTDC4033\2017-05-14</v>
      </c>
      <c r="AF244" s="77" t="str">
        <f t="shared" si="82"/>
        <v>"C:\Program Files (x86)\AstroGrep\AstroGrep.exe" /e /r /s /spath="%USERPROFILE%\AppData\Local\Temp\OnboardLogs" /stypes="app*4033*20170513*" /stext=" 06:.+((SYSTEM_STATE.+slice.+state.+changed )|(ment ac)|(multiple cpu faults)|(system.+state.+changed )|(\[timeout)|(PRM\|1\|D)|(kpr)|(kdp)|(train st.+moving)|(\|lc)|(penalty))"</v>
      </c>
      <c r="AG244" s="1" t="str">
        <f t="shared" si="83"/>
        <v>Other</v>
      </c>
      <c r="AH244" s="81" t="str">
        <f t="shared" si="84"/>
        <v>"%USERPROFILE%\Documents\GitHub\eaglep3\Utilities\RefineRTDCRunTimes.py" --tripid 62-12 --locoid 4033 --swversion DE.1.0.9.0 --startMP 204:232904 --initTime 2017-05-12T23:14:06 --startdatetime 2017-05-13T00:08:38 --delay 1 --endMP 204:106067 --enddatetime 2017-05-13T00:34:49 --enforcementcount 0 &gt;&gt;C:\Users\stu\Documents\GitHub\eaglep3-reporting\EC\2017-05-12-refined-times.txt</v>
      </c>
      <c r="AI244" s="99" t="str">
        <f t="shared" si="85"/>
        <v>echo {"issue":{"subject":"","project_id":79,"tracker_id":40,"status_id":1,"priority_id":2,"assigned_to_id":23,"start_date":"2017-05-13","description":"","custom_fields":[{"id":1,"name":"Subdivision","value":"Other"},{"id":4,"name":"Milepost","value":"10.6067"},{"id":17,"name":"Train ID","value":"62-12"},{"id":16,"name":"Locomotive ID","value":"4033"},{"id":130,"name":"Impact","value":""},{"id":150,"name":"Time of Event (Mountain Time)","value":"00:34:49"},{"id":151,"name":"Denver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5" t="str">
        <f t="shared" si="86"/>
        <v>start /low /b %USERPROFILE%\Documents\GitHub\eaglep3\Utilities\DownloadLogsFromS3.py --loco 4033 --day 2017-05-13</v>
      </c>
      <c r="AN244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06:34:49"},{"id":29,"name":"Sharepoint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5" spans="1:40" x14ac:dyDescent="0.25">
      <c r="A245" s="32" t="s">
        <v>596</v>
      </c>
      <c r="B245" s="7">
        <v>4033</v>
      </c>
      <c r="C245" s="21" t="s">
        <v>206</v>
      </c>
      <c r="D245" s="21" t="s">
        <v>833</v>
      </c>
      <c r="E245" s="13">
        <v>42867.918692129628</v>
      </c>
      <c r="F245" s="13">
        <v>42867.945520833331</v>
      </c>
      <c r="G245" s="7">
        <v>1</v>
      </c>
      <c r="H245" s="21" t="s">
        <v>950</v>
      </c>
      <c r="I245" s="13">
        <v>42867.954710648148</v>
      </c>
      <c r="J245" s="7">
        <v>0</v>
      </c>
      <c r="K245" s="92" t="str">
        <f t="shared" si="72"/>
        <v>4033/4034</v>
      </c>
      <c r="L245" s="21" t="str">
        <f>VLOOKUP(A245,'Trips&amp;Operators'!$C$1:$G$99999,5,FALSE)</f>
        <v>FORTUNATO FRANK</v>
      </c>
      <c r="M245" s="6">
        <f t="shared" si="73"/>
        <v>9.189814816636499E-3</v>
      </c>
      <c r="N245" s="7">
        <f t="shared" si="89"/>
        <v>13.233333335956559</v>
      </c>
      <c r="O245" s="7"/>
      <c r="P245" s="7"/>
      <c r="Q245" s="22"/>
      <c r="R245" s="190"/>
      <c r="S245" s="196">
        <f t="shared" si="88"/>
        <v>0</v>
      </c>
      <c r="T245" s="190" t="e">
        <f t="shared" si="74"/>
        <v>#VALUE!</v>
      </c>
      <c r="U245" s="190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1" t="str">
        <f t="shared" si="75"/>
        <v>https://d0f6bd738d7f1b3e5a7ca70fe4ff75f0.us-east-1.aws.found.io/app/kibana#/discover/Steve-Slow-Train-Analysis-(2080s-and-2083s)?_g=(refreshInterval:(display:Off,pause:!f,section:0,value:0),time:(from:'2017-05-12T21:02:55-0600',mode:absolute,to:'2017-05-12T23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45" s="192" t="str">
        <f t="shared" si="76"/>
        <v>N</v>
      </c>
      <c r="X245" s="192" t="e">
        <f t="shared" si="70"/>
        <v>#VALUE!</v>
      </c>
      <c r="Y245" s="192">
        <f t="shared" si="77"/>
        <v>23.297999999999998</v>
      </c>
      <c r="Z245" s="192">
        <f t="shared" si="78"/>
        <v>15.3934</v>
      </c>
      <c r="AA245" s="192">
        <f t="shared" si="79"/>
        <v>7.9045999999999985</v>
      </c>
      <c r="AB245" s="57" t="e">
        <f>VLOOKUP(A245,Enforcements!$C$7:$K$13,8,0)</f>
        <v>#N/A</v>
      </c>
      <c r="AC245" s="53" t="e">
        <f>VLOOKUP(A245,Enforcements!$C$7:$E$13,3,0)</f>
        <v>#N/A</v>
      </c>
      <c r="AD245" s="54" t="str">
        <f t="shared" si="80"/>
        <v>62-12</v>
      </c>
      <c r="AE245" s="80" t="str">
        <f t="shared" si="81"/>
        <v>aws s3 cp s3://rtdc.mdm.uploadarchive.raw/RTDC4033/ "%USERPROFILE%\AppData\Local\Temp\OnboardLogs"\RTDC4033\2017-05-12 --exclude "*" --recursive --include "*20170512*" &amp; "%USERPROFILE%\Documents\GitHub\mrs-test-scripts\Headless Mode &amp; Sideloading\WalkAndUnGZ.bat" "%USERPROFILE%\AppData\Local\Temp\OnboardLogs"\RTDC4033\2017-05-12 &amp; aws s3 cp s3://rtdc.mdm.uploadarchive.raw/RTDC4033/ "%USERPROFILE%\AppData\Local\Temp\OnboardLogs"\RTDC4033\2017-05-13 --exclude "*" --recursive --include "*20170513*" &amp; "%USERPROFILE%\Documents\GitHub\mrs-test-scripts\Headless Mode &amp; Sideloading\WalkAndUnGZ.bat" "%USERPROFILE%\AppData\Local\Temp\OnboardLogs"\RTDC4033\2017-05-13</v>
      </c>
      <c r="AF245" s="77" t="str">
        <f t="shared" si="82"/>
        <v>"C:\Program Files (x86)\AstroGrep\AstroGrep.exe" /e /r /s /spath="%USERPROFILE%\AppData\Local\Temp\OnboardLogs" /stypes="app*4033*20170513*" /stext=" 04:.+((SYSTEM_STATE.+slice.+state.+changed )|(ment ac)|(multiple cpu faults)|(system.+state.+changed )|(\[timeout)|(PRM\|1\|D)|(kpr)|(kdp)|(train st.+moving)|(\|lc)|(penalty))"</v>
      </c>
      <c r="AG245" s="1" t="str">
        <f t="shared" si="83"/>
        <v>Other</v>
      </c>
      <c r="AH245" s="81" t="str">
        <f t="shared" si="84"/>
        <v>"%USERPROFILE%\Documents\GitHub\eaglep3\Utilities\RefineRTDCRunTimes.py" --tripid 62-12 --locoid 4033 --swversion DE.1.0.9.0 --startMP 204:232980 --initTime 2017-05-12T22:02:55 --startdatetime 2017-05-12T22:41:33 --delay 1 --endMP 204:153934 --enddatetime 2017-05-12T22:54:47 --enforcementcount 0 &gt;&gt;C:\Users\stu\Documents\GitHub\eaglep3-reporting\EC\2017-05-12-refined-times.txt</v>
      </c>
      <c r="AI245" s="99" t="str">
        <f t="shared" si="85"/>
        <v>echo {"issue":{"subject":"","project_id":79,"tracker_id":40,"status_id":1,"priority_id":2,"assigned_to_id":23,"start_date":"2017-05-12","description":"","custom_fields":[{"id":1,"name":"Subdivision","value":"Other"},{"id":4,"name":"Milepost","value":"15.3934"},{"id":17,"name":"Train ID","value":"62-12"},{"id":16,"name":"Locomotive ID","value":"4033"},{"id":130,"name":"Impact","value":""},{"id":150,"name":"Time of Event (Mountain Time)","value":"22:54:47"},{"id":151,"name":"Denver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5" t="str">
        <f t="shared" si="86"/>
        <v>start /low /b %USERPROFILE%\Documents\GitHub\eaglep3\Utilities\DownloadLogsFromS3.py --loco 4033 --day 2017-05-12</v>
      </c>
      <c r="AN245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04:54:47"},{"id":29,"name":"Sharepoint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6" spans="1:40" x14ac:dyDescent="0.25">
      <c r="A246" s="32" t="s">
        <v>596</v>
      </c>
      <c r="B246" s="7">
        <v>4033</v>
      </c>
      <c r="C246" s="21" t="s">
        <v>206</v>
      </c>
      <c r="D246" s="21" t="s">
        <v>455</v>
      </c>
      <c r="E246" s="13">
        <v>42867.943645833337</v>
      </c>
      <c r="F246" s="13">
        <v>42867.980243055557</v>
      </c>
      <c r="G246" s="7">
        <v>0</v>
      </c>
      <c r="H246" s="21" t="s">
        <v>951</v>
      </c>
      <c r="I246" s="13">
        <v>42867.996064814812</v>
      </c>
      <c r="J246" s="7">
        <v>0</v>
      </c>
      <c r="K246" s="92" t="str">
        <f t="shared" si="72"/>
        <v>4033/4034</v>
      </c>
      <c r="L246" s="21" t="str">
        <f>VLOOKUP(A246,'Trips&amp;Operators'!$C$1:$G$99999,5,FALSE)</f>
        <v>FORTUNATO FRANK</v>
      </c>
      <c r="M246" s="6">
        <f t="shared" si="73"/>
        <v>1.5821759254322387E-2</v>
      </c>
      <c r="N246" s="7">
        <f t="shared" si="89"/>
        <v>22.783333326224238</v>
      </c>
      <c r="O246" s="7"/>
      <c r="P246" s="7"/>
      <c r="Q246" s="22"/>
      <c r="R246" s="190"/>
      <c r="S246" s="196">
        <f t="shared" si="88"/>
        <v>0</v>
      </c>
      <c r="T246" s="190" t="e">
        <f t="shared" si="74"/>
        <v>#VALUE!</v>
      </c>
      <c r="U246" s="190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1" t="str">
        <f t="shared" si="75"/>
        <v>https://d0f6bd738d7f1b3e5a7ca70fe4ff75f0.us-east-1.aws.found.io/app/kibana#/discover/Steve-Slow-Train-Analysis-(2080s-and-2083s)?_g=(refreshInterval:(display:Off,pause:!f,section:0,value:0),time:(from:'2017-05-12T21:38:51-0600',mode:absolute,to:'2017-05-13T00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46" s="192" t="str">
        <f t="shared" si="76"/>
        <v>N</v>
      </c>
      <c r="X246" s="192" t="e">
        <f t="shared" si="70"/>
        <v>#VALUE!</v>
      </c>
      <c r="Y246" s="192">
        <f t="shared" si="77"/>
        <v>23.2988</v>
      </c>
      <c r="Z246" s="192">
        <f t="shared" si="78"/>
        <v>15.3939</v>
      </c>
      <c r="AA246" s="192">
        <f t="shared" si="79"/>
        <v>7.9048999999999996</v>
      </c>
      <c r="AB246" s="57" t="e">
        <f>VLOOKUP(A246,Enforcements!$C$7:$K$13,8,0)</f>
        <v>#N/A</v>
      </c>
      <c r="AC246" s="53" t="e">
        <f>VLOOKUP(A246,Enforcements!$C$7:$E$13,3,0)</f>
        <v>#N/A</v>
      </c>
      <c r="AD246" s="54" t="str">
        <f t="shared" si="80"/>
        <v>62-12</v>
      </c>
      <c r="AE246" s="80" t="str">
        <f t="shared" si="81"/>
        <v>aws s3 cp s3://rtdc.mdm.uploadarchive.raw/RTDC4033/ "%USERPROFILE%\AppData\Local\Temp\OnboardLogs"\RTDC4033\2017-05-12 --exclude "*" --recursive --include "*20170512*" &amp; "%USERPROFILE%\Documents\GitHub\mrs-test-scripts\Headless Mode &amp; Sideloading\WalkAndUnGZ.bat" "%USERPROFILE%\AppData\Local\Temp\OnboardLogs"\RTDC4033\2017-05-12 &amp; aws s3 cp s3://rtdc.mdm.uploadarchive.raw/RTDC4033/ "%USERPROFILE%\AppData\Local\Temp\OnboardLogs"\RTDC4033\2017-05-13 --exclude "*" --recursive --include "*20170513*" &amp; "%USERPROFILE%\Documents\GitHub\mrs-test-scripts\Headless Mode &amp; Sideloading\WalkAndUnGZ.bat" "%USERPROFILE%\AppData\Local\Temp\OnboardLogs"\RTDC4033\2017-05-13</v>
      </c>
      <c r="AF246" s="77" t="str">
        <f t="shared" si="82"/>
        <v>"C:\Program Files (x86)\AstroGrep\AstroGrep.exe" /e /r /s /spath="%USERPROFILE%\AppData\Local\Temp\OnboardLogs" /stypes="app*4033*20170513*" /stext=" 05:.+((SYSTEM_STATE.+slice.+state.+changed )|(ment ac)|(multiple cpu faults)|(system.+state.+changed )|(\[timeout)|(PRM\|1\|D)|(kpr)|(kdp)|(train st.+moving)|(\|lc)|(penalty))"</v>
      </c>
      <c r="AG246" s="1" t="str">
        <f t="shared" si="83"/>
        <v>Other</v>
      </c>
      <c r="AH246" s="81" t="str">
        <f t="shared" si="84"/>
        <v>"%USERPROFILE%\Documents\GitHub\eaglep3\Utilities\RefineRTDCRunTimes.py" --tripid 62-12 --locoid 4033 --swversion DE.1.0.9.0 --startMP 204:232988 --initTime 2017-05-12T22:38:51 --startdatetime 2017-05-12T23:31:33 --delay 0 --endMP 204:153939 --enddatetime 2017-05-12T23:54:20 --enforcementcount 0 &gt;&gt;C:\Users\stu\Documents\GitHub\eaglep3-reporting\EC\2017-05-12-refined-times.txt</v>
      </c>
      <c r="AI246" s="99" t="str">
        <f t="shared" si="85"/>
        <v>echo {"issue":{"subject":"","project_id":79,"tracker_id":40,"status_id":1,"priority_id":2,"assigned_to_id":23,"start_date":"2017-05-12","description":"","custom_fields":[{"id":1,"name":"Subdivision","value":"Other"},{"id":4,"name":"Milepost","value":"15.3939"},{"id":17,"name":"Train ID","value":"62-12"},{"id":16,"name":"Locomotive ID","value":"4033"},{"id":130,"name":"Impact","value":""},{"id":150,"name":"Time of Event (Mountain Time)","value":"23:54:20"},{"id":151,"name":"Denver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5" t="str">
        <f t="shared" si="86"/>
        <v>start /low /b %USERPROFILE%\Documents\GitHub\eaglep3\Utilities\DownloadLogsFromS3.py --loco 4033 --day 2017-05-12</v>
      </c>
      <c r="AN246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05:54:20"},{"id":29,"name":"Sharepoint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7" spans="1:40" x14ac:dyDescent="0.25">
      <c r="A247" s="32" t="s">
        <v>597</v>
      </c>
      <c r="B247" s="7">
        <v>4033</v>
      </c>
      <c r="C247" s="21" t="s">
        <v>206</v>
      </c>
      <c r="D247" s="21" t="s">
        <v>837</v>
      </c>
      <c r="E247" s="13">
        <v>42868.11105324074</v>
      </c>
      <c r="F247" s="13">
        <v>42868.138206018521</v>
      </c>
      <c r="G247" s="7">
        <v>1</v>
      </c>
      <c r="H247" s="21" t="s">
        <v>952</v>
      </c>
      <c r="I247" s="13">
        <v>42868.139537037037</v>
      </c>
      <c r="J247" s="7">
        <v>0</v>
      </c>
      <c r="K247" s="92" t="str">
        <f t="shared" si="72"/>
        <v>4033/4034</v>
      </c>
      <c r="L247" s="21" t="str">
        <f>VLOOKUP(A247,'Trips&amp;Operators'!$C$1:$G$99999,5,FALSE)</f>
        <v>FORTUNATO FRANK</v>
      </c>
      <c r="M247" s="6">
        <f t="shared" si="73"/>
        <v>1.3310185167938471E-3</v>
      </c>
      <c r="N247" s="7">
        <f t="shared" si="89"/>
        <v>1.9166666641831398</v>
      </c>
      <c r="O247" s="7"/>
      <c r="P247" s="7"/>
      <c r="Q247" s="22"/>
      <c r="R247" s="190"/>
      <c r="S247" s="196">
        <f t="shared" si="88"/>
        <v>0</v>
      </c>
      <c r="T247" s="190" t="e">
        <f t="shared" si="74"/>
        <v>#VALUE!</v>
      </c>
      <c r="U247" s="190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91" t="str">
        <f t="shared" si="75"/>
        <v>https://d0f6bd738d7f1b3e5a7ca70fe4ff75f0.us-east-1.aws.found.io/app/kibana#/discover/Steve-Slow-Train-Analysis-(2080s-and-2083s)?_g=(refreshInterval:(display:Off,pause:!f,section:0,value:0),time:(from:'2017-05-13T01:39:55-0600',mode:absolute,to:'2017-05-13T04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47" s="192" t="str">
        <f t="shared" si="76"/>
        <v>N</v>
      </c>
      <c r="X247" s="192" t="e">
        <f t="shared" si="70"/>
        <v>#VALUE!</v>
      </c>
      <c r="Y247" s="192">
        <f t="shared" si="77"/>
        <v>23.297499999999999</v>
      </c>
      <c r="Z247" s="192">
        <f t="shared" si="78"/>
        <v>15.3971</v>
      </c>
      <c r="AA247" s="192">
        <f t="shared" si="79"/>
        <v>7.9003999999999994</v>
      </c>
      <c r="AB247" s="57" t="e">
        <f>VLOOKUP(A247,Enforcements!$C$7:$K$13,8,0)</f>
        <v>#N/A</v>
      </c>
      <c r="AC247" s="53" t="e">
        <f>VLOOKUP(A247,Enforcements!$C$7:$E$13,3,0)</f>
        <v>#N/A</v>
      </c>
      <c r="AD247" s="54" t="str">
        <f t="shared" si="80"/>
        <v>63-12</v>
      </c>
      <c r="AE247" s="80" t="str">
        <f t="shared" si="81"/>
        <v>aws s3 cp s3://rtdc.mdm.uploadarchive.raw/RTDC4033/ "%USERPROFILE%\AppData\Local\Temp\OnboardLogs"\RTDC4033\2017-05-13 --exclude "*" --recursive --include "*20170513*" &amp; "%USERPROFILE%\Documents\GitHub\mrs-test-scripts\Headless Mode &amp; Sideloading\WalkAndUnGZ.bat" "%USERPROFILE%\AppData\Local\Temp\OnboardLogs"\RTDC4033\2017-05-13 &amp; aws s3 cp s3://rtdc.mdm.uploadarchive.raw/RTDC4033/ "%USERPROFILE%\AppData\Local\Temp\OnboardLogs"\RTDC4033\2017-05-14 --exclude "*" --recursive --include "*20170514*" &amp; "%USERPROFILE%\Documents\GitHub\mrs-test-scripts\Headless Mode &amp; Sideloading\WalkAndUnGZ.bat" "%USERPROFILE%\AppData\Local\Temp\OnboardLogs"\RTDC4033\2017-05-14</v>
      </c>
      <c r="AF247" s="77" t="str">
        <f t="shared" si="82"/>
        <v>"C:\Program Files (x86)\AstroGrep\AstroGrep.exe" /e /r /s /spath="%USERPROFILE%\AppData\Local\Temp\OnboardLogs" /stypes="app*4033*20170513*" /stext=" 09:.+((SYSTEM_STATE.+slice.+state.+changed )|(ment ac)|(multiple cpu faults)|(system.+state.+changed )|(\[timeout)|(PRM\|1\|D)|(kpr)|(kdp)|(train st.+moving)|(\|lc)|(penalty))"</v>
      </c>
      <c r="AG247" s="1" t="str">
        <f t="shared" si="83"/>
        <v>Other</v>
      </c>
      <c r="AH247" s="81" t="str">
        <f t="shared" si="84"/>
        <v>"%USERPROFILE%\Documents\GitHub\eaglep3\Utilities\RefineRTDCRunTimes.py" --tripid 63-12 --locoid 4033 --swversion DE.1.0.9.0 --startMP 204:232975 --initTime 2017-05-13T02:39:55 --startdatetime 2017-05-13T03:19:01 --delay 1 --endMP 204:153971 --enddatetime 2017-05-13T03:20:56 --enforcementcount 0 &gt;&gt;C:\Users\stu\Documents\GitHub\eaglep3-reporting\EC\2017-05-12-refined-times.txt</v>
      </c>
      <c r="AI247" s="99" t="str">
        <f t="shared" si="85"/>
        <v>echo {"issue":{"subject":"","project_id":79,"tracker_id":40,"status_id":1,"priority_id":2,"assigned_to_id":23,"start_date":"2017-05-13","description":"","custom_fields":[{"id":1,"name":"Subdivision","value":"Other"},{"id":4,"name":"Milepost","value":"15.3971"},{"id":17,"name":"Train ID","value":"63-12"},{"id":16,"name":"Locomotive ID","value":"4033"},{"id":130,"name":"Impact","value":""},{"id":150,"name":"Time of Event (Mountain Time)","value":"03:20:56"},{"id":151,"name":"Denver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5" t="str">
        <f t="shared" si="86"/>
        <v>start /low /b %USERPROFILE%\Documents\GitHub\eaglep3\Utilities\DownloadLogsFromS3.py --loco 4033 --day 2017-05-13</v>
      </c>
      <c r="AN247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09:20:56"},{"id":29,"name":"Sharepoint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8" spans="1:40" x14ac:dyDescent="0.25">
      <c r="A248" s="32" t="s">
        <v>597</v>
      </c>
      <c r="B248" s="7">
        <v>4033</v>
      </c>
      <c r="C248" s="21" t="s">
        <v>206</v>
      </c>
      <c r="D248" s="21" t="s">
        <v>833</v>
      </c>
      <c r="E248" s="13">
        <v>42868.08935185185</v>
      </c>
      <c r="F248" s="13">
        <v>42868.112326388888</v>
      </c>
      <c r="G248" s="7">
        <v>1</v>
      </c>
      <c r="H248" s="21" t="s">
        <v>953</v>
      </c>
      <c r="I248" s="13">
        <v>42868.119756944441</v>
      </c>
      <c r="J248" s="7">
        <v>0</v>
      </c>
      <c r="K248" s="92" t="str">
        <f t="shared" si="72"/>
        <v>4033/4034</v>
      </c>
      <c r="L248" s="21" t="str">
        <f>VLOOKUP(A248,'Trips&amp;Operators'!$C$1:$G$99999,5,FALSE)</f>
        <v>FORTUNATO FRANK</v>
      </c>
      <c r="M248" s="6">
        <f t="shared" si="73"/>
        <v>7.4305555535829626E-3</v>
      </c>
      <c r="N248" s="7">
        <f t="shared" si="89"/>
        <v>10.699999997159466</v>
      </c>
      <c r="O248" s="7"/>
      <c r="P248" s="7"/>
      <c r="Q248" s="22"/>
      <c r="R248" s="190"/>
      <c r="S248" s="196">
        <f t="shared" si="88"/>
        <v>0</v>
      </c>
      <c r="T248" s="190" t="e">
        <f t="shared" si="74"/>
        <v>#VALUE!</v>
      </c>
      <c r="U248" s="190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91" t="str">
        <f t="shared" si="75"/>
        <v>https://d0f6bd738d7f1b3e5a7ca70fe4ff75f0.us-east-1.aws.found.io/app/kibana#/discover/Steve-Slow-Train-Analysis-(2080s-and-2083s)?_g=(refreshInterval:(display:Off,pause:!f,section:0,value:0),time:(from:'2017-05-13T01:08:40-0600',mode:absolute,to:'2017-05-13T03:52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48" s="192" t="str">
        <f t="shared" si="76"/>
        <v>N</v>
      </c>
      <c r="X248" s="192" t="e">
        <f t="shared" si="70"/>
        <v>#VALUE!</v>
      </c>
      <c r="Y248" s="192">
        <f t="shared" si="77"/>
        <v>23.297999999999998</v>
      </c>
      <c r="Z248" s="192">
        <f t="shared" si="78"/>
        <v>15.398999999999999</v>
      </c>
      <c r="AA248" s="192">
        <f t="shared" si="79"/>
        <v>7.8989999999999991</v>
      </c>
      <c r="AB248" s="57" t="e">
        <f>VLOOKUP(A248,Enforcements!$C$7:$K$13,8,0)</f>
        <v>#N/A</v>
      </c>
      <c r="AC248" s="53" t="e">
        <f>VLOOKUP(A248,Enforcements!$C$7:$E$13,3,0)</f>
        <v>#N/A</v>
      </c>
      <c r="AD248" s="54" t="str">
        <f t="shared" si="80"/>
        <v>63-12</v>
      </c>
      <c r="AE248" s="80" t="str">
        <f t="shared" si="81"/>
        <v>aws s3 cp s3://rtdc.mdm.uploadarchive.raw/RTDC4033/ "%USERPROFILE%\AppData\Local\Temp\OnboardLogs"\RTDC4033\2017-05-13 --exclude "*" --recursive --include "*20170513*" &amp; "%USERPROFILE%\Documents\GitHub\mrs-test-scripts\Headless Mode &amp; Sideloading\WalkAndUnGZ.bat" "%USERPROFILE%\AppData\Local\Temp\OnboardLogs"\RTDC4033\2017-05-13 &amp; aws s3 cp s3://rtdc.mdm.uploadarchive.raw/RTDC4033/ "%USERPROFILE%\AppData\Local\Temp\OnboardLogs"\RTDC4033\2017-05-14 --exclude "*" --recursive --include "*20170514*" &amp; "%USERPROFILE%\Documents\GitHub\mrs-test-scripts\Headless Mode &amp; Sideloading\WalkAndUnGZ.bat" "%USERPROFILE%\AppData\Local\Temp\OnboardLogs"\RTDC4033\2017-05-14</v>
      </c>
      <c r="AF248" s="77" t="str">
        <f t="shared" si="82"/>
        <v>"C:\Program Files (x86)\AstroGrep\AstroGrep.exe" /e /r /s /spath="%USERPROFILE%\AppData\Local\Temp\OnboardLogs" /stypes="app*4033*20170513*" /stext=" 08:.+((SYSTEM_STATE.+slice.+state.+changed )|(ment ac)|(multiple cpu faults)|(system.+state.+changed )|(\[timeout)|(PRM\|1\|D)|(kpr)|(kdp)|(train st.+moving)|(\|lc)|(penalty))"</v>
      </c>
      <c r="AG248" s="1" t="str">
        <f t="shared" si="83"/>
        <v>Other</v>
      </c>
      <c r="AH248" s="81" t="str">
        <f t="shared" si="84"/>
        <v>"%USERPROFILE%\Documents\GitHub\eaglep3\Utilities\RefineRTDCRunTimes.py" --tripid 63-12 --locoid 4033 --swversion DE.1.0.9.0 --startMP 204:232980 --initTime 2017-05-13T02:08:40 --startdatetime 2017-05-13T02:41:45 --delay 1 --endMP 204:153990 --enddatetime 2017-05-13T02:52:27 --enforcementcount 0 &gt;&gt;C:\Users\stu\Documents\GitHub\eaglep3-reporting\EC\2017-05-12-refined-times.txt</v>
      </c>
      <c r="AI248" s="99" t="str">
        <f t="shared" si="85"/>
        <v>echo {"issue":{"subject":"","project_id":79,"tracker_id":40,"status_id":1,"priority_id":2,"assigned_to_id":23,"start_date":"2017-05-13","description":"","custom_fields":[{"id":1,"name":"Subdivision","value":"Other"},{"id":4,"name":"Milepost","value":"15.399"},{"id":17,"name":"Train ID","value":"63-12"},{"id":16,"name":"Locomotive ID","value":"4033"},{"id":130,"name":"Impact","value":""},{"id":150,"name":"Time of Event (Mountain Time)","value":"02:52:27"},{"id":151,"name":"Denver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5" t="str">
        <f t="shared" si="86"/>
        <v>start /low /b %USERPROFILE%\Documents\GitHub\eaglep3\Utilities\DownloadLogsFromS3.py --loco 4033 --day 2017-05-13</v>
      </c>
      <c r="AN248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08:52:27"},{"id":29,"name":"Sharepoint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9" spans="1:40" x14ac:dyDescent="0.25">
      <c r="A249" s="32" t="s">
        <v>597</v>
      </c>
      <c r="B249" s="7">
        <v>4033</v>
      </c>
      <c r="C249" s="21" t="s">
        <v>206</v>
      </c>
      <c r="D249" s="21" t="s">
        <v>455</v>
      </c>
      <c r="E249" s="13">
        <v>42868.062361111108</v>
      </c>
      <c r="F249" s="13">
        <v>42868.091145833336</v>
      </c>
      <c r="G249" s="7">
        <v>1</v>
      </c>
      <c r="H249" s="21" t="s">
        <v>954</v>
      </c>
      <c r="I249" s="13">
        <v>42868.09920138889</v>
      </c>
      <c r="J249" s="7">
        <v>0</v>
      </c>
      <c r="K249" s="92" t="str">
        <f t="shared" si="72"/>
        <v>4033/4034</v>
      </c>
      <c r="L249" s="21" t="str">
        <f>VLOOKUP(A249,'Trips&amp;Operators'!$C$1:$G$99999,5,FALSE)</f>
        <v>FORTUNATO FRANK</v>
      </c>
      <c r="M249" s="6">
        <f t="shared" si="73"/>
        <v>8.0555555541650392E-3</v>
      </c>
      <c r="N249" s="7">
        <f t="shared" si="89"/>
        <v>11.599999997997656</v>
      </c>
      <c r="O249" s="7"/>
      <c r="P249" s="7"/>
      <c r="Q249" s="22"/>
      <c r="R249" s="190"/>
      <c r="S249" s="196">
        <f t="shared" si="88"/>
        <v>0</v>
      </c>
      <c r="T249" s="190" t="e">
        <f t="shared" si="74"/>
        <v>#VALUE!</v>
      </c>
      <c r="U249" s="190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91" t="str">
        <f t="shared" si="75"/>
        <v>https://d0f6bd738d7f1b3e5a7ca70fe4ff75f0.us-east-1.aws.found.io/app/kibana#/discover/Steve-Slow-Train-Analysis-(2080s-and-2083s)?_g=(refreshInterval:(display:Off,pause:!f,section:0,value:0),time:(from:'2017-05-13T00:29:48-0600',mode:absolute,to:'2017-05-13T03:22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49" s="192" t="str">
        <f t="shared" si="76"/>
        <v>N</v>
      </c>
      <c r="X249" s="192" t="e">
        <f t="shared" si="70"/>
        <v>#VALUE!</v>
      </c>
      <c r="Y249" s="192">
        <f t="shared" si="77"/>
        <v>23.2988</v>
      </c>
      <c r="Z249" s="192">
        <f t="shared" si="78"/>
        <v>15.3969</v>
      </c>
      <c r="AA249" s="192">
        <f t="shared" si="79"/>
        <v>7.9018999999999995</v>
      </c>
      <c r="AB249" s="57" t="e">
        <f>VLOOKUP(A249,Enforcements!$C$7:$K$13,8,0)</f>
        <v>#N/A</v>
      </c>
      <c r="AC249" s="53" t="e">
        <f>VLOOKUP(A249,Enforcements!$C$7:$E$13,3,0)</f>
        <v>#N/A</v>
      </c>
      <c r="AD249" s="54" t="str">
        <f t="shared" si="80"/>
        <v>63-12</v>
      </c>
      <c r="AE249" s="80" t="str">
        <f t="shared" si="81"/>
        <v>aws s3 cp s3://rtdc.mdm.uploadarchive.raw/RTDC4033/ "%USERPROFILE%\AppData\Local\Temp\OnboardLogs"\RTDC4033\2017-05-13 --exclude "*" --recursive --include "*20170513*" &amp; "%USERPROFILE%\Documents\GitHub\mrs-test-scripts\Headless Mode &amp; Sideloading\WalkAndUnGZ.bat" "%USERPROFILE%\AppData\Local\Temp\OnboardLogs"\RTDC4033\2017-05-13 &amp; aws s3 cp s3://rtdc.mdm.uploadarchive.raw/RTDC4033/ "%USERPROFILE%\AppData\Local\Temp\OnboardLogs"\RTDC4033\2017-05-14 --exclude "*" --recursive --include "*20170514*" &amp; "%USERPROFILE%\Documents\GitHub\mrs-test-scripts\Headless Mode &amp; Sideloading\WalkAndUnGZ.bat" "%USERPROFILE%\AppData\Local\Temp\OnboardLogs"\RTDC4033\2017-05-14</v>
      </c>
      <c r="AF249" s="77" t="str">
        <f t="shared" si="82"/>
        <v>"C:\Program Files (x86)\AstroGrep\AstroGrep.exe" /e /r /s /spath="%USERPROFILE%\AppData\Local\Temp\OnboardLogs" /stypes="app*4033*20170513*" /stext=" 08:.+((SYSTEM_STATE.+slice.+state.+changed )|(ment ac)|(multiple cpu faults)|(system.+state.+changed )|(\[timeout)|(PRM\|1\|D)|(kpr)|(kdp)|(train st.+moving)|(\|lc)|(penalty))"</v>
      </c>
      <c r="AG249" s="1" t="str">
        <f t="shared" si="83"/>
        <v>Other</v>
      </c>
      <c r="AH249" s="81" t="str">
        <f t="shared" si="84"/>
        <v>"%USERPROFILE%\Documents\GitHub\eaglep3\Utilities\RefineRTDCRunTimes.py" --tripid 63-12 --locoid 4033 --swversion DE.1.0.9.0 --startMP 204:232988 --initTime 2017-05-13T01:29:48 --startdatetime 2017-05-13T02:11:15 --delay 1 --endMP 204:153969 --enddatetime 2017-05-13T02:22:51 --enforcementcount 0 &gt;&gt;C:\Users\stu\Documents\GitHub\eaglep3-reporting\EC\2017-05-12-refined-times.txt</v>
      </c>
      <c r="AI249" s="99" t="str">
        <f t="shared" si="85"/>
        <v>echo {"issue":{"subject":"","project_id":79,"tracker_id":40,"status_id":1,"priority_id":2,"assigned_to_id":23,"start_date":"2017-05-13","description":"","custom_fields":[{"id":1,"name":"Subdivision","value":"Other"},{"id":4,"name":"Milepost","value":"15.3969"},{"id":17,"name":"Train ID","value":"63-12"},{"id":16,"name":"Locomotive ID","value":"4033"},{"id":130,"name":"Impact","value":""},{"id":150,"name":"Time of Event (Mountain Time)","value":"02:22:51"},{"id":151,"name":"Denver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5" t="str">
        <f t="shared" si="86"/>
        <v>start /low /b %USERPROFILE%\Documents\GitHub\eaglep3\Utilities\DownloadLogsFromS3.py --loco 4033 --day 2017-05-13</v>
      </c>
      <c r="AN249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08:22:51"},{"id":29,"name":"Sharepoint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0" spans="1:40" x14ac:dyDescent="0.25">
      <c r="A250" s="32" t="s">
        <v>597</v>
      </c>
      <c r="B250" s="7">
        <v>4034</v>
      </c>
      <c r="C250" s="21" t="s">
        <v>206</v>
      </c>
      <c r="D250" s="21" t="s">
        <v>955</v>
      </c>
      <c r="E250" s="13">
        <v>42867.997048611112</v>
      </c>
      <c r="F250" s="13">
        <v>42868.027025462965</v>
      </c>
      <c r="G250" s="7">
        <v>1</v>
      </c>
      <c r="H250" s="21" t="s">
        <v>956</v>
      </c>
      <c r="I250" s="13">
        <v>42868.056597222225</v>
      </c>
      <c r="J250" s="7">
        <v>0</v>
      </c>
      <c r="K250" s="92" t="str">
        <f t="shared" si="72"/>
        <v>4033/4034</v>
      </c>
      <c r="L250" s="21" t="str">
        <f>VLOOKUP(A250,'Trips&amp;Operators'!$C$1:$G$99999,5,FALSE)</f>
        <v>FORTUNATO FRANK</v>
      </c>
      <c r="M250" s="6">
        <f t="shared" si="73"/>
        <v>2.9571759259852115E-2</v>
      </c>
      <c r="N250" s="7">
        <f t="shared" si="89"/>
        <v>42.583333334187046</v>
      </c>
      <c r="O250" s="7"/>
      <c r="P250" s="7"/>
      <c r="Q250" s="22"/>
      <c r="R250" s="190"/>
      <c r="S250" s="196">
        <f t="shared" si="88"/>
        <v>0</v>
      </c>
      <c r="T250" s="190" t="e">
        <f t="shared" si="74"/>
        <v>#VALUE!</v>
      </c>
      <c r="U250" s="190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91" t="str">
        <f t="shared" si="75"/>
        <v>https://d0f6bd738d7f1b3e5a7ca70fe4ff75f0.us-east-1.aws.found.io/app/kibana#/discover/Steve-Slow-Train-Analysis-(2080s-and-2083s)?_g=(refreshInterval:(display:Off,pause:!f,section:0,value:0),time:(from:'2017-05-12T22:55:45-0600',mode:absolute,to:'2017-05-13T02:21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50" s="192" t="str">
        <f t="shared" si="76"/>
        <v>Y</v>
      </c>
      <c r="X250" s="192" t="e">
        <f t="shared" si="70"/>
        <v>#VALUE!</v>
      </c>
      <c r="Y250" s="192">
        <f t="shared" si="77"/>
        <v>10.641</v>
      </c>
      <c r="Z250" s="192">
        <f t="shared" si="78"/>
        <v>10.893800000000001</v>
      </c>
      <c r="AA250" s="192">
        <f t="shared" si="79"/>
        <v>0.25280000000000058</v>
      </c>
      <c r="AB250" s="57" t="e">
        <f>VLOOKUP(A250,Enforcements!$C$7:$K$13,8,0)</f>
        <v>#N/A</v>
      </c>
      <c r="AC250" s="53" t="e">
        <f>VLOOKUP(A250,Enforcements!$C$7:$E$13,3,0)</f>
        <v>#N/A</v>
      </c>
      <c r="AD250" s="54" t="str">
        <f t="shared" si="80"/>
        <v>63-12</v>
      </c>
      <c r="AE250" s="80" t="str">
        <f t="shared" si="81"/>
        <v>aws s3 cp s3://rtdc.mdm.uploadarchive.raw/RTDC4034/ "%USERPROFILE%\AppData\Local\Temp\OnboardLogs"\RTDC4034\2017-05-13 --exclude "*" --recursive --include "*20170513*" &amp; "%USERPROFILE%\Documents\GitHub\mrs-test-scripts\Headless Mode &amp; Sideloading\WalkAndUnGZ.bat" "%USERPROFILE%\AppData\Local\Temp\OnboardLogs"\RTDC4034\2017-05-13 &amp; aws s3 cp s3://rtdc.mdm.uploadarchive.raw/RTDC4034/ "%USERPROFILE%\AppData\Local\Temp\OnboardLogs"\RTDC4034\2017-05-14 --exclude "*" --recursive --include "*20170514*" &amp; "%USERPROFILE%\Documents\GitHub\mrs-test-scripts\Headless Mode &amp; Sideloading\WalkAndUnGZ.bat" "%USERPROFILE%\AppData\Local\Temp\OnboardLogs"\RTDC4034\2017-05-14</v>
      </c>
      <c r="AF250" s="77" t="str">
        <f t="shared" si="82"/>
        <v>"C:\Program Files (x86)\AstroGrep\AstroGrep.exe" /e /r /s /spath="%USERPROFILE%\AppData\Local\Temp\OnboardLogs" /stypes="app*4034*20170513*" /stext=" 07:.+((SYSTEM_STATE.+slice.+state.+changed )|(ment ac)|(multiple cpu faults)|(system.+state.+changed )|(\[timeout)|(PRM\|1\|D)|(kpr)|(kdp)|(train st.+moving)|(\|lc)|(penalty))"</v>
      </c>
      <c r="AG250" s="1" t="str">
        <f t="shared" si="83"/>
        <v>Other</v>
      </c>
      <c r="AH250" s="81" t="str">
        <f t="shared" si="84"/>
        <v>"%USERPROFILE%\Documents\GitHub\eaglep3\Utilities\RefineRTDCRunTimes.py" --tripid 63-12 --locoid 4034 --swversion DE.1.0.9.0 --startMP 204:106410 --initTime 2017-05-12T23:55:45 --startdatetime 2017-05-13T00:38:55 --delay 1 --endMP 204:108938 --enddatetime 2017-05-13T01:21:30 --enforcementcount 0 &gt;&gt;C:\Users\stu\Documents\GitHub\eaglep3-reporting\EC\2017-05-12-refined-times.txt</v>
      </c>
      <c r="AI250" s="99" t="str">
        <f t="shared" si="85"/>
        <v>echo {"issue":{"subject":"","project_id":79,"tracker_id":40,"status_id":1,"priority_id":2,"assigned_to_id":23,"start_date":"2017-05-13","description":"","custom_fields":[{"id":1,"name":"Subdivision","value":"Other"},{"id":4,"name":"Milepost","value":"10.8938"},{"id":17,"name":"Train ID","value":"63-12"},{"id":16,"name":"Locomotive ID","value":"4034"},{"id":130,"name":"Impact","value":""},{"id":150,"name":"Time of Event (Mountain Time)","value":"01:21:30"},{"id":151,"name":"Denver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7"/>
      <c r="AL250" s="47"/>
      <c r="AM250" s="145" t="str">
        <f t="shared" si="86"/>
        <v>start /low /b %USERPROFILE%\Documents\GitHub\eaglep3\Utilities\DownloadLogsFromS3.py --loco 4034 --day 2017-05-13</v>
      </c>
      <c r="AN250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07:21:30"},{"id":29,"name":"Sharepoint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1" spans="1:40" x14ac:dyDescent="0.25">
      <c r="A251" s="32" t="s">
        <v>597</v>
      </c>
      <c r="B251" s="7">
        <v>4034</v>
      </c>
      <c r="C251" s="21" t="s">
        <v>206</v>
      </c>
      <c r="D251" s="21" t="s">
        <v>957</v>
      </c>
      <c r="E251" s="13">
        <v>42867.929398148146</v>
      </c>
      <c r="F251" s="13">
        <v>42867.957175925927</v>
      </c>
      <c r="G251" s="7">
        <v>0</v>
      </c>
      <c r="H251" s="21" t="s">
        <v>526</v>
      </c>
      <c r="I251" s="13">
        <v>42867.966805555552</v>
      </c>
      <c r="J251" s="7">
        <v>0</v>
      </c>
      <c r="K251" s="92" t="str">
        <f t="shared" si="72"/>
        <v>4033/4034</v>
      </c>
      <c r="L251" s="21" t="str">
        <f>VLOOKUP(A251,'Trips&amp;Operators'!$C$1:$G$99999,5,FALSE)</f>
        <v>FORTUNATO FRANK</v>
      </c>
      <c r="M251" s="6">
        <f t="shared" si="73"/>
        <v>9.6296296251239255E-3</v>
      </c>
      <c r="N251" s="7">
        <f t="shared" si="89"/>
        <v>13.866666660178453</v>
      </c>
      <c r="O251" s="7"/>
      <c r="P251" s="7"/>
      <c r="Q251" s="22"/>
      <c r="R251" s="190"/>
      <c r="S251" s="196">
        <f t="shared" si="88"/>
        <v>0</v>
      </c>
      <c r="T251" s="190" t="e">
        <f t="shared" si="74"/>
        <v>#VALUE!</v>
      </c>
      <c r="U251" s="190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91" t="str">
        <f t="shared" si="75"/>
        <v>https://d0f6bd738d7f1b3e5a7ca70fe4ff75f0.us-east-1.aws.found.io/app/kibana#/discover/Steve-Slow-Train-Analysis-(2080s-and-2083s)?_g=(refreshInterval:(display:Off,pause:!f,section:0,value:0),time:(from:'2017-05-12T21:18:20-0600',mode:absolute,to:'2017-05-13T00:12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51" s="192" t="str">
        <f t="shared" si="76"/>
        <v>N</v>
      </c>
      <c r="X251" s="192" t="e">
        <f t="shared" si="70"/>
        <v>#VALUE!</v>
      </c>
      <c r="Y251" s="192">
        <f t="shared" si="77"/>
        <v>15.419700000000001</v>
      </c>
      <c r="Z251" s="192">
        <f t="shared" si="78"/>
        <v>23.3307</v>
      </c>
      <c r="AA251" s="192">
        <f t="shared" si="79"/>
        <v>7.9109999999999996</v>
      </c>
      <c r="AB251" s="57" t="e">
        <f>VLOOKUP(A251,Enforcements!$C$7:$K$13,8,0)</f>
        <v>#N/A</v>
      </c>
      <c r="AC251" s="53" t="e">
        <f>VLOOKUP(A251,Enforcements!$C$7:$E$13,3,0)</f>
        <v>#N/A</v>
      </c>
      <c r="AD251" s="54" t="str">
        <f t="shared" si="80"/>
        <v>63-12</v>
      </c>
      <c r="AE251" s="80" t="str">
        <f t="shared" si="81"/>
        <v>aws s3 cp s3://rtdc.mdm.uploadarchive.raw/RTDC4034/ "%USERPROFILE%\AppData\Local\Temp\OnboardLogs"\RTDC4034\2017-05-12 --exclude "*" --recursive --include "*20170512*" &amp; "%USERPROFILE%\Documents\GitHub\mrs-test-scripts\Headless Mode &amp; Sideloading\WalkAndUnGZ.bat" "%USERPROFILE%\AppData\Local\Temp\OnboardLogs"\RTDC4034\2017-05-12 &amp; aws s3 cp s3://rtdc.mdm.uploadarchive.raw/RTDC4034/ "%USERPROFILE%\AppData\Local\Temp\OnboardLogs"\RTDC4034\2017-05-13 --exclude "*" --recursive --include "*20170513*" &amp; "%USERPROFILE%\Documents\GitHub\mrs-test-scripts\Headless Mode &amp; Sideloading\WalkAndUnGZ.bat" "%USERPROFILE%\AppData\Local\Temp\OnboardLogs"\RTDC4034\2017-05-13</v>
      </c>
      <c r="AF251" s="77" t="str">
        <f t="shared" si="82"/>
        <v>"C:\Program Files (x86)\AstroGrep\AstroGrep.exe" /e /r /s /spath="%USERPROFILE%\AppData\Local\Temp\OnboardLogs" /stypes="app*4034*20170513*" /stext=" 05:.+((SYSTEM_STATE.+slice.+state.+changed )|(ment ac)|(multiple cpu faults)|(system.+state.+changed )|(\[timeout)|(PRM\|1\|D)|(kpr)|(kdp)|(train st.+moving)|(\|lc)|(penalty))"</v>
      </c>
      <c r="AG251" s="1" t="str">
        <f t="shared" si="83"/>
        <v>Other</v>
      </c>
      <c r="AH251" s="81" t="str">
        <f t="shared" si="84"/>
        <v>"%USERPROFILE%\Documents\GitHub\eaglep3\Utilities\RefineRTDCRunTimes.py" --tripid 63-12 --locoid 4034 --swversion DE.1.0.9.0 --startMP 204:154197 --initTime 2017-05-12T22:18:20 --startdatetime 2017-05-12T22:58:20 --delay 0 --endMP 204:233307 --enddatetime 2017-05-12T23:12:12 --enforcementcount 0 &gt;&gt;C:\Users\stu\Documents\GitHub\eaglep3-reporting\EC\2017-05-12-refined-times.txt</v>
      </c>
      <c r="AI251" s="99" t="str">
        <f t="shared" si="85"/>
        <v>echo {"issue":{"subject":"","project_id":79,"tracker_id":40,"status_id":1,"priority_id":2,"assigned_to_id":23,"start_date":"2017-05-12","description":"","custom_fields":[{"id":1,"name":"Subdivision","value":"Other"},{"id":4,"name":"Milepost","value":"23.3307"},{"id":17,"name":"Train ID","value":"63-12"},{"id":16,"name":"Locomotive ID","value":"4034"},{"id":130,"name":"Impact","value":""},{"id":150,"name":"Time of Event (Mountain Time)","value":"23:12:12"},{"id":151,"name":"Denver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20"/>
      <c r="AK251" s="47"/>
      <c r="AL251" s="47"/>
      <c r="AM251" s="145" t="str">
        <f t="shared" si="86"/>
        <v>start /low /b %USERPROFILE%\Documents\GitHub\eaglep3\Utilities\DownloadLogsFromS3.py --loco 4034 --day 2017-05-12</v>
      </c>
      <c r="AN251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05:12:12"},{"id":29,"name":"Sharepoint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2" spans="1:40" x14ac:dyDescent="0.25">
      <c r="A252" s="32" t="s">
        <v>597</v>
      </c>
      <c r="B252" s="7">
        <v>4034</v>
      </c>
      <c r="C252" s="21" t="s">
        <v>206</v>
      </c>
      <c r="D252" s="21" t="s">
        <v>958</v>
      </c>
      <c r="E252" s="13">
        <v>42867.955324074072</v>
      </c>
      <c r="F252" s="13">
        <v>42867.957175925927</v>
      </c>
      <c r="G252" s="7">
        <v>1</v>
      </c>
      <c r="H252" s="21" t="s">
        <v>959</v>
      </c>
      <c r="I252" s="13">
        <v>42867.966805555552</v>
      </c>
      <c r="J252" s="7">
        <v>0</v>
      </c>
      <c r="K252" s="92" t="str">
        <f t="shared" si="72"/>
        <v>4033/4034</v>
      </c>
      <c r="L252" s="21" t="str">
        <f>VLOOKUP(A252,'Trips&amp;Operators'!$C$1:$G$99999,5,FALSE)</f>
        <v>FORTUNATO FRANK</v>
      </c>
      <c r="M252" s="6">
        <f t="shared" si="73"/>
        <v>9.6296296251239255E-3</v>
      </c>
      <c r="N252" s="7">
        <f t="shared" si="89"/>
        <v>13.866666660178453</v>
      </c>
      <c r="O252" s="7"/>
      <c r="P252" s="7"/>
      <c r="Q252" s="22"/>
      <c r="R252" s="190"/>
      <c r="S252" s="196">
        <f t="shared" ref="S252:S264" si="90">SUM(U252:U252)/IF(AG252="EC",12,1)</f>
        <v>0</v>
      </c>
      <c r="T252" s="190" t="e">
        <f t="shared" si="74"/>
        <v>#VALUE!</v>
      </c>
      <c r="U252" s="190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191" t="str">
        <f t="shared" si="75"/>
        <v>https://d0f6bd738d7f1b3e5a7ca70fe4ff75f0.us-east-1.aws.found.io/app/kibana#/discover/Steve-Slow-Train-Analysis-(2080s-and-2083s)?_g=(refreshInterval:(display:Off,pause:!f,section:0,value:0),time:(from:'2017-05-12T21:55:40-0600',mode:absolute,to:'2017-05-13T00:12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52" s="192" t="str">
        <f t="shared" si="76"/>
        <v>N</v>
      </c>
      <c r="X252" s="192" t="e">
        <f t="shared" si="70"/>
        <v>#VALUE!</v>
      </c>
      <c r="Y252" s="192">
        <f t="shared" si="77"/>
        <v>15.421200000000001</v>
      </c>
      <c r="Z252" s="192">
        <f t="shared" si="78"/>
        <v>23.322900000000001</v>
      </c>
      <c r="AA252" s="192">
        <f t="shared" si="79"/>
        <v>7.9016999999999999</v>
      </c>
      <c r="AB252" s="57" t="e">
        <f>VLOOKUP(A252,Enforcements!$C$7:$K$13,8,0)</f>
        <v>#N/A</v>
      </c>
      <c r="AC252" s="53" t="e">
        <f>VLOOKUP(A252,Enforcements!$C$7:$E$13,3,0)</f>
        <v>#N/A</v>
      </c>
      <c r="AD252" s="54" t="str">
        <f t="shared" si="80"/>
        <v>63-12</v>
      </c>
      <c r="AE252" s="80" t="str">
        <f t="shared" si="81"/>
        <v>aws s3 cp s3://rtdc.mdm.uploadarchive.raw/RTDC4034/ "%USERPROFILE%\AppData\Local\Temp\OnboardLogs"\RTDC4034\2017-05-12 --exclude "*" --recursive --include "*20170512*" &amp; "%USERPROFILE%\Documents\GitHub\mrs-test-scripts\Headless Mode &amp; Sideloading\WalkAndUnGZ.bat" "%USERPROFILE%\AppData\Local\Temp\OnboardLogs"\RTDC4034\2017-05-12 &amp; aws s3 cp s3://rtdc.mdm.uploadarchive.raw/RTDC4034/ "%USERPROFILE%\AppData\Local\Temp\OnboardLogs"\RTDC4034\2017-05-13 --exclude "*" --recursive --include "*20170513*" &amp; "%USERPROFILE%\Documents\GitHub\mrs-test-scripts\Headless Mode &amp; Sideloading\WalkAndUnGZ.bat" "%USERPROFILE%\AppData\Local\Temp\OnboardLogs"\RTDC4034\2017-05-13</v>
      </c>
      <c r="AF252" s="77" t="str">
        <f t="shared" si="82"/>
        <v>"C:\Program Files (x86)\AstroGrep\AstroGrep.exe" /e /r /s /spath="%USERPROFILE%\AppData\Local\Temp\OnboardLogs" /stypes="app*4034*20170513*" /stext=" 05:.+((SYSTEM_STATE.+slice.+state.+changed )|(ment ac)|(multiple cpu faults)|(system.+state.+changed )|(\[timeout)|(PRM\|1\|D)|(kpr)|(kdp)|(train st.+moving)|(\|lc)|(penalty))"</v>
      </c>
      <c r="AG252" s="1" t="str">
        <f t="shared" si="83"/>
        <v>Other</v>
      </c>
      <c r="AH252" s="81" t="str">
        <f t="shared" si="84"/>
        <v>"%USERPROFILE%\Documents\GitHub\eaglep3\Utilities\RefineRTDCRunTimes.py" --tripid 63-12 --locoid 4034 --swversion DE.1.0.9.0 --startMP 204:154212 --initTime 2017-05-12T22:55:40 --startdatetime 2017-05-12T22:58:20 --delay 1 --endMP 204:233229 --enddatetime 2017-05-12T23:12:12 --enforcementcount 0 &gt;&gt;C:\Users\stu\Documents\GitHub\eaglep3-reporting\EC\2017-05-12-refined-times.txt</v>
      </c>
      <c r="AI252" s="99" t="str">
        <f t="shared" si="85"/>
        <v>echo {"issue":{"subject":"","project_id":79,"tracker_id":40,"status_id":1,"priority_id":2,"assigned_to_id":23,"start_date":"2017-05-12","description":"","custom_fields":[{"id":1,"name":"Subdivision","value":"Other"},{"id":4,"name":"Milepost","value":"23.3229"},{"id":17,"name":"Train ID","value":"63-12"},{"id":16,"name":"Locomotive ID","value":"4034"},{"id":130,"name":"Impact","value":""},{"id":150,"name":"Time of Event (Mountain Time)","value":"23:12:12"},{"id":151,"name":"Denver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20"/>
      <c r="AK252" s="47"/>
      <c r="AL252" s="47"/>
      <c r="AM252" s="145" t="str">
        <f t="shared" si="86"/>
        <v>start /low /b %USERPROFILE%\Documents\GitHub\eaglep3\Utilities\DownloadLogsFromS3.py --loco 4034 --day 2017-05-12</v>
      </c>
      <c r="AN252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05:12:12"},{"id":29,"name":"Sharepoint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3" spans="1:40" x14ac:dyDescent="0.25">
      <c r="A253" s="32" t="s">
        <v>597</v>
      </c>
      <c r="B253" s="7">
        <v>4034</v>
      </c>
      <c r="C253" s="21" t="s">
        <v>206</v>
      </c>
      <c r="D253" s="21" t="s">
        <v>960</v>
      </c>
      <c r="E253" s="13">
        <v>42868.074305555558</v>
      </c>
      <c r="F253" s="13">
        <v>42868.101307870369</v>
      </c>
      <c r="G253" s="7">
        <v>1</v>
      </c>
      <c r="H253" s="21" t="s">
        <v>523</v>
      </c>
      <c r="I253" s="13">
        <v>42868.11</v>
      </c>
      <c r="J253" s="7">
        <v>0</v>
      </c>
      <c r="K253" s="92" t="str">
        <f t="shared" si="72"/>
        <v>4033/4034</v>
      </c>
      <c r="L253" s="21" t="str">
        <f>VLOOKUP(A253,'Trips&amp;Operators'!$C$1:$G$99999,5,FALSE)</f>
        <v>FORTUNATO FRANK</v>
      </c>
      <c r="M253" s="6">
        <f t="shared" si="73"/>
        <v>8.6921296315267682E-3</v>
      </c>
      <c r="N253" s="7">
        <f t="shared" si="89"/>
        <v>12.516666669398546</v>
      </c>
      <c r="O253" s="7"/>
      <c r="P253" s="7"/>
      <c r="Q253" s="22"/>
      <c r="R253" s="190"/>
      <c r="S253" s="196">
        <f t="shared" si="90"/>
        <v>0</v>
      </c>
      <c r="T253" s="190" t="e">
        <f t="shared" si="74"/>
        <v>#VALUE!</v>
      </c>
      <c r="U253" s="190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191" t="str">
        <f t="shared" si="75"/>
        <v>https://d0f6bd738d7f1b3e5a7ca70fe4ff75f0.us-east-1.aws.found.io/app/kibana#/discover/Steve-Slow-Train-Analysis-(2080s-and-2083s)?_g=(refreshInterval:(display:Off,pause:!f,section:0,value:0),time:(from:'2017-05-13T00:47:00-0600',mode:absolute,to:'2017-05-13T03:38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53" s="192" t="str">
        <f t="shared" si="76"/>
        <v>N</v>
      </c>
      <c r="X253" s="192" t="e">
        <f t="shared" si="70"/>
        <v>#VALUE!</v>
      </c>
      <c r="Y253" s="192">
        <f t="shared" si="77"/>
        <v>15.423400000000001</v>
      </c>
      <c r="Z253" s="192">
        <f t="shared" si="78"/>
        <v>23.3291</v>
      </c>
      <c r="AA253" s="192">
        <f t="shared" si="79"/>
        <v>7.9056999999999995</v>
      </c>
      <c r="AB253" s="57" t="e">
        <f>VLOOKUP(A253,Enforcements!$C$7:$K$13,8,0)</f>
        <v>#N/A</v>
      </c>
      <c r="AC253" s="53" t="e">
        <f>VLOOKUP(A253,Enforcements!$C$7:$E$13,3,0)</f>
        <v>#N/A</v>
      </c>
      <c r="AD253" s="54" t="str">
        <f t="shared" si="80"/>
        <v>63-12</v>
      </c>
      <c r="AE253" s="80" t="str">
        <f t="shared" si="81"/>
        <v>aws s3 cp s3://rtdc.mdm.uploadarchive.raw/RTDC4034/ "%USERPROFILE%\AppData\Local\Temp\OnboardLogs"\RTDC4034\2017-05-13 --exclude "*" --recursive --include "*20170513*" &amp; "%USERPROFILE%\Documents\GitHub\mrs-test-scripts\Headless Mode &amp; Sideloading\WalkAndUnGZ.bat" "%USERPROFILE%\AppData\Local\Temp\OnboardLogs"\RTDC4034\2017-05-13 &amp; aws s3 cp s3://rtdc.mdm.uploadarchive.raw/RTDC4034/ "%USERPROFILE%\AppData\Local\Temp\OnboardLogs"\RTDC4034\2017-05-14 --exclude "*" --recursive --include "*20170514*" &amp; "%USERPROFILE%\Documents\GitHub\mrs-test-scripts\Headless Mode &amp; Sideloading\WalkAndUnGZ.bat" "%USERPROFILE%\AppData\Local\Temp\OnboardLogs"\RTDC4034\2017-05-14</v>
      </c>
      <c r="AF253" s="77" t="str">
        <f t="shared" si="82"/>
        <v>"C:\Program Files (x86)\AstroGrep\AstroGrep.exe" /e /r /s /spath="%USERPROFILE%\AppData\Local\Temp\OnboardLogs" /stypes="app*4034*20170513*" /stext=" 08:.+((SYSTEM_STATE.+slice.+state.+changed )|(ment ac)|(multiple cpu faults)|(system.+state.+changed )|(\[timeout)|(PRM\|1\|D)|(kpr)|(kdp)|(train st.+moving)|(\|lc)|(penalty))"</v>
      </c>
      <c r="AG253" s="1" t="str">
        <f t="shared" si="83"/>
        <v>Other</v>
      </c>
      <c r="AH253" s="81" t="str">
        <f t="shared" si="84"/>
        <v>"%USERPROFILE%\Documents\GitHub\eaglep3\Utilities\RefineRTDCRunTimes.py" --tripid 63-12 --locoid 4034 --swversion DE.1.0.9.0 --startMP 204:154234 --initTime 2017-05-13T01:47:00 --startdatetime 2017-05-13T02:25:53 --delay 1 --endMP 204:233291 --enddatetime 2017-05-13T02:38:24 --enforcementcount 0 &gt;&gt;C:\Users\stu\Documents\GitHub\eaglep3-reporting\EC\2017-05-12-refined-times.txt</v>
      </c>
      <c r="AI253" s="99" t="str">
        <f t="shared" si="85"/>
        <v>echo {"issue":{"subject":"","project_id":79,"tracker_id":40,"status_id":1,"priority_id":2,"assigned_to_id":23,"start_date":"2017-05-13","description":"","custom_fields":[{"id":1,"name":"Subdivision","value":"Other"},{"id":4,"name":"Milepost","value":"23.3291"},{"id":17,"name":"Train ID","value":"63-12"},{"id":16,"name":"Locomotive ID","value":"4034"},{"id":130,"name":"Impact","value":""},{"id":150,"name":"Time of Event (Mountain Time)","value":"02:38:24"},{"id":151,"name":"Denver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3" s="20"/>
      <c r="AK253" s="47"/>
      <c r="AL253" s="47"/>
      <c r="AM253" s="145" t="str">
        <f t="shared" si="86"/>
        <v>start /low /b %USERPROFILE%\Documents\GitHub\eaglep3\Utilities\DownloadLogsFromS3.py --loco 4034 --day 2017-05-13</v>
      </c>
      <c r="AN253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08:38:24"},{"id":29,"name":"Sharepoint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4" spans="1:40" x14ac:dyDescent="0.25">
      <c r="A254" s="32" t="s">
        <v>597</v>
      </c>
      <c r="B254" s="7">
        <v>4034</v>
      </c>
      <c r="C254" s="21" t="s">
        <v>206</v>
      </c>
      <c r="D254" s="21" t="s">
        <v>961</v>
      </c>
      <c r="E254" s="13">
        <v>42868.099930555552</v>
      </c>
      <c r="F254" s="13">
        <v>42868.121620370373</v>
      </c>
      <c r="G254" s="7">
        <v>0</v>
      </c>
      <c r="H254" s="21" t="s">
        <v>385</v>
      </c>
      <c r="I254" s="13">
        <v>42868.130439814813</v>
      </c>
      <c r="J254" s="7">
        <v>0</v>
      </c>
      <c r="K254" s="92" t="str">
        <f t="shared" si="72"/>
        <v>4033/4034</v>
      </c>
      <c r="L254" s="21" t="str">
        <f>VLOOKUP(A254,'Trips&amp;Operators'!$C$1:$G$99999,5,FALSE)</f>
        <v>FORTUNATO FRANK</v>
      </c>
      <c r="M254" s="6">
        <f t="shared" si="73"/>
        <v>8.8194444397231564E-3</v>
      </c>
      <c r="N254" s="7">
        <f t="shared" si="89"/>
        <v>12.699999993201345</v>
      </c>
      <c r="O254" s="7"/>
      <c r="P254" s="7"/>
      <c r="Q254" s="22"/>
      <c r="R254" s="190"/>
      <c r="S254" s="196">
        <f t="shared" si="90"/>
        <v>0</v>
      </c>
      <c r="T254" s="190" t="e">
        <f t="shared" si="74"/>
        <v>#VALUE!</v>
      </c>
      <c r="U254" s="190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0</v>
      </c>
      <c r="V254" s="191" t="str">
        <f t="shared" si="75"/>
        <v>https://d0f6bd738d7f1b3e5a7ca70fe4ff75f0.us-east-1.aws.found.io/app/kibana#/discover/Steve-Slow-Train-Analysis-(2080s-and-2083s)?_g=(refreshInterval:(display:Off,pause:!f,section:0,value:0),time:(from:'2017-05-13T01:23:54-0600',mode:absolute,to:'2017-05-13T04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54" s="192" t="str">
        <f t="shared" si="76"/>
        <v>N</v>
      </c>
      <c r="X254" s="192" t="e">
        <f t="shared" si="70"/>
        <v>#VALUE!</v>
      </c>
      <c r="Y254" s="192">
        <f t="shared" si="77"/>
        <v>15.425700000000001</v>
      </c>
      <c r="Z254" s="192">
        <f t="shared" si="78"/>
        <v>23.330100000000002</v>
      </c>
      <c r="AA254" s="192">
        <f t="shared" si="79"/>
        <v>7.9044000000000008</v>
      </c>
      <c r="AB254" s="57" t="e">
        <f>VLOOKUP(A254,Enforcements!$C$7:$K$13,8,0)</f>
        <v>#N/A</v>
      </c>
      <c r="AC254" s="53" t="e">
        <f>VLOOKUP(A254,Enforcements!$C$7:$E$13,3,0)</f>
        <v>#N/A</v>
      </c>
      <c r="AD254" s="54" t="str">
        <f t="shared" si="80"/>
        <v>63-12</v>
      </c>
      <c r="AE254" s="80" t="str">
        <f t="shared" si="81"/>
        <v>aws s3 cp s3://rtdc.mdm.uploadarchive.raw/RTDC4034/ "%USERPROFILE%\AppData\Local\Temp\OnboardLogs"\RTDC4034\2017-05-13 --exclude "*" --recursive --include "*20170513*" &amp; "%USERPROFILE%\Documents\GitHub\mrs-test-scripts\Headless Mode &amp; Sideloading\WalkAndUnGZ.bat" "%USERPROFILE%\AppData\Local\Temp\OnboardLogs"\RTDC4034\2017-05-13 &amp; aws s3 cp s3://rtdc.mdm.uploadarchive.raw/RTDC4034/ "%USERPROFILE%\AppData\Local\Temp\OnboardLogs"\RTDC4034\2017-05-14 --exclude "*" --recursive --include "*20170514*" &amp; "%USERPROFILE%\Documents\GitHub\mrs-test-scripts\Headless Mode &amp; Sideloading\WalkAndUnGZ.bat" "%USERPROFILE%\AppData\Local\Temp\OnboardLogs"\RTDC4034\2017-05-14</v>
      </c>
      <c r="AF254" s="77" t="str">
        <f t="shared" si="82"/>
        <v>"C:\Program Files (x86)\AstroGrep\AstroGrep.exe" /e /r /s /spath="%USERPROFILE%\AppData\Local\Temp\OnboardLogs" /stypes="app*4034*20170513*" /stext=" 09:.+((SYSTEM_STATE.+slice.+state.+changed )|(ment ac)|(multiple cpu faults)|(system.+state.+changed )|(\[timeout)|(PRM\|1\|D)|(kpr)|(kdp)|(train st.+moving)|(\|lc)|(penalty))"</v>
      </c>
      <c r="AG254" s="1" t="str">
        <f t="shared" si="83"/>
        <v>Other</v>
      </c>
      <c r="AH254" s="81" t="str">
        <f t="shared" si="84"/>
        <v>"%USERPROFILE%\Documents\GitHub\eaglep3\Utilities\RefineRTDCRunTimes.py" --tripid 63-12 --locoid 4034 --swversion DE.1.0.9.0 --startMP 204:154257 --initTime 2017-05-13T02:23:54 --startdatetime 2017-05-13T02:55:08 --delay 0 --endMP 204:233301 --enddatetime 2017-05-13T03:07:50 --enforcementcount 0 &gt;&gt;C:\Users\stu\Documents\GitHub\eaglep3-reporting\EC\2017-05-12-refined-times.txt</v>
      </c>
      <c r="AI254" s="99" t="str">
        <f t="shared" si="85"/>
        <v>echo {"issue":{"subject":"","project_id":79,"tracker_id":40,"status_id":1,"priority_id":2,"assigned_to_id":23,"start_date":"2017-05-13","description":"","custom_fields":[{"id":1,"name":"Subdivision","value":"Other"},{"id":4,"name":"Milepost","value":"23.3301"},{"id":17,"name":"Train ID","value":"63-12"},{"id":16,"name":"Locomotive ID","value":"4034"},{"id":130,"name":"Impact","value":""},{"id":150,"name":"Time of Event (Mountain Time)","value":"03:07:50"},{"id":151,"name":"Denver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4" s="20"/>
      <c r="AK254" s="47"/>
      <c r="AL254" s="47"/>
      <c r="AM254" s="145" t="str">
        <f t="shared" si="86"/>
        <v>start /low /b %USERPROFILE%\Documents\GitHub\eaglep3\Utilities\DownloadLogsFromS3.py --loco 4034 --day 2017-05-13</v>
      </c>
      <c r="AN254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09:07:50"},{"id":29,"name":"Sharepoint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5" spans="1:40" x14ac:dyDescent="0.25">
      <c r="A255" s="32" t="s">
        <v>597</v>
      </c>
      <c r="B255" s="7">
        <v>4034</v>
      </c>
      <c r="C255" s="21" t="s">
        <v>206</v>
      </c>
      <c r="D255" s="21" t="s">
        <v>370</v>
      </c>
      <c r="E255" s="13">
        <v>42867.882685185185</v>
      </c>
      <c r="F255" s="13">
        <v>42867.930636574078</v>
      </c>
      <c r="G255" s="7">
        <v>1</v>
      </c>
      <c r="H255" s="21" t="s">
        <v>436</v>
      </c>
      <c r="I255" s="13">
        <v>42867.938946759263</v>
      </c>
      <c r="J255" s="7">
        <v>0</v>
      </c>
      <c r="K255" s="92" t="str">
        <f t="shared" si="72"/>
        <v>4033/4034</v>
      </c>
      <c r="L255" s="21" t="str">
        <f>VLOOKUP(A255,'Trips&amp;Operators'!$C$1:$G$99999,5,FALSE)</f>
        <v>FORTUNATO FRANK</v>
      </c>
      <c r="M255" s="6">
        <f t="shared" si="73"/>
        <v>8.3101851851097308E-3</v>
      </c>
      <c r="N255" s="7">
        <f t="shared" si="89"/>
        <v>11.966666666558012</v>
      </c>
      <c r="O255" s="7"/>
      <c r="P255" s="7"/>
      <c r="Q255" s="22"/>
      <c r="R255" s="190"/>
      <c r="S255" s="196">
        <f t="shared" si="90"/>
        <v>0</v>
      </c>
      <c r="T255" s="190" t="e">
        <f t="shared" si="74"/>
        <v>#VALUE!</v>
      </c>
      <c r="U255" s="190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0</v>
      </c>
      <c r="V255" s="191" t="str">
        <f t="shared" si="75"/>
        <v>https://d0f6bd738d7f1b3e5a7ca70fe4ff75f0.us-east-1.aws.found.io/app/kibana#/discover/Steve-Slow-Train-Analysis-(2080s-and-2083s)?_g=(refreshInterval:(display:Off,pause:!f,section:0,value:0),time:(from:'2017-05-12T20:11:04-0600',mode:absolute,to:'2017-05-12T23:32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55" s="192" t="str">
        <f t="shared" si="76"/>
        <v>N</v>
      </c>
      <c r="X255" s="192" t="e">
        <f t="shared" ref="X255:X264" si="91">VALUE(LEFT(AD255,4))-VALUE(LEFT(AD254,4))</f>
        <v>#VALUE!</v>
      </c>
      <c r="Y255" s="192">
        <f t="shared" si="77"/>
        <v>4.53E-2</v>
      </c>
      <c r="Z255" s="192">
        <f t="shared" si="78"/>
        <v>23.3293</v>
      </c>
      <c r="AA255" s="192">
        <f t="shared" si="79"/>
        <v>23.283999999999999</v>
      </c>
      <c r="AB255" s="57" t="e">
        <f>VLOOKUP(A255,Enforcements!$C$7:$K$13,8,0)</f>
        <v>#N/A</v>
      </c>
      <c r="AC255" s="53" t="e">
        <f>VLOOKUP(A255,Enforcements!$C$7:$E$13,3,0)</f>
        <v>#N/A</v>
      </c>
      <c r="AD255" s="54" t="str">
        <f t="shared" si="80"/>
        <v>63-12</v>
      </c>
      <c r="AE255" s="80" t="str">
        <f t="shared" si="81"/>
        <v>aws s3 cp s3://rtdc.mdm.uploadarchive.raw/RTDC4034/ "%USERPROFILE%\AppData\Local\Temp\OnboardLogs"\RTDC4034\2017-05-12 --exclude "*" --recursive --include "*20170512*" &amp; "%USERPROFILE%\Documents\GitHub\mrs-test-scripts\Headless Mode &amp; Sideloading\WalkAndUnGZ.bat" "%USERPROFILE%\AppData\Local\Temp\OnboardLogs"\RTDC4034\2017-05-12 &amp; aws s3 cp s3://rtdc.mdm.uploadarchive.raw/RTDC4034/ "%USERPROFILE%\AppData\Local\Temp\OnboardLogs"\RTDC4034\2017-05-13 --exclude "*" --recursive --include "*20170513*" &amp; "%USERPROFILE%\Documents\GitHub\mrs-test-scripts\Headless Mode &amp; Sideloading\WalkAndUnGZ.bat" "%USERPROFILE%\AppData\Local\Temp\OnboardLogs"\RTDC4034\2017-05-13</v>
      </c>
      <c r="AF255" s="77" t="str">
        <f t="shared" si="82"/>
        <v>"C:\Program Files (x86)\AstroGrep\AstroGrep.exe" /e /r /s /spath="%USERPROFILE%\AppData\Local\Temp\OnboardLogs" /stypes="app*4034*20170513*" /stext=" 04:.+((SYSTEM_STATE.+slice.+state.+changed )|(ment ac)|(multiple cpu faults)|(system.+state.+changed )|(\[timeout)|(PRM\|1\|D)|(kpr)|(kdp)|(train st.+moving)|(\|lc)|(penalty))"</v>
      </c>
      <c r="AG255" s="1" t="str">
        <f t="shared" si="83"/>
        <v>Other</v>
      </c>
      <c r="AH255" s="81" t="str">
        <f t="shared" si="84"/>
        <v>"%USERPROFILE%\Documents\GitHub\eaglep3\Utilities\RefineRTDCRunTimes.py" --tripid 63-12 --locoid 4034 --swversion DE.1.0.9.0 --startMP 204:453 --initTime 2017-05-12T21:11:04 --startdatetime 2017-05-12T22:20:07 --delay 1 --endMP 204:233293 --enddatetime 2017-05-12T22:32:05 --enforcementcount 0 &gt;&gt;C:\Users\stu\Documents\GitHub\eaglep3-reporting\EC\2017-05-12-refined-times.txt</v>
      </c>
      <c r="AI255" s="99" t="str">
        <f t="shared" si="85"/>
        <v>echo {"issue":{"subject":"","project_id":79,"tracker_id":40,"status_id":1,"priority_id":2,"assigned_to_id":23,"start_date":"2017-05-12","description":"","custom_fields":[{"id":1,"name":"Subdivision","value":"Other"},{"id":4,"name":"Milepost","value":"23.3293"},{"id":17,"name":"Train ID","value":"63-12"},{"id":16,"name":"Locomotive ID","value":"4034"},{"id":130,"name":"Impact","value":""},{"id":150,"name":"Time of Event (Mountain Time)","value":"22:32:05"},{"id":151,"name":"Denver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5" s="20"/>
      <c r="AK255" s="47"/>
      <c r="AL255" s="47"/>
      <c r="AM255" s="145" t="str">
        <f t="shared" si="86"/>
        <v>start /low /b %USERPROFILE%\Documents\GitHub\eaglep3\Utilities\DownloadLogsFromS3.py --loco 4034 --day 2017-05-12</v>
      </c>
      <c r="AN255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04:32:05"},{"id":29,"name":"Sharepoint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6" spans="1:40" x14ac:dyDescent="0.25">
      <c r="A256" s="32" t="s">
        <v>597</v>
      </c>
      <c r="B256" s="7">
        <v>4034</v>
      </c>
      <c r="C256" s="21" t="s">
        <v>206</v>
      </c>
      <c r="D256" s="21" t="s">
        <v>386</v>
      </c>
      <c r="E256" s="13">
        <v>42868.025034722225</v>
      </c>
      <c r="F256" s="13">
        <v>42868.075729166667</v>
      </c>
      <c r="G256" s="7">
        <v>1</v>
      </c>
      <c r="H256" s="21" t="s">
        <v>887</v>
      </c>
      <c r="I256" s="13">
        <v>42868.086909722224</v>
      </c>
      <c r="J256" s="7">
        <v>0</v>
      </c>
      <c r="K256" s="92" t="str">
        <f t="shared" si="72"/>
        <v>4033/4034</v>
      </c>
      <c r="L256" s="21" t="str">
        <f>VLOOKUP(A256,'Trips&amp;Operators'!$C$1:$G$99999,5,FALSE)</f>
        <v>FORTUNATO FRANK</v>
      </c>
      <c r="M256" s="6">
        <f t="shared" si="73"/>
        <v>1.1180555557075422E-2</v>
      </c>
      <c r="N256" s="7">
        <f t="shared" si="89"/>
        <v>16.100000002188608</v>
      </c>
      <c r="O256" s="7"/>
      <c r="P256" s="7"/>
      <c r="Q256" s="22"/>
      <c r="R256" s="190"/>
      <c r="S256" s="196">
        <f t="shared" si="90"/>
        <v>0</v>
      </c>
      <c r="T256" s="190" t="e">
        <f t="shared" si="74"/>
        <v>#VALUE!</v>
      </c>
      <c r="U256" s="190">
        <f>IF(AG256="EC",COUNTIFS(Variables!$M$2:$M$19,IF(T256="NorthBound","&gt;=","&lt;=")&amp;Y256,Variables!$M$2:$M$19,IF(T256="NorthBound","&lt;=","&gt;=")&amp;Z256),COUNTIFS(Variables!$P$2:$P$19,IF(T256="NorthBound","&gt;=","&lt;=")&amp;Y256,Variables!$P$2:$P$19,IF(T256="NorthBound","&lt;=","&gt;=")&amp;Z256))</f>
        <v>0</v>
      </c>
      <c r="V256" s="191" t="str">
        <f t="shared" si="75"/>
        <v>https://d0f6bd738d7f1b3e5a7ca70fe4ff75f0.us-east-1.aws.found.io/app/kibana#/discover/Steve-Slow-Train-Analysis-(2080s-and-2083s)?_g=(refreshInterval:(display:Off,pause:!f,section:0,value:0),time:(from:'2017-05-12T23:36:03-0600',mode:absolute,to:'2017-05-13T03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56" s="192" t="str">
        <f t="shared" si="76"/>
        <v>N</v>
      </c>
      <c r="X256" s="192" t="e">
        <f t="shared" si="91"/>
        <v>#VALUE!</v>
      </c>
      <c r="Y256" s="192">
        <f t="shared" si="77"/>
        <v>4.5499999999999999E-2</v>
      </c>
      <c r="Z256" s="192">
        <f t="shared" si="78"/>
        <v>23.329499999999999</v>
      </c>
      <c r="AA256" s="192">
        <f t="shared" si="79"/>
        <v>23.283999999999999</v>
      </c>
      <c r="AB256" s="57" t="e">
        <f>VLOOKUP(A256,Enforcements!$C$7:$K$13,8,0)</f>
        <v>#N/A</v>
      </c>
      <c r="AC256" s="53" t="e">
        <f>VLOOKUP(A256,Enforcements!$C$7:$E$13,3,0)</f>
        <v>#N/A</v>
      </c>
      <c r="AD256" s="54" t="str">
        <f t="shared" si="80"/>
        <v>63-12</v>
      </c>
      <c r="AE256" s="80" t="str">
        <f t="shared" si="81"/>
        <v>aws s3 cp s3://rtdc.mdm.uploadarchive.raw/RTDC4034/ "%USERPROFILE%\AppData\Local\Temp\OnboardLogs"\RTDC4034\2017-05-13 --exclude "*" --recursive --include "*20170513*" &amp; "%USERPROFILE%\Documents\GitHub\mrs-test-scripts\Headless Mode &amp; Sideloading\WalkAndUnGZ.bat" "%USERPROFILE%\AppData\Local\Temp\OnboardLogs"\RTDC4034\2017-05-13 &amp; aws s3 cp s3://rtdc.mdm.uploadarchive.raw/RTDC4034/ "%USERPROFILE%\AppData\Local\Temp\OnboardLogs"\RTDC4034\2017-05-14 --exclude "*" --recursive --include "*20170514*" &amp; "%USERPROFILE%\Documents\GitHub\mrs-test-scripts\Headless Mode &amp; Sideloading\WalkAndUnGZ.bat" "%USERPROFILE%\AppData\Local\Temp\OnboardLogs"\RTDC4034\2017-05-14</v>
      </c>
      <c r="AF256" s="77" t="str">
        <f t="shared" si="82"/>
        <v>"C:\Program Files (x86)\AstroGrep\AstroGrep.exe" /e /r /s /spath="%USERPROFILE%\AppData\Local\Temp\OnboardLogs" /stypes="app*4034*20170513*" /stext=" 08:.+((SYSTEM_STATE.+slice.+state.+changed )|(ment ac)|(multiple cpu faults)|(system.+state.+changed )|(\[timeout)|(PRM\|1\|D)|(kpr)|(kdp)|(train st.+moving)|(\|lc)|(penalty))"</v>
      </c>
      <c r="AG256" s="1" t="str">
        <f t="shared" si="83"/>
        <v>Other</v>
      </c>
      <c r="AH256" s="81" t="str">
        <f t="shared" si="84"/>
        <v>"%USERPROFILE%\Documents\GitHub\eaglep3\Utilities\RefineRTDCRunTimes.py" --tripid 63-12 --locoid 4034 --swversion DE.1.0.9.0 --startMP 204:455 --initTime 2017-05-13T00:36:03 --startdatetime 2017-05-13T01:49:03 --delay 1 --endMP 204:233295 --enddatetime 2017-05-13T02:05:09 --enforcementcount 0 &gt;&gt;C:\Users\stu\Documents\GitHub\eaglep3-reporting\EC\2017-05-12-refined-times.txt</v>
      </c>
      <c r="AI256" s="99" t="str">
        <f t="shared" si="85"/>
        <v>echo {"issue":{"subject":"","project_id":79,"tracker_id":40,"status_id":1,"priority_id":2,"assigned_to_id":23,"start_date":"2017-05-13","description":"","custom_fields":[{"id":1,"name":"Subdivision","value":"Other"},{"id":4,"name":"Milepost","value":"23.3295"},{"id":17,"name":"Train ID","value":"63-12"},{"id":16,"name":"Locomotive ID","value":"4034"},{"id":130,"name":"Impact","value":""},{"id":150,"name":"Time of Event (Mountain Time)","value":"02:05:09"},{"id":151,"name":"Denver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6" s="20"/>
      <c r="AK256" s="47"/>
      <c r="AL256" s="47"/>
      <c r="AM256" s="145" t="str">
        <f t="shared" si="86"/>
        <v>start /low /b %USERPROFILE%\Documents\GitHub\eaglep3\Utilities\DownloadLogsFromS3.py --loco 4034 --day 2017-05-13</v>
      </c>
      <c r="AN256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08:05:09"},{"id":29,"name":"Sharepoint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7" spans="1:40" x14ac:dyDescent="0.25">
      <c r="A257" s="32" t="s">
        <v>772</v>
      </c>
      <c r="B257" s="7">
        <v>4052</v>
      </c>
      <c r="C257" s="21" t="s">
        <v>206</v>
      </c>
      <c r="D257" s="21" t="s">
        <v>995</v>
      </c>
      <c r="E257" s="13">
        <v>42867.828090277777</v>
      </c>
      <c r="F257" s="13">
        <v>42867.82980324074</v>
      </c>
      <c r="G257" s="7">
        <v>2</v>
      </c>
      <c r="H257" s="21" t="s">
        <v>528</v>
      </c>
      <c r="I257" s="13">
        <v>42867.839270833334</v>
      </c>
      <c r="J257" s="7">
        <v>0</v>
      </c>
      <c r="K257" s="92" t="str">
        <f t="shared" si="72"/>
        <v>4051/4052</v>
      </c>
      <c r="L257" s="21" t="str">
        <f>VLOOKUP(A257,'Trips&amp;Operators'!$C$1:$G$99999,5,FALSE)</f>
        <v>SMITH MICHAEL</v>
      </c>
      <c r="M257" s="6">
        <f t="shared" si="73"/>
        <v>9.4675925938645378E-3</v>
      </c>
      <c r="N257" s="7">
        <f t="shared" si="89"/>
        <v>13.633333335164934</v>
      </c>
      <c r="O257" s="7"/>
      <c r="P257" s="7"/>
      <c r="Q257" s="22"/>
      <c r="R257" s="190"/>
      <c r="S257" s="196">
        <f t="shared" si="90"/>
        <v>0</v>
      </c>
      <c r="T257" s="190" t="e">
        <f t="shared" si="74"/>
        <v>#VALUE!</v>
      </c>
      <c r="U257" s="190">
        <f>IF(AG257="EC",COUNTIFS(Variables!$M$2:$M$19,IF(T257="NorthBound","&gt;=","&lt;=")&amp;Y257,Variables!$M$2:$M$19,IF(T257="NorthBound","&lt;=","&gt;=")&amp;Z257),COUNTIFS(Variables!$P$2:$P$19,IF(T257="NorthBound","&gt;=","&lt;=")&amp;Y257,Variables!$P$2:$P$19,IF(T257="NorthBound","&lt;=","&gt;=")&amp;Z257))</f>
        <v>0</v>
      </c>
      <c r="V257" s="191" t="str">
        <f t="shared" si="75"/>
        <v>https://d0f6bd738d7f1b3e5a7ca70fe4ff75f0.us-east-1.aws.found.io/app/kibana#/discover/Steve-Slow-Train-Analysis-(2080s-and-2083s)?_g=(refreshInterval:(display:Off,pause:!f,section:0,value:0),time:(from:'2017-05-12T18:52:27-0600',mode:absolute,to:'2017-05-12T21:08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57" s="192" t="str">
        <f t="shared" si="76"/>
        <v>Y</v>
      </c>
      <c r="X257" s="192" t="e">
        <f t="shared" si="91"/>
        <v>#VALUE!</v>
      </c>
      <c r="Y257" s="192">
        <f t="shared" si="77"/>
        <v>4.8899999999999999E-2</v>
      </c>
      <c r="Z257" s="192">
        <f t="shared" si="78"/>
        <v>2.3300999999999998</v>
      </c>
      <c r="AA257" s="192">
        <f t="shared" si="79"/>
        <v>2.2811999999999997</v>
      </c>
      <c r="AB257" s="57" t="e">
        <f>VLOOKUP(A257,Enforcements!$C$7:$K$13,8,0)</f>
        <v>#N/A</v>
      </c>
      <c r="AC257" s="53" t="e">
        <f>VLOOKUP(A257,Enforcements!$C$7:$E$13,3,0)</f>
        <v>#N/A</v>
      </c>
      <c r="AD257" s="54" t="str">
        <f t="shared" si="80"/>
        <v>83-12</v>
      </c>
      <c r="AE257" s="80" t="str">
        <f t="shared" si="81"/>
        <v>aws s3 cp s3://rtdc.mdm.uploadarchive.raw/RTDC4052/ "%USERPROFILE%\AppData\Local\Temp\OnboardLogs"\RTDC4052\2017-05-12 --exclude "*" --recursive --include "*20170512*" &amp; "%USERPROFILE%\Documents\GitHub\mrs-test-scripts\Headless Mode &amp; Sideloading\WalkAndUnGZ.bat" "%USERPROFILE%\AppData\Local\Temp\OnboardLogs"\RTDC4052\2017-05-12 &amp; aws s3 cp s3://rtdc.mdm.uploadarchive.raw/RTDC4052/ "%USERPROFILE%\AppData\Local\Temp\OnboardLogs"\RTDC4052\2017-05-13 --exclude "*" --recursive --include "*20170513*" &amp; "%USERPROFILE%\Documents\GitHub\mrs-test-scripts\Headless Mode &amp; Sideloading\WalkAndUnGZ.bat" "%USERPROFILE%\AppData\Local\Temp\OnboardLogs"\RTDC4052\2017-05-13</v>
      </c>
      <c r="AF257" s="77" t="str">
        <f t="shared" si="82"/>
        <v>"C:\Program Files (x86)\AstroGrep\AstroGrep.exe" /e /r /s /spath="%USERPROFILE%\AppData\Local\Temp\OnboardLogs" /stypes="app*4052*20170513*" /stext=" 02:.+((SYSTEM_STATE.+slice.+state.+changed )|(ment ac)|(multiple cpu faults)|(system.+state.+changed )|(\[timeout)|(PRM\|1\|D)|(kpr)|(kdp)|(train st.+moving)|(\|lc)|(penalty))"</v>
      </c>
      <c r="AG257" s="1" t="str">
        <f t="shared" si="83"/>
        <v>Other</v>
      </c>
      <c r="AH257" s="81" t="str">
        <f t="shared" si="84"/>
        <v>"%USERPROFILE%\Documents\GitHub\eaglep3\Utilities\RefineRTDCRunTimes.py" --tripid 83-12 --locoid 4052 --swversion DE.1.0.9.0 --startMP 204:489 --initTime 2017-05-12T19:52:27 --startdatetime 2017-05-12T19:54:55 --delay 2 --endMP 300:23301 --enddatetime 2017-05-12T20:08:33 --enforcementcount 0 &gt;&gt;C:\Users\stu\Documents\GitHub\eaglep3-reporting\EC\2017-05-12-refined-times.txt</v>
      </c>
      <c r="AI257" s="99" t="str">
        <f t="shared" si="85"/>
        <v>echo {"issue":{"subject":"","project_id":79,"tracker_id":40,"status_id":1,"priority_id":2,"assigned_to_id":23,"start_date":"2017-05-12","description":"","custom_fields":[{"id":1,"name":"Subdivision","value":"Other"},{"id":4,"name":"Milepost","value":"2.3301"},{"id":17,"name":"Train ID","value":"83-12"},{"id":16,"name":"Locomotive ID","value":"4052"},{"id":130,"name":"Impact","value":""},{"id":150,"name":"Time of Event (Mountain Time)","value":"20:08:33"},{"id":151,"name":"Denver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7" s="20"/>
      <c r="AK257" s="47"/>
      <c r="AL257" s="47"/>
      <c r="AM257" s="145" t="str">
        <f t="shared" si="86"/>
        <v>start /low /b %USERPROFILE%\Documents\GitHub\eaglep3\Utilities\DownloadLogsFromS3.py --loco 4052 --day 2017-05-12</v>
      </c>
      <c r="AN257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02:08:33"},{"id":29,"name":"Sharepoint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8" spans="1:40" x14ac:dyDescent="0.25">
      <c r="A258" s="32" t="s">
        <v>598</v>
      </c>
      <c r="B258" s="7">
        <v>4005</v>
      </c>
      <c r="C258" s="21" t="s">
        <v>206</v>
      </c>
      <c r="D258" s="21" t="s">
        <v>1010</v>
      </c>
      <c r="E258" s="13">
        <v>42867.989074074074</v>
      </c>
      <c r="F258" s="13">
        <v>42868.018263888887</v>
      </c>
      <c r="G258" s="7">
        <v>1</v>
      </c>
      <c r="H258" s="21" t="s">
        <v>1011</v>
      </c>
      <c r="I258" s="13">
        <v>42868.024513888886</v>
      </c>
      <c r="J258" s="7">
        <v>0</v>
      </c>
      <c r="K258" s="92" t="str">
        <f t="shared" si="72"/>
        <v>4005/4006</v>
      </c>
      <c r="L258" s="21" t="str">
        <f>VLOOKUP(A258,'Trips&amp;Operators'!$C$1:$G$99999,5,FALSE)</f>
        <v>WILLIAMS DONTE</v>
      </c>
      <c r="M258" s="6">
        <f t="shared" si="73"/>
        <v>6.2499999985448085E-3</v>
      </c>
      <c r="N258" s="7">
        <f t="shared" si="89"/>
        <v>8.9999999979045242</v>
      </c>
      <c r="O258" s="7"/>
      <c r="P258" s="7"/>
      <c r="Q258" s="22"/>
      <c r="R258" s="190"/>
      <c r="S258" s="196">
        <f t="shared" si="90"/>
        <v>0</v>
      </c>
      <c r="T258" s="190" t="e">
        <f t="shared" si="74"/>
        <v>#VALUE!</v>
      </c>
      <c r="U258" s="190">
        <f>IF(AG258="EC",COUNTIFS(Variables!$M$2:$M$19,IF(T258="NorthBound","&gt;=","&lt;=")&amp;Y258,Variables!$M$2:$M$19,IF(T258="NorthBound","&lt;=","&gt;=")&amp;Z258),COUNTIFS(Variables!$P$2:$P$19,IF(T258="NorthBound","&gt;=","&lt;=")&amp;Y258,Variables!$P$2:$P$19,IF(T258="NorthBound","&lt;=","&gt;=")&amp;Z258))</f>
        <v>0</v>
      </c>
      <c r="V258" s="191" t="str">
        <f t="shared" si="75"/>
        <v>https://d0f6bd738d7f1b3e5a7ca70fe4ff75f0.us-east-1.aws.found.io/app/kibana#/discover/Steve-Slow-Train-Analysis-(2080s-and-2083s)?_g=(refreshInterval:(display:Off,pause:!f,section:0,value:0),time:(from:'2017-05-12T22:44:16-0600',mode:absolute,to:'2017-05-13T01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58" s="192" t="str">
        <f t="shared" si="76"/>
        <v>Y</v>
      </c>
      <c r="X258" s="192" t="e">
        <f t="shared" si="91"/>
        <v>#VALUE!</v>
      </c>
      <c r="Y258" s="192">
        <f t="shared" si="77"/>
        <v>2.9599000000000002</v>
      </c>
      <c r="Z258" s="192">
        <f t="shared" si="78"/>
        <v>1.04E-2</v>
      </c>
      <c r="AA258" s="192">
        <f t="shared" si="79"/>
        <v>2.9495</v>
      </c>
      <c r="AB258" s="57" t="e">
        <f>VLOOKUP(A258,Enforcements!$C$7:$K$13,8,0)</f>
        <v>#N/A</v>
      </c>
      <c r="AC258" s="53" t="e">
        <f>VLOOKUP(A258,Enforcements!$C$7:$E$13,3,0)</f>
        <v>#N/A</v>
      </c>
      <c r="AD258" s="54" t="str">
        <f t="shared" si="80"/>
        <v>85-12</v>
      </c>
      <c r="AE258" s="80" t="str">
        <f t="shared" si="81"/>
        <v>aws s3 cp s3://rtdc.mdm.uploadarchive.raw/RTDC4005/ "%USERPROFILE%\AppData\Local\Temp\OnboardLogs"\RTDC4005\2017-05-13 --exclude "*" --recursive --include "*20170513*" &amp; "%USERPROFILE%\Documents\GitHub\mrs-test-scripts\Headless Mode &amp; Sideloading\WalkAndUnGZ.bat" "%USERPROFILE%\AppData\Local\Temp\OnboardLogs"\RTDC4005\2017-05-13 &amp; aws s3 cp s3://rtdc.mdm.uploadarchive.raw/RTDC4005/ "%USERPROFILE%\AppData\Local\Temp\OnboardLogs"\RTDC4005\2017-05-14 --exclude "*" --recursive --include "*20170514*" &amp; "%USERPROFILE%\Documents\GitHub\mrs-test-scripts\Headless Mode &amp; Sideloading\WalkAndUnGZ.bat" "%USERPROFILE%\AppData\Local\Temp\OnboardLogs"\RTDC4005\2017-05-14</v>
      </c>
      <c r="AF258" s="77" t="str">
        <f t="shared" si="82"/>
        <v>"C:\Program Files (x86)\AstroGrep\AstroGrep.exe" /e /r /s /spath="%USERPROFILE%\AppData\Local\Temp\OnboardLogs" /stypes="app*4005*20170513*" /stext=" 06:.+((SYSTEM_STATE.+slice.+state.+changed )|(ment ac)|(multiple cpu faults)|(system.+state.+changed )|(\[timeout)|(PRM\|1\|D)|(kpr)|(kdp)|(train st.+moving)|(\|lc)|(penalty))"</v>
      </c>
      <c r="AG258" s="1" t="str">
        <f t="shared" si="83"/>
        <v>Other</v>
      </c>
      <c r="AH258" s="81" t="str">
        <f t="shared" si="84"/>
        <v>"%USERPROFILE%\Documents\GitHub\eaglep3\Utilities\RefineRTDCRunTimes.py" --tripid 85-12 --locoid 4005 --swversion DE.1.0.9.0 --startMP 300:29599 --initTime 2017-05-12T23:44:16 --startdatetime 2017-05-13T00:26:18 --delay 1 --endMP 204:104 --enddatetime 2017-05-13T00:35:18 --enforcementcount 0 &gt;&gt;C:\Users\stu\Documents\GitHub\eaglep3-reporting\EC\2017-05-12-refined-times.txt</v>
      </c>
      <c r="AI258" s="99" t="str">
        <f t="shared" si="85"/>
        <v>echo {"issue":{"subject":"","project_id":79,"tracker_id":40,"status_id":1,"priority_id":2,"assigned_to_id":23,"start_date":"2017-05-13","description":"","custom_fields":[{"id":1,"name":"Subdivision","value":"Other"},{"id":4,"name":"Milepost","value":"0.0104"},{"id":17,"name":"Train ID","value":"85-12"},{"id":16,"name":"Locomotive ID","value":"4005"},{"id":130,"name":"Impact","value":""},{"id":150,"name":"Time of Event (Mountain Time)","value":"00:35:18"},{"id":151,"name":"Denver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8" s="20"/>
      <c r="AK258" s="47"/>
      <c r="AL258" s="47"/>
      <c r="AM258" s="145" t="str">
        <f t="shared" si="86"/>
        <v>start /low /b %USERPROFILE%\Documents\GitHub\eaglep3\Utilities\DownloadLogsFromS3.py --loco 4005 --day 2017-05-13</v>
      </c>
      <c r="AN258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06:35:18"},{"id":29,"name":"Sharepoint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9" spans="1:40" x14ac:dyDescent="0.25">
      <c r="A259" s="32" t="s">
        <v>598</v>
      </c>
      <c r="B259" s="7">
        <v>4005</v>
      </c>
      <c r="C259" s="21" t="s">
        <v>206</v>
      </c>
      <c r="D259" s="21" t="s">
        <v>1012</v>
      </c>
      <c r="E259" s="13">
        <v>42867.978784722225</v>
      </c>
      <c r="F259" s="13">
        <v>42868.018263888887</v>
      </c>
      <c r="G259" s="7">
        <v>2</v>
      </c>
      <c r="H259" s="21" t="s">
        <v>1011</v>
      </c>
      <c r="I259" s="13">
        <v>42868.024513888886</v>
      </c>
      <c r="J259" s="7">
        <v>0</v>
      </c>
      <c r="K259" s="92" t="str">
        <f t="shared" si="72"/>
        <v>4005/4006</v>
      </c>
      <c r="L259" s="21" t="str">
        <f>VLOOKUP(A259,'Trips&amp;Operators'!$C$1:$G$99999,5,FALSE)</f>
        <v>WILLIAMS DONTE</v>
      </c>
      <c r="M259" s="6">
        <f t="shared" si="73"/>
        <v>6.2499999985448085E-3</v>
      </c>
      <c r="N259" s="7">
        <f t="shared" si="89"/>
        <v>8.9999999979045242</v>
      </c>
      <c r="O259" s="7"/>
      <c r="P259" s="7"/>
      <c r="Q259" s="22"/>
      <c r="R259" s="190"/>
      <c r="S259" s="196">
        <f t="shared" si="90"/>
        <v>0</v>
      </c>
      <c r="T259" s="190" t="e">
        <f t="shared" si="74"/>
        <v>#VALUE!</v>
      </c>
      <c r="U259" s="190">
        <f>IF(AG259="EC",COUNTIFS(Variables!$M$2:$M$19,IF(T259="NorthBound","&gt;=","&lt;=")&amp;Y259,Variables!$M$2:$M$19,IF(T259="NorthBound","&lt;=","&gt;=")&amp;Z259),COUNTIFS(Variables!$P$2:$P$19,IF(T259="NorthBound","&gt;=","&lt;=")&amp;Y259,Variables!$P$2:$P$19,IF(T259="NorthBound","&lt;=","&gt;=")&amp;Z259))</f>
        <v>0</v>
      </c>
      <c r="V259" s="191" t="str">
        <f t="shared" si="75"/>
        <v>https://d0f6bd738d7f1b3e5a7ca70fe4ff75f0.us-east-1.aws.found.io/app/kibana#/discover/Steve-Slow-Train-Analysis-(2080s-and-2083s)?_g=(refreshInterval:(display:Off,pause:!f,section:0,value:0),time:(from:'2017-05-12T22:29:27-0600',mode:absolute,to:'2017-05-13T01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59" s="192" t="str">
        <f t="shared" si="76"/>
        <v>Y</v>
      </c>
      <c r="X259" s="192" t="e">
        <f t="shared" si="91"/>
        <v>#VALUE!</v>
      </c>
      <c r="Y259" s="192">
        <f t="shared" si="77"/>
        <v>3.0689000000000002</v>
      </c>
      <c r="Z259" s="192">
        <f t="shared" si="78"/>
        <v>1.04E-2</v>
      </c>
      <c r="AA259" s="192">
        <f t="shared" si="79"/>
        <v>3.0585</v>
      </c>
      <c r="AB259" s="57" t="e">
        <f>VLOOKUP(A259,Enforcements!$C$7:$K$13,8,0)</f>
        <v>#N/A</v>
      </c>
      <c r="AC259" s="53" t="e">
        <f>VLOOKUP(A259,Enforcements!$C$7:$E$13,3,0)</f>
        <v>#N/A</v>
      </c>
      <c r="AD259" s="54" t="str">
        <f t="shared" si="80"/>
        <v>85-12</v>
      </c>
      <c r="AE259" s="80" t="str">
        <f t="shared" si="81"/>
        <v>aws s3 cp s3://rtdc.mdm.uploadarchive.raw/RTDC4005/ "%USERPROFILE%\AppData\Local\Temp\OnboardLogs"\RTDC4005\2017-05-13 --exclude "*" --recursive --include "*20170513*" &amp; "%USERPROFILE%\Documents\GitHub\mrs-test-scripts\Headless Mode &amp; Sideloading\WalkAndUnGZ.bat" "%USERPROFILE%\AppData\Local\Temp\OnboardLogs"\RTDC4005\2017-05-13 &amp; aws s3 cp s3://rtdc.mdm.uploadarchive.raw/RTDC4005/ "%USERPROFILE%\AppData\Local\Temp\OnboardLogs"\RTDC4005\2017-05-14 --exclude "*" --recursive --include "*20170514*" &amp; "%USERPROFILE%\Documents\GitHub\mrs-test-scripts\Headless Mode &amp; Sideloading\WalkAndUnGZ.bat" "%USERPROFILE%\AppData\Local\Temp\OnboardLogs"\RTDC4005\2017-05-14</v>
      </c>
      <c r="AF259" s="77" t="str">
        <f t="shared" si="82"/>
        <v>"C:\Program Files (x86)\AstroGrep\AstroGrep.exe" /e /r /s /spath="%USERPROFILE%\AppData\Local\Temp\OnboardLogs" /stypes="app*4005*20170513*" /stext=" 06:.+((SYSTEM_STATE.+slice.+state.+changed )|(ment ac)|(multiple cpu faults)|(system.+state.+changed )|(\[timeout)|(PRM\|1\|D)|(kpr)|(kdp)|(train st.+moving)|(\|lc)|(penalty))"</v>
      </c>
      <c r="AG259" s="1" t="str">
        <f t="shared" si="83"/>
        <v>Other</v>
      </c>
      <c r="AH259" s="81" t="str">
        <f t="shared" si="84"/>
        <v>"%USERPROFILE%\Documents\GitHub\eaglep3\Utilities\RefineRTDCRunTimes.py" --tripid 85-12 --locoid 4005 --swversion DE.1.0.9.0 --startMP 300:30689 --initTime 2017-05-12T23:29:27 --startdatetime 2017-05-13T00:26:18 --delay 2 --endMP 204:104 --enddatetime 2017-05-13T00:35:18 --enforcementcount 0 &gt;&gt;C:\Users\stu\Documents\GitHub\eaglep3-reporting\EC\2017-05-12-refined-times.txt</v>
      </c>
      <c r="AI259" s="99" t="str">
        <f t="shared" si="85"/>
        <v>echo {"issue":{"subject":"","project_id":79,"tracker_id":40,"status_id":1,"priority_id":2,"assigned_to_id":23,"start_date":"2017-05-13","description":"","custom_fields":[{"id":1,"name":"Subdivision","value":"Other"},{"id":4,"name":"Milepost","value":"0.0104"},{"id":17,"name":"Train ID","value":"85-12"},{"id":16,"name":"Locomotive ID","value":"4005"},{"id":130,"name":"Impact","value":""},{"id":150,"name":"Time of Event (Mountain Time)","value":"00:35:18"},{"id":151,"name":"Denver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9" s="20"/>
      <c r="AK259" s="47"/>
      <c r="AL259" s="47"/>
      <c r="AM259" s="145" t="str">
        <f t="shared" si="86"/>
        <v>start /low /b %USERPROFILE%\Documents\GitHub\eaglep3\Utilities\DownloadLogsFromS3.py --loco 4005 --day 2017-05-13</v>
      </c>
      <c r="AN259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06:35:18"},{"id":29,"name":"Sharepoint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0" spans="1:40" x14ac:dyDescent="0.25">
      <c r="A260" s="32" t="s">
        <v>598</v>
      </c>
      <c r="B260" s="7">
        <v>4005</v>
      </c>
      <c r="C260" s="21" t="s">
        <v>206</v>
      </c>
      <c r="D260" s="21" t="s">
        <v>1013</v>
      </c>
      <c r="E260" s="13">
        <v>42868.015983796293</v>
      </c>
      <c r="F260" s="13">
        <v>42868.018263888887</v>
      </c>
      <c r="G260" s="7">
        <v>2</v>
      </c>
      <c r="H260" s="21" t="s">
        <v>1014</v>
      </c>
      <c r="I260" s="13">
        <v>42868.024513888886</v>
      </c>
      <c r="J260" s="7">
        <v>0</v>
      </c>
      <c r="K260" s="92" t="str">
        <f t="shared" si="72"/>
        <v>4005/4006</v>
      </c>
      <c r="L260" s="21" t="str">
        <f>VLOOKUP(A260,'Trips&amp;Operators'!$C$1:$G$99999,5,FALSE)</f>
        <v>WILLIAMS DONTE</v>
      </c>
      <c r="M260" s="6">
        <f t="shared" si="73"/>
        <v>6.2499999985448085E-3</v>
      </c>
      <c r="N260" s="7">
        <f t="shared" si="89"/>
        <v>8.9999999979045242</v>
      </c>
      <c r="O260" s="7"/>
      <c r="P260" s="7"/>
      <c r="Q260" s="22"/>
      <c r="R260" s="190"/>
      <c r="S260" s="196">
        <f t="shared" si="90"/>
        <v>0</v>
      </c>
      <c r="T260" s="190" t="e">
        <f t="shared" si="74"/>
        <v>#VALUE!</v>
      </c>
      <c r="U260" s="190">
        <f>IF(AG260="EC",COUNTIFS(Variables!$M$2:$M$19,IF(T260="NorthBound","&gt;=","&lt;=")&amp;Y260,Variables!$M$2:$M$19,IF(T260="NorthBound","&lt;=","&gt;=")&amp;Z260),COUNTIFS(Variables!$P$2:$P$19,IF(T260="NorthBound","&gt;=","&lt;=")&amp;Y260,Variables!$P$2:$P$19,IF(T260="NorthBound","&lt;=","&gt;=")&amp;Z260))</f>
        <v>0</v>
      </c>
      <c r="V260" s="191" t="str">
        <f t="shared" si="75"/>
        <v>https://d0f6bd738d7f1b3e5a7ca70fe4ff75f0.us-east-1.aws.found.io/app/kibana#/discover/Steve-Slow-Train-Analysis-(2080s-and-2083s)?_g=(refreshInterval:(display:Off,pause:!f,section:0,value:0),time:(from:'2017-05-12T23:23:01-0600',mode:absolute,to:'2017-05-13T01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60" s="192" t="str">
        <f t="shared" si="76"/>
        <v>Y</v>
      </c>
      <c r="X260" s="192" t="e">
        <f t="shared" si="91"/>
        <v>#VALUE!</v>
      </c>
      <c r="Y260" s="192">
        <f t="shared" si="77"/>
        <v>3.0817999999999999</v>
      </c>
      <c r="Z260" s="192">
        <f t="shared" si="78"/>
        <v>8.3999999999999995E-3</v>
      </c>
      <c r="AA260" s="192">
        <f t="shared" si="79"/>
        <v>3.0733999999999999</v>
      </c>
      <c r="AB260" s="57" t="e">
        <f>VLOOKUP(A260,Enforcements!$C$7:$K$13,8,0)</f>
        <v>#N/A</v>
      </c>
      <c r="AC260" s="53" t="e">
        <f>VLOOKUP(A260,Enforcements!$C$7:$E$13,3,0)</f>
        <v>#N/A</v>
      </c>
      <c r="AD260" s="54" t="str">
        <f t="shared" si="80"/>
        <v>85-12</v>
      </c>
      <c r="AE260" s="80" t="str">
        <f t="shared" si="81"/>
        <v>aws s3 cp s3://rtdc.mdm.uploadarchive.raw/RTDC4005/ "%USERPROFILE%\AppData\Local\Temp\OnboardLogs"\RTDC4005\2017-05-13 --exclude "*" --recursive --include "*20170513*" &amp; "%USERPROFILE%\Documents\GitHub\mrs-test-scripts\Headless Mode &amp; Sideloading\WalkAndUnGZ.bat" "%USERPROFILE%\AppData\Local\Temp\OnboardLogs"\RTDC4005\2017-05-13 &amp; aws s3 cp s3://rtdc.mdm.uploadarchive.raw/RTDC4005/ "%USERPROFILE%\AppData\Local\Temp\OnboardLogs"\RTDC4005\2017-05-14 --exclude "*" --recursive --include "*20170514*" &amp; "%USERPROFILE%\Documents\GitHub\mrs-test-scripts\Headless Mode &amp; Sideloading\WalkAndUnGZ.bat" "%USERPROFILE%\AppData\Local\Temp\OnboardLogs"\RTDC4005\2017-05-14</v>
      </c>
      <c r="AF260" s="77" t="str">
        <f t="shared" si="82"/>
        <v>"C:\Program Files (x86)\AstroGrep\AstroGrep.exe" /e /r /s /spath="%USERPROFILE%\AppData\Local\Temp\OnboardLogs" /stypes="app*4005*20170513*" /stext=" 06:.+((SYSTEM_STATE.+slice.+state.+changed )|(ment ac)|(multiple cpu faults)|(system.+state.+changed )|(\[timeout)|(PRM\|1\|D)|(kpr)|(kdp)|(train st.+moving)|(\|lc)|(penalty))"</v>
      </c>
      <c r="AG260" s="1" t="str">
        <f t="shared" si="83"/>
        <v>Other</v>
      </c>
      <c r="AH260" s="81" t="str">
        <f t="shared" si="84"/>
        <v>"%USERPROFILE%\Documents\GitHub\eaglep3\Utilities\RefineRTDCRunTimes.py" --tripid 85-12 --locoid 4005 --swversion DE.1.0.9.0 --startMP 300:30818 --initTime 2017-05-13T00:23:01 --startdatetime 2017-05-13T00:26:18 --delay 2 --endMP 204:84 --enddatetime 2017-05-13T00:35:18 --enforcementcount 0 &gt;&gt;C:\Users\stu\Documents\GitHub\eaglep3-reporting\EC\2017-05-12-refined-times.txt</v>
      </c>
      <c r="AI260" s="99" t="str">
        <f t="shared" si="85"/>
        <v>echo {"issue":{"subject":"","project_id":79,"tracker_id":40,"status_id":1,"priority_id":2,"assigned_to_id":23,"start_date":"2017-05-13","description":"","custom_fields":[{"id":1,"name":"Subdivision","value":"Other"},{"id":4,"name":"Milepost","value":"0.0084"},{"id":17,"name":"Train ID","value":"85-12"},{"id":16,"name":"Locomotive ID","value":"4005"},{"id":130,"name":"Impact","value":""},{"id":150,"name":"Time of Event (Mountain Time)","value":"00:35:18"},{"id":151,"name":"Denver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0" s="20"/>
      <c r="AK260" s="47"/>
      <c r="AL260" s="47"/>
      <c r="AM260" s="145" t="str">
        <f t="shared" si="86"/>
        <v>start /low /b %USERPROFILE%\Documents\GitHub\eaglep3\Utilities\DownloadLogsFromS3.py --loco 4005 --day 2017-05-13</v>
      </c>
      <c r="AN260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06:35:18"},{"id":29,"name":"Sharepoint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1" spans="1:40" x14ac:dyDescent="0.25">
      <c r="A261" s="32" t="s">
        <v>795</v>
      </c>
      <c r="B261" s="7">
        <v>4006</v>
      </c>
      <c r="C261" s="21" t="s">
        <v>206</v>
      </c>
      <c r="D261" s="21" t="s">
        <v>1015</v>
      </c>
      <c r="E261" s="13">
        <v>42868.002835648149</v>
      </c>
      <c r="F261" s="13">
        <v>42868.00508101852</v>
      </c>
      <c r="G261" s="7">
        <v>2</v>
      </c>
      <c r="H261" s="21" t="s">
        <v>1016</v>
      </c>
      <c r="I261" s="13">
        <v>42868.01048611111</v>
      </c>
      <c r="J261" s="7">
        <v>0</v>
      </c>
      <c r="K261" s="92" t="str">
        <f t="shared" si="72"/>
        <v>4005/4006</v>
      </c>
      <c r="L261" s="21" t="str">
        <f>VLOOKUP(A261,'Trips&amp;Operators'!$C$1:$G$99999,5,FALSE)</f>
        <v>WILLIAMS DONTE</v>
      </c>
      <c r="M261" s="6">
        <f t="shared" si="73"/>
        <v>5.4050925900810398E-3</v>
      </c>
      <c r="N261" s="7">
        <f t="shared" si="89"/>
        <v>7.7833333297166973</v>
      </c>
      <c r="O261" s="7"/>
      <c r="P261" s="7"/>
      <c r="Q261" s="22"/>
      <c r="R261" s="190"/>
      <c r="S261" s="196">
        <f t="shared" si="90"/>
        <v>0</v>
      </c>
      <c r="T261" s="190" t="e">
        <f t="shared" si="74"/>
        <v>#VALUE!</v>
      </c>
      <c r="U261" s="190">
        <f>IF(AG261="EC",COUNTIFS(Variables!$M$2:$M$19,IF(T261="NorthBound","&gt;=","&lt;=")&amp;Y261,Variables!$M$2:$M$19,IF(T261="NorthBound","&lt;=","&gt;=")&amp;Z261),COUNTIFS(Variables!$P$2:$P$19,IF(T261="NorthBound","&gt;=","&lt;=")&amp;Y261,Variables!$P$2:$P$19,IF(T261="NorthBound","&lt;=","&gt;=")&amp;Z261))</f>
        <v>0</v>
      </c>
      <c r="V261" s="191" t="str">
        <f t="shared" si="75"/>
        <v>https://d0f6bd738d7f1b3e5a7ca70fe4ff75f0.us-east-1.aws.found.io/app/kibana#/discover/Steve-Slow-Train-Analysis-(2080s-and-2083s)?_g=(refreshInterval:(display:Off,pause:!f,section:0,value:0),time:(from:'2017-05-12T23:04:05-0600',mode:absolute,to:'2017-05-13T01:15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61" s="192" t="str">
        <f t="shared" si="76"/>
        <v>Y</v>
      </c>
      <c r="X261" s="192" t="e">
        <f t="shared" si="91"/>
        <v>#VALUE!</v>
      </c>
      <c r="Y261" s="192">
        <f t="shared" si="77"/>
        <v>4.1000000000000002E-2</v>
      </c>
      <c r="Z261" s="192">
        <f t="shared" si="78"/>
        <v>3.1135999999999999</v>
      </c>
      <c r="AA261" s="192">
        <f t="shared" si="79"/>
        <v>3.0726</v>
      </c>
      <c r="AB261" s="57" t="e">
        <f>VLOOKUP(A261,Enforcements!$C$7:$K$13,8,0)</f>
        <v>#N/A</v>
      </c>
      <c r="AC261" s="53" t="e">
        <f>VLOOKUP(A261,Enforcements!$C$7:$E$13,3,0)</f>
        <v>#N/A</v>
      </c>
      <c r="AD261" s="54" t="str">
        <f t="shared" si="80"/>
        <v>87-12</v>
      </c>
      <c r="AE261" s="80" t="str">
        <f t="shared" si="81"/>
        <v>aws s3 cp s3://rtdc.mdm.uploadarchive.raw/RTDC4006/ "%USERPROFILE%\AppData\Local\Temp\OnboardLogs"\RTDC4006\2017-05-13 --exclude "*" --recursive --include "*20170513*" &amp; "%USERPROFILE%\Documents\GitHub\mrs-test-scripts\Headless Mode &amp; Sideloading\WalkAndUnGZ.bat" "%USERPROFILE%\AppData\Local\Temp\OnboardLogs"\RTDC4006\2017-05-13 &amp; aws s3 cp s3://rtdc.mdm.uploadarchive.raw/RTDC4006/ "%USERPROFILE%\AppData\Local\Temp\OnboardLogs"\RTDC4006\2017-05-14 --exclude "*" --recursive --include "*20170514*" &amp; "%USERPROFILE%\Documents\GitHub\mrs-test-scripts\Headless Mode &amp; Sideloading\WalkAndUnGZ.bat" "%USERPROFILE%\AppData\Local\Temp\OnboardLogs"\RTDC4006\2017-05-14</v>
      </c>
      <c r="AF261" s="77" t="str">
        <f t="shared" si="82"/>
        <v>"C:\Program Files (x86)\AstroGrep\AstroGrep.exe" /e /r /s /spath="%USERPROFILE%\AppData\Local\Temp\OnboardLogs" /stypes="app*4006*20170513*" /stext=" 06:.+((SYSTEM_STATE.+slice.+state.+changed )|(ment ac)|(multiple cpu faults)|(system.+state.+changed )|(\[timeout)|(PRM\|1\|D)|(kpr)|(kdp)|(train st.+moving)|(\|lc)|(penalty))"</v>
      </c>
      <c r="AG261" s="1" t="str">
        <f t="shared" si="83"/>
        <v>Other</v>
      </c>
      <c r="AH261" s="81" t="str">
        <f t="shared" si="84"/>
        <v>"%USERPROFILE%\Documents\GitHub\eaglep3\Utilities\RefineRTDCRunTimes.py" --tripid 87-12 --locoid 4006 --swversion DE.1.0.9.0 --startMP 204:410 --initTime 2017-05-13T00:04:05 --startdatetime 2017-05-13T00:07:19 --delay 2 --endMP 300:31136 --enddatetime 2017-05-13T00:15:06 --enforcementcount 0 &gt;&gt;C:\Users\stu\Documents\GitHub\eaglep3-reporting\EC\2017-05-12-refined-times.txt</v>
      </c>
      <c r="AI261" s="99" t="str">
        <f t="shared" si="85"/>
        <v>echo {"issue":{"subject":"","project_id":79,"tracker_id":40,"status_id":1,"priority_id":2,"assigned_to_id":23,"start_date":"2017-05-13","description":"","custom_fields":[{"id":1,"name":"Subdivision","value":"Other"},{"id":4,"name":"Milepost","value":"3.1136"},{"id":17,"name":"Train ID","value":"87-12"},{"id":16,"name":"Locomotive ID","value":"4006"},{"id":130,"name":"Impact","value":""},{"id":150,"name":"Time of Event (Mountain Time)","value":"00:15:06"},{"id":151,"name":"Denver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1" s="20"/>
      <c r="AK261" s="47"/>
      <c r="AL261" s="47"/>
      <c r="AM261" s="145" t="str">
        <f t="shared" si="86"/>
        <v>start /low /b %USERPROFILE%\Documents\GitHub\eaglep3\Utilities\DownloadLogsFromS3.py --loco 4006 --day 2017-05-13</v>
      </c>
      <c r="AN261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06:15:06"},{"id":29,"name":"Sharepoint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2" spans="1:40" x14ac:dyDescent="0.25">
      <c r="A262" s="32" t="s">
        <v>748</v>
      </c>
      <c r="B262" s="7">
        <v>4025</v>
      </c>
      <c r="C262" s="21" t="s">
        <v>206</v>
      </c>
      <c r="D262" s="21" t="s">
        <v>1017</v>
      </c>
      <c r="E262" s="13">
        <v>42867.743333333332</v>
      </c>
      <c r="F262" s="13">
        <v>42867.748923611114</v>
      </c>
      <c r="G262" s="7">
        <v>7</v>
      </c>
      <c r="H262" s="21" t="s">
        <v>1018</v>
      </c>
      <c r="I262" s="13">
        <v>42867.763831018521</v>
      </c>
      <c r="J262" s="7">
        <v>0</v>
      </c>
      <c r="K262" s="92" t="str">
        <f t="shared" si="72"/>
        <v>4025/4026</v>
      </c>
      <c r="L262" s="21" t="str">
        <f>VLOOKUP(A262,'Trips&amp;Operators'!$C$1:$G$99999,5,FALSE)</f>
        <v>DUNCAN SHEILA</v>
      </c>
      <c r="M262" s="6">
        <f t="shared" si="73"/>
        <v>1.4907407407008577E-2</v>
      </c>
      <c r="N262" s="7">
        <f t="shared" si="89"/>
        <v>21.466666666092351</v>
      </c>
      <c r="O262" s="7"/>
      <c r="P262" s="7"/>
      <c r="Q262" s="22"/>
      <c r="R262" s="190"/>
      <c r="S262" s="196">
        <f t="shared" si="90"/>
        <v>0</v>
      </c>
      <c r="T262" s="190" t="e">
        <f t="shared" si="74"/>
        <v>#VALUE!</v>
      </c>
      <c r="U262" s="190">
        <f>IF(AG262="EC",COUNTIFS(Variables!$M$2:$M$19,IF(T262="NorthBound","&gt;=","&lt;=")&amp;Y262,Variables!$M$2:$M$19,IF(T262="NorthBound","&lt;=","&gt;=")&amp;Z262),COUNTIFS(Variables!$P$2:$P$19,IF(T262="NorthBound","&gt;=","&lt;=")&amp;Y262,Variables!$P$2:$P$19,IF(T262="NorthBound","&lt;=","&gt;=")&amp;Z262))</f>
        <v>0</v>
      </c>
      <c r="V262" s="191" t="str">
        <f t="shared" si="75"/>
        <v>https://d0f6bd738d7f1b3e5a7ca70fe4ff75f0.us-east-1.aws.found.io/app/kibana#/discover/Steve-Slow-Train-Analysis-(2080s-and-2083s)?_g=(refreshInterval:(display:Off,pause:!f,section:0,value:0),time:(from:'2017-05-12T16:50:24-0600',mode:absolute,to:'2017-05-12T19:19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62" s="192" t="str">
        <f t="shared" si="76"/>
        <v>Y</v>
      </c>
      <c r="X262" s="192" t="e">
        <f t="shared" si="91"/>
        <v>#VALUE!</v>
      </c>
      <c r="Y262" s="192">
        <f t="shared" si="77"/>
        <v>2.355</v>
      </c>
      <c r="Z262" s="192">
        <f t="shared" si="78"/>
        <v>0.20369999999999999</v>
      </c>
      <c r="AA262" s="192">
        <f t="shared" si="79"/>
        <v>2.1513</v>
      </c>
      <c r="AB262" s="57" t="e">
        <f>VLOOKUP(A262,Enforcements!$C$7:$K$13,8,0)</f>
        <v>#N/A</v>
      </c>
      <c r="AC262" s="53" t="e">
        <f>VLOOKUP(A262,Enforcements!$C$7:$E$13,3,0)</f>
        <v>#N/A</v>
      </c>
      <c r="AD262" s="54" t="str">
        <f t="shared" si="80"/>
        <v>88-12</v>
      </c>
      <c r="AE262" s="80" t="str">
        <f t="shared" si="81"/>
        <v>aws s3 cp s3://rtdc.mdm.uploadarchive.raw/RTDC4025/ "%USERPROFILE%\AppData\Local\Temp\OnboardLogs"\RTDC4025\2017-05-12 --exclude "*" --recursive --include "*20170512*" &amp; "%USERPROFILE%\Documents\GitHub\mrs-test-scripts\Headless Mode &amp; Sideloading\WalkAndUnGZ.bat" "%USERPROFILE%\AppData\Local\Temp\OnboardLogs"\RTDC4025\2017-05-12 &amp; aws s3 cp s3://rtdc.mdm.uploadarchive.raw/RTDC4025/ "%USERPROFILE%\AppData\Local\Temp\OnboardLogs"\RTDC4025\2017-05-13 --exclude "*" --recursive --include "*20170513*" &amp; "%USERPROFILE%\Documents\GitHub\mrs-test-scripts\Headless Mode &amp; Sideloading\WalkAndUnGZ.bat" "%USERPROFILE%\AppData\Local\Temp\OnboardLogs"\RTDC4025\2017-05-13</v>
      </c>
      <c r="AF262" s="77" t="str">
        <f t="shared" si="82"/>
        <v>"C:\Program Files (x86)\AstroGrep\AstroGrep.exe" /e /r /s /spath="%USERPROFILE%\AppData\Local\Temp\OnboardLogs" /stypes="app*4025*20170513*" /stext=" 00:.+((SYSTEM_STATE.+slice.+state.+changed )|(ment ac)|(multiple cpu faults)|(system.+state.+changed )|(\[timeout)|(PRM\|1\|D)|(kpr)|(kdp)|(train st.+moving)|(\|lc)|(penalty))"</v>
      </c>
      <c r="AG262" s="1" t="str">
        <f t="shared" si="83"/>
        <v>Other</v>
      </c>
      <c r="AH262" s="81" t="str">
        <f t="shared" si="84"/>
        <v>"%USERPROFILE%\Documents\GitHub\eaglep3\Utilities\RefineRTDCRunTimes.py" --tripid 88-12 --locoid 4025 --swversion DE.1.0.9.0 --startMP 300:23550 --initTime 2017-05-12T17:50:24 --startdatetime 2017-05-12T17:58:27 --delay 7 --endMP 204:2037 --enddatetime 2017-05-12T18:19:55 --enforcementcount 0 &gt;&gt;C:\Users\stu\Documents\GitHub\eaglep3-reporting\EC\2017-05-12-refined-times.txt</v>
      </c>
      <c r="AI262" s="99" t="str">
        <f t="shared" si="85"/>
        <v>echo {"issue":{"subject":"","project_id":79,"tracker_id":40,"status_id":1,"priority_id":2,"assigned_to_id":23,"start_date":"2017-05-12","description":"","custom_fields":[{"id":1,"name":"Subdivision","value":"Other"},{"id":4,"name":"Milepost","value":"0.2037"},{"id":17,"name":"Train ID","value":"88-12"},{"id":16,"name":"Locomotive ID","value":"4025"},{"id":130,"name":"Impact","value":""},{"id":150,"name":"Time of Event (Mountain Time)","value":"18:19:55"},{"id":151,"name":"Denver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2" s="20"/>
      <c r="AK262" s="47"/>
      <c r="AL262" s="47"/>
      <c r="AM262" s="145" t="str">
        <f t="shared" si="86"/>
        <v>start /low /b %USERPROFILE%\Documents\GitHub\eaglep3\Utilities\DownloadLogsFromS3.py --loco 4025 --day 2017-05-12</v>
      </c>
      <c r="AN262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00:19:55"},{"id":29,"name":"Sharepoint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3" spans="1:40" x14ac:dyDescent="0.25">
      <c r="A263" s="32" t="s">
        <v>751</v>
      </c>
      <c r="B263" s="7">
        <v>4017</v>
      </c>
      <c r="C263" s="21" t="s">
        <v>206</v>
      </c>
      <c r="D263" s="21" t="s">
        <v>1019</v>
      </c>
      <c r="E263" s="13">
        <v>42867.755289351851</v>
      </c>
      <c r="F263" s="13">
        <v>42867.756076388891</v>
      </c>
      <c r="G263" s="7">
        <v>0</v>
      </c>
      <c r="H263" s="21" t="s">
        <v>529</v>
      </c>
      <c r="I263" s="13">
        <v>42867.760844907411</v>
      </c>
      <c r="J263" s="7">
        <v>0</v>
      </c>
      <c r="K263" s="92" t="str">
        <f t="shared" si="72"/>
        <v>4017/4018</v>
      </c>
      <c r="L263" s="21" t="str">
        <f>VLOOKUP(A263,'Trips&amp;Operators'!$C$1:$G$99999,5,FALSE)</f>
        <v>BIRENBAUM THOMAS</v>
      </c>
      <c r="M263" s="6">
        <f t="shared" si="73"/>
        <v>4.7685185199952684E-3</v>
      </c>
      <c r="N263" s="7"/>
      <c r="O263" s="7"/>
      <c r="P263" s="7">
        <f t="shared" si="89"/>
        <v>6.8666666687931865</v>
      </c>
      <c r="Q263" s="22"/>
      <c r="R263" s="190" t="s">
        <v>554</v>
      </c>
      <c r="S263" s="196">
        <f t="shared" si="90"/>
        <v>0</v>
      </c>
      <c r="T263" s="190" t="e">
        <f t="shared" si="74"/>
        <v>#VALUE!</v>
      </c>
      <c r="U263" s="190">
        <f>IF(AG263="EC",COUNTIFS(Variables!$M$2:$M$19,IF(T263="NorthBound","&gt;=","&lt;=")&amp;Y263,Variables!$M$2:$M$19,IF(T263="NorthBound","&lt;=","&gt;=")&amp;Z263),COUNTIFS(Variables!$P$2:$P$19,IF(T263="NorthBound","&gt;=","&lt;=")&amp;Y263,Variables!$P$2:$P$19,IF(T263="NorthBound","&lt;=","&gt;=")&amp;Z263))</f>
        <v>0</v>
      </c>
      <c r="V263" s="191" t="str">
        <f t="shared" si="75"/>
        <v>https://d0f6bd738d7f1b3e5a7ca70fe4ff75f0.us-east-1.aws.found.io/app/kibana#/discover/Steve-Slow-Train-Analysis-(2080s-and-2083s)?_g=(refreshInterval:(display:Off,pause:!f,section:0,value:0),time:(from:'2017-05-12T17:07:37-0600',mode:absolute,to:'2017-05-12T19:15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63" s="192" t="str">
        <f t="shared" si="76"/>
        <v>Y</v>
      </c>
      <c r="X263" s="192" t="e">
        <f t="shared" si="91"/>
        <v>#VALUE!</v>
      </c>
      <c r="Y263" s="192">
        <f t="shared" si="77"/>
        <v>1.8824000000000001</v>
      </c>
      <c r="Z263" s="192">
        <f t="shared" si="78"/>
        <v>1.4E-2</v>
      </c>
      <c r="AA263" s="192">
        <f t="shared" si="79"/>
        <v>1.8684000000000001</v>
      </c>
      <c r="AB263" s="57" t="e">
        <f>VLOOKUP(A263,Enforcements!$C$7:$K$13,8,0)</f>
        <v>#N/A</v>
      </c>
      <c r="AC263" s="53" t="e">
        <f>VLOOKUP(A263,Enforcements!$C$7:$E$13,3,0)</f>
        <v>#N/A</v>
      </c>
      <c r="AD263" s="54" t="str">
        <f t="shared" si="80"/>
        <v>89-12</v>
      </c>
      <c r="AE263" s="80" t="str">
        <f t="shared" si="81"/>
        <v>aws s3 cp s3://rtdc.mdm.uploadarchive.raw/RTDC4017/ "%USERPROFILE%\AppData\Local\Temp\OnboardLogs"\RTDC4017\2017-05-12 --exclude "*" --recursive --include "*20170512*" &amp; "%USERPROFILE%\Documents\GitHub\mrs-test-scripts\Headless Mode &amp; Sideloading\WalkAndUnGZ.bat" "%USERPROFILE%\AppData\Local\Temp\OnboardLogs"\RTDC4017\2017-05-12 &amp; aws s3 cp s3://rtdc.mdm.uploadarchive.raw/RTDC4017/ "%USERPROFILE%\AppData\Local\Temp\OnboardLogs"\RTDC4017\2017-05-13 --exclude "*" --recursive --include "*20170513*" &amp; "%USERPROFILE%\Documents\GitHub\mrs-test-scripts\Headless Mode &amp; Sideloading\WalkAndUnGZ.bat" "%USERPROFILE%\AppData\Local\Temp\OnboardLogs"\RTDC4017\2017-05-13</v>
      </c>
      <c r="AF263" s="77" t="str">
        <f t="shared" si="82"/>
        <v>"C:\Program Files (x86)\AstroGrep\AstroGrep.exe" /e /r /s /spath="%USERPROFILE%\AppData\Local\Temp\OnboardLogs" /stypes="app*4017*20170513*" /stext=" 00:.+((SYSTEM_STATE.+slice.+state.+changed )|(ment ac)|(multiple cpu faults)|(system.+state.+changed )|(\[timeout)|(PRM\|1\|D)|(kpr)|(kdp)|(train st.+moving)|(\|lc)|(penalty))"</v>
      </c>
      <c r="AG263" s="1" t="str">
        <f t="shared" si="83"/>
        <v>Other</v>
      </c>
      <c r="AH263" s="81" t="str">
        <f t="shared" si="84"/>
        <v>"%USERPROFILE%\Documents\GitHub\eaglep3\Utilities\RefineRTDCRunTimes.py" --tripid 89-12 --locoid 4017 --swversion DE.1.0.9.0 --startMP 300:18824 --initTime 2017-05-12T18:07:37 --startdatetime 2017-05-12T18:08:45 --delay 0 --endMP 204:140 --enddatetime 2017-05-12T18:15:37 --enforcementcount 0 &gt;&gt;C:\Users\stu\Documents\GitHub\eaglep3-reporting\EC\2017-05-12-refined-times.txt</v>
      </c>
      <c r="AI263" s="99" t="str">
        <f t="shared" si="85"/>
        <v>echo {"issue":{"subject":"Onboard in-route failure","project_id":79,"tracker_id":40,"status_id":1,"priority_id":2,"assigned_to_id":23,"start_date":"2017-05-12","description":"","custom_fields":[{"id":1,"name":"Subdivision","value":"Other"},{"id":4,"name":"Milepost","value":"0.014"},{"id":17,"name":"Train ID","value":"89-12"},{"id":16,"name":"Locomotive ID","value":"4017"},{"id":130,"name":"Impact","value":""},{"id":150,"name":"Time of Event (Mountain Time)","value":"18:15:37"},{"id":151,"name":"Denver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3" s="20"/>
      <c r="AK263" s="47"/>
      <c r="AL263" s="47"/>
      <c r="AM263" s="145" t="str">
        <f t="shared" si="86"/>
        <v>start /low /b %USERPROFILE%\Documents\GitHub\eaglep3\Utilities\DownloadLogsFromS3.py --loco 4017 --day 2017-05-12</v>
      </c>
      <c r="AN263" s="154" t="str">
        <f t="shared" si="87"/>
        <v>echo {"issue":{"subject":"Onboard in-route failure","project_id":30,"tracker_id":4,"status_id":1,"priority_id":1,"assigned_to_id":10,"start_date":"2017-05-13","description":"","custom_fields":[{"id":30,"name":"Category","value":"Issue"},{"id":3,"name":"Functional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00:15:37"},{"id":29,"name":"Sharepoint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4" spans="1:40" x14ac:dyDescent="0.25">
      <c r="A264" s="32" t="s">
        <v>751</v>
      </c>
      <c r="B264" s="7">
        <v>4017</v>
      </c>
      <c r="C264" s="21" t="s">
        <v>206</v>
      </c>
      <c r="D264" s="21" t="s">
        <v>1020</v>
      </c>
      <c r="E264" s="13">
        <v>42867.74391203704</v>
      </c>
      <c r="F264" s="13">
        <v>42867.756076388891</v>
      </c>
      <c r="G264" s="7">
        <v>11</v>
      </c>
      <c r="H264" s="21" t="s">
        <v>1021</v>
      </c>
      <c r="I264" s="13">
        <v>42867.760844907411</v>
      </c>
      <c r="J264" s="7">
        <v>0</v>
      </c>
      <c r="K264" s="92" t="str">
        <f t="shared" si="72"/>
        <v>4017/4018</v>
      </c>
      <c r="L264" s="21" t="str">
        <f>VLOOKUP(A264,'Trips&amp;Operators'!$C$1:$G$99999,5,FALSE)</f>
        <v>BIRENBAUM THOMAS</v>
      </c>
      <c r="M264" s="6">
        <f t="shared" si="73"/>
        <v>4.7685185199952684E-3</v>
      </c>
      <c r="N264" s="7">
        <f t="shared" si="89"/>
        <v>6.8666666687931865</v>
      </c>
      <c r="O264" s="7"/>
      <c r="P264" s="7"/>
      <c r="Q264" s="22"/>
      <c r="R264" s="190"/>
      <c r="S264" s="196">
        <f t="shared" si="90"/>
        <v>0</v>
      </c>
      <c r="T264" s="190" t="e">
        <f t="shared" si="74"/>
        <v>#VALUE!</v>
      </c>
      <c r="U264" s="190">
        <f>IF(AG264="EC",COUNTIFS(Variables!$M$2:$M$19,IF(T264="NorthBound","&gt;=","&lt;=")&amp;Y264,Variables!$M$2:$M$19,IF(T264="NorthBound","&lt;=","&gt;=")&amp;Z264),COUNTIFS(Variables!$P$2:$P$19,IF(T264="NorthBound","&gt;=","&lt;=")&amp;Y264,Variables!$P$2:$P$19,IF(T264="NorthBound","&lt;=","&gt;=")&amp;Z264))</f>
        <v>0</v>
      </c>
      <c r="V264" s="191" t="str">
        <f t="shared" si="75"/>
        <v>https://d0f6bd738d7f1b3e5a7ca70fe4ff75f0.us-east-1.aws.found.io/app/kibana#/discover/Steve-Slow-Train-Analysis-(2080s-and-2083s)?_g=(refreshInterval:(display:Off,pause:!f,section:0,value:0),time:(from:'2017-05-12T16:51:14-0600',mode:absolute,to:'2017-05-12T19:15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64" s="192" t="str">
        <f t="shared" si="76"/>
        <v>Y</v>
      </c>
      <c r="X264" s="192" t="e">
        <f t="shared" si="91"/>
        <v>#VALUE!</v>
      </c>
      <c r="Y264" s="192">
        <f t="shared" si="77"/>
        <v>2.3027000000000002</v>
      </c>
      <c r="Z264" s="192">
        <f t="shared" si="78"/>
        <v>1.9471000000000001</v>
      </c>
      <c r="AA264" s="192">
        <f t="shared" si="79"/>
        <v>0.35560000000000014</v>
      </c>
      <c r="AB264" s="57" t="e">
        <f>VLOOKUP(A264,Enforcements!$C$7:$K$13,8,0)</f>
        <v>#N/A</v>
      </c>
      <c r="AC264" s="53" t="e">
        <f>VLOOKUP(A264,Enforcements!$C$7:$E$13,3,0)</f>
        <v>#N/A</v>
      </c>
      <c r="AD264" s="54" t="str">
        <f t="shared" si="80"/>
        <v>89-12</v>
      </c>
      <c r="AE264" s="80" t="str">
        <f t="shared" si="81"/>
        <v>aws s3 cp s3://rtdc.mdm.uploadarchive.raw/RTDC4017/ "%USERPROFILE%\AppData\Local\Temp\OnboardLogs"\RTDC4017\2017-05-12 --exclude "*" --recursive --include "*20170512*" &amp; "%USERPROFILE%\Documents\GitHub\mrs-test-scripts\Headless Mode &amp; Sideloading\WalkAndUnGZ.bat" "%USERPROFILE%\AppData\Local\Temp\OnboardLogs"\RTDC4017\2017-05-12 &amp; aws s3 cp s3://rtdc.mdm.uploadarchive.raw/RTDC4017/ "%USERPROFILE%\AppData\Local\Temp\OnboardLogs"\RTDC4017\2017-05-13 --exclude "*" --recursive --include "*20170513*" &amp; "%USERPROFILE%\Documents\GitHub\mrs-test-scripts\Headless Mode &amp; Sideloading\WalkAndUnGZ.bat" "%USERPROFILE%\AppData\Local\Temp\OnboardLogs"\RTDC4017\2017-05-13</v>
      </c>
      <c r="AF264" s="77" t="str">
        <f t="shared" si="82"/>
        <v>"C:\Program Files (x86)\AstroGrep\AstroGrep.exe" /e /r /s /spath="%USERPROFILE%\AppData\Local\Temp\OnboardLogs" /stypes="app*4017*20170513*" /stext=" 00:.+((SYSTEM_STATE.+slice.+state.+changed )|(ment ac)|(multiple cpu faults)|(system.+state.+changed )|(\[timeout)|(PRM\|1\|D)|(kpr)|(kdp)|(train st.+moving)|(\|lc)|(penalty))"</v>
      </c>
      <c r="AG264" s="1" t="str">
        <f t="shared" si="83"/>
        <v>Other</v>
      </c>
      <c r="AH264" s="81" t="str">
        <f t="shared" si="84"/>
        <v>"%USERPROFILE%\Documents\GitHub\eaglep3\Utilities\RefineRTDCRunTimes.py" --tripid 89-12 --locoid 4017 --swversion DE.1.0.9.0 --startMP 300:23027 --initTime 2017-05-12T17:51:14 --startdatetime 2017-05-12T18:08:45 --delay 11 --endMP 300:19471 --enddatetime 2017-05-12T18:15:37 --enforcementcount 0 &gt;&gt;C:\Users\stu\Documents\GitHub\eaglep3-reporting\EC\2017-05-12-refined-times.txt</v>
      </c>
      <c r="AI264" s="99" t="str">
        <f t="shared" si="85"/>
        <v>echo {"issue":{"subject":"","project_id":79,"tracker_id":40,"status_id":1,"priority_id":2,"assigned_to_id":23,"start_date":"2017-05-12","description":"","custom_fields":[{"id":1,"name":"Subdivision","value":"Other"},{"id":4,"name":"Milepost","value":"1.9471"},{"id":17,"name":"Train ID","value":"89-12"},{"id":16,"name":"Locomotive ID","value":"4017"},{"id":130,"name":"Impact","value":""},{"id":150,"name":"Time of Event (Mountain Time)","value":"18:15:37"},{"id":151,"name":"Denver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4" s="20"/>
      <c r="AK264" s="47"/>
      <c r="AL264" s="47"/>
      <c r="AM264" s="145" t="str">
        <f t="shared" si="86"/>
        <v>start /low /b %USERPROFILE%\Documents\GitHub\eaglep3\Utilities\DownloadLogsFromS3.py --loco 4017 --day 2017-05-12</v>
      </c>
      <c r="AN264" s="154" t="str">
        <f t="shared" si="87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00:15:37"},{"id":29,"name":"Sharepoint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5" spans="1:40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40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40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40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40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40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</sheetData>
  <autoFilter ref="A12:AG270">
    <sortState ref="A13:AG271">
      <sortCondition ref="AG13:AG265"/>
      <sortCondition ref="AD13:AD265"/>
    </sortState>
  </autoFilter>
  <sortState ref="A13:AH200">
    <sortCondition ref="AG13:AG200"/>
    <sortCondition ref="AD13:AD200"/>
  </sortState>
  <mergeCells count="1">
    <mergeCell ref="A11:P11"/>
  </mergeCells>
  <conditionalFormatting sqref="W11:W12 W271:X1048576 W13:X264">
    <cfRule type="cellIs" dxfId="10" priority="401" operator="equal">
      <formula>"Y"</formula>
    </cfRule>
  </conditionalFormatting>
  <conditionalFormatting sqref="X271:X1048576 X13:X264">
    <cfRule type="cellIs" dxfId="9" priority="384" operator="greaterThan">
      <formula>1</formula>
    </cfRule>
  </conditionalFormatting>
  <conditionalFormatting sqref="X271:X1048576 X12:X264">
    <cfRule type="cellIs" dxfId="8" priority="381" operator="equal">
      <formula>0</formula>
    </cfRule>
  </conditionalFormatting>
  <conditionalFormatting sqref="A13:S264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A13:S264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A13:S264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AK13:AK264</xm:sqref>
        </x14:dataValidation>
        <x14:dataValidation type="list" allowBlank="1" showInputMessage="1" showErrorMessage="1">
          <x14:formula1>
            <xm:f>'Redmine List Values'!$C$2:$C$15</xm:f>
          </x14:formula1>
          <xm:sqref>AL13:AL264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2"/>
  <sheetViews>
    <sheetView topLeftCell="A2" zoomScaleNormal="100" workbookViewId="0">
      <selection activeCell="P19" sqref="P19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68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68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4">
        <f>COUNTIF($O$7:$O$290,"=Y")</f>
        <v>4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5">
        <f>COUNTA($O$7:$O$290)-O2</f>
        <v>44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68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08" t="str">
        <f>"Eagle P3 Braking Events - "&amp;TEXT(Variables!$A$2,"YYYY-mm-dd")</f>
        <v>Eagle P3 Braking Events - 2017-05-12</v>
      </c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153</v>
      </c>
      <c r="J6" s="117" t="s">
        <v>30</v>
      </c>
      <c r="K6" s="117" t="s">
        <v>29</v>
      </c>
      <c r="L6" s="117" t="s">
        <v>28</v>
      </c>
      <c r="M6" s="102" t="s">
        <v>154</v>
      </c>
      <c r="N6" s="132" t="s">
        <v>47</v>
      </c>
      <c r="O6" s="206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147</v>
      </c>
      <c r="Z6" s="161" t="s">
        <v>148</v>
      </c>
      <c r="AA6" s="109" t="s">
        <v>121</v>
      </c>
      <c r="AB6" s="109" t="s">
        <v>149</v>
      </c>
      <c r="AC6" s="121" t="s">
        <v>173</v>
      </c>
      <c r="AD6" s="110" t="s">
        <v>190</v>
      </c>
      <c r="AE6" s="146" t="s">
        <v>199</v>
      </c>
    </row>
    <row r="7" spans="1:32" s="1" customFormat="1" x14ac:dyDescent="0.25">
      <c r="A7" s="31">
        <v>42867.389884259261</v>
      </c>
      <c r="B7" s="30" t="s">
        <v>410</v>
      </c>
      <c r="C7" s="30" t="s">
        <v>567</v>
      </c>
      <c r="D7" s="30" t="s">
        <v>49</v>
      </c>
      <c r="E7" s="30" t="s">
        <v>191</v>
      </c>
      <c r="F7" s="42">
        <v>0</v>
      </c>
      <c r="G7" s="42">
        <v>174</v>
      </c>
      <c r="H7" s="42">
        <v>27016</v>
      </c>
      <c r="I7" s="42">
        <v>27126</v>
      </c>
      <c r="J7" s="30" t="s">
        <v>192</v>
      </c>
      <c r="K7" s="42">
        <v>27053</v>
      </c>
      <c r="L7" s="134" t="s">
        <v>50</v>
      </c>
      <c r="M7" s="135">
        <f t="shared" ref="M7:M54" si="0">CONVERT((I7-K7)/10000,"mi","ft")*IF(L7="Increasing Mileposts (1)",-1,1)</f>
        <v>-38.543999999999997</v>
      </c>
      <c r="N7" s="136" t="str">
        <f>VLOOKUP(C7,'Trips&amp;Operators'!$C$1:$G$99999,5,FALSE)</f>
        <v>YANAI IAN</v>
      </c>
      <c r="O7" s="207" t="s">
        <v>184</v>
      </c>
      <c r="P7" s="137" t="s">
        <v>556</v>
      </c>
      <c r="Q7" s="30"/>
      <c r="R7" s="84" t="str">
        <f>IF(VLOOKUP(C7,'Train Runs'!$A$13:$AE$9929,1,1)=C7,VLOOKUP(C7,'Train Runs'!$A$13:$AE$9929,31,1),NA())</f>
        <v>aws s3 cp s3://rtdc.mdm.uploadarchive.raw/RTDC4014/ "%USERPROFILE%\AppData\Local\Temp\OnboardLogs"\RTDC4014\2017-05-12 --exclude "*" --recursive --include "*20170512*" &amp; "%USERPROFILE%\Documents\GitHub\mrs-test-scripts\Headless Mode &amp; Sideloading\WalkAndUnGZ.bat" "%USERPROFILE%\AppData\Local\Temp\OnboardLogs"\RTDC4014\2017-05-12 &amp; aws s3 cp s3://rtdc.mdm.uploadarchive.raw/RTDC4014/ "%USERPROFILE%\AppData\Local\Temp\OnboardLogs"\RTDC4014\2017-05-13 --exclude "*" --recursive --include "*20170513*" &amp; "%USERPROFILE%\Documents\GitHub\mrs-test-scripts\Headless Mode &amp; Sideloading\WalkAndUnGZ.bat" "%USERPROFILE%\AppData\Local\Temp\OnboardLogs"\RTDC4014\2017-05-13</v>
      </c>
      <c r="S7" s="87" t="str">
        <f>VLOOKUP(C7,'Train Runs'!$A$13:$AE$9929,22,0)</f>
        <v>https://d0f6bd738d7f1b3e5a7ca70fe4ff75f0.us-east-1.aws.found.io/app/kibana#/discover/Steve-Slow-Train-Analysis-(2080s-and-2083s)?_g=(refreshInterval:(display:Off,pause:!f,section:0,value:0),time:(from:'2017-05-12T08:08:23-0600',mode:absolute,to:'2017-05-12T10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7" s="89" t="str">
        <f t="shared" ref="T7:T54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/stypes="*4014*201705121*" /stext=" 15:.+((SYSTEM_STATE.+slice.+state.+changed )|(ment ac)|(multiple cpu faults)|(system.+state.+changed )|(\[timeout)|(PRM\|1\|D)|(kpr)|(kdp)|(train st.+moving)|(\|lc)|(penalty))"</v>
      </c>
      <c r="U7" s="9" t="str">
        <f t="shared" ref="U7:U54" si="2">MID(B7,13,4)</f>
        <v>4014</v>
      </c>
      <c r="V7" s="31">
        <f t="shared" ref="V7:V54" si="3">A7-utc_offset/24</f>
        <v>42867.639884259261</v>
      </c>
      <c r="W7" s="45" t="str">
        <f t="shared" ref="W7:W54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54" si="5">IF(AND(E7="TRACK WARRANT AUTHORITY",G7&lt;10),"OMIT","KEEP")</f>
        <v>KEEP</v>
      </c>
      <c r="Y7" s="99" t="str">
        <f t="shared" ref="Y7:Y54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arrival","project_id":79,"tracker_id":40,"status_id":1,"priority_id":2,"assigned_to_id":23,"start_date":"2017-05-12","description":"","custom_fields":[{"id":1,"name":"Subdivision","value":"EC"},{"id":4,"name":"Milepost","value":"2.7053"},{"id":17,"name":"Train ID","value":"145-12"},{"id":16,"name":"Locomotive ID","value":"4014"},{"id":130,"name":"Impact","value":""},{"id":150,"name":"Time of Event (Mountain Time)","value":"09:21:26"},{"id":151,"name":"Denver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54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/cygdrive/c/Users/stu/AppData/Local/Temp/OnboardLogs/RTDC4014 --include="*4014*201705121*"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"%USERPROFILE%\AppData\Local\Temp\OnboardLogs"\RTDC4014\*4014*201705121* &gt;&gt; 2017-05-12-SliceDisagreementCheck.txt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4014 --day 2017-05-12</v>
      </c>
    </row>
    <row r="8" spans="1:32" s="1" customFormat="1" x14ac:dyDescent="0.25">
      <c r="A8" s="31">
        <v>42867.894259259258</v>
      </c>
      <c r="B8" s="30" t="s">
        <v>395</v>
      </c>
      <c r="C8" s="30" t="s">
        <v>594</v>
      </c>
      <c r="D8" s="30" t="s">
        <v>98</v>
      </c>
      <c r="E8" s="30" t="s">
        <v>191</v>
      </c>
      <c r="F8" s="42">
        <v>120</v>
      </c>
      <c r="G8" s="42">
        <v>182</v>
      </c>
      <c r="H8" s="42">
        <v>27117</v>
      </c>
      <c r="I8" s="42">
        <v>26731</v>
      </c>
      <c r="J8" s="30" t="s">
        <v>192</v>
      </c>
      <c r="K8" s="42">
        <v>27350</v>
      </c>
      <c r="L8" s="134" t="s">
        <v>51</v>
      </c>
      <c r="M8" s="135">
        <f t="shared" si="0"/>
        <v>-326.83199999999999</v>
      </c>
      <c r="N8" s="136" t="str">
        <f>VLOOKUP(C8,'Trips&amp;Operators'!$C$1:$G$99999,5,FALSE)</f>
        <v>MAGEE KENYA</v>
      </c>
      <c r="O8" s="207" t="s">
        <v>184</v>
      </c>
      <c r="P8" s="137" t="s">
        <v>556</v>
      </c>
      <c r="Q8" s="30"/>
      <c r="R8" s="84" t="str">
        <f>IF(VLOOKUP(C8,'Train Runs'!$A$13:$AE$9929,1,1)=C8,VLOOKUP(C8,'Train Runs'!$A$13:$AE$9929,31,1),NA())</f>
        <v>aws s3 cp s3://rtdc.mdm.uploadarchive.raw/RTDC4021/ "%USERPROFILE%\AppData\Local\Temp\OnboardLogs"\RTDC4021\2017-05-12 --exclude "*" --recursive --include "*20170512*" &amp; "%USERPROFILE%\Documents\GitHub\mrs-test-scripts\Headless Mode &amp; Sideloading\WalkAndUnGZ.bat" "%USERPROFILE%\AppData\Local\Temp\OnboardLogs"\RTDC4021\2017-05-12 &amp; aws s3 cp s3://rtdc.mdm.uploadarchive.raw/RTDC4021/ "%USERPROFILE%\AppData\Local\Temp\OnboardLogs"\RTDC4021\2017-05-13 --exclude "*" --recursive --include "*20170513*" &amp; "%USERPROFILE%\Documents\GitHub\mrs-test-scripts\Headless Mode &amp; Sideloading\WalkAndUnGZ.bat" "%USERPROFILE%\AppData\Local\Temp\OnboardLogs"\RTDC4021\2017-05-13</v>
      </c>
      <c r="S8" s="87" t="str">
        <f>VLOOKUP(C8,'Train Runs'!$A$13:$AE$9929,22,0)</f>
        <v>https://d0f6bd738d7f1b3e5a7ca70fe4ff75f0.us-east-1.aws.found.io/app/kibana#/discover/Steve-Slow-Train-Analysis-(2080s-and-2083s)?_g=(refreshInterval:(display:Off,pause:!f,section:0,value:0),time:(from:'2017-05-12T19:52:45-0600',mode:absolute,to:'2017-05-12T22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8" s="89" t="str">
        <f t="shared" si="1"/>
        <v>"C:\Program Files (x86)\AstroGrep\AstroGrep.exe" /e /r /s /spath="%USERPROFILE%\AppData\Local\Temp\OnboardLogs" /stypes="*4021*201705130*" /stext=" 03:.+((SYSTEM_STATE.+slice.+state.+changed )|(ment ac)|(multiple cpu faults)|(system.+state.+changed )|(\[timeout)|(PRM\|1\|D)|(kpr)|(kdp)|(train st.+moving)|(\|lc)|(penalty))"</v>
      </c>
      <c r="U8" s="9" t="str">
        <f t="shared" si="2"/>
        <v>4021</v>
      </c>
      <c r="V8" s="31">
        <f t="shared" si="3"/>
        <v>42868.144259259258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arrival","project_id":79,"tracker_id":40,"status_id":1,"priority_id":2,"assigned_to_id":23,"start_date":"2017-05-12","description":"","custom_fields":[{"id":1,"name":"Subdivision","value":"EC"},{"id":4,"name":"Milepost","value":"2.735"},{"id":17,"name":"Train ID","value":"226-12"},{"id":16,"name":"Locomotive ID","value":"4021"},{"id":130,"name":"Impact","value":""},{"id":150,"name":"Time of Event (Mountain Time)","value":"21:27:44"},{"id":151,"name":"Denver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/cygdrive/c/Users/stu/AppData/Local/Temp/OnboardLogs/RTDC4021 --include="*4021*201705130*"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"%USERPROFILE%\AppData\Local\Temp\OnboardLogs"\RTDC4021\*4021*201705130* &gt;&gt; 2017-05-12-SliceDisagreementCheck.txt</v>
      </c>
      <c r="AE8" s="148" t="str">
        <f t="shared" ref="AE8:AE54" si="9">"start /low /b "&amp;dls3logs&amp;" --loco "&amp;U8&amp;" --day "&amp;TEXT(V8,"YYYY-MM-DD")</f>
        <v>start /low /b %USERPROFILE%\Documents\GitHub\eaglep3\Utilities\DownloadLogsFromS3.py --loco 4021 --day 2017-05-13</v>
      </c>
    </row>
    <row r="9" spans="1:32" s="1" customFormat="1" x14ac:dyDescent="0.25">
      <c r="A9" s="31">
        <v>42868.061261574076</v>
      </c>
      <c r="B9" s="30" t="s">
        <v>395</v>
      </c>
      <c r="C9" s="30" t="s">
        <v>599</v>
      </c>
      <c r="D9" s="30" t="s">
        <v>98</v>
      </c>
      <c r="E9" s="30" t="s">
        <v>191</v>
      </c>
      <c r="F9" s="42">
        <v>190</v>
      </c>
      <c r="G9" s="42">
        <v>240</v>
      </c>
      <c r="H9" s="42">
        <v>27064</v>
      </c>
      <c r="I9" s="42">
        <v>26675</v>
      </c>
      <c r="J9" s="30" t="s">
        <v>192</v>
      </c>
      <c r="K9" s="42">
        <v>27350</v>
      </c>
      <c r="L9" s="134" t="s">
        <v>51</v>
      </c>
      <c r="M9" s="135">
        <f t="shared" si="0"/>
        <v>-356.40000000000003</v>
      </c>
      <c r="N9" s="136" t="str">
        <f>VLOOKUP(C9,'Trips&amp;Operators'!$C$1:$G$99999,5,FALSE)</f>
        <v>MAGEE KENYA</v>
      </c>
      <c r="O9" s="207" t="s">
        <v>184</v>
      </c>
      <c r="P9" s="137" t="s">
        <v>556</v>
      </c>
      <c r="Q9" s="30"/>
      <c r="R9" s="84" t="str">
        <f>IF(VLOOKUP(C9,'Train Runs'!$A$13:$AE$9929,1,1)=C9,VLOOKUP(C9,'Train Runs'!$A$13:$AE$9929,31,1),NA())</f>
        <v>aws s3 cp s3://rtdc.mdm.uploadarchive.raw/RTDC4021/ "%USERPROFILE%\AppData\Local\Temp\OnboardLogs"\RTDC4021\2017-05-13 --exclude "*" --recursive --include "*20170513*" &amp; "%USERPROFILE%\Documents\GitHub\mrs-test-scripts\Headless Mode &amp; Sideloading\WalkAndUnGZ.bat" "%USERPROFILE%\AppData\Local\Temp\OnboardLogs"\RTDC4021\2017-05-13 &amp; aws s3 cp s3://rtdc.mdm.uploadarchive.raw/RTDC4021/ "%USERPROFILE%\AppData\Local\Temp\OnboardLogs"\RTDC4021\2017-05-14 --exclude "*" --recursive --include "*20170514*" &amp; "%USERPROFILE%\Documents\GitHub\mrs-test-scripts\Headless Mode &amp; Sideloading\WalkAndUnGZ.bat" "%USERPROFILE%\AppData\Local\Temp\OnboardLogs"\RTDC4021\2017-05-14</v>
      </c>
      <c r="S9" s="87" t="str">
        <f>VLOOKUP(C9,'Train Runs'!$A$13:$AE$9929,22,0)</f>
        <v>https://d0f6bd738d7f1b3e5a7ca70fe4ff75f0.us-east-1.aws.found.io/app/kibana#/discover/Steve-Slow-Train-Analysis-(2080s-and-2083s)?_g=(refreshInterval:(display:Off,pause:!f,section:0,value:0),time:(from:'2017-05-12T23:42:28-0600',mode:absolute,to:'2017-05-13T02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9" s="89" t="str">
        <f t="shared" si="1"/>
        <v>"C:\Program Files (x86)\AstroGrep\AstroGrep.exe" /e /r /s /spath="%USERPROFILE%\AppData\Local\Temp\OnboardLogs" /stypes="*4021*201705130*" /stext=" 07:.+((SYSTEM_STATE.+slice.+state.+changed )|(ment ac)|(multiple cpu faults)|(system.+state.+changed )|(\[timeout)|(PRM\|1\|D)|(kpr)|(kdp)|(train st.+moving)|(\|lc)|(penalty))"</v>
      </c>
      <c r="U9" s="9" t="str">
        <f t="shared" si="2"/>
        <v>4021</v>
      </c>
      <c r="V9" s="31">
        <f t="shared" si="3"/>
        <v>42868.311261574076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{"issue":{"subject":"Early arrival","project_id":79,"tracker_id":40,"status_id":1,"priority_id":2,"assigned_to_id":23,"start_date":"2017-05-13","description":"","custom_fields":[{"id":1,"name":"Subdivision","value":"EC"},{"id":4,"name":"Milepost","value":"2.735"},{"id":17,"name":"Train ID","value":"242-12"},{"id":16,"name":"Locomotive ID","value":"4021"},{"id":130,"name":"Impact","value":""},{"id":150,"name":"Time of Event (Mountain Time)","value":"01:28:13"},{"id":151,"name":"Denver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/cygdrive/c/Users/stu/AppData/Local/Temp/OnboardLogs/RTDC4021 --include="*4021*201705130*"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"%USERPROFILE%\AppData\Local\Temp\OnboardLogs"\RTDC4021\*4021*201705130* &gt;&gt; 2017-05-12-SliceDisagreementCheck.txt</v>
      </c>
      <c r="AE9" s="148" t="str">
        <f t="shared" si="9"/>
        <v>start /low /b %USERPROFILE%\Documents\GitHub\eaglep3\Utilities\DownloadLogsFromS3.py --loco 4021 --day 2017-05-13</v>
      </c>
    </row>
    <row r="10" spans="1:32" s="1" customFormat="1" x14ac:dyDescent="0.25">
      <c r="A10" s="31">
        <v>42867.528796296298</v>
      </c>
      <c r="B10" s="30" t="s">
        <v>395</v>
      </c>
      <c r="C10" s="30" t="s">
        <v>572</v>
      </c>
      <c r="D10" s="30" t="s">
        <v>49</v>
      </c>
      <c r="E10" s="30" t="s">
        <v>191</v>
      </c>
      <c r="F10" s="42">
        <v>0</v>
      </c>
      <c r="G10" s="42">
        <v>152</v>
      </c>
      <c r="H10" s="42">
        <v>30997</v>
      </c>
      <c r="I10" s="42">
        <v>30858</v>
      </c>
      <c r="J10" s="30" t="s">
        <v>192</v>
      </c>
      <c r="K10" s="42">
        <v>30970</v>
      </c>
      <c r="L10" s="134" t="s">
        <v>51</v>
      </c>
      <c r="M10" s="135">
        <f t="shared" si="0"/>
        <v>-59.136000000000003</v>
      </c>
      <c r="N10" s="136" t="str">
        <f>VLOOKUP(C10,'Trips&amp;Operators'!$C$1:$G$99999,5,FALSE)</f>
        <v>DELGADO DIANAH</v>
      </c>
      <c r="O10" s="207" t="s">
        <v>184</v>
      </c>
      <c r="P10" s="137" t="s">
        <v>556</v>
      </c>
      <c r="Q10" s="30"/>
      <c r="R10" s="84" t="str">
        <f>IF(VLOOKUP(C10,'Train Runs'!$A$13:$AE$9929,1,1)=C10,VLOOKUP(C10,'Train Runs'!$A$13:$AE$9929,31,1),NA())</f>
        <v>aws s3 cp s3://rtdc.mdm.uploadarchive.raw/RTDC4021/ "%USERPROFILE%\AppData\Local\Temp\OnboardLogs"\RTDC4021\2017-05-12 --exclude "*" --recursive --include "*20170512*" &amp; "%USERPROFILE%\Documents\GitHub\mrs-test-scripts\Headless Mode &amp; Sideloading\WalkAndUnGZ.bat" "%USERPROFILE%\AppData\Local\Temp\OnboardLogs"\RTDC4021\2017-05-12 &amp; aws s3 cp s3://rtdc.mdm.uploadarchive.raw/RTDC4021/ "%USERPROFILE%\AppData\Local\Temp\OnboardLogs"\RTDC4021\2017-05-13 --exclude "*" --recursive --include "*20170513*" &amp; "%USERPROFILE%\Documents\GitHub\mrs-test-scripts\Headless Mode &amp; Sideloading\WalkAndUnGZ.bat" "%USERPROFILE%\AppData\Local\Temp\OnboardLogs"\RTDC4021\2017-05-13</v>
      </c>
      <c r="S10" s="87" t="str">
        <f>VLOOKUP(C10,'Train Runs'!$A$13:$AE$9929,22,0)</f>
        <v>https://d0f6bd738d7f1b3e5a7ca70fe4ff75f0.us-east-1.aws.found.io/app/kibana#/discover/Steve-Slow-Train-Analysis-(2080s-and-2083s)?_g=(refreshInterval:(display:Off,pause:!f,section:0,value:0),time:(from:'2017-05-12T10:55:49-0600',mode:absolute,to:'2017-05-12T13:49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0" s="89" t="str">
        <f t="shared" si="1"/>
        <v>"C:\Program Files (x86)\AstroGrep\AstroGrep.exe" /e /r /s /spath="%USERPROFILE%\AppData\Local\Temp\OnboardLogs" /stypes="*4021*201705121*" /stext=" 18:.+((SYSTEM_STATE.+slice.+state.+changed )|(ment ac)|(multiple cpu faults)|(system.+state.+changed )|(\[timeout)|(PRM\|1\|D)|(kpr)|(kdp)|(train st.+moving)|(\|lc)|(penalty))"</v>
      </c>
      <c r="U10" s="9" t="str">
        <f t="shared" si="2"/>
        <v>4021</v>
      </c>
      <c r="V10" s="31">
        <f t="shared" si="3"/>
        <v>42867.778796296298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arrival","project_id":79,"tracker_id":40,"status_id":1,"priority_id":2,"assigned_to_id":23,"start_date":"2017-05-12","description":"","custom_fields":[{"id":1,"name":"Subdivision","value":"EC"},{"id":4,"name":"Milepost","value":"3.097"},{"id":17,"name":"Train ID","value":"162-12"},{"id":16,"name":"Locomotive ID","value":"4021"},{"id":130,"name":"Impact","value":""},{"id":150,"name":"Time of Event (Mountain Time)","value":"12:41:28"},{"id":151,"name":"Denver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/cygdrive/c/Users/stu/AppData/Local/Temp/OnboardLogs/RTDC4021 --include="*4021*201705121*"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"%USERPROFILE%\AppData\Local\Temp\OnboardLogs"\RTDC4021\*4021*201705121* &gt;&gt; 2017-05-12-SliceDisagreementCheck.txt</v>
      </c>
      <c r="AE10" s="148" t="str">
        <f t="shared" si="9"/>
        <v>start /low /b %USERPROFILE%\Documents\GitHub\eaglep3\Utilities\DownloadLogsFromS3.py --loco 4021 --day 2017-05-12</v>
      </c>
    </row>
    <row r="11" spans="1:32" s="1" customFormat="1" x14ac:dyDescent="0.25">
      <c r="A11" s="31">
        <v>42867.310011574074</v>
      </c>
      <c r="B11" s="30" t="s">
        <v>396</v>
      </c>
      <c r="C11" s="30" t="s">
        <v>565</v>
      </c>
      <c r="D11" s="30" t="s">
        <v>49</v>
      </c>
      <c r="E11" s="30" t="s">
        <v>191</v>
      </c>
      <c r="F11" s="42">
        <v>0</v>
      </c>
      <c r="G11" s="42">
        <v>326</v>
      </c>
      <c r="H11" s="42">
        <v>51728</v>
      </c>
      <c r="I11" s="42">
        <v>52510</v>
      </c>
      <c r="J11" s="30" t="s">
        <v>192</v>
      </c>
      <c r="K11" s="42">
        <v>53155</v>
      </c>
      <c r="L11" s="134" t="s">
        <v>50</v>
      </c>
      <c r="M11" s="135">
        <f t="shared" si="0"/>
        <v>340.56</v>
      </c>
      <c r="N11" s="136" t="str">
        <f>VLOOKUP(C11,'Trips&amp;Operators'!$C$1:$G$99999,5,FALSE)</f>
        <v>ROCHA YAOTL</v>
      </c>
      <c r="O11" s="207" t="s">
        <v>184</v>
      </c>
      <c r="P11" s="137" t="s">
        <v>1054</v>
      </c>
      <c r="Q11" s="30"/>
      <c r="R11" s="84" t="str">
        <f>IF(VLOOKUP(C11,'Train Runs'!$A$13:$AE$9929,1,1)=C11,VLOOKUP(C11,'Train Runs'!$A$13:$AE$9929,31,1),NA())</f>
        <v>aws s3 cp s3://rtdc.mdm.uploadarchive.raw/RTDC4012/ "%USERPROFILE%\AppData\Local\Temp\OnboardLogs"\RTDC4012\2017-05-12 --exclude "*" --recursive --include "*20170512*" &amp; "%USERPROFILE%\Documents\GitHub\mrs-test-scripts\Headless Mode &amp; Sideloading\WalkAndUnGZ.bat" "%USERPROFILE%\AppData\Local\Temp\OnboardLogs"\RTDC4012\2017-05-12 &amp; aws s3 cp s3://rtdc.mdm.uploadarchive.raw/RTDC4012/ "%USERPROFILE%\AppData\Local\Temp\OnboardLogs"\RTDC4012\2017-05-13 --exclude "*" --recursive --include "*20170513*" &amp; "%USERPROFILE%\Documents\GitHub\mrs-test-scripts\Headless Mode &amp; Sideloading\WalkAndUnGZ.bat" "%USERPROFILE%\AppData\Local\Temp\OnboardLogs"\RTDC4012\2017-05-13</v>
      </c>
      <c r="S11" s="87" t="str">
        <f>VLOOKUP(C11,'Train Runs'!$A$13:$AE$9929,22,0)</f>
        <v>https://d0f6bd738d7f1b3e5a7ca70fe4ff75f0.us-east-1.aws.found.io/app/kibana#/discover/Steve-Slow-Train-Analysis-(2080s-and-2083s)?_g=(refreshInterval:(display:Off,pause:!f,section:0,value:0),time:(from:'2017-05-12T06:10:04-0600',mode:absolute,to:'2017-05-12T08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1" s="89" t="str">
        <f t="shared" si="1"/>
        <v>"C:\Program Files (x86)\AstroGrep\AstroGrep.exe" /e /r /s /spath="%USERPROFILE%\AppData\Local\Temp\OnboardLogs" /stypes="*4012*201705121*" /stext=" 13:.+((SYSTEM_STATE.+slice.+state.+changed )|(ment ac)|(multiple cpu faults)|(system.+state.+changed )|(\[timeout)|(PRM\|1\|D)|(kpr)|(kdp)|(train st.+moving)|(\|lc)|(penalty))"</v>
      </c>
      <c r="U11" s="9" t="str">
        <f t="shared" si="2"/>
        <v>4012</v>
      </c>
      <c r="V11" s="31">
        <f t="shared" si="3"/>
        <v>42867.560011574074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{"issue":{"subject":"Form C","project_id":79,"tracker_id":40,"status_id":1,"priority_id":2,"assigned_to_id":23,"start_date":"2017-05-12","description":"","custom_fields":[{"id":1,"name":"Subdivision","value":"EC"},{"id":4,"name":"Milepost","value":"5.3155"},{"id":17,"name":"Train ID","value":"129-12"},{"id":16,"name":"Locomotive ID","value":"4012"},{"id":130,"name":"Impact","value":""},{"id":150,"name":"Time of Event (Mountain Time)","value":"07:26:25"},{"id":151,"name":"Denver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/cygdrive/c/Users/stu/AppData/Local/Temp/OnboardLogs/RTDC4012 --include="*4012*201705121*"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"%USERPROFILE%\AppData\Local\Temp\OnboardLogs"\RTDC4012\*4012*201705121* &gt;&gt; 2017-05-12-SliceDisagreementCheck.txt</v>
      </c>
      <c r="AE11" s="148" t="str">
        <f t="shared" si="9"/>
        <v>start /low /b %USERPROFILE%\Documents\GitHub\eaglep3\Utilities\DownloadLogsFromS3.py --loco 4012 --day 2017-05-12</v>
      </c>
    </row>
    <row r="12" spans="1:32" s="1" customFormat="1" x14ac:dyDescent="0.25">
      <c r="A12" s="31">
        <v>42867.785879629628</v>
      </c>
      <c r="B12" s="30" t="s">
        <v>574</v>
      </c>
      <c r="C12" s="30" t="s">
        <v>587</v>
      </c>
      <c r="D12" s="30" t="s">
        <v>49</v>
      </c>
      <c r="E12" s="30" t="s">
        <v>191</v>
      </c>
      <c r="F12" s="42">
        <v>200</v>
      </c>
      <c r="G12" s="42">
        <v>308</v>
      </c>
      <c r="H12" s="42">
        <v>58868</v>
      </c>
      <c r="I12" s="42">
        <v>57774</v>
      </c>
      <c r="J12" s="30" t="s">
        <v>192</v>
      </c>
      <c r="K12" s="42">
        <v>58301</v>
      </c>
      <c r="L12" s="134" t="s">
        <v>51</v>
      </c>
      <c r="M12" s="135">
        <f t="shared" si="0"/>
        <v>-278.25599999999997</v>
      </c>
      <c r="N12" s="136" t="str">
        <f>VLOOKUP(C12,'Trips&amp;Operators'!$C$1:$G$99999,5,FALSE)</f>
        <v>BRANDNER MELINDA</v>
      </c>
      <c r="O12" s="207" t="s">
        <v>184</v>
      </c>
      <c r="P12" s="137" t="s">
        <v>556</v>
      </c>
      <c r="Q12" s="30"/>
      <c r="R12" s="84" t="str">
        <f>IF(VLOOKUP(C12,'Train Runs'!$A$13:$AE$9929,1,1)=C12,VLOOKUP(C12,'Train Runs'!$A$13:$AE$9929,31,1),NA())</f>
        <v>aws s3 cp s3://rtdc.mdm.uploadarchive.raw/RTDC4031/ "%USERPROFILE%\AppData\Local\Temp\OnboardLogs"\RTDC4031\2017-05-12 --exclude "*" --recursive --include "*20170512*" &amp; "%USERPROFILE%\Documents\GitHub\mrs-test-scripts\Headless Mode &amp; Sideloading\WalkAndUnGZ.bat" "%USERPROFILE%\AppData\Local\Temp\OnboardLogs"\RTDC4031\2017-05-12 &amp; aws s3 cp s3://rtdc.mdm.uploadarchive.raw/RTDC4031/ "%USERPROFILE%\AppData\Local\Temp\OnboardLogs"\RTDC4031\2017-05-13 --exclude "*" --recursive --include "*20170513*" &amp; "%USERPROFILE%\Documents\GitHub\mrs-test-scripts\Headless Mode &amp; Sideloading\WalkAndUnGZ.bat" "%USERPROFILE%\AppData\Local\Temp\OnboardLogs"\RTDC4031\2017-05-13</v>
      </c>
      <c r="S12" s="87" t="str">
        <f>VLOOKUP(C12,'Train Runs'!$A$13:$AE$9929,22,0)</f>
        <v>https://d0f6bd738d7f1b3e5a7ca70fe4ff75f0.us-east-1.aws.found.io/app/kibana#/discover/Steve-Slow-Train-Analysis-(2080s-and-2083s)?_g=(refreshInterval:(display:Off,pause:!f,section:0,value:0),time:(from:'2017-05-12T17:18:26-0600',mode:absolute,to:'2017-05-12T20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2" s="89" t="str">
        <f t="shared" si="1"/>
        <v>"C:\Program Files (x86)\AstroGrep\AstroGrep.exe" /e /r /s /spath="%USERPROFILE%\AppData\Local\Temp\OnboardLogs" /stypes="*4031*201705130*" /stext=" 00:.+((SYSTEM_STATE.+slice.+state.+changed )|(ment ac)|(multiple cpu faults)|(system.+state.+changed )|(\[timeout)|(PRM\|1\|D)|(kpr)|(kdp)|(train st.+moving)|(\|lc)|(penalty))"</v>
      </c>
      <c r="U12" s="9" t="str">
        <f t="shared" si="2"/>
        <v>4031</v>
      </c>
      <c r="V12" s="31">
        <f t="shared" si="3"/>
        <v>42868.035879629628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{"issue":{"subject":"Early arrival","project_id":79,"tracker_id":40,"status_id":1,"priority_id":2,"assigned_to_id":23,"start_date":"2017-05-12","description":"","custom_fields":[{"id":1,"name":"Subdivision","value":"EC"},{"id":4,"name":"Milepost","value":"5.8301"},{"id":17,"name":"Train ID","value":"212-12"},{"id":16,"name":"Locomotive ID","value":"4031"},{"id":130,"name":"Impact","value":""},{"id":150,"name":"Time of Event (Mountain Time)","value":"18:51:40"},{"id":151,"name":"Denver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/cygdrive/c/Users/stu/AppData/Local/Temp/OnboardLogs/RTDC4031 --include="*4031*201705130*"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"%USERPROFILE%\AppData\Local\Temp\OnboardLogs"\RTDC4031\*4031*201705130* &gt;&gt; 2017-05-12-SliceDisagreementCheck.txt</v>
      </c>
      <c r="AE12" s="148" t="str">
        <f t="shared" si="9"/>
        <v>start /low /b %USERPROFILE%\Documents\GitHub\eaglep3\Utilities\DownloadLogsFromS3.py --loco 4031 --day 2017-05-13</v>
      </c>
    </row>
    <row r="13" spans="1:32" s="1" customFormat="1" x14ac:dyDescent="0.25">
      <c r="A13" s="31">
        <v>42867.640300925923</v>
      </c>
      <c r="B13" s="30" t="s">
        <v>574</v>
      </c>
      <c r="C13" s="30" t="s">
        <v>581</v>
      </c>
      <c r="D13" s="30" t="s">
        <v>98</v>
      </c>
      <c r="E13" s="30" t="s">
        <v>191</v>
      </c>
      <c r="F13" s="42">
        <v>170</v>
      </c>
      <c r="G13" s="42">
        <v>223</v>
      </c>
      <c r="H13" s="42">
        <v>63038</v>
      </c>
      <c r="I13" s="42">
        <v>62505</v>
      </c>
      <c r="J13" s="30" t="s">
        <v>192</v>
      </c>
      <c r="K13" s="42">
        <v>63309</v>
      </c>
      <c r="L13" s="134" t="s">
        <v>51</v>
      </c>
      <c r="M13" s="135">
        <f t="shared" si="0"/>
        <v>-424.512</v>
      </c>
      <c r="N13" s="136" t="str">
        <f>VLOOKUP(C13,'Trips&amp;Operators'!$C$1:$G$99999,5,FALSE)</f>
        <v>BRANDNER MELINDA</v>
      </c>
      <c r="O13" s="207" t="s">
        <v>184</v>
      </c>
      <c r="P13" s="137" t="s">
        <v>556</v>
      </c>
      <c r="Q13" s="30"/>
      <c r="R13" s="84" t="str">
        <f>IF(VLOOKUP(C13,'Train Runs'!$A$13:$AE$9929,1,1)=C13,VLOOKUP(C13,'Train Runs'!$A$13:$AE$9929,31,1),NA())</f>
        <v>aws s3 cp s3://rtdc.mdm.uploadarchive.raw/RTDC4031/ "%USERPROFILE%\AppData\Local\Temp\OnboardLogs"\RTDC4031\2017-05-12 --exclude "*" --recursive --include "*20170512*" &amp; "%USERPROFILE%\Documents\GitHub\mrs-test-scripts\Headless Mode &amp; Sideloading\WalkAndUnGZ.bat" "%USERPROFILE%\AppData\Local\Temp\OnboardLogs"\RTDC4031\2017-05-12 &amp; aws s3 cp s3://rtdc.mdm.uploadarchive.raw/RTDC4031/ "%USERPROFILE%\AppData\Local\Temp\OnboardLogs"\RTDC4031\2017-05-13 --exclude "*" --recursive --include "*20170513*" &amp; "%USERPROFILE%\Documents\GitHub\mrs-test-scripts\Headless Mode &amp; Sideloading\WalkAndUnGZ.bat" "%USERPROFILE%\AppData\Local\Temp\OnboardLogs"\RTDC4031\2017-05-13</v>
      </c>
      <c r="S13" s="87" t="str">
        <f>VLOOKUP(C13,'Train Runs'!$A$13:$AE$9929,22,0)</f>
        <v>https://d0f6bd738d7f1b3e5a7ca70fe4ff75f0.us-east-1.aws.found.io/app/kibana#/discover/Steve-Slow-Train-Analysis-(2080s-and-2083s)?_g=(refreshInterval:(display:Off,pause:!f,section:0,value:0),time:(from:'2017-05-12T13:48:20-0600',mode:absolute,to:'2017-05-12T16:37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3" s="89" t="str">
        <f t="shared" si="1"/>
        <v>"C:\Program Files (x86)\AstroGrep\AstroGrep.exe" /e /r /s /spath="%USERPROFILE%\AppData\Local\Temp\OnboardLogs" /stypes="*4031*201705122*" /stext=" 21:.+((SYSTEM_STATE.+slice.+state.+changed )|(ment ac)|(multiple cpu faults)|(system.+state.+changed )|(\[timeout)|(PRM\|1\|D)|(kpr)|(kdp)|(train st.+moving)|(\|lc)|(penalty))"</v>
      </c>
      <c r="U13" s="9" t="str">
        <f t="shared" si="2"/>
        <v>4031</v>
      </c>
      <c r="V13" s="31">
        <f t="shared" si="3"/>
        <v>42867.890300925923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{"issue":{"subject":"Early arrival","project_id":79,"tracker_id":40,"status_id":1,"priority_id":2,"assigned_to_id":23,"start_date":"2017-05-12","description":"","custom_fields":[{"id":1,"name":"Subdivision","value":"EC"},{"id":4,"name":"Milepost","value":"6.3309"},{"id":17,"name":"Train ID","value":"184-12"},{"id":16,"name":"Locomotive ID","value":"4031"},{"id":130,"name":"Impact","value":""},{"id":150,"name":"Time of Event (Mountain Time)","value":"15:22:02"},{"id":151,"name":"Denver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/cygdrive/c/Users/stu/AppData/Local/Temp/OnboardLogs/RTDC4031 --include="*4031*201705122*"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"%USERPROFILE%\AppData\Local\Temp\OnboardLogs"\RTDC4031\*4031*201705122* &gt;&gt; 2017-05-12-SliceDisagreementCheck.txt</v>
      </c>
      <c r="AE13" s="148" t="str">
        <f t="shared" si="9"/>
        <v>start /low /b %USERPROFILE%\Documents\GitHub\eaglep3\Utilities\DownloadLogsFromS3.py --loco 4031 --day 2017-05-12</v>
      </c>
    </row>
    <row r="14" spans="1:32" x14ac:dyDescent="0.25">
      <c r="A14" s="31">
        <v>42867.587453703702</v>
      </c>
      <c r="B14" s="30" t="s">
        <v>401</v>
      </c>
      <c r="C14" s="30" t="s">
        <v>576</v>
      </c>
      <c r="D14" s="30" t="s">
        <v>98</v>
      </c>
      <c r="E14" s="30" t="s">
        <v>191</v>
      </c>
      <c r="F14" s="42">
        <v>210</v>
      </c>
      <c r="G14" s="42">
        <v>261</v>
      </c>
      <c r="H14" s="42">
        <v>63058</v>
      </c>
      <c r="I14" s="42">
        <v>62351</v>
      </c>
      <c r="J14" s="30" t="s">
        <v>192</v>
      </c>
      <c r="K14" s="42">
        <v>63309</v>
      </c>
      <c r="L14" s="134" t="s">
        <v>51</v>
      </c>
      <c r="M14" s="135">
        <f t="shared" si="0"/>
        <v>-505.82400000000001</v>
      </c>
      <c r="N14" s="136" t="str">
        <f>VLOOKUP(C14,'Trips&amp;Operators'!$C$1:$G$99999,5,FALSE)</f>
        <v>STEWART MICHAEL</v>
      </c>
      <c r="O14" s="207" t="s">
        <v>184</v>
      </c>
      <c r="P14" s="137" t="s">
        <v>556</v>
      </c>
      <c r="Q14" s="30"/>
      <c r="R14" s="84" t="str">
        <f>IF(VLOOKUP(C14,'Train Runs'!$A$13:$AE$9929,1,1)=C14,VLOOKUP(C14,'Train Runs'!$A$13:$AE$9929,31,1),NA())</f>
        <v>aws s3 cp s3://rtdc.mdm.uploadarchive.raw/RTDC4013/ "%USERPROFILE%\AppData\Local\Temp\OnboardLogs"\RTDC4013\2017-05-12 --exclude "*" --recursive --include "*20170512*" &amp; "%USERPROFILE%\Documents\GitHub\mrs-test-scripts\Headless Mode &amp; Sideloading\WalkAndUnGZ.bat" "%USERPROFILE%\AppData\Local\Temp\OnboardLogs"\RTDC4013\2017-05-12 &amp; aws s3 cp s3://rtdc.mdm.uploadarchive.raw/RTDC4013/ "%USERPROFILE%\AppData\Local\Temp\OnboardLogs"\RTDC4013\2017-05-13 --exclude "*" --recursive --include "*20170513*" &amp; "%USERPROFILE%\Documents\GitHub\mrs-test-scripts\Headless Mode &amp; Sideloading\WalkAndUnGZ.bat" "%USERPROFILE%\AppData\Local\Temp\OnboardLogs"\RTDC4013\2017-05-13</v>
      </c>
      <c r="S14" s="87" t="str">
        <f>VLOOKUP(C14,'Train Runs'!$A$13:$AE$9929,22,0)</f>
        <v>https://d0f6bd738d7f1b3e5a7ca70fe4ff75f0.us-east-1.aws.found.io/app/kibana#/discover/Steve-Slow-Train-Analysis-(2080s-and-2083s)?_g=(refreshInterval:(display:Off,pause:!f,section:0,value:0),time:(from:'2017-05-12T12:35:37-0600',mode:absolute,to:'2017-05-12T15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4" s="89" t="str">
        <f t="shared" si="1"/>
        <v>"C:\Program Files (x86)\AstroGrep\AstroGrep.exe" /e /r /s /spath="%USERPROFILE%\AppData\Local\Temp\OnboardLogs" /stypes="*4013*201705122*" /stext=" 20:.+((SYSTEM_STATE.+slice.+state.+changed )|(ment ac)|(multiple cpu faults)|(system.+state.+changed )|(\[timeout)|(PRM\|1\|D)|(kpr)|(kdp)|(train st.+moving)|(\|lc)|(penalty))"</v>
      </c>
      <c r="U14" s="9" t="str">
        <f t="shared" si="2"/>
        <v>4013</v>
      </c>
      <c r="V14" s="31">
        <f t="shared" si="3"/>
        <v>42867.837453703702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{"issue":{"subject":"Early arrival","project_id":79,"tracker_id":40,"status_id":1,"priority_id":2,"assigned_to_id":23,"start_date":"2017-05-12","description":"","custom_fields":[{"id":1,"name":"Subdivision","value":"EC"},{"id":4,"name":"Milepost","value":"6.3309"},{"id":17,"name":"Train ID","value":"174-12"},{"id":16,"name":"Locomotive ID","value":"4013"},{"id":130,"name":"Impact","value":""},{"id":150,"name":"Time of Event (Mountain Time)","value":"14:05:56"},{"id":151,"name":"Denver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/cygdrive/c/Users/stu/AppData/Local/Temp/OnboardLogs/RTDC4013 --include="*4013*201705122*"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"%USERPROFILE%\AppData\Local\Temp\OnboardLogs"\RTDC4013\*4013*201705122* &gt;&gt; 2017-05-12-SliceDisagreementCheck.txt</v>
      </c>
      <c r="AE14" s="148" t="str">
        <f t="shared" si="9"/>
        <v>start /low /b %USERPROFILE%\Documents\GitHub\eaglep3\Utilities\DownloadLogsFromS3.py --loco 4013 --day 2017-05-12</v>
      </c>
      <c r="AF14" s="1"/>
    </row>
    <row r="15" spans="1:32" x14ac:dyDescent="0.25">
      <c r="A15" s="31">
        <v>42867.623692129629</v>
      </c>
      <c r="B15" s="30" t="s">
        <v>579</v>
      </c>
      <c r="C15" s="30" t="s">
        <v>580</v>
      </c>
      <c r="D15" s="30" t="s">
        <v>49</v>
      </c>
      <c r="E15" s="30" t="s">
        <v>191</v>
      </c>
      <c r="F15" s="42">
        <v>390</v>
      </c>
      <c r="G15" s="42">
        <v>467</v>
      </c>
      <c r="H15" s="42">
        <v>110209</v>
      </c>
      <c r="I15" s="42">
        <v>108699</v>
      </c>
      <c r="J15" s="30" t="s">
        <v>192</v>
      </c>
      <c r="K15" s="42">
        <v>109135</v>
      </c>
      <c r="L15" s="134" t="s">
        <v>51</v>
      </c>
      <c r="M15" s="135">
        <f t="shared" si="0"/>
        <v>-230.208</v>
      </c>
      <c r="N15" s="136" t="str">
        <f>VLOOKUP(C15,'Trips&amp;Operators'!$C$1:$G$99999,5,FALSE)</f>
        <v>HELVIE ADAM</v>
      </c>
      <c r="O15" s="207" t="s">
        <v>184</v>
      </c>
      <c r="P15" s="137" t="s">
        <v>556</v>
      </c>
      <c r="Q15" s="30"/>
      <c r="R15" s="84" t="str">
        <f>IF(VLOOKUP(C15,'Train Runs'!$A$13:$AE$9929,1,1)=C15,VLOOKUP(C15,'Train Runs'!$A$13:$AE$9929,31,1),NA())</f>
        <v>aws s3 cp s3://rtdc.mdm.uploadarchive.raw/RTDC4045/ "%USERPROFILE%\AppData\Local\Temp\OnboardLogs"\RTDC4045\2017-05-12 --exclude "*" --recursive --include "*20170512*" &amp; "%USERPROFILE%\Documents\GitHub\mrs-test-scripts\Headless Mode &amp; Sideloading\WalkAndUnGZ.bat" "%USERPROFILE%\AppData\Local\Temp\OnboardLogs"\RTDC4045\2017-05-12 &amp; aws s3 cp s3://rtdc.mdm.uploadarchive.raw/RTDC4045/ "%USERPROFILE%\AppData\Local\Temp\OnboardLogs"\RTDC4045\2017-05-13 --exclude "*" --recursive --include "*20170513*" &amp; "%USERPROFILE%\Documents\GitHub\mrs-test-scripts\Headless Mode &amp; Sideloading\WalkAndUnGZ.bat" "%USERPROFILE%\AppData\Local\Temp\OnboardLogs"\RTDC4045\2017-05-13</v>
      </c>
      <c r="S15" s="87" t="str">
        <f>VLOOKUP(C15,'Train Runs'!$A$13:$AE$9929,22,0)</f>
        <v>https://d0f6bd738d7f1b3e5a7ca70fe4ff75f0.us-east-1.aws.found.io/app/kibana#/discover/Steve-Slow-Train-Analysis-(2080s-and-2083s)?_g=(refreshInterval:(display:Off,pause:!f,section:0,value:0),time:(from:'2017-05-12T13:36:07-0600',mode:absolute,to:'2017-05-12T16:18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5" s="89" t="str">
        <f t="shared" si="1"/>
        <v>"C:\Program Files (x86)\AstroGrep\AstroGrep.exe" /e /r /s /spath="%USERPROFILE%\AppData\Local\Temp\OnboardLogs" /stypes="*4045*201705122*" /stext=" 20:.+((SYSTEM_STATE.+slice.+state.+changed )|(ment ac)|(multiple cpu faults)|(system.+state.+changed )|(\[timeout)|(PRM\|1\|D)|(kpr)|(kdp)|(train st.+moving)|(\|lc)|(penalty))"</v>
      </c>
      <c r="U15" s="9" t="str">
        <f t="shared" si="2"/>
        <v>4045</v>
      </c>
      <c r="V15" s="31">
        <f t="shared" si="3"/>
        <v>42867.873692129629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{"issue":{"subject":"Early arrival","project_id":79,"tracker_id":40,"status_id":1,"priority_id":2,"assigned_to_id":23,"start_date":"2017-05-12","description":"","custom_fields":[{"id":1,"name":"Subdivision","value":"EC"},{"id":4,"name":"Milepost","value":"10.9135"},{"id":17,"name":"Train ID","value":"182-12"},{"id":16,"name":"Locomotive ID","value":"4045"},{"id":130,"name":"Impact","value":""},{"id":150,"name":"Time of Event (Mountain Time)","value":"14:58:07"},{"id":151,"name":"Denver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/cygdrive/c/Users/stu/AppData/Local/Temp/OnboardLogs/RTDC4045 --include="*4045*201705122*"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"%USERPROFILE%\AppData\Local\Temp\OnboardLogs"\RTDC4045\*4045*201705122* &gt;&gt; 2017-05-12-SliceDisagreementCheck.txt</v>
      </c>
      <c r="AE15" s="148" t="str">
        <f t="shared" si="9"/>
        <v>start /low /b %USERPROFILE%\Documents\GitHub\eaglep3\Utilities\DownloadLogsFromS3.py --loco 4045 --day 2017-05-12</v>
      </c>
      <c r="AF15" s="1"/>
    </row>
    <row r="16" spans="1:32" x14ac:dyDescent="0.25">
      <c r="A16" s="31">
        <v>42867.49900462963</v>
      </c>
      <c r="B16" s="30" t="s">
        <v>394</v>
      </c>
      <c r="C16" s="30" t="s">
        <v>571</v>
      </c>
      <c r="D16" s="30" t="s">
        <v>98</v>
      </c>
      <c r="E16" s="30" t="s">
        <v>191</v>
      </c>
      <c r="F16" s="42">
        <v>420</v>
      </c>
      <c r="G16" s="42">
        <v>470</v>
      </c>
      <c r="H16" s="42">
        <v>108963</v>
      </c>
      <c r="I16" s="42">
        <v>106997</v>
      </c>
      <c r="J16" s="30" t="s">
        <v>192</v>
      </c>
      <c r="K16" s="42">
        <v>109135</v>
      </c>
      <c r="L16" s="134" t="s">
        <v>51</v>
      </c>
      <c r="M16" s="135">
        <f t="shared" si="0"/>
        <v>-1128.864</v>
      </c>
      <c r="N16" s="136" t="str">
        <f>VLOOKUP(C16,'Trips&amp;Operators'!$C$1:$G$99999,5,FALSE)</f>
        <v>ROCHA YAOTL</v>
      </c>
      <c r="O16" s="207" t="s">
        <v>184</v>
      </c>
      <c r="P16" s="137" t="s">
        <v>556</v>
      </c>
      <c r="Q16" s="30"/>
      <c r="R16" s="84" t="str">
        <f>IF(VLOOKUP(C16,'Train Runs'!$A$13:$AE$9929,1,1)=C16,VLOOKUP(C16,'Train Runs'!$A$13:$AE$9929,31,1),NA())</f>
        <v>aws s3 cp s3://rtdc.mdm.uploadarchive.raw/RTDC4011/ "%USERPROFILE%\AppData\Local\Temp\OnboardLogs"\RTDC4011\2017-05-12 --exclude "*" --recursive --include "*20170512*" &amp; "%USERPROFILE%\Documents\GitHub\mrs-test-scripts\Headless Mode &amp; Sideloading\WalkAndUnGZ.bat" "%USERPROFILE%\AppData\Local\Temp\OnboardLogs"\RTDC4011\2017-05-12 &amp; aws s3 cp s3://rtdc.mdm.uploadarchive.raw/RTDC4011/ "%USERPROFILE%\AppData\Local\Temp\OnboardLogs"\RTDC4011\2017-05-13 --exclude "*" --recursive --include "*20170513*" &amp; "%USERPROFILE%\Documents\GitHub\mrs-test-scripts\Headless Mode &amp; Sideloading\WalkAndUnGZ.bat" "%USERPROFILE%\AppData\Local\Temp\OnboardLogs"\RTDC4011\2017-05-13</v>
      </c>
      <c r="S16" s="87" t="str">
        <f>VLOOKUP(C16,'Train Runs'!$A$13:$AE$9929,22,0)</f>
        <v>https://d0f6bd738d7f1b3e5a7ca70fe4ff75f0.us-east-1.aws.found.io/app/kibana#/discover/Steve-Slow-Train-Analysis-(2080s-and-2083s)?_g=(refreshInterval:(display:Off,pause:!f,section:0,value:0),time:(from:'2017-05-12T11:15:35-0600',mode:absolute,to:'2017-05-12T13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6" s="89" t="str">
        <f t="shared" si="1"/>
        <v>"C:\Program Files (x86)\AstroGrep\AstroGrep.exe" /e /r /s /spath="%USERPROFILE%\AppData\Local\Temp\OnboardLogs" /stypes="*4011*201705121*" /stext=" 17:.+((SYSTEM_STATE.+slice.+state.+changed )|(ment ac)|(multiple cpu faults)|(system.+state.+changed )|(\[timeout)|(PRM\|1\|D)|(kpr)|(kdp)|(train st.+moving)|(\|lc)|(penalty))"</v>
      </c>
      <c r="U16" s="9" t="str">
        <f t="shared" si="2"/>
        <v>4011</v>
      </c>
      <c r="V16" s="31">
        <f t="shared" si="3"/>
        <v>42867.74900462963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{"issue":{"subject":"Early arrival","project_id":79,"tracker_id":40,"status_id":1,"priority_id":2,"assigned_to_id":23,"start_date":"2017-05-12","description":"","custom_fields":[{"id":1,"name":"Subdivision","value":"EC"},{"id":4,"name":"Milepost","value":"10.9135"},{"id":17,"name":"Train ID","value":"158-12"},{"id":16,"name":"Locomotive ID","value":"4011"},{"id":130,"name":"Impact","value":""},{"id":150,"name":"Time of Event (Mountain Time)","value":"11:58:34"},{"id":151,"name":"Denver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/cygdrive/c/Users/stu/AppData/Local/Temp/OnboardLogs/RTDC4011 --include="*4011*201705121*"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"%USERPROFILE%\AppData\Local\Temp\OnboardLogs"\RTDC4011\*4011*201705121* &gt;&gt; 2017-05-12-SliceDisagreementCheck.txt</v>
      </c>
      <c r="AE16" s="148" t="str">
        <f t="shared" si="9"/>
        <v>start /low /b %USERPROFILE%\Documents\GitHub\eaglep3\Utilities\DownloadLogsFromS3.py --loco 4011 --day 2017-05-12</v>
      </c>
      <c r="AF16" s="1"/>
    </row>
    <row r="17" spans="1:32" x14ac:dyDescent="0.25">
      <c r="A17" s="31">
        <v>42867.294340277775</v>
      </c>
      <c r="B17" s="30" t="s">
        <v>395</v>
      </c>
      <c r="C17" s="30" t="s">
        <v>564</v>
      </c>
      <c r="D17" s="30" t="s">
        <v>98</v>
      </c>
      <c r="E17" s="30" t="s">
        <v>204</v>
      </c>
      <c r="F17" s="42">
        <v>600</v>
      </c>
      <c r="G17" s="42">
        <v>653</v>
      </c>
      <c r="H17" s="42">
        <v>184489</v>
      </c>
      <c r="I17" s="42">
        <v>181548</v>
      </c>
      <c r="J17" s="30" t="s">
        <v>205</v>
      </c>
      <c r="K17" s="42">
        <v>190834</v>
      </c>
      <c r="L17" s="134" t="s">
        <v>51</v>
      </c>
      <c r="M17" s="135">
        <f t="shared" si="0"/>
        <v>-4903.0079999999998</v>
      </c>
      <c r="N17" s="136" t="str">
        <f>VLOOKUP(C17,'Trips&amp;Operators'!$C$1:$G$99999,5,FALSE)</f>
        <v>ROBINSON KADDIBA</v>
      </c>
      <c r="O17" s="207" t="s">
        <v>184</v>
      </c>
      <c r="P17" s="137"/>
      <c r="Q17" s="30"/>
      <c r="R17" s="84" t="str">
        <f>IF(VLOOKUP(C17,'Train Runs'!$A$13:$AE$9929,1,1)=C17,VLOOKUP(C17,'Train Runs'!$A$13:$AE$9929,31,1),NA())</f>
        <v>aws s3 cp s3://rtdc.mdm.uploadarchive.raw/RTDC4021/ "%USERPROFILE%\AppData\Local\Temp\OnboardLogs"\RTDC4021\2017-05-12 --exclude "*" --recursive --include "*20170512*" &amp; "%USERPROFILE%\Documents\GitHub\mrs-test-scripts\Headless Mode &amp; Sideloading\WalkAndUnGZ.bat" "%USERPROFILE%\AppData\Local\Temp\OnboardLogs"\RTDC4021\2017-05-12 &amp; aws s3 cp s3://rtdc.mdm.uploadarchive.raw/RTDC4021/ "%USERPROFILE%\AppData\Local\Temp\OnboardLogs"\RTDC4021\2017-05-13 --exclude "*" --recursive --include "*20170513*" &amp; "%USERPROFILE%\Documents\GitHub\mrs-test-scripts\Headless Mode &amp; Sideloading\WalkAndUnGZ.bat" "%USERPROFILE%\AppData\Local\Temp\OnboardLogs"\RTDC4021\2017-05-13</v>
      </c>
      <c r="S17" s="87" t="str">
        <f>VLOOKUP(C17,'Train Runs'!$A$13:$AE$9929,22,0)</f>
        <v>https://d0f6bd738d7f1b3e5a7ca70fe4ff75f0.us-east-1.aws.found.io/app/kibana#/discover/Steve-Slow-Train-Analysis-(2080s-and-2083s)?_g=(refreshInterval:(display:Off,pause:!f,section:0,value:0),time:(from:'2017-05-12T05:51:25-0600',mode:absolute,to:'2017-05-12T08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7" s="89" t="str">
        <f t="shared" si="1"/>
        <v>"C:\Program Files (x86)\AstroGrep\AstroGrep.exe" /e /r /s /spath="%USERPROFILE%\AppData\Local\Temp\OnboardLogs" /stypes="*4021*201705121*" /stext=" 13:.+((SYSTEM_STATE.+slice.+state.+changed )|(ment ac)|(multiple cpu faults)|(system.+state.+changed )|(\[timeout)|(PRM\|1\|D)|(kpr)|(kdp)|(train st.+moving)|(\|lc)|(penalty))"</v>
      </c>
      <c r="U17" s="9" t="str">
        <f t="shared" si="2"/>
        <v>4021</v>
      </c>
      <c r="V17" s="31">
        <f t="shared" si="3"/>
        <v>42867.544340277775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{"issue":{"subject":"","project_id":79,"tracker_id":40,"status_id":1,"priority_id":2,"assigned_to_id":23,"start_date":"2017-05-12","description":"","custom_fields":[{"id":1,"name":"Subdivision","value":"EC"},{"id":4,"name":"Milepost","value":"19.0834"},{"id":17,"name":"Train ID","value":"120-12"},{"id":16,"name":"Locomotive ID","value":"4021"},{"id":130,"name":"Impact","value":""},{"id":150,"name":"Time of Event (Mountain Time)","value":"07:03:51"},{"id":151,"name":"Denver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/cygdrive/c/Users/stu/AppData/Local/Temp/OnboardLogs/RTDC4021 --include="*4021*201705121*"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"%USERPROFILE%\AppData\Local\Temp\OnboardLogs"\RTDC4021\*4021*201705121* &gt;&gt; 2017-05-12-SliceDisagreementCheck.txt</v>
      </c>
      <c r="AE17" s="148" t="str">
        <f t="shared" si="9"/>
        <v>start /low /b %USERPROFILE%\Documents\GitHub\eaglep3\Utilities\DownloadLogsFromS3.py --loco 4021 --day 2017-05-12</v>
      </c>
      <c r="AF17" s="1"/>
    </row>
    <row r="18" spans="1:32" x14ac:dyDescent="0.25">
      <c r="A18" s="31">
        <v>42867.624374999999</v>
      </c>
      <c r="B18" s="30" t="s">
        <v>574</v>
      </c>
      <c r="C18" s="30" t="s">
        <v>581</v>
      </c>
      <c r="D18" s="30" t="s">
        <v>98</v>
      </c>
      <c r="E18" s="30" t="s">
        <v>204</v>
      </c>
      <c r="F18" s="42">
        <v>350</v>
      </c>
      <c r="G18" s="42">
        <v>406</v>
      </c>
      <c r="H18" s="42">
        <v>225745</v>
      </c>
      <c r="I18" s="42">
        <v>224484</v>
      </c>
      <c r="J18" s="30" t="s">
        <v>205</v>
      </c>
      <c r="K18" s="42">
        <v>228668</v>
      </c>
      <c r="L18" s="134" t="s">
        <v>51</v>
      </c>
      <c r="M18" s="135">
        <f t="shared" si="0"/>
        <v>-2209.152</v>
      </c>
      <c r="N18" s="136" t="str">
        <f>VLOOKUP(C18,'Trips&amp;Operators'!$C$1:$G$99999,5,FALSE)</f>
        <v>BRANDNER MELINDA</v>
      </c>
      <c r="O18" s="207" t="s">
        <v>184</v>
      </c>
      <c r="P18" s="137"/>
      <c r="Q18" s="30"/>
      <c r="R18" s="84" t="str">
        <f>IF(VLOOKUP(C18,'Train Runs'!$A$13:$AE$9929,1,1)=C18,VLOOKUP(C18,'Train Runs'!$A$13:$AE$9929,31,1),NA())</f>
        <v>aws s3 cp s3://rtdc.mdm.uploadarchive.raw/RTDC4031/ "%USERPROFILE%\AppData\Local\Temp\OnboardLogs"\RTDC4031\2017-05-12 --exclude "*" --recursive --include "*20170512*" &amp; "%USERPROFILE%\Documents\GitHub\mrs-test-scripts\Headless Mode &amp; Sideloading\WalkAndUnGZ.bat" "%USERPROFILE%\AppData\Local\Temp\OnboardLogs"\RTDC4031\2017-05-12 &amp; aws s3 cp s3://rtdc.mdm.uploadarchive.raw/RTDC4031/ "%USERPROFILE%\AppData\Local\Temp\OnboardLogs"\RTDC4031\2017-05-13 --exclude "*" --recursive --include "*20170513*" &amp; "%USERPROFILE%\Documents\GitHub\mrs-test-scripts\Headless Mode &amp; Sideloading\WalkAndUnGZ.bat" "%USERPROFILE%\AppData\Local\Temp\OnboardLogs"\RTDC4031\2017-05-13</v>
      </c>
      <c r="S18" s="87" t="str">
        <f>VLOOKUP(C18,'Train Runs'!$A$13:$AE$9929,22,0)</f>
        <v>https://d0f6bd738d7f1b3e5a7ca70fe4ff75f0.us-east-1.aws.found.io/app/kibana#/discover/Steve-Slow-Train-Analysis-(2080s-and-2083s)?_g=(refreshInterval:(display:Off,pause:!f,section:0,value:0),time:(from:'2017-05-12T13:48:20-0600',mode:absolute,to:'2017-05-12T16:37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8" s="89" t="str">
        <f t="shared" si="1"/>
        <v>"C:\Program Files (x86)\AstroGrep\AstroGrep.exe" /e /r /s /spath="%USERPROFILE%\AppData\Local\Temp\OnboardLogs" /stypes="*4031*201705122*" /stext=" 20:.+((SYSTEM_STATE.+slice.+state.+changed )|(ment ac)|(multiple cpu faults)|(system.+state.+changed )|(\[timeout)|(PRM\|1\|D)|(kpr)|(kdp)|(train st.+moving)|(\|lc)|(penalty))"</v>
      </c>
      <c r="U18" s="9" t="str">
        <f t="shared" si="2"/>
        <v>4031</v>
      </c>
      <c r="V18" s="31">
        <f t="shared" si="3"/>
        <v>42867.874374999999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{"issue":{"subject":"","project_id":79,"tracker_id":40,"status_id":1,"priority_id":2,"assigned_to_id":23,"start_date":"2017-05-12","description":"","custom_fields":[{"id":1,"name":"Subdivision","value":"EC"},{"id":4,"name":"Milepost","value":"22.8668"},{"id":17,"name":"Train ID","value":"184-12"},{"id":16,"name":"Locomotive ID","value":"4031"},{"id":130,"name":"Impact","value":""},{"id":150,"name":"Time of Event (Mountain Time)","value":"14:59:06"},{"id":151,"name":"Denver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/cygdrive/c/Users/stu/AppData/Local/Temp/OnboardLogs/RTDC4031 --include="*4031*201705122*"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"%USERPROFILE%\AppData\Local\Temp\OnboardLogs"\RTDC4031\*4031*201705122* &gt;&gt; 2017-05-12-SliceDisagreementCheck.txt</v>
      </c>
      <c r="AE18" s="148" t="str">
        <f t="shared" si="9"/>
        <v>start /low /b %USERPROFILE%\Documents\GitHub\eaglep3\Utilities\DownloadLogsFromS3.py --loco 4031 --day 2017-05-12</v>
      </c>
      <c r="AF18" s="1"/>
    </row>
    <row r="19" spans="1:32" x14ac:dyDescent="0.25">
      <c r="A19" s="31">
        <v>42867.469641203701</v>
      </c>
      <c r="B19" s="30" t="s">
        <v>410</v>
      </c>
      <c r="C19" s="30" t="s">
        <v>568</v>
      </c>
      <c r="D19" s="30" t="s">
        <v>49</v>
      </c>
      <c r="E19" s="30" t="s">
        <v>379</v>
      </c>
      <c r="F19" s="42">
        <v>0</v>
      </c>
      <c r="G19" s="42">
        <v>776</v>
      </c>
      <c r="H19" s="42">
        <v>80746</v>
      </c>
      <c r="I19" s="42">
        <v>84356</v>
      </c>
      <c r="J19" s="30" t="s">
        <v>380</v>
      </c>
      <c r="K19" s="42">
        <v>81738</v>
      </c>
      <c r="L19" s="134" t="s">
        <v>50</v>
      </c>
      <c r="M19" s="135">
        <f t="shared" si="0"/>
        <v>-1382.3039999999999</v>
      </c>
      <c r="N19" s="136" t="str">
        <f>VLOOKUP(C19,'Trips&amp;Operators'!$C$1:$G$99999,5,FALSE)</f>
        <v>STEWART MICHAEL</v>
      </c>
      <c r="O19" s="207" t="s">
        <v>382</v>
      </c>
      <c r="P19" s="137" t="s">
        <v>555</v>
      </c>
      <c r="Q19" s="30"/>
      <c r="R19" s="84" t="str">
        <f>IF(VLOOKUP(C19,'Train Runs'!$A$13:$AE$9929,1,1)=C19,VLOOKUP(C19,'Train Runs'!$A$13:$AE$9929,31,1),NA())</f>
        <v>aws s3 cp s3://rtdc.mdm.uploadarchive.raw/RTDC4014/ "%USERPROFILE%\AppData\Local\Temp\OnboardLogs"\RTDC4014\2017-05-12 --exclude "*" --recursive --include "*20170512*" &amp; "%USERPROFILE%\Documents\GitHub\mrs-test-scripts\Headless Mode &amp; Sideloading\WalkAndUnGZ.bat" "%USERPROFILE%\AppData\Local\Temp\OnboardLogs"\RTDC4014\2017-05-12 &amp; aws s3 cp s3://rtdc.mdm.uploadarchive.raw/RTDC4014/ "%USERPROFILE%\AppData\Local\Temp\OnboardLogs"\RTDC4014\2017-05-13 --exclude "*" --recursive --include "*20170513*" &amp; "%USERPROFILE%\Documents\GitHub\mrs-test-scripts\Headless Mode &amp; Sideloading\WalkAndUnGZ.bat" "%USERPROFILE%\AppData\Local\Temp\OnboardLogs"\RTDC4014\2017-05-13</v>
      </c>
      <c r="S19" s="87" t="str">
        <f>VLOOKUP(C19,'Train Runs'!$A$13:$AE$9929,22,0)</f>
        <v>https://d0f6bd738d7f1b3e5a7ca70fe4ff75f0.us-east-1.aws.found.io/app/kibana#/discover/Steve-Slow-Train-Analysis-(2080s-and-2083s)?_g=(refreshInterval:(display:Off,pause:!f,section:0,value:0),time:(from:'2017-05-12T09:51:51-0600',mode:absolute,to:'2017-05-12T12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9" s="89" t="str">
        <f t="shared" si="1"/>
        <v>"C:\Program Files (x86)\AstroGrep\AstroGrep.exe" /e /r /s /spath="%USERPROFILE%\AppData\Local\Temp\OnboardLogs" /stypes="*4014*201705121*" /stext=" 17:.+((SYSTEM_STATE.+slice.+state.+changed )|(ment ac)|(multiple cpu faults)|(system.+state.+changed )|(\[timeout)|(PRM\|1\|D)|(kpr)|(kdp)|(train st.+moving)|(\|lc)|(penalty))"</v>
      </c>
      <c r="U19" s="9" t="str">
        <f t="shared" si="2"/>
        <v>4014</v>
      </c>
      <c r="V19" s="31">
        <f t="shared" si="3"/>
        <v>42867.719641203701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{"issue":{"subject":"Wi-MAX data drop","project_id":79,"tracker_id":40,"status_id":1,"priority_id":2,"assigned_to_id":23,"start_date":"2017-05-12","description":"","custom_fields":[{"id":1,"name":"Subdivision","value":"EC"},{"id":4,"name":"Milepost","value":"8.1738"},{"id":17,"name":"Train ID","value":"159-12"},{"id":16,"name":"Locomotive ID","value":"4014"},{"id":130,"name":"Impact","value":""},{"id":150,"name":"Time of Event (Mountain Time)","value":"11:16:17"},{"id":151,"name":"Denver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/cygdrive/c/Users/stu/AppData/Local/Temp/OnboardLogs/RTDC4014 --include="*4014*201705121*"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"%USERPROFILE%\AppData\Local\Temp\OnboardLogs"\RTDC4014\*4014*201705121* &gt;&gt; 2017-05-12-SliceDisagreementCheck.txt</v>
      </c>
      <c r="AE19" s="148" t="str">
        <f t="shared" si="9"/>
        <v>start /low /b %USERPROFILE%\Documents\GitHub\eaglep3\Utilities\DownloadLogsFromS3.py --loco 4014 --day 2017-05-12</v>
      </c>
      <c r="AF19" s="1"/>
    </row>
    <row r="20" spans="1:32" x14ac:dyDescent="0.25">
      <c r="A20" s="31">
        <v>42867.206238425926</v>
      </c>
      <c r="B20" s="30" t="s">
        <v>401</v>
      </c>
      <c r="C20" s="30" t="s">
        <v>560</v>
      </c>
      <c r="D20" s="30" t="s">
        <v>49</v>
      </c>
      <c r="E20" s="30" t="s">
        <v>379</v>
      </c>
      <c r="F20" s="42">
        <v>0</v>
      </c>
      <c r="G20" s="42">
        <v>572</v>
      </c>
      <c r="H20" s="42">
        <v>133333</v>
      </c>
      <c r="I20" s="42">
        <v>131373</v>
      </c>
      <c r="J20" s="30" t="s">
        <v>380</v>
      </c>
      <c r="K20" s="42">
        <v>133166</v>
      </c>
      <c r="L20" s="134" t="s">
        <v>51</v>
      </c>
      <c r="M20" s="135">
        <f t="shared" si="0"/>
        <v>-946.70399999999995</v>
      </c>
      <c r="N20" s="136" t="str">
        <f>VLOOKUP(C20,'Trips&amp;Operators'!$C$1:$G$99999,5,FALSE)</f>
        <v>YANAI IAN</v>
      </c>
      <c r="O20" s="207" t="s">
        <v>382</v>
      </c>
      <c r="P20" s="137" t="s">
        <v>555</v>
      </c>
      <c r="Q20" s="30"/>
      <c r="R20" s="84" t="str">
        <f>IF(VLOOKUP(C20,'Train Runs'!$A$13:$AE$9929,1,1)=C20,VLOOKUP(C20,'Train Runs'!$A$13:$AE$9929,31,1),NA())</f>
        <v>aws s3 cp s3://rtdc.mdm.uploadarchive.raw/RTDC4013/ "%USERPROFILE%\AppData\Local\Temp\OnboardLogs"\RTDC4013\2017-05-12 --exclude "*" --recursive --include "*20170512*" &amp; "%USERPROFILE%\Documents\GitHub\mrs-test-scripts\Headless Mode &amp; Sideloading\WalkAndUnGZ.bat" "%USERPROFILE%\AppData\Local\Temp\OnboardLogs"\RTDC4013\2017-05-12 &amp; aws s3 cp s3://rtdc.mdm.uploadarchive.raw/RTDC4013/ "%USERPROFILE%\AppData\Local\Temp\OnboardLogs"\RTDC4013\2017-05-13 --exclude "*" --recursive --include "*20170513*" &amp; "%USERPROFILE%\Documents\GitHub\mrs-test-scripts\Headless Mode &amp; Sideloading\WalkAndUnGZ.bat" "%USERPROFILE%\AppData\Local\Temp\OnboardLogs"\RTDC4013\2017-05-13</v>
      </c>
      <c r="S20" s="87" t="str">
        <f>VLOOKUP(C20,'Train Runs'!$A$13:$AE$9929,22,0)</f>
        <v>https://d0f6bd738d7f1b3e5a7ca70fe4ff75f0.us-east-1.aws.found.io/app/kibana#/discover/Steve-Slow-Train-Analysis-(2080s-and-2083s)?_g=(refreshInterval:(display:Off,pause:!f,section:0,value:0),time:(from:'2017-05-12T03:27:09-0600',mode:absolute,to:'2017-05-12T06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0" s="89" t="str">
        <f t="shared" si="1"/>
        <v>"C:\Program Files (x86)\AstroGrep\AstroGrep.exe" /e /r /s /spath="%USERPROFILE%\AppData\Local\Temp\OnboardLogs" /stypes="*4013*201705121*" /stext=" 10:.+((SYSTEM_STATE.+slice.+state.+changed )|(ment ac)|(multiple cpu faults)|(system.+state.+changed )|(\[timeout)|(PRM\|1\|D)|(kpr)|(kdp)|(train st.+moving)|(\|lc)|(penalty))"</v>
      </c>
      <c r="U20" s="9" t="str">
        <f t="shared" si="2"/>
        <v>4013</v>
      </c>
      <c r="V20" s="31">
        <f t="shared" si="3"/>
        <v>42867.456238425926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{"issue":{"subject":"Wi-MAX data drop","project_id":79,"tracker_id":40,"status_id":1,"priority_id":2,"assigned_to_id":23,"start_date":"2017-05-12","description":"","custom_fields":[{"id":1,"name":"Subdivision","value":"EC"},{"id":4,"name":"Milepost","value":"13.3166"},{"id":17,"name":"Train ID","value":"104-12"},{"id":16,"name":"Locomotive ID","value":"4013"},{"id":130,"name":"Impact","value":""},{"id":150,"name":"Time of Event (Mountain Time)","value":"04:56:59"},{"id":151,"name":"Denver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/cygdrive/c/Users/stu/AppData/Local/Temp/OnboardLogs/RTDC4013 --include="*4013*201705121*"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"%USERPROFILE%\AppData\Local\Temp\OnboardLogs"\RTDC4013\*4013*201705121* &gt;&gt; 2017-05-12-SliceDisagreementCheck.txt</v>
      </c>
      <c r="AE20" s="148" t="str">
        <f t="shared" si="9"/>
        <v>start /low /b %USERPROFILE%\Documents\GitHub\eaglep3\Utilities\DownloadLogsFromS3.py --loco 4013 --day 2017-05-12</v>
      </c>
      <c r="AF20" s="1"/>
    </row>
    <row r="21" spans="1:32" x14ac:dyDescent="0.25">
      <c r="A21" s="31">
        <v>42867.241562499999</v>
      </c>
      <c r="B21" s="30" t="s">
        <v>444</v>
      </c>
      <c r="C21" s="30" t="s">
        <v>561</v>
      </c>
      <c r="D21" s="30" t="s">
        <v>49</v>
      </c>
      <c r="E21" s="30" t="s">
        <v>379</v>
      </c>
      <c r="F21" s="42">
        <v>0</v>
      </c>
      <c r="G21" s="42">
        <v>594</v>
      </c>
      <c r="H21" s="42">
        <v>190655</v>
      </c>
      <c r="I21" s="42">
        <v>193573</v>
      </c>
      <c r="J21" s="30" t="s">
        <v>380</v>
      </c>
      <c r="K21" s="42">
        <v>190738</v>
      </c>
      <c r="L21" s="134" t="s">
        <v>50</v>
      </c>
      <c r="M21" s="135">
        <f t="shared" si="0"/>
        <v>-1496.88</v>
      </c>
      <c r="N21" s="136" t="str">
        <f>VLOOKUP(C21,'Trips&amp;Operators'!$C$1:$G$99999,5,FALSE)</f>
        <v>BADERTSCHER DIANE</v>
      </c>
      <c r="O21" s="207" t="s">
        <v>382</v>
      </c>
      <c r="P21" s="137" t="s">
        <v>1050</v>
      </c>
      <c r="Q21" s="30"/>
      <c r="R21" s="84" t="str">
        <f>IF(VLOOKUP(C21,'Train Runs'!$A$13:$AE$9929,1,1)=C21,VLOOKUP(C21,'Train Runs'!$A$13:$AE$9929,31,1),NA())</f>
        <v>aws s3 cp s3://rtdc.mdm.uploadarchive.raw/RTDC4032/ "%USERPROFILE%\AppData\Local\Temp\OnboardLogs"\RTDC4032\2017-05-12 --exclude "*" --recursive --include "*20170512*" &amp; "%USERPROFILE%\Documents\GitHub\mrs-test-scripts\Headless Mode &amp; Sideloading\WalkAndUnGZ.bat" "%USERPROFILE%\AppData\Local\Temp\OnboardLogs"\RTDC4032\2017-05-12 &amp; aws s3 cp s3://rtdc.mdm.uploadarchive.raw/RTDC4032/ "%USERPROFILE%\AppData\Local\Temp\OnboardLogs"\RTDC4032\2017-05-13 --exclude "*" --recursive --include "*20170513*" &amp; "%USERPROFILE%\Documents\GitHub\mrs-test-scripts\Headless Mode &amp; Sideloading\WalkAndUnGZ.bat" "%USERPROFILE%\AppData\Local\Temp\OnboardLogs"\RTDC4032\2017-05-13</v>
      </c>
      <c r="S21" s="87" t="str">
        <f>VLOOKUP(C21,'Train Runs'!$A$13:$AE$9929,22,0)</f>
        <v>https://d0f6bd738d7f1b3e5a7ca70fe4ff75f0.us-east-1.aws.found.io/app/kibana#/discover/Steve-Slow-Train-Analysis-(2080s-and-2083s)?_g=(refreshInterval:(display:Off,pause:!f,section:0,value:0),time:(from:'2017-05-12T04:01:41-0600',mode:absolute,to:'2017-05-12T06:47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1" s="89" t="str">
        <f t="shared" si="1"/>
        <v>"C:\Program Files (x86)\AstroGrep\AstroGrep.exe" /e /r /s /spath="%USERPROFILE%\AppData\Local\Temp\OnboardLogs" /stypes="*4032*201705121*" /stext=" 11:.+((SYSTEM_STATE.+slice.+state.+changed )|(ment ac)|(multiple cpu faults)|(system.+state.+changed )|(\[timeout)|(PRM\|1\|D)|(kpr)|(kdp)|(train st.+moving)|(\|lc)|(penalty))"</v>
      </c>
      <c r="U21" s="9" t="str">
        <f t="shared" si="2"/>
        <v>4032</v>
      </c>
      <c r="V21" s="31">
        <f t="shared" si="3"/>
        <v>42867.491562499999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{"issue":{"subject":"CP Pena 2N premature downgrade","project_id":79,"tracker_id":40,"status_id":1,"priority_id":2,"assigned_to_id":23,"start_date":"2017-05-12","description":"05:47:25 - Pena 2N dropped from PROCEED CAB to STOP unexpectedly, do logs show anything unusual?","custom_fields":[{"id":1,"name":"Subdivision","value":"EC"},{"id":4,"name":"Milepost","value":"19.0738"},{"id":17,"name":"Train ID","value":"113-12"},{"id":16,"name":"Locomotive ID","value":"4032"},{"id":130,"name":"Impact","value":"Enforcement"},{"id":150,"name":"Time of Event (Mountain Time)","value":"05:47:51"},{"id":151,"name":"Denver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1" s="162" t="s">
        <v>1051</v>
      </c>
      <c r="AA21" s="47" t="s">
        <v>124</v>
      </c>
      <c r="AB21" s="47" t="s">
        <v>129</v>
      </c>
      <c r="AC21" s="118" t="str">
        <f t="shared" si="7"/>
        <v>grep -hrE -A400 "Enforcement Action" /cygdrive/c/Users/stu/AppData/Local/Temp/OnboardLogs/RTDC4032 --include="*4032*201705121*"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"%USERPROFILE%\AppData\Local\Temp\OnboardLogs"\RTDC4032\*4032*201705121* &gt;&gt; 2017-05-12-SliceDisagreementCheck.txt</v>
      </c>
      <c r="AE21" s="148" t="str">
        <f t="shared" si="9"/>
        <v>start /low /b %USERPROFILE%\Documents\GitHub\eaglep3\Utilities\DownloadLogsFromS3.py --loco 4032 --day 2017-05-12</v>
      </c>
      <c r="AF21" s="1"/>
    </row>
    <row r="22" spans="1:32" x14ac:dyDescent="0.25">
      <c r="A22" s="31">
        <v>42867.606145833335</v>
      </c>
      <c r="B22" s="30" t="s">
        <v>444</v>
      </c>
      <c r="C22" s="30" t="s">
        <v>577</v>
      </c>
      <c r="D22" s="30" t="s">
        <v>49</v>
      </c>
      <c r="E22" s="30" t="s">
        <v>494</v>
      </c>
      <c r="F22" s="42">
        <v>0</v>
      </c>
      <c r="G22" s="42">
        <v>670</v>
      </c>
      <c r="H22" s="42">
        <v>213801</v>
      </c>
      <c r="I22" s="42">
        <v>216659</v>
      </c>
      <c r="J22" s="30" t="s">
        <v>495</v>
      </c>
      <c r="K22" s="42">
        <v>217106</v>
      </c>
      <c r="L22" s="134" t="s">
        <v>50</v>
      </c>
      <c r="M22" s="135">
        <f t="shared" si="0"/>
        <v>236.01599999999999</v>
      </c>
      <c r="N22" s="136" t="str">
        <f>VLOOKUP(C22,'Trips&amp;Operators'!$C$1:$G$99999,5,FALSE)</f>
        <v>BRANDNER MELINDA</v>
      </c>
      <c r="O22" s="207" t="s">
        <v>382</v>
      </c>
      <c r="P22" s="137" t="s">
        <v>555</v>
      </c>
      <c r="Q22" s="30"/>
      <c r="R22" s="84" t="str">
        <f>IF(VLOOKUP(C22,'Train Runs'!$A$13:$AE$9929,1,1)=C22,VLOOKUP(C22,'Train Runs'!$A$13:$AE$9929,31,1),NA())</f>
        <v>aws s3 cp s3://rtdc.mdm.uploadarchive.raw/RTDC4032/ "%USERPROFILE%\AppData\Local\Temp\OnboardLogs"\RTDC4032\2017-05-12 --exclude "*" --recursive --include "*20170512*" &amp; "%USERPROFILE%\Documents\GitHub\mrs-test-scripts\Headless Mode &amp; Sideloading\WalkAndUnGZ.bat" "%USERPROFILE%\AppData\Local\Temp\OnboardLogs"\RTDC4032\2017-05-12 &amp; aws s3 cp s3://rtdc.mdm.uploadarchive.raw/RTDC4032/ "%USERPROFILE%\AppData\Local\Temp\OnboardLogs"\RTDC4032\2017-05-13 --exclude "*" --recursive --include "*20170513*" &amp; "%USERPROFILE%\Documents\GitHub\mrs-test-scripts\Headless Mode &amp; Sideloading\WalkAndUnGZ.bat" "%USERPROFILE%\AppData\Local\Temp\OnboardLogs"\RTDC4032\2017-05-13</v>
      </c>
      <c r="S22" s="87" t="str">
        <f>VLOOKUP(C22,'Train Runs'!$A$13:$AE$9929,22,0)</f>
        <v>https://d0f6bd738d7f1b3e5a7ca70fe4ff75f0.us-east-1.aws.found.io/app/kibana#/discover/Steve-Slow-Train-Analysis-(2080s-and-2083s)?_g=(refreshInterval:(display:Off,pause:!f,section:0,value:0),time:(from:'2017-05-12T12:53:17-0600',mode:absolute,to:'2017-05-12T15:38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2" s="89" t="str">
        <f t="shared" si="1"/>
        <v>"C:\Program Files (x86)\AstroGrep\AstroGrep.exe" /e /r /s /spath="%USERPROFILE%\AppData\Local\Temp\OnboardLogs" /stypes="*4032*201705122*" /stext=" 20:.+((SYSTEM_STATE.+slice.+state.+changed )|(ment ac)|(multiple cpu faults)|(system.+state.+changed )|(\[timeout)|(PRM\|1\|D)|(kpr)|(kdp)|(train st.+moving)|(\|lc)|(penalty))"</v>
      </c>
      <c r="U22" s="9" t="str">
        <f t="shared" si="2"/>
        <v>4032</v>
      </c>
      <c r="V22" s="31">
        <f t="shared" si="3"/>
        <v>42867.856145833335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{"issue":{"subject":"Wi-MAX data drop","project_id":79,"tracker_id":40,"status_id":1,"priority_id":2,"assigned_to_id":23,"start_date":"2017-05-12","description":"","custom_fields":[{"id":1,"name":"Subdivision","value":"EC"},{"id":4,"name":"Milepost","value":"21.7106"},{"id":17,"name":"Train ID","value":"183-12"},{"id":16,"name":"Locomotive ID","value":"4032"},{"id":130,"name":"Impact","value":""},{"id":150,"name":"Time of Event (Mountain Time)","value":"14:32:51"},{"id":151,"name":"Denver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/cygdrive/c/Users/stu/AppData/Local/Temp/OnboardLogs/RTDC4032 --include="*4032*201705122*"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"%USERPROFILE%\AppData\Local\Temp\OnboardLogs"\RTDC4032\*4032*201705122* &gt;&gt; 2017-05-12-SliceDisagreementCheck.txt</v>
      </c>
      <c r="AE22" s="148" t="str">
        <f t="shared" si="9"/>
        <v>start /low /b %USERPROFILE%\Documents\GitHub\eaglep3\Utilities\DownloadLogsFromS3.py --loco 4032 --day 2017-05-12</v>
      </c>
      <c r="AF22" s="1"/>
    </row>
    <row r="23" spans="1:32" x14ac:dyDescent="0.25">
      <c r="A23" s="31">
        <v>42867.576631944445</v>
      </c>
      <c r="B23" s="30" t="s">
        <v>574</v>
      </c>
      <c r="C23" s="30" t="s">
        <v>575</v>
      </c>
      <c r="D23" s="30" t="s">
        <v>49</v>
      </c>
      <c r="E23" s="30" t="s">
        <v>185</v>
      </c>
      <c r="F23" s="42">
        <v>0</v>
      </c>
      <c r="G23" s="42">
        <v>63</v>
      </c>
      <c r="H23" s="42">
        <v>218</v>
      </c>
      <c r="I23" s="42">
        <v>129</v>
      </c>
      <c r="J23" s="30" t="s">
        <v>186</v>
      </c>
      <c r="K23" s="42">
        <v>1</v>
      </c>
      <c r="L23" s="134" t="s">
        <v>51</v>
      </c>
      <c r="M23" s="135">
        <f t="shared" si="0"/>
        <v>67.584000000000003</v>
      </c>
      <c r="N23" s="136" t="str">
        <f>VLOOKUP(C23,'Trips&amp;Operators'!$C$1:$G$99999,5,FALSE)</f>
        <v>BRANDNER MELINDA</v>
      </c>
      <c r="O23" s="207" t="s">
        <v>184</v>
      </c>
      <c r="P23" s="137"/>
      <c r="Q23" s="30"/>
      <c r="R23" s="84" t="str">
        <f>IF(VLOOKUP(C23,'Train Runs'!$A$13:$AE$9929,1,1)=C23,VLOOKUP(C23,'Train Runs'!$A$13:$AE$9929,31,1),NA())</f>
        <v>aws s3 cp s3://rtdc.mdm.uploadarchive.raw/RTDC4031/ "%USERPROFILE%\AppData\Local\Temp\OnboardLogs"\RTDC4031\2017-05-12 --exclude "*" --recursive --include "*20170512*" &amp; "%USERPROFILE%\Documents\GitHub\mrs-test-scripts\Headless Mode &amp; Sideloading\WalkAndUnGZ.bat" "%USERPROFILE%\AppData\Local\Temp\OnboardLogs"\RTDC4031\2017-05-12 &amp; aws s3 cp s3://rtdc.mdm.uploadarchive.raw/RTDC4031/ "%USERPROFILE%\AppData\Local\Temp\OnboardLogs"\RTDC4031\2017-05-13 --exclude "*" --recursive --include "*20170513*" &amp; "%USERPROFILE%\Documents\GitHub\mrs-test-scripts\Headless Mode &amp; Sideloading\WalkAndUnGZ.bat" "%USERPROFILE%\AppData\Local\Temp\OnboardLogs"\RTDC4031\2017-05-13</v>
      </c>
      <c r="S23" s="87" t="str">
        <f>VLOOKUP(C23,'Train Runs'!$A$13:$AE$9929,22,0)</f>
        <v>https://d0f6bd738d7f1b3e5a7ca70fe4ff75f0.us-east-1.aws.found.io/app/kibana#/discover/Steve-Slow-Train-Analysis-(2080s-and-2083s)?_g=(refreshInterval:(display:Off,pause:!f,section:0,value:0),time:(from:'2017-05-12T12:05:09-0600',mode:absolute,to:'2017-05-12T14:50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3" s="89" t="str">
        <f t="shared" si="1"/>
        <v>"C:\Program Files (x86)\AstroGrep\AstroGrep.exe" /e /r /s /spath="%USERPROFILE%\AppData\Local\Temp\OnboardLogs" /stypes="*4031*201705121*" /stext=" 19:.+((SYSTEM_STATE.+slice.+state.+changed )|(ment ac)|(multiple cpu faults)|(system.+state.+changed )|(\[timeout)|(PRM\|1\|D)|(kpr)|(kdp)|(train st.+moving)|(\|lc)|(penalty))"</v>
      </c>
      <c r="U23" s="9" t="str">
        <f t="shared" si="2"/>
        <v>4031</v>
      </c>
      <c r="V23" s="31">
        <f t="shared" si="3"/>
        <v>42867.826631944445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{"issue":{"subject":"","project_id":79,"tracker_id":40,"status_id":1,"priority_id":2,"assigned_to_id":23,"start_date":"2017-05-12","description":"","custom_fields":[{"id":1,"name":"Subdivision","value":"EC"},{"id":4,"name":"Milepost","value":"0.0001"},{"id":17,"name":"Train ID","value":"170-12"},{"id":16,"name":"Locomotive ID","value":"4031"},{"id":130,"name":"Impact","value":""},{"id":150,"name":"Time of Event (Mountain Time)","value":"13:50:21"},{"id":151,"name":"Denver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/cygdrive/c/Users/stu/AppData/Local/Temp/OnboardLogs/RTDC4031 --include="*4031*201705121*"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"%USERPROFILE%\AppData\Local\Temp\OnboardLogs"\RTDC4031\*4031*201705121* &gt;&gt; 2017-05-12-SliceDisagreementCheck.txt</v>
      </c>
      <c r="AE23" s="148" t="str">
        <f t="shared" si="9"/>
        <v>start /low /b %USERPROFILE%\Documents\GitHub\eaglep3\Utilities\DownloadLogsFromS3.py --loco 4031 --day 2017-05-12</v>
      </c>
      <c r="AF23" s="1"/>
    </row>
    <row r="24" spans="1:32" x14ac:dyDescent="0.25">
      <c r="A24" s="31">
        <v>42867.743252314816</v>
      </c>
      <c r="B24" s="30" t="s">
        <v>401</v>
      </c>
      <c r="C24" s="30" t="s">
        <v>585</v>
      </c>
      <c r="D24" s="30" t="s">
        <v>49</v>
      </c>
      <c r="E24" s="30" t="s">
        <v>185</v>
      </c>
      <c r="F24" s="42">
        <v>0</v>
      </c>
      <c r="G24" s="42">
        <v>160</v>
      </c>
      <c r="H24" s="42">
        <v>666</v>
      </c>
      <c r="I24" s="42">
        <v>431</v>
      </c>
      <c r="J24" s="30" t="s">
        <v>186</v>
      </c>
      <c r="K24" s="42">
        <v>1</v>
      </c>
      <c r="L24" s="134" t="s">
        <v>51</v>
      </c>
      <c r="M24" s="135">
        <f t="shared" si="0"/>
        <v>227.04</v>
      </c>
      <c r="N24" s="136" t="str">
        <f>VLOOKUP(C24,'Trips&amp;Operators'!$C$1:$G$99999,5,FALSE)</f>
        <v>STEWART MICHAEL</v>
      </c>
      <c r="O24" s="207" t="s">
        <v>184</v>
      </c>
      <c r="P24" s="137"/>
      <c r="Q24" s="30"/>
      <c r="R24" s="84" t="str">
        <f>IF(VLOOKUP(C24,'Train Runs'!$A$13:$AE$9929,1,1)=C24,VLOOKUP(C24,'Train Runs'!$A$13:$AE$9929,31,1),NA())</f>
        <v>aws s3 cp s3://rtdc.mdm.uploadarchive.raw/RTDC4013/ "%USERPROFILE%\AppData\Local\Temp\OnboardLogs"\RTDC4013\2017-05-12 --exclude "*" --recursive --include "*20170512*" &amp; "%USERPROFILE%\Documents\GitHub\mrs-test-scripts\Headless Mode &amp; Sideloading\WalkAndUnGZ.bat" "%USERPROFILE%\AppData\Local\Temp\OnboardLogs"\RTDC4013\2017-05-12 &amp; aws s3 cp s3://rtdc.mdm.uploadarchive.raw/RTDC4013/ "%USERPROFILE%\AppData\Local\Temp\OnboardLogs"\RTDC4013\2017-05-13 --exclude "*" --recursive --include "*20170513*" &amp; "%USERPROFILE%\Documents\GitHub\mrs-test-scripts\Headless Mode &amp; Sideloading\WalkAndUnGZ.bat" "%USERPROFILE%\AppData\Local\Temp\OnboardLogs"\RTDC4013\2017-05-13</v>
      </c>
      <c r="S24" s="87" t="str">
        <f>VLOOKUP(C24,'Train Runs'!$A$13:$AE$9929,22,0)</f>
        <v>https://d0f6bd738d7f1b3e5a7ca70fe4ff75f0.us-east-1.aws.found.io/app/kibana#/discover/Steve-Slow-Train-Analysis-(2080s-and-2083s)?_g=(refreshInterval:(display:Off,pause:!f,section:0,value:0),time:(from:'2017-05-12T16:05:36-0600',mode:absolute,to:'2017-05-12T18:50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4" s="89" t="str">
        <f t="shared" si="1"/>
        <v>"C:\Program Files (x86)\AstroGrep\AstroGrep.exe" /e /r /s /spath="%USERPROFILE%\AppData\Local\Temp\OnboardLogs" /stypes="*4013*201705122*" /stext=" 23:.+((SYSTEM_STATE.+slice.+state.+changed )|(ment ac)|(multiple cpu faults)|(system.+state.+changed )|(\[timeout)|(PRM\|1\|D)|(kpr)|(kdp)|(train st.+moving)|(\|lc)|(penalty))"</v>
      </c>
      <c r="U24" s="9" t="str">
        <f t="shared" si="2"/>
        <v>4013</v>
      </c>
      <c r="V24" s="31">
        <f t="shared" si="3"/>
        <v>42867.993252314816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{"issue":{"subject":"","project_id":79,"tracker_id":40,"status_id":1,"priority_id":2,"assigned_to_id":23,"start_date":"2017-05-12","description":"","custom_fields":[{"id":1,"name":"Subdivision","value":"EC"},{"id":4,"name":"Milepost","value":"0.0001"},{"id":17,"name":"Train ID","value":"202-12"},{"id":16,"name":"Locomotive ID","value":"4013"},{"id":130,"name":"Impact","value":""},{"id":150,"name":"Time of Event (Mountain Time)","value":"17:50:17"},{"id":151,"name":"Denver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-hrE -A400 "Enforcement Action" /cygdrive/c/Users/stu/AppData/Local/Temp/OnboardLogs/RTDC4013 --include="*4013*201705122*"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"%USERPROFILE%\AppData\Local\Temp\OnboardLogs"\RTDC4013\*4013*201705122* &gt;&gt; 2017-05-12-SliceDisagreementCheck.txt</v>
      </c>
      <c r="AE24" s="148" t="str">
        <f t="shared" si="9"/>
        <v>start /low /b %USERPROFILE%\Documents\GitHub\eaglep3\Utilities\DownloadLogsFromS3.py --loco 4013 --day 2017-05-12</v>
      </c>
      <c r="AF24" s="1"/>
    </row>
    <row r="25" spans="1:32" x14ac:dyDescent="0.25">
      <c r="A25" s="31">
        <v>42867.743819444448</v>
      </c>
      <c r="B25" s="30" t="s">
        <v>401</v>
      </c>
      <c r="C25" s="30" t="s">
        <v>585</v>
      </c>
      <c r="D25" s="30" t="s">
        <v>49</v>
      </c>
      <c r="E25" s="30" t="s">
        <v>185</v>
      </c>
      <c r="F25" s="42">
        <v>0</v>
      </c>
      <c r="G25" s="42">
        <v>65</v>
      </c>
      <c r="H25" s="42">
        <v>251</v>
      </c>
      <c r="I25" s="42">
        <v>189</v>
      </c>
      <c r="J25" s="30" t="s">
        <v>186</v>
      </c>
      <c r="K25" s="42">
        <v>1</v>
      </c>
      <c r="L25" s="134" t="s">
        <v>51</v>
      </c>
      <c r="M25" s="135">
        <f t="shared" si="0"/>
        <v>99.263999999999996</v>
      </c>
      <c r="N25" s="136" t="str">
        <f>VLOOKUP(C25,'Trips&amp;Operators'!$C$1:$G$99999,5,FALSE)</f>
        <v>STEWART MICHAEL</v>
      </c>
      <c r="O25" s="207" t="s">
        <v>184</v>
      </c>
      <c r="P25" s="137"/>
      <c r="Q25" s="30"/>
      <c r="R25" s="84" t="str">
        <f>IF(VLOOKUP(C25,'Train Runs'!$A$13:$AE$9929,1,1)=C25,VLOOKUP(C25,'Train Runs'!$A$13:$AE$9929,31,1),NA())</f>
        <v>aws s3 cp s3://rtdc.mdm.uploadarchive.raw/RTDC4013/ "%USERPROFILE%\AppData\Local\Temp\OnboardLogs"\RTDC4013\2017-05-12 --exclude "*" --recursive --include "*20170512*" &amp; "%USERPROFILE%\Documents\GitHub\mrs-test-scripts\Headless Mode &amp; Sideloading\WalkAndUnGZ.bat" "%USERPROFILE%\AppData\Local\Temp\OnboardLogs"\RTDC4013\2017-05-12 &amp; aws s3 cp s3://rtdc.mdm.uploadarchive.raw/RTDC4013/ "%USERPROFILE%\AppData\Local\Temp\OnboardLogs"\RTDC4013\2017-05-13 --exclude "*" --recursive --include "*20170513*" &amp; "%USERPROFILE%\Documents\GitHub\mrs-test-scripts\Headless Mode &amp; Sideloading\WalkAndUnGZ.bat" "%USERPROFILE%\AppData\Local\Temp\OnboardLogs"\RTDC4013\2017-05-13</v>
      </c>
      <c r="S25" s="87" t="str">
        <f>VLOOKUP(C25,'Train Runs'!$A$13:$AE$9929,22,0)</f>
        <v>https://d0f6bd738d7f1b3e5a7ca70fe4ff75f0.us-east-1.aws.found.io/app/kibana#/discover/Steve-Slow-Train-Analysis-(2080s-and-2083s)?_g=(refreshInterval:(display:Off,pause:!f,section:0,value:0),time:(from:'2017-05-12T16:05:36-0600',mode:absolute,to:'2017-05-12T18:50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5" s="89" t="str">
        <f t="shared" si="1"/>
        <v>"C:\Program Files (x86)\AstroGrep\AstroGrep.exe" /e /r /s /spath="%USERPROFILE%\AppData\Local\Temp\OnboardLogs" /stypes="*4013*201705122*" /stext=" 23:.+((SYSTEM_STATE.+slice.+state.+changed )|(ment ac)|(multiple cpu faults)|(system.+state.+changed )|(\[timeout)|(PRM\|1\|D)|(kpr)|(kdp)|(train st.+moving)|(\|lc)|(penalty))"</v>
      </c>
      <c r="U25" s="9" t="str">
        <f t="shared" si="2"/>
        <v>4013</v>
      </c>
      <c r="V25" s="31">
        <f t="shared" si="3"/>
        <v>42867.993819444448</v>
      </c>
      <c r="W25" s="45" t="str">
        <f t="shared" si="4"/>
        <v>EC</v>
      </c>
      <c r="X25" s="45" t="str">
        <f t="shared" si="5"/>
        <v>KEEP</v>
      </c>
      <c r="Y25" s="99" t="str">
        <f t="shared" si="6"/>
        <v>echo {"issue":{"subject":"","project_id":79,"tracker_id":40,"status_id":1,"priority_id":2,"assigned_to_id":23,"start_date":"2017-05-12","description":"","custom_fields":[{"id":1,"name":"Subdivision","value":"EC"},{"id":4,"name":"Milepost","value":"0.0001"},{"id":17,"name":"Train ID","value":"202-12"},{"id":16,"name":"Locomotive ID","value":"4013"},{"id":130,"name":"Impact","value":""},{"id":150,"name":"Time of Event (Mountain Time)","value":"17:51:06"},{"id":151,"name":"Denver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/cygdrive/c/Users/stu/AppData/Local/Temp/OnboardLogs/RTDC4013 --include="*4013*201705122*"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"%USERPROFILE%\AppData\Local\Temp\OnboardLogs"\RTDC4013\*4013*201705122* &gt;&gt; 2017-05-12-SliceDisagreementCheck.txt</v>
      </c>
      <c r="AE25" s="148" t="str">
        <f t="shared" si="9"/>
        <v>start /low /b %USERPROFILE%\Documents\GitHub\eaglep3\Utilities\DownloadLogsFromS3.py --loco 4013 --day 2017-05-12</v>
      </c>
      <c r="AF25" s="1"/>
    </row>
    <row r="26" spans="1:32" x14ac:dyDescent="0.25">
      <c r="A26" s="31">
        <v>42867.837418981479</v>
      </c>
      <c r="B26" s="30" t="s">
        <v>466</v>
      </c>
      <c r="C26" s="30" t="s">
        <v>589</v>
      </c>
      <c r="D26" s="30" t="s">
        <v>49</v>
      </c>
      <c r="E26" s="30" t="s">
        <v>185</v>
      </c>
      <c r="F26" s="42">
        <v>0</v>
      </c>
      <c r="G26" s="42">
        <v>39</v>
      </c>
      <c r="H26" s="42">
        <v>145</v>
      </c>
      <c r="I26" s="42">
        <v>119</v>
      </c>
      <c r="J26" s="30" t="s">
        <v>186</v>
      </c>
      <c r="K26" s="42">
        <v>1</v>
      </c>
      <c r="L26" s="134" t="s">
        <v>51</v>
      </c>
      <c r="M26" s="135">
        <f t="shared" si="0"/>
        <v>62.304000000000002</v>
      </c>
      <c r="N26" s="136" t="str">
        <f>VLOOKUP(C26,'Trips&amp;Operators'!$C$1:$G$99999,5,FALSE)</f>
        <v>BIRENBAUM THOMAS</v>
      </c>
      <c r="O26" s="207" t="s">
        <v>184</v>
      </c>
      <c r="P26" s="137"/>
      <c r="Q26" s="30"/>
      <c r="R26" s="84" t="str">
        <f>IF(VLOOKUP(C26,'Train Runs'!$A$13:$AE$9929,1,1)=C26,VLOOKUP(C26,'Train Runs'!$A$13:$AE$9929,31,1),NA())</f>
        <v>aws s3 cp s3://rtdc.mdm.uploadarchive.raw/RTDC4015/ "%USERPROFILE%\AppData\Local\Temp\OnboardLogs"\RTDC4015\2017-05-12 --exclude "*" --recursive --include "*20170512*" &amp; "%USERPROFILE%\Documents\GitHub\mrs-test-scripts\Headless Mode &amp; Sideloading\WalkAndUnGZ.bat" "%USERPROFILE%\AppData\Local\Temp\OnboardLogs"\RTDC4015\2017-05-12 &amp; aws s3 cp s3://rtdc.mdm.uploadarchive.raw/RTDC4015/ "%USERPROFILE%\AppData\Local\Temp\OnboardLogs"\RTDC4015\2017-05-13 --exclude "*" --recursive --include "*20170513*" &amp; "%USERPROFILE%\Documents\GitHub\mrs-test-scripts\Headless Mode &amp; Sideloading\WalkAndUnGZ.bat" "%USERPROFILE%\AppData\Local\Temp\OnboardLogs"\RTDC4015\2017-05-13</v>
      </c>
      <c r="S26" s="87" t="str">
        <f>VLOOKUP(C26,'Train Runs'!$A$13:$AE$9929,22,0)</f>
        <v>https://d0f6bd738d7f1b3e5a7ca70fe4ff75f0.us-east-1.aws.found.io/app/kibana#/discover/Steve-Slow-Train-Analysis-(2080s-and-2083s)?_g=(refreshInterval:(display:Off,pause:!f,section:0,value:0),time:(from:'2017-05-12T18:19:47-0600',mode:absolute,to:'2017-05-12T21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6" s="89" t="str">
        <f t="shared" si="1"/>
        <v>"C:\Program Files (x86)\AstroGrep\AstroGrep.exe" /e /r /s /spath="%USERPROFILE%\AppData\Local\Temp\OnboardLogs" /stypes="*4015*201705130*" /stext=" 02:.+((SYSTEM_STATE.+slice.+state.+changed )|(ment ac)|(multiple cpu faults)|(system.+state.+changed )|(\[timeout)|(PRM\|1\|D)|(kpr)|(kdp)|(train st.+moving)|(\|lc)|(penalty))"</v>
      </c>
      <c r="U26" s="9" t="str">
        <f t="shared" si="2"/>
        <v>4015</v>
      </c>
      <c r="V26" s="31">
        <f t="shared" si="3"/>
        <v>42868.087418981479</v>
      </c>
      <c r="W26" s="45" t="str">
        <f t="shared" si="4"/>
        <v>EC</v>
      </c>
      <c r="X26" s="45" t="str">
        <f t="shared" si="5"/>
        <v>KEEP</v>
      </c>
      <c r="Y26" s="99" t="str">
        <f t="shared" si="6"/>
        <v>echo {"issue":{"subject":"","project_id":79,"tracker_id":40,"status_id":1,"priority_id":2,"assigned_to_id":23,"start_date":"2017-05-12","description":"","custom_fields":[{"id":1,"name":"Subdivision","value":"EC"},{"id":4,"name":"Milepost","value":"0.0001"},{"id":17,"name":"Train ID","value":"220-12"},{"id":16,"name":"Locomotive ID","value":"4015"},{"id":130,"name":"Impact","value":""},{"id":150,"name":"Time of Event (Mountain Time)","value":"20:05:53"},{"id":151,"name":"Denver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/cygdrive/c/Users/stu/AppData/Local/Temp/OnboardLogs/RTDC4015 --include="*4015*201705130*"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"%USERPROFILE%\AppData\Local\Temp\OnboardLogs"\RTDC4015\*4015*201705130* &gt;&gt; 2017-05-12-SliceDisagreementCheck.txt</v>
      </c>
      <c r="AE26" s="148" t="str">
        <f t="shared" si="9"/>
        <v>start /low /b %USERPROFILE%\Documents\GitHub\eaglep3\Utilities\DownloadLogsFromS3.py --loco 4015 --day 2017-05-13</v>
      </c>
      <c r="AF26" s="1"/>
    </row>
    <row r="27" spans="1:32" x14ac:dyDescent="0.25">
      <c r="A27" s="31">
        <v>42867.79619212963</v>
      </c>
      <c r="B27" s="30" t="s">
        <v>574</v>
      </c>
      <c r="C27" s="30" t="s">
        <v>587</v>
      </c>
      <c r="D27" s="30" t="s">
        <v>49</v>
      </c>
      <c r="E27" s="30" t="s">
        <v>185</v>
      </c>
      <c r="F27" s="42">
        <v>0</v>
      </c>
      <c r="G27" s="42">
        <v>58</v>
      </c>
      <c r="H27" s="42">
        <v>1035</v>
      </c>
      <c r="I27" s="42">
        <v>969</v>
      </c>
      <c r="J27" s="30" t="s">
        <v>186</v>
      </c>
      <c r="K27" s="42">
        <v>839</v>
      </c>
      <c r="L27" s="134" t="s">
        <v>51</v>
      </c>
      <c r="M27" s="135">
        <f t="shared" si="0"/>
        <v>68.64</v>
      </c>
      <c r="N27" s="136" t="str">
        <f>VLOOKUP(C27,'Trips&amp;Operators'!$C$1:$G$99999,5,FALSE)</f>
        <v>BRANDNER MELINDA</v>
      </c>
      <c r="O27" s="207" t="s">
        <v>184</v>
      </c>
      <c r="P27" s="137"/>
      <c r="Q27" s="30"/>
      <c r="R27" s="84" t="str">
        <f>IF(VLOOKUP(C27,'Train Runs'!$A$13:$AE$9929,1,1)=C27,VLOOKUP(C27,'Train Runs'!$A$13:$AE$9929,31,1),NA())</f>
        <v>aws s3 cp s3://rtdc.mdm.uploadarchive.raw/RTDC4031/ "%USERPROFILE%\AppData\Local\Temp\OnboardLogs"\RTDC4031\2017-05-12 --exclude "*" --recursive --include "*20170512*" &amp; "%USERPROFILE%\Documents\GitHub\mrs-test-scripts\Headless Mode &amp; Sideloading\WalkAndUnGZ.bat" "%USERPROFILE%\AppData\Local\Temp\OnboardLogs"\RTDC4031\2017-05-12 &amp; aws s3 cp s3://rtdc.mdm.uploadarchive.raw/RTDC4031/ "%USERPROFILE%\AppData\Local\Temp\OnboardLogs"\RTDC4031\2017-05-13 --exclude "*" --recursive --include "*20170513*" &amp; "%USERPROFILE%\Documents\GitHub\mrs-test-scripts\Headless Mode &amp; Sideloading\WalkAndUnGZ.bat" "%USERPROFILE%\AppData\Local\Temp\OnboardLogs"\RTDC4031\2017-05-13</v>
      </c>
      <c r="S27" s="87" t="str">
        <f>VLOOKUP(C27,'Train Runs'!$A$13:$AE$9929,22,0)</f>
        <v>https://d0f6bd738d7f1b3e5a7ca70fe4ff75f0.us-east-1.aws.found.io/app/kibana#/discover/Steve-Slow-Train-Analysis-(2080s-and-2083s)?_g=(refreshInterval:(display:Off,pause:!f,section:0,value:0),time:(from:'2017-05-12T17:18:26-0600',mode:absolute,to:'2017-05-12T20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7" s="89" t="str">
        <f t="shared" si="1"/>
        <v>"C:\Program Files (x86)\AstroGrep\AstroGrep.exe" /e /r /s /spath="%USERPROFILE%\AppData\Local\Temp\OnboardLogs" /stypes="*4031*201705130*" /stext=" 01:.+((SYSTEM_STATE.+slice.+state.+changed )|(ment ac)|(multiple cpu faults)|(system.+state.+changed )|(\[timeout)|(PRM\|1\|D)|(kpr)|(kdp)|(train st.+moving)|(\|lc)|(penalty))"</v>
      </c>
      <c r="U27" s="9" t="str">
        <f t="shared" si="2"/>
        <v>4031</v>
      </c>
      <c r="V27" s="31">
        <f t="shared" si="3"/>
        <v>42868.04619212963</v>
      </c>
      <c r="W27" s="45" t="str">
        <f t="shared" si="4"/>
        <v>EC</v>
      </c>
      <c r="X27" s="45" t="str">
        <f t="shared" si="5"/>
        <v>KEEP</v>
      </c>
      <c r="Y27" s="99" t="str">
        <f t="shared" si="6"/>
        <v>echo {"issue":{"subject":"","project_id":79,"tracker_id":40,"status_id":1,"priority_id":2,"assigned_to_id":23,"start_date":"2017-05-12","description":"","custom_fields":[{"id":1,"name":"Subdivision","value":"EC"},{"id":4,"name":"Milepost","value":"0.0839"},{"id":17,"name":"Train ID","value":"212-12"},{"id":16,"name":"Locomotive ID","value":"4031"},{"id":130,"name":"Impact","value":""},{"id":150,"name":"Time of Event (Mountain Time)","value":"19:06:31"},{"id":151,"name":"Denver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/cygdrive/c/Users/stu/AppData/Local/Temp/OnboardLogs/RTDC4031 --include="*4031*201705130*"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"%USERPROFILE%\AppData\Local\Temp\OnboardLogs"\RTDC4031\*4031*201705130* &gt;&gt; 2017-05-12-SliceDisagreementCheck.txt</v>
      </c>
      <c r="AE27" s="148" t="str">
        <f t="shared" si="9"/>
        <v>start /low /b %USERPROFILE%\Documents\GitHub\eaglep3\Utilities\DownloadLogsFromS3.py --loco 4031 --day 2017-05-13</v>
      </c>
      <c r="AF27" s="1"/>
    </row>
    <row r="28" spans="1:32" x14ac:dyDescent="0.25">
      <c r="A28" s="31">
        <v>42867.536041666666</v>
      </c>
      <c r="B28" s="30" t="s">
        <v>444</v>
      </c>
      <c r="C28" s="30" t="s">
        <v>573</v>
      </c>
      <c r="D28" s="30" t="s">
        <v>49</v>
      </c>
      <c r="E28" s="30" t="s">
        <v>185</v>
      </c>
      <c r="F28" s="42">
        <v>0</v>
      </c>
      <c r="G28" s="42">
        <v>32</v>
      </c>
      <c r="H28" s="42">
        <v>233381</v>
      </c>
      <c r="I28" s="42">
        <v>233406</v>
      </c>
      <c r="J28" s="30" t="s">
        <v>186</v>
      </c>
      <c r="K28" s="42">
        <v>233491</v>
      </c>
      <c r="L28" s="134" t="s">
        <v>50</v>
      </c>
      <c r="M28" s="135">
        <f t="shared" si="0"/>
        <v>44.88</v>
      </c>
      <c r="N28" s="136" t="str">
        <f>VLOOKUP(C28,'Trips&amp;Operators'!$C$1:$G$99999,5,FALSE)</f>
        <v>BRANDNER MELINDA</v>
      </c>
      <c r="O28" s="207" t="s">
        <v>184</v>
      </c>
      <c r="P28" s="137"/>
      <c r="Q28" s="30"/>
      <c r="R28" s="84" t="str">
        <f>IF(VLOOKUP(C28,'Train Runs'!$A$13:$AE$9929,1,1)=C28,VLOOKUP(C28,'Train Runs'!$A$13:$AE$9929,31,1),NA())</f>
        <v>aws s3 cp s3://rtdc.mdm.uploadarchive.raw/RTDC4032/ "%USERPROFILE%\AppData\Local\Temp\OnboardLogs"\RTDC4032\2017-05-12 --exclude "*" --recursive --include "*20170512*" &amp; "%USERPROFILE%\Documents\GitHub\mrs-test-scripts\Headless Mode &amp; Sideloading\WalkAndUnGZ.bat" "%USERPROFILE%\AppData\Local\Temp\OnboardLogs"\RTDC4032\2017-05-12 &amp; aws s3 cp s3://rtdc.mdm.uploadarchive.raw/RTDC4032/ "%USERPROFILE%\AppData\Local\Temp\OnboardLogs"\RTDC4032\2017-05-13 --exclude "*" --recursive --include "*20170513*" &amp; "%USERPROFILE%\Documents\GitHub\mrs-test-scripts\Headless Mode &amp; Sideloading\WalkAndUnGZ.bat" "%USERPROFILE%\AppData\Local\Temp\OnboardLogs"\RTDC4032\2017-05-13</v>
      </c>
      <c r="S28" s="87" t="str">
        <f>VLOOKUP(C28,'Train Runs'!$A$13:$AE$9929,22,0)</f>
        <v>https://d0f6bd738d7f1b3e5a7ca70fe4ff75f0.us-east-1.aws.found.io/app/kibana#/discover/Steve-Slow-Train-Analysis-(2080s-and-2083s)?_g=(refreshInterval:(display:Off,pause:!f,section:0,value:0),time:(from:'2017-05-12T11:07:35-0600',mode:absolute,to:'2017-05-12T13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8" s="89" t="str">
        <f t="shared" si="1"/>
        <v>"C:\Program Files (x86)\AstroGrep\AstroGrep.exe" /e /r /s /spath="%USERPROFILE%\AppData\Local\Temp\OnboardLogs" /stypes="*4032*201705121*" /stext=" 18:.+((SYSTEM_STATE.+slice.+state.+changed )|(ment ac)|(multiple cpu faults)|(system.+state.+changed )|(\[timeout)|(PRM\|1\|D)|(kpr)|(kdp)|(train st.+moving)|(\|lc)|(penalty))"</v>
      </c>
      <c r="U28" s="9" t="str">
        <f t="shared" si="2"/>
        <v>4032</v>
      </c>
      <c r="V28" s="31">
        <f t="shared" si="3"/>
        <v>42867.786041666666</v>
      </c>
      <c r="W28" s="45" t="str">
        <f t="shared" si="4"/>
        <v>EC</v>
      </c>
      <c r="X28" s="45" t="str">
        <f t="shared" si="5"/>
        <v>KEEP</v>
      </c>
      <c r="Y28" s="99" t="str">
        <f t="shared" si="6"/>
        <v>echo {"issue":{"subject":"","project_id":79,"tracker_id":40,"status_id":1,"priority_id":2,"assigned_to_id":23,"start_date":"2017-05-12","description":"","custom_fields":[{"id":1,"name":"Subdivision","value":"EC"},{"id":4,"name":"Milepost","value":"23.3491"},{"id":17,"name":"Train ID","value":"169-12"},{"id":16,"name":"Locomotive ID","value":"4032"},{"id":130,"name":"Impact","value":""},{"id":150,"name":"Time of Event (Mountain Time)","value":"12:51:54"},{"id":151,"name":"Denver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/cygdrive/c/Users/stu/AppData/Local/Temp/OnboardLogs/RTDC4032 --include="*4032*201705121*"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"%USERPROFILE%\AppData\Local\Temp\OnboardLogs"\RTDC4032\*4032*201705121* &gt;&gt; 2017-05-12-SliceDisagreementCheck.txt</v>
      </c>
      <c r="AE28" s="148" t="str">
        <f t="shared" si="9"/>
        <v>start /low /b %USERPROFILE%\Documents\GitHub\eaglep3\Utilities\DownloadLogsFromS3.py --loco 4032 --day 2017-05-12</v>
      </c>
      <c r="AF28" s="1"/>
    </row>
    <row r="29" spans="1:32" x14ac:dyDescent="0.25">
      <c r="A29" s="31">
        <v>42867.639456018522</v>
      </c>
      <c r="B29" s="30" t="s">
        <v>345</v>
      </c>
      <c r="C29" s="30" t="s">
        <v>582</v>
      </c>
      <c r="D29" s="30" t="s">
        <v>49</v>
      </c>
      <c r="E29" s="30" t="s">
        <v>185</v>
      </c>
      <c r="F29" s="42">
        <v>0</v>
      </c>
      <c r="G29" s="42">
        <v>49</v>
      </c>
      <c r="H29" s="42">
        <v>233400</v>
      </c>
      <c r="I29" s="42">
        <v>233432</v>
      </c>
      <c r="J29" s="30" t="s">
        <v>186</v>
      </c>
      <c r="K29" s="42">
        <v>233491</v>
      </c>
      <c r="L29" s="134" t="s">
        <v>50</v>
      </c>
      <c r="M29" s="135">
        <f t="shared" si="0"/>
        <v>31.152000000000001</v>
      </c>
      <c r="N29" s="136" t="str">
        <f>VLOOKUP(C29,'Trips&amp;Operators'!$C$1:$G$99999,5,FALSE)</f>
        <v>ROMERO CHAD</v>
      </c>
      <c r="O29" s="207" t="s">
        <v>184</v>
      </c>
      <c r="P29" s="137"/>
      <c r="Q29" s="30"/>
      <c r="R29" s="84" t="str">
        <f>IF(VLOOKUP(C29,'Train Runs'!$A$13:$AE$9929,1,1)=C29,VLOOKUP(C29,'Train Runs'!$A$13:$AE$9929,31,1),NA())</f>
        <v>aws s3 cp s3://rtdc.mdm.uploadarchive.raw/RTDC4022/ "%USERPROFILE%\AppData\Local\Temp\OnboardLogs"\RTDC4022\2017-05-12 --exclude "*" --recursive --include "*20170512*" &amp; "%USERPROFILE%\Documents\GitHub\mrs-test-scripts\Headless Mode &amp; Sideloading\WalkAndUnGZ.bat" "%USERPROFILE%\AppData\Local\Temp\OnboardLogs"\RTDC4022\2017-05-12 &amp; aws s3 cp s3://rtdc.mdm.uploadarchive.raw/RTDC4022/ "%USERPROFILE%\AppData\Local\Temp\OnboardLogs"\RTDC4022\2017-05-13 --exclude "*" --recursive --include "*20170513*" &amp; "%USERPROFILE%\Documents\GitHub\mrs-test-scripts\Headless Mode &amp; Sideloading\WalkAndUnGZ.bat" "%USERPROFILE%\AppData\Local\Temp\OnboardLogs"\RTDC4022\2017-05-13</v>
      </c>
      <c r="S29" s="87" t="str">
        <f>VLOOKUP(C29,'Train Runs'!$A$13:$AE$9929,22,0)</f>
        <v>https://d0f6bd738d7f1b3e5a7ca70fe4ff75f0.us-east-1.aws.found.io/app/kibana#/discover/Steve-Slow-Train-Analysis-(2080s-and-2083s)?_g=(refreshInterval:(display:Off,pause:!f,section:0,value:0),time:(from:'2017-05-12T13:37:33-0600',mode:absolute,to:'2017-05-12T16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9" s="89" t="str">
        <f t="shared" si="1"/>
        <v>"C:\Program Files (x86)\AstroGrep\AstroGrep.exe" /e /r /s /spath="%USERPROFILE%\AppData\Local\Temp\OnboardLogs" /stypes="*4022*201705122*" /stext=" 21:.+((SYSTEM_STATE.+slice.+state.+changed )|(ment ac)|(multiple cpu faults)|(system.+state.+changed )|(\[timeout)|(PRM\|1\|D)|(kpr)|(kdp)|(train st.+moving)|(\|lc)|(penalty))"</v>
      </c>
      <c r="U29" s="9" t="str">
        <f t="shared" si="2"/>
        <v>4022</v>
      </c>
      <c r="V29" s="31">
        <f t="shared" si="3"/>
        <v>42867.889456018522</v>
      </c>
      <c r="W29" s="45" t="str">
        <f t="shared" si="4"/>
        <v>EC</v>
      </c>
      <c r="X29" s="45" t="str">
        <f t="shared" si="5"/>
        <v>KEEP</v>
      </c>
      <c r="Y29" s="99" t="str">
        <f t="shared" si="6"/>
        <v>echo {"issue":{"subject":"","project_id":79,"tracker_id":40,"status_id":1,"priority_id":2,"assigned_to_id":23,"start_date":"2017-05-12","description":"","custom_fields":[{"id":1,"name":"Subdivision","value":"EC"},{"id":4,"name":"Milepost","value":"23.3491"},{"id":17,"name":"Train ID","value":"189-12"},{"id":16,"name":"Locomotive ID","value":"4022"},{"id":130,"name":"Impact","value":""},{"id":150,"name":"Time of Event (Mountain Time)","value":"15:20:49"},{"id":151,"name":"Denver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/cygdrive/c/Users/stu/AppData/Local/Temp/OnboardLogs/RTDC4022 --include="*4022*201705122*"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"%USERPROFILE%\AppData\Local\Temp\OnboardLogs"\RTDC4022\*4022*201705122* &gt;&gt; 2017-05-12-SliceDisagreementCheck.txt</v>
      </c>
      <c r="AE29" s="148" t="str">
        <f t="shared" si="9"/>
        <v>start /low /b %USERPROFILE%\Documents\GitHub\eaglep3\Utilities\DownloadLogsFromS3.py --loco 4022 --day 2017-05-12</v>
      </c>
      <c r="AF29" s="1"/>
    </row>
    <row r="30" spans="1:32" x14ac:dyDescent="0.25">
      <c r="A30" s="31">
        <v>42867.692442129628</v>
      </c>
      <c r="B30" s="30" t="s">
        <v>396</v>
      </c>
      <c r="C30" s="30" t="s">
        <v>584</v>
      </c>
      <c r="D30" s="30" t="s">
        <v>49</v>
      </c>
      <c r="E30" s="30" t="s">
        <v>185</v>
      </c>
      <c r="F30" s="42">
        <v>0</v>
      </c>
      <c r="G30" s="42">
        <v>51</v>
      </c>
      <c r="H30" s="42">
        <v>233312</v>
      </c>
      <c r="I30" s="42">
        <v>233359</v>
      </c>
      <c r="J30" s="30" t="s">
        <v>186</v>
      </c>
      <c r="K30" s="42">
        <v>233491</v>
      </c>
      <c r="L30" s="134" t="s">
        <v>50</v>
      </c>
      <c r="M30" s="135">
        <f t="shared" si="0"/>
        <v>69.695999999999998</v>
      </c>
      <c r="N30" s="136" t="str">
        <f>VLOOKUP(C30,'Trips&amp;Operators'!$C$1:$G$99999,5,FALSE)</f>
        <v>MOSES BRADLEY</v>
      </c>
      <c r="O30" s="207" t="s">
        <v>184</v>
      </c>
      <c r="P30" s="137"/>
      <c r="Q30" s="30"/>
      <c r="R30" s="84" t="str">
        <f>IF(VLOOKUP(C30,'Train Runs'!$A$13:$AE$9929,1,1)=C30,VLOOKUP(C30,'Train Runs'!$A$13:$AE$9929,31,1),NA())</f>
        <v>aws s3 cp s3://rtdc.mdm.uploadarchive.raw/RTDC4012/ "%USERPROFILE%\AppData\Local\Temp\OnboardLogs"\RTDC4012\2017-05-12 --exclude "*" --recursive --include "*20170512*" &amp; "%USERPROFILE%\Documents\GitHub\mrs-test-scripts\Headless Mode &amp; Sideloading\WalkAndUnGZ.bat" "%USERPROFILE%\AppData\Local\Temp\OnboardLogs"\RTDC4012\2017-05-12 &amp; aws s3 cp s3://rtdc.mdm.uploadarchive.raw/RTDC4012/ "%USERPROFILE%\AppData\Local\Temp\OnboardLogs"\RTDC4012\2017-05-13 --exclude "*" --recursive --include "*20170513*" &amp; "%USERPROFILE%\Documents\GitHub\mrs-test-scripts\Headless Mode &amp; Sideloading\WalkAndUnGZ.bat" "%USERPROFILE%\AppData\Local\Temp\OnboardLogs"\RTDC4012\2017-05-13</v>
      </c>
      <c r="S30" s="87" t="str">
        <f>VLOOKUP(C30,'Train Runs'!$A$13:$AE$9929,22,0)</f>
        <v>https://d0f6bd738d7f1b3e5a7ca70fe4ff75f0.us-east-1.aws.found.io/app/kibana#/discover/Steve-Slow-Train-Analysis-(2080s-and-2083s)?_g=(refreshInterval:(display:Off,pause:!f,section:0,value:0),time:(from:'2017-05-12T14:56:10-0600',mode:absolute,to:'2017-05-12T18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0" s="89" t="str">
        <f t="shared" si="1"/>
        <v>"C:\Program Files (x86)\AstroGrep\AstroGrep.exe" /e /r /s /spath="%USERPROFILE%\AppData\Local\Temp\OnboardLogs" /stypes="*4012*201705122*" /stext=" 22:.+((SYSTEM_STATE.+slice.+state.+changed )|(ment ac)|(multiple cpu faults)|(system.+state.+changed )|(\[timeout)|(PRM\|1\|D)|(kpr)|(kdp)|(train st.+moving)|(\|lc)|(penalty))"</v>
      </c>
      <c r="U30" s="9" t="str">
        <f t="shared" si="2"/>
        <v>4012</v>
      </c>
      <c r="V30" s="31">
        <f t="shared" si="3"/>
        <v>42867.942442129628</v>
      </c>
      <c r="W30" s="45" t="str">
        <f t="shared" si="4"/>
        <v>EC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{"issue":{"subject":"","project_id":79,"tracker_id":40,"status_id":1,"priority_id":2,"assigned_to_id":23,"start_date":"2017-05-12","description":"","custom_fields":[{"id":1,"name":"Subdivision","value":"EC"},{"id":4,"name":"Milepost","value":"23.3491"},{"id":17,"name":"Train ID","value":"199-12"},{"id":16,"name":"Locomotive ID","value":"4012"},{"id":130,"name":"Impact","value":""},{"id":150,"name":"Time of Event (Mountain Time)","value":"16:37:07"},{"id":151,"name":"Denver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/cygdrive/c/Users/stu/AppData/Local/Temp/OnboardLogs/RTDC4012 --include="*4012*201705122*"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"%USERPROFILE%\AppData\Local\Temp\OnboardLogs"\RTDC4012\*4012*201705122* &gt;&gt; 2017-05-12-SliceDisagreementCheck.txt</v>
      </c>
      <c r="AE30" s="148" t="str">
        <f t="shared" si="9"/>
        <v>start /low /b %USERPROFILE%\Documents\GitHub\eaglep3\Utilities\DownloadLogsFromS3.py --loco 4012 --day 2017-05-12</v>
      </c>
      <c r="AF30" s="1"/>
    </row>
    <row r="31" spans="1:32" x14ac:dyDescent="0.25">
      <c r="A31" s="31">
        <v>42867.756099537037</v>
      </c>
      <c r="B31" s="30" t="s">
        <v>444</v>
      </c>
      <c r="C31" s="30" t="s">
        <v>586</v>
      </c>
      <c r="D31" s="30" t="s">
        <v>49</v>
      </c>
      <c r="E31" s="30" t="s">
        <v>185</v>
      </c>
      <c r="F31" s="42">
        <v>0</v>
      </c>
      <c r="G31" s="42">
        <v>39</v>
      </c>
      <c r="H31" s="42">
        <v>233332</v>
      </c>
      <c r="I31" s="42">
        <v>233376</v>
      </c>
      <c r="J31" s="30" t="s">
        <v>186</v>
      </c>
      <c r="K31" s="42">
        <v>233491</v>
      </c>
      <c r="L31" s="134" t="s">
        <v>50</v>
      </c>
      <c r="M31" s="135">
        <f t="shared" si="0"/>
        <v>60.72</v>
      </c>
      <c r="N31" s="136" t="str">
        <f>VLOOKUP(C31,'Trips&amp;Operators'!$C$1:$G$99999,5,FALSE)</f>
        <v>BRANDNER MELINDA</v>
      </c>
      <c r="O31" s="207" t="s">
        <v>184</v>
      </c>
      <c r="P31" s="137"/>
      <c r="Q31" s="30"/>
      <c r="R31" s="84" t="str">
        <f>IF(VLOOKUP(C31,'Train Runs'!$A$13:$AE$9929,1,1)=C31,VLOOKUP(C31,'Train Runs'!$A$13:$AE$9929,31,1),NA())</f>
        <v>aws s3 cp s3://rtdc.mdm.uploadarchive.raw/RTDC4032/ "%USERPROFILE%\AppData\Local\Temp\OnboardLogs"\RTDC4032\2017-05-12 --exclude "*" --recursive --include "*20170512*" &amp; "%USERPROFILE%\Documents\GitHub\mrs-test-scripts\Headless Mode &amp; Sideloading\WalkAndUnGZ.bat" "%USERPROFILE%\AppData\Local\Temp\OnboardLogs"\RTDC4032\2017-05-12 &amp; aws s3 cp s3://rtdc.mdm.uploadarchive.raw/RTDC4032/ "%USERPROFILE%\AppData\Local\Temp\OnboardLogs"\RTDC4032\2017-05-13 --exclude "*" --recursive --include "*20170513*" &amp; "%USERPROFILE%\Documents\GitHub\mrs-test-scripts\Headless Mode &amp; Sideloading\WalkAndUnGZ.bat" "%USERPROFILE%\AppData\Local\Temp\OnboardLogs"\RTDC4032\2017-05-13</v>
      </c>
      <c r="S31" s="87" t="str">
        <f>VLOOKUP(C31,'Train Runs'!$A$13:$AE$9929,22,0)</f>
        <v>https://d0f6bd738d7f1b3e5a7ca70fe4ff75f0.us-east-1.aws.found.io/app/kibana#/discover/Steve-Slow-Train-Analysis-(2080s-and-2083s)?_g=(refreshInterval:(display:Off,pause:!f,section:0,value:0),time:(from:'2017-05-12T16:23:27-0600',mode:absolute,to:'2017-05-12T19:08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1" s="89" t="str">
        <f t="shared" si="1"/>
        <v>"C:\Program Files (x86)\AstroGrep\AstroGrep.exe" /e /r /s /spath="%USERPROFILE%\AppData\Local\Temp\OnboardLogs" /stypes="*4032*201705130*" /stext=" 00:.+((SYSTEM_STATE.+slice.+state.+changed )|(ment ac)|(multiple cpu faults)|(system.+state.+changed )|(\[timeout)|(PRM\|1\|D)|(kpr)|(kdp)|(train st.+moving)|(\|lc)|(penalty))"</v>
      </c>
      <c r="U31" s="9" t="str">
        <f t="shared" si="2"/>
        <v>4032</v>
      </c>
      <c r="V31" s="31">
        <f t="shared" si="3"/>
        <v>42868.006099537037</v>
      </c>
      <c r="W31" s="45" t="str">
        <f t="shared" si="4"/>
        <v>EC</v>
      </c>
      <c r="X31" s="45" t="str">
        <f t="shared" si="5"/>
        <v>KEEP</v>
      </c>
      <c r="Y31" s="99" t="str">
        <f t="shared" si="6"/>
        <v>echo {"issue":{"subject":"","project_id":79,"tracker_id":40,"status_id":1,"priority_id":2,"assigned_to_id":23,"start_date":"2017-05-12","description":"","custom_fields":[{"id":1,"name":"Subdivision","value":"EC"},{"id":4,"name":"Milepost","value":"23.3491"},{"id":17,"name":"Train ID","value":"211-12"},{"id":16,"name":"Locomotive ID","value":"4032"},{"id":130,"name":"Impact","value":""},{"id":150,"name":"Time of Event (Mountain Time)","value":"18:08:47"},{"id":151,"name":"Denver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/cygdrive/c/Users/stu/AppData/Local/Temp/OnboardLogs/RTDC4032 --include="*4032*201705130*"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"%USERPROFILE%\AppData\Local\Temp\OnboardLogs"\RTDC4032\*4032*201705130* &gt;&gt; 2017-05-12-SliceDisagreementCheck.txt</v>
      </c>
      <c r="AE31" s="148" t="str">
        <f t="shared" si="9"/>
        <v>start /low /b %USERPROFILE%\Documents\GitHub\eaglep3\Utilities\DownloadLogsFromS3.py --loco 4032 --day 2017-05-13</v>
      </c>
      <c r="AF31" s="1"/>
    </row>
    <row r="32" spans="1:32" x14ac:dyDescent="0.25">
      <c r="A32" s="31">
        <v>42867.837743055556</v>
      </c>
      <c r="B32" s="30" t="s">
        <v>396</v>
      </c>
      <c r="C32" s="30" t="s">
        <v>590</v>
      </c>
      <c r="D32" s="30" t="s">
        <v>49</v>
      </c>
      <c r="E32" s="30" t="s">
        <v>185</v>
      </c>
      <c r="F32" s="42">
        <v>0</v>
      </c>
      <c r="G32" s="42">
        <v>147</v>
      </c>
      <c r="H32" s="42">
        <v>232863</v>
      </c>
      <c r="I32" s="42">
        <v>233090</v>
      </c>
      <c r="J32" s="30" t="s">
        <v>186</v>
      </c>
      <c r="K32" s="42">
        <v>233491</v>
      </c>
      <c r="L32" s="134" t="s">
        <v>50</v>
      </c>
      <c r="M32" s="135">
        <f t="shared" si="0"/>
        <v>211.72800000000001</v>
      </c>
      <c r="N32" s="136" t="str">
        <f>VLOOKUP(C32,'Trips&amp;Operators'!$C$1:$G$99999,5,FALSE)</f>
        <v>LAMAR NEKESHA</v>
      </c>
      <c r="O32" s="207" t="s">
        <v>184</v>
      </c>
      <c r="P32" s="137"/>
      <c r="Q32" s="30"/>
      <c r="R32" s="84" t="str">
        <f>IF(VLOOKUP(C32,'Train Runs'!$A$13:$AE$9929,1,1)=C32,VLOOKUP(C32,'Train Runs'!$A$13:$AE$9929,31,1),NA())</f>
        <v>aws s3 cp s3://rtdc.mdm.uploadarchive.raw/RTDC4012/ "%USERPROFILE%\AppData\Local\Temp\OnboardLogs"\RTDC4012\2017-05-12 --exclude "*" --recursive --include "*20170512*" &amp; "%USERPROFILE%\Documents\GitHub\mrs-test-scripts\Headless Mode &amp; Sideloading\WalkAndUnGZ.bat" "%USERPROFILE%\AppData\Local\Temp\OnboardLogs"\RTDC4012\2017-05-12 &amp; aws s3 cp s3://rtdc.mdm.uploadarchive.raw/RTDC4012/ "%USERPROFILE%\AppData\Local\Temp\OnboardLogs"\RTDC4012\2017-05-13 --exclude "*" --recursive --include "*20170513*" &amp; "%USERPROFILE%\Documents\GitHub\mrs-test-scripts\Headless Mode &amp; Sideloading\WalkAndUnGZ.bat" "%USERPROFILE%\AppData\Local\Temp\OnboardLogs"\RTDC4012\2017-05-13</v>
      </c>
      <c r="S32" s="87" t="str">
        <f>VLOOKUP(C32,'Train Runs'!$A$13:$AE$9929,22,0)</f>
        <v>https://d0f6bd738d7f1b3e5a7ca70fe4ff75f0.us-east-1.aws.found.io/app/kibana#/discover/Steve-Slow-Train-Analysis-(2080s-and-2083s)?_g=(refreshInterval:(display:Off,pause:!f,section:0,value:0),time:(from:'2017-05-12T18:27:15-0600',mode:absolute,to:'2017-05-12T21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2" s="89" t="str">
        <f t="shared" si="1"/>
        <v>"C:\Program Files (x86)\AstroGrep\AstroGrep.exe" /e /r /s /spath="%USERPROFILE%\AppData\Local\Temp\OnboardLogs" /stypes="*4012*201705130*" /stext=" 02:.+((SYSTEM_STATE.+slice.+state.+changed )|(ment ac)|(multiple cpu faults)|(system.+state.+changed )|(\[timeout)|(PRM\|1\|D)|(kpr)|(kdp)|(train st.+moving)|(\|lc)|(penalty))"</v>
      </c>
      <c r="U32" s="9" t="str">
        <f t="shared" si="2"/>
        <v>4012</v>
      </c>
      <c r="V32" s="31">
        <f t="shared" si="3"/>
        <v>42868.087743055556</v>
      </c>
      <c r="W32" s="45" t="str">
        <f t="shared" si="4"/>
        <v>EC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{"issue":{"subject":"","project_id":79,"tracker_id":40,"status_id":1,"priority_id":2,"assigned_to_id":23,"start_date":"2017-05-12","description":"","custom_fields":[{"id":1,"name":"Subdivision","value":"EC"},{"id":4,"name":"Milepost","value":"23.3491"},{"id":17,"name":"Train ID","value":"223-12"},{"id":16,"name":"Locomotive ID","value":"4012"},{"id":130,"name":"Impact","value":""},{"id":150,"name":"Time of Event (Mountain Time)","value":"20:06:21"},{"id":151,"name":"Denver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-hrE -A400 "Enforcement Action" /cygdrive/c/Users/stu/AppData/Local/Temp/OnboardLogs/RTDC4012 --include="*4012*201705130*"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"%USERPROFILE%\AppData\Local\Temp\OnboardLogs"\RTDC4012\*4012*201705130* &gt;&gt; 2017-05-12-SliceDisagreementCheck.txt</v>
      </c>
      <c r="AE32" s="148" t="str">
        <f t="shared" si="9"/>
        <v>start /low /b %USERPROFILE%\Documents\GitHub\eaglep3\Utilities\DownloadLogsFromS3.py --loco 4012 --day 2017-05-13</v>
      </c>
      <c r="AF32" s="1"/>
    </row>
    <row r="33" spans="1:32" x14ac:dyDescent="0.25">
      <c r="A33" s="31">
        <v>42867.678587962961</v>
      </c>
      <c r="B33" s="30" t="s">
        <v>381</v>
      </c>
      <c r="C33" s="30" t="s">
        <v>583</v>
      </c>
      <c r="D33" s="30" t="s">
        <v>98</v>
      </c>
      <c r="E33" s="30" t="s">
        <v>204</v>
      </c>
      <c r="F33" s="42">
        <v>400</v>
      </c>
      <c r="G33" s="42">
        <v>452</v>
      </c>
      <c r="H33" s="42">
        <v>38698</v>
      </c>
      <c r="I33" s="42">
        <v>37225</v>
      </c>
      <c r="J33" s="30" t="s">
        <v>205</v>
      </c>
      <c r="K33" s="42">
        <v>40977</v>
      </c>
      <c r="L33" s="134" t="s">
        <v>51</v>
      </c>
      <c r="M33" s="135">
        <f t="shared" si="0"/>
        <v>-1981.056</v>
      </c>
      <c r="N33" s="136" t="str">
        <f>VLOOKUP(C33,'Trips&amp;Operators'!$C$1:$G$99999,5,FALSE)</f>
        <v>THOMPSON LESTER</v>
      </c>
      <c r="O33" s="207" t="s">
        <v>184</v>
      </c>
      <c r="P33" s="137"/>
      <c r="Q33" s="30"/>
      <c r="R33" s="84" t="e">
        <f>IF(VLOOKUP(C33,'Train Runs'!$A$13:$AE$9929,1,1)=C33,VLOOKUP(C33,'Train Runs'!$A$13:$AE$9929,31,1),NA())</f>
        <v>#N/A</v>
      </c>
      <c r="S33" s="87" t="str">
        <f>VLOOKUP(C33,'Train Runs'!$A$13:$AE$9929,22,0)</f>
        <v>https://d0f6bd738d7f1b3e5a7ca70fe4ff75f0.us-east-1.aws.found.io/app/kibana#/discover/Steve-Slow-Train-Analysis-(2080s-and-2083s)?_g=(refreshInterval:(display:Off,pause:!f,section:0,value:0),time:(from:'2017-05-12T15:06:43-0600',mode:absolute,to:'2017-05-12T17:27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3" s="89" t="str">
        <f t="shared" si="1"/>
        <v>"C:\Program Files (x86)\AstroGrep\AstroGrep.exe" /e /r /s /spath="%USERPROFILE%\AppData\Local\Temp\OnboardLogs" /stypes="*4051*201705122*" /stext=" 22:.+((SYSTEM_STATE.+slice.+state.+changed )|(ment ac)|(multiple cpu faults)|(system.+state.+changed )|(\[timeout)|(PRM\|1\|D)|(kpr)|(kdp)|(train st.+moving)|(\|lc)|(penalty))"</v>
      </c>
      <c r="U33" s="9" t="str">
        <f t="shared" si="2"/>
        <v>4051</v>
      </c>
      <c r="V33" s="31">
        <f t="shared" si="3"/>
        <v>42867.928587962961</v>
      </c>
      <c r="W33" s="45" t="str">
        <f t="shared" si="4"/>
        <v>NW</v>
      </c>
      <c r="X33" s="45" t="str">
        <f t="shared" si="5"/>
        <v>KEEP</v>
      </c>
      <c r="Y33" s="99" t="str">
        <f t="shared" si="6"/>
        <v>echo {"issue":{"subject":"","project_id":79,"tracker_id":40,"status_id":1,"priority_id":2,"assigned_to_id":23,"start_date":"2017-05-12","description":"","custom_fields":[{"id":1,"name":"Subdivision","value":"NW"},{"id":4,"name":"Milepost","value":"4.0977"},{"id":17,"name":"Train ID","value":"828-12"},{"id":16,"name":"Locomotive ID","value":"4051"},{"id":130,"name":"Impact","value":""},{"id":150,"name":"Time of Event (Mountain Time)","value":"16:17:10"},{"id":151,"name":"Denver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-hrE -A400 "Enforcement Action" /cygdrive/c/Users/stu/AppData/Local/Temp/OnboardLogs/RTDC4051 --include="*4051*201705122*"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"%USERPROFILE%\AppData\Local\Temp\OnboardLogs"\RTDC4051\*4051*201705122* &gt;&gt; 2017-05-12-SliceDisagreementCheck.txt</v>
      </c>
      <c r="AE33" s="148" t="str">
        <f t="shared" si="9"/>
        <v>start /low /b %USERPROFILE%\Documents\GitHub\eaglep3\Utilities\DownloadLogsFromS3.py --loco 4051 --day 2017-05-12</v>
      </c>
      <c r="AF33" s="1"/>
    </row>
    <row r="34" spans="1:32" x14ac:dyDescent="0.25">
      <c r="A34" s="31">
        <v>42867.321863425925</v>
      </c>
      <c r="B34" s="30" t="s">
        <v>467</v>
      </c>
      <c r="C34" s="30" t="s">
        <v>566</v>
      </c>
      <c r="D34" s="30" t="s">
        <v>98</v>
      </c>
      <c r="E34" s="30" t="s">
        <v>204</v>
      </c>
      <c r="F34" s="42">
        <v>150</v>
      </c>
      <c r="G34" s="42">
        <v>205</v>
      </c>
      <c r="H34" s="42">
        <v>56959</v>
      </c>
      <c r="I34" s="42">
        <v>56612</v>
      </c>
      <c r="J34" s="30" t="s">
        <v>205</v>
      </c>
      <c r="K34" s="42">
        <v>59050</v>
      </c>
      <c r="L34" s="134" t="s">
        <v>51</v>
      </c>
      <c r="M34" s="135">
        <f t="shared" si="0"/>
        <v>-1287.2639999999999</v>
      </c>
      <c r="N34" s="136" t="str">
        <f>VLOOKUP(C34,'Trips&amp;Operators'!$C$1:$G$99999,5,FALSE)</f>
        <v>MACDONALD THOMAS</v>
      </c>
      <c r="O34" s="207" t="s">
        <v>184</v>
      </c>
      <c r="P34" s="137"/>
      <c r="Q34" s="30"/>
      <c r="R34" s="84" t="e">
        <f>IF(VLOOKUP(C34,'Train Runs'!$A$13:$AE$9929,1,1)=C34,VLOOKUP(C34,'Train Runs'!$A$13:$AE$9929,31,1),NA())</f>
        <v>#N/A</v>
      </c>
      <c r="S34" s="87" t="str">
        <f>VLOOKUP(C34,'Train Runs'!$A$13:$AE$9929,22,0)</f>
        <v>https://d0f6bd738d7f1b3e5a7ca70fe4ff75f0.us-east-1.aws.found.io/app/kibana#/discover/Steve-Slow-Train-Analysis-(2080s-and-2083s)?_g=(refreshInterval:(display:Off,pause:!f,section:0,value:0),time:(from:'2017-05-12T06:37:22-0600',mode:absolute,to:'2017-05-12T08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4" s="89" t="str">
        <f t="shared" si="1"/>
        <v>"C:\Program Files (x86)\AstroGrep\AstroGrep.exe" /e /r /s /spath="%USERPROFILE%\AppData\Local\Temp\OnboardLogs" /stypes="*4001*201705121*" /stext=" 13:.+((SYSTEM_STATE.+slice.+state.+changed )|(ment ac)|(multiple cpu faults)|(system.+state.+changed )|(\[timeout)|(PRM\|1\|D)|(kpr)|(kdp)|(train st.+moving)|(\|lc)|(penalty))"</v>
      </c>
      <c r="U34" s="9" t="str">
        <f t="shared" si="2"/>
        <v>4001</v>
      </c>
      <c r="V34" s="31">
        <f t="shared" si="3"/>
        <v>42867.571863425925</v>
      </c>
      <c r="W34" s="45" t="str">
        <f t="shared" si="4"/>
        <v>NW</v>
      </c>
      <c r="X34" s="45" t="str">
        <f t="shared" si="5"/>
        <v>KEEP</v>
      </c>
      <c r="Y34" s="99" t="str">
        <f t="shared" si="6"/>
        <v>echo {"issue":{"subject":"","project_id":79,"tracker_id":40,"status_id":1,"priority_id":2,"assigned_to_id":23,"start_date":"2017-05-12","description":"","custom_fields":[{"id":1,"name":"Subdivision","value":"NW"},{"id":4,"name":"Milepost","value":"5.905"},{"id":17,"name":"Train ID","value":"808-12"},{"id":16,"name":"Locomotive ID","value":"4001"},{"id":130,"name":"Impact","value":""},{"id":150,"name":"Time of Event (Mountain Time)","value":"07:43:29"},{"id":151,"name":"Denver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-hrE -A400 "Enforcement Action" /cygdrive/c/Users/stu/AppData/Local/Temp/OnboardLogs/RTDC4001 --include="*4001*201705121*"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"%USERPROFILE%\AppData\Local\Temp\OnboardLogs"\RTDC4001\*4001*201705121* &gt;&gt; 2017-05-12-SliceDisagreementCheck.txt</v>
      </c>
      <c r="AE34" s="148" t="str">
        <f t="shared" si="9"/>
        <v>start /low /b %USERPROFILE%\Documents\GitHub\eaglep3\Utilities\DownloadLogsFromS3.py --loco 4001 --day 2017-05-12</v>
      </c>
      <c r="AF34" s="1"/>
    </row>
    <row r="35" spans="1:32" x14ac:dyDescent="0.25">
      <c r="A35" s="31">
        <v>42867.288680555554</v>
      </c>
      <c r="B35" s="30" t="s">
        <v>467</v>
      </c>
      <c r="C35" s="30" t="s">
        <v>563</v>
      </c>
      <c r="D35" s="30" t="s">
        <v>49</v>
      </c>
      <c r="E35" s="30" t="s">
        <v>185</v>
      </c>
      <c r="F35" s="42">
        <v>0</v>
      </c>
      <c r="G35" s="42">
        <v>157</v>
      </c>
      <c r="H35" s="42">
        <v>1214</v>
      </c>
      <c r="I35" s="42">
        <v>1018</v>
      </c>
      <c r="J35" s="30" t="s">
        <v>186</v>
      </c>
      <c r="K35" s="42">
        <v>575</v>
      </c>
      <c r="L35" s="134" t="s">
        <v>51</v>
      </c>
      <c r="M35" s="135">
        <f t="shared" si="0"/>
        <v>233.904</v>
      </c>
      <c r="N35" s="136" t="str">
        <f>VLOOKUP(C35,'Trips&amp;Operators'!$C$1:$G$99999,5,FALSE)</f>
        <v>MACDONALD THOMAS</v>
      </c>
      <c r="O35" s="207" t="s">
        <v>184</v>
      </c>
      <c r="P35" s="137"/>
      <c r="Q35" s="30"/>
      <c r="R35" s="84" t="e">
        <f>IF(VLOOKUP(C35,'Train Runs'!$A$13:$AE$9929,1,1)=C35,VLOOKUP(C35,'Train Runs'!$A$13:$AE$9929,31,1),NA())</f>
        <v>#N/A</v>
      </c>
      <c r="S35" s="87" t="str">
        <f>VLOOKUP(C35,'Train Runs'!$A$13:$AE$9929,22,0)</f>
        <v>https://d0f6bd738d7f1b3e5a7ca70fe4ff75f0.us-east-1.aws.found.io/app/kibana#/discover/Steve-Slow-Train-Analysis-(2080s-and-2083s)?_g=(refreshInterval:(display:Off,pause:!f,section:0,value:0),time:(from:'2017-05-12T05:36:44-0600',mode:absolute,to:'2017-05-12T07:56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5" s="89" t="str">
        <f t="shared" si="1"/>
        <v>"C:\Program Files (x86)\AstroGrep\AstroGrep.exe" /e /r /s /spath="%USERPROFILE%\AppData\Local\Temp\OnboardLogs" /stypes="*4001*201705121*" /stext=" 12:.+((SYSTEM_STATE.+slice.+state.+changed )|(ment ac)|(multiple cpu faults)|(system.+state.+changed )|(\[timeout)|(PRM\|1\|D)|(kpr)|(kdp)|(train st.+moving)|(\|lc)|(penalty))"</v>
      </c>
      <c r="U35" s="9" t="str">
        <f t="shared" si="2"/>
        <v>4001</v>
      </c>
      <c r="V35" s="31">
        <f t="shared" si="3"/>
        <v>42867.538680555554</v>
      </c>
      <c r="W35" s="45" t="str">
        <f t="shared" si="4"/>
        <v>NW</v>
      </c>
      <c r="X35" s="45" t="str">
        <f t="shared" si="5"/>
        <v>KEEP</v>
      </c>
      <c r="Y35" s="99" t="str">
        <f t="shared" si="6"/>
        <v>echo {"issue":{"subject":"","project_id":79,"tracker_id":40,"status_id":1,"priority_id":2,"assigned_to_id":23,"start_date":"2017-05-12","description":"","custom_fields":[{"id":1,"name":"Subdivision","value":"NW"},{"id":4,"name":"Milepost","value":"0.0575"},{"id":17,"name":"Train ID","value":"804-12"},{"id":16,"name":"Locomotive ID","value":"4001"},{"id":130,"name":"Impact","value":""},{"id":150,"name":"Time of Event (Mountain Time)","value":"06:55:42"},{"id":151,"name":"Denver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-hrE -A400 "Enforcement Action" /cygdrive/c/Users/stu/AppData/Local/Temp/OnboardLogs/RTDC4001 --include="*4001*201705121*"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"%USERPROFILE%\AppData\Local\Temp\OnboardLogs"\RTDC4001\*4001*201705121* &gt;&gt; 2017-05-12-SliceDisagreementCheck.txt</v>
      </c>
      <c r="AE35" s="148" t="str">
        <f t="shared" si="9"/>
        <v>start /low /b %USERPROFILE%\Documents\GitHub\eaglep3\Utilities\DownloadLogsFromS3.py --loco 4001 --day 2017-05-12</v>
      </c>
      <c r="AF35" s="1"/>
    </row>
    <row r="36" spans="1:32" x14ac:dyDescent="0.25">
      <c r="A36" s="31">
        <v>42867.289317129631</v>
      </c>
      <c r="B36" s="30" t="s">
        <v>467</v>
      </c>
      <c r="C36" s="30" t="s">
        <v>563</v>
      </c>
      <c r="D36" s="30" t="s">
        <v>49</v>
      </c>
      <c r="E36" s="30" t="s">
        <v>185</v>
      </c>
      <c r="F36" s="42">
        <v>0</v>
      </c>
      <c r="G36" s="42">
        <v>47</v>
      </c>
      <c r="H36" s="42">
        <v>748</v>
      </c>
      <c r="I36" s="42">
        <v>715</v>
      </c>
      <c r="J36" s="30" t="s">
        <v>186</v>
      </c>
      <c r="K36" s="42">
        <v>575</v>
      </c>
      <c r="L36" s="134" t="s">
        <v>51</v>
      </c>
      <c r="M36" s="135">
        <f t="shared" si="0"/>
        <v>73.92</v>
      </c>
      <c r="N36" s="136" t="str">
        <f>VLOOKUP(C36,'Trips&amp;Operators'!$C$1:$G$99999,5,FALSE)</f>
        <v>MACDONALD THOMAS</v>
      </c>
      <c r="O36" s="207" t="s">
        <v>184</v>
      </c>
      <c r="P36" s="137"/>
      <c r="Q36" s="30"/>
      <c r="R36" s="84" t="e">
        <f>IF(VLOOKUP(C36,'Train Runs'!$A$13:$AE$9929,1,1)=C36,VLOOKUP(C36,'Train Runs'!$A$13:$AE$9929,31,1),NA())</f>
        <v>#N/A</v>
      </c>
      <c r="S36" s="87" t="str">
        <f>VLOOKUP(C36,'Train Runs'!$A$13:$AE$9929,22,0)</f>
        <v>https://d0f6bd738d7f1b3e5a7ca70fe4ff75f0.us-east-1.aws.found.io/app/kibana#/discover/Steve-Slow-Train-Analysis-(2080s-and-2083s)?_g=(refreshInterval:(display:Off,pause:!f,section:0,value:0),time:(from:'2017-05-12T05:36:44-0600',mode:absolute,to:'2017-05-12T07:56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6" s="89" t="str">
        <f t="shared" si="1"/>
        <v>"C:\Program Files (x86)\AstroGrep\AstroGrep.exe" /e /r /s /spath="%USERPROFILE%\AppData\Local\Temp\OnboardLogs" /stypes="*4001*201705121*" /stext=" 12:.+((SYSTEM_STATE.+slice.+state.+changed )|(ment ac)|(multiple cpu faults)|(system.+state.+changed )|(\[timeout)|(PRM\|1\|D)|(kpr)|(kdp)|(train st.+moving)|(\|lc)|(penalty))"</v>
      </c>
      <c r="U36" s="9" t="str">
        <f t="shared" si="2"/>
        <v>4001</v>
      </c>
      <c r="V36" s="31">
        <f t="shared" si="3"/>
        <v>42867.539317129631</v>
      </c>
      <c r="W36" s="45" t="str">
        <f t="shared" si="4"/>
        <v>NW</v>
      </c>
      <c r="X36" s="45" t="str">
        <f t="shared" si="5"/>
        <v>KEEP</v>
      </c>
      <c r="Y36" s="99" t="str">
        <f t="shared" si="6"/>
        <v>echo {"issue":{"subject":"","project_id":79,"tracker_id":40,"status_id":1,"priority_id":2,"assigned_to_id":23,"start_date":"2017-05-12","description":"","custom_fields":[{"id":1,"name":"Subdivision","value":"NW"},{"id":4,"name":"Milepost","value":"0.0575"},{"id":17,"name":"Train ID","value":"804-12"},{"id":16,"name":"Locomotive ID","value":"4001"},{"id":130,"name":"Impact","value":""},{"id":150,"name":"Time of Event (Mountain Time)","value":"06:56:37"},{"id":151,"name":"Denver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-hrE -A400 "Enforcement Action" /cygdrive/c/Users/stu/AppData/Local/Temp/OnboardLogs/RTDC4001 --include="*4001*201705121*"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"%USERPROFILE%\AppData\Local\Temp\OnboardLogs"\RTDC4001\*4001*201705121* &gt;&gt; 2017-05-12-SliceDisagreementCheck.txt</v>
      </c>
      <c r="AE36" s="148" t="str">
        <f t="shared" si="9"/>
        <v>start /low /b %USERPROFILE%\Documents\GitHub\eaglep3\Utilities\DownloadLogsFromS3.py --loco 4001 --day 2017-05-12</v>
      </c>
      <c r="AF36" s="1"/>
    </row>
    <row r="37" spans="1:32" x14ac:dyDescent="0.25">
      <c r="A37" s="31">
        <v>42867.496458333335</v>
      </c>
      <c r="B37" s="30" t="s">
        <v>467</v>
      </c>
      <c r="C37" s="30" t="s">
        <v>570</v>
      </c>
      <c r="D37" s="30" t="s">
        <v>49</v>
      </c>
      <c r="E37" s="30" t="s">
        <v>185</v>
      </c>
      <c r="F37" s="42">
        <v>0</v>
      </c>
      <c r="G37" s="42">
        <v>28</v>
      </c>
      <c r="H37" s="42">
        <v>670</v>
      </c>
      <c r="I37" s="42">
        <v>647</v>
      </c>
      <c r="J37" s="30" t="s">
        <v>186</v>
      </c>
      <c r="K37" s="42">
        <v>575</v>
      </c>
      <c r="L37" s="134" t="s">
        <v>51</v>
      </c>
      <c r="M37" s="135">
        <f t="shared" si="0"/>
        <v>38.015999999999998</v>
      </c>
      <c r="N37" s="136" t="str">
        <f>VLOOKUP(C37,'Trips&amp;Operators'!$C$1:$G$99999,5,FALSE)</f>
        <v>MACDONALD THOMAS</v>
      </c>
      <c r="O37" s="207" t="s">
        <v>184</v>
      </c>
      <c r="P37" s="137"/>
      <c r="Q37" s="30"/>
      <c r="R37" s="84" t="e">
        <f>IF(VLOOKUP(C37,'Train Runs'!$A$13:$AE$9929,1,1)=C37,VLOOKUP(C37,'Train Runs'!$A$13:$AE$9929,31,1),NA())</f>
        <v>#N/A</v>
      </c>
      <c r="S37" s="87" t="str">
        <f>VLOOKUP(C37,'Train Runs'!$A$13:$AE$9929,22,0)</f>
        <v>https://d0f6bd738d7f1b3e5a7ca70fe4ff75f0.us-east-1.aws.found.io/app/kibana#/discover/Steve-Slow-Train-Analysis-(2080s-and-2083s)?_g=(refreshInterval:(display:Off,pause:!f,section:0,value:0),time:(from:'2017-05-12T10:38:05-0600',mode:absolute,to:'2017-05-12T12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7" s="89" t="str">
        <f t="shared" si="1"/>
        <v>"C:\Program Files (x86)\AstroGrep\AstroGrep.exe" /e /r /s /spath="%USERPROFILE%\AppData\Local\Temp\OnboardLogs" /stypes="*4001*201705121*" /stext=" 17:.+((SYSTEM_STATE.+slice.+state.+changed )|(ment ac)|(multiple cpu faults)|(system.+state.+changed )|(\[timeout)|(PRM\|1\|D)|(kpr)|(kdp)|(train st.+moving)|(\|lc)|(penalty))"</v>
      </c>
      <c r="U37" s="9" t="str">
        <f t="shared" si="2"/>
        <v>4001</v>
      </c>
      <c r="V37" s="31">
        <f t="shared" si="3"/>
        <v>42867.746458333335</v>
      </c>
      <c r="W37" s="45" t="str">
        <f t="shared" si="4"/>
        <v>NW</v>
      </c>
      <c r="X37" s="45" t="str">
        <f t="shared" si="5"/>
        <v>KEEP</v>
      </c>
      <c r="Y37" s="99" t="str">
        <f t="shared" si="6"/>
        <v>echo {"issue":{"subject":"","project_id":79,"tracker_id":40,"status_id":1,"priority_id":2,"assigned_to_id":23,"start_date":"2017-05-12","description":"","custom_fields":[{"id":1,"name":"Subdivision","value":"NW"},{"id":4,"name":"Milepost","value":"0.0575"},{"id":17,"name":"Train ID","value":"818-12"},{"id":16,"name":"Locomotive ID","value":"4001"},{"id":130,"name":"Impact","value":""},{"id":150,"name":"Time of Event (Mountain Time)","value":"11:54:54"},{"id":151,"name":"Denver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-hrE -A400 "Enforcement Action" /cygdrive/c/Users/stu/AppData/Local/Temp/OnboardLogs/RTDC4001 --include="*4001*201705121*"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"%USERPROFILE%\AppData\Local\Temp\OnboardLogs"\RTDC4001\*4001*201705121* &gt;&gt; 2017-05-12-SliceDisagreementCheck.txt</v>
      </c>
      <c r="AE37" s="148" t="str">
        <f t="shared" si="9"/>
        <v>start /low /b %USERPROFILE%\Documents\GitHub\eaglep3\Utilities\DownloadLogsFromS3.py --loco 4001 --day 2017-05-12</v>
      </c>
      <c r="AF37" s="1"/>
    </row>
    <row r="38" spans="1:32" x14ac:dyDescent="0.25">
      <c r="A38" s="31">
        <v>42867.621620370373</v>
      </c>
      <c r="B38" s="30" t="s">
        <v>467</v>
      </c>
      <c r="C38" s="30" t="s">
        <v>578</v>
      </c>
      <c r="D38" s="30" t="s">
        <v>49</v>
      </c>
      <c r="E38" s="30" t="s">
        <v>185</v>
      </c>
      <c r="F38" s="42">
        <v>0</v>
      </c>
      <c r="G38" s="42">
        <v>41</v>
      </c>
      <c r="H38" s="42">
        <v>692</v>
      </c>
      <c r="I38" s="42">
        <v>664</v>
      </c>
      <c r="J38" s="30" t="s">
        <v>186</v>
      </c>
      <c r="K38" s="42">
        <v>575</v>
      </c>
      <c r="L38" s="134" t="s">
        <v>51</v>
      </c>
      <c r="M38" s="135">
        <f t="shared" si="0"/>
        <v>46.991999999999997</v>
      </c>
      <c r="N38" s="136" t="str">
        <f>VLOOKUP(C38,'Trips&amp;Operators'!$C$1:$G$99999,5,FALSE)</f>
        <v>ZEWDU DEREJE</v>
      </c>
      <c r="O38" s="207" t="s">
        <v>184</v>
      </c>
      <c r="P38" s="137"/>
      <c r="Q38" s="30"/>
      <c r="R38" s="84" t="e">
        <f>IF(VLOOKUP(C38,'Train Runs'!$A$13:$AE$9929,1,1)=C38,VLOOKUP(C38,'Train Runs'!$A$13:$AE$9929,31,1),NA())</f>
        <v>#N/A</v>
      </c>
      <c r="S38" s="87" t="str">
        <f>VLOOKUP(C38,'Train Runs'!$A$13:$AE$9929,22,0)</f>
        <v>https://d0f6bd738d7f1b3e5a7ca70fe4ff75f0.us-east-1.aws.found.io/app/kibana#/discover/Steve-Slow-Train-Analysis-(2080s-and-2083s)?_g=(refreshInterval:(display:Off,pause:!f,section:0,value:0),time:(from:'2017-05-12T13:37:51-0600',mode:absolute,to:'2017-05-12T15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8" s="89" t="str">
        <f t="shared" si="1"/>
        <v>"C:\Program Files (x86)\AstroGrep\AstroGrep.exe" /e /r /s /spath="%USERPROFILE%\AppData\Local\Temp\OnboardLogs" /stypes="*4001*201705122*" /stext=" 20:.+((SYSTEM_STATE.+slice.+state.+changed )|(ment ac)|(multiple cpu faults)|(system.+state.+changed )|(\[timeout)|(PRM\|1\|D)|(kpr)|(kdp)|(train st.+moving)|(\|lc)|(penalty))"</v>
      </c>
      <c r="U38" s="9" t="str">
        <f t="shared" si="2"/>
        <v>4001</v>
      </c>
      <c r="V38" s="31">
        <f t="shared" si="3"/>
        <v>42867.871620370373</v>
      </c>
      <c r="W38" s="45" t="str">
        <f t="shared" si="4"/>
        <v>NW</v>
      </c>
      <c r="X38" s="45" t="str">
        <f t="shared" si="5"/>
        <v>KEEP</v>
      </c>
      <c r="Y38" s="99" t="str">
        <f t="shared" si="6"/>
        <v>echo {"issue":{"subject":"","project_id":79,"tracker_id":40,"status_id":1,"priority_id":2,"assigned_to_id":23,"start_date":"2017-05-12","description":"","custom_fields":[{"id":1,"name":"Subdivision","value":"NW"},{"id":4,"name":"Milepost","value":"0.0575"},{"id":17,"name":"Train ID","value":"824-12"},{"id":16,"name":"Locomotive ID","value":"4001"},{"id":130,"name":"Impact","value":""},{"id":150,"name":"Time of Event (Mountain Time)","value":"14:55:08"},{"id":151,"name":"Denver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-hrE -A400 "Enforcement Action" /cygdrive/c/Users/stu/AppData/Local/Temp/OnboardLogs/RTDC4001 --include="*4001*201705122*"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"%USERPROFILE%\AppData\Local\Temp\OnboardLogs"\RTDC4001\*4001*201705122* &gt;&gt; 2017-05-12-SliceDisagreementCheck.txt</v>
      </c>
      <c r="AE38" s="148" t="str">
        <f t="shared" si="9"/>
        <v>start /low /b %USERPROFILE%\Documents\GitHub\eaglep3\Utilities\DownloadLogsFromS3.py --loco 4001 --day 2017-05-12</v>
      </c>
      <c r="AF38" s="1"/>
    </row>
    <row r="39" spans="1:32" x14ac:dyDescent="0.25">
      <c r="A39" s="31">
        <v>42867.846053240741</v>
      </c>
      <c r="B39" s="30" t="s">
        <v>467</v>
      </c>
      <c r="C39" s="30" t="s">
        <v>591</v>
      </c>
      <c r="D39" s="30" t="s">
        <v>49</v>
      </c>
      <c r="E39" s="30" t="s">
        <v>185</v>
      </c>
      <c r="F39" s="42">
        <v>0</v>
      </c>
      <c r="G39" s="42">
        <v>46</v>
      </c>
      <c r="H39" s="42">
        <v>736</v>
      </c>
      <c r="I39" s="42">
        <v>701</v>
      </c>
      <c r="J39" s="30" t="s">
        <v>186</v>
      </c>
      <c r="K39" s="42">
        <v>575</v>
      </c>
      <c r="L39" s="134" t="s">
        <v>51</v>
      </c>
      <c r="M39" s="135">
        <f t="shared" si="0"/>
        <v>66.528000000000006</v>
      </c>
      <c r="N39" s="136" t="str">
        <f>VLOOKUP(C39,'Trips&amp;Operators'!$C$1:$G$99999,5,FALSE)</f>
        <v>ZEWDU DEREJE</v>
      </c>
      <c r="O39" s="207" t="s">
        <v>184</v>
      </c>
      <c r="P39" s="137"/>
      <c r="Q39" s="30"/>
      <c r="R39" s="84" t="e">
        <f>IF(VLOOKUP(C39,'Train Runs'!$A$13:$AE$9929,1,1)=C39,VLOOKUP(C39,'Train Runs'!$A$13:$AE$9929,31,1),NA())</f>
        <v>#N/A</v>
      </c>
      <c r="S39" s="87" t="str">
        <f>VLOOKUP(C39,'Train Runs'!$A$13:$AE$9929,22,0)</f>
        <v>https://d0f6bd738d7f1b3e5a7ca70fe4ff75f0.us-east-1.aws.found.io/app/kibana#/discover/Steve-Slow-Train-Analysis-(2080s-and-2083s)?_g=(refreshInterval:(display:Off,pause:!f,section:0,value:0),time:(from:'2017-05-12T19:02:39-0600',mode:absolute,to:'2017-05-12T21:18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9" s="89" t="str">
        <f t="shared" si="1"/>
        <v>"C:\Program Files (x86)\AstroGrep\AstroGrep.exe" /e /r /s /spath="%USERPROFILE%\AppData\Local\Temp\OnboardLogs" /stypes="*4001*201705130*" /stext=" 02:.+((SYSTEM_STATE.+slice.+state.+changed )|(ment ac)|(multiple cpu faults)|(system.+state.+changed )|(\[timeout)|(PRM\|1\|D)|(kpr)|(kdp)|(train st.+moving)|(\|lc)|(penalty))"</v>
      </c>
      <c r="U39" s="9" t="str">
        <f t="shared" si="2"/>
        <v>4001</v>
      </c>
      <c r="V39" s="31">
        <f t="shared" si="3"/>
        <v>42868.096053240741</v>
      </c>
      <c r="W39" s="45" t="str">
        <f t="shared" si="4"/>
        <v>NW</v>
      </c>
      <c r="X39" s="45" t="str">
        <f t="shared" si="5"/>
        <v>KEEP</v>
      </c>
      <c r="Y39" s="99" t="str">
        <f t="shared" si="6"/>
        <v>echo {"issue":{"subject":"","project_id":79,"tracker_id":40,"status_id":1,"priority_id":2,"assigned_to_id":23,"start_date":"2017-05-12","description":"","custom_fields":[{"id":1,"name":"Subdivision","value":"NW"},{"id":4,"name":"Milepost","value":"0.0575"},{"id":17,"name":"Train ID","value":"840-12"},{"id":16,"name":"Locomotive ID","value":"4001"},{"id":130,"name":"Impact","value":""},{"id":150,"name":"Time of Event (Mountain Time)","value":"20:18:19"},{"id":151,"name":"Denver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 t="shared" si="7"/>
        <v>grep -hrE -A400 "Enforcement Action" /cygdrive/c/Users/stu/AppData/Local/Temp/OnboardLogs/RTDC4001 --include="*4001*201705130*"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"%USERPROFILE%\AppData\Local\Temp\OnboardLogs"\RTDC4001\*4001*201705130* &gt;&gt; 2017-05-12-SliceDisagreementCheck.txt</v>
      </c>
      <c r="AE39" s="148" t="str">
        <f t="shared" si="9"/>
        <v>start /low /b %USERPROFILE%\Documents\GitHub\eaglep3\Utilities\DownloadLogsFromS3.py --loco 4001 --day 2017-05-13</v>
      </c>
      <c r="AF39" s="1"/>
    </row>
    <row r="40" spans="1:32" x14ac:dyDescent="0.25">
      <c r="A40" s="31">
        <v>42867.483217592591</v>
      </c>
      <c r="B40" s="30" t="s">
        <v>505</v>
      </c>
      <c r="C40" s="30" t="s">
        <v>569</v>
      </c>
      <c r="D40" s="30" t="s">
        <v>49</v>
      </c>
      <c r="E40" s="30" t="s">
        <v>185</v>
      </c>
      <c r="F40" s="42">
        <v>0</v>
      </c>
      <c r="G40" s="42">
        <v>165</v>
      </c>
      <c r="H40" s="42">
        <v>57950</v>
      </c>
      <c r="I40" s="42">
        <v>58203</v>
      </c>
      <c r="J40" s="30" t="s">
        <v>186</v>
      </c>
      <c r="K40" s="42">
        <v>59048</v>
      </c>
      <c r="L40" s="134" t="s">
        <v>50</v>
      </c>
      <c r="M40" s="135">
        <f t="shared" si="0"/>
        <v>446.16</v>
      </c>
      <c r="N40" s="136" t="str">
        <f>VLOOKUP(C40,'Trips&amp;Operators'!$C$1:$G$99999,5,FALSE)</f>
        <v>MACDONALD THOMAS</v>
      </c>
      <c r="O40" s="207" t="s">
        <v>184</v>
      </c>
      <c r="P40" s="137"/>
      <c r="Q40" s="30"/>
      <c r="R40" s="84" t="e">
        <f>IF(VLOOKUP(C40,'Train Runs'!$A$13:$AE$9929,1,1)=C40,VLOOKUP(C40,'Train Runs'!$A$13:$AE$9929,31,1),NA())</f>
        <v>#N/A</v>
      </c>
      <c r="S40" s="87" t="str">
        <f>VLOOKUP(C40,'Train Runs'!$A$13:$AE$9929,22,0)</f>
        <v>https://d0f6bd738d7f1b3e5a7ca70fe4ff75f0.us-east-1.aws.found.io/app/kibana#/discover/Steve-Slow-Train-Analysis-(2080s-and-2083s)?_g=(refreshInterval:(display:Off,pause:!f,section:0,value:0),time:(from:'2017-05-12T10:16:52-0600',mode:absolute,to:'2017-05-12T12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40" s="89" t="str">
        <f t="shared" si="1"/>
        <v>"C:\Program Files (x86)\AstroGrep\AstroGrep.exe" /e /r /s /spath="%USERPROFILE%\AppData\Local\Temp\OnboardLogs" /stypes="*4002*201705121*" /stext=" 17:.+((SYSTEM_STATE.+slice.+state.+changed )|(ment ac)|(multiple cpu faults)|(system.+state.+changed )|(\[timeout)|(PRM\|1\|D)|(kpr)|(kdp)|(train st.+moving)|(\|lc)|(penalty))"</v>
      </c>
      <c r="U40" s="9" t="str">
        <f t="shared" si="2"/>
        <v>4002</v>
      </c>
      <c r="V40" s="31">
        <f t="shared" si="3"/>
        <v>42867.733217592591</v>
      </c>
      <c r="W40" s="45" t="str">
        <f t="shared" si="4"/>
        <v>NW</v>
      </c>
      <c r="X40" s="45" t="str">
        <f t="shared" si="5"/>
        <v>KEEP</v>
      </c>
      <c r="Y40" s="99" t="str">
        <f t="shared" si="6"/>
        <v>echo {"issue":{"subject":"","project_id":79,"tracker_id":40,"status_id":1,"priority_id":2,"assigned_to_id":23,"start_date":"2017-05-12","description":"","custom_fields":[{"id":1,"name":"Subdivision","value":"NW"},{"id":4,"name":"Milepost","value":"5.9048"},{"id":17,"name":"Train ID","value":"817-12"},{"id":16,"name":"Locomotive ID","value":"4002"},{"id":130,"name":"Impact","value":""},{"id":150,"name":"Time of Event (Mountain Time)","value":"11:35:50"},{"id":151,"name":"Denver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 t="shared" si="7"/>
        <v>grep -hrE -A400 "Enforcement Action" /cygdrive/c/Users/stu/AppData/Local/Temp/OnboardLogs/RTDC4002 --include="*4002*201705121*"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"%USERPROFILE%\AppData\Local\Temp\OnboardLogs"\RTDC4002\*4002*201705121* &gt;&gt; 2017-05-12-SliceDisagreementCheck.txt</v>
      </c>
      <c r="AE40" s="148" t="str">
        <f t="shared" si="9"/>
        <v>start /low /b %USERPROFILE%\Documents\GitHub\eaglep3\Utilities\DownloadLogsFromS3.py --loco 4002 --day 2017-05-12</v>
      </c>
      <c r="AF40" s="1"/>
    </row>
    <row r="41" spans="1:32" x14ac:dyDescent="0.25">
      <c r="A41" s="31">
        <v>42867.901099537034</v>
      </c>
      <c r="B41" s="30" t="s">
        <v>505</v>
      </c>
      <c r="C41" s="30" t="s">
        <v>595</v>
      </c>
      <c r="D41" s="30" t="s">
        <v>49</v>
      </c>
      <c r="E41" s="30" t="s">
        <v>185</v>
      </c>
      <c r="F41" s="42">
        <v>0</v>
      </c>
      <c r="G41" s="42">
        <v>28</v>
      </c>
      <c r="H41" s="42">
        <v>58950</v>
      </c>
      <c r="I41" s="42">
        <v>58971</v>
      </c>
      <c r="J41" s="30" t="s">
        <v>186</v>
      </c>
      <c r="K41" s="42">
        <v>59058</v>
      </c>
      <c r="L41" s="134" t="s">
        <v>50</v>
      </c>
      <c r="M41" s="135">
        <f t="shared" si="0"/>
        <v>45.936</v>
      </c>
      <c r="N41" s="136" t="str">
        <f>VLOOKUP(C41,'Trips&amp;Operators'!$C$1:$G$99999,5,FALSE)</f>
        <v>THOMPSON LESTER</v>
      </c>
      <c r="O41" s="207" t="s">
        <v>184</v>
      </c>
      <c r="P41" s="137"/>
      <c r="Q41" s="30"/>
      <c r="R41" s="84" t="e">
        <f>IF(VLOOKUP(C41,'Train Runs'!$A$13:$AE$9929,1,1)=C41,VLOOKUP(C41,'Train Runs'!$A$13:$AE$9929,31,1),NA())</f>
        <v>#N/A</v>
      </c>
      <c r="S41" s="87" t="str">
        <f>VLOOKUP(C41,'Train Runs'!$A$13:$AE$9929,22,0)</f>
        <v>https://d0f6bd738d7f1b3e5a7ca70fe4ff75f0.us-east-1.aws.found.io/app/kibana#/discover/Steve-Slow-Train-Analysis-(2080s-and-2083s)?_g=(refreshInterval:(display:Off,pause:!f,section:0,value:0),time:(from:'2017-05-12T20:06:41-0600',mode:absolute,to:'2017-05-12T22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41" s="89" t="str">
        <f t="shared" si="1"/>
        <v>"C:\Program Files (x86)\AstroGrep\AstroGrep.exe" /e /r /s /spath="%USERPROFILE%\AppData\Local\Temp\OnboardLogs" /stypes="*4002*201705130*" /stext=" 03:.+((SYSTEM_STATE.+slice.+state.+changed )|(ment ac)|(multiple cpu faults)|(system.+state.+changed )|(\[timeout)|(PRM\|1\|D)|(kpr)|(kdp)|(train st.+moving)|(\|lc)|(penalty))"</v>
      </c>
      <c r="U41" s="9" t="str">
        <f t="shared" si="2"/>
        <v>4002</v>
      </c>
      <c r="V41" s="31">
        <f t="shared" si="3"/>
        <v>42868.151099537034</v>
      </c>
      <c r="W41" s="45" t="str">
        <f t="shared" si="4"/>
        <v>NW</v>
      </c>
      <c r="X41" s="45" t="str">
        <f t="shared" si="5"/>
        <v>KEEP</v>
      </c>
      <c r="Y41" s="99" t="str">
        <f t="shared" si="6"/>
        <v>echo {"issue":{"subject":"","project_id":79,"tracker_id":40,"status_id":1,"priority_id":2,"assigned_to_id":23,"start_date":"2017-05-12","description":"","custom_fields":[{"id":1,"name":"Subdivision","value":"NW"},{"id":4,"name":"Milepost","value":"5.9058"},{"id":17,"name":"Train ID","value":"845-12"},{"id":16,"name":"Locomotive ID","value":"4002"},{"id":130,"name":"Impact","value":""},{"id":150,"name":"Time of Event (Mountain Time)","value":"21:37:35"},{"id":151,"name":"Denver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 t="shared" si="7"/>
        <v>grep -hrE -A400 "Enforcement Action" /cygdrive/c/Users/stu/AppData/Local/Temp/OnboardLogs/RTDC4002 --include="*4002*201705130*"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"%USERPROFILE%\AppData\Local\Temp\OnboardLogs"\RTDC4002\*4002*201705130* &gt;&gt; 2017-05-12-SliceDisagreementCheck.txt</v>
      </c>
      <c r="AE41" s="148" t="str">
        <f t="shared" si="9"/>
        <v>start /low /b %USERPROFILE%\Documents\GitHub\eaglep3\Utilities\DownloadLogsFromS3.py --loco 4002 --day 2017-05-13</v>
      </c>
      <c r="AF41" s="1"/>
    </row>
    <row r="42" spans="1:32" x14ac:dyDescent="0.25">
      <c r="A42" s="31">
        <v>42867.947939814818</v>
      </c>
      <c r="B42" s="30" t="s">
        <v>387</v>
      </c>
      <c r="C42" s="30" t="s">
        <v>596</v>
      </c>
      <c r="D42" s="30" t="s">
        <v>98</v>
      </c>
      <c r="E42" s="30" t="s">
        <v>204</v>
      </c>
      <c r="F42" s="42">
        <v>550</v>
      </c>
      <c r="G42" s="42">
        <v>600</v>
      </c>
      <c r="H42" s="42">
        <v>222600</v>
      </c>
      <c r="I42" s="42">
        <v>219807</v>
      </c>
      <c r="J42" s="30" t="s">
        <v>205</v>
      </c>
      <c r="K42" s="42">
        <v>224578</v>
      </c>
      <c r="L42" s="134" t="s">
        <v>51</v>
      </c>
      <c r="M42" s="135">
        <f t="shared" si="0"/>
        <v>-2519.0880000000002</v>
      </c>
      <c r="N42" s="136" t="str">
        <f>VLOOKUP(C42,'Trips&amp;Operators'!$C$1:$G$99999,5,FALSE)</f>
        <v>FORTUNATO FRANK</v>
      </c>
      <c r="O42" s="207" t="s">
        <v>184</v>
      </c>
      <c r="P42" s="137"/>
      <c r="Q42" s="30"/>
      <c r="R42" s="84" t="e">
        <f>IF(VLOOKUP(C42,'Train Runs'!$A$13:$AE$9929,1,1)=C42,VLOOKUP(C42,'Train Runs'!$A$13:$AE$9929,31,1),NA())</f>
        <v>#N/A</v>
      </c>
      <c r="S42" s="87" t="str">
        <f>VLOOKUP(C42,'Train Runs'!$A$13:$AE$9929,22,0)</f>
        <v>https://d0f6bd738d7f1b3e5a7ca70fe4ff75f0.us-east-1.aws.found.io/app/kibana#/discover/Steve-Slow-Train-Analysis-(2080s-and-2083s)?_g=(refreshInterval:(display:Off,pause:!f,section:0,value:0),time:(from:'2017-05-12T23:06:50-0600',mode:absolute,to:'2017-05-13T01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42" s="89" t="str">
        <f t="shared" si="1"/>
        <v>"C:\Program Files (x86)\AstroGrep\AstroGrep.exe" /e /r /s /spath="%USERPROFILE%\AppData\Local\Temp\OnboardLogs" /stypes="*4033*201705130*" /stext=" 04:.+((SYSTEM_STATE.+slice.+state.+changed )|(ment ac)|(multiple cpu faults)|(system.+state.+changed )|(\[timeout)|(PRM\|1\|D)|(kpr)|(kdp)|(train st.+moving)|(\|lc)|(penalty))"</v>
      </c>
      <c r="U42" s="9" t="str">
        <f t="shared" si="2"/>
        <v>4033</v>
      </c>
      <c r="V42" s="31">
        <f t="shared" si="3"/>
        <v>42868.197939814818</v>
      </c>
      <c r="W42" s="45" t="str">
        <f t="shared" si="4"/>
        <v>Other</v>
      </c>
      <c r="X42" s="45" t="str">
        <f t="shared" si="5"/>
        <v>KEEP</v>
      </c>
      <c r="Y42" s="99" t="str">
        <f t="shared" si="6"/>
        <v>echo {"issue":{"subject":"","project_id":79,"tracker_id":40,"status_id":1,"priority_id":2,"assigned_to_id":23,"start_date":"2017-05-12","description":"","custom_fields":[{"id":1,"name":"Subdivision","value":"Other"},{"id":4,"name":"Milepost","value":"22.4578"},{"id":17,"name":"Train ID","value":"62-12"},{"id":16,"name":"Locomotive ID","value":"4033"},{"id":130,"name":"Impact","value":""},{"id":150,"name":"Time of Event (Mountain Time)","value":"22:45:02"},{"id":151,"name":"Denver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 t="shared" si="7"/>
        <v>grep -hrE -A400 "Enforcement Action" /cygdrive/c/Users/stu/AppData/Local/Temp/OnboardLogs/RTDC4033 --include="*4033*201705130*"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"%USERPROFILE%\AppData\Local\Temp\OnboardLogs"\RTDC4033\*4033*201705130* &gt;&gt; 2017-05-12-SliceDisagreementCheck.txt</v>
      </c>
      <c r="AE42" s="148" t="str">
        <f t="shared" si="9"/>
        <v>start /low /b %USERPROFILE%\Documents\GitHub\eaglep3\Utilities\DownloadLogsFromS3.py --loco 4033 --day 2017-05-13</v>
      </c>
      <c r="AF42" s="1"/>
    </row>
    <row r="43" spans="1:32" x14ac:dyDescent="0.25">
      <c r="A43" s="31">
        <v>42867.816354166665</v>
      </c>
      <c r="B43" s="30" t="s">
        <v>464</v>
      </c>
      <c r="C43" s="30" t="s">
        <v>588</v>
      </c>
      <c r="D43" s="30" t="s">
        <v>49</v>
      </c>
      <c r="E43" s="30" t="s">
        <v>379</v>
      </c>
      <c r="F43" s="42">
        <v>0</v>
      </c>
      <c r="G43" s="42">
        <v>30</v>
      </c>
      <c r="H43" s="42">
        <v>14161</v>
      </c>
      <c r="I43" s="42">
        <v>14141</v>
      </c>
      <c r="J43" s="30" t="s">
        <v>380</v>
      </c>
      <c r="K43" s="42">
        <v>14077</v>
      </c>
      <c r="L43" s="134" t="s">
        <v>51</v>
      </c>
      <c r="M43" s="135">
        <f t="shared" si="0"/>
        <v>33.792000000000002</v>
      </c>
      <c r="N43" s="136" t="str">
        <f>VLOOKUP(C43,'Trips&amp;Operators'!$C$1:$G$99999,5,FALSE)</f>
        <v>DUNCAN SHEILA</v>
      </c>
      <c r="O43" s="207" t="s">
        <v>184</v>
      </c>
      <c r="P43" s="137"/>
      <c r="Q43" s="30"/>
      <c r="R43" s="84" t="e">
        <f>IF(VLOOKUP(C43,'Train Runs'!$A$13:$AE$9929,1,1)=C43,VLOOKUP(C43,'Train Runs'!$A$13:$AE$9929,31,1),NA())</f>
        <v>#N/A</v>
      </c>
      <c r="S43" s="87" t="str">
        <f>VLOOKUP(C43,'Train Runs'!$A$13:$AE$9929,22,0)</f>
        <v>https://d0f6bd738d7f1b3e5a7ca70fe4ff75f0.us-east-1.aws.found.io/app/kibana#/discover/Steve-Slow-Train-Analysis-(2080s-and-2083s)?_g=(refreshInterval:(display:Off,pause:!f,section:0,value:0),time:(from:'2017-05-12T18:21:59-0600',mode:absolute,to:'2017-05-12T20:40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43" s="89" t="str">
        <f t="shared" si="1"/>
        <v>"C:\Program Files (x86)\AstroGrep\AstroGrep.exe" /e /r /s /spath="%USERPROFILE%\AppData\Local\Temp\OnboardLogs" /stypes="*4025*201705130*" /stext=" 01:.+((SYSTEM_STATE.+slice.+state.+changed )|(ment ac)|(multiple cpu faults)|(system.+state.+changed )|(\[timeout)|(PRM\|1\|D)|(kpr)|(kdp)|(train st.+moving)|(\|lc)|(penalty))"</v>
      </c>
      <c r="U43" s="9" t="str">
        <f t="shared" si="2"/>
        <v>4025</v>
      </c>
      <c r="V43" s="31">
        <f t="shared" si="3"/>
        <v>42868.066354166665</v>
      </c>
      <c r="W43" s="45" t="str">
        <f t="shared" si="4"/>
        <v>Other</v>
      </c>
      <c r="X43" s="45" t="str">
        <f t="shared" si="5"/>
        <v>KEEP</v>
      </c>
      <c r="Y43" s="99" t="str">
        <f t="shared" si="6"/>
        <v>echo {"issue":{"subject":"","project_id":79,"tracker_id":40,"status_id":1,"priority_id":2,"assigned_to_id":23,"start_date":"2017-05-12","description":"","custom_fields":[{"id":1,"name":"Subdivision","value":"Other"},{"id":4,"name":"Milepost","value":"1.4077"},{"id":17,"name":"Train ID","value":"906-12"},{"id":16,"name":"Locomotive ID","value":"4025"},{"id":130,"name":"Impact","value":""},{"id":150,"name":"Time of Event (Mountain Time)","value":"19:35:33"},{"id":151,"name":"Denver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 t="shared" si="7"/>
        <v>grep -hrE -A400 "Enforcement Action" /cygdrive/c/Users/stu/AppData/Local/Temp/OnboardLogs/RTDC4025 --include="*4025*201705130*"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"%USERPROFILE%\AppData\Local\Temp\OnboardLogs"\RTDC4025\*4025*201705130* &gt;&gt; 2017-05-12-SliceDisagreementCheck.txt</v>
      </c>
      <c r="AE43" s="148" t="str">
        <f t="shared" si="9"/>
        <v>start /low /b %USERPROFILE%\Documents\GitHub\eaglep3\Utilities\DownloadLogsFromS3.py --loco 4025 --day 2017-05-13</v>
      </c>
      <c r="AF43" s="1"/>
    </row>
    <row r="44" spans="1:32" x14ac:dyDescent="0.25">
      <c r="A44" s="31">
        <v>42867.168379629627</v>
      </c>
      <c r="B44" s="30" t="s">
        <v>558</v>
      </c>
      <c r="C44" s="30" t="s">
        <v>559</v>
      </c>
      <c r="D44" s="30" t="s">
        <v>98</v>
      </c>
      <c r="E44" s="30" t="s">
        <v>379</v>
      </c>
      <c r="F44" s="42">
        <v>0</v>
      </c>
      <c r="G44" s="42">
        <v>126</v>
      </c>
      <c r="H44" s="42">
        <v>22435</v>
      </c>
      <c r="I44" s="42">
        <v>22180</v>
      </c>
      <c r="J44" s="30" t="s">
        <v>380</v>
      </c>
      <c r="K44" s="42">
        <v>24161</v>
      </c>
      <c r="L44" s="134" t="s">
        <v>51</v>
      </c>
      <c r="M44" s="135">
        <f t="shared" si="0"/>
        <v>-1045.9680000000001</v>
      </c>
      <c r="N44" s="136" t="str">
        <f>VLOOKUP(C44,'Trips&amp;Operators'!$C$1:$G$99999,5,FALSE)</f>
        <v>ROBINSON KADDIBA</v>
      </c>
      <c r="O44" s="207" t="s">
        <v>184</v>
      </c>
      <c r="P44" s="137"/>
      <c r="Q44" s="30"/>
      <c r="R44" s="84" t="e">
        <f>IF(VLOOKUP(C44,'Train Runs'!$A$13:$AE$9929,1,1)=C44,VLOOKUP(C44,'Train Runs'!$A$13:$AE$9929,31,1),NA())</f>
        <v>#N/A</v>
      </c>
      <c r="S44" s="87" t="str">
        <f>VLOOKUP(C44,'Train Runs'!$A$13:$AE$9929,22,0)</f>
        <v>https://d0f6bd738d7f1b3e5a7ca70fe4ff75f0.us-east-1.aws.found.io/app/kibana#/discover/Steve-Slow-Train-Analysis-(2080s-and-2083s)?_g=(refreshInterval:(display:Off,pause:!f,section:0,value:0),time:(from:'2017-05-12T02:52:31-0600',mode:absolute,to:'2017-05-12T05:02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44" s="89" t="str">
        <f t="shared" si="1"/>
        <v>"C:\Program Files (x86)\AstroGrep\AstroGrep.exe" /e /r /s /spath="%USERPROFILE%\AppData\Local\Temp\OnboardLogs" /stypes="*4049*201705121*" /stext=" 10:.+((SYSTEM_STATE.+slice.+state.+changed )|(ment ac)|(multiple cpu faults)|(system.+state.+changed )|(\[timeout)|(PRM\|1\|D)|(kpr)|(kdp)|(train st.+moving)|(\|lc)|(penalty))"</v>
      </c>
      <c r="U44" s="9" t="str">
        <f t="shared" si="2"/>
        <v>4049</v>
      </c>
      <c r="V44" s="31">
        <f t="shared" si="3"/>
        <v>42867.418379629627</v>
      </c>
      <c r="W44" s="45" t="str">
        <f t="shared" si="4"/>
        <v>Other</v>
      </c>
      <c r="X44" s="45" t="str">
        <f t="shared" si="5"/>
        <v>KEEP</v>
      </c>
      <c r="Y44" s="99" t="str">
        <f t="shared" si="6"/>
        <v>echo {"issue":{"subject":"","project_id":79,"tracker_id":40,"status_id":1,"priority_id":2,"assigned_to_id":23,"start_date":"2017-05-12","description":"","custom_fields":[{"id":1,"name":"Subdivision","value":"Other"},{"id":4,"name":"Milepost","value":"2.4161"},{"id":17,"name":"Train ID","value":"306-12"},{"id":16,"name":"Locomotive ID","value":"4049"},{"id":130,"name":"Impact","value":""},{"id":150,"name":"Time of Event (Mountain Time)","value":"04:02:28"},{"id":151,"name":"Denver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 t="shared" si="7"/>
        <v>grep -hrE -A400 "Enforcement Action" /cygdrive/c/Users/stu/AppData/Local/Temp/OnboardLogs/RTDC4049 --include="*4049*201705121*"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"%USERPROFILE%\AppData\Local\Temp\OnboardLogs"\RTDC4049\*4049*201705121* &gt;&gt; 2017-05-12-SliceDisagreementCheck.txt</v>
      </c>
      <c r="AE44" s="148" t="str">
        <f t="shared" si="9"/>
        <v>start /low /b %USERPROFILE%\Documents\GitHub\eaglep3\Utilities\DownloadLogsFromS3.py --loco 4049 --day 2017-05-12</v>
      </c>
      <c r="AF44" s="1"/>
    </row>
    <row r="45" spans="1:32" x14ac:dyDescent="0.25">
      <c r="A45" s="31">
        <v>42867.168715277781</v>
      </c>
      <c r="B45" s="30" t="s">
        <v>558</v>
      </c>
      <c r="C45" s="30" t="s">
        <v>559</v>
      </c>
      <c r="D45" s="30" t="s">
        <v>98</v>
      </c>
      <c r="E45" s="30" t="s">
        <v>379</v>
      </c>
      <c r="F45" s="42">
        <v>0</v>
      </c>
      <c r="G45" s="42">
        <v>10</v>
      </c>
      <c r="H45" s="42">
        <v>22170</v>
      </c>
      <c r="I45" s="42">
        <v>22130</v>
      </c>
      <c r="J45" s="30" t="s">
        <v>380</v>
      </c>
      <c r="K45" s="42">
        <v>24161</v>
      </c>
      <c r="L45" s="134" t="s">
        <v>51</v>
      </c>
      <c r="M45" s="135">
        <f t="shared" si="0"/>
        <v>-1072.3679999999999</v>
      </c>
      <c r="N45" s="136" t="str">
        <f>VLOOKUP(C45,'Trips&amp;Operators'!$C$1:$G$99999,5,FALSE)</f>
        <v>ROBINSON KADDIBA</v>
      </c>
      <c r="O45" s="207" t="s">
        <v>184</v>
      </c>
      <c r="P45" s="137"/>
      <c r="Q45" s="30"/>
      <c r="R45" s="84" t="e">
        <f>IF(VLOOKUP(C45,'Train Runs'!$A$13:$AE$9929,1,1)=C45,VLOOKUP(C45,'Train Runs'!$A$13:$AE$9929,31,1),NA())</f>
        <v>#N/A</v>
      </c>
      <c r="S45" s="87" t="str">
        <f>VLOOKUP(C45,'Train Runs'!$A$13:$AE$9929,22,0)</f>
        <v>https://d0f6bd738d7f1b3e5a7ca70fe4ff75f0.us-east-1.aws.found.io/app/kibana#/discover/Steve-Slow-Train-Analysis-(2080s-and-2083s)?_g=(refreshInterval:(display:Off,pause:!f,section:0,value:0),time:(from:'2017-05-12T02:52:31-0600',mode:absolute,to:'2017-05-12T05:02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45" s="89" t="str">
        <f t="shared" si="1"/>
        <v>"C:\Program Files (x86)\AstroGrep\AstroGrep.exe" /e /r /s /spath="%USERPROFILE%\AppData\Local\Temp\OnboardLogs" /stypes="*4049*201705121*" /stext=" 10:.+((SYSTEM_STATE.+slice.+state.+changed )|(ment ac)|(multiple cpu faults)|(system.+state.+changed )|(\[timeout)|(PRM\|1\|D)|(kpr)|(kdp)|(train st.+moving)|(\|lc)|(penalty))"</v>
      </c>
      <c r="U45" s="9" t="str">
        <f t="shared" si="2"/>
        <v>4049</v>
      </c>
      <c r="V45" s="31">
        <f t="shared" si="3"/>
        <v>42867.418715277781</v>
      </c>
      <c r="W45" s="45" t="str">
        <f t="shared" si="4"/>
        <v>Other</v>
      </c>
      <c r="X45" s="45" t="str">
        <f t="shared" si="5"/>
        <v>KEEP</v>
      </c>
      <c r="Y45" s="99" t="str">
        <f t="shared" si="6"/>
        <v>echo {"issue":{"subject":"","project_id":79,"tracker_id":40,"status_id":1,"priority_id":2,"assigned_to_id":23,"start_date":"2017-05-12","description":"","custom_fields":[{"id":1,"name":"Subdivision","value":"Other"},{"id":4,"name":"Milepost","value":"2.4161"},{"id":17,"name":"Train ID","value":"306-12"},{"id":16,"name":"Locomotive ID","value":"4049"},{"id":130,"name":"Impact","value":""},{"id":150,"name":"Time of Event (Mountain Time)","value":"04:02:57"},{"id":151,"name":"Denver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62"/>
      <c r="AA45" s="47"/>
      <c r="AB45" s="47"/>
      <c r="AC45" s="118" t="str">
        <f t="shared" si="7"/>
        <v>grep -hrE -A400 "Enforcement Action" /cygdrive/c/Users/stu/AppData/Local/Temp/OnboardLogs/RTDC4049 --include="*4049*201705121*"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"%USERPROFILE%\AppData\Local\Temp\OnboardLogs"\RTDC4049\*4049*201705121* &gt;&gt; 2017-05-12-SliceDisagreementCheck.txt</v>
      </c>
      <c r="AE45" s="148" t="str">
        <f t="shared" si="9"/>
        <v>start /low /b %USERPROFILE%\Documents\GitHub\eaglep3\Utilities\DownloadLogsFromS3.py --loco 4049 --day 2017-05-12</v>
      </c>
      <c r="AF45" s="1"/>
    </row>
    <row r="46" spans="1:32" x14ac:dyDescent="0.25">
      <c r="A46" s="31">
        <v>42867.242002314815</v>
      </c>
      <c r="B46" s="30" t="s">
        <v>467</v>
      </c>
      <c r="C46" s="30" t="s">
        <v>562</v>
      </c>
      <c r="D46" s="30" t="s">
        <v>98</v>
      </c>
      <c r="E46" s="30" t="s">
        <v>379</v>
      </c>
      <c r="F46" s="42">
        <v>0</v>
      </c>
      <c r="G46" s="42">
        <v>57</v>
      </c>
      <c r="H46" s="42">
        <v>23334</v>
      </c>
      <c r="I46" s="42">
        <v>23275</v>
      </c>
      <c r="J46" s="30" t="s">
        <v>380</v>
      </c>
      <c r="K46" s="42">
        <v>24161</v>
      </c>
      <c r="L46" s="134" t="s">
        <v>51</v>
      </c>
      <c r="M46" s="135">
        <f t="shared" si="0"/>
        <v>-467.80799999999999</v>
      </c>
      <c r="N46" s="136" t="str">
        <f>VLOOKUP(C46,'Trips&amp;Operators'!$C$1:$G$99999,5,FALSE)</f>
        <v>MACDONALD THOMAS</v>
      </c>
      <c r="O46" s="207" t="s">
        <v>184</v>
      </c>
      <c r="P46" s="137"/>
      <c r="Q46" s="30"/>
      <c r="R46" s="84" t="e">
        <f>IF(VLOOKUP(C46,'Train Runs'!$A$13:$AE$9929,1,1)=C46,VLOOKUP(C46,'Train Runs'!$A$13:$AE$9929,31,1),NA())</f>
        <v>#N/A</v>
      </c>
      <c r="S46" s="87" t="str">
        <f>VLOOKUP(C46,'Train Runs'!$A$13:$AE$9929,22,0)</f>
        <v>https://d0f6bd738d7f1b3e5a7ca70fe4ff75f0.us-east-1.aws.found.io/app/kibana#/discover/Steve-Slow-Train-Analysis-(2080s-and-2083s)?_g=(refreshInterval:(display:Off,pause:!f,section:0,value:0),time:(from:'2017-05-12T04:44:32-0600',mode:absolute,to:'2017-05-12T06:48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46" s="89" t="str">
        <f t="shared" si="1"/>
        <v>"C:\Program Files (x86)\AstroGrep\AstroGrep.exe" /e /r /s /spath="%USERPROFILE%\AppData\Local\Temp\OnboardLogs" /stypes="*4001*201705121*" /stext=" 11:.+((SYSTEM_STATE.+slice.+state.+changed )|(ment ac)|(multiple cpu faults)|(system.+state.+changed )|(\[timeout)|(PRM\|1\|D)|(kpr)|(kdp)|(train st.+moving)|(\|lc)|(penalty))"</v>
      </c>
      <c r="U46" s="9" t="str">
        <f t="shared" si="2"/>
        <v>4001</v>
      </c>
      <c r="V46" s="31">
        <f t="shared" si="3"/>
        <v>42867.492002314815</v>
      </c>
      <c r="W46" s="45" t="str">
        <f t="shared" si="4"/>
        <v>Other</v>
      </c>
      <c r="X46" s="45" t="str">
        <f t="shared" si="5"/>
        <v>KEEP</v>
      </c>
      <c r="Y46" s="99" t="str">
        <f t="shared" si="6"/>
        <v>echo {"issue":{"subject":"","project_id":79,"tracker_id":40,"status_id":1,"priority_id":2,"assigned_to_id":23,"start_date":"2017-05-12","description":"","custom_fields":[{"id":1,"name":"Subdivision","value":"Other"},{"id":4,"name":"Milepost","value":"2.4161"},{"id":17,"name":"Train ID","value":"902-12"},{"id":16,"name":"Locomotive ID","value":"4001"},{"id":130,"name":"Impact","value":""},{"id":150,"name":"Time of Event (Mountain Time)","value":"05:48:29"},{"id":151,"name":"Denver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62"/>
      <c r="AA46" s="47"/>
      <c r="AB46" s="47"/>
      <c r="AC46" s="118" t="str">
        <f t="shared" si="7"/>
        <v>grep -hrE -A400 "Enforcement Action" /cygdrive/c/Users/stu/AppData/Local/Temp/OnboardLogs/RTDC4001 --include="*4001*201705121*"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"%USERPROFILE%\AppData\Local\Temp\OnboardLogs"\RTDC4001\*4001*201705121* &gt;&gt; 2017-05-12-SliceDisagreementCheck.txt</v>
      </c>
      <c r="AE46" s="148" t="str">
        <f t="shared" si="9"/>
        <v>start /low /b %USERPROFILE%\Documents\GitHub\eaglep3\Utilities\DownloadLogsFromS3.py --loco 4001 --day 2017-05-12</v>
      </c>
      <c r="AF46" s="1"/>
    </row>
    <row r="47" spans="1:32" x14ac:dyDescent="0.25">
      <c r="A47" s="31">
        <v>42867.942835648151</v>
      </c>
      <c r="B47" s="30" t="s">
        <v>442</v>
      </c>
      <c r="C47" s="30" t="s">
        <v>592</v>
      </c>
      <c r="D47" s="30" t="s">
        <v>49</v>
      </c>
      <c r="E47" s="30" t="s">
        <v>379</v>
      </c>
      <c r="F47" s="42">
        <v>0</v>
      </c>
      <c r="G47" s="42">
        <v>30</v>
      </c>
      <c r="H47" s="42">
        <v>34733</v>
      </c>
      <c r="I47" s="42">
        <v>34705</v>
      </c>
      <c r="J47" s="30" t="s">
        <v>380</v>
      </c>
      <c r="K47" s="42">
        <v>34680</v>
      </c>
      <c r="L47" s="134" t="s">
        <v>51</v>
      </c>
      <c r="M47" s="135">
        <f t="shared" si="0"/>
        <v>13.2</v>
      </c>
      <c r="N47" s="136" t="str">
        <f>VLOOKUP(C47,'Trips&amp;Operators'!$C$1:$G$99999,5,FALSE)</f>
        <v>WILLIAMS DONTE</v>
      </c>
      <c r="O47" s="207" t="s">
        <v>184</v>
      </c>
      <c r="P47" s="137"/>
      <c r="Q47" s="30"/>
      <c r="R47" s="84" t="e">
        <f>IF(VLOOKUP(C47,'Train Runs'!$A$13:$AE$9929,1,1)=C47,VLOOKUP(C47,'Train Runs'!$A$13:$AE$9929,31,1),NA())</f>
        <v>#N/A</v>
      </c>
      <c r="S47" s="87" t="str">
        <f>VLOOKUP(C47,'Train Runs'!$A$13:$AE$9929,22,0)</f>
        <v>https://d0f6bd738d7f1b3e5a7ca70fe4ff75f0.us-east-1.aws.found.io/app/kibana#/discover/Steve-Slow-Train-Analysis-(2080s-and-2083s)?_g=(refreshInterval:(display:Off,pause:!f,section:0,value:0),time:(from:'2017-05-12T19:47:55-0600',mode:absolute,to:'2017-05-12T22:04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47" s="89" t="str">
        <f t="shared" si="1"/>
        <v>"C:\Program Files (x86)\AstroGrep\AstroGrep.exe" /e /r /s /spath="%USERPROFILE%\AppData\Local\Temp\OnboardLogs" /stypes="*4005*201705130*" /stext=" 04:.+((SYSTEM_STATE.+slice.+state.+changed )|(ment ac)|(multiple cpu faults)|(system.+state.+changed )|(\[timeout)|(PRM\|1\|D)|(kpr)|(kdp)|(train st.+moving)|(\|lc)|(penalty))"</v>
      </c>
      <c r="U47" s="9" t="str">
        <f t="shared" si="2"/>
        <v>4005</v>
      </c>
      <c r="V47" s="31">
        <f t="shared" si="3"/>
        <v>42868.192835648151</v>
      </c>
      <c r="W47" s="45" t="str">
        <f t="shared" si="4"/>
        <v>Other</v>
      </c>
      <c r="X47" s="45" t="str">
        <f t="shared" si="5"/>
        <v>KEEP</v>
      </c>
      <c r="Y47" s="99" t="str">
        <f t="shared" si="6"/>
        <v>echo {"issue":{"subject":"","project_id":79,"tracker_id":40,"status_id":1,"priority_id":2,"assigned_to_id":23,"start_date":"2017-05-12","description":"","custom_fields":[{"id":1,"name":"Subdivision","value":"Other"},{"id":4,"name":"Milepost","value":"3.468"},{"id":17,"name":"Train ID","value":"54-12"},{"id":16,"name":"Locomotive ID","value":"4005"},{"id":130,"name":"Impact","value":""},{"id":150,"name":"Time of Event (Mountain Time)","value":"22:37:41"},{"id":151,"name":"Denver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62"/>
      <c r="AA47" s="47"/>
      <c r="AB47" s="47"/>
      <c r="AC47" s="118" t="str">
        <f t="shared" si="7"/>
        <v>grep -hrE -A400 "Enforcement Action" /cygdrive/c/Users/stu/AppData/Local/Temp/OnboardLogs/RTDC4005 --include="*4005*201705130*"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"%USERPROFILE%\AppData\Local\Temp\OnboardLogs"\RTDC4005\*4005*201705130* &gt;&gt; 2017-05-12-SliceDisagreementCheck.txt</v>
      </c>
      <c r="AE47" s="148" t="str">
        <f t="shared" si="9"/>
        <v>start /low /b %USERPROFILE%\Documents\GitHub\eaglep3\Utilities\DownloadLogsFromS3.py --loco 4005 --day 2017-05-13</v>
      </c>
      <c r="AF47" s="1"/>
    </row>
    <row r="48" spans="1:32" x14ac:dyDescent="0.25">
      <c r="A48" s="31">
        <v>42867.911006944443</v>
      </c>
      <c r="B48" s="30" t="s">
        <v>442</v>
      </c>
      <c r="C48" s="30" t="s">
        <v>592</v>
      </c>
      <c r="D48" s="30" t="s">
        <v>49</v>
      </c>
      <c r="E48" s="30" t="s">
        <v>379</v>
      </c>
      <c r="F48" s="42">
        <v>0</v>
      </c>
      <c r="G48" s="42">
        <v>60</v>
      </c>
      <c r="H48" s="42">
        <v>37786</v>
      </c>
      <c r="I48" s="42">
        <v>37724</v>
      </c>
      <c r="J48" s="30" t="s">
        <v>380</v>
      </c>
      <c r="K48" s="42">
        <v>37618</v>
      </c>
      <c r="L48" s="134" t="s">
        <v>51</v>
      </c>
      <c r="M48" s="135">
        <f t="shared" si="0"/>
        <v>55.968000000000004</v>
      </c>
      <c r="N48" s="136" t="str">
        <f>VLOOKUP(C48,'Trips&amp;Operators'!$C$1:$G$99999,5,FALSE)</f>
        <v>WILLIAMS DONTE</v>
      </c>
      <c r="O48" s="207" t="s">
        <v>184</v>
      </c>
      <c r="P48" s="137"/>
      <c r="Q48" s="30"/>
      <c r="R48" s="84" t="e">
        <f>IF(VLOOKUP(C48,'Train Runs'!$A$13:$AE$9929,1,1)=C48,VLOOKUP(C48,'Train Runs'!$A$13:$AE$9929,31,1),NA())</f>
        <v>#N/A</v>
      </c>
      <c r="S48" s="87" t="str">
        <f>VLOOKUP(C48,'Train Runs'!$A$13:$AE$9929,22,0)</f>
        <v>https://d0f6bd738d7f1b3e5a7ca70fe4ff75f0.us-east-1.aws.found.io/app/kibana#/discover/Steve-Slow-Train-Analysis-(2080s-and-2083s)?_g=(refreshInterval:(display:Off,pause:!f,section:0,value:0),time:(from:'2017-05-12T19:47:55-0600',mode:absolute,to:'2017-05-12T22:04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48" s="89" t="str">
        <f t="shared" si="1"/>
        <v>"C:\Program Files (x86)\AstroGrep\AstroGrep.exe" /e /r /s /spath="%USERPROFILE%\AppData\Local\Temp\OnboardLogs" /stypes="*4005*201705130*" /stext=" 03:.+((SYSTEM_STATE.+slice.+state.+changed )|(ment ac)|(multiple cpu faults)|(system.+state.+changed )|(\[timeout)|(PRM\|1\|D)|(kpr)|(kdp)|(train st.+moving)|(\|lc)|(penalty))"</v>
      </c>
      <c r="U48" s="9" t="str">
        <f t="shared" si="2"/>
        <v>4005</v>
      </c>
      <c r="V48" s="31">
        <f t="shared" si="3"/>
        <v>42868.161006944443</v>
      </c>
      <c r="W48" s="45" t="str">
        <f t="shared" si="4"/>
        <v>Other</v>
      </c>
      <c r="X48" s="45" t="str">
        <f t="shared" si="5"/>
        <v>KEEP</v>
      </c>
      <c r="Y48" s="99" t="str">
        <f t="shared" si="6"/>
        <v>echo {"issue":{"subject":"","project_id":79,"tracker_id":40,"status_id":1,"priority_id":2,"assigned_to_id":23,"start_date":"2017-05-12","description":"","custom_fields":[{"id":1,"name":"Subdivision","value":"Other"},{"id":4,"name":"Milepost","value":"3.7618"},{"id":17,"name":"Train ID","value":"54-12"},{"id":16,"name":"Locomotive ID","value":"4005"},{"id":130,"name":"Impact","value":""},{"id":150,"name":"Time of Event (Mountain Time)","value":"21:51:51"},{"id":151,"name":"Denver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62"/>
      <c r="AA48" s="47"/>
      <c r="AB48" s="47"/>
      <c r="AC48" s="118" t="str">
        <f t="shared" si="7"/>
        <v>grep -hrE -A400 "Enforcement Action" /cygdrive/c/Users/stu/AppData/Local/Temp/OnboardLogs/RTDC4005 --include="*4005*201705130*"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"%USERPROFILE%\AppData\Local\Temp\OnboardLogs"\RTDC4005\*4005*201705130* &gt;&gt; 2017-05-12-SliceDisagreementCheck.txt</v>
      </c>
      <c r="AE48" s="148" t="str">
        <f t="shared" si="9"/>
        <v>start /low /b %USERPROFILE%\Documents\GitHub\eaglep3\Utilities\DownloadLogsFromS3.py --loco 4005 --day 2017-05-13</v>
      </c>
      <c r="AF48" s="1"/>
    </row>
    <row r="49" spans="1:32" x14ac:dyDescent="0.25">
      <c r="A49" s="31">
        <v>42867.939733796295</v>
      </c>
      <c r="B49" s="30" t="s">
        <v>442</v>
      </c>
      <c r="C49" s="30" t="s">
        <v>592</v>
      </c>
      <c r="D49" s="30" t="s">
        <v>49</v>
      </c>
      <c r="E49" s="30" t="s">
        <v>379</v>
      </c>
      <c r="F49" s="42">
        <v>0</v>
      </c>
      <c r="G49" s="42">
        <v>92</v>
      </c>
      <c r="H49" s="42">
        <v>37885</v>
      </c>
      <c r="I49" s="42">
        <v>37788</v>
      </c>
      <c r="J49" s="30" t="s">
        <v>380</v>
      </c>
      <c r="K49" s="42">
        <v>37618</v>
      </c>
      <c r="L49" s="134" t="s">
        <v>51</v>
      </c>
      <c r="M49" s="135">
        <f t="shared" si="0"/>
        <v>89.76</v>
      </c>
      <c r="N49" s="136" t="str">
        <f>VLOOKUP(C49,'Trips&amp;Operators'!$C$1:$G$99999,5,FALSE)</f>
        <v>WILLIAMS DONTE</v>
      </c>
      <c r="O49" s="207" t="s">
        <v>184</v>
      </c>
      <c r="P49" s="137"/>
      <c r="Q49" s="30"/>
      <c r="R49" s="84" t="e">
        <f>IF(VLOOKUP(C49,'Train Runs'!$A$13:$AE$9929,1,1)=C49,VLOOKUP(C49,'Train Runs'!$A$13:$AE$9929,31,1),NA())</f>
        <v>#N/A</v>
      </c>
      <c r="S49" s="87" t="str">
        <f>VLOOKUP(C49,'Train Runs'!$A$13:$AE$9929,22,0)</f>
        <v>https://d0f6bd738d7f1b3e5a7ca70fe4ff75f0.us-east-1.aws.found.io/app/kibana#/discover/Steve-Slow-Train-Analysis-(2080s-and-2083s)?_g=(refreshInterval:(display:Off,pause:!f,section:0,value:0),time:(from:'2017-05-12T19:47:55-0600',mode:absolute,to:'2017-05-12T22:04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49" s="89" t="str">
        <f t="shared" si="1"/>
        <v>"C:\Program Files (x86)\AstroGrep\AstroGrep.exe" /e /r /s /spath="%USERPROFILE%\AppData\Local\Temp\OnboardLogs" /stypes="*4005*201705130*" /stext=" 04:.+((SYSTEM_STATE.+slice.+state.+changed )|(ment ac)|(multiple cpu faults)|(system.+state.+changed )|(\[timeout)|(PRM\|1\|D)|(kpr)|(kdp)|(train st.+moving)|(\|lc)|(penalty))"</v>
      </c>
      <c r="U49" s="9" t="str">
        <f t="shared" si="2"/>
        <v>4005</v>
      </c>
      <c r="V49" s="31">
        <f t="shared" si="3"/>
        <v>42868.189733796295</v>
      </c>
      <c r="W49" s="45" t="str">
        <f t="shared" si="4"/>
        <v>Other</v>
      </c>
      <c r="X49" s="45" t="str">
        <f t="shared" si="5"/>
        <v>KEEP</v>
      </c>
      <c r="Y49" s="99" t="str">
        <f t="shared" si="6"/>
        <v>echo {"issue":{"subject":"","project_id":79,"tracker_id":40,"status_id":1,"priority_id":2,"assigned_to_id":23,"start_date":"2017-05-12","description":"","custom_fields":[{"id":1,"name":"Subdivision","value":"Other"},{"id":4,"name":"Milepost","value":"3.7618"},{"id":17,"name":"Train ID","value":"54-12"},{"id":16,"name":"Locomotive ID","value":"4005"},{"id":130,"name":"Impact","value":""},{"id":150,"name":"Time of Event (Mountain Time)","value":"22:33:13"},{"id":151,"name":"Denver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62"/>
      <c r="AA49" s="47"/>
      <c r="AB49" s="47"/>
      <c r="AC49" s="118" t="str">
        <f t="shared" si="7"/>
        <v>grep -hrE -A400 "Enforcement Action" /cygdrive/c/Users/stu/AppData/Local/Temp/OnboardLogs/RTDC4005 --include="*4005*201705130*"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"%USERPROFILE%\AppData\Local\Temp\OnboardLogs"\RTDC4005\*4005*201705130* &gt;&gt; 2017-05-12-SliceDisagreementCheck.txt</v>
      </c>
      <c r="AE49" s="148" t="str">
        <f t="shared" si="9"/>
        <v>start /low /b %USERPROFILE%\Documents\GitHub\eaglep3\Utilities\DownloadLogsFromS3.py --loco 4005 --day 2017-05-13</v>
      </c>
      <c r="AF49" s="1"/>
    </row>
    <row r="50" spans="1:32" x14ac:dyDescent="0.25">
      <c r="A50" s="31">
        <v>42867.980902777781</v>
      </c>
      <c r="B50" s="30" t="s">
        <v>442</v>
      </c>
      <c r="C50" s="30" t="s">
        <v>598</v>
      </c>
      <c r="D50" s="30" t="s">
        <v>98</v>
      </c>
      <c r="E50" s="30" t="s">
        <v>379</v>
      </c>
      <c r="F50" s="42">
        <v>0</v>
      </c>
      <c r="G50" s="42">
        <v>111</v>
      </c>
      <c r="H50" s="42">
        <v>29896</v>
      </c>
      <c r="I50" s="42">
        <v>29570</v>
      </c>
      <c r="J50" s="30" t="s">
        <v>380</v>
      </c>
      <c r="K50" s="42">
        <v>70576</v>
      </c>
      <c r="L50" s="134" t="s">
        <v>51</v>
      </c>
      <c r="M50" s="135">
        <f t="shared" si="0"/>
        <v>-21651.168000000001</v>
      </c>
      <c r="N50" s="136" t="str">
        <f>VLOOKUP(C50,'Trips&amp;Operators'!$C$1:$G$99999,5,FALSE)</f>
        <v>WILLIAMS DONTE</v>
      </c>
      <c r="O50" s="207" t="s">
        <v>184</v>
      </c>
      <c r="P50" s="137"/>
      <c r="Q50" s="30"/>
      <c r="R50" s="84" t="str">
        <f>IF(VLOOKUP(C50,'Train Runs'!$A$13:$AE$9929,1,1)=C50,VLOOKUP(C50,'Train Runs'!$A$13:$AE$9929,31,1),NA())</f>
        <v>aws s3 cp s3://rtdc.mdm.uploadarchive.raw/RTDC4005/ "%USERPROFILE%\AppData\Local\Temp\OnboardLogs"\RTDC4005\2017-05-13 --exclude "*" --recursive --include "*20170513*" &amp; "%USERPROFILE%\Documents\GitHub\mrs-test-scripts\Headless Mode &amp; Sideloading\WalkAndUnGZ.bat" "%USERPROFILE%\AppData\Local\Temp\OnboardLogs"\RTDC4005\2017-05-13 &amp; aws s3 cp s3://rtdc.mdm.uploadarchive.raw/RTDC4005/ "%USERPROFILE%\AppData\Local\Temp\OnboardLogs"\RTDC4005\2017-05-14 --exclude "*" --recursive --include "*20170514*" &amp; "%USERPROFILE%\Documents\GitHub\mrs-test-scripts\Headless Mode &amp; Sideloading\WalkAndUnGZ.bat" "%USERPROFILE%\AppData\Local\Temp\OnboardLogs"\RTDC4005\2017-05-14</v>
      </c>
      <c r="S50" s="87" t="str">
        <f>VLOOKUP(C50,'Train Runs'!$A$13:$AE$9929,22,0)</f>
        <v>https://d0f6bd738d7f1b3e5a7ca70fe4ff75f0.us-east-1.aws.found.io/app/kibana#/discover/Steve-Slow-Train-Analysis-(2080s-and-2083s)?_g=(refreshInterval:(display:Off,pause:!f,section:0,value:0),time:(from:'2017-05-12T22:44:16-0600',mode:absolute,to:'2017-05-13T01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50" s="89" t="str">
        <f t="shared" si="1"/>
        <v>"C:\Program Files (x86)\AstroGrep\AstroGrep.exe" /e /r /s /spath="%USERPROFILE%\AppData\Local\Temp\OnboardLogs" /stypes="*4005*201705130*" /stext=" 05:.+((SYSTEM_STATE.+slice.+state.+changed )|(ment ac)|(multiple cpu faults)|(system.+state.+changed )|(\[timeout)|(PRM\|1\|D)|(kpr)|(kdp)|(train st.+moving)|(\|lc)|(penalty))"</v>
      </c>
      <c r="U50" s="9" t="str">
        <f t="shared" si="2"/>
        <v>4005</v>
      </c>
      <c r="V50" s="31">
        <f t="shared" si="3"/>
        <v>42868.230902777781</v>
      </c>
      <c r="W50" s="45" t="str">
        <f t="shared" si="4"/>
        <v>Other</v>
      </c>
      <c r="X50" s="45" t="str">
        <f t="shared" si="5"/>
        <v>KEEP</v>
      </c>
      <c r="Y50" s="99" t="str">
        <f t="shared" si="6"/>
        <v>echo {"issue":{"subject":"","project_id":79,"tracker_id":40,"status_id":1,"priority_id":2,"assigned_to_id":23,"start_date":"2017-05-12","description":"","custom_fields":[{"id":1,"name":"Subdivision","value":"Other"},{"id":4,"name":"Milepost","value":"7.0576"},{"id":17,"name":"Train ID","value":"85-12"},{"id":16,"name":"Locomotive ID","value":"4005"},{"id":130,"name":"Impact","value":""},{"id":150,"name":"Time of Event (Mountain Time)","value":"23:32:30"},{"id":151,"name":"Denver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62"/>
      <c r="AA50" s="47"/>
      <c r="AB50" s="47"/>
      <c r="AC50" s="118" t="str">
        <f t="shared" si="7"/>
        <v>grep -hrE -A400 "Enforcement Action" /cygdrive/c/Users/stu/AppData/Local/Temp/OnboardLogs/RTDC4005 --include="*4005*201705130*"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"%USERPROFILE%\AppData\Local\Temp\OnboardLogs"\RTDC4005\*4005*201705130* &gt;&gt; 2017-05-12-SliceDisagreementCheck.txt</v>
      </c>
      <c r="AE50" s="148" t="str">
        <f t="shared" si="9"/>
        <v>start /low /b %USERPROFILE%\Documents\GitHub\eaglep3\Utilities\DownloadLogsFromS3.py --loco 4005 --day 2017-05-13</v>
      </c>
      <c r="AF50" s="1"/>
    </row>
    <row r="51" spans="1:32" x14ac:dyDescent="0.25">
      <c r="A51" s="31">
        <v>42867.981736111113</v>
      </c>
      <c r="B51" s="30" t="s">
        <v>442</v>
      </c>
      <c r="C51" s="30" t="s">
        <v>598</v>
      </c>
      <c r="D51" s="30" t="s">
        <v>98</v>
      </c>
      <c r="E51" s="30" t="s">
        <v>379</v>
      </c>
      <c r="F51" s="42">
        <v>0</v>
      </c>
      <c r="G51" s="42">
        <v>2</v>
      </c>
      <c r="H51" s="42">
        <v>29563</v>
      </c>
      <c r="I51" s="42">
        <v>29553</v>
      </c>
      <c r="J51" s="30" t="s">
        <v>380</v>
      </c>
      <c r="K51" s="42">
        <v>70576</v>
      </c>
      <c r="L51" s="134" t="s">
        <v>51</v>
      </c>
      <c r="M51" s="135">
        <f t="shared" si="0"/>
        <v>-21660.143999999997</v>
      </c>
      <c r="N51" s="136" t="str">
        <f>VLOOKUP(C51,'Trips&amp;Operators'!$C$1:$G$99999,5,FALSE)</f>
        <v>WILLIAMS DONTE</v>
      </c>
      <c r="O51" s="207" t="s">
        <v>184</v>
      </c>
      <c r="P51" s="137"/>
      <c r="Q51" s="30"/>
      <c r="R51" s="84" t="str">
        <f>IF(VLOOKUP(C51,'Train Runs'!$A$13:$AE$9929,1,1)=C51,VLOOKUP(C51,'Train Runs'!$A$13:$AE$9929,31,1),NA())</f>
        <v>aws s3 cp s3://rtdc.mdm.uploadarchive.raw/RTDC4005/ "%USERPROFILE%\AppData\Local\Temp\OnboardLogs"\RTDC4005\2017-05-13 --exclude "*" --recursive --include "*20170513*" &amp; "%USERPROFILE%\Documents\GitHub\mrs-test-scripts\Headless Mode &amp; Sideloading\WalkAndUnGZ.bat" "%USERPROFILE%\AppData\Local\Temp\OnboardLogs"\RTDC4005\2017-05-13 &amp; aws s3 cp s3://rtdc.mdm.uploadarchive.raw/RTDC4005/ "%USERPROFILE%\AppData\Local\Temp\OnboardLogs"\RTDC4005\2017-05-14 --exclude "*" --recursive --include "*20170514*" &amp; "%USERPROFILE%\Documents\GitHub\mrs-test-scripts\Headless Mode &amp; Sideloading\WalkAndUnGZ.bat" "%USERPROFILE%\AppData\Local\Temp\OnboardLogs"\RTDC4005\2017-05-14</v>
      </c>
      <c r="S51" s="87" t="str">
        <f>VLOOKUP(C51,'Train Runs'!$A$13:$AE$9929,22,0)</f>
        <v>https://d0f6bd738d7f1b3e5a7ca70fe4ff75f0.us-east-1.aws.found.io/app/kibana#/discover/Steve-Slow-Train-Analysis-(2080s-and-2083s)?_g=(refreshInterval:(display:Off,pause:!f,section:0,value:0),time:(from:'2017-05-12T22:44:16-0600',mode:absolute,to:'2017-05-13T01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51" s="89" t="str">
        <f t="shared" si="1"/>
        <v>"C:\Program Files (x86)\AstroGrep\AstroGrep.exe" /e /r /s /spath="%USERPROFILE%\AppData\Local\Temp\OnboardLogs" /stypes="*4005*201705130*" /stext=" 05:.+((SYSTEM_STATE.+slice.+state.+changed )|(ment ac)|(multiple cpu faults)|(system.+state.+changed )|(\[timeout)|(PRM\|1\|D)|(kpr)|(kdp)|(train st.+moving)|(\|lc)|(penalty))"</v>
      </c>
      <c r="U51" s="9" t="str">
        <f t="shared" si="2"/>
        <v>4005</v>
      </c>
      <c r="V51" s="31">
        <f t="shared" si="3"/>
        <v>42868.231736111113</v>
      </c>
      <c r="W51" s="45" t="str">
        <f t="shared" si="4"/>
        <v>Other</v>
      </c>
      <c r="X51" s="45" t="str">
        <f t="shared" si="5"/>
        <v>KEEP</v>
      </c>
      <c r="Y51" s="99" t="str">
        <f t="shared" si="6"/>
        <v>echo {"issue":{"subject":"","project_id":79,"tracker_id":40,"status_id":1,"priority_id":2,"assigned_to_id":23,"start_date":"2017-05-12","description":"","custom_fields":[{"id":1,"name":"Subdivision","value":"Other"},{"id":4,"name":"Milepost","value":"7.0576"},{"id":17,"name":"Train ID","value":"85-12"},{"id":16,"name":"Locomotive ID","value":"4005"},{"id":130,"name":"Impact","value":""},{"id":150,"name":"Time of Event (Mountain Time)","value":"23:33:42"},{"id":151,"name":"Denver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62"/>
      <c r="AA51" s="47"/>
      <c r="AB51" s="47"/>
      <c r="AC51" s="118" t="str">
        <f t="shared" si="7"/>
        <v>grep -hrE -A400 "Enforcement Action" /cygdrive/c/Users/stu/AppData/Local/Temp/OnboardLogs/RTDC4005 --include="*4005*201705130*"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"%USERPROFILE%\AppData\Local\Temp\OnboardLogs"\RTDC4005\*4005*201705130* &gt;&gt; 2017-05-12-SliceDisagreementCheck.txt</v>
      </c>
      <c r="AE51" s="148" t="str">
        <f t="shared" si="9"/>
        <v>start /low /b %USERPROFILE%\Documents\GitHub\eaglep3\Utilities\DownloadLogsFromS3.py --loco 4005 --day 2017-05-13</v>
      </c>
      <c r="AF51" s="1"/>
    </row>
    <row r="52" spans="1:32" x14ac:dyDescent="0.25">
      <c r="A52" s="31">
        <v>42867.851238425923</v>
      </c>
      <c r="B52" s="30" t="s">
        <v>442</v>
      </c>
      <c r="C52" s="30" t="s">
        <v>592</v>
      </c>
      <c r="D52" s="30" t="s">
        <v>98</v>
      </c>
      <c r="E52" s="30" t="s">
        <v>593</v>
      </c>
      <c r="F52" s="42">
        <v>0</v>
      </c>
      <c r="G52" s="42">
        <v>58</v>
      </c>
      <c r="H52" s="42">
        <v>23930</v>
      </c>
      <c r="I52" s="42">
        <v>23832</v>
      </c>
      <c r="J52" s="30" t="s">
        <v>495</v>
      </c>
      <c r="K52" s="42">
        <v>24235</v>
      </c>
      <c r="L52" s="134" t="s">
        <v>51</v>
      </c>
      <c r="M52" s="135">
        <f t="shared" si="0"/>
        <v>-212.78399999999999</v>
      </c>
      <c r="N52" s="136" t="str">
        <f>VLOOKUP(C52,'Trips&amp;Operators'!$C$1:$G$99999,5,FALSE)</f>
        <v>WILLIAMS DONTE</v>
      </c>
      <c r="O52" s="207" t="s">
        <v>184</v>
      </c>
      <c r="P52" s="137"/>
      <c r="Q52" s="30"/>
      <c r="R52" s="84" t="e">
        <f>IF(VLOOKUP(C52,'Train Runs'!$A$13:$AE$9929,1,1)=C52,VLOOKUP(C52,'Train Runs'!$A$13:$AE$9929,31,1),NA())</f>
        <v>#N/A</v>
      </c>
      <c r="S52" s="87" t="str">
        <f>VLOOKUP(C52,'Train Runs'!$A$13:$AE$9929,22,0)</f>
        <v>https://d0f6bd738d7f1b3e5a7ca70fe4ff75f0.us-east-1.aws.found.io/app/kibana#/discover/Steve-Slow-Train-Analysis-(2080s-and-2083s)?_g=(refreshInterval:(display:Off,pause:!f,section:0,value:0),time:(from:'2017-05-12T19:47:55-0600',mode:absolute,to:'2017-05-12T22:04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52" s="89" t="str">
        <f t="shared" si="1"/>
        <v>"C:\Program Files (x86)\AstroGrep\AstroGrep.exe" /e /r /s /spath="%USERPROFILE%\AppData\Local\Temp\OnboardLogs" /stypes="*4005*201705130*" /stext=" 02:.+((SYSTEM_STATE.+slice.+state.+changed )|(ment ac)|(multiple cpu faults)|(system.+state.+changed )|(\[timeout)|(PRM\|1\|D)|(kpr)|(kdp)|(train st.+moving)|(\|lc)|(penalty))"</v>
      </c>
      <c r="U52" s="9" t="str">
        <f t="shared" si="2"/>
        <v>4005</v>
      </c>
      <c r="V52" s="31">
        <f t="shared" si="3"/>
        <v>42868.101238425923</v>
      </c>
      <c r="W52" s="45" t="str">
        <f t="shared" si="4"/>
        <v>Other</v>
      </c>
      <c r="X52" s="45" t="str">
        <f t="shared" si="5"/>
        <v>KEEP</v>
      </c>
      <c r="Y52" s="99" t="str">
        <f t="shared" si="6"/>
        <v>echo {"issue":{"subject":"","project_id":79,"tracker_id":40,"status_id":1,"priority_id":2,"assigned_to_id":23,"start_date":"2017-05-12","description":"","custom_fields":[{"id":1,"name":"Subdivision","value":"Other"},{"id":4,"name":"Milepost","value":"2.4235"},{"id":17,"name":"Train ID","value":"54-12"},{"id":16,"name":"Locomotive ID","value":"4005"},{"id":130,"name":"Impact","value":""},{"id":150,"name":"Time of Event (Mountain Time)","value":"20:25:47"},{"id":151,"name":"Denver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62"/>
      <c r="AA52" s="47"/>
      <c r="AB52" s="47"/>
      <c r="AC52" s="118" t="str">
        <f t="shared" si="7"/>
        <v>grep -hrE -A400 "Enforcement Action" /cygdrive/c/Users/stu/AppData/Local/Temp/OnboardLogs/RTDC4005 --include="*4005*201705130*"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"%USERPROFILE%\AppData\Local\Temp\OnboardLogs"\RTDC4005\*4005*201705130* &gt;&gt; 2017-05-12-SliceDisagreementCheck.txt</v>
      </c>
      <c r="AE52" s="148" t="str">
        <f t="shared" si="9"/>
        <v>start /low /b %USERPROFILE%\Documents\GitHub\eaglep3\Utilities\DownloadLogsFromS3.py --loco 4005 --day 2017-05-13</v>
      </c>
      <c r="AF52" s="1"/>
    </row>
    <row r="53" spans="1:32" x14ac:dyDescent="0.25">
      <c r="A53" s="31">
        <v>42867.877835648149</v>
      </c>
      <c r="B53" s="30" t="s">
        <v>442</v>
      </c>
      <c r="C53" s="30" t="s">
        <v>592</v>
      </c>
      <c r="D53" s="30" t="s">
        <v>49</v>
      </c>
      <c r="E53" s="30" t="s">
        <v>185</v>
      </c>
      <c r="F53" s="42">
        <v>0</v>
      </c>
      <c r="G53" s="42">
        <v>16</v>
      </c>
      <c r="H53" s="42">
        <v>70</v>
      </c>
      <c r="I53" s="42">
        <v>61</v>
      </c>
      <c r="J53" s="30" t="s">
        <v>186</v>
      </c>
      <c r="K53" s="42">
        <v>1</v>
      </c>
      <c r="L53" s="134" t="s">
        <v>51</v>
      </c>
      <c r="M53" s="135">
        <f t="shared" si="0"/>
        <v>31.68</v>
      </c>
      <c r="N53" s="136" t="str">
        <f>VLOOKUP(C53,'Trips&amp;Operators'!$C$1:$G$99999,5,FALSE)</f>
        <v>WILLIAMS DONTE</v>
      </c>
      <c r="O53" s="207" t="s">
        <v>184</v>
      </c>
      <c r="P53" s="137"/>
      <c r="Q53" s="30"/>
      <c r="R53" s="84" t="e">
        <f>IF(VLOOKUP(C53,'Train Runs'!$A$13:$AE$9929,1,1)=C53,VLOOKUP(C53,'Train Runs'!$A$13:$AE$9929,31,1),NA())</f>
        <v>#N/A</v>
      </c>
      <c r="S53" s="87" t="str">
        <f>VLOOKUP(C53,'Train Runs'!$A$13:$AE$9929,22,0)</f>
        <v>https://d0f6bd738d7f1b3e5a7ca70fe4ff75f0.us-east-1.aws.found.io/app/kibana#/discover/Steve-Slow-Train-Analysis-(2080s-and-2083s)?_g=(refreshInterval:(display:Off,pause:!f,section:0,value:0),time:(from:'2017-05-12T19:47:55-0600',mode:absolute,to:'2017-05-12T22:04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53" s="89" t="str">
        <f t="shared" si="1"/>
        <v>"C:\Program Files (x86)\AstroGrep\AstroGrep.exe" /e /r /s /spath="%USERPROFILE%\AppData\Local\Temp\OnboardLogs" /stypes="*4005*201705130*" /stext=" 03:.+((SYSTEM_STATE.+slice.+state.+changed )|(ment ac)|(multiple cpu faults)|(system.+state.+changed )|(\[timeout)|(PRM\|1\|D)|(kpr)|(kdp)|(train st.+moving)|(\|lc)|(penalty))"</v>
      </c>
      <c r="U53" s="9" t="str">
        <f t="shared" si="2"/>
        <v>4005</v>
      </c>
      <c r="V53" s="31">
        <f t="shared" si="3"/>
        <v>42868.127835648149</v>
      </c>
      <c r="W53" s="45" t="str">
        <f t="shared" si="4"/>
        <v>Other</v>
      </c>
      <c r="X53" s="45" t="str">
        <f t="shared" si="5"/>
        <v>KEEP</v>
      </c>
      <c r="Y53" s="99" t="str">
        <f t="shared" si="6"/>
        <v>echo {"issue":{"subject":"","project_id":79,"tracker_id":40,"status_id":1,"priority_id":2,"assigned_to_id":23,"start_date":"2017-05-12","description":"","custom_fields":[{"id":1,"name":"Subdivision","value":"Other"},{"id":4,"name":"Milepost","value":"0.0001"},{"id":17,"name":"Train ID","value":"54-12"},{"id":16,"name":"Locomotive ID","value":"4005"},{"id":130,"name":"Impact","value":""},{"id":150,"name":"Time of Event (Mountain Time)","value":"21:04:05"},{"id":151,"name":"Denver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62"/>
      <c r="AA53" s="47"/>
      <c r="AB53" s="47"/>
      <c r="AC53" s="118" t="str">
        <f t="shared" si="7"/>
        <v>grep -hrE -A400 "Enforcement Action" /cygdrive/c/Users/stu/AppData/Local/Temp/OnboardLogs/RTDC4005 --include="*4005*201705130*"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"%USERPROFILE%\AppData\Local\Temp\OnboardLogs"\RTDC4005\*4005*201705130* &gt;&gt; 2017-05-12-SliceDisagreementCheck.txt</v>
      </c>
      <c r="AE53" s="148" t="str">
        <f t="shared" si="9"/>
        <v>start /low /b %USERPROFILE%\Documents\GitHub\eaglep3\Utilities\DownloadLogsFromS3.py --loco 4005 --day 2017-05-13</v>
      </c>
      <c r="AF53" s="1"/>
    </row>
    <row r="54" spans="1:32" x14ac:dyDescent="0.25">
      <c r="A54" s="31">
        <v>42867.966805555552</v>
      </c>
      <c r="B54" s="30" t="s">
        <v>388</v>
      </c>
      <c r="C54" s="30" t="s">
        <v>597</v>
      </c>
      <c r="D54" s="30" t="s">
        <v>49</v>
      </c>
      <c r="E54" s="30" t="s">
        <v>185</v>
      </c>
      <c r="F54" s="42">
        <v>0</v>
      </c>
      <c r="G54" s="42">
        <v>73</v>
      </c>
      <c r="H54" s="42">
        <v>233204</v>
      </c>
      <c r="I54" s="42">
        <v>233259</v>
      </c>
      <c r="J54" s="30" t="s">
        <v>186</v>
      </c>
      <c r="K54" s="42">
        <v>233491</v>
      </c>
      <c r="L54" s="134" t="s">
        <v>50</v>
      </c>
      <c r="M54" s="135">
        <f t="shared" si="0"/>
        <v>122.496</v>
      </c>
      <c r="N54" s="136" t="str">
        <f>VLOOKUP(C54,'Trips&amp;Operators'!$C$1:$G$99999,5,FALSE)</f>
        <v>FORTUNATO FRANK</v>
      </c>
      <c r="O54" s="207" t="s">
        <v>184</v>
      </c>
      <c r="P54" s="137"/>
      <c r="Q54" s="30"/>
      <c r="R54" s="84" t="e">
        <f>IF(VLOOKUP(C54,'Train Runs'!$A$13:$AE$9929,1,1)=C54,VLOOKUP(C54,'Train Runs'!$A$13:$AE$9929,31,1),NA())</f>
        <v>#N/A</v>
      </c>
      <c r="S54" s="87" t="str">
        <f>VLOOKUP(C54,'Train Runs'!$A$13:$AE$9929,22,0)</f>
        <v>https://d0f6bd738d7f1b3e5a7ca70fe4ff75f0.us-east-1.aws.found.io/app/kibana#/discover/Steve-Slow-Train-Analysis-(2080s-and-2083s)?_g=(refreshInterval:(display:Off,pause:!f,section:0,value:0),time:(from:'2017-05-13T01:39:55-0600',mode:absolute,to:'2017-05-13T04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54" s="89" t="str">
        <f t="shared" si="1"/>
        <v>"C:\Program Files (x86)\AstroGrep\AstroGrep.exe" /e /r /s /spath="%USERPROFILE%\AppData\Local\Temp\OnboardLogs" /stypes="*4034*201705130*" /stext=" 05:.+((SYSTEM_STATE.+slice.+state.+changed )|(ment ac)|(multiple cpu faults)|(system.+state.+changed )|(\[timeout)|(PRM\|1\|D)|(kpr)|(kdp)|(train st.+moving)|(\|lc)|(penalty))"</v>
      </c>
      <c r="U54" s="9" t="str">
        <f t="shared" si="2"/>
        <v>4034</v>
      </c>
      <c r="V54" s="31">
        <f t="shared" si="3"/>
        <v>42868.216805555552</v>
      </c>
      <c r="W54" s="45" t="str">
        <f t="shared" si="4"/>
        <v>Other</v>
      </c>
      <c r="X54" s="45" t="str">
        <f t="shared" si="5"/>
        <v>KEEP</v>
      </c>
      <c r="Y54" s="99" t="str">
        <f t="shared" si="6"/>
        <v>echo {"issue":{"subject":"","project_id":79,"tracker_id":40,"status_id":1,"priority_id":2,"assigned_to_id":23,"start_date":"2017-05-12","description":"","custom_fields":[{"id":1,"name":"Subdivision","value":"Other"},{"id":4,"name":"Milepost","value":"23.3491"},{"id":17,"name":"Train ID","value":"63-12"},{"id":16,"name":"Locomotive ID","value":"4034"},{"id":130,"name":"Impact","value":""},{"id":150,"name":"Time of Event (Mountain Time)","value":"23:12:12"},{"id":151,"name":"Denver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62"/>
      <c r="AA54" s="47"/>
      <c r="AB54" s="47"/>
      <c r="AC54" s="118" t="str">
        <f t="shared" si="7"/>
        <v>grep -hrE -A400 "Enforcement Action" /cygdrive/c/Users/stu/AppData/Local/Temp/OnboardLogs/RTDC4034 --include="*4034*201705130*"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"%USERPROFILE%\AppData\Local\Temp\OnboardLogs"\RTDC4034\*4034*201705130* &gt;&gt; 2017-05-12-SliceDisagreementCheck.txt</v>
      </c>
      <c r="AE54" s="148" t="str">
        <f t="shared" si="9"/>
        <v>start /low /b %USERPROFILE%\Documents\GitHub\eaglep3\Utilities\DownloadLogsFromS3.py --loco 4034 --day 2017-05-13</v>
      </c>
      <c r="AF54" s="1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</sheetData>
  <autoFilter ref="A6:AC62">
    <sortState ref="A7:AC62">
      <sortCondition ref="W7:W54"/>
      <sortCondition ref="E7:E54"/>
      <sortCondition ref="K7:K54"/>
      <sortCondition ref="F7:F54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3:O1048576 O7:O54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4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AA7:AA54</xm:sqref>
        </x14:dataValidation>
        <x14:dataValidation type="list" allowBlank="1" showInputMessage="1" showErrorMessage="1">
          <x14:formula1>
            <xm:f>'Redmine List Values'!$C$2:$C$15</xm:f>
          </x14:formula1>
          <xm:sqref>AB7:AB54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6"/>
  <sheetViews>
    <sheetView workbookViewId="0">
      <selection activeCell="E12" sqref="E12"/>
    </sheetView>
  </sheetViews>
  <sheetFormatPr defaultRowHeight="15" x14ac:dyDescent="0.25"/>
  <cols>
    <col min="1" max="1" width="9.140625" style="168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09" t="str">
        <f>"Trips that did not appear in PTC Data "&amp;TEXT(Variables!$A$2,"YYYY-mm-dd")</f>
        <v>Trips that did not appear in PTC Data 2017-05-12</v>
      </c>
      <c r="C1" s="209"/>
      <c r="D1" s="209"/>
      <c r="E1" s="209"/>
      <c r="F1" s="209"/>
    </row>
    <row r="2" spans="1:10" s="23" customFormat="1" ht="45" x14ac:dyDescent="0.25">
      <c r="A2" s="202" t="s">
        <v>152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/>
      <c r="B3" s="42" t="str">
        <f>A3&amp;"-"&amp;IF(DAY(Variables!$A$2)&lt;10,0,"")&amp;DAY(Variables!$A$2)</f>
        <v>-12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7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" s="30" t="e">
        <f>VLOOKUP(B3,'Train Runs'!$A$13:$A$99926,1,FALSE)</f>
        <v>#N/A</v>
      </c>
    </row>
    <row r="4" spans="1:10" x14ac:dyDescent="0.25">
      <c r="A4" s="190"/>
      <c r="B4" s="42" t="str">
        <f>A4&amp;"-"&amp;IF(DAY(Variables!$A$2)&lt;10,0,"")&amp;DAY(Variables!$A$2)</f>
        <v>-12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" s="30" t="e">
        <f>VLOOKUP(B4,'Train Runs'!$A$13:$A$99926,1,FALSE)</f>
        <v>#N/A</v>
      </c>
    </row>
    <row r="5" spans="1:10" x14ac:dyDescent="0.25">
      <c r="A5" s="190"/>
      <c r="B5" s="42" t="str">
        <f>A5&amp;"-"&amp;IF(DAY(Variables!$A$2)&lt;10,0,"")&amp;DAY(Variables!$A$2)</f>
        <v>-12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" s="30" t="e">
        <f>VLOOKUP(B5,'Train Runs'!$A$13:$A$99926,1,FALSE)</f>
        <v>#N/A</v>
      </c>
    </row>
    <row r="6" spans="1:10" x14ac:dyDescent="0.25">
      <c r="A6" s="190"/>
      <c r="B6" s="42" t="str">
        <f>A6&amp;"-"&amp;IF(DAY(Variables!$A$2)&lt;10,0,"")&amp;DAY(Variables!$A$2)</f>
        <v>-12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" s="30" t="e">
        <f>VLOOKUP(B6,'Train Runs'!$A$13:$A$99926,1,FALSE)</f>
        <v>#N/A</v>
      </c>
    </row>
    <row r="7" spans="1:10" x14ac:dyDescent="0.25">
      <c r="A7" s="190"/>
      <c r="B7" s="42" t="str">
        <f>A7&amp;"-"&amp;IF(DAY(Variables!$A$2)&lt;10,0,"")&amp;DAY(Variables!$A$2)</f>
        <v>-12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" s="30" t="e">
        <f>VLOOKUP(B7,'Train Runs'!$A$13:$A$99926,1,FALSE)</f>
        <v>#N/A</v>
      </c>
    </row>
    <row r="8" spans="1:10" x14ac:dyDescent="0.25">
      <c r="A8" s="190"/>
      <c r="B8" s="42" t="str">
        <f>A8&amp;"-"&amp;IF(DAY(Variables!$A$2)&lt;10,0,"")&amp;DAY(Variables!$A$2)</f>
        <v>-12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ref="I8:I49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" s="30" t="e">
        <f>VLOOKUP(B8,'Train Runs'!$A$13:$A$99926,1,FALSE)</f>
        <v>#N/A</v>
      </c>
    </row>
    <row r="9" spans="1:10" x14ac:dyDescent="0.25">
      <c r="A9" s="190"/>
      <c r="B9" s="42" t="str">
        <f>A9&amp;"-"&amp;IF(DAY(Variables!$A$2)&lt;10,0,"")&amp;DAY(Variables!$A$2)</f>
        <v>-12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9" s="30" t="e">
        <f>VLOOKUP(B9,'Train Runs'!$A$13:$A$99926,1,FALSE)</f>
        <v>#N/A</v>
      </c>
    </row>
    <row r="10" spans="1:10" x14ac:dyDescent="0.25">
      <c r="A10" s="190"/>
      <c r="B10" s="42" t="str">
        <f>A10&amp;"-"&amp;IF(DAY(Variables!$A$2)&lt;10,0,"")&amp;DAY(Variables!$A$2)</f>
        <v>-12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0" s="30" t="e">
        <f>VLOOKUP(B10,'Train Runs'!$A$13:$A$99926,1,FALSE)</f>
        <v>#N/A</v>
      </c>
    </row>
    <row r="11" spans="1:10" x14ac:dyDescent="0.25">
      <c r="A11" s="190"/>
      <c r="B11" s="42" t="str">
        <f>A11&amp;"-"&amp;IF(DAY(Variables!$A$2)&lt;10,0,"")&amp;DAY(Variables!$A$2)</f>
        <v>-12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1" s="30" t="e">
        <f>VLOOKUP(B11,'Train Runs'!$A$13:$A$99926,1,FALSE)</f>
        <v>#N/A</v>
      </c>
    </row>
    <row r="12" spans="1:10" x14ac:dyDescent="0.25">
      <c r="A12" s="190"/>
      <c r="B12" s="42" t="str">
        <f>A12&amp;"-"&amp;IF(DAY(Variables!$A$2)&lt;10,0,"")&amp;DAY(Variables!$A$2)</f>
        <v>-12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2" s="30" t="e">
        <f>VLOOKUP(B12,'Train Runs'!$A$13:$A$99926,1,FALSE)</f>
        <v>#N/A</v>
      </c>
    </row>
    <row r="13" spans="1:10" x14ac:dyDescent="0.25">
      <c r="A13" s="190"/>
      <c r="B13" s="42" t="str">
        <f>A13&amp;"-"&amp;IF(DAY(Variables!$A$2)&lt;10,0,"")&amp;DAY(Variables!$A$2)</f>
        <v>-12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3" s="30" t="e">
        <f>VLOOKUP(B13,'Train Runs'!$A$13:$A$99926,1,FALSE)</f>
        <v>#N/A</v>
      </c>
    </row>
    <row r="14" spans="1:10" x14ac:dyDescent="0.25">
      <c r="A14" s="190"/>
      <c r="B14" s="42" t="str">
        <f>A14&amp;"-"&amp;IF(DAY(Variables!$A$2)&lt;10,0,"")&amp;DAY(Variables!$A$2)</f>
        <v>-12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4" s="30" t="e">
        <f>VLOOKUP(B14,'Train Runs'!$A$13:$A$99926,1,FALSE)</f>
        <v>#N/A</v>
      </c>
    </row>
    <row r="15" spans="1:10" x14ac:dyDescent="0.25">
      <c r="A15" s="190"/>
      <c r="B15" s="42" t="str">
        <f>A15&amp;"-"&amp;IF(DAY(Variables!$A$2)&lt;10,0,"")&amp;DAY(Variables!$A$2)</f>
        <v>-12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5" s="30" t="e">
        <f>VLOOKUP(B15,'Train Runs'!$A$13:$A$99926,1,FALSE)</f>
        <v>#N/A</v>
      </c>
    </row>
    <row r="16" spans="1:10" x14ac:dyDescent="0.25">
      <c r="A16" s="190"/>
      <c r="B16" s="42" t="str">
        <f>A16&amp;"-"&amp;IF(DAY(Variables!$A$2)&lt;10,0,"")&amp;DAY(Variables!$A$2)</f>
        <v>-12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6" s="30" t="e">
        <f>VLOOKUP(B16,'Train Runs'!$A$13:$A$99926,1,FALSE)</f>
        <v>#N/A</v>
      </c>
    </row>
    <row r="17" spans="1:10" x14ac:dyDescent="0.25">
      <c r="A17" s="190"/>
      <c r="B17" s="42" t="str">
        <f>A17&amp;"-"&amp;IF(DAY(Variables!$A$2)&lt;10,0,"")&amp;DAY(Variables!$A$2)</f>
        <v>-12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7" s="30" t="e">
        <f>VLOOKUP(B17,'Train Runs'!$A$13:$A$99926,1,FALSE)</f>
        <v>#N/A</v>
      </c>
    </row>
    <row r="18" spans="1:10" x14ac:dyDescent="0.25">
      <c r="A18" s="190"/>
      <c r="B18" s="42" t="str">
        <f>A18&amp;"-"&amp;IF(DAY(Variables!$A$2)&lt;10,0,"")&amp;DAY(Variables!$A$2)</f>
        <v>-12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8" s="30" t="e">
        <f>VLOOKUP(B18,'Train Runs'!$A$13:$A$99926,1,FALSE)</f>
        <v>#N/A</v>
      </c>
    </row>
    <row r="19" spans="1:10" x14ac:dyDescent="0.25">
      <c r="A19" s="190"/>
      <c r="B19" s="42" t="str">
        <f>A19&amp;"-"&amp;IF(DAY(Variables!$A$2)&lt;10,0,"")&amp;DAY(Variables!$A$2)</f>
        <v>-12</v>
      </c>
      <c r="C19" s="138"/>
      <c r="D19" s="156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9" s="30" t="e">
        <f>VLOOKUP(B19,'Train Runs'!$A$13:$A$99926,1,FALSE)</f>
        <v>#N/A</v>
      </c>
    </row>
    <row r="20" spans="1:10" x14ac:dyDescent="0.25">
      <c r="A20" s="190"/>
      <c r="B20" s="42" t="str">
        <f>A20&amp;"-"&amp;IF(DAY(Variables!$A$2)&lt;10,0,"")&amp;DAY(Variables!$A$2)</f>
        <v>-12</v>
      </c>
      <c r="C20" s="138"/>
      <c r="D20" s="156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0" s="30" t="e">
        <f>VLOOKUP(B20,'Train Runs'!$A$13:$A$99926,1,FALSE)</f>
        <v>#N/A</v>
      </c>
    </row>
    <row r="21" spans="1:10" x14ac:dyDescent="0.25">
      <c r="A21" s="190"/>
      <c r="B21" s="42" t="str">
        <f>A21&amp;"-"&amp;IF(DAY(Variables!$A$2)&lt;10,0,"")&amp;DAY(Variables!$A$2)</f>
        <v>-12</v>
      </c>
      <c r="C21" s="138"/>
      <c r="D21" s="156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1" s="30" t="e">
        <f>VLOOKUP(B21,'Train Runs'!$A$13:$A$99926,1,FALSE)</f>
        <v>#N/A</v>
      </c>
    </row>
    <row r="22" spans="1:10" x14ac:dyDescent="0.25">
      <c r="A22" s="190"/>
      <c r="B22" s="42" t="str">
        <f>A22&amp;"-"&amp;IF(DAY(Variables!$A$2)&lt;10,0,"")&amp;DAY(Variables!$A$2)</f>
        <v>-12</v>
      </c>
      <c r="C22" s="138"/>
      <c r="D22" s="156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2" s="30" t="e">
        <f>VLOOKUP(B22,'Train Runs'!$A$13:$A$99926,1,FALSE)</f>
        <v>#N/A</v>
      </c>
    </row>
    <row r="23" spans="1:10" x14ac:dyDescent="0.25">
      <c r="A23" s="190"/>
      <c r="B23" s="42" t="str">
        <f>A23&amp;"-"&amp;IF(DAY(Variables!$A$2)&lt;10,0,"")&amp;DAY(Variables!$A$2)</f>
        <v>-12</v>
      </c>
      <c r="C23" s="138"/>
      <c r="D23" s="156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3" s="30" t="e">
        <f>VLOOKUP(B23,'Train Runs'!$A$13:$A$99926,1,FALSE)</f>
        <v>#N/A</v>
      </c>
    </row>
    <row r="24" spans="1:10" x14ac:dyDescent="0.25">
      <c r="A24" s="190"/>
      <c r="B24" s="42" t="str">
        <f>A24&amp;"-"&amp;IF(DAY(Variables!$A$2)&lt;10,0,"")&amp;DAY(Variables!$A$2)</f>
        <v>-12</v>
      </c>
      <c r="C24" s="138"/>
      <c r="D24" s="156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4" s="30" t="e">
        <f>VLOOKUP(B24,'Train Runs'!$A$13:$A$99926,1,FALSE)</f>
        <v>#N/A</v>
      </c>
    </row>
    <row r="25" spans="1:10" x14ac:dyDescent="0.25">
      <c r="A25" s="190"/>
      <c r="B25" s="42" t="str">
        <f>A25&amp;"-"&amp;IF(DAY(Variables!$A$2)&lt;10,0,"")&amp;DAY(Variables!$A$2)</f>
        <v>-12</v>
      </c>
      <c r="C25" s="138"/>
      <c r="D25" s="156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5" s="30" t="e">
        <f>VLOOKUP(B25,'Train Runs'!$A$13:$A$99926,1,FALSE)</f>
        <v>#N/A</v>
      </c>
    </row>
    <row r="26" spans="1:10" x14ac:dyDescent="0.25">
      <c r="A26" s="190"/>
      <c r="B26" s="42" t="str">
        <f>A26&amp;"-"&amp;IF(DAY(Variables!$A$2)&lt;10,0,"")&amp;DAY(Variables!$A$2)</f>
        <v>-12</v>
      </c>
      <c r="C26" s="138"/>
      <c r="D26" s="156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6" s="30" t="e">
        <f>VLOOKUP(B26,'Train Runs'!$A$13:$A$99926,1,FALSE)</f>
        <v>#N/A</v>
      </c>
    </row>
    <row r="27" spans="1:10" x14ac:dyDescent="0.25">
      <c r="A27" s="190"/>
      <c r="B27" s="42" t="str">
        <f>A27&amp;"-"&amp;IF(DAY(Variables!$A$2)&lt;10,0,"")&amp;DAY(Variables!$A$2)</f>
        <v>-12</v>
      </c>
      <c r="C27" s="138"/>
      <c r="D27" s="156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7" s="30" t="e">
        <f>VLOOKUP(B27,'Train Runs'!$A$13:$A$99926,1,FALSE)</f>
        <v>#N/A</v>
      </c>
    </row>
    <row r="28" spans="1:10" x14ac:dyDescent="0.25">
      <c r="A28" s="190"/>
      <c r="B28" s="42" t="str">
        <f>A28&amp;"-"&amp;IF(DAY(Variables!$A$2)&lt;10,0,"")&amp;DAY(Variables!$A$2)</f>
        <v>-12</v>
      </c>
      <c r="C28" s="138"/>
      <c r="D28" s="156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8" s="30" t="e">
        <f>VLOOKUP(B28,'Train Runs'!$A$13:$A$99926,1,FALSE)</f>
        <v>#N/A</v>
      </c>
    </row>
    <row r="29" spans="1:10" x14ac:dyDescent="0.25">
      <c r="A29" s="190"/>
      <c r="B29" s="42" t="str">
        <f>A29&amp;"-"&amp;IF(DAY(Variables!$A$2)&lt;10,0,"")&amp;DAY(Variables!$A$2)</f>
        <v>-12</v>
      </c>
      <c r="C29" s="138"/>
      <c r="D29" s="156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9" s="30" t="e">
        <f>VLOOKUP(B29,'Train Runs'!$A$13:$A$99926,1,FALSE)</f>
        <v>#N/A</v>
      </c>
    </row>
    <row r="30" spans="1:10" x14ac:dyDescent="0.25">
      <c r="A30" s="190"/>
      <c r="B30" s="42" t="str">
        <f>A30&amp;"-"&amp;IF(DAY(Variables!$A$2)&lt;10,0,"")&amp;DAY(Variables!$A$2)</f>
        <v>-12</v>
      </c>
      <c r="C30" s="138"/>
      <c r="D30" s="156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0" s="30" t="e">
        <f>VLOOKUP(B30,'Train Runs'!$A$13:$A$99926,1,FALSE)</f>
        <v>#N/A</v>
      </c>
    </row>
    <row r="31" spans="1:10" x14ac:dyDescent="0.25">
      <c r="A31" s="190"/>
      <c r="B31" s="42" t="str">
        <f>A31&amp;"-"&amp;IF(DAY(Variables!$A$2)&lt;10,0,"")&amp;DAY(Variables!$A$2)</f>
        <v>-12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1" s="30" t="e">
        <f>VLOOKUP(B31,'Train Runs'!$A$13:$A$99926,1,FALSE)</f>
        <v>#N/A</v>
      </c>
    </row>
    <row r="32" spans="1:10" x14ac:dyDescent="0.25">
      <c r="A32" s="190"/>
      <c r="B32" s="42" t="str">
        <f>A32&amp;"-"&amp;IF(DAY(Variables!$A$2)&lt;10,0,"")&amp;DAY(Variables!$A$2)</f>
        <v>-12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2" s="30" t="e">
        <f>VLOOKUP(B32,'Train Runs'!$A$13:$A$99926,1,FALSE)</f>
        <v>#N/A</v>
      </c>
    </row>
    <row r="33" spans="1:10" x14ac:dyDescent="0.25">
      <c r="A33" s="190"/>
      <c r="B33" s="42" t="str">
        <f>A33&amp;"-"&amp;IF(DAY(Variables!$A$2)&lt;10,0,"")&amp;DAY(Variables!$A$2)</f>
        <v>-12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3" s="30" t="e">
        <f>VLOOKUP(B33,'Train Runs'!$A$13:$A$99926,1,FALSE)</f>
        <v>#N/A</v>
      </c>
    </row>
    <row r="34" spans="1:10" x14ac:dyDescent="0.25">
      <c r="A34" s="190"/>
      <c r="B34" s="42" t="str">
        <f>A34&amp;"-"&amp;IF(DAY(Variables!$A$2)&lt;10,0,"")&amp;DAY(Variables!$A$2)</f>
        <v>-12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4" s="30" t="e">
        <f>VLOOKUP(B34,'Train Runs'!$A$13:$A$99926,1,FALSE)</f>
        <v>#N/A</v>
      </c>
    </row>
    <row r="35" spans="1:10" x14ac:dyDescent="0.25">
      <c r="A35" s="190"/>
      <c r="B35" s="42" t="str">
        <f>A35&amp;"-"&amp;IF(DAY(Variables!$A$2)&lt;10,0,"")&amp;DAY(Variables!$A$2)</f>
        <v>-12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5" s="30" t="e">
        <f>VLOOKUP(B35,'Train Runs'!$A$13:$A$99926,1,FALSE)</f>
        <v>#N/A</v>
      </c>
    </row>
    <row r="36" spans="1:10" x14ac:dyDescent="0.25">
      <c r="A36" s="190"/>
      <c r="B36" s="42" t="str">
        <f>A36&amp;"-"&amp;IF(DAY(Variables!$A$2)&lt;10,0,"")&amp;DAY(Variables!$A$2)</f>
        <v>-12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6" s="30" t="e">
        <f>VLOOKUP(B36,'Train Runs'!$A$13:$A$99926,1,FALSE)</f>
        <v>#N/A</v>
      </c>
    </row>
    <row r="37" spans="1:10" x14ac:dyDescent="0.25">
      <c r="A37" s="190"/>
      <c r="B37" s="42" t="str">
        <f>A37&amp;"-"&amp;IF(DAY(Variables!$A$2)&lt;10,0,"")&amp;DAY(Variables!$A$2)</f>
        <v>-12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7" s="30" t="e">
        <f>VLOOKUP(B37,'Train Runs'!$A$13:$A$99926,1,FALSE)</f>
        <v>#N/A</v>
      </c>
    </row>
    <row r="38" spans="1:10" x14ac:dyDescent="0.25">
      <c r="A38" s="190"/>
      <c r="B38" s="42" t="str">
        <f>A38&amp;"-"&amp;IF(DAY(Variables!$A$2)&lt;10,0,"")&amp;DAY(Variables!$A$2)</f>
        <v>-12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8" s="30" t="e">
        <f>VLOOKUP(B38,'Train Runs'!$A$13:$A$99926,1,FALSE)</f>
        <v>#N/A</v>
      </c>
    </row>
    <row r="39" spans="1:10" x14ac:dyDescent="0.25">
      <c r="A39" s="190"/>
      <c r="B39" s="42" t="str">
        <f>A39&amp;"-"&amp;IF(DAY(Variables!$A$2)&lt;10,0,"")&amp;DAY(Variables!$A$2)</f>
        <v>-12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9" s="30" t="e">
        <f>VLOOKUP(B39,'Train Runs'!$A$13:$A$99926,1,FALSE)</f>
        <v>#N/A</v>
      </c>
    </row>
    <row r="40" spans="1:10" x14ac:dyDescent="0.25">
      <c r="A40" s="190"/>
      <c r="B40" s="42" t="str">
        <f>A40&amp;"-"&amp;IF(DAY(Variables!$A$2)&lt;10,0,"")&amp;DAY(Variables!$A$2)</f>
        <v>-12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0" s="30" t="e">
        <f>VLOOKUP(B40,'Train Runs'!$A$13:$A$99926,1,FALSE)</f>
        <v>#N/A</v>
      </c>
    </row>
    <row r="41" spans="1:10" x14ac:dyDescent="0.25">
      <c r="A41" s="190"/>
      <c r="B41" s="42" t="str">
        <f>A41&amp;"-"&amp;IF(DAY(Variables!$A$2)&lt;10,0,"")&amp;DAY(Variables!$A$2)</f>
        <v>-12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1" s="30" t="e">
        <f>VLOOKUP(B41,'Train Runs'!$A$13:$A$99926,1,FALSE)</f>
        <v>#N/A</v>
      </c>
    </row>
    <row r="42" spans="1:10" x14ac:dyDescent="0.25">
      <c r="A42" s="190"/>
      <c r="B42" s="42" t="str">
        <f>A42&amp;"-"&amp;IF(DAY(Variables!$A$2)&lt;10,0,"")&amp;DAY(Variables!$A$2)</f>
        <v>-12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2" s="30" t="e">
        <f>VLOOKUP(B42,'Train Runs'!$A$13:$A$99926,1,FALSE)</f>
        <v>#N/A</v>
      </c>
    </row>
    <row r="43" spans="1:10" x14ac:dyDescent="0.25">
      <c r="A43" s="190"/>
      <c r="B43" s="42" t="str">
        <f>A43&amp;"-"&amp;IF(DAY(Variables!$A$2)&lt;10,0,"")&amp;DAY(Variables!$A$2)</f>
        <v>-12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3" s="30" t="e">
        <f>VLOOKUP(B43,'Train Runs'!$A$13:$A$99926,1,FALSE)</f>
        <v>#N/A</v>
      </c>
    </row>
    <row r="44" spans="1:10" x14ac:dyDescent="0.25">
      <c r="A44" s="190"/>
      <c r="B44" s="42" t="str">
        <f>A44&amp;"-"&amp;IF(DAY(Variables!$A$2)&lt;10,0,"")&amp;DAY(Variables!$A$2)</f>
        <v>-12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4" s="30" t="e">
        <f>VLOOKUP(B44,'Train Runs'!$A$13:$A$99926,1,FALSE)</f>
        <v>#N/A</v>
      </c>
    </row>
    <row r="45" spans="1:10" x14ac:dyDescent="0.25">
      <c r="A45" s="190"/>
      <c r="B45" s="42" t="str">
        <f>A45&amp;"-"&amp;IF(DAY(Variables!$A$2)&lt;10,0,"")&amp;DAY(Variables!$A$2)</f>
        <v>-12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5" s="30" t="e">
        <f>VLOOKUP(B45,'Train Runs'!$A$13:$A$99926,1,FALSE)</f>
        <v>#N/A</v>
      </c>
    </row>
    <row r="46" spans="1:10" x14ac:dyDescent="0.25">
      <c r="A46" s="190"/>
      <c r="B46" s="42" t="str">
        <f>A46&amp;"-"&amp;IF(DAY(Variables!$A$2)&lt;10,0,"")&amp;DAY(Variables!$A$2)</f>
        <v>-12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6" s="30" t="e">
        <f>VLOOKUP(B46,'Train Runs'!$A$13:$A$99926,1,FALSE)</f>
        <v>#N/A</v>
      </c>
    </row>
    <row r="47" spans="1:10" x14ac:dyDescent="0.25">
      <c r="A47" s="190"/>
      <c r="B47" s="42" t="str">
        <f>A47&amp;"-"&amp;IF(DAY(Variables!$A$2)&lt;10,0,"")&amp;DAY(Variables!$A$2)</f>
        <v>-12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7" s="30" t="e">
        <f>VLOOKUP(B47,'Train Runs'!$A$13:$A$99926,1,FALSE)</f>
        <v>#N/A</v>
      </c>
    </row>
    <row r="48" spans="1:10" x14ac:dyDescent="0.25">
      <c r="A48" s="190"/>
      <c r="B48" s="42" t="str">
        <f>A48&amp;"-"&amp;IF(DAY(Variables!$A$2)&lt;10,0,"")&amp;DAY(Variables!$A$2)</f>
        <v>-12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8" s="30" t="e">
        <f>VLOOKUP(B48,'Train Runs'!$A$13:$A$99926,1,FALSE)</f>
        <v>#N/A</v>
      </c>
    </row>
    <row r="49" spans="1:10" x14ac:dyDescent="0.25">
      <c r="A49" s="190"/>
      <c r="B49" s="42" t="str">
        <f>A49&amp;"-"&amp;IF(DAY(Variables!$A$2)&lt;10,0,"")&amp;DAY(Variables!$A$2)</f>
        <v>-12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9" s="30" t="e">
        <f>VLOOKUP(B49,'Train Runs'!$A$13:$A$99926,1,FALSE)</f>
        <v>#N/A</v>
      </c>
    </row>
    <row r="50" spans="1:10" x14ac:dyDescent="0.25">
      <c r="A50" s="190"/>
      <c r="B50" s="42" t="str">
        <f>A50&amp;"-"&amp;IF(DAY(Variables!$A$2)&lt;10,0,"")&amp;DAY(Variables!$A$2)</f>
        <v>-12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ref="I50:I70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0" s="30" t="e">
        <f>VLOOKUP(B50,'Train Runs'!$A$13:$A$99926,1,FALSE)</f>
        <v>#N/A</v>
      </c>
    </row>
    <row r="51" spans="1:10" x14ac:dyDescent="0.25">
      <c r="A51" s="190"/>
      <c r="B51" s="42" t="str">
        <f>A51&amp;"-"&amp;IF(DAY(Variables!$A$2)&lt;10,0,"")&amp;DAY(Variables!$A$2)</f>
        <v>-12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1" s="30" t="e">
        <f>VLOOKUP(B51,'Train Runs'!$A$13:$A$99926,1,FALSE)</f>
        <v>#N/A</v>
      </c>
    </row>
    <row r="52" spans="1:10" x14ac:dyDescent="0.25">
      <c r="A52" s="190"/>
      <c r="B52" s="42" t="str">
        <f>A52&amp;"-"&amp;IF(DAY(Variables!$A$2)&lt;10,0,"")&amp;DAY(Variables!$A$2)</f>
        <v>-12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2" s="30" t="e">
        <f>VLOOKUP(B52,'Train Runs'!$A$13:$A$99926,1,FALSE)</f>
        <v>#N/A</v>
      </c>
    </row>
    <row r="53" spans="1:10" x14ac:dyDescent="0.25">
      <c r="A53" s="190"/>
      <c r="B53" s="42" t="str">
        <f>A53&amp;"-"&amp;IF(DAY(Variables!$A$2)&lt;10,0,"")&amp;DAY(Variables!$A$2)</f>
        <v>-12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3" s="30" t="e">
        <f>VLOOKUP(B53,'Train Runs'!$A$13:$A$99926,1,FALSE)</f>
        <v>#N/A</v>
      </c>
    </row>
    <row r="54" spans="1:10" x14ac:dyDescent="0.25">
      <c r="A54" s="190"/>
      <c r="B54" s="42" t="str">
        <f>A54&amp;"-"&amp;IF(DAY(Variables!$A$2)&lt;10,0,"")&amp;DAY(Variables!$A$2)</f>
        <v>-12</v>
      </c>
      <c r="C54" s="138"/>
      <c r="D54" s="156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4" s="30" t="e">
        <f>VLOOKUP(B54,'Train Runs'!$A$13:$A$99926,1,FALSE)</f>
        <v>#N/A</v>
      </c>
    </row>
    <row r="55" spans="1:10" x14ac:dyDescent="0.25">
      <c r="A55" s="190"/>
      <c r="B55" s="42" t="str">
        <f>A55&amp;"-"&amp;IF(DAY(Variables!$A$2)&lt;10,0,"")&amp;DAY(Variables!$A$2)</f>
        <v>-12</v>
      </c>
      <c r="C55" s="138"/>
      <c r="D55" s="156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5" s="30" t="e">
        <f>VLOOKUP(B55,'Train Runs'!$A$13:$A$99926,1,FALSE)</f>
        <v>#N/A</v>
      </c>
    </row>
    <row r="56" spans="1:10" x14ac:dyDescent="0.25">
      <c r="A56" s="190"/>
      <c r="B56" s="42" t="str">
        <f>A56&amp;"-"&amp;IF(DAY(Variables!$A$2)&lt;10,0,"")&amp;DAY(Variables!$A$2)</f>
        <v>-12</v>
      </c>
      <c r="C56" s="138"/>
      <c r="D56" s="156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6" s="30" t="e">
        <f>VLOOKUP(B56,'Train Runs'!$A$13:$A$99926,1,FALSE)</f>
        <v>#N/A</v>
      </c>
    </row>
    <row r="57" spans="1:10" x14ac:dyDescent="0.25">
      <c r="A57" s="190"/>
      <c r="B57" s="42" t="str">
        <f>A57&amp;"-"&amp;IF(DAY(Variables!$A$2)&lt;10,0,"")&amp;DAY(Variables!$A$2)</f>
        <v>-12</v>
      </c>
      <c r="C57" s="138"/>
      <c r="D57" s="156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7" s="30" t="e">
        <f>VLOOKUP(B57,'Train Runs'!$A$13:$A$99926,1,FALSE)</f>
        <v>#N/A</v>
      </c>
    </row>
    <row r="58" spans="1:10" x14ac:dyDescent="0.25">
      <c r="A58" s="190"/>
      <c r="B58" s="42" t="str">
        <f>A58&amp;"-"&amp;IF(DAY(Variables!$A$2)&lt;10,0,"")&amp;DAY(Variables!$A$2)</f>
        <v>-12</v>
      </c>
      <c r="C58" s="138"/>
      <c r="D58" s="156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8" s="30" t="e">
        <f>VLOOKUP(B58,'Train Runs'!$A$13:$A$99926,1,FALSE)</f>
        <v>#N/A</v>
      </c>
    </row>
    <row r="59" spans="1:10" x14ac:dyDescent="0.25">
      <c r="A59" s="190"/>
      <c r="B59" s="42" t="str">
        <f>A59&amp;"-"&amp;IF(DAY(Variables!$A$2)&lt;10,0,"")&amp;DAY(Variables!$A$2)</f>
        <v>-12</v>
      </c>
      <c r="C59" s="138"/>
      <c r="D59" s="156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9" s="30" t="e">
        <f>VLOOKUP(B59,'Train Runs'!$A$13:$A$99926,1,FALSE)</f>
        <v>#N/A</v>
      </c>
    </row>
    <row r="60" spans="1:10" x14ac:dyDescent="0.25">
      <c r="A60" s="190"/>
      <c r="B60" s="42" t="str">
        <f>A60&amp;"-"&amp;IF(DAY(Variables!$A$2)&lt;10,0,"")&amp;DAY(Variables!$A$2)</f>
        <v>-12</v>
      </c>
      <c r="C60" s="138"/>
      <c r="D60" s="156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0" s="30" t="e">
        <f>VLOOKUP(B60,'Train Runs'!$A$13:$A$99926,1,FALSE)</f>
        <v>#N/A</v>
      </c>
    </row>
    <row r="61" spans="1:10" x14ac:dyDescent="0.25">
      <c r="A61" s="190"/>
      <c r="B61" s="42" t="str">
        <f>A61&amp;"-"&amp;IF(DAY(Variables!$A$2)&lt;10,0,"")&amp;DAY(Variables!$A$2)</f>
        <v>-12</v>
      </c>
      <c r="C61" s="138"/>
      <c r="D61" s="156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1" s="30" t="e">
        <f>VLOOKUP(B61,'Train Runs'!$A$13:$A$99926,1,FALSE)</f>
        <v>#N/A</v>
      </c>
    </row>
    <row r="62" spans="1:10" x14ac:dyDescent="0.25">
      <c r="A62" s="190"/>
      <c r="B62" s="42" t="str">
        <f>A62&amp;"-"&amp;IF(DAY(Variables!$A$2)&lt;10,0,"")&amp;DAY(Variables!$A$2)</f>
        <v>-12</v>
      </c>
      <c r="C62" s="138"/>
      <c r="D62" s="156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2" s="30" t="e">
        <f>VLOOKUP(B62,'Train Runs'!$A$13:$A$99926,1,FALSE)</f>
        <v>#N/A</v>
      </c>
    </row>
    <row r="63" spans="1:10" x14ac:dyDescent="0.25">
      <c r="A63" s="190"/>
      <c r="B63" s="42" t="str">
        <f>A63&amp;"-"&amp;IF(DAY(Variables!$A$2)&lt;10,0,"")&amp;DAY(Variables!$A$2)</f>
        <v>-12</v>
      </c>
      <c r="C63" s="138"/>
      <c r="D63" s="156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3" s="30" t="e">
        <f>VLOOKUP(B63,'Train Runs'!$A$13:$A$99926,1,FALSE)</f>
        <v>#N/A</v>
      </c>
    </row>
    <row r="64" spans="1:10" x14ac:dyDescent="0.25">
      <c r="A64" s="190"/>
      <c r="B64" s="42" t="str">
        <f>A64&amp;"-"&amp;IF(DAY(Variables!$A$2)&lt;10,0,"")&amp;DAY(Variables!$A$2)</f>
        <v>-12</v>
      </c>
      <c r="C64" s="138"/>
      <c r="D64" s="156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4" s="30" t="e">
        <f>VLOOKUP(B64,'Train Runs'!$A$13:$A$99926,1,FALSE)</f>
        <v>#N/A</v>
      </c>
    </row>
    <row r="65" spans="1:10" x14ac:dyDescent="0.25">
      <c r="A65" s="190"/>
      <c r="B65" s="42" t="str">
        <f>A65&amp;"-"&amp;IF(DAY(Variables!$A$2)&lt;10,0,"")&amp;DAY(Variables!$A$2)</f>
        <v>-12</v>
      </c>
      <c r="C65" s="138"/>
      <c r="D65" s="156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5" s="30" t="e">
        <f>VLOOKUP(B65,'Train Runs'!$A$13:$A$99926,1,FALSE)</f>
        <v>#N/A</v>
      </c>
    </row>
    <row r="66" spans="1:10" x14ac:dyDescent="0.25">
      <c r="A66" s="190"/>
      <c r="B66" s="42" t="str">
        <f>A66&amp;"-"&amp;IF(DAY(Variables!$A$2)&lt;10,0,"")&amp;DAY(Variables!$A$2)</f>
        <v>-12</v>
      </c>
      <c r="C66" s="138"/>
      <c r="D66" s="156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6" s="30" t="e">
        <f>VLOOKUP(B66,'Train Runs'!$A$13:$A$99926,1,FALSE)</f>
        <v>#N/A</v>
      </c>
    </row>
    <row r="67" spans="1:10" x14ac:dyDescent="0.25">
      <c r="A67" s="190"/>
      <c r="B67" s="42" t="str">
        <f>A67&amp;"-"&amp;IF(DAY(Variables!$A$2)&lt;10,0,"")&amp;DAY(Variables!$A$2)</f>
        <v>-12</v>
      </c>
      <c r="C67" s="138"/>
      <c r="D67" s="156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7" s="30" t="e">
        <f>VLOOKUP(B67,'Train Runs'!$A$13:$A$99926,1,FALSE)</f>
        <v>#N/A</v>
      </c>
    </row>
    <row r="68" spans="1:10" x14ac:dyDescent="0.25">
      <c r="A68" s="190"/>
      <c r="B68" s="42" t="str">
        <f>A68&amp;"-"&amp;IF(DAY(Variables!$A$2)&lt;10,0,"")&amp;DAY(Variables!$A$2)</f>
        <v>-12</v>
      </c>
      <c r="C68" s="138"/>
      <c r="D68" s="156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8" s="30" t="e">
        <f>VLOOKUP(B68,'Train Runs'!$A$13:$A$99926,1,FALSE)</f>
        <v>#N/A</v>
      </c>
    </row>
    <row r="69" spans="1:10" x14ac:dyDescent="0.25">
      <c r="A69" s="190"/>
      <c r="B69" s="42" t="str">
        <f>A69&amp;"-"&amp;IF(DAY(Variables!$A$2)&lt;10,0,"")&amp;DAY(Variables!$A$2)</f>
        <v>-12</v>
      </c>
      <c r="C69" s="138"/>
      <c r="D69" s="156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9" s="30" t="e">
        <f>VLOOKUP(B69,'Train Runs'!$A$13:$A$99926,1,FALSE)</f>
        <v>#N/A</v>
      </c>
    </row>
    <row r="70" spans="1:10" x14ac:dyDescent="0.25">
      <c r="A70" s="190"/>
      <c r="B70" s="42" t="str">
        <f>A70&amp;"-"&amp;IF(DAY(Variables!$A$2)&lt;10,0,"")&amp;DAY(Variables!$A$2)</f>
        <v>-12</v>
      </c>
      <c r="C70" s="138"/>
      <c r="D70" s="156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0" s="30" t="e">
        <f>VLOOKUP(B70,'Train Runs'!$A$13:$A$99926,1,FALSE)</f>
        <v>#N/A</v>
      </c>
    </row>
    <row r="71" spans="1:10" x14ac:dyDescent="0.25">
      <c r="A71" s="190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190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190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190"/>
      <c r="B74" s="42"/>
      <c r="C74" s="138"/>
      <c r="D74" s="156"/>
      <c r="E74" s="30"/>
      <c r="F74" s="21"/>
      <c r="G74" s="21"/>
      <c r="H74" s="29"/>
      <c r="I74" s="45"/>
      <c r="J74" s="30"/>
    </row>
    <row r="75" spans="1:10" x14ac:dyDescent="0.25">
      <c r="A75" s="190"/>
      <c r="B75" s="42"/>
      <c r="C75" s="138"/>
      <c r="D75" s="156"/>
      <c r="E75" s="30"/>
      <c r="F75" s="21"/>
      <c r="G75" s="21"/>
      <c r="H75" s="29"/>
      <c r="I75" s="45"/>
      <c r="J75" s="30"/>
    </row>
    <row r="76" spans="1:10" x14ac:dyDescent="0.25">
      <c r="A76" s="190"/>
      <c r="B76" s="42"/>
      <c r="C76" s="138"/>
      <c r="D76" s="156"/>
      <c r="E76" s="30"/>
      <c r="F76" s="21"/>
      <c r="G76" s="21"/>
      <c r="H76" s="29"/>
      <c r="I76" s="45"/>
      <c r="J76" s="30"/>
    </row>
    <row r="77" spans="1:10" x14ac:dyDescent="0.25">
      <c r="A77" s="190"/>
      <c r="B77" s="42"/>
      <c r="C77" s="138"/>
      <c r="D77" s="156"/>
      <c r="E77" s="30"/>
      <c r="F77" s="21"/>
      <c r="G77" s="21"/>
      <c r="H77" s="29"/>
      <c r="I77" s="45"/>
      <c r="J77" s="30"/>
    </row>
    <row r="78" spans="1:10" x14ac:dyDescent="0.25">
      <c r="A78" s="190"/>
      <c r="B78" s="42"/>
      <c r="C78" s="138"/>
      <c r="D78" s="156"/>
      <c r="E78" s="30"/>
      <c r="F78" s="21"/>
      <c r="G78" s="21"/>
      <c r="H78" s="29"/>
      <c r="I78" s="45"/>
      <c r="J78" s="30"/>
    </row>
    <row r="79" spans="1:10" x14ac:dyDescent="0.25">
      <c r="A79" s="190"/>
      <c r="B79" s="42"/>
      <c r="C79" s="138"/>
      <c r="D79" s="156"/>
      <c r="E79" s="30"/>
      <c r="F79" s="21"/>
      <c r="G79" s="21"/>
      <c r="H79" s="29"/>
      <c r="I79" s="45"/>
      <c r="J79" s="30"/>
    </row>
    <row r="80" spans="1:10" x14ac:dyDescent="0.25">
      <c r="A80" s="190"/>
      <c r="B80" s="42"/>
      <c r="C80" s="138"/>
      <c r="D80" s="156"/>
      <c r="E80" s="30"/>
      <c r="F80" s="21"/>
      <c r="G80" s="21"/>
      <c r="H80" s="29"/>
      <c r="I80" s="45"/>
      <c r="J80" s="30"/>
    </row>
    <row r="81" spans="1:10" x14ac:dyDescent="0.25">
      <c r="A81" s="190"/>
      <c r="B81" s="42"/>
      <c r="C81" s="138"/>
      <c r="D81" s="156"/>
      <c r="E81" s="30"/>
      <c r="F81" s="21"/>
      <c r="G81" s="21"/>
      <c r="H81" s="29"/>
      <c r="I81" s="45"/>
      <c r="J81" s="30"/>
    </row>
    <row r="82" spans="1:10" x14ac:dyDescent="0.25">
      <c r="A82" s="190"/>
      <c r="B82" s="42"/>
      <c r="C82" s="138"/>
      <c r="D82" s="156"/>
      <c r="E82" s="30"/>
      <c r="F82" s="21"/>
      <c r="G82" s="21"/>
      <c r="H82" s="29"/>
      <c r="I82" s="45"/>
      <c r="J82" s="30"/>
    </row>
    <row r="83" spans="1:10" x14ac:dyDescent="0.25">
      <c r="A83" s="190"/>
      <c r="B83" s="42"/>
      <c r="C83" s="138"/>
      <c r="D83" s="156"/>
      <c r="E83" s="30"/>
      <c r="F83" s="21"/>
      <c r="G83" s="21"/>
      <c r="H83" s="29"/>
      <c r="I83" s="45"/>
      <c r="J83" s="30"/>
    </row>
    <row r="84" spans="1:10" x14ac:dyDescent="0.25">
      <c r="A84" s="190"/>
      <c r="B84" s="42"/>
      <c r="C84" s="138"/>
      <c r="D84" s="156"/>
      <c r="E84" s="30"/>
      <c r="F84" s="21"/>
      <c r="G84" s="21"/>
      <c r="H84" s="29"/>
      <c r="I84" s="45"/>
      <c r="J84" s="30"/>
    </row>
    <row r="85" spans="1:10" x14ac:dyDescent="0.25">
      <c r="A85" s="190"/>
      <c r="B85" s="42"/>
      <c r="C85" s="138"/>
      <c r="D85" s="156"/>
      <c r="E85" s="30"/>
      <c r="F85" s="21"/>
      <c r="G85" s="21"/>
      <c r="H85" s="29"/>
      <c r="I85" s="45"/>
      <c r="J85" s="30"/>
    </row>
    <row r="86" spans="1:10" x14ac:dyDescent="0.25">
      <c r="A86" s="190"/>
      <c r="B86" s="42"/>
      <c r="C86" s="138"/>
      <c r="D86" s="156"/>
      <c r="E86" s="30"/>
      <c r="F86" s="21"/>
      <c r="G86" s="21"/>
      <c r="H86" s="29"/>
      <c r="I86" s="45"/>
      <c r="J86" s="30"/>
    </row>
    <row r="87" spans="1:10" x14ac:dyDescent="0.25">
      <c r="A87" s="190"/>
      <c r="B87" s="42"/>
      <c r="C87" s="138"/>
      <c r="D87" s="156"/>
      <c r="E87" s="30"/>
      <c r="F87" s="21"/>
      <c r="G87" s="21"/>
      <c r="H87" s="29"/>
      <c r="I87" s="45"/>
      <c r="J87" s="30"/>
    </row>
    <row r="88" spans="1:10" x14ac:dyDescent="0.25">
      <c r="A88" s="190"/>
      <c r="B88" s="42"/>
      <c r="C88" s="138"/>
      <c r="D88" s="156"/>
      <c r="E88" s="30"/>
      <c r="F88" s="21"/>
      <c r="G88" s="21"/>
      <c r="H88" s="29"/>
      <c r="I88" s="45"/>
      <c r="J88" s="30"/>
    </row>
    <row r="89" spans="1:10" x14ac:dyDescent="0.25">
      <c r="A89" s="190"/>
      <c r="B89" s="42"/>
      <c r="C89" s="138"/>
      <c r="D89" s="156"/>
      <c r="E89" s="30"/>
      <c r="F89" s="21"/>
      <c r="G89" s="21"/>
      <c r="H89" s="29"/>
      <c r="I89" s="45"/>
      <c r="J89" s="30"/>
    </row>
    <row r="90" spans="1:10" x14ac:dyDescent="0.25">
      <c r="A90" s="190"/>
      <c r="B90" s="42"/>
      <c r="C90" s="138"/>
      <c r="D90" s="156"/>
      <c r="E90" s="30"/>
      <c r="F90" s="21"/>
      <c r="G90" s="21"/>
      <c r="H90" s="29"/>
      <c r="I90" s="45"/>
      <c r="J90" s="30"/>
    </row>
    <row r="91" spans="1:10" x14ac:dyDescent="0.25">
      <c r="A91" s="190"/>
      <c r="B91" s="42"/>
      <c r="C91" s="138"/>
      <c r="D91" s="156"/>
      <c r="E91" s="30"/>
      <c r="F91" s="21"/>
      <c r="G91" s="21"/>
      <c r="H91" s="29"/>
      <c r="I91" s="45"/>
      <c r="J91" s="30"/>
    </row>
    <row r="92" spans="1:10" x14ac:dyDescent="0.25">
      <c r="A92" s="190"/>
      <c r="B92" s="42"/>
      <c r="C92" s="138"/>
      <c r="D92" s="156"/>
      <c r="E92" s="30"/>
      <c r="F92" s="21"/>
      <c r="G92" s="21"/>
      <c r="H92" s="29"/>
      <c r="I92" s="45"/>
      <c r="J92" s="30"/>
    </row>
    <row r="93" spans="1:10" x14ac:dyDescent="0.25">
      <c r="A93" s="190"/>
      <c r="B93" s="42"/>
      <c r="C93" s="138"/>
      <c r="D93" s="156"/>
      <c r="E93" s="30"/>
      <c r="F93" s="21"/>
      <c r="G93" s="21"/>
      <c r="H93" s="29"/>
      <c r="I93" s="45"/>
      <c r="J93" s="30"/>
    </row>
    <row r="94" spans="1:10" x14ac:dyDescent="0.25">
      <c r="A94" s="190"/>
      <c r="B94" s="42"/>
      <c r="C94" s="138"/>
      <c r="D94" s="156"/>
      <c r="E94" s="30"/>
      <c r="F94" s="21"/>
      <c r="G94" s="21"/>
      <c r="H94" s="29"/>
      <c r="I94" s="45"/>
      <c r="J94" s="30"/>
    </row>
    <row r="95" spans="1:10" x14ac:dyDescent="0.25">
      <c r="A95" s="190"/>
      <c r="B95" s="42"/>
      <c r="C95" s="138"/>
      <c r="D95" s="156"/>
      <c r="E95" s="30"/>
      <c r="F95" s="21"/>
      <c r="G95" s="21"/>
      <c r="H95" s="29"/>
      <c r="I95" s="45"/>
      <c r="J95" s="30"/>
    </row>
    <row r="96" spans="1:10" x14ac:dyDescent="0.25">
      <c r="A96" s="190"/>
      <c r="B96" s="42"/>
      <c r="C96" s="138"/>
      <c r="D96" s="156"/>
      <c r="E96" s="30"/>
      <c r="F96" s="21"/>
      <c r="G96" s="21"/>
      <c r="H96" s="29"/>
      <c r="I96" s="45"/>
      <c r="J96" s="30"/>
    </row>
    <row r="97" spans="1:10" x14ac:dyDescent="0.25">
      <c r="A97" s="190"/>
      <c r="B97" s="42"/>
      <c r="C97" s="138"/>
      <c r="D97" s="156"/>
      <c r="E97" s="30"/>
      <c r="F97" s="21"/>
      <c r="G97" s="21"/>
      <c r="H97" s="29"/>
      <c r="I97" s="45"/>
      <c r="J97" s="30"/>
    </row>
    <row r="98" spans="1:10" x14ac:dyDescent="0.25">
      <c r="A98" s="190"/>
      <c r="B98" s="42"/>
      <c r="C98" s="138"/>
      <c r="D98" s="156"/>
      <c r="E98" s="30"/>
      <c r="F98" s="21"/>
      <c r="G98" s="21"/>
      <c r="H98" s="29"/>
      <c r="I98" s="45"/>
      <c r="J98" s="30"/>
    </row>
    <row r="99" spans="1:10" x14ac:dyDescent="0.25">
      <c r="A99" s="190"/>
      <c r="B99" s="42"/>
      <c r="C99" s="138"/>
      <c r="D99" s="156"/>
      <c r="E99" s="30"/>
      <c r="F99" s="21"/>
      <c r="G99" s="21"/>
      <c r="H99" s="29"/>
      <c r="I99" s="45"/>
      <c r="J99" s="30"/>
    </row>
    <row r="100" spans="1:10" x14ac:dyDescent="0.25">
      <c r="A100" s="190"/>
      <c r="B100" s="42"/>
      <c r="C100" s="138"/>
      <c r="D100" s="156"/>
      <c r="E100" s="30"/>
      <c r="F100" s="21"/>
      <c r="G100" s="21"/>
      <c r="H100" s="29"/>
      <c r="I100" s="45"/>
      <c r="J100" s="30"/>
    </row>
    <row r="101" spans="1:10" x14ac:dyDescent="0.25">
      <c r="A101" s="190"/>
      <c r="B101" s="42"/>
      <c r="C101" s="138"/>
      <c r="D101" s="156"/>
      <c r="E101" s="30"/>
      <c r="F101" s="21"/>
      <c r="G101" s="21"/>
      <c r="H101" s="29"/>
      <c r="I101" s="45"/>
      <c r="J101" s="30"/>
    </row>
    <row r="102" spans="1:10" x14ac:dyDescent="0.25">
      <c r="A102" s="190"/>
      <c r="B102" s="42"/>
      <c r="C102" s="138"/>
      <c r="D102" s="156"/>
      <c r="E102" s="30"/>
      <c r="F102" s="21"/>
      <c r="G102" s="21"/>
      <c r="H102" s="29"/>
      <c r="I102" s="45"/>
      <c r="J102" s="30"/>
    </row>
    <row r="103" spans="1:10" x14ac:dyDescent="0.25">
      <c r="A103" s="190"/>
      <c r="B103" s="42"/>
      <c r="C103" s="138"/>
      <c r="D103" s="156"/>
      <c r="E103" s="30"/>
      <c r="F103" s="21"/>
      <c r="G103" s="21"/>
      <c r="H103" s="29"/>
      <c r="I103" s="45"/>
      <c r="J103" s="30"/>
    </row>
    <row r="104" spans="1:10" x14ac:dyDescent="0.25">
      <c r="A104" s="190"/>
      <c r="B104" s="42"/>
      <c r="C104" s="138"/>
      <c r="D104" s="156"/>
      <c r="E104" s="30"/>
      <c r="F104" s="21"/>
      <c r="G104" s="21"/>
      <c r="H104" s="29"/>
      <c r="I104" s="45"/>
      <c r="J104" s="30"/>
    </row>
    <row r="105" spans="1:10" x14ac:dyDescent="0.25">
      <c r="A105" s="190"/>
      <c r="B105" s="42"/>
      <c r="C105" s="138"/>
      <c r="D105" s="156"/>
      <c r="E105" s="30"/>
      <c r="F105" s="21"/>
      <c r="G105" s="21"/>
      <c r="H105" s="29"/>
      <c r="I105" s="45"/>
      <c r="J105" s="30"/>
    </row>
    <row r="106" spans="1:10" x14ac:dyDescent="0.25">
      <c r="A106" s="190"/>
      <c r="B106" s="42"/>
      <c r="C106" s="138"/>
      <c r="D106" s="156"/>
      <c r="E106" s="30"/>
      <c r="F106" s="21"/>
      <c r="G106" s="21"/>
      <c r="H106" s="29"/>
      <c r="I106" s="45"/>
      <c r="J106" s="30"/>
    </row>
    <row r="107" spans="1:10" x14ac:dyDescent="0.25">
      <c r="A107" s="190"/>
      <c r="B107" s="42"/>
      <c r="C107" s="138"/>
      <c r="D107" s="156"/>
      <c r="E107" s="30"/>
      <c r="F107" s="21"/>
      <c r="G107" s="21"/>
      <c r="H107" s="29"/>
      <c r="I107" s="45"/>
      <c r="J107" s="30"/>
    </row>
    <row r="108" spans="1:10" x14ac:dyDescent="0.25">
      <c r="A108" s="190"/>
      <c r="B108" s="42"/>
      <c r="C108" s="138"/>
      <c r="D108" s="156"/>
      <c r="E108" s="30"/>
      <c r="F108" s="21"/>
      <c r="G108" s="21"/>
      <c r="H108" s="29"/>
      <c r="I108" s="45"/>
      <c r="J108" s="30"/>
    </row>
    <row r="109" spans="1:10" x14ac:dyDescent="0.25">
      <c r="A109" s="190"/>
      <c r="B109" s="42"/>
      <c r="C109" s="138"/>
      <c r="D109" s="156"/>
      <c r="E109" s="30"/>
      <c r="F109" s="21"/>
      <c r="G109" s="21"/>
      <c r="H109" s="29"/>
      <c r="I109" s="45"/>
      <c r="J109" s="30"/>
    </row>
    <row r="110" spans="1:10" x14ac:dyDescent="0.25">
      <c r="A110" s="190"/>
      <c r="B110" s="42"/>
      <c r="C110" s="138"/>
      <c r="D110" s="156"/>
      <c r="E110" s="30"/>
      <c r="F110" s="21"/>
      <c r="G110" s="21"/>
      <c r="H110" s="29"/>
      <c r="I110" s="45"/>
      <c r="J110" s="30"/>
    </row>
    <row r="111" spans="1:10" x14ac:dyDescent="0.25">
      <c r="A111" s="190"/>
      <c r="B111" s="42"/>
      <c r="C111" s="138"/>
      <c r="D111" s="156"/>
      <c r="E111" s="30"/>
      <c r="F111" s="21"/>
      <c r="G111" s="21"/>
      <c r="H111" s="29"/>
      <c r="I111" s="45"/>
      <c r="J111" s="30"/>
    </row>
    <row r="112" spans="1:10" x14ac:dyDescent="0.25">
      <c r="A112" s="190"/>
      <c r="B112" s="42"/>
      <c r="C112" s="138"/>
      <c r="D112" s="156"/>
      <c r="E112" s="30"/>
      <c r="F112" s="21"/>
      <c r="G112" s="21"/>
      <c r="H112" s="29"/>
      <c r="I112" s="45"/>
      <c r="J112" s="30"/>
    </row>
    <row r="113" spans="1:10" x14ac:dyDescent="0.25">
      <c r="A113" s="190"/>
      <c r="B113" s="42"/>
      <c r="C113" s="138"/>
      <c r="D113" s="156"/>
      <c r="E113" s="30"/>
      <c r="F113" s="21"/>
      <c r="G113" s="21"/>
      <c r="H113" s="29"/>
      <c r="I113" s="45"/>
      <c r="J113" s="30"/>
    </row>
    <row r="114" spans="1:10" x14ac:dyDescent="0.25">
      <c r="A114" s="190"/>
      <c r="B114" s="42"/>
      <c r="C114" s="138"/>
      <c r="D114" s="156"/>
      <c r="E114" s="30"/>
      <c r="F114" s="21"/>
      <c r="G114" s="21"/>
      <c r="H114" s="29"/>
      <c r="I114" s="45"/>
      <c r="J114" s="30"/>
    </row>
    <row r="115" spans="1:10" x14ac:dyDescent="0.25">
      <c r="A115" s="190"/>
      <c r="B115" s="42"/>
      <c r="C115" s="138"/>
      <c r="D115" s="156"/>
      <c r="E115" s="30"/>
      <c r="F115" s="21"/>
      <c r="G115" s="21"/>
      <c r="H115" s="29"/>
      <c r="I115" s="45"/>
      <c r="J115" s="30"/>
    </row>
    <row r="116" spans="1:10" x14ac:dyDescent="0.25">
      <c r="A116" s="190"/>
      <c r="B116" s="42"/>
      <c r="C116" s="138"/>
      <c r="D116" s="156"/>
      <c r="E116" s="30"/>
      <c r="F116" s="21"/>
      <c r="G116" s="21"/>
      <c r="H116" s="29"/>
      <c r="I116" s="45"/>
      <c r="J116" s="30"/>
    </row>
    <row r="117" spans="1:10" x14ac:dyDescent="0.25">
      <c r="A117" s="190"/>
      <c r="B117" s="42"/>
      <c r="C117" s="138"/>
      <c r="D117" s="156"/>
      <c r="E117" s="30"/>
      <c r="F117" s="21"/>
      <c r="G117" s="21"/>
      <c r="H117" s="29"/>
      <c r="I117" s="45"/>
      <c r="J117" s="30"/>
    </row>
    <row r="118" spans="1:10" x14ac:dyDescent="0.25">
      <c r="A118" s="190"/>
      <c r="B118" s="42"/>
      <c r="C118" s="138"/>
      <c r="D118" s="156"/>
      <c r="E118" s="30"/>
      <c r="F118" s="21"/>
      <c r="G118" s="21"/>
      <c r="H118" s="29"/>
      <c r="I118" s="45"/>
      <c r="J118" s="30"/>
    </row>
    <row r="119" spans="1:10" x14ac:dyDescent="0.25">
      <c r="A119" s="190"/>
      <c r="B119" s="42"/>
      <c r="C119" s="138"/>
      <c r="D119" s="156"/>
      <c r="E119" s="30"/>
      <c r="F119" s="21"/>
      <c r="G119" s="21"/>
      <c r="H119" s="29"/>
      <c r="I119" s="45"/>
      <c r="J119" s="30"/>
    </row>
    <row r="120" spans="1:10" x14ac:dyDescent="0.25">
      <c r="A120" s="190"/>
      <c r="B120" s="42"/>
      <c r="C120" s="138"/>
      <c r="D120" s="156"/>
      <c r="E120" s="30"/>
      <c r="F120" s="21"/>
      <c r="G120" s="21"/>
      <c r="H120" s="29"/>
      <c r="I120" s="45"/>
      <c r="J120" s="30"/>
    </row>
    <row r="121" spans="1:10" x14ac:dyDescent="0.25">
      <c r="A121" s="190"/>
      <c r="B121" s="42"/>
      <c r="C121" s="138"/>
      <c r="D121" s="156"/>
      <c r="E121" s="30"/>
      <c r="F121" s="21"/>
      <c r="G121" s="21"/>
      <c r="H121" s="29"/>
      <c r="I121" s="45"/>
      <c r="J121" s="30"/>
    </row>
    <row r="122" spans="1:10" x14ac:dyDescent="0.25">
      <c r="A122" s="190"/>
      <c r="B122" s="42"/>
      <c r="C122" s="138"/>
      <c r="D122" s="156"/>
      <c r="E122" s="30"/>
      <c r="F122" s="21"/>
      <c r="G122" s="21"/>
      <c r="H122" s="29"/>
      <c r="I122" s="45"/>
      <c r="J122" s="30"/>
    </row>
    <row r="123" spans="1:10" x14ac:dyDescent="0.25">
      <c r="A123" s="190"/>
      <c r="B123" s="42"/>
      <c r="C123" s="138"/>
      <c r="D123" s="156"/>
      <c r="E123" s="30"/>
      <c r="F123" s="21"/>
      <c r="G123" s="21"/>
      <c r="H123" s="29"/>
      <c r="I123" s="45"/>
      <c r="J123" s="30"/>
    </row>
    <row r="124" spans="1:10" x14ac:dyDescent="0.25">
      <c r="A124" s="190"/>
      <c r="B124" s="42"/>
      <c r="C124" s="138"/>
      <c r="D124" s="156"/>
      <c r="E124" s="30"/>
      <c r="F124" s="21"/>
      <c r="G124" s="21"/>
      <c r="H124" s="29"/>
      <c r="I124" s="45"/>
      <c r="J124" s="30"/>
    </row>
    <row r="125" spans="1:10" x14ac:dyDescent="0.25">
      <c r="A125" s="190"/>
      <c r="B125" s="42"/>
      <c r="C125" s="138"/>
      <c r="D125" s="156"/>
      <c r="E125" s="30"/>
      <c r="F125" s="21"/>
      <c r="G125" s="21"/>
      <c r="H125" s="29"/>
      <c r="I125" s="45"/>
      <c r="J125" s="30"/>
    </row>
    <row r="126" spans="1:10" x14ac:dyDescent="0.25">
      <c r="A126" s="190"/>
      <c r="B126" s="42"/>
      <c r="C126" s="138"/>
      <c r="D126" s="156"/>
      <c r="E126" s="30"/>
      <c r="F126" s="21"/>
      <c r="G126" s="21"/>
      <c r="H126" s="29"/>
      <c r="I126" s="45"/>
      <c r="J126" s="30"/>
    </row>
  </sheetData>
  <autoFilter ref="A2:J78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8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1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42867.031307870369</v>
      </c>
      <c r="B2" s="20" t="s">
        <v>344</v>
      </c>
      <c r="C2" s="20" t="s">
        <v>510</v>
      </c>
      <c r="D2" s="141">
        <v>1810000</v>
      </c>
      <c r="E2" s="20" t="s">
        <v>398</v>
      </c>
      <c r="F2" s="20" t="s">
        <v>193</v>
      </c>
      <c r="G2" s="8" t="str">
        <f>E2&amp;" "&amp;F2</f>
        <v>NEWELL JAMES</v>
      </c>
    </row>
    <row r="3" spans="1:7" x14ac:dyDescent="0.25">
      <c r="A3" s="8">
        <v>42867.03665509259</v>
      </c>
      <c r="B3" s="20" t="s">
        <v>467</v>
      </c>
      <c r="C3" s="20" t="s">
        <v>511</v>
      </c>
      <c r="D3" s="141">
        <v>2270000</v>
      </c>
      <c r="E3" s="20" t="s">
        <v>477</v>
      </c>
      <c r="F3" s="20" t="s">
        <v>478</v>
      </c>
      <c r="G3" s="8" t="str">
        <f t="shared" ref="G3:G66" si="0">E3&amp;" "&amp;F3</f>
        <v>BROWN JACOB</v>
      </c>
    </row>
    <row r="4" spans="1:7" x14ac:dyDescent="0.25">
      <c r="A4" s="8">
        <v>42867.050324074073</v>
      </c>
      <c r="B4" s="20" t="s">
        <v>357</v>
      </c>
      <c r="C4" s="20" t="s">
        <v>512</v>
      </c>
      <c r="D4" s="141">
        <v>3000000</v>
      </c>
      <c r="E4" s="20" t="s">
        <v>451</v>
      </c>
      <c r="F4" s="20" t="s">
        <v>452</v>
      </c>
      <c r="G4" s="8" t="str">
        <f t="shared" si="0"/>
        <v>FORTUNATO FRANK</v>
      </c>
    </row>
    <row r="5" spans="1:7" x14ac:dyDescent="0.25">
      <c r="A5" s="8">
        <v>42867.053252314814</v>
      </c>
      <c r="B5" s="20" t="s">
        <v>343</v>
      </c>
      <c r="C5" s="20" t="s">
        <v>513</v>
      </c>
      <c r="D5" s="141">
        <v>1810000</v>
      </c>
      <c r="E5" s="20" t="s">
        <v>398</v>
      </c>
      <c r="F5" s="20" t="s">
        <v>193</v>
      </c>
      <c r="G5" s="8" t="str">
        <f t="shared" si="0"/>
        <v>NEWELL JAMES</v>
      </c>
    </row>
    <row r="6" spans="1:7" x14ac:dyDescent="0.25">
      <c r="A6" s="8">
        <v>42867.070532407408</v>
      </c>
      <c r="B6" s="20" t="s">
        <v>505</v>
      </c>
      <c r="C6" s="20" t="s">
        <v>514</v>
      </c>
      <c r="D6" s="141">
        <v>2270000</v>
      </c>
      <c r="E6" s="20" t="s">
        <v>477</v>
      </c>
      <c r="F6" s="20" t="s">
        <v>478</v>
      </c>
      <c r="G6" s="8" t="str">
        <f t="shared" si="0"/>
        <v>BROWN JACOB</v>
      </c>
    </row>
    <row r="7" spans="1:7" x14ac:dyDescent="0.25">
      <c r="A7" s="8">
        <v>42867.071527777778</v>
      </c>
      <c r="B7" s="20" t="s">
        <v>505</v>
      </c>
      <c r="C7" s="20" t="s">
        <v>514</v>
      </c>
      <c r="D7" s="141">
        <v>2270000</v>
      </c>
      <c r="E7" s="20" t="s">
        <v>477</v>
      </c>
      <c r="F7" s="20" t="s">
        <v>478</v>
      </c>
      <c r="G7" s="8" t="str">
        <f t="shared" si="0"/>
        <v>BROWN JACOB</v>
      </c>
    </row>
    <row r="8" spans="1:7" x14ac:dyDescent="0.25">
      <c r="A8" s="8">
        <v>42867.090428240743</v>
      </c>
      <c r="B8" s="20" t="s">
        <v>356</v>
      </c>
      <c r="C8" s="20" t="s">
        <v>515</v>
      </c>
      <c r="D8" s="141">
        <v>3000000</v>
      </c>
      <c r="E8" s="20" t="s">
        <v>451</v>
      </c>
      <c r="F8" s="20" t="s">
        <v>452</v>
      </c>
      <c r="G8" s="8" t="str">
        <f t="shared" si="0"/>
        <v>FORTUNATO FRANK</v>
      </c>
    </row>
    <row r="9" spans="1:7" ht="15.75" thickBot="1" x14ac:dyDescent="0.3">
      <c r="A9" s="24">
        <v>42867.118101851855</v>
      </c>
      <c r="B9" s="20" t="s">
        <v>574</v>
      </c>
      <c r="C9" s="20" t="s">
        <v>600</v>
      </c>
      <c r="D9" s="141">
        <v>2550000</v>
      </c>
      <c r="E9" s="20" t="s">
        <v>468</v>
      </c>
      <c r="F9" s="20" t="s">
        <v>469</v>
      </c>
      <c r="G9" s="8" t="str">
        <f t="shared" si="0"/>
        <v>BADERTSCHER DIANE</v>
      </c>
    </row>
    <row r="10" spans="1:7" x14ac:dyDescent="0.25">
      <c r="A10" s="8">
        <v>42867.131157407406</v>
      </c>
      <c r="B10" s="20" t="s">
        <v>601</v>
      </c>
      <c r="C10" s="20" t="s">
        <v>602</v>
      </c>
      <c r="D10" s="141">
        <v>2550000</v>
      </c>
      <c r="E10" s="20" t="s">
        <v>468</v>
      </c>
      <c r="F10" s="20" t="s">
        <v>469</v>
      </c>
      <c r="G10" s="8" t="str">
        <f t="shared" si="0"/>
        <v>BADERTSCHER DIANE</v>
      </c>
    </row>
    <row r="11" spans="1:7" x14ac:dyDescent="0.25">
      <c r="A11" s="8">
        <v>42867.137870370374</v>
      </c>
      <c r="B11" s="20" t="s">
        <v>401</v>
      </c>
      <c r="C11" s="20" t="s">
        <v>603</v>
      </c>
      <c r="D11" s="141">
        <v>1230000</v>
      </c>
      <c r="E11" s="20" t="s">
        <v>501</v>
      </c>
      <c r="F11" s="20" t="s">
        <v>502</v>
      </c>
      <c r="G11" s="8" t="str">
        <f t="shared" si="0"/>
        <v>YANAI IAN</v>
      </c>
    </row>
    <row r="12" spans="1:7" x14ac:dyDescent="0.25">
      <c r="A12" s="8">
        <v>42867.14770833333</v>
      </c>
      <c r="B12" s="20" t="s">
        <v>396</v>
      </c>
      <c r="C12" s="20" t="s">
        <v>604</v>
      </c>
      <c r="D12" s="141">
        <v>1230000</v>
      </c>
      <c r="E12" s="20" t="s">
        <v>501</v>
      </c>
      <c r="F12" s="20" t="s">
        <v>502</v>
      </c>
      <c r="G12" s="8" t="str">
        <f t="shared" si="0"/>
        <v>YANAI IAN</v>
      </c>
    </row>
    <row r="13" spans="1:7" x14ac:dyDescent="0.25">
      <c r="A13" s="8">
        <v>42867.162743055553</v>
      </c>
      <c r="B13" s="20" t="s">
        <v>558</v>
      </c>
      <c r="C13" s="20" t="s">
        <v>559</v>
      </c>
      <c r="D13" s="141">
        <v>2140000</v>
      </c>
      <c r="E13" s="20" t="s">
        <v>496</v>
      </c>
      <c r="F13" s="20" t="s">
        <v>497</v>
      </c>
      <c r="G13" s="8" t="str">
        <f t="shared" si="0"/>
        <v>ROBINSON KADDIBA</v>
      </c>
    </row>
    <row r="14" spans="1:7" x14ac:dyDescent="0.25">
      <c r="A14" s="8">
        <v>42867.169872685183</v>
      </c>
      <c r="B14" s="20" t="s">
        <v>574</v>
      </c>
      <c r="C14" s="20" t="s">
        <v>605</v>
      </c>
      <c r="D14" s="141">
        <v>2550000</v>
      </c>
      <c r="E14" s="20" t="s">
        <v>468</v>
      </c>
      <c r="F14" s="20" t="s">
        <v>469</v>
      </c>
      <c r="G14" s="8" t="str">
        <f t="shared" si="0"/>
        <v>BADERTSCHER DIANE</v>
      </c>
    </row>
    <row r="15" spans="1:7" x14ac:dyDescent="0.25">
      <c r="A15" s="8">
        <v>42867.170370370368</v>
      </c>
      <c r="B15" s="20" t="s">
        <v>466</v>
      </c>
      <c r="C15" s="20" t="s">
        <v>606</v>
      </c>
      <c r="D15" s="141">
        <v>1260000</v>
      </c>
      <c r="E15" s="20" t="s">
        <v>498</v>
      </c>
      <c r="F15" s="20" t="s">
        <v>499</v>
      </c>
      <c r="G15" s="8" t="str">
        <f t="shared" si="0"/>
        <v>ACKERMAN JARED</v>
      </c>
    </row>
    <row r="16" spans="1:7" x14ac:dyDescent="0.25">
      <c r="A16" s="8">
        <v>42867.176516203705</v>
      </c>
      <c r="B16" s="20" t="s">
        <v>345</v>
      </c>
      <c r="C16" s="20" t="s">
        <v>607</v>
      </c>
      <c r="D16" s="141">
        <v>2140000</v>
      </c>
      <c r="E16" s="20" t="s">
        <v>496</v>
      </c>
      <c r="F16" s="20" t="s">
        <v>497</v>
      </c>
      <c r="G16" s="8" t="str">
        <f t="shared" si="0"/>
        <v>ROBINSON KADDIBA</v>
      </c>
    </row>
    <row r="17" spans="1:7" x14ac:dyDescent="0.25">
      <c r="A17" s="8">
        <v>42867.180219907408</v>
      </c>
      <c r="B17" s="20" t="s">
        <v>472</v>
      </c>
      <c r="C17" s="20" t="s">
        <v>608</v>
      </c>
      <c r="D17" s="141">
        <v>1260000</v>
      </c>
      <c r="E17" s="20" t="s">
        <v>498</v>
      </c>
      <c r="F17" s="20" t="s">
        <v>499</v>
      </c>
      <c r="G17" s="8" t="str">
        <f t="shared" si="0"/>
        <v>ACKERMAN JARED</v>
      </c>
    </row>
    <row r="18" spans="1:7" x14ac:dyDescent="0.25">
      <c r="A18" s="8">
        <v>42867.18550925926</v>
      </c>
      <c r="B18" s="20" t="s">
        <v>609</v>
      </c>
      <c r="C18" s="20" t="s">
        <v>610</v>
      </c>
      <c r="D18" s="141">
        <v>890000</v>
      </c>
      <c r="E18" s="20" t="s">
        <v>445</v>
      </c>
      <c r="F18" s="20" t="s">
        <v>446</v>
      </c>
      <c r="G18" s="8" t="str">
        <f t="shared" si="0"/>
        <v>LOZA FIDEL</v>
      </c>
    </row>
    <row r="19" spans="1:7" x14ac:dyDescent="0.25">
      <c r="A19" s="8">
        <v>42867.186099537037</v>
      </c>
      <c r="B19" s="20" t="s">
        <v>401</v>
      </c>
      <c r="C19" s="20" t="s">
        <v>560</v>
      </c>
      <c r="D19" s="141">
        <v>1230000</v>
      </c>
      <c r="E19" s="20" t="s">
        <v>501</v>
      </c>
      <c r="F19" s="20" t="s">
        <v>502</v>
      </c>
      <c r="G19" s="8" t="str">
        <f t="shared" si="0"/>
        <v>YANAI IAN</v>
      </c>
    </row>
    <row r="20" spans="1:7" x14ac:dyDescent="0.25">
      <c r="A20" s="8">
        <v>42867.187430555554</v>
      </c>
      <c r="B20" s="20" t="s">
        <v>609</v>
      </c>
      <c r="C20" s="20" t="s">
        <v>610</v>
      </c>
      <c r="D20" s="141">
        <v>890000</v>
      </c>
      <c r="E20" s="20" t="s">
        <v>445</v>
      </c>
      <c r="F20" s="20" t="s">
        <v>446</v>
      </c>
      <c r="G20" s="8" t="str">
        <f t="shared" si="0"/>
        <v>LOZA FIDEL</v>
      </c>
    </row>
    <row r="21" spans="1:7" x14ac:dyDescent="0.25">
      <c r="A21" s="8">
        <v>42867.188425925924</v>
      </c>
      <c r="B21" s="20" t="s">
        <v>609</v>
      </c>
      <c r="C21" s="20" t="s">
        <v>610</v>
      </c>
      <c r="D21" s="141">
        <v>890000</v>
      </c>
      <c r="E21" s="20" t="s">
        <v>445</v>
      </c>
      <c r="F21" s="20" t="s">
        <v>446</v>
      </c>
      <c r="G21" s="8" t="str">
        <f t="shared" si="0"/>
        <v>LOZA FIDEL</v>
      </c>
    </row>
    <row r="22" spans="1:7" x14ac:dyDescent="0.25">
      <c r="A22" s="26">
        <v>42867.197291666664</v>
      </c>
      <c r="B22" s="20" t="s">
        <v>611</v>
      </c>
      <c r="C22" s="20" t="s">
        <v>612</v>
      </c>
      <c r="D22" s="141">
        <v>890000</v>
      </c>
      <c r="E22" s="20" t="s">
        <v>445</v>
      </c>
      <c r="F22" s="20" t="s">
        <v>446</v>
      </c>
      <c r="G22" s="8" t="str">
        <f t="shared" si="0"/>
        <v>LOZA FIDEL</v>
      </c>
    </row>
    <row r="23" spans="1:7" x14ac:dyDescent="0.25">
      <c r="A23" s="8">
        <v>42867.198877314811</v>
      </c>
      <c r="B23" s="20" t="s">
        <v>383</v>
      </c>
      <c r="C23" s="20" t="s">
        <v>613</v>
      </c>
      <c r="D23" s="141">
        <v>1100000</v>
      </c>
      <c r="E23" s="20" t="s">
        <v>614</v>
      </c>
      <c r="F23" s="20" t="s">
        <v>615</v>
      </c>
      <c r="G23" s="8" t="str">
        <f t="shared" si="0"/>
        <v>GEBRETEKLE DAGNEW</v>
      </c>
    </row>
    <row r="24" spans="1:7" x14ac:dyDescent="0.25">
      <c r="A24" s="8">
        <v>42867.199953703705</v>
      </c>
      <c r="B24" s="20" t="s">
        <v>383</v>
      </c>
      <c r="C24" s="20" t="s">
        <v>613</v>
      </c>
      <c r="D24" s="141">
        <v>1100000</v>
      </c>
      <c r="E24" s="20" t="s">
        <v>614</v>
      </c>
      <c r="F24" s="20" t="s">
        <v>615</v>
      </c>
      <c r="G24" s="8" t="str">
        <f t="shared" si="0"/>
        <v>GEBRETEKLE DAGNEW</v>
      </c>
    </row>
    <row r="25" spans="1:7" x14ac:dyDescent="0.25">
      <c r="A25" s="8">
        <v>42867.208483796298</v>
      </c>
      <c r="B25" s="20" t="s">
        <v>601</v>
      </c>
      <c r="C25" s="20" t="s">
        <v>616</v>
      </c>
      <c r="D25" s="141">
        <v>940000</v>
      </c>
      <c r="E25" s="20" t="s">
        <v>408</v>
      </c>
      <c r="F25" s="20" t="s">
        <v>409</v>
      </c>
      <c r="G25" s="8" t="str">
        <f t="shared" si="0"/>
        <v>BONDS REYNALDO</v>
      </c>
    </row>
    <row r="26" spans="1:7" x14ac:dyDescent="0.25">
      <c r="A26" s="8">
        <v>42867.210578703707</v>
      </c>
      <c r="B26" s="20" t="s">
        <v>381</v>
      </c>
      <c r="C26" s="20" t="s">
        <v>617</v>
      </c>
      <c r="D26" s="141">
        <v>1100000</v>
      </c>
      <c r="E26" s="20" t="s">
        <v>614</v>
      </c>
      <c r="F26" s="20" t="s">
        <v>615</v>
      </c>
      <c r="G26" s="8" t="str">
        <f t="shared" si="0"/>
        <v>GEBRETEKLE DAGNEW</v>
      </c>
    </row>
    <row r="27" spans="1:7" x14ac:dyDescent="0.25">
      <c r="A27" s="8">
        <v>42867.213055555556</v>
      </c>
      <c r="B27" s="20" t="s">
        <v>444</v>
      </c>
      <c r="C27" s="20" t="s">
        <v>561</v>
      </c>
      <c r="D27" s="141">
        <v>2550000</v>
      </c>
      <c r="E27" s="20" t="s">
        <v>468</v>
      </c>
      <c r="F27" s="20" t="s">
        <v>469</v>
      </c>
      <c r="G27" s="8" t="str">
        <f t="shared" si="0"/>
        <v>BADERTSCHER DIANE</v>
      </c>
    </row>
    <row r="28" spans="1:7" x14ac:dyDescent="0.25">
      <c r="A28" s="8">
        <v>42867.21434027778</v>
      </c>
      <c r="B28" s="20" t="s">
        <v>558</v>
      </c>
      <c r="C28" s="20" t="s">
        <v>618</v>
      </c>
      <c r="D28" s="141">
        <v>2140000</v>
      </c>
      <c r="E28" s="20" t="s">
        <v>496</v>
      </c>
      <c r="F28" s="20" t="s">
        <v>497</v>
      </c>
      <c r="G28" s="8" t="str">
        <f t="shared" si="0"/>
        <v>ROBINSON KADDIBA</v>
      </c>
    </row>
    <row r="29" spans="1:7" x14ac:dyDescent="0.25">
      <c r="A29" s="8">
        <v>42867.221400462964</v>
      </c>
      <c r="B29" s="20" t="s">
        <v>466</v>
      </c>
      <c r="C29" s="20" t="s">
        <v>619</v>
      </c>
      <c r="D29" s="141">
        <v>1260000</v>
      </c>
      <c r="E29" s="20" t="s">
        <v>498</v>
      </c>
      <c r="F29" s="20" t="s">
        <v>499</v>
      </c>
      <c r="G29" s="8" t="str">
        <f t="shared" si="0"/>
        <v>ACKERMAN JARED</v>
      </c>
    </row>
    <row r="30" spans="1:7" x14ac:dyDescent="0.25">
      <c r="A30" s="8">
        <v>42867.227071759262</v>
      </c>
      <c r="B30" s="20" t="s">
        <v>383</v>
      </c>
      <c r="C30" s="20" t="s">
        <v>620</v>
      </c>
      <c r="D30" s="141">
        <v>1100000</v>
      </c>
      <c r="E30" s="20" t="s">
        <v>614</v>
      </c>
      <c r="F30" s="20" t="s">
        <v>615</v>
      </c>
      <c r="G30" s="8" t="str">
        <f t="shared" si="0"/>
        <v>GEBRETEKLE DAGNEW</v>
      </c>
    </row>
    <row r="31" spans="1:7" x14ac:dyDescent="0.25">
      <c r="A31" s="8">
        <v>42867.227708333332</v>
      </c>
      <c r="B31" s="20" t="s">
        <v>396</v>
      </c>
      <c r="C31" s="20" t="s">
        <v>621</v>
      </c>
      <c r="D31" s="141">
        <v>900000</v>
      </c>
      <c r="E31" s="20" t="s">
        <v>447</v>
      </c>
      <c r="F31" s="20" t="s">
        <v>448</v>
      </c>
      <c r="G31" s="8" t="str">
        <f t="shared" si="0"/>
        <v>ROCHA YAOTL</v>
      </c>
    </row>
    <row r="32" spans="1:7" x14ac:dyDescent="0.25">
      <c r="A32" s="8">
        <v>42867.228854166664</v>
      </c>
      <c r="B32" s="20" t="s">
        <v>410</v>
      </c>
      <c r="C32" s="20" t="s">
        <v>622</v>
      </c>
      <c r="D32" s="141">
        <v>1230000</v>
      </c>
      <c r="E32" s="20" t="s">
        <v>501</v>
      </c>
      <c r="F32" s="20" t="s">
        <v>502</v>
      </c>
      <c r="G32" s="8" t="str">
        <f t="shared" si="0"/>
        <v>YANAI IAN</v>
      </c>
    </row>
    <row r="33" spans="1:7" x14ac:dyDescent="0.25">
      <c r="A33" s="8">
        <v>42867.233981481484</v>
      </c>
      <c r="B33" s="20" t="s">
        <v>609</v>
      </c>
      <c r="C33" s="20" t="s">
        <v>623</v>
      </c>
      <c r="D33" s="141">
        <v>890000</v>
      </c>
      <c r="E33" s="20" t="s">
        <v>445</v>
      </c>
      <c r="F33" s="20" t="s">
        <v>446</v>
      </c>
      <c r="G33" s="8" t="str">
        <f t="shared" si="0"/>
        <v>LOZA FIDEL</v>
      </c>
    </row>
    <row r="34" spans="1:7" x14ac:dyDescent="0.25">
      <c r="A34" s="8">
        <v>42867.240289351852</v>
      </c>
      <c r="B34" s="20" t="s">
        <v>467</v>
      </c>
      <c r="C34" s="20" t="s">
        <v>562</v>
      </c>
      <c r="D34" s="141">
        <v>2560000</v>
      </c>
      <c r="E34" s="20" t="s">
        <v>500</v>
      </c>
      <c r="F34" s="20" t="s">
        <v>397</v>
      </c>
      <c r="G34" s="8" t="str">
        <f t="shared" si="0"/>
        <v>MACDONALD THOMAS</v>
      </c>
    </row>
    <row r="35" spans="1:7" x14ac:dyDescent="0.25">
      <c r="A35" s="8">
        <v>42867.242280092592</v>
      </c>
      <c r="B35" s="20" t="s">
        <v>579</v>
      </c>
      <c r="C35" s="20" t="s">
        <v>624</v>
      </c>
      <c r="D35" s="141">
        <v>940000</v>
      </c>
      <c r="E35" s="20" t="s">
        <v>408</v>
      </c>
      <c r="F35" s="20" t="s">
        <v>409</v>
      </c>
      <c r="G35" s="8" t="str">
        <f t="shared" si="0"/>
        <v>BONDS REYNALDO</v>
      </c>
    </row>
    <row r="36" spans="1:7" x14ac:dyDescent="0.25">
      <c r="A36" s="8">
        <v>42867.250532407408</v>
      </c>
      <c r="B36" s="20" t="s">
        <v>345</v>
      </c>
      <c r="C36" s="20" t="s">
        <v>625</v>
      </c>
      <c r="D36" s="141">
        <v>2140000</v>
      </c>
      <c r="E36" s="20" t="s">
        <v>496</v>
      </c>
      <c r="F36" s="20" t="s">
        <v>497</v>
      </c>
      <c r="G36" s="8" t="str">
        <f t="shared" si="0"/>
        <v>ROBINSON KADDIBA</v>
      </c>
    </row>
    <row r="37" spans="1:7" x14ac:dyDescent="0.25">
      <c r="A37" s="8">
        <v>42867.251076388886</v>
      </c>
      <c r="B37" s="20" t="s">
        <v>345</v>
      </c>
      <c r="C37" s="20" t="s">
        <v>625</v>
      </c>
      <c r="D37" s="141">
        <v>2140000</v>
      </c>
      <c r="E37" s="20" t="s">
        <v>496</v>
      </c>
      <c r="F37" s="20" t="s">
        <v>497</v>
      </c>
      <c r="G37" s="8" t="str">
        <f t="shared" si="0"/>
        <v>ROBINSON KADDIBA</v>
      </c>
    </row>
    <row r="38" spans="1:7" x14ac:dyDescent="0.25">
      <c r="A38" s="8">
        <v>42867.251435185186</v>
      </c>
      <c r="B38" s="20" t="s">
        <v>574</v>
      </c>
      <c r="C38" s="20" t="s">
        <v>626</v>
      </c>
      <c r="D38" s="141">
        <v>2550000</v>
      </c>
      <c r="E38" s="20" t="s">
        <v>468</v>
      </c>
      <c r="F38" s="20" t="s">
        <v>469</v>
      </c>
      <c r="G38" s="8" t="str">
        <f t="shared" si="0"/>
        <v>BADERTSCHER DIANE</v>
      </c>
    </row>
    <row r="39" spans="1:7" x14ac:dyDescent="0.25">
      <c r="A39" s="8">
        <v>42867.251921296294</v>
      </c>
      <c r="B39" s="20" t="s">
        <v>505</v>
      </c>
      <c r="C39" s="20" t="s">
        <v>627</v>
      </c>
      <c r="D39" s="141">
        <v>2560000</v>
      </c>
      <c r="E39" s="20" t="s">
        <v>500</v>
      </c>
      <c r="F39" s="20" t="s">
        <v>397</v>
      </c>
      <c r="G39" s="8" t="str">
        <f t="shared" si="0"/>
        <v>MACDONALD THOMAS</v>
      </c>
    </row>
    <row r="40" spans="1:7" x14ac:dyDescent="0.25">
      <c r="A40" s="8">
        <v>42867.252569444441</v>
      </c>
      <c r="B40" s="25" t="s">
        <v>628</v>
      </c>
      <c r="C40" s="20" t="s">
        <v>629</v>
      </c>
      <c r="D40" s="141">
        <v>1090000</v>
      </c>
      <c r="E40" s="20" t="s">
        <v>411</v>
      </c>
      <c r="F40" s="20" t="s">
        <v>196</v>
      </c>
      <c r="G40" s="8" t="str">
        <f t="shared" si="0"/>
        <v>SPECTOR MICHAEL</v>
      </c>
    </row>
    <row r="41" spans="1:7" x14ac:dyDescent="0.25">
      <c r="A41" s="8">
        <v>42867.25476851852</v>
      </c>
      <c r="B41" s="20" t="s">
        <v>381</v>
      </c>
      <c r="C41" s="20" t="s">
        <v>630</v>
      </c>
      <c r="D41" s="141">
        <v>1100000</v>
      </c>
      <c r="E41" s="20" t="s">
        <v>614</v>
      </c>
      <c r="F41" s="20" t="s">
        <v>615</v>
      </c>
      <c r="G41" s="8" t="str">
        <f t="shared" si="0"/>
        <v>GEBRETEKLE DAGNEW</v>
      </c>
    </row>
    <row r="42" spans="1:7" x14ac:dyDescent="0.25">
      <c r="A42" s="8">
        <v>42867.259502314817</v>
      </c>
      <c r="B42" s="20" t="s">
        <v>472</v>
      </c>
      <c r="C42" s="20" t="s">
        <v>631</v>
      </c>
      <c r="D42" s="141">
        <v>1260000</v>
      </c>
      <c r="E42" s="20" t="s">
        <v>498</v>
      </c>
      <c r="F42" s="20" t="s">
        <v>499</v>
      </c>
      <c r="G42" s="8" t="str">
        <f t="shared" si="0"/>
        <v>ACKERMAN JARED</v>
      </c>
    </row>
    <row r="43" spans="1:7" x14ac:dyDescent="0.25">
      <c r="A43" s="8">
        <v>42867.260925925926</v>
      </c>
      <c r="B43" s="20" t="s">
        <v>558</v>
      </c>
      <c r="C43" s="20" t="s">
        <v>629</v>
      </c>
      <c r="D43" s="141">
        <v>1090000</v>
      </c>
      <c r="E43" s="20" t="s">
        <v>411</v>
      </c>
      <c r="F43" s="20" t="s">
        <v>196</v>
      </c>
      <c r="G43" s="8" t="str">
        <f t="shared" si="0"/>
        <v>SPECTOR MICHAEL</v>
      </c>
    </row>
    <row r="44" spans="1:7" x14ac:dyDescent="0.25">
      <c r="A44" s="8">
        <v>42867.267152777778</v>
      </c>
      <c r="B44" s="20" t="s">
        <v>401</v>
      </c>
      <c r="C44" s="20" t="s">
        <v>632</v>
      </c>
      <c r="D44" s="141">
        <v>1230000</v>
      </c>
      <c r="E44" s="20" t="s">
        <v>501</v>
      </c>
      <c r="F44" s="20" t="s">
        <v>502</v>
      </c>
      <c r="G44" s="8" t="str">
        <f t="shared" si="0"/>
        <v>YANAI IAN</v>
      </c>
    </row>
    <row r="45" spans="1:7" x14ac:dyDescent="0.25">
      <c r="A45" s="8">
        <v>42867.267164351855</v>
      </c>
      <c r="B45" s="20" t="s">
        <v>394</v>
      </c>
      <c r="C45" s="20" t="s">
        <v>633</v>
      </c>
      <c r="D45" s="141">
        <v>900000</v>
      </c>
      <c r="E45" s="20" t="s">
        <v>447</v>
      </c>
      <c r="F45" s="20" t="s">
        <v>448</v>
      </c>
      <c r="G45" s="8" t="str">
        <f t="shared" si="0"/>
        <v>ROCHA YAOTL</v>
      </c>
    </row>
    <row r="46" spans="1:7" x14ac:dyDescent="0.25">
      <c r="A46" s="8">
        <v>42867.268483796295</v>
      </c>
      <c r="B46" s="20" t="s">
        <v>611</v>
      </c>
      <c r="C46" s="20" t="s">
        <v>634</v>
      </c>
      <c r="D46" s="141">
        <v>890000</v>
      </c>
      <c r="E46" s="20" t="s">
        <v>445</v>
      </c>
      <c r="F46" s="20" t="s">
        <v>446</v>
      </c>
      <c r="G46" s="8" t="str">
        <f t="shared" si="0"/>
        <v>LOZA FIDEL</v>
      </c>
    </row>
    <row r="47" spans="1:7" x14ac:dyDescent="0.25">
      <c r="A47" s="8">
        <v>42867.269062500003</v>
      </c>
      <c r="B47" s="20" t="s">
        <v>383</v>
      </c>
      <c r="C47" s="20" t="s">
        <v>635</v>
      </c>
      <c r="D47" s="141">
        <v>1100000</v>
      </c>
      <c r="E47" s="20" t="s">
        <v>614</v>
      </c>
      <c r="F47" s="20" t="s">
        <v>615</v>
      </c>
      <c r="G47" s="8" t="str">
        <f t="shared" si="0"/>
        <v>GEBRETEKLE DAGNEW</v>
      </c>
    </row>
    <row r="48" spans="1:7" x14ac:dyDescent="0.25">
      <c r="A48" s="8">
        <v>42867.275787037041</v>
      </c>
      <c r="B48" s="20" t="s">
        <v>467</v>
      </c>
      <c r="C48" s="20" t="s">
        <v>563</v>
      </c>
      <c r="D48" s="141">
        <v>2560000</v>
      </c>
      <c r="E48" s="20" t="s">
        <v>500</v>
      </c>
      <c r="F48" s="20" t="s">
        <v>397</v>
      </c>
      <c r="G48" s="8" t="str">
        <f t="shared" si="0"/>
        <v>MACDONALD THOMAS</v>
      </c>
    </row>
    <row r="49" spans="1:7" x14ac:dyDescent="0.25">
      <c r="A49" s="8">
        <v>42867.277754629627</v>
      </c>
      <c r="B49" s="20" t="s">
        <v>601</v>
      </c>
      <c r="C49" s="20" t="s">
        <v>636</v>
      </c>
      <c r="D49" s="141">
        <v>940000</v>
      </c>
      <c r="E49" s="20" t="s">
        <v>408</v>
      </c>
      <c r="F49" s="20" t="s">
        <v>409</v>
      </c>
      <c r="G49" s="8" t="str">
        <f t="shared" si="0"/>
        <v>BONDS REYNALDO</v>
      </c>
    </row>
    <row r="50" spans="1:7" x14ac:dyDescent="0.25">
      <c r="A50" s="8">
        <v>42867.286273148151</v>
      </c>
      <c r="B50" s="20" t="s">
        <v>395</v>
      </c>
      <c r="C50" s="20" t="s">
        <v>564</v>
      </c>
      <c r="D50" s="141">
        <v>2140000</v>
      </c>
      <c r="E50" s="20" t="s">
        <v>496</v>
      </c>
      <c r="F50" s="20" t="s">
        <v>497</v>
      </c>
      <c r="G50" s="8" t="str">
        <f t="shared" si="0"/>
        <v>ROBINSON KADDIBA</v>
      </c>
    </row>
    <row r="51" spans="1:7" x14ac:dyDescent="0.25">
      <c r="A51" s="8">
        <v>42867.289247685185</v>
      </c>
      <c r="B51" s="20" t="s">
        <v>444</v>
      </c>
      <c r="C51" s="20" t="s">
        <v>637</v>
      </c>
      <c r="D51" s="141">
        <v>2550000</v>
      </c>
      <c r="E51" s="20" t="s">
        <v>468</v>
      </c>
      <c r="F51" s="20" t="s">
        <v>469</v>
      </c>
      <c r="G51" s="8" t="str">
        <f t="shared" si="0"/>
        <v>BADERTSCHER DIANE</v>
      </c>
    </row>
    <row r="52" spans="1:7" x14ac:dyDescent="0.25">
      <c r="A52" s="8">
        <v>42867.293923611112</v>
      </c>
      <c r="B52" s="20" t="s">
        <v>466</v>
      </c>
      <c r="C52" s="20" t="s">
        <v>638</v>
      </c>
      <c r="D52" s="141">
        <v>1260000</v>
      </c>
      <c r="E52" s="20" t="s">
        <v>498</v>
      </c>
      <c r="F52" s="20" t="s">
        <v>499</v>
      </c>
      <c r="G52" s="8" t="str">
        <f t="shared" si="0"/>
        <v>ACKERMAN JARED</v>
      </c>
    </row>
    <row r="53" spans="1:7" x14ac:dyDescent="0.25">
      <c r="A53" s="8">
        <v>42867.29587962963</v>
      </c>
      <c r="B53" s="20" t="s">
        <v>381</v>
      </c>
      <c r="C53" s="20" t="s">
        <v>639</v>
      </c>
      <c r="D53" s="141">
        <v>1100000</v>
      </c>
      <c r="E53" s="20" t="s">
        <v>614</v>
      </c>
      <c r="F53" s="20" t="s">
        <v>615</v>
      </c>
      <c r="G53" s="8" t="str">
        <f t="shared" si="0"/>
        <v>GEBRETEKLE DAGNEW</v>
      </c>
    </row>
    <row r="54" spans="1:7" x14ac:dyDescent="0.25">
      <c r="A54" s="8">
        <v>42867.299085648148</v>
      </c>
      <c r="B54" s="20" t="s">
        <v>396</v>
      </c>
      <c r="C54" s="20" t="s">
        <v>565</v>
      </c>
      <c r="D54" s="141">
        <v>900000</v>
      </c>
      <c r="E54" s="20" t="s">
        <v>447</v>
      </c>
      <c r="F54" s="20" t="s">
        <v>448</v>
      </c>
      <c r="G54" s="8" t="str">
        <f t="shared" si="0"/>
        <v>ROCHA YAOTL</v>
      </c>
    </row>
    <row r="55" spans="1:7" x14ac:dyDescent="0.25">
      <c r="A55" s="8">
        <v>42867.300625000003</v>
      </c>
      <c r="B55" s="20" t="s">
        <v>505</v>
      </c>
      <c r="C55" s="20" t="s">
        <v>640</v>
      </c>
      <c r="D55" s="141">
        <v>2560000</v>
      </c>
      <c r="E55" s="20" t="s">
        <v>500</v>
      </c>
      <c r="F55" s="20" t="s">
        <v>397</v>
      </c>
      <c r="G55" s="8" t="str">
        <f t="shared" si="0"/>
        <v>MACDONALD THOMAS</v>
      </c>
    </row>
    <row r="56" spans="1:7" x14ac:dyDescent="0.25">
      <c r="A56" s="8">
        <v>42867.307222222225</v>
      </c>
      <c r="B56" s="20" t="s">
        <v>609</v>
      </c>
      <c r="C56" s="20" t="s">
        <v>641</v>
      </c>
      <c r="D56" s="141">
        <v>890000</v>
      </c>
      <c r="E56" s="20" t="s">
        <v>445</v>
      </c>
      <c r="F56" s="20" t="s">
        <v>446</v>
      </c>
      <c r="G56" s="8" t="str">
        <f t="shared" si="0"/>
        <v>LOZA FIDEL</v>
      </c>
    </row>
    <row r="57" spans="1:7" x14ac:dyDescent="0.25">
      <c r="A57" s="8">
        <v>42867.310254629629</v>
      </c>
      <c r="B57" s="20" t="s">
        <v>410</v>
      </c>
      <c r="C57" s="20" t="s">
        <v>642</v>
      </c>
      <c r="D57" s="141">
        <v>1230000</v>
      </c>
      <c r="E57" s="20" t="s">
        <v>501</v>
      </c>
      <c r="F57" s="20" t="s">
        <v>502</v>
      </c>
      <c r="G57" s="8" t="str">
        <f t="shared" si="0"/>
        <v>YANAI IAN</v>
      </c>
    </row>
    <row r="58" spans="1:7" x14ac:dyDescent="0.25">
      <c r="A58" s="8">
        <v>42867.310648148145</v>
      </c>
      <c r="B58" s="20" t="s">
        <v>383</v>
      </c>
      <c r="C58" s="20" t="s">
        <v>643</v>
      </c>
      <c r="D58" s="141">
        <v>1100000</v>
      </c>
      <c r="E58" s="20" t="s">
        <v>614</v>
      </c>
      <c r="F58" s="20" t="s">
        <v>615</v>
      </c>
      <c r="G58" s="8" t="str">
        <f t="shared" si="0"/>
        <v>GEBRETEKLE DAGNEW</v>
      </c>
    </row>
    <row r="59" spans="1:7" x14ac:dyDescent="0.25">
      <c r="A59" s="8">
        <v>42867.317974537036</v>
      </c>
      <c r="B59" s="20" t="s">
        <v>467</v>
      </c>
      <c r="C59" s="20" t="s">
        <v>566</v>
      </c>
      <c r="D59" s="141">
        <v>2560000</v>
      </c>
      <c r="E59" s="20" t="s">
        <v>500</v>
      </c>
      <c r="F59" s="20" t="s">
        <v>397</v>
      </c>
      <c r="G59" s="8" t="str">
        <f t="shared" si="0"/>
        <v>MACDONALD THOMAS</v>
      </c>
    </row>
    <row r="60" spans="1:7" x14ac:dyDescent="0.25">
      <c r="A60" s="8">
        <v>42867.318703703706</v>
      </c>
      <c r="B60" s="20" t="s">
        <v>579</v>
      </c>
      <c r="C60" s="20" t="s">
        <v>644</v>
      </c>
      <c r="D60" s="141">
        <v>940000</v>
      </c>
      <c r="E60" s="20" t="s">
        <v>408</v>
      </c>
      <c r="F60" s="20" t="s">
        <v>409</v>
      </c>
      <c r="G60" s="8" t="str">
        <f t="shared" si="0"/>
        <v>BONDS REYNALDO</v>
      </c>
    </row>
    <row r="61" spans="1:7" x14ac:dyDescent="0.25">
      <c r="A61" s="8">
        <v>42867.319965277777</v>
      </c>
      <c r="B61" s="20" t="s">
        <v>345</v>
      </c>
      <c r="C61" s="20" t="s">
        <v>645</v>
      </c>
      <c r="D61" s="141">
        <v>2140000</v>
      </c>
      <c r="E61" s="20" t="s">
        <v>496</v>
      </c>
      <c r="F61" s="20" t="s">
        <v>497</v>
      </c>
      <c r="G61" s="8" t="str">
        <f t="shared" si="0"/>
        <v>ROBINSON KADDIBA</v>
      </c>
    </row>
    <row r="62" spans="1:7" x14ac:dyDescent="0.25">
      <c r="A62" s="8">
        <v>42867.321909722225</v>
      </c>
      <c r="B62" s="20" t="s">
        <v>579</v>
      </c>
      <c r="C62" s="20" t="s">
        <v>644</v>
      </c>
      <c r="D62" s="141">
        <v>940000</v>
      </c>
      <c r="E62" s="20" t="s">
        <v>408</v>
      </c>
      <c r="F62" s="20" t="s">
        <v>409</v>
      </c>
      <c r="G62" s="8" t="str">
        <f t="shared" si="0"/>
        <v>BONDS REYNALDO</v>
      </c>
    </row>
    <row r="63" spans="1:7" x14ac:dyDescent="0.25">
      <c r="A63" s="8">
        <v>42867.324432870373</v>
      </c>
      <c r="B63" s="20" t="s">
        <v>574</v>
      </c>
      <c r="C63" s="20" t="s">
        <v>646</v>
      </c>
      <c r="D63" s="141">
        <v>2550000</v>
      </c>
      <c r="E63" s="20" t="s">
        <v>468</v>
      </c>
      <c r="F63" s="20" t="s">
        <v>469</v>
      </c>
      <c r="G63" s="8" t="str">
        <f t="shared" si="0"/>
        <v>BADERTSCHER DIANE</v>
      </c>
    </row>
    <row r="64" spans="1:7" x14ac:dyDescent="0.25">
      <c r="A64" s="26">
        <v>42867.330821759257</v>
      </c>
      <c r="B64" s="20" t="s">
        <v>472</v>
      </c>
      <c r="C64" s="20" t="s">
        <v>647</v>
      </c>
      <c r="D64" s="141">
        <v>1260000</v>
      </c>
      <c r="E64" s="20" t="s">
        <v>498</v>
      </c>
      <c r="F64" s="20" t="s">
        <v>499</v>
      </c>
      <c r="G64" s="8" t="str">
        <f t="shared" si="0"/>
        <v>ACKERMAN JARED</v>
      </c>
    </row>
    <row r="65" spans="1:7" x14ac:dyDescent="0.25">
      <c r="A65" s="8">
        <v>42867.331863425927</v>
      </c>
      <c r="B65" s="20" t="s">
        <v>505</v>
      </c>
      <c r="C65" s="20" t="s">
        <v>648</v>
      </c>
      <c r="D65" s="141">
        <v>2560000</v>
      </c>
      <c r="E65" s="20" t="s">
        <v>500</v>
      </c>
      <c r="F65" s="20" t="s">
        <v>397</v>
      </c>
      <c r="G65" s="8" t="str">
        <f t="shared" si="0"/>
        <v>MACDONALD THOMAS</v>
      </c>
    </row>
    <row r="66" spans="1:7" x14ac:dyDescent="0.25">
      <c r="A66" s="8">
        <v>42867.338009259256</v>
      </c>
      <c r="B66" s="20" t="s">
        <v>381</v>
      </c>
      <c r="C66" s="20" t="s">
        <v>649</v>
      </c>
      <c r="D66" s="141">
        <v>1100000</v>
      </c>
      <c r="E66" s="20" t="s">
        <v>614</v>
      </c>
      <c r="F66" s="20" t="s">
        <v>615</v>
      </c>
      <c r="G66" s="8" t="str">
        <f t="shared" si="0"/>
        <v>GEBRETEKLE DAGNEW</v>
      </c>
    </row>
    <row r="67" spans="1:7" x14ac:dyDescent="0.25">
      <c r="A67" s="8">
        <v>42867.338437500002</v>
      </c>
      <c r="B67" s="20" t="s">
        <v>394</v>
      </c>
      <c r="C67" s="20" t="s">
        <v>650</v>
      </c>
      <c r="D67" s="141">
        <v>900000</v>
      </c>
      <c r="E67" s="20" t="s">
        <v>447</v>
      </c>
      <c r="F67" s="20" t="s">
        <v>448</v>
      </c>
      <c r="G67" s="8" t="str">
        <f t="shared" ref="G67:G130" si="1">E67&amp;" "&amp;F67</f>
        <v>ROCHA YAOTL</v>
      </c>
    </row>
    <row r="68" spans="1:7" x14ac:dyDescent="0.25">
      <c r="A68" s="8">
        <v>42867.34003472222</v>
      </c>
      <c r="B68" s="20" t="s">
        <v>611</v>
      </c>
      <c r="C68" s="20" t="s">
        <v>651</v>
      </c>
      <c r="D68" s="141">
        <v>890000</v>
      </c>
      <c r="E68" s="20" t="s">
        <v>445</v>
      </c>
      <c r="F68" s="20" t="s">
        <v>446</v>
      </c>
      <c r="G68" s="8" t="str">
        <f t="shared" si="1"/>
        <v>LOZA FIDEL</v>
      </c>
    </row>
    <row r="69" spans="1:7" x14ac:dyDescent="0.25">
      <c r="A69" s="8">
        <v>42867.34034722222</v>
      </c>
      <c r="B69" s="20" t="s">
        <v>401</v>
      </c>
      <c r="C69" s="20" t="s">
        <v>652</v>
      </c>
      <c r="D69" s="141">
        <v>1230000</v>
      </c>
      <c r="E69" s="20" t="s">
        <v>501</v>
      </c>
      <c r="F69" s="20" t="s">
        <v>502</v>
      </c>
      <c r="G69" s="8" t="str">
        <f t="shared" si="1"/>
        <v>YANAI IAN</v>
      </c>
    </row>
    <row r="70" spans="1:7" x14ac:dyDescent="0.25">
      <c r="A70" s="8">
        <v>42867.352430555555</v>
      </c>
      <c r="B70" s="20" t="s">
        <v>383</v>
      </c>
      <c r="C70" s="20" t="s">
        <v>649</v>
      </c>
      <c r="D70" s="141">
        <v>1100000</v>
      </c>
      <c r="E70" s="20" t="s">
        <v>614</v>
      </c>
      <c r="F70" s="20" t="s">
        <v>615</v>
      </c>
      <c r="G70" s="8" t="str">
        <f t="shared" si="1"/>
        <v>GEBRETEKLE DAGNEW</v>
      </c>
    </row>
    <row r="71" spans="1:7" x14ac:dyDescent="0.25">
      <c r="A71" s="8">
        <v>42867.352997685186</v>
      </c>
      <c r="B71" s="20" t="s">
        <v>383</v>
      </c>
      <c r="C71" s="20" t="s">
        <v>653</v>
      </c>
      <c r="D71" s="141">
        <v>1100000</v>
      </c>
      <c r="E71" s="20" t="s">
        <v>614</v>
      </c>
      <c r="F71" s="20" t="s">
        <v>615</v>
      </c>
      <c r="G71" s="8" t="str">
        <f t="shared" si="1"/>
        <v>GEBRETEKLE DAGNEW</v>
      </c>
    </row>
    <row r="72" spans="1:7" x14ac:dyDescent="0.25">
      <c r="A72" s="8">
        <v>42867.353136574071</v>
      </c>
      <c r="B72" s="20" t="s">
        <v>601</v>
      </c>
      <c r="C72" s="20" t="s">
        <v>654</v>
      </c>
      <c r="D72" s="141">
        <v>1140000</v>
      </c>
      <c r="E72" s="20" t="s">
        <v>655</v>
      </c>
      <c r="F72" s="20" t="s">
        <v>656</v>
      </c>
      <c r="G72" s="8" t="str">
        <f t="shared" si="1"/>
        <v>YOUNG ELIZABETH</v>
      </c>
    </row>
    <row r="73" spans="1:7" x14ac:dyDescent="0.25">
      <c r="A73" s="8">
        <v>42867.355682870373</v>
      </c>
      <c r="B73" s="20" t="s">
        <v>395</v>
      </c>
      <c r="C73" s="20" t="s">
        <v>657</v>
      </c>
      <c r="D73" s="141">
        <v>2140000</v>
      </c>
      <c r="E73" s="20" t="s">
        <v>496</v>
      </c>
      <c r="F73" s="20" t="s">
        <v>497</v>
      </c>
      <c r="G73" s="8" t="str">
        <f t="shared" si="1"/>
        <v>ROBINSON KADDIBA</v>
      </c>
    </row>
    <row r="74" spans="1:7" x14ac:dyDescent="0.25">
      <c r="A74" s="8">
        <v>42867.359282407408</v>
      </c>
      <c r="B74" s="20" t="s">
        <v>467</v>
      </c>
      <c r="C74" s="20" t="s">
        <v>658</v>
      </c>
      <c r="D74" s="141">
        <v>2560000</v>
      </c>
      <c r="E74" s="20" t="s">
        <v>500</v>
      </c>
      <c r="F74" s="20" t="s">
        <v>397</v>
      </c>
      <c r="G74" s="8" t="str">
        <f t="shared" si="1"/>
        <v>MACDONALD THOMAS</v>
      </c>
    </row>
    <row r="75" spans="1:7" x14ac:dyDescent="0.25">
      <c r="A75" s="8">
        <v>42867.362627314818</v>
      </c>
      <c r="B75" s="20" t="s">
        <v>444</v>
      </c>
      <c r="C75" s="20" t="s">
        <v>659</v>
      </c>
      <c r="D75" s="141">
        <v>2550000</v>
      </c>
      <c r="E75" s="20" t="s">
        <v>468</v>
      </c>
      <c r="F75" s="20" t="s">
        <v>469</v>
      </c>
      <c r="G75" s="8" t="str">
        <f t="shared" si="1"/>
        <v>BADERTSCHER DIANE</v>
      </c>
    </row>
    <row r="76" spans="1:7" x14ac:dyDescent="0.25">
      <c r="A76" s="8">
        <v>42867.365567129629</v>
      </c>
      <c r="B76" s="20" t="s">
        <v>466</v>
      </c>
      <c r="C76" s="20" t="s">
        <v>660</v>
      </c>
      <c r="D76" s="141">
        <v>1260000</v>
      </c>
      <c r="E76" s="20" t="s">
        <v>498</v>
      </c>
      <c r="F76" s="20" t="s">
        <v>499</v>
      </c>
      <c r="G76" s="8" t="str">
        <f t="shared" si="1"/>
        <v>ACKERMAN JARED</v>
      </c>
    </row>
    <row r="77" spans="1:7" x14ac:dyDescent="0.25">
      <c r="A77" s="8">
        <v>42867.372395833336</v>
      </c>
      <c r="B77" s="20" t="s">
        <v>505</v>
      </c>
      <c r="C77" s="20" t="s">
        <v>661</v>
      </c>
      <c r="D77" s="141">
        <v>2560000</v>
      </c>
      <c r="E77" s="20" t="s">
        <v>500</v>
      </c>
      <c r="F77" s="20" t="s">
        <v>397</v>
      </c>
      <c r="G77" s="8" t="str">
        <f t="shared" si="1"/>
        <v>MACDONALD THOMAS</v>
      </c>
    </row>
    <row r="78" spans="1:7" x14ac:dyDescent="0.25">
      <c r="A78" s="8">
        <v>42867.373356481483</v>
      </c>
      <c r="B78" s="20" t="s">
        <v>396</v>
      </c>
      <c r="C78" s="20" t="s">
        <v>662</v>
      </c>
      <c r="D78" s="141">
        <v>900000</v>
      </c>
      <c r="E78" s="20" t="s">
        <v>447</v>
      </c>
      <c r="F78" s="20" t="s">
        <v>448</v>
      </c>
      <c r="G78" s="8" t="str">
        <f t="shared" si="1"/>
        <v>ROCHA YAOTL</v>
      </c>
    </row>
    <row r="79" spans="1:7" x14ac:dyDescent="0.25">
      <c r="A79" s="8">
        <v>42867.381168981483</v>
      </c>
      <c r="B79" s="20" t="s">
        <v>410</v>
      </c>
      <c r="C79" s="20" t="s">
        <v>567</v>
      </c>
      <c r="D79" s="141">
        <v>1230000</v>
      </c>
      <c r="E79" s="20" t="s">
        <v>501</v>
      </c>
      <c r="F79" s="20" t="s">
        <v>502</v>
      </c>
      <c r="G79" s="8" t="str">
        <f t="shared" si="1"/>
        <v>YANAI IAN</v>
      </c>
    </row>
    <row r="80" spans="1:7" x14ac:dyDescent="0.25">
      <c r="A80" s="8">
        <v>42867.381874999999</v>
      </c>
      <c r="B80" s="20" t="s">
        <v>609</v>
      </c>
      <c r="C80" s="20" t="s">
        <v>663</v>
      </c>
      <c r="D80" s="141">
        <v>890000</v>
      </c>
      <c r="E80" s="20" t="s">
        <v>445</v>
      </c>
      <c r="F80" s="20" t="s">
        <v>446</v>
      </c>
      <c r="G80" s="8" t="str">
        <f t="shared" si="1"/>
        <v>LOZA FIDEL</v>
      </c>
    </row>
    <row r="81" spans="1:7" x14ac:dyDescent="0.25">
      <c r="A81" s="8">
        <v>42867.390694444446</v>
      </c>
      <c r="B81" s="20" t="s">
        <v>579</v>
      </c>
      <c r="C81" s="20" t="s">
        <v>664</v>
      </c>
      <c r="D81" s="141">
        <v>1140000</v>
      </c>
      <c r="E81" s="20" t="s">
        <v>655</v>
      </c>
      <c r="F81" s="20" t="s">
        <v>656</v>
      </c>
      <c r="G81" s="8" t="str">
        <f t="shared" si="1"/>
        <v>YOUNG ELIZABETH</v>
      </c>
    </row>
    <row r="82" spans="1:7" x14ac:dyDescent="0.25">
      <c r="A82" s="8">
        <v>42867.391782407409</v>
      </c>
      <c r="B82" s="20" t="s">
        <v>345</v>
      </c>
      <c r="C82" s="20" t="s">
        <v>665</v>
      </c>
      <c r="D82" s="141">
        <v>2140000</v>
      </c>
      <c r="E82" s="20" t="s">
        <v>496</v>
      </c>
      <c r="F82" s="20" t="s">
        <v>497</v>
      </c>
      <c r="G82" s="8" t="str">
        <f t="shared" si="1"/>
        <v>ROBINSON KADDIBA</v>
      </c>
    </row>
    <row r="83" spans="1:7" x14ac:dyDescent="0.25">
      <c r="A83" s="8">
        <v>42867.396319444444</v>
      </c>
      <c r="B83" s="20" t="s">
        <v>574</v>
      </c>
      <c r="C83" s="20" t="s">
        <v>666</v>
      </c>
      <c r="D83" s="141">
        <v>2550000</v>
      </c>
      <c r="E83" s="20" t="s">
        <v>468</v>
      </c>
      <c r="F83" s="20" t="s">
        <v>469</v>
      </c>
      <c r="G83" s="8" t="str">
        <f t="shared" si="1"/>
        <v>BADERTSCHER DIANE</v>
      </c>
    </row>
    <row r="84" spans="1:7" x14ac:dyDescent="0.25">
      <c r="A84" s="8">
        <v>42867.400740740741</v>
      </c>
      <c r="B84" s="20" t="s">
        <v>467</v>
      </c>
      <c r="C84" s="20" t="s">
        <v>667</v>
      </c>
      <c r="D84" s="141">
        <v>2560000</v>
      </c>
      <c r="E84" s="20" t="s">
        <v>500</v>
      </c>
      <c r="F84" s="20" t="s">
        <v>397</v>
      </c>
      <c r="G84" s="8" t="str">
        <f t="shared" si="1"/>
        <v>MACDONALD THOMAS</v>
      </c>
    </row>
    <row r="85" spans="1:7" x14ac:dyDescent="0.25">
      <c r="A85" s="8">
        <v>42867.401678240742</v>
      </c>
      <c r="B85" s="20" t="s">
        <v>472</v>
      </c>
      <c r="C85" s="20" t="s">
        <v>668</v>
      </c>
      <c r="D85" s="141">
        <v>1260000</v>
      </c>
      <c r="E85" s="20" t="s">
        <v>498</v>
      </c>
      <c r="F85" s="20" t="s">
        <v>499</v>
      </c>
      <c r="G85" s="8" t="str">
        <f t="shared" si="1"/>
        <v>ACKERMAN JARED</v>
      </c>
    </row>
    <row r="86" spans="1:7" x14ac:dyDescent="0.25">
      <c r="A86" s="8">
        <v>42867.412175925929</v>
      </c>
      <c r="B86" s="20" t="s">
        <v>401</v>
      </c>
      <c r="C86" s="20" t="s">
        <v>669</v>
      </c>
      <c r="D86" s="141">
        <v>1230000</v>
      </c>
      <c r="E86" s="20" t="s">
        <v>501</v>
      </c>
      <c r="F86" s="20" t="s">
        <v>502</v>
      </c>
      <c r="G86" s="8" t="str">
        <f t="shared" si="1"/>
        <v>YANAI IAN</v>
      </c>
    </row>
    <row r="87" spans="1:7" x14ac:dyDescent="0.25">
      <c r="A87" s="8">
        <v>42867.412569444445</v>
      </c>
      <c r="B87" s="20" t="s">
        <v>611</v>
      </c>
      <c r="C87" s="20" t="s">
        <v>670</v>
      </c>
      <c r="D87" s="141">
        <v>890000</v>
      </c>
      <c r="E87" s="20" t="s">
        <v>445</v>
      </c>
      <c r="F87" s="20" t="s">
        <v>446</v>
      </c>
      <c r="G87" s="8" t="str">
        <f t="shared" si="1"/>
        <v>LOZA FIDEL</v>
      </c>
    </row>
    <row r="88" spans="1:7" x14ac:dyDescent="0.25">
      <c r="A88" s="8">
        <v>42867.413414351853</v>
      </c>
      <c r="B88" s="20" t="s">
        <v>394</v>
      </c>
      <c r="C88" s="20" t="s">
        <v>671</v>
      </c>
      <c r="D88" s="141">
        <v>900000</v>
      </c>
      <c r="E88" s="20" t="s">
        <v>447</v>
      </c>
      <c r="F88" s="20" t="s">
        <v>448</v>
      </c>
      <c r="G88" s="8" t="str">
        <f t="shared" si="1"/>
        <v>ROCHA YAOTL</v>
      </c>
    </row>
    <row r="89" spans="1:7" x14ac:dyDescent="0.25">
      <c r="A89" s="8">
        <v>42867.414467592593</v>
      </c>
      <c r="B89" s="20" t="s">
        <v>505</v>
      </c>
      <c r="C89" s="20" t="s">
        <v>672</v>
      </c>
      <c r="D89" s="141">
        <v>2560000</v>
      </c>
      <c r="E89" s="20" t="s">
        <v>500</v>
      </c>
      <c r="F89" s="20" t="s">
        <v>397</v>
      </c>
      <c r="G89" s="8" t="str">
        <f t="shared" si="1"/>
        <v>MACDONALD THOMAS</v>
      </c>
    </row>
    <row r="90" spans="1:7" x14ac:dyDescent="0.25">
      <c r="A90" s="8">
        <v>42867.420046296298</v>
      </c>
      <c r="B90" s="20" t="s">
        <v>401</v>
      </c>
      <c r="C90" s="20" t="s">
        <v>669</v>
      </c>
      <c r="D90" s="141">
        <v>1230000</v>
      </c>
      <c r="E90" s="20" t="s">
        <v>501</v>
      </c>
      <c r="F90" s="20" t="s">
        <v>502</v>
      </c>
      <c r="G90" s="8" t="str">
        <f t="shared" si="1"/>
        <v>YANAI IAN</v>
      </c>
    </row>
    <row r="91" spans="1:7" x14ac:dyDescent="0.25">
      <c r="A91" s="8">
        <v>42867.424143518518</v>
      </c>
      <c r="B91" s="20" t="s">
        <v>601</v>
      </c>
      <c r="C91" s="20" t="s">
        <v>673</v>
      </c>
      <c r="D91" s="141">
        <v>940000</v>
      </c>
      <c r="E91" s="20" t="s">
        <v>408</v>
      </c>
      <c r="F91" s="20" t="s">
        <v>409</v>
      </c>
      <c r="G91" s="8" t="str">
        <f t="shared" si="1"/>
        <v>BONDS REYNALDO</v>
      </c>
    </row>
    <row r="92" spans="1:7" x14ac:dyDescent="0.25">
      <c r="A92" s="8">
        <v>42867.432650462964</v>
      </c>
      <c r="B92" s="20" t="s">
        <v>369</v>
      </c>
      <c r="C92" s="20" t="s">
        <v>674</v>
      </c>
      <c r="D92" s="141">
        <v>2370000</v>
      </c>
      <c r="E92" s="20" t="s">
        <v>470</v>
      </c>
      <c r="F92" s="20" t="s">
        <v>471</v>
      </c>
      <c r="G92" s="8" t="str">
        <f t="shared" si="1"/>
        <v>DELGADO DIANAH</v>
      </c>
    </row>
    <row r="93" spans="1:7" x14ac:dyDescent="0.25">
      <c r="A93" s="8">
        <v>42867.43309027778</v>
      </c>
      <c r="B93" s="20" t="s">
        <v>395</v>
      </c>
      <c r="C93" s="20" t="s">
        <v>675</v>
      </c>
      <c r="D93" s="141">
        <v>2140000</v>
      </c>
      <c r="E93" s="20" t="s">
        <v>496</v>
      </c>
      <c r="F93" s="20" t="s">
        <v>497</v>
      </c>
      <c r="G93" s="8" t="str">
        <f t="shared" si="1"/>
        <v>ROBINSON KADDIBA</v>
      </c>
    </row>
    <row r="94" spans="1:7" x14ac:dyDescent="0.25">
      <c r="A94" s="8">
        <v>42867.434803240743</v>
      </c>
      <c r="B94" s="20" t="s">
        <v>444</v>
      </c>
      <c r="C94" s="20" t="s">
        <v>676</v>
      </c>
      <c r="D94" s="141">
        <v>1100000</v>
      </c>
      <c r="E94" s="20" t="s">
        <v>614</v>
      </c>
      <c r="F94" s="20" t="s">
        <v>615</v>
      </c>
      <c r="G94" s="8" t="str">
        <f t="shared" si="1"/>
        <v>GEBRETEKLE DAGNEW</v>
      </c>
    </row>
    <row r="95" spans="1:7" x14ac:dyDescent="0.25">
      <c r="A95" s="8">
        <v>42867.439942129633</v>
      </c>
      <c r="B95" s="20" t="s">
        <v>466</v>
      </c>
      <c r="C95" s="20" t="s">
        <v>677</v>
      </c>
      <c r="D95" s="141">
        <v>1260000</v>
      </c>
      <c r="E95" s="20" t="s">
        <v>498</v>
      </c>
      <c r="F95" s="20" t="s">
        <v>499</v>
      </c>
      <c r="G95" s="8" t="str">
        <f t="shared" si="1"/>
        <v>ACKERMAN JARED</v>
      </c>
    </row>
    <row r="96" spans="1:7" x14ac:dyDescent="0.25">
      <c r="A96" s="8">
        <v>42867.442673611113</v>
      </c>
      <c r="B96" s="20" t="s">
        <v>467</v>
      </c>
      <c r="C96" s="20" t="s">
        <v>678</v>
      </c>
      <c r="D96" s="141">
        <v>2560000</v>
      </c>
      <c r="E96" s="20" t="s">
        <v>500</v>
      </c>
      <c r="F96" s="20" t="s">
        <v>397</v>
      </c>
      <c r="G96" s="8" t="str">
        <f t="shared" si="1"/>
        <v>MACDONALD THOMAS</v>
      </c>
    </row>
    <row r="97" spans="1:7" x14ac:dyDescent="0.25">
      <c r="A97" s="8">
        <v>42867.446701388886</v>
      </c>
      <c r="B97" s="20" t="s">
        <v>396</v>
      </c>
      <c r="C97" s="20" t="s">
        <v>679</v>
      </c>
      <c r="D97" s="141">
        <v>900000</v>
      </c>
      <c r="E97" s="20" t="s">
        <v>447</v>
      </c>
      <c r="F97" s="20" t="s">
        <v>448</v>
      </c>
      <c r="G97" s="8" t="str">
        <f t="shared" si="1"/>
        <v>ROCHA YAOTL</v>
      </c>
    </row>
    <row r="98" spans="1:7" x14ac:dyDescent="0.25">
      <c r="A98" s="8">
        <v>42867.453611111108</v>
      </c>
      <c r="B98" s="20" t="s">
        <v>410</v>
      </c>
      <c r="C98" s="20" t="s">
        <v>568</v>
      </c>
      <c r="D98" s="141">
        <v>880000</v>
      </c>
      <c r="E98" s="20" t="s">
        <v>680</v>
      </c>
      <c r="F98" s="20" t="s">
        <v>196</v>
      </c>
      <c r="G98" s="8" t="str">
        <f t="shared" si="1"/>
        <v>STEWART MICHAEL</v>
      </c>
    </row>
    <row r="99" spans="1:7" x14ac:dyDescent="0.25">
      <c r="A99" s="8">
        <v>42867.453900462962</v>
      </c>
      <c r="B99" s="20" t="s">
        <v>609</v>
      </c>
      <c r="C99" s="20" t="s">
        <v>681</v>
      </c>
      <c r="D99" s="141">
        <v>890000</v>
      </c>
      <c r="E99" s="20" t="s">
        <v>445</v>
      </c>
      <c r="F99" s="20" t="s">
        <v>446</v>
      </c>
      <c r="G99" s="8" t="str">
        <f t="shared" si="1"/>
        <v>LOZA FIDEL</v>
      </c>
    </row>
    <row r="100" spans="1:7" x14ac:dyDescent="0.25">
      <c r="A100" s="8">
        <v>42867.456006944441</v>
      </c>
      <c r="B100" s="20" t="s">
        <v>579</v>
      </c>
      <c r="C100" s="20" t="s">
        <v>682</v>
      </c>
      <c r="D100" s="141">
        <v>940000</v>
      </c>
      <c r="E100" s="20" t="s">
        <v>408</v>
      </c>
      <c r="F100" s="20" t="s">
        <v>409</v>
      </c>
      <c r="G100" s="8" t="str">
        <f t="shared" si="1"/>
        <v>BONDS REYNALDO</v>
      </c>
    </row>
    <row r="101" spans="1:7" x14ac:dyDescent="0.25">
      <c r="A101" s="8">
        <v>42867.461388888885</v>
      </c>
      <c r="B101" s="20" t="s">
        <v>365</v>
      </c>
      <c r="C101" s="20" t="s">
        <v>683</v>
      </c>
      <c r="D101" s="141">
        <v>1230000</v>
      </c>
      <c r="E101" s="20" t="s">
        <v>501</v>
      </c>
      <c r="F101" s="20" t="s">
        <v>502</v>
      </c>
      <c r="G101" s="8" t="str">
        <f t="shared" si="1"/>
        <v>YANAI IAN</v>
      </c>
    </row>
    <row r="102" spans="1:7" x14ac:dyDescent="0.25">
      <c r="A102" s="8">
        <v>42867.464108796295</v>
      </c>
      <c r="B102" s="20" t="s">
        <v>345</v>
      </c>
      <c r="C102" s="20" t="s">
        <v>684</v>
      </c>
      <c r="D102" s="141">
        <v>2370000</v>
      </c>
      <c r="E102" s="20" t="s">
        <v>470</v>
      </c>
      <c r="F102" s="20" t="s">
        <v>471</v>
      </c>
      <c r="G102" s="8" t="str">
        <f t="shared" si="1"/>
        <v>DELGADO DIANAH</v>
      </c>
    </row>
    <row r="103" spans="1:7" x14ac:dyDescent="0.25">
      <c r="A103" s="8">
        <v>42867.470347222225</v>
      </c>
      <c r="B103" s="20" t="s">
        <v>505</v>
      </c>
      <c r="C103" s="20" t="s">
        <v>569</v>
      </c>
      <c r="D103" s="141">
        <v>2560000</v>
      </c>
      <c r="E103" s="20" t="s">
        <v>500</v>
      </c>
      <c r="F103" s="20" t="s">
        <v>397</v>
      </c>
      <c r="G103" s="8" t="str">
        <f t="shared" si="1"/>
        <v>MACDONALD THOMAS</v>
      </c>
    </row>
    <row r="104" spans="1:7" x14ac:dyDescent="0.25">
      <c r="A104" s="8">
        <v>42867.473877314813</v>
      </c>
      <c r="B104" s="20" t="s">
        <v>574</v>
      </c>
      <c r="C104" s="20" t="s">
        <v>685</v>
      </c>
      <c r="D104" s="141">
        <v>1100000</v>
      </c>
      <c r="E104" s="20" t="s">
        <v>614</v>
      </c>
      <c r="F104" s="20" t="s">
        <v>615</v>
      </c>
      <c r="G104" s="8" t="str">
        <f t="shared" si="1"/>
        <v>GEBRETEKLE DAGNEW</v>
      </c>
    </row>
    <row r="105" spans="1:7" x14ac:dyDescent="0.25">
      <c r="A105" s="8">
        <v>42867.475324074076</v>
      </c>
      <c r="B105" s="20" t="s">
        <v>472</v>
      </c>
      <c r="C105" s="20" t="s">
        <v>686</v>
      </c>
      <c r="D105" s="141">
        <v>930000</v>
      </c>
      <c r="E105" s="20" t="s">
        <v>412</v>
      </c>
      <c r="F105" s="20" t="s">
        <v>413</v>
      </c>
      <c r="G105" s="8" t="str">
        <f t="shared" si="1"/>
        <v>CLARK KATHLEEN</v>
      </c>
    </row>
    <row r="106" spans="1:7" x14ac:dyDescent="0.25">
      <c r="A106" s="8">
        <v>42867.4846412037</v>
      </c>
      <c r="B106" s="20" t="s">
        <v>611</v>
      </c>
      <c r="C106" s="20" t="s">
        <v>687</v>
      </c>
      <c r="D106" s="141">
        <v>2440000</v>
      </c>
      <c r="E106" s="20" t="s">
        <v>475</v>
      </c>
      <c r="F106" s="20" t="s">
        <v>476</v>
      </c>
      <c r="G106" s="8" t="str">
        <f t="shared" si="1"/>
        <v>LOPES KIMBERLY</v>
      </c>
    </row>
    <row r="107" spans="1:7" x14ac:dyDescent="0.25">
      <c r="A107" s="8">
        <v>42867.48505787037</v>
      </c>
      <c r="B107" s="20" t="s">
        <v>467</v>
      </c>
      <c r="C107" s="20" t="s">
        <v>570</v>
      </c>
      <c r="D107" s="141">
        <v>2560000</v>
      </c>
      <c r="E107" s="20" t="s">
        <v>500</v>
      </c>
      <c r="F107" s="20" t="s">
        <v>397</v>
      </c>
      <c r="G107" s="8" t="str">
        <f t="shared" si="1"/>
        <v>MACDONALD THOMAS</v>
      </c>
    </row>
    <row r="108" spans="1:7" x14ac:dyDescent="0.25">
      <c r="A108" s="8">
        <v>42867.485682870371</v>
      </c>
      <c r="B108" s="20" t="s">
        <v>394</v>
      </c>
      <c r="C108" s="20" t="s">
        <v>571</v>
      </c>
      <c r="D108" s="141">
        <v>900000</v>
      </c>
      <c r="E108" s="20" t="s">
        <v>447</v>
      </c>
      <c r="F108" s="20" t="s">
        <v>448</v>
      </c>
      <c r="G108" s="8" t="str">
        <f t="shared" si="1"/>
        <v>ROCHA YAOTL</v>
      </c>
    </row>
    <row r="109" spans="1:7" x14ac:dyDescent="0.25">
      <c r="A109" s="8">
        <v>42867.493668981479</v>
      </c>
      <c r="B109" s="20" t="s">
        <v>401</v>
      </c>
      <c r="C109" s="20" t="s">
        <v>688</v>
      </c>
      <c r="D109" s="141">
        <v>880000</v>
      </c>
      <c r="E109" s="20" t="s">
        <v>680</v>
      </c>
      <c r="F109" s="20" t="s">
        <v>196</v>
      </c>
      <c r="G109" s="8" t="str">
        <f t="shared" si="1"/>
        <v>STEWART MICHAEL</v>
      </c>
    </row>
    <row r="110" spans="1:7" x14ac:dyDescent="0.25">
      <c r="A110" s="8">
        <v>42867.498437499999</v>
      </c>
      <c r="B110" s="20" t="s">
        <v>395</v>
      </c>
      <c r="C110" s="20" t="s">
        <v>572</v>
      </c>
      <c r="D110" s="141">
        <v>2370000</v>
      </c>
      <c r="E110" s="20" t="s">
        <v>470</v>
      </c>
      <c r="F110" s="20" t="s">
        <v>471</v>
      </c>
      <c r="G110" s="8" t="str">
        <f t="shared" si="1"/>
        <v>DELGADO DIANAH</v>
      </c>
    </row>
    <row r="111" spans="1:7" x14ac:dyDescent="0.25">
      <c r="A111" s="8">
        <v>42867.498912037037</v>
      </c>
      <c r="B111" s="20" t="s">
        <v>505</v>
      </c>
      <c r="C111" s="20" t="s">
        <v>689</v>
      </c>
      <c r="D111" s="141">
        <v>2560000</v>
      </c>
      <c r="E111" s="20" t="s">
        <v>500</v>
      </c>
      <c r="F111" s="20" t="s">
        <v>397</v>
      </c>
      <c r="G111" s="8" t="str">
        <f t="shared" si="1"/>
        <v>MACDONALD THOMAS</v>
      </c>
    </row>
    <row r="112" spans="1:7" x14ac:dyDescent="0.25">
      <c r="A112" s="8">
        <v>42867.501168981478</v>
      </c>
      <c r="B112" s="20" t="s">
        <v>601</v>
      </c>
      <c r="C112" s="20" t="s">
        <v>690</v>
      </c>
      <c r="D112" s="141">
        <v>1540000</v>
      </c>
      <c r="E112" s="20" t="s">
        <v>473</v>
      </c>
      <c r="F112" s="20" t="s">
        <v>474</v>
      </c>
      <c r="G112" s="8" t="str">
        <f t="shared" si="1"/>
        <v>HELVIE ADAM</v>
      </c>
    </row>
    <row r="113" spans="1:7" x14ac:dyDescent="0.25">
      <c r="A113" s="8">
        <v>42867.506157407406</v>
      </c>
      <c r="B113" s="20" t="s">
        <v>444</v>
      </c>
      <c r="C113" s="20" t="s">
        <v>573</v>
      </c>
      <c r="D113" s="141">
        <v>2360000</v>
      </c>
      <c r="E113" s="20" t="s">
        <v>503</v>
      </c>
      <c r="F113" s="20" t="s">
        <v>504</v>
      </c>
      <c r="G113" s="8" t="str">
        <f t="shared" si="1"/>
        <v>BRANDNER MELINDA</v>
      </c>
    </row>
    <row r="114" spans="1:7" x14ac:dyDescent="0.25">
      <c r="A114" s="8">
        <v>42867.511122685188</v>
      </c>
      <c r="B114" s="20" t="s">
        <v>394</v>
      </c>
      <c r="C114" s="20" t="s">
        <v>571</v>
      </c>
      <c r="D114" s="141">
        <v>900000</v>
      </c>
      <c r="E114" s="20" t="s">
        <v>447</v>
      </c>
      <c r="F114" s="20" t="s">
        <v>448</v>
      </c>
      <c r="G114" s="8" t="str">
        <f t="shared" si="1"/>
        <v>ROCHA YAOTL</v>
      </c>
    </row>
    <row r="115" spans="1:7" x14ac:dyDescent="0.25">
      <c r="A115" s="8">
        <v>42867.514594907407</v>
      </c>
      <c r="B115" s="20" t="s">
        <v>466</v>
      </c>
      <c r="C115" s="20" t="s">
        <v>691</v>
      </c>
      <c r="D115" s="141">
        <v>930000</v>
      </c>
      <c r="E115" s="20" t="s">
        <v>412</v>
      </c>
      <c r="F115" s="20" t="s">
        <v>413</v>
      </c>
      <c r="G115" s="8" t="str">
        <f t="shared" si="1"/>
        <v>CLARK KATHLEEN</v>
      </c>
    </row>
    <row r="116" spans="1:7" x14ac:dyDescent="0.25">
      <c r="A116" s="8">
        <v>42867.520104166666</v>
      </c>
      <c r="B116" s="20" t="s">
        <v>396</v>
      </c>
      <c r="C116" s="20" t="s">
        <v>692</v>
      </c>
      <c r="D116" s="141">
        <v>2040000</v>
      </c>
      <c r="E116" s="20" t="s">
        <v>508</v>
      </c>
      <c r="F116" s="20" t="s">
        <v>509</v>
      </c>
      <c r="G116" s="8" t="str">
        <f t="shared" si="1"/>
        <v>MOSES BRADLEY</v>
      </c>
    </row>
    <row r="117" spans="1:7" x14ac:dyDescent="0.25">
      <c r="A117" s="8">
        <v>42867.522905092592</v>
      </c>
      <c r="B117" s="20" t="s">
        <v>609</v>
      </c>
      <c r="C117" s="20" t="s">
        <v>693</v>
      </c>
      <c r="D117" s="141">
        <v>2440000</v>
      </c>
      <c r="E117" s="20" t="s">
        <v>475</v>
      </c>
      <c r="F117" s="20" t="s">
        <v>476</v>
      </c>
      <c r="G117" s="8" t="str">
        <f t="shared" si="1"/>
        <v>LOPES KIMBERLY</v>
      </c>
    </row>
    <row r="118" spans="1:7" x14ac:dyDescent="0.25">
      <c r="A118" s="8">
        <v>42867.526631944442</v>
      </c>
      <c r="B118" s="20" t="s">
        <v>467</v>
      </c>
      <c r="C118" s="20" t="s">
        <v>694</v>
      </c>
      <c r="D118" s="141">
        <v>2560000</v>
      </c>
      <c r="E118" s="20" t="s">
        <v>500</v>
      </c>
      <c r="F118" s="20" t="s">
        <v>397</v>
      </c>
      <c r="G118" s="8" t="str">
        <f t="shared" si="1"/>
        <v>MACDONALD THOMAS</v>
      </c>
    </row>
    <row r="119" spans="1:7" x14ac:dyDescent="0.25">
      <c r="A119" s="8">
        <v>42867.529502314814</v>
      </c>
      <c r="B119" s="20" t="s">
        <v>410</v>
      </c>
      <c r="C119" s="20" t="s">
        <v>695</v>
      </c>
      <c r="D119" s="141">
        <v>880000</v>
      </c>
      <c r="E119" s="20" t="s">
        <v>680</v>
      </c>
      <c r="F119" s="20" t="s">
        <v>196</v>
      </c>
      <c r="G119" s="8" t="str">
        <f t="shared" si="1"/>
        <v>STEWART MICHAEL</v>
      </c>
    </row>
    <row r="120" spans="1:7" x14ac:dyDescent="0.25">
      <c r="A120" s="8">
        <v>42867.536944444444</v>
      </c>
      <c r="B120" s="20" t="s">
        <v>345</v>
      </c>
      <c r="C120" s="20" t="s">
        <v>696</v>
      </c>
      <c r="D120" s="141">
        <v>2480000</v>
      </c>
      <c r="E120" s="20" t="s">
        <v>506</v>
      </c>
      <c r="F120" s="20" t="s">
        <v>507</v>
      </c>
      <c r="G120" s="8" t="str">
        <f t="shared" si="1"/>
        <v>WHITED DUSTIN</v>
      </c>
    </row>
    <row r="121" spans="1:7" x14ac:dyDescent="0.25">
      <c r="A121" s="8">
        <v>42867.537141203706</v>
      </c>
      <c r="B121" s="20" t="s">
        <v>579</v>
      </c>
      <c r="C121" s="20" t="s">
        <v>697</v>
      </c>
      <c r="D121" s="141">
        <v>1540000</v>
      </c>
      <c r="E121" s="20" t="s">
        <v>473</v>
      </c>
      <c r="F121" s="20" t="s">
        <v>474</v>
      </c>
      <c r="G121" s="8" t="str">
        <f t="shared" si="1"/>
        <v>HELVIE ADAM</v>
      </c>
    </row>
    <row r="122" spans="1:7" x14ac:dyDescent="0.25">
      <c r="A122" s="8">
        <v>42867.543043981481</v>
      </c>
      <c r="B122" s="25" t="s">
        <v>505</v>
      </c>
      <c r="C122" s="20" t="s">
        <v>698</v>
      </c>
      <c r="D122" s="141">
        <v>3130000</v>
      </c>
      <c r="E122" s="20" t="s">
        <v>423</v>
      </c>
      <c r="F122" s="20" t="s">
        <v>424</v>
      </c>
      <c r="G122" s="8" t="str">
        <f t="shared" si="1"/>
        <v>ZEWDU DEREJE</v>
      </c>
    </row>
    <row r="123" spans="1:7" x14ac:dyDescent="0.25">
      <c r="A123" s="8">
        <v>42867.547546296293</v>
      </c>
      <c r="B123" s="20" t="s">
        <v>574</v>
      </c>
      <c r="C123" s="20" t="s">
        <v>575</v>
      </c>
      <c r="D123" s="141">
        <v>2360000</v>
      </c>
      <c r="E123" s="20" t="s">
        <v>503</v>
      </c>
      <c r="F123" s="20" t="s">
        <v>504</v>
      </c>
      <c r="G123" s="8" t="str">
        <f t="shared" si="1"/>
        <v>BRANDNER MELINDA</v>
      </c>
    </row>
    <row r="124" spans="1:7" x14ac:dyDescent="0.25">
      <c r="A124" s="8">
        <v>42867.548414351855</v>
      </c>
      <c r="B124" s="20" t="s">
        <v>472</v>
      </c>
      <c r="C124" s="20" t="s">
        <v>699</v>
      </c>
      <c r="D124" s="141">
        <v>930000</v>
      </c>
      <c r="E124" s="20" t="s">
        <v>412</v>
      </c>
      <c r="F124" s="20" t="s">
        <v>413</v>
      </c>
      <c r="G124" s="8" t="str">
        <f t="shared" si="1"/>
        <v>CLARK KATHLEEN</v>
      </c>
    </row>
    <row r="125" spans="1:7" x14ac:dyDescent="0.25">
      <c r="A125" s="8">
        <v>42867.555648148147</v>
      </c>
      <c r="B125" s="20" t="s">
        <v>394</v>
      </c>
      <c r="C125" s="20" t="s">
        <v>700</v>
      </c>
      <c r="D125" s="141">
        <v>2040000</v>
      </c>
      <c r="E125" s="20" t="s">
        <v>508</v>
      </c>
      <c r="F125" s="20" t="s">
        <v>509</v>
      </c>
      <c r="G125" s="8" t="str">
        <f t="shared" si="1"/>
        <v>MOSES BRADLEY</v>
      </c>
    </row>
    <row r="126" spans="1:7" x14ac:dyDescent="0.25">
      <c r="A126" s="8">
        <v>42867.557951388888</v>
      </c>
      <c r="B126" s="20" t="s">
        <v>611</v>
      </c>
      <c r="C126" s="20" t="s">
        <v>701</v>
      </c>
      <c r="D126" s="141">
        <v>2540000</v>
      </c>
      <c r="E126" s="20" t="s">
        <v>702</v>
      </c>
      <c r="F126" s="20" t="s">
        <v>703</v>
      </c>
      <c r="G126" s="8" t="str">
        <f t="shared" si="1"/>
        <v>MCREYNOLDS KYLE</v>
      </c>
    </row>
    <row r="127" spans="1:7" x14ac:dyDescent="0.25">
      <c r="A127" s="8">
        <v>42867.567094907405</v>
      </c>
      <c r="B127" s="20" t="s">
        <v>401</v>
      </c>
      <c r="C127" s="20" t="s">
        <v>576</v>
      </c>
      <c r="D127" s="141">
        <v>880000</v>
      </c>
      <c r="E127" s="20" t="s">
        <v>680</v>
      </c>
      <c r="F127" s="20" t="s">
        <v>196</v>
      </c>
      <c r="G127" s="8" t="str">
        <f t="shared" si="1"/>
        <v>STEWART MICHAEL</v>
      </c>
    </row>
    <row r="128" spans="1:7" x14ac:dyDescent="0.25">
      <c r="A128" s="8">
        <v>42867.568287037036</v>
      </c>
      <c r="B128" s="20" t="s">
        <v>467</v>
      </c>
      <c r="C128" s="20" t="s">
        <v>704</v>
      </c>
      <c r="D128" s="141">
        <v>3130000</v>
      </c>
      <c r="E128" s="20" t="s">
        <v>423</v>
      </c>
      <c r="F128" s="20" t="s">
        <v>424</v>
      </c>
      <c r="G128" s="8" t="str">
        <f t="shared" si="1"/>
        <v>ZEWDU DEREJE</v>
      </c>
    </row>
    <row r="129" spans="1:7" x14ac:dyDescent="0.25">
      <c r="A129" s="8">
        <v>42867.571689814817</v>
      </c>
      <c r="B129" s="20" t="s">
        <v>601</v>
      </c>
      <c r="C129" s="20" t="s">
        <v>705</v>
      </c>
      <c r="D129" s="141">
        <v>1540000</v>
      </c>
      <c r="E129" s="20" t="s">
        <v>473</v>
      </c>
      <c r="F129" s="20" t="s">
        <v>474</v>
      </c>
      <c r="G129" s="8" t="str">
        <f t="shared" si="1"/>
        <v>HELVIE ADAM</v>
      </c>
    </row>
    <row r="130" spans="1:7" x14ac:dyDescent="0.25">
      <c r="A130" s="8">
        <v>42867.575578703705</v>
      </c>
      <c r="B130" s="20" t="s">
        <v>395</v>
      </c>
      <c r="C130" s="20" t="s">
        <v>706</v>
      </c>
      <c r="D130" s="141">
        <v>2480000</v>
      </c>
      <c r="E130" s="20" t="s">
        <v>506</v>
      </c>
      <c r="F130" s="20" t="s">
        <v>507</v>
      </c>
      <c r="G130" s="8" t="str">
        <f t="shared" si="1"/>
        <v>WHITED DUSTIN</v>
      </c>
    </row>
    <row r="131" spans="1:7" x14ac:dyDescent="0.25">
      <c r="A131" s="8">
        <v>42867.576504629629</v>
      </c>
      <c r="B131" s="20" t="s">
        <v>601</v>
      </c>
      <c r="C131" s="20" t="s">
        <v>705</v>
      </c>
      <c r="D131" s="141">
        <v>1540000</v>
      </c>
      <c r="E131" s="20" t="s">
        <v>473</v>
      </c>
      <c r="F131" s="20" t="s">
        <v>474</v>
      </c>
      <c r="G131" s="8" t="str">
        <f t="shared" ref="G131:G194" si="2">E131&amp;" "&amp;F131</f>
        <v>HELVIE ADAM</v>
      </c>
    </row>
    <row r="132" spans="1:7" x14ac:dyDescent="0.25">
      <c r="A132" s="8">
        <v>42867.57917824074</v>
      </c>
      <c r="B132" s="20" t="s">
        <v>444</v>
      </c>
      <c r="C132" s="20" t="s">
        <v>577</v>
      </c>
      <c r="D132" s="141">
        <v>2360000</v>
      </c>
      <c r="E132" s="20" t="s">
        <v>503</v>
      </c>
      <c r="F132" s="20" t="s">
        <v>504</v>
      </c>
      <c r="G132" s="8" t="str">
        <f t="shared" si="2"/>
        <v>BRANDNER MELINDA</v>
      </c>
    </row>
    <row r="133" spans="1:7" x14ac:dyDescent="0.25">
      <c r="A133" s="8">
        <v>42867.582141203704</v>
      </c>
      <c r="B133" s="20" t="s">
        <v>505</v>
      </c>
      <c r="C133" s="20" t="s">
        <v>707</v>
      </c>
      <c r="D133" s="141">
        <v>3130000</v>
      </c>
      <c r="E133" s="20" t="s">
        <v>423</v>
      </c>
      <c r="F133" s="20" t="s">
        <v>424</v>
      </c>
      <c r="G133" s="8" t="str">
        <f t="shared" si="2"/>
        <v>ZEWDU DEREJE</v>
      </c>
    </row>
    <row r="134" spans="1:7" x14ac:dyDescent="0.25">
      <c r="A134" s="8">
        <v>42867.586342592593</v>
      </c>
      <c r="B134" s="20" t="s">
        <v>466</v>
      </c>
      <c r="C134" s="20" t="s">
        <v>708</v>
      </c>
      <c r="D134" s="141">
        <v>930000</v>
      </c>
      <c r="E134" s="20" t="s">
        <v>412</v>
      </c>
      <c r="F134" s="20" t="s">
        <v>413</v>
      </c>
      <c r="G134" s="8" t="str">
        <f t="shared" si="2"/>
        <v>CLARK KATHLEEN</v>
      </c>
    </row>
    <row r="135" spans="1:7" x14ac:dyDescent="0.25">
      <c r="A135" s="8">
        <v>42867.589004629626</v>
      </c>
      <c r="B135" s="20" t="s">
        <v>609</v>
      </c>
      <c r="C135" s="20" t="s">
        <v>709</v>
      </c>
      <c r="D135" s="141">
        <v>2540000</v>
      </c>
      <c r="E135" s="20" t="s">
        <v>702</v>
      </c>
      <c r="F135" s="20" t="s">
        <v>703</v>
      </c>
      <c r="G135" s="8" t="str">
        <f t="shared" si="2"/>
        <v>MCREYNOLDS KYLE</v>
      </c>
    </row>
    <row r="136" spans="1:7" x14ac:dyDescent="0.25">
      <c r="A136" s="8">
        <v>42867.591770833336</v>
      </c>
      <c r="B136" s="20" t="s">
        <v>396</v>
      </c>
      <c r="C136" s="20" t="s">
        <v>710</v>
      </c>
      <c r="D136" s="141">
        <v>2040000</v>
      </c>
      <c r="E136" s="20" t="s">
        <v>508</v>
      </c>
      <c r="F136" s="20" t="s">
        <v>509</v>
      </c>
      <c r="G136" s="8" t="str">
        <f t="shared" si="2"/>
        <v>MOSES BRADLEY</v>
      </c>
    </row>
    <row r="137" spans="1:7" x14ac:dyDescent="0.25">
      <c r="A137" s="8">
        <v>42867.601041666669</v>
      </c>
      <c r="B137" s="20" t="s">
        <v>410</v>
      </c>
      <c r="C137" s="20" t="s">
        <v>711</v>
      </c>
      <c r="D137" s="141">
        <v>880000</v>
      </c>
      <c r="E137" s="20" t="s">
        <v>680</v>
      </c>
      <c r="F137" s="20" t="s">
        <v>196</v>
      </c>
      <c r="G137" s="8" t="str">
        <f t="shared" si="2"/>
        <v>STEWART MICHAEL</v>
      </c>
    </row>
    <row r="138" spans="1:7" x14ac:dyDescent="0.25">
      <c r="A138" s="8">
        <v>42867.608842592592</v>
      </c>
      <c r="B138" s="20" t="s">
        <v>579</v>
      </c>
      <c r="C138" s="20" t="s">
        <v>580</v>
      </c>
      <c r="D138" s="141">
        <v>1540000</v>
      </c>
      <c r="E138" s="20" t="s">
        <v>473</v>
      </c>
      <c r="F138" s="20" t="s">
        <v>474</v>
      </c>
      <c r="G138" s="8" t="str">
        <f t="shared" si="2"/>
        <v>HELVIE ADAM</v>
      </c>
    </row>
    <row r="139" spans="1:7" x14ac:dyDescent="0.25">
      <c r="A139" s="8">
        <v>42867.61010416667</v>
      </c>
      <c r="B139" s="20" t="s">
        <v>467</v>
      </c>
      <c r="C139" s="20" t="s">
        <v>578</v>
      </c>
      <c r="D139" s="141">
        <v>3130000</v>
      </c>
      <c r="E139" s="20" t="s">
        <v>423</v>
      </c>
      <c r="F139" s="20" t="s">
        <v>424</v>
      </c>
      <c r="G139" s="8" t="str">
        <f t="shared" si="2"/>
        <v>ZEWDU DEREJE</v>
      </c>
    </row>
    <row r="140" spans="1:7" x14ac:dyDescent="0.25">
      <c r="A140" s="8">
        <v>42867.610185185185</v>
      </c>
      <c r="B140" s="20" t="s">
        <v>345</v>
      </c>
      <c r="C140" s="20" t="s">
        <v>582</v>
      </c>
      <c r="D140" s="141">
        <v>2470000</v>
      </c>
      <c r="E140" s="20" t="s">
        <v>712</v>
      </c>
      <c r="F140" s="20" t="s">
        <v>713</v>
      </c>
      <c r="G140" s="8" t="str">
        <f t="shared" si="2"/>
        <v>ROMERO CHAD</v>
      </c>
    </row>
    <row r="141" spans="1:7" x14ac:dyDescent="0.25">
      <c r="A141" s="8">
        <v>42867.617430555554</v>
      </c>
      <c r="B141" s="20" t="s">
        <v>574</v>
      </c>
      <c r="C141" s="20" t="s">
        <v>581</v>
      </c>
      <c r="D141" s="141">
        <v>2360000</v>
      </c>
      <c r="E141" s="20" t="s">
        <v>503</v>
      </c>
      <c r="F141" s="20" t="s">
        <v>504</v>
      </c>
      <c r="G141" s="8" t="str">
        <f t="shared" si="2"/>
        <v>BRANDNER MELINDA</v>
      </c>
    </row>
    <row r="142" spans="1:7" x14ac:dyDescent="0.25">
      <c r="A142" s="8">
        <v>42867.62300925926</v>
      </c>
      <c r="B142" s="20" t="s">
        <v>472</v>
      </c>
      <c r="C142" s="20" t="s">
        <v>714</v>
      </c>
      <c r="D142" s="141">
        <v>930000</v>
      </c>
      <c r="E142" s="20" t="s">
        <v>412</v>
      </c>
      <c r="F142" s="20" t="s">
        <v>413</v>
      </c>
      <c r="G142" s="8" t="str">
        <f t="shared" si="2"/>
        <v>CLARK KATHLEEN</v>
      </c>
    </row>
    <row r="143" spans="1:7" x14ac:dyDescent="0.25">
      <c r="A143" s="8">
        <v>42867.63003472222</v>
      </c>
      <c r="B143" s="20" t="s">
        <v>394</v>
      </c>
      <c r="C143" s="20" t="s">
        <v>715</v>
      </c>
      <c r="D143" s="141">
        <v>2040000</v>
      </c>
      <c r="E143" s="20" t="s">
        <v>508</v>
      </c>
      <c r="F143" s="20" t="s">
        <v>509</v>
      </c>
      <c r="G143" s="8" t="str">
        <f t="shared" si="2"/>
        <v>MOSES BRADLEY</v>
      </c>
    </row>
    <row r="144" spans="1:7" x14ac:dyDescent="0.25">
      <c r="A144" s="8">
        <v>42867.631215277775</v>
      </c>
      <c r="B144" s="20" t="s">
        <v>611</v>
      </c>
      <c r="C144" s="20" t="s">
        <v>716</v>
      </c>
      <c r="D144" s="141">
        <v>2370000</v>
      </c>
      <c r="E144" s="20" t="s">
        <v>470</v>
      </c>
      <c r="F144" s="20" t="s">
        <v>471</v>
      </c>
      <c r="G144" s="8" t="str">
        <f t="shared" si="2"/>
        <v>DELGADO DIANAH</v>
      </c>
    </row>
    <row r="145" spans="1:7" x14ac:dyDescent="0.25">
      <c r="A145" s="8">
        <v>42867.633009259262</v>
      </c>
      <c r="B145" s="20" t="s">
        <v>505</v>
      </c>
      <c r="C145" s="20" t="s">
        <v>717</v>
      </c>
      <c r="D145" s="141">
        <v>3130000</v>
      </c>
      <c r="E145" s="20" t="s">
        <v>423</v>
      </c>
      <c r="F145" s="20" t="s">
        <v>424</v>
      </c>
      <c r="G145" s="8" t="str">
        <f t="shared" si="2"/>
        <v>ZEWDU DEREJE</v>
      </c>
    </row>
    <row r="146" spans="1:7" x14ac:dyDescent="0.25">
      <c r="A146" s="8">
        <v>42867.640069444446</v>
      </c>
      <c r="B146" s="20" t="s">
        <v>401</v>
      </c>
      <c r="C146" s="20" t="s">
        <v>718</v>
      </c>
      <c r="D146" s="141">
        <v>880000</v>
      </c>
      <c r="E146" s="20" t="s">
        <v>680</v>
      </c>
      <c r="F146" s="20" t="s">
        <v>196</v>
      </c>
      <c r="G146" s="8" t="str">
        <f t="shared" si="2"/>
        <v>STEWART MICHAEL</v>
      </c>
    </row>
    <row r="147" spans="1:7" x14ac:dyDescent="0.25">
      <c r="A147" s="8">
        <v>42867.641226851854</v>
      </c>
      <c r="B147" s="20" t="s">
        <v>381</v>
      </c>
      <c r="C147" s="20" t="s">
        <v>719</v>
      </c>
      <c r="D147" s="141">
        <v>3120000</v>
      </c>
      <c r="E147" s="20" t="s">
        <v>449</v>
      </c>
      <c r="F147" s="20" t="s">
        <v>450</v>
      </c>
      <c r="G147" s="8" t="str">
        <f t="shared" si="2"/>
        <v>THOMPSON LESTER</v>
      </c>
    </row>
    <row r="148" spans="1:7" x14ac:dyDescent="0.25">
      <c r="A148" s="8">
        <v>42867.642141203702</v>
      </c>
      <c r="B148" s="20" t="s">
        <v>395</v>
      </c>
      <c r="C148" s="20" t="s">
        <v>720</v>
      </c>
      <c r="D148" s="141">
        <v>2470000</v>
      </c>
      <c r="E148" s="20" t="s">
        <v>712</v>
      </c>
      <c r="F148" s="20" t="s">
        <v>713</v>
      </c>
      <c r="G148" s="8" t="str">
        <f t="shared" si="2"/>
        <v>ROMERO CHAD</v>
      </c>
    </row>
    <row r="149" spans="1:7" x14ac:dyDescent="0.25">
      <c r="A149" s="8">
        <v>42867.644583333335</v>
      </c>
      <c r="B149" s="20" t="s">
        <v>601</v>
      </c>
      <c r="C149" s="20" t="s">
        <v>721</v>
      </c>
      <c r="D149" s="141">
        <v>1540000</v>
      </c>
      <c r="E149" s="20" t="s">
        <v>473</v>
      </c>
      <c r="F149" s="20" t="s">
        <v>474</v>
      </c>
      <c r="G149" s="8" t="str">
        <f t="shared" si="2"/>
        <v>HELVIE ADAM</v>
      </c>
    </row>
    <row r="150" spans="1:7" x14ac:dyDescent="0.25">
      <c r="A150" s="8">
        <v>42867.651678240742</v>
      </c>
      <c r="B150" s="20" t="s">
        <v>467</v>
      </c>
      <c r="C150" s="20" t="s">
        <v>722</v>
      </c>
      <c r="D150" s="141">
        <v>3130000</v>
      </c>
      <c r="E150" s="20" t="s">
        <v>423</v>
      </c>
      <c r="F150" s="20" t="s">
        <v>424</v>
      </c>
      <c r="G150" s="8" t="str">
        <f t="shared" si="2"/>
        <v>ZEWDU DEREJE</v>
      </c>
    </row>
    <row r="151" spans="1:7" x14ac:dyDescent="0.25">
      <c r="A151" s="8">
        <v>42867.652384259258</v>
      </c>
      <c r="B151" s="20" t="s">
        <v>383</v>
      </c>
      <c r="C151" s="20" t="s">
        <v>723</v>
      </c>
      <c r="D151" s="141">
        <v>3120000</v>
      </c>
      <c r="E151" s="20" t="s">
        <v>449</v>
      </c>
      <c r="F151" s="20" t="s">
        <v>450</v>
      </c>
      <c r="G151" s="8" t="str">
        <f t="shared" si="2"/>
        <v>THOMPSON LESTER</v>
      </c>
    </row>
    <row r="152" spans="1:7" x14ac:dyDescent="0.25">
      <c r="A152" s="8">
        <v>42867.654143518521</v>
      </c>
      <c r="B152" s="20" t="s">
        <v>444</v>
      </c>
      <c r="C152" s="20" t="s">
        <v>724</v>
      </c>
      <c r="D152" s="141">
        <v>2360000</v>
      </c>
      <c r="E152" s="20" t="s">
        <v>503</v>
      </c>
      <c r="F152" s="20" t="s">
        <v>504</v>
      </c>
      <c r="G152" s="8" t="str">
        <f t="shared" si="2"/>
        <v>BRANDNER MELINDA</v>
      </c>
    </row>
    <row r="153" spans="1:7" x14ac:dyDescent="0.25">
      <c r="A153" s="8">
        <v>42867.660092592596</v>
      </c>
      <c r="B153" s="20" t="s">
        <v>466</v>
      </c>
      <c r="C153" s="20" t="s">
        <v>725</v>
      </c>
      <c r="D153" s="141">
        <v>930000</v>
      </c>
      <c r="E153" s="20" t="s">
        <v>412</v>
      </c>
      <c r="F153" s="20" t="s">
        <v>413</v>
      </c>
      <c r="G153" s="8" t="str">
        <f t="shared" si="2"/>
        <v>CLARK KATHLEEN</v>
      </c>
    </row>
    <row r="154" spans="1:7" x14ac:dyDescent="0.25">
      <c r="A154" s="8">
        <v>42867.664571759262</v>
      </c>
      <c r="B154" s="20" t="s">
        <v>396</v>
      </c>
      <c r="C154" s="20" t="s">
        <v>584</v>
      </c>
      <c r="D154" s="141">
        <v>2040000</v>
      </c>
      <c r="E154" s="20" t="s">
        <v>508</v>
      </c>
      <c r="F154" s="20" t="s">
        <v>509</v>
      </c>
      <c r="G154" s="8" t="str">
        <f t="shared" si="2"/>
        <v>MOSES BRADLEY</v>
      </c>
    </row>
    <row r="155" spans="1:7" x14ac:dyDescent="0.25">
      <c r="A155" s="8">
        <v>42867.666666666664</v>
      </c>
      <c r="B155" s="20" t="s">
        <v>609</v>
      </c>
      <c r="C155" s="20" t="s">
        <v>726</v>
      </c>
      <c r="D155" s="141">
        <v>2370000</v>
      </c>
      <c r="E155" s="20" t="s">
        <v>470</v>
      </c>
      <c r="F155" s="20" t="s">
        <v>471</v>
      </c>
      <c r="G155" s="8" t="str">
        <f t="shared" si="2"/>
        <v>DELGADO DIANAH</v>
      </c>
    </row>
    <row r="156" spans="1:7" x14ac:dyDescent="0.25">
      <c r="A156" s="8">
        <v>42867.666701388887</v>
      </c>
      <c r="B156" s="20" t="s">
        <v>505</v>
      </c>
      <c r="C156" s="20" t="s">
        <v>727</v>
      </c>
      <c r="D156" s="141">
        <v>3130000</v>
      </c>
      <c r="E156" s="20" t="s">
        <v>423</v>
      </c>
      <c r="F156" s="20" t="s">
        <v>424</v>
      </c>
      <c r="G156" s="8" t="str">
        <f t="shared" si="2"/>
        <v>ZEWDU DEREJE</v>
      </c>
    </row>
    <row r="157" spans="1:7" x14ac:dyDescent="0.25">
      <c r="A157" s="8">
        <v>42867.671793981484</v>
      </c>
      <c r="B157" s="20" t="s">
        <v>381</v>
      </c>
      <c r="C157" s="20" t="s">
        <v>583</v>
      </c>
      <c r="D157" s="141">
        <v>3120000</v>
      </c>
      <c r="E157" s="20" t="s">
        <v>449</v>
      </c>
      <c r="F157" s="20" t="s">
        <v>450</v>
      </c>
      <c r="G157" s="8" t="str">
        <f t="shared" si="2"/>
        <v>THOMPSON LESTER</v>
      </c>
    </row>
    <row r="158" spans="1:7" x14ac:dyDescent="0.25">
      <c r="A158" s="8">
        <v>42867.67392361111</v>
      </c>
      <c r="B158" s="20" t="s">
        <v>410</v>
      </c>
      <c r="C158" s="20" t="s">
        <v>728</v>
      </c>
      <c r="D158" s="141">
        <v>880000</v>
      </c>
      <c r="E158" s="20" t="s">
        <v>680</v>
      </c>
      <c r="F158" s="20" t="s">
        <v>196</v>
      </c>
      <c r="G158" s="8" t="str">
        <f t="shared" si="2"/>
        <v>STEWART MICHAEL</v>
      </c>
    </row>
    <row r="159" spans="1:7" x14ac:dyDescent="0.25">
      <c r="A159" s="8">
        <v>42867.682256944441</v>
      </c>
      <c r="B159" s="20" t="s">
        <v>345</v>
      </c>
      <c r="C159" s="20" t="s">
        <v>729</v>
      </c>
      <c r="D159" s="141">
        <v>2470000</v>
      </c>
      <c r="E159" s="20" t="s">
        <v>712</v>
      </c>
      <c r="F159" s="20" t="s">
        <v>713</v>
      </c>
      <c r="G159" s="8" t="str">
        <f t="shared" si="2"/>
        <v>ROMERO CHAD</v>
      </c>
    </row>
    <row r="160" spans="1:7" x14ac:dyDescent="0.25">
      <c r="A160" s="8">
        <v>42867.682928240742</v>
      </c>
      <c r="B160" s="20" t="s">
        <v>579</v>
      </c>
      <c r="C160" s="20" t="s">
        <v>730</v>
      </c>
      <c r="D160" s="141">
        <v>1540000</v>
      </c>
      <c r="E160" s="20" t="s">
        <v>473</v>
      </c>
      <c r="F160" s="20" t="s">
        <v>474</v>
      </c>
      <c r="G160" s="8" t="str">
        <f t="shared" si="2"/>
        <v>HELVIE ADAM</v>
      </c>
    </row>
    <row r="161" spans="1:7" x14ac:dyDescent="0.25">
      <c r="A161" s="8">
        <v>42867.692465277774</v>
      </c>
      <c r="B161" s="20" t="s">
        <v>574</v>
      </c>
      <c r="C161" s="20" t="s">
        <v>731</v>
      </c>
      <c r="D161" s="141">
        <v>2360000</v>
      </c>
      <c r="E161" s="20" t="s">
        <v>503</v>
      </c>
      <c r="F161" s="20" t="s">
        <v>504</v>
      </c>
      <c r="G161" s="8" t="str">
        <f t="shared" si="2"/>
        <v>BRANDNER MELINDA</v>
      </c>
    </row>
    <row r="162" spans="1:7" x14ac:dyDescent="0.25">
      <c r="A162" s="8">
        <v>42867.693483796298</v>
      </c>
      <c r="B162" s="20" t="s">
        <v>467</v>
      </c>
      <c r="C162" s="20" t="s">
        <v>732</v>
      </c>
      <c r="D162" s="141">
        <v>3130000</v>
      </c>
      <c r="E162" s="20" t="s">
        <v>423</v>
      </c>
      <c r="F162" s="20" t="s">
        <v>424</v>
      </c>
      <c r="G162" s="8" t="str">
        <f t="shared" si="2"/>
        <v>ZEWDU DEREJE</v>
      </c>
    </row>
    <row r="163" spans="1:7" x14ac:dyDescent="0.25">
      <c r="A163" s="8">
        <v>42867.695532407408</v>
      </c>
      <c r="B163" s="20" t="s">
        <v>383</v>
      </c>
      <c r="C163" s="20" t="s">
        <v>733</v>
      </c>
      <c r="D163" s="141">
        <v>3120000</v>
      </c>
      <c r="E163" s="20" t="s">
        <v>449</v>
      </c>
      <c r="F163" s="20" t="s">
        <v>450</v>
      </c>
      <c r="G163" s="8" t="str">
        <f t="shared" si="2"/>
        <v>THOMPSON LESTER</v>
      </c>
    </row>
    <row r="164" spans="1:7" x14ac:dyDescent="0.25">
      <c r="A164" s="8">
        <v>42867.695729166669</v>
      </c>
      <c r="B164" s="20" t="s">
        <v>472</v>
      </c>
      <c r="C164" s="20" t="s">
        <v>734</v>
      </c>
      <c r="D164" s="141">
        <v>930000</v>
      </c>
      <c r="E164" s="20" t="s">
        <v>412</v>
      </c>
      <c r="F164" s="20" t="s">
        <v>413</v>
      </c>
      <c r="G164" s="8" t="str">
        <f t="shared" si="2"/>
        <v>CLARK KATHLEEN</v>
      </c>
    </row>
    <row r="165" spans="1:7" x14ac:dyDescent="0.25">
      <c r="A165" s="8">
        <v>42867.702731481484</v>
      </c>
      <c r="B165" s="20" t="s">
        <v>394</v>
      </c>
      <c r="C165" s="20" t="s">
        <v>584</v>
      </c>
      <c r="D165" s="141">
        <v>2040000</v>
      </c>
      <c r="E165" s="20" t="s">
        <v>508</v>
      </c>
      <c r="F165" s="20" t="s">
        <v>509</v>
      </c>
      <c r="G165" s="8" t="str">
        <f t="shared" si="2"/>
        <v>MOSES BRADLEY</v>
      </c>
    </row>
    <row r="166" spans="1:7" x14ac:dyDescent="0.25">
      <c r="A166" s="8">
        <v>42867.702789351853</v>
      </c>
      <c r="B166" s="20" t="s">
        <v>611</v>
      </c>
      <c r="C166" s="20" t="s">
        <v>735</v>
      </c>
      <c r="D166" s="141">
        <v>2440000</v>
      </c>
      <c r="E166" s="20" t="s">
        <v>475</v>
      </c>
      <c r="F166" s="20" t="s">
        <v>476</v>
      </c>
      <c r="G166" s="8" t="str">
        <f t="shared" si="2"/>
        <v>LOPES KIMBERLY</v>
      </c>
    </row>
    <row r="167" spans="1:7" x14ac:dyDescent="0.25">
      <c r="A167" s="8">
        <v>42867.703368055554</v>
      </c>
      <c r="B167" s="20" t="s">
        <v>394</v>
      </c>
      <c r="C167" s="20" t="s">
        <v>736</v>
      </c>
      <c r="D167" s="141">
        <v>2040000</v>
      </c>
      <c r="E167" s="20" t="s">
        <v>508</v>
      </c>
      <c r="F167" s="20" t="s">
        <v>509</v>
      </c>
      <c r="G167" s="8" t="str">
        <f t="shared" si="2"/>
        <v>MOSES BRADLEY</v>
      </c>
    </row>
    <row r="168" spans="1:7" x14ac:dyDescent="0.25">
      <c r="A168" s="8">
        <v>42867.712141203701</v>
      </c>
      <c r="B168" s="20" t="s">
        <v>628</v>
      </c>
      <c r="C168" s="20" t="s">
        <v>737</v>
      </c>
      <c r="D168" s="141">
        <v>2540000</v>
      </c>
      <c r="E168" s="20" t="s">
        <v>702</v>
      </c>
      <c r="F168" s="20" t="s">
        <v>703</v>
      </c>
      <c r="G168" s="8" t="str">
        <f t="shared" si="2"/>
        <v>MCREYNOLDS KYLE</v>
      </c>
    </row>
    <row r="169" spans="1:7" x14ac:dyDescent="0.25">
      <c r="A169" s="8">
        <v>42867.71298611111</v>
      </c>
      <c r="B169" s="20" t="s">
        <v>401</v>
      </c>
      <c r="C169" s="20" t="s">
        <v>585</v>
      </c>
      <c r="D169" s="141">
        <v>880000</v>
      </c>
      <c r="E169" s="20" t="s">
        <v>680</v>
      </c>
      <c r="F169" s="20" t="s">
        <v>196</v>
      </c>
      <c r="G169" s="8" t="str">
        <f t="shared" si="2"/>
        <v>STEWART MICHAEL</v>
      </c>
    </row>
    <row r="170" spans="1:7" x14ac:dyDescent="0.25">
      <c r="A170" s="8">
        <v>42867.713842592595</v>
      </c>
      <c r="B170" s="20" t="s">
        <v>381</v>
      </c>
      <c r="C170" s="20" t="s">
        <v>738</v>
      </c>
      <c r="D170" s="141">
        <v>3120000</v>
      </c>
      <c r="E170" s="20" t="s">
        <v>449</v>
      </c>
      <c r="F170" s="20" t="s">
        <v>450</v>
      </c>
      <c r="G170" s="8" t="str">
        <f t="shared" si="2"/>
        <v>THOMPSON LESTER</v>
      </c>
    </row>
    <row r="171" spans="1:7" x14ac:dyDescent="0.25">
      <c r="A171" s="8">
        <v>42867.713912037034</v>
      </c>
      <c r="B171" s="20" t="s">
        <v>628</v>
      </c>
      <c r="C171" s="20" t="s">
        <v>737</v>
      </c>
      <c r="D171" s="141">
        <v>2540000</v>
      </c>
      <c r="E171" s="20" t="s">
        <v>702</v>
      </c>
      <c r="F171" s="20" t="s">
        <v>703</v>
      </c>
      <c r="G171" s="8" t="str">
        <f t="shared" si="2"/>
        <v>MCREYNOLDS KYLE</v>
      </c>
    </row>
    <row r="172" spans="1:7" x14ac:dyDescent="0.25">
      <c r="A172" s="8">
        <v>42867.71601851852</v>
      </c>
      <c r="B172" s="20" t="s">
        <v>395</v>
      </c>
      <c r="C172" s="20" t="s">
        <v>739</v>
      </c>
      <c r="D172" s="141">
        <v>2470000</v>
      </c>
      <c r="E172" s="20" t="s">
        <v>712</v>
      </c>
      <c r="F172" s="20" t="s">
        <v>713</v>
      </c>
      <c r="G172" s="8" t="str">
        <f t="shared" si="2"/>
        <v>ROMERO CHAD</v>
      </c>
    </row>
    <row r="173" spans="1:7" x14ac:dyDescent="0.25">
      <c r="A173" s="8">
        <v>42867.717488425929</v>
      </c>
      <c r="B173" s="20" t="s">
        <v>601</v>
      </c>
      <c r="C173" s="20" t="s">
        <v>740</v>
      </c>
      <c r="D173" s="141">
        <v>1540000</v>
      </c>
      <c r="E173" s="20" t="s">
        <v>473</v>
      </c>
      <c r="F173" s="20" t="s">
        <v>474</v>
      </c>
      <c r="G173" s="8" t="str">
        <f t="shared" si="2"/>
        <v>HELVIE ADAM</v>
      </c>
    </row>
    <row r="174" spans="1:7" x14ac:dyDescent="0.25">
      <c r="A174" s="8">
        <v>42867.718668981484</v>
      </c>
      <c r="B174" s="20" t="s">
        <v>505</v>
      </c>
      <c r="C174" s="20" t="s">
        <v>741</v>
      </c>
      <c r="D174" s="141">
        <v>3130000</v>
      </c>
      <c r="E174" s="20" t="s">
        <v>423</v>
      </c>
      <c r="F174" s="20" t="s">
        <v>424</v>
      </c>
      <c r="G174" s="8" t="str">
        <f t="shared" si="2"/>
        <v>ZEWDU DEREJE</v>
      </c>
    </row>
    <row r="175" spans="1:7" x14ac:dyDescent="0.25">
      <c r="A175" s="8">
        <v>42867.725011574075</v>
      </c>
      <c r="B175" s="20" t="s">
        <v>444</v>
      </c>
      <c r="C175" s="20" t="s">
        <v>586</v>
      </c>
      <c r="D175" s="141">
        <v>2360000</v>
      </c>
      <c r="E175" s="20" t="s">
        <v>503</v>
      </c>
      <c r="F175" s="20" t="s">
        <v>504</v>
      </c>
      <c r="G175" s="8" t="str">
        <f t="shared" si="2"/>
        <v>BRANDNER MELINDA</v>
      </c>
    </row>
    <row r="176" spans="1:7" x14ac:dyDescent="0.25">
      <c r="A176" s="8">
        <v>42867.73201388889</v>
      </c>
      <c r="B176" s="20" t="s">
        <v>466</v>
      </c>
      <c r="C176" s="20" t="s">
        <v>742</v>
      </c>
      <c r="D176" s="141">
        <v>930000</v>
      </c>
      <c r="E176" s="20" t="s">
        <v>412</v>
      </c>
      <c r="F176" s="20" t="s">
        <v>413</v>
      </c>
      <c r="G176" s="8" t="str">
        <f t="shared" si="2"/>
        <v>CLARK KATHLEEN</v>
      </c>
    </row>
    <row r="177" spans="1:7" x14ac:dyDescent="0.25">
      <c r="A177" s="8">
        <v>42867.732048611113</v>
      </c>
      <c r="B177" s="20" t="s">
        <v>383</v>
      </c>
      <c r="C177" s="20" t="s">
        <v>743</v>
      </c>
      <c r="D177" s="141">
        <v>3120000</v>
      </c>
      <c r="E177" s="20" t="s">
        <v>449</v>
      </c>
      <c r="F177" s="20" t="s">
        <v>450</v>
      </c>
      <c r="G177" s="8" t="str">
        <f t="shared" si="2"/>
        <v>THOMPSON LESTER</v>
      </c>
    </row>
    <row r="178" spans="1:7" x14ac:dyDescent="0.25">
      <c r="A178" s="8">
        <v>42867.734942129631</v>
      </c>
      <c r="B178" s="20" t="s">
        <v>467</v>
      </c>
      <c r="C178" s="20" t="s">
        <v>744</v>
      </c>
      <c r="D178" s="141">
        <v>3130000</v>
      </c>
      <c r="E178" s="20" t="s">
        <v>423</v>
      </c>
      <c r="F178" s="20" t="s">
        <v>424</v>
      </c>
      <c r="G178" s="8" t="str">
        <f t="shared" si="2"/>
        <v>ZEWDU DEREJE</v>
      </c>
    </row>
    <row r="179" spans="1:7" x14ac:dyDescent="0.25">
      <c r="A179" s="8">
        <v>42867.738391203704</v>
      </c>
      <c r="B179" s="20" t="s">
        <v>396</v>
      </c>
      <c r="C179" s="20" t="s">
        <v>745</v>
      </c>
      <c r="D179" s="141">
        <v>3090000</v>
      </c>
      <c r="E179" s="20" t="s">
        <v>414</v>
      </c>
      <c r="F179" s="20" t="s">
        <v>415</v>
      </c>
      <c r="G179" s="8" t="str">
        <f t="shared" si="2"/>
        <v>LAMAR NEKESHA</v>
      </c>
    </row>
    <row r="180" spans="1:7" x14ac:dyDescent="0.25">
      <c r="A180" s="8">
        <v>42867.741099537037</v>
      </c>
      <c r="B180" s="20" t="s">
        <v>609</v>
      </c>
      <c r="C180" s="20" t="s">
        <v>746</v>
      </c>
      <c r="D180" s="141">
        <v>2440000</v>
      </c>
      <c r="E180" s="20" t="s">
        <v>475</v>
      </c>
      <c r="F180" s="20" t="s">
        <v>476</v>
      </c>
      <c r="G180" s="8" t="str">
        <f t="shared" si="2"/>
        <v>LOPES KIMBERLY</v>
      </c>
    </row>
    <row r="181" spans="1:7" x14ac:dyDescent="0.25">
      <c r="A181" s="8">
        <v>42867.742847222224</v>
      </c>
      <c r="B181" s="20" t="s">
        <v>369</v>
      </c>
      <c r="C181" s="20" t="s">
        <v>747</v>
      </c>
      <c r="D181" s="141">
        <v>3030000</v>
      </c>
      <c r="E181" s="20" t="s">
        <v>420</v>
      </c>
      <c r="F181" s="20" t="s">
        <v>397</v>
      </c>
      <c r="G181" s="8" t="str">
        <f t="shared" si="2"/>
        <v>BIRENBAUM THOMAS</v>
      </c>
    </row>
    <row r="182" spans="1:7" x14ac:dyDescent="0.25">
      <c r="A182" s="8">
        <v>42867.743761574071</v>
      </c>
      <c r="B182" s="20" t="s">
        <v>464</v>
      </c>
      <c r="C182" s="20" t="s">
        <v>748</v>
      </c>
      <c r="D182" s="141">
        <v>2680000</v>
      </c>
      <c r="E182" s="20" t="s">
        <v>749</v>
      </c>
      <c r="F182" s="20" t="s">
        <v>750</v>
      </c>
      <c r="G182" s="8" t="str">
        <f t="shared" si="2"/>
        <v>DUNCAN SHEILA</v>
      </c>
    </row>
    <row r="183" spans="1:7" x14ac:dyDescent="0.25">
      <c r="A183" s="8">
        <v>42867.744340277779</v>
      </c>
      <c r="B183" s="20" t="s">
        <v>369</v>
      </c>
      <c r="C183" s="20" t="s">
        <v>751</v>
      </c>
      <c r="D183" s="141">
        <v>3030000</v>
      </c>
      <c r="E183" s="20" t="s">
        <v>420</v>
      </c>
      <c r="F183" s="20" t="s">
        <v>397</v>
      </c>
      <c r="G183" s="8" t="str">
        <f t="shared" si="2"/>
        <v>BIRENBAUM THOMAS</v>
      </c>
    </row>
    <row r="184" spans="1:7" x14ac:dyDescent="0.25">
      <c r="A184" s="8">
        <v>42867.747499999998</v>
      </c>
      <c r="B184" s="20" t="s">
        <v>410</v>
      </c>
      <c r="C184" s="20" t="s">
        <v>752</v>
      </c>
      <c r="D184" s="141">
        <v>2040000</v>
      </c>
      <c r="E184" s="20" t="s">
        <v>508</v>
      </c>
      <c r="F184" s="20" t="s">
        <v>509</v>
      </c>
      <c r="G184" s="8" t="str">
        <f t="shared" si="2"/>
        <v>MOSES BRADLEY</v>
      </c>
    </row>
    <row r="185" spans="1:7" x14ac:dyDescent="0.25">
      <c r="A185" s="8">
        <v>42867.750405092593</v>
      </c>
      <c r="B185" s="20" t="s">
        <v>505</v>
      </c>
      <c r="C185" s="20" t="s">
        <v>753</v>
      </c>
      <c r="D185" s="141">
        <v>3130000</v>
      </c>
      <c r="E185" s="20" t="s">
        <v>423</v>
      </c>
      <c r="F185" s="20" t="s">
        <v>424</v>
      </c>
      <c r="G185" s="8" t="str">
        <f t="shared" si="2"/>
        <v>ZEWDU DEREJE</v>
      </c>
    </row>
    <row r="186" spans="1:7" x14ac:dyDescent="0.25">
      <c r="A186" s="8">
        <v>42867.755474537036</v>
      </c>
      <c r="B186" s="20" t="s">
        <v>369</v>
      </c>
      <c r="C186" s="20" t="s">
        <v>751</v>
      </c>
      <c r="D186" s="141">
        <v>3030000</v>
      </c>
      <c r="E186" s="20" t="s">
        <v>420</v>
      </c>
      <c r="F186" s="20" t="s">
        <v>397</v>
      </c>
      <c r="G186" s="8" t="str">
        <f t="shared" si="2"/>
        <v>BIRENBAUM THOMAS</v>
      </c>
    </row>
    <row r="187" spans="1:7" x14ac:dyDescent="0.25">
      <c r="A187" s="8">
        <v>42867.755613425928</v>
      </c>
      <c r="B187" s="20" t="s">
        <v>381</v>
      </c>
      <c r="C187" s="20" t="s">
        <v>754</v>
      </c>
      <c r="D187" s="141">
        <v>3120000</v>
      </c>
      <c r="E187" s="20" t="s">
        <v>449</v>
      </c>
      <c r="F187" s="20" t="s">
        <v>450</v>
      </c>
      <c r="G187" s="8" t="str">
        <f t="shared" si="2"/>
        <v>THOMPSON LESTER</v>
      </c>
    </row>
    <row r="188" spans="1:7" x14ac:dyDescent="0.25">
      <c r="A188" s="8">
        <v>42867.755810185183</v>
      </c>
      <c r="B188" s="20" t="s">
        <v>579</v>
      </c>
      <c r="C188" s="20" t="s">
        <v>755</v>
      </c>
      <c r="D188" s="141">
        <v>1540000</v>
      </c>
      <c r="E188" s="20" t="s">
        <v>473</v>
      </c>
      <c r="F188" s="20" t="s">
        <v>474</v>
      </c>
      <c r="G188" s="8" t="str">
        <f t="shared" si="2"/>
        <v>HELVIE ADAM</v>
      </c>
    </row>
    <row r="189" spans="1:7" x14ac:dyDescent="0.25">
      <c r="A189" s="8">
        <v>42867.756388888891</v>
      </c>
      <c r="B189" s="20" t="s">
        <v>345</v>
      </c>
      <c r="C189" s="20" t="s">
        <v>756</v>
      </c>
      <c r="D189" s="141">
        <v>2610000</v>
      </c>
      <c r="E189" s="20" t="s">
        <v>757</v>
      </c>
      <c r="F189" s="20" t="s">
        <v>758</v>
      </c>
      <c r="G189" s="8" t="str">
        <f t="shared" si="2"/>
        <v>MAGEE KENYA</v>
      </c>
    </row>
    <row r="190" spans="1:7" x14ac:dyDescent="0.25">
      <c r="A190" s="8">
        <v>42867.76321759259</v>
      </c>
      <c r="B190" s="20" t="s">
        <v>574</v>
      </c>
      <c r="C190" s="20" t="s">
        <v>587</v>
      </c>
      <c r="D190" s="141">
        <v>2360000</v>
      </c>
      <c r="E190" s="20" t="s">
        <v>503</v>
      </c>
      <c r="F190" s="20" t="s">
        <v>504</v>
      </c>
      <c r="G190" s="8" t="str">
        <f t="shared" si="2"/>
        <v>BRANDNER MELINDA</v>
      </c>
    </row>
    <row r="191" spans="1:7" x14ac:dyDescent="0.25">
      <c r="A191" s="8">
        <v>42867.767743055556</v>
      </c>
      <c r="B191" s="20" t="s">
        <v>472</v>
      </c>
      <c r="C191" s="20" t="s">
        <v>747</v>
      </c>
      <c r="D191" s="141">
        <v>3030000</v>
      </c>
      <c r="E191" s="20" t="s">
        <v>420</v>
      </c>
      <c r="F191" s="20" t="s">
        <v>397</v>
      </c>
      <c r="G191" s="8" t="str">
        <f t="shared" si="2"/>
        <v>BIRENBAUM THOMAS</v>
      </c>
    </row>
    <row r="192" spans="1:7" x14ac:dyDescent="0.25">
      <c r="A192" s="8">
        <v>42867.770925925928</v>
      </c>
      <c r="B192" s="20" t="s">
        <v>394</v>
      </c>
      <c r="C192" s="20" t="s">
        <v>759</v>
      </c>
      <c r="D192" s="141">
        <v>3090000</v>
      </c>
      <c r="E192" s="20" t="s">
        <v>414</v>
      </c>
      <c r="F192" s="20" t="s">
        <v>415</v>
      </c>
      <c r="G192" s="8" t="str">
        <f t="shared" si="2"/>
        <v>LAMAR NEKESHA</v>
      </c>
    </row>
    <row r="193" spans="1:7" x14ac:dyDescent="0.25">
      <c r="A193" s="8">
        <v>42867.772013888891</v>
      </c>
      <c r="B193" s="20" t="s">
        <v>365</v>
      </c>
      <c r="C193" s="20" t="s">
        <v>760</v>
      </c>
      <c r="D193" s="141">
        <v>930000</v>
      </c>
      <c r="E193" s="20" t="s">
        <v>412</v>
      </c>
      <c r="F193" s="20" t="s">
        <v>413</v>
      </c>
      <c r="G193" s="8" t="str">
        <f t="shared" si="2"/>
        <v>CLARK KATHLEEN</v>
      </c>
    </row>
    <row r="194" spans="1:7" x14ac:dyDescent="0.25">
      <c r="A194" s="8">
        <v>42867.772615740738</v>
      </c>
      <c r="B194" s="20" t="s">
        <v>365</v>
      </c>
      <c r="C194" s="20" t="s">
        <v>760</v>
      </c>
      <c r="D194" s="141">
        <v>930000</v>
      </c>
      <c r="E194" s="20" t="s">
        <v>412</v>
      </c>
      <c r="F194" s="20" t="s">
        <v>413</v>
      </c>
      <c r="G194" s="8" t="str">
        <f t="shared" si="2"/>
        <v>CLARK KATHLEEN</v>
      </c>
    </row>
    <row r="195" spans="1:7" x14ac:dyDescent="0.25">
      <c r="A195" s="8">
        <v>42867.773784722223</v>
      </c>
      <c r="B195" s="20" t="s">
        <v>365</v>
      </c>
      <c r="C195" s="20" t="s">
        <v>760</v>
      </c>
      <c r="D195" s="141">
        <v>930000</v>
      </c>
      <c r="E195" s="20" t="s">
        <v>412</v>
      </c>
      <c r="F195" s="20" t="s">
        <v>413</v>
      </c>
      <c r="G195" s="8" t="str">
        <f t="shared" ref="G195:G258" si="3">E195&amp;" "&amp;F195</f>
        <v>CLARK KATHLEEN</v>
      </c>
    </row>
    <row r="196" spans="1:7" x14ac:dyDescent="0.25">
      <c r="A196" s="8">
        <v>42867.776944444442</v>
      </c>
      <c r="B196" s="20" t="s">
        <v>467</v>
      </c>
      <c r="C196" s="20" t="s">
        <v>761</v>
      </c>
      <c r="D196" s="141">
        <v>3130000</v>
      </c>
      <c r="E196" s="20" t="s">
        <v>423</v>
      </c>
      <c r="F196" s="20" t="s">
        <v>424</v>
      </c>
      <c r="G196" s="8" t="str">
        <f t="shared" si="3"/>
        <v>ZEWDU DEREJE</v>
      </c>
    </row>
    <row r="197" spans="1:7" x14ac:dyDescent="0.25">
      <c r="A197" s="8">
        <v>42867.777442129627</v>
      </c>
      <c r="B197" s="20" t="s">
        <v>611</v>
      </c>
      <c r="C197" s="20" t="s">
        <v>762</v>
      </c>
      <c r="D197" s="141">
        <v>2440000</v>
      </c>
      <c r="E197" s="20" t="s">
        <v>475</v>
      </c>
      <c r="F197" s="20" t="s">
        <v>476</v>
      </c>
      <c r="G197" s="8" t="str">
        <f t="shared" si="3"/>
        <v>LOPES KIMBERLY</v>
      </c>
    </row>
    <row r="198" spans="1:7" x14ac:dyDescent="0.25">
      <c r="A198" s="8">
        <v>42867.778148148151</v>
      </c>
      <c r="B198" s="20" t="s">
        <v>465</v>
      </c>
      <c r="C198" s="20" t="s">
        <v>763</v>
      </c>
      <c r="D198" s="141">
        <v>2680000</v>
      </c>
      <c r="E198" s="20" t="s">
        <v>749</v>
      </c>
      <c r="F198" s="20" t="s">
        <v>750</v>
      </c>
      <c r="G198" s="8" t="str">
        <f t="shared" si="3"/>
        <v>DUNCAN SHEILA</v>
      </c>
    </row>
    <row r="199" spans="1:7" x14ac:dyDescent="0.25">
      <c r="A199" s="8">
        <v>42867.783171296294</v>
      </c>
      <c r="B199" s="20" t="s">
        <v>464</v>
      </c>
      <c r="C199" s="20" t="s">
        <v>763</v>
      </c>
      <c r="D199" s="141">
        <v>2680000</v>
      </c>
      <c r="E199" s="20" t="s">
        <v>749</v>
      </c>
      <c r="F199" s="20" t="s">
        <v>750</v>
      </c>
      <c r="G199" s="8" t="str">
        <f t="shared" si="3"/>
        <v>DUNCAN SHEILA</v>
      </c>
    </row>
    <row r="200" spans="1:7" x14ac:dyDescent="0.25">
      <c r="A200" s="8">
        <v>42867.787060185183</v>
      </c>
      <c r="B200" s="20" t="s">
        <v>401</v>
      </c>
      <c r="C200" s="20" t="s">
        <v>764</v>
      </c>
      <c r="D200" s="141">
        <v>2040000</v>
      </c>
      <c r="E200" s="20" t="s">
        <v>508</v>
      </c>
      <c r="F200" s="20" t="s">
        <v>509</v>
      </c>
      <c r="G200" s="8" t="str">
        <f t="shared" si="3"/>
        <v>MOSES BRADLEY</v>
      </c>
    </row>
    <row r="201" spans="1:7" x14ac:dyDescent="0.25">
      <c r="A201" s="8">
        <v>42867.787546296298</v>
      </c>
      <c r="B201" s="20" t="s">
        <v>465</v>
      </c>
      <c r="C201" s="20" t="s">
        <v>765</v>
      </c>
      <c r="D201" s="141">
        <v>2680000</v>
      </c>
      <c r="E201" s="20" t="s">
        <v>749</v>
      </c>
      <c r="F201" s="20" t="s">
        <v>750</v>
      </c>
      <c r="G201" s="8" t="str">
        <f t="shared" si="3"/>
        <v>DUNCAN SHEILA</v>
      </c>
    </row>
    <row r="202" spans="1:7" x14ac:dyDescent="0.25">
      <c r="A202" s="26">
        <v>42867.787870370368</v>
      </c>
      <c r="B202" s="20" t="s">
        <v>601</v>
      </c>
      <c r="C202" s="20" t="s">
        <v>766</v>
      </c>
      <c r="D202" s="141">
        <v>2270000</v>
      </c>
      <c r="E202" s="20" t="s">
        <v>477</v>
      </c>
      <c r="F202" s="20" t="s">
        <v>478</v>
      </c>
      <c r="G202" s="8" t="str">
        <f t="shared" si="3"/>
        <v>BROWN JACOB</v>
      </c>
    </row>
    <row r="203" spans="1:7" x14ac:dyDescent="0.25">
      <c r="A203" s="8">
        <v>42867.796689814815</v>
      </c>
      <c r="B203" s="20" t="s">
        <v>395</v>
      </c>
      <c r="C203" s="20" t="s">
        <v>767</v>
      </c>
      <c r="D203" s="141">
        <v>2610000</v>
      </c>
      <c r="E203" s="20" t="s">
        <v>757</v>
      </c>
      <c r="F203" s="20" t="s">
        <v>758</v>
      </c>
      <c r="G203" s="8" t="str">
        <f t="shared" si="3"/>
        <v>MAGEE KENYA</v>
      </c>
    </row>
    <row r="204" spans="1:7" x14ac:dyDescent="0.25">
      <c r="A204" s="8">
        <v>42867.79960648148</v>
      </c>
      <c r="B204" s="20" t="s">
        <v>444</v>
      </c>
      <c r="C204" s="20" t="s">
        <v>768</v>
      </c>
      <c r="D204" s="141">
        <v>2360000</v>
      </c>
      <c r="E204" s="20" t="s">
        <v>503</v>
      </c>
      <c r="F204" s="20" t="s">
        <v>504</v>
      </c>
      <c r="G204" s="8" t="str">
        <f t="shared" si="3"/>
        <v>BRANDNER MELINDA</v>
      </c>
    </row>
    <row r="205" spans="1:7" x14ac:dyDescent="0.25">
      <c r="A205" s="8">
        <v>42867.805925925924</v>
      </c>
      <c r="B205" s="20" t="s">
        <v>466</v>
      </c>
      <c r="C205" s="20" t="s">
        <v>589</v>
      </c>
      <c r="D205" s="141">
        <v>3030000</v>
      </c>
      <c r="E205" s="20" t="s">
        <v>420</v>
      </c>
      <c r="F205" s="20" t="s">
        <v>397</v>
      </c>
      <c r="G205" s="8" t="str">
        <f t="shared" si="3"/>
        <v>BIRENBAUM THOMAS</v>
      </c>
    </row>
    <row r="206" spans="1:7" x14ac:dyDescent="0.25">
      <c r="A206" s="8">
        <v>42867.807476851849</v>
      </c>
      <c r="B206" s="20" t="s">
        <v>464</v>
      </c>
      <c r="C206" s="20" t="s">
        <v>588</v>
      </c>
      <c r="D206" s="141">
        <v>2680000</v>
      </c>
      <c r="E206" s="20" t="s">
        <v>749</v>
      </c>
      <c r="F206" s="20" t="s">
        <v>750</v>
      </c>
      <c r="G206" s="8" t="str">
        <f t="shared" si="3"/>
        <v>DUNCAN SHEILA</v>
      </c>
    </row>
    <row r="207" spans="1:7" x14ac:dyDescent="0.25">
      <c r="A207" s="8">
        <v>42867.808796296296</v>
      </c>
      <c r="B207" s="20" t="s">
        <v>396</v>
      </c>
      <c r="C207" s="20" t="s">
        <v>759</v>
      </c>
      <c r="D207" s="141">
        <v>3090000</v>
      </c>
      <c r="E207" s="20" t="s">
        <v>414</v>
      </c>
      <c r="F207" s="20" t="s">
        <v>415</v>
      </c>
      <c r="G207" s="8" t="str">
        <f t="shared" si="3"/>
        <v>LAMAR NEKESHA</v>
      </c>
    </row>
    <row r="208" spans="1:7" x14ac:dyDescent="0.25">
      <c r="A208" s="8">
        <v>42867.811041666668</v>
      </c>
      <c r="B208" s="20" t="s">
        <v>396</v>
      </c>
      <c r="C208" s="20" t="s">
        <v>590</v>
      </c>
      <c r="D208" s="141">
        <v>3090000</v>
      </c>
      <c r="E208" s="20" t="s">
        <v>414</v>
      </c>
      <c r="F208" s="20" t="s">
        <v>415</v>
      </c>
      <c r="G208" s="8" t="str">
        <f t="shared" si="3"/>
        <v>LAMAR NEKESHA</v>
      </c>
    </row>
    <row r="209" spans="1:7" x14ac:dyDescent="0.25">
      <c r="A209" s="8">
        <v>42867.819675925923</v>
      </c>
      <c r="B209" s="20" t="s">
        <v>410</v>
      </c>
      <c r="C209" s="20" t="s">
        <v>769</v>
      </c>
      <c r="D209" s="141">
        <v>2040000</v>
      </c>
      <c r="E209" s="20" t="s">
        <v>508</v>
      </c>
      <c r="F209" s="20" t="s">
        <v>509</v>
      </c>
      <c r="G209" s="8" t="str">
        <f t="shared" si="3"/>
        <v>MOSES BRADLEY</v>
      </c>
    </row>
    <row r="210" spans="1:7" x14ac:dyDescent="0.25">
      <c r="A210" s="8">
        <v>42867.820439814815</v>
      </c>
      <c r="B210" s="20" t="s">
        <v>505</v>
      </c>
      <c r="C210" s="20" t="s">
        <v>770</v>
      </c>
      <c r="D210" s="141">
        <v>3130000</v>
      </c>
      <c r="E210" s="20" t="s">
        <v>423</v>
      </c>
      <c r="F210" s="20" t="s">
        <v>424</v>
      </c>
      <c r="G210" s="8" t="str">
        <f t="shared" si="3"/>
        <v>ZEWDU DEREJE</v>
      </c>
    </row>
    <row r="211" spans="1:7" x14ac:dyDescent="0.25">
      <c r="A211" s="8">
        <v>42867.828715277778</v>
      </c>
      <c r="B211" s="20" t="s">
        <v>345</v>
      </c>
      <c r="C211" s="20" t="s">
        <v>771</v>
      </c>
      <c r="D211" s="141">
        <v>2610000</v>
      </c>
      <c r="E211" s="20" t="s">
        <v>757</v>
      </c>
      <c r="F211" s="20" t="s">
        <v>758</v>
      </c>
      <c r="G211" s="8" t="str">
        <f t="shared" si="3"/>
        <v>MAGEE KENYA</v>
      </c>
    </row>
    <row r="212" spans="1:7" x14ac:dyDescent="0.25">
      <c r="A212" s="8">
        <v>42867.829062500001</v>
      </c>
      <c r="B212" s="20" t="s">
        <v>383</v>
      </c>
      <c r="C212" s="20" t="s">
        <v>772</v>
      </c>
      <c r="D212" s="141">
        <v>2230000</v>
      </c>
      <c r="E212" s="20" t="s">
        <v>346</v>
      </c>
      <c r="F212" s="20" t="s">
        <v>196</v>
      </c>
      <c r="G212" s="8" t="str">
        <f t="shared" si="3"/>
        <v>SMITH MICHAEL</v>
      </c>
    </row>
    <row r="213" spans="1:7" x14ac:dyDescent="0.25">
      <c r="A213" s="8">
        <v>42867.830601851849</v>
      </c>
      <c r="B213" s="20" t="s">
        <v>579</v>
      </c>
      <c r="C213" s="20" t="s">
        <v>773</v>
      </c>
      <c r="D213" s="141">
        <v>2270000</v>
      </c>
      <c r="E213" s="20" t="s">
        <v>477</v>
      </c>
      <c r="F213" s="20" t="s">
        <v>478</v>
      </c>
      <c r="G213" s="8" t="str">
        <f t="shared" si="3"/>
        <v>BROWN JACOB</v>
      </c>
    </row>
    <row r="214" spans="1:7" x14ac:dyDescent="0.25">
      <c r="A214" s="8">
        <v>42867.83556712963</v>
      </c>
      <c r="B214" s="20" t="s">
        <v>467</v>
      </c>
      <c r="C214" s="20" t="s">
        <v>591</v>
      </c>
      <c r="D214" s="141">
        <v>3130000</v>
      </c>
      <c r="E214" s="20" t="s">
        <v>423</v>
      </c>
      <c r="F214" s="20" t="s">
        <v>424</v>
      </c>
      <c r="G214" s="8" t="str">
        <f t="shared" si="3"/>
        <v>ZEWDU DEREJE</v>
      </c>
    </row>
    <row r="215" spans="1:7" x14ac:dyDescent="0.25">
      <c r="A215" s="8">
        <v>42867.839467592596</v>
      </c>
      <c r="B215" s="20" t="s">
        <v>472</v>
      </c>
      <c r="C215" s="20" t="s">
        <v>774</v>
      </c>
      <c r="D215" s="141">
        <v>3030000</v>
      </c>
      <c r="E215" s="20" t="s">
        <v>420</v>
      </c>
      <c r="F215" s="20" t="s">
        <v>397</v>
      </c>
      <c r="G215" s="8" t="str">
        <f t="shared" si="3"/>
        <v>BIRENBAUM THOMAS</v>
      </c>
    </row>
    <row r="216" spans="1:7" x14ac:dyDescent="0.25">
      <c r="A216" s="8">
        <v>42867.84474537037</v>
      </c>
      <c r="B216" s="20" t="s">
        <v>394</v>
      </c>
      <c r="C216" s="20" t="s">
        <v>775</v>
      </c>
      <c r="D216" s="141">
        <v>3090000</v>
      </c>
      <c r="E216" s="20" t="s">
        <v>414</v>
      </c>
      <c r="F216" s="20" t="s">
        <v>415</v>
      </c>
      <c r="G216" s="8" t="str">
        <f t="shared" si="3"/>
        <v>LAMAR NEKESHA</v>
      </c>
    </row>
    <row r="217" spans="1:7" x14ac:dyDescent="0.25">
      <c r="A217" s="8">
        <v>42867.846099537041</v>
      </c>
      <c r="B217" s="20" t="s">
        <v>442</v>
      </c>
      <c r="C217" s="20" t="s">
        <v>776</v>
      </c>
      <c r="D217" s="141">
        <v>3040000</v>
      </c>
      <c r="E217" s="20" t="s">
        <v>421</v>
      </c>
      <c r="F217" s="20" t="s">
        <v>422</v>
      </c>
      <c r="G217" s="8" t="str">
        <f t="shared" si="3"/>
        <v>WILLIAMS DONTE</v>
      </c>
    </row>
    <row r="218" spans="1:7" x14ac:dyDescent="0.25">
      <c r="A218" s="8">
        <v>42867.847303240742</v>
      </c>
      <c r="B218" s="20" t="s">
        <v>442</v>
      </c>
      <c r="C218" s="20" t="s">
        <v>776</v>
      </c>
      <c r="D218" s="141">
        <v>3040000</v>
      </c>
      <c r="E218" s="20" t="s">
        <v>421</v>
      </c>
      <c r="F218" s="20" t="s">
        <v>422</v>
      </c>
      <c r="G218" s="8" t="str">
        <f t="shared" si="3"/>
        <v>WILLIAMS DONTE</v>
      </c>
    </row>
    <row r="219" spans="1:7" x14ac:dyDescent="0.25">
      <c r="A219" s="8">
        <v>42867.847314814811</v>
      </c>
      <c r="B219" s="20" t="s">
        <v>505</v>
      </c>
      <c r="C219" s="20" t="s">
        <v>777</v>
      </c>
      <c r="D219" s="141">
        <v>3130000</v>
      </c>
      <c r="E219" s="20" t="s">
        <v>423</v>
      </c>
      <c r="F219" s="20" t="s">
        <v>424</v>
      </c>
      <c r="G219" s="8" t="str">
        <f t="shared" si="3"/>
        <v>ZEWDU DEREJE</v>
      </c>
    </row>
    <row r="220" spans="1:7" x14ac:dyDescent="0.25">
      <c r="A220" s="8">
        <v>42867.847662037035</v>
      </c>
      <c r="B220" s="20" t="s">
        <v>387</v>
      </c>
      <c r="C220" s="20" t="s">
        <v>596</v>
      </c>
      <c r="D220" s="141">
        <v>3000000</v>
      </c>
      <c r="E220" s="20" t="s">
        <v>451</v>
      </c>
      <c r="F220" s="20" t="s">
        <v>452</v>
      </c>
      <c r="G220" s="8" t="str">
        <f t="shared" si="3"/>
        <v>FORTUNATO FRANK</v>
      </c>
    </row>
    <row r="221" spans="1:7" x14ac:dyDescent="0.25">
      <c r="A221" s="8">
        <v>42867.848402777781</v>
      </c>
      <c r="B221" s="20" t="s">
        <v>387</v>
      </c>
      <c r="C221" s="20" t="s">
        <v>596</v>
      </c>
      <c r="D221" s="141">
        <v>3000000</v>
      </c>
      <c r="E221" s="20" t="s">
        <v>451</v>
      </c>
      <c r="F221" s="20" t="s">
        <v>452</v>
      </c>
      <c r="G221" s="8" t="str">
        <f t="shared" si="3"/>
        <v>FORTUNATO FRANK</v>
      </c>
    </row>
    <row r="222" spans="1:7" x14ac:dyDescent="0.25">
      <c r="A222" s="8">
        <v>42867.850347222222</v>
      </c>
      <c r="B222" s="20" t="s">
        <v>442</v>
      </c>
      <c r="C222" s="20" t="s">
        <v>592</v>
      </c>
      <c r="D222" s="141">
        <v>3040000</v>
      </c>
      <c r="E222" s="20" t="s">
        <v>421</v>
      </c>
      <c r="F222" s="20" t="s">
        <v>422</v>
      </c>
      <c r="G222" s="8" t="str">
        <f t="shared" si="3"/>
        <v>WILLIAMS DONTE</v>
      </c>
    </row>
    <row r="223" spans="1:7" x14ac:dyDescent="0.25">
      <c r="A223" s="8">
        <v>42867.850949074076</v>
      </c>
      <c r="B223" s="20" t="s">
        <v>387</v>
      </c>
      <c r="C223" s="20" t="s">
        <v>596</v>
      </c>
      <c r="D223" s="141">
        <v>3000000</v>
      </c>
      <c r="E223" s="20" t="s">
        <v>451</v>
      </c>
      <c r="F223" s="20" t="s">
        <v>452</v>
      </c>
      <c r="G223" s="8" t="str">
        <f t="shared" si="3"/>
        <v>FORTUNATO FRANK</v>
      </c>
    </row>
    <row r="224" spans="1:7" x14ac:dyDescent="0.25">
      <c r="A224" s="8">
        <v>42867.860046296293</v>
      </c>
      <c r="B224" t="s">
        <v>467</v>
      </c>
      <c r="C224" t="s">
        <v>777</v>
      </c>
      <c r="D224" s="141">
        <v>3130000</v>
      </c>
      <c r="E224" t="s">
        <v>423</v>
      </c>
      <c r="F224" s="20" t="s">
        <v>424</v>
      </c>
      <c r="G224" s="8" t="str">
        <f t="shared" si="3"/>
        <v>ZEWDU DEREJE</v>
      </c>
    </row>
    <row r="225" spans="1:7" x14ac:dyDescent="0.25">
      <c r="A225" s="8">
        <v>42867.862037037034</v>
      </c>
      <c r="B225" t="s">
        <v>467</v>
      </c>
      <c r="C225" t="s">
        <v>778</v>
      </c>
      <c r="D225" s="141">
        <v>3130000</v>
      </c>
      <c r="E225" t="s">
        <v>423</v>
      </c>
      <c r="F225" s="20" t="s">
        <v>424</v>
      </c>
      <c r="G225" s="8" t="str">
        <f t="shared" si="3"/>
        <v>ZEWDU DEREJE</v>
      </c>
    </row>
    <row r="226" spans="1:7" x14ac:dyDescent="0.25">
      <c r="A226" s="8">
        <v>42867.866909722223</v>
      </c>
      <c r="B226" t="s">
        <v>442</v>
      </c>
      <c r="C226" t="s">
        <v>592</v>
      </c>
      <c r="D226" s="141">
        <v>3040000</v>
      </c>
      <c r="E226" t="s">
        <v>421</v>
      </c>
      <c r="F226" s="20" t="s">
        <v>422</v>
      </c>
      <c r="G226" s="8" t="str">
        <f t="shared" si="3"/>
        <v>WILLIAMS DONTE</v>
      </c>
    </row>
    <row r="227" spans="1:7" x14ac:dyDescent="0.25">
      <c r="A227" s="8">
        <v>42867.870428240742</v>
      </c>
      <c r="B227" t="s">
        <v>395</v>
      </c>
      <c r="C227" t="s">
        <v>594</v>
      </c>
      <c r="D227" s="141">
        <v>2610000</v>
      </c>
      <c r="E227" t="s">
        <v>757</v>
      </c>
      <c r="F227" s="20" t="s">
        <v>758</v>
      </c>
      <c r="G227" s="8" t="str">
        <f t="shared" si="3"/>
        <v>MAGEE KENYA</v>
      </c>
    </row>
    <row r="228" spans="1:7" x14ac:dyDescent="0.25">
      <c r="A228" s="8">
        <v>42867.871747685182</v>
      </c>
      <c r="B228" t="s">
        <v>601</v>
      </c>
      <c r="C228" t="s">
        <v>779</v>
      </c>
      <c r="D228" s="141">
        <v>2270000</v>
      </c>
      <c r="E228" t="s">
        <v>477</v>
      </c>
      <c r="F228" s="20" t="s">
        <v>478</v>
      </c>
      <c r="G228" s="8" t="str">
        <f t="shared" si="3"/>
        <v>BROWN JACOB</v>
      </c>
    </row>
    <row r="229" spans="1:7" x14ac:dyDescent="0.25">
      <c r="A229" s="8">
        <v>42867.880324074074</v>
      </c>
      <c r="B229" t="s">
        <v>443</v>
      </c>
      <c r="C229" t="s">
        <v>776</v>
      </c>
      <c r="D229" s="141">
        <v>3040000</v>
      </c>
      <c r="E229" t="s">
        <v>421</v>
      </c>
      <c r="F229" s="20" t="s">
        <v>422</v>
      </c>
      <c r="G229" s="8" t="str">
        <f t="shared" si="3"/>
        <v>WILLIAMS DONTE</v>
      </c>
    </row>
    <row r="230" spans="1:7" x14ac:dyDescent="0.25">
      <c r="A230" s="8">
        <v>42867.881122685183</v>
      </c>
      <c r="B230" t="s">
        <v>505</v>
      </c>
      <c r="C230" t="s">
        <v>595</v>
      </c>
      <c r="D230" s="141">
        <v>3120000</v>
      </c>
      <c r="E230" t="s">
        <v>449</v>
      </c>
      <c r="F230" s="20" t="s">
        <v>450</v>
      </c>
      <c r="G230" s="8" t="str">
        <f t="shared" si="3"/>
        <v>THOMPSON LESTER</v>
      </c>
    </row>
    <row r="231" spans="1:7" x14ac:dyDescent="0.25">
      <c r="A231" s="8">
        <v>42867.882349537038</v>
      </c>
      <c r="B231" t="s">
        <v>466</v>
      </c>
      <c r="C231" t="s">
        <v>780</v>
      </c>
      <c r="D231" s="141">
        <v>3030000</v>
      </c>
      <c r="E231" t="s">
        <v>420</v>
      </c>
      <c r="F231" s="20" t="s">
        <v>397</v>
      </c>
      <c r="G231" s="8" t="str">
        <f t="shared" si="3"/>
        <v>BIRENBAUM THOMAS</v>
      </c>
    </row>
    <row r="232" spans="1:7" x14ac:dyDescent="0.25">
      <c r="A232" s="8">
        <v>42867.883171296293</v>
      </c>
      <c r="B232" t="s">
        <v>388</v>
      </c>
      <c r="C232" t="s">
        <v>597</v>
      </c>
      <c r="D232" s="141">
        <v>3000000</v>
      </c>
      <c r="E232" t="s">
        <v>451</v>
      </c>
      <c r="F232" s="20" t="s">
        <v>452</v>
      </c>
      <c r="G232" s="8" t="str">
        <f t="shared" si="3"/>
        <v>FORTUNATO FRANK</v>
      </c>
    </row>
    <row r="233" spans="1:7" x14ac:dyDescent="0.25">
      <c r="A233" s="8">
        <v>42867.892557870371</v>
      </c>
      <c r="B233" t="s">
        <v>396</v>
      </c>
      <c r="C233" t="s">
        <v>781</v>
      </c>
      <c r="D233" s="141">
        <v>3090000</v>
      </c>
      <c r="E233" t="s">
        <v>414</v>
      </c>
      <c r="F233" s="20" t="s">
        <v>415</v>
      </c>
      <c r="G233" s="8" t="str">
        <f t="shared" si="3"/>
        <v>LAMAR NEKESHA</v>
      </c>
    </row>
    <row r="234" spans="1:7" x14ac:dyDescent="0.25">
      <c r="A234" s="8">
        <v>42867.90320601852</v>
      </c>
      <c r="B234" t="s">
        <v>467</v>
      </c>
      <c r="C234" t="s">
        <v>782</v>
      </c>
      <c r="D234" s="141">
        <v>3120000</v>
      </c>
      <c r="E234" t="s">
        <v>449</v>
      </c>
      <c r="F234" s="20" t="s">
        <v>450</v>
      </c>
      <c r="G234" s="8" t="str">
        <f t="shared" si="3"/>
        <v>THOMPSON LESTER</v>
      </c>
    </row>
    <row r="235" spans="1:7" x14ac:dyDescent="0.25">
      <c r="A235" s="8">
        <v>42867.904594907406</v>
      </c>
      <c r="B235" t="s">
        <v>442</v>
      </c>
      <c r="C235" t="s">
        <v>592</v>
      </c>
      <c r="D235" s="141">
        <v>3040000</v>
      </c>
      <c r="E235" t="s">
        <v>421</v>
      </c>
      <c r="F235" s="20" t="s">
        <v>422</v>
      </c>
      <c r="G235" s="8" t="str">
        <f t="shared" si="3"/>
        <v>WILLIAMS DONTE</v>
      </c>
    </row>
    <row r="236" spans="1:7" x14ac:dyDescent="0.25">
      <c r="A236" s="8">
        <v>42867.906585648147</v>
      </c>
      <c r="B236" t="s">
        <v>579</v>
      </c>
      <c r="C236" t="s">
        <v>783</v>
      </c>
      <c r="D236" s="141">
        <v>2270000</v>
      </c>
      <c r="E236" t="s">
        <v>477</v>
      </c>
      <c r="F236" s="20" t="s">
        <v>478</v>
      </c>
      <c r="G236" s="8" t="str">
        <f t="shared" si="3"/>
        <v>BROWN JACOB</v>
      </c>
    </row>
    <row r="237" spans="1:7" x14ac:dyDescent="0.25">
      <c r="A237" s="8">
        <v>42867.910902777781</v>
      </c>
      <c r="B237" t="s">
        <v>345</v>
      </c>
      <c r="C237" t="s">
        <v>784</v>
      </c>
      <c r="D237" s="141">
        <v>2610000</v>
      </c>
      <c r="E237" t="s">
        <v>757</v>
      </c>
      <c r="F237" s="20" t="s">
        <v>758</v>
      </c>
      <c r="G237" s="8" t="str">
        <f t="shared" si="3"/>
        <v>MAGEE KENYA</v>
      </c>
    </row>
    <row r="238" spans="1:7" x14ac:dyDescent="0.25">
      <c r="A238" s="8">
        <v>42867.918993055559</v>
      </c>
      <c r="B238" t="s">
        <v>505</v>
      </c>
      <c r="C238" t="s">
        <v>785</v>
      </c>
      <c r="D238" s="141">
        <v>3120000</v>
      </c>
      <c r="E238" t="s">
        <v>449</v>
      </c>
      <c r="F238" s="20" t="s">
        <v>450</v>
      </c>
      <c r="G238" s="8" t="str">
        <f t="shared" si="3"/>
        <v>THOMPSON LESTER</v>
      </c>
    </row>
    <row r="239" spans="1:7" x14ac:dyDescent="0.25">
      <c r="A239" s="8">
        <v>42867.919050925928</v>
      </c>
      <c r="B239" t="s">
        <v>387</v>
      </c>
      <c r="C239" t="s">
        <v>596</v>
      </c>
      <c r="D239" s="141">
        <v>3000000</v>
      </c>
      <c r="E239" t="s">
        <v>451</v>
      </c>
      <c r="F239" s="20" t="s">
        <v>452</v>
      </c>
      <c r="G239" s="8" t="str">
        <f t="shared" si="3"/>
        <v>FORTUNATO FRANK</v>
      </c>
    </row>
    <row r="240" spans="1:7" x14ac:dyDescent="0.25">
      <c r="A240" s="8">
        <v>42867.926793981482</v>
      </c>
      <c r="B240" t="s">
        <v>443</v>
      </c>
      <c r="C240" t="s">
        <v>776</v>
      </c>
      <c r="D240" s="141">
        <v>3040000</v>
      </c>
      <c r="E240" t="s">
        <v>421</v>
      </c>
      <c r="F240" s="20" t="s">
        <v>422</v>
      </c>
      <c r="G240" s="8" t="str">
        <f t="shared" si="3"/>
        <v>WILLIAMS DONTE</v>
      </c>
    </row>
    <row r="241" spans="1:7" x14ac:dyDescent="0.25">
      <c r="A241" s="8">
        <v>42867.928437499999</v>
      </c>
      <c r="B241" t="s">
        <v>394</v>
      </c>
      <c r="C241" t="s">
        <v>786</v>
      </c>
      <c r="D241" s="141">
        <v>3090000</v>
      </c>
      <c r="E241" t="s">
        <v>414</v>
      </c>
      <c r="F241" s="20" t="s">
        <v>415</v>
      </c>
      <c r="G241" s="8" t="str">
        <f t="shared" si="3"/>
        <v>LAMAR NEKESHA</v>
      </c>
    </row>
    <row r="242" spans="1:7" x14ac:dyDescent="0.25">
      <c r="A242" s="8">
        <v>42867.9296875</v>
      </c>
      <c r="B242" t="s">
        <v>388</v>
      </c>
      <c r="C242" t="s">
        <v>597</v>
      </c>
      <c r="D242" s="141">
        <v>3000000</v>
      </c>
      <c r="E242" t="s">
        <v>451</v>
      </c>
      <c r="F242" s="20" t="s">
        <v>452</v>
      </c>
      <c r="G242" s="8" t="str">
        <f t="shared" si="3"/>
        <v>FORTUNATO FRANK</v>
      </c>
    </row>
    <row r="243" spans="1:7" x14ac:dyDescent="0.25">
      <c r="A243" s="8">
        <v>42867.933576388888</v>
      </c>
      <c r="B243" t="s">
        <v>472</v>
      </c>
      <c r="C243" t="s">
        <v>787</v>
      </c>
      <c r="D243" s="141">
        <v>3030000</v>
      </c>
      <c r="E243" t="s">
        <v>420</v>
      </c>
      <c r="F243" s="20" t="s">
        <v>397</v>
      </c>
      <c r="G243" s="8" t="str">
        <f t="shared" si="3"/>
        <v>BIRENBAUM THOMAS</v>
      </c>
    </row>
    <row r="244" spans="1:7" x14ac:dyDescent="0.25">
      <c r="A244" s="8">
        <v>42867.936736111114</v>
      </c>
      <c r="B244" t="s">
        <v>442</v>
      </c>
      <c r="C244" t="s">
        <v>592</v>
      </c>
      <c r="D244" s="141">
        <v>3040000</v>
      </c>
      <c r="E244" t="s">
        <v>421</v>
      </c>
      <c r="F244" s="20" t="s">
        <v>422</v>
      </c>
      <c r="G244" s="8" t="str">
        <f t="shared" si="3"/>
        <v>WILLIAMS DONTE</v>
      </c>
    </row>
    <row r="245" spans="1:7" x14ac:dyDescent="0.25">
      <c r="A245" s="8">
        <v>42867.943958333337</v>
      </c>
      <c r="B245" t="s">
        <v>387</v>
      </c>
      <c r="C245" t="s">
        <v>596</v>
      </c>
      <c r="D245" s="141">
        <v>3000000</v>
      </c>
      <c r="E245" t="s">
        <v>451</v>
      </c>
      <c r="F245" s="20" t="s">
        <v>452</v>
      </c>
      <c r="G245" s="8" t="str">
        <f t="shared" si="3"/>
        <v>FORTUNATO FRANK</v>
      </c>
    </row>
    <row r="246" spans="1:7" x14ac:dyDescent="0.25">
      <c r="A246" s="8">
        <v>42867.944178240738</v>
      </c>
      <c r="B246" t="s">
        <v>467</v>
      </c>
      <c r="C246" t="s">
        <v>788</v>
      </c>
      <c r="D246" s="141">
        <v>3120000</v>
      </c>
      <c r="E246" t="s">
        <v>449</v>
      </c>
      <c r="F246" s="20" t="s">
        <v>450</v>
      </c>
      <c r="G246" s="8" t="str">
        <f t="shared" si="3"/>
        <v>THOMPSON LESTER</v>
      </c>
    </row>
    <row r="247" spans="1:7" x14ac:dyDescent="0.25">
      <c r="A247" s="8">
        <v>42867.951539351852</v>
      </c>
      <c r="B247" t="s">
        <v>505</v>
      </c>
      <c r="C247" t="s">
        <v>788</v>
      </c>
      <c r="D247" s="141">
        <v>3120000</v>
      </c>
      <c r="E247" t="s">
        <v>449</v>
      </c>
      <c r="F247" s="20" t="s">
        <v>450</v>
      </c>
      <c r="G247" s="8" t="str">
        <f t="shared" si="3"/>
        <v>THOMPSON LESTER</v>
      </c>
    </row>
    <row r="248" spans="1:7" x14ac:dyDescent="0.25">
      <c r="A248" s="8">
        <v>42867.953518518516</v>
      </c>
      <c r="B248" t="s">
        <v>443</v>
      </c>
      <c r="C248" t="s">
        <v>776</v>
      </c>
      <c r="D248" s="141">
        <v>3040000</v>
      </c>
      <c r="E248" t="s">
        <v>421</v>
      </c>
      <c r="F248" s="20" t="s">
        <v>422</v>
      </c>
      <c r="G248" s="8" t="str">
        <f t="shared" si="3"/>
        <v>WILLIAMS DONTE</v>
      </c>
    </row>
    <row r="249" spans="1:7" x14ac:dyDescent="0.25">
      <c r="A249" s="8">
        <v>42867.953935185185</v>
      </c>
      <c r="B249" t="s">
        <v>395</v>
      </c>
      <c r="C249" t="s">
        <v>789</v>
      </c>
      <c r="D249" s="141">
        <v>2610000</v>
      </c>
      <c r="E249" t="s">
        <v>757</v>
      </c>
      <c r="F249" s="20" t="s">
        <v>758</v>
      </c>
      <c r="G249" s="8" t="str">
        <f t="shared" si="3"/>
        <v>MAGEE KENYA</v>
      </c>
    </row>
    <row r="250" spans="1:7" x14ac:dyDescent="0.25">
      <c r="A250" s="8">
        <v>42867.955682870372</v>
      </c>
      <c r="B250" t="s">
        <v>388</v>
      </c>
      <c r="C250" t="s">
        <v>597</v>
      </c>
      <c r="D250" s="141">
        <v>3000000</v>
      </c>
      <c r="E250" t="s">
        <v>451</v>
      </c>
      <c r="F250" s="20" t="s">
        <v>452</v>
      </c>
      <c r="G250" s="8" t="str">
        <f t="shared" si="3"/>
        <v>FORTUNATO FRANK</v>
      </c>
    </row>
    <row r="251" spans="1:7" x14ac:dyDescent="0.25">
      <c r="A251" s="8">
        <v>42867.955682870372</v>
      </c>
      <c r="B251" t="s">
        <v>601</v>
      </c>
      <c r="C251" t="s">
        <v>790</v>
      </c>
      <c r="D251" s="141">
        <v>2270000</v>
      </c>
      <c r="E251" t="s">
        <v>477</v>
      </c>
      <c r="F251" s="20" t="s">
        <v>478</v>
      </c>
      <c r="G251" s="8" t="str">
        <f t="shared" si="3"/>
        <v>BROWN JACOB</v>
      </c>
    </row>
    <row r="252" spans="1:7" x14ac:dyDescent="0.25">
      <c r="A252" s="8">
        <v>42867.965150462966</v>
      </c>
      <c r="B252" t="s">
        <v>466</v>
      </c>
      <c r="C252" t="s">
        <v>791</v>
      </c>
      <c r="D252" s="141">
        <v>3030000</v>
      </c>
      <c r="E252" t="s">
        <v>420</v>
      </c>
      <c r="F252" s="20" t="s">
        <v>397</v>
      </c>
      <c r="G252" s="8" t="str">
        <f t="shared" si="3"/>
        <v>BIRENBAUM THOMAS</v>
      </c>
    </row>
    <row r="253" spans="1:7" x14ac:dyDescent="0.25">
      <c r="A253" s="8">
        <v>42867.968460648146</v>
      </c>
      <c r="B253" t="s">
        <v>387</v>
      </c>
      <c r="C253" t="s">
        <v>596</v>
      </c>
      <c r="D253" s="141">
        <v>3000000</v>
      </c>
      <c r="E253" t="s">
        <v>451</v>
      </c>
      <c r="F253" s="20" t="s">
        <v>452</v>
      </c>
      <c r="G253" s="8" t="str">
        <f t="shared" si="3"/>
        <v>FORTUNATO FRANK</v>
      </c>
    </row>
    <row r="254" spans="1:7" x14ac:dyDescent="0.25">
      <c r="A254" s="8">
        <v>42867.972766203704</v>
      </c>
      <c r="B254" t="s">
        <v>396</v>
      </c>
      <c r="C254" t="s">
        <v>792</v>
      </c>
      <c r="D254" s="141">
        <v>3090000</v>
      </c>
      <c r="E254" t="s">
        <v>414</v>
      </c>
      <c r="F254" s="20" t="s">
        <v>415</v>
      </c>
      <c r="G254" s="8" t="str">
        <f t="shared" si="3"/>
        <v>LAMAR NEKESHA</v>
      </c>
    </row>
    <row r="255" spans="1:7" x14ac:dyDescent="0.25">
      <c r="A255" s="8">
        <v>42867.976284722223</v>
      </c>
      <c r="B255" t="s">
        <v>442</v>
      </c>
      <c r="C255" t="s">
        <v>776</v>
      </c>
      <c r="D255" s="141">
        <v>3040000</v>
      </c>
      <c r="E255" t="s">
        <v>421</v>
      </c>
      <c r="F255" s="20" t="s">
        <v>422</v>
      </c>
      <c r="G255" s="8" t="str">
        <f t="shared" si="3"/>
        <v>WILLIAMS DONTE</v>
      </c>
    </row>
    <row r="256" spans="1:7" x14ac:dyDescent="0.25">
      <c r="A256" s="8">
        <v>42867.979444444441</v>
      </c>
      <c r="B256" t="s">
        <v>442</v>
      </c>
      <c r="C256" t="s">
        <v>598</v>
      </c>
      <c r="D256" s="141">
        <v>3040000</v>
      </c>
      <c r="E256" t="s">
        <v>421</v>
      </c>
      <c r="F256" s="20" t="s">
        <v>422</v>
      </c>
      <c r="G256" s="8" t="str">
        <f t="shared" si="3"/>
        <v>WILLIAMS DONTE</v>
      </c>
    </row>
    <row r="257" spans="1:7" x14ac:dyDescent="0.25">
      <c r="A257" s="8">
        <v>42867.989606481482</v>
      </c>
      <c r="B257" t="s">
        <v>442</v>
      </c>
      <c r="C257" t="s">
        <v>598</v>
      </c>
      <c r="D257" s="141">
        <v>3040000</v>
      </c>
      <c r="E257" t="s">
        <v>421</v>
      </c>
      <c r="F257" s="20" t="s">
        <v>422</v>
      </c>
      <c r="G257" s="8" t="str">
        <f t="shared" si="3"/>
        <v>WILLIAMS DONTE</v>
      </c>
    </row>
    <row r="258" spans="1:7" x14ac:dyDescent="0.25">
      <c r="A258" s="8">
        <v>42867.994479166664</v>
      </c>
      <c r="B258" t="s">
        <v>579</v>
      </c>
      <c r="C258" t="s">
        <v>793</v>
      </c>
      <c r="D258" s="141">
        <v>2270000</v>
      </c>
      <c r="E258" t="s">
        <v>477</v>
      </c>
      <c r="F258" s="20" t="s">
        <v>478</v>
      </c>
      <c r="G258" s="8" t="str">
        <f t="shared" si="3"/>
        <v>BROWN JACOB</v>
      </c>
    </row>
    <row r="259" spans="1:7" x14ac:dyDescent="0.25">
      <c r="A259" s="8">
        <v>42867.995821759258</v>
      </c>
      <c r="B259" t="s">
        <v>345</v>
      </c>
      <c r="C259" t="s">
        <v>794</v>
      </c>
      <c r="D259" s="141">
        <v>2610000</v>
      </c>
      <c r="E259" t="s">
        <v>757</v>
      </c>
      <c r="F259" s="20" t="s">
        <v>758</v>
      </c>
      <c r="G259" s="8" t="str">
        <f t="shared" ref="G259:G322" si="4">E259&amp;" "&amp;F259</f>
        <v>MAGEE KENYA</v>
      </c>
    </row>
    <row r="260" spans="1:7" x14ac:dyDescent="0.25">
      <c r="A260" s="8">
        <v>42867.997384259259</v>
      </c>
      <c r="B260" t="s">
        <v>388</v>
      </c>
      <c r="C260" t="s">
        <v>597</v>
      </c>
      <c r="D260" s="141">
        <v>3000000</v>
      </c>
      <c r="E260" t="s">
        <v>451</v>
      </c>
      <c r="F260" s="20" t="s">
        <v>452</v>
      </c>
      <c r="G260" s="8" t="str">
        <f t="shared" si="4"/>
        <v>FORTUNATO FRANK</v>
      </c>
    </row>
    <row r="261" spans="1:7" x14ac:dyDescent="0.25">
      <c r="A261" s="8">
        <v>42868.001203703701</v>
      </c>
      <c r="B261" t="s">
        <v>579</v>
      </c>
      <c r="C261" t="s">
        <v>793</v>
      </c>
      <c r="D261" s="141">
        <v>2270000</v>
      </c>
      <c r="E261" t="s">
        <v>477</v>
      </c>
      <c r="F261" s="20" t="s">
        <v>478</v>
      </c>
      <c r="G261" s="8" t="str">
        <f t="shared" si="4"/>
        <v>BROWN JACOB</v>
      </c>
    </row>
    <row r="262" spans="1:7" x14ac:dyDescent="0.25">
      <c r="A262" s="8">
        <v>42868.003437500003</v>
      </c>
      <c r="B262" t="s">
        <v>443</v>
      </c>
      <c r="C262" t="s">
        <v>795</v>
      </c>
      <c r="D262" s="141">
        <v>3040000</v>
      </c>
      <c r="E262" t="s">
        <v>421</v>
      </c>
      <c r="F262" s="20" t="s">
        <v>422</v>
      </c>
      <c r="G262" s="8" t="str">
        <f t="shared" si="4"/>
        <v>WILLIAMS DONTE</v>
      </c>
    </row>
    <row r="263" spans="1:7" x14ac:dyDescent="0.25">
      <c r="A263" s="8">
        <v>42868.004548611112</v>
      </c>
      <c r="B263" t="s">
        <v>472</v>
      </c>
      <c r="C263" t="s">
        <v>796</v>
      </c>
      <c r="D263" s="141">
        <v>3030000</v>
      </c>
      <c r="E263" t="s">
        <v>420</v>
      </c>
      <c r="F263" s="20" t="s">
        <v>397</v>
      </c>
      <c r="G263" s="8" t="str">
        <f t="shared" si="4"/>
        <v>BIRENBAUM THOMAS</v>
      </c>
    </row>
    <row r="264" spans="1:7" x14ac:dyDescent="0.25">
      <c r="A264" s="8">
        <v>42868.005150462966</v>
      </c>
      <c r="B264" t="s">
        <v>387</v>
      </c>
      <c r="C264" t="s">
        <v>596</v>
      </c>
      <c r="D264" s="141">
        <v>3000000</v>
      </c>
      <c r="E264" t="s">
        <v>451</v>
      </c>
      <c r="F264" s="20" t="s">
        <v>452</v>
      </c>
      <c r="G264" s="8" t="str">
        <f t="shared" si="4"/>
        <v>FORTUNATO FRANK</v>
      </c>
    </row>
    <row r="265" spans="1:7" x14ac:dyDescent="0.25">
      <c r="A265" s="8">
        <v>42868.012303240743</v>
      </c>
      <c r="B265" t="s">
        <v>394</v>
      </c>
      <c r="C265" t="s">
        <v>797</v>
      </c>
      <c r="D265" s="141">
        <v>3090000</v>
      </c>
      <c r="E265" t="s">
        <v>414</v>
      </c>
      <c r="F265" s="20" t="s">
        <v>415</v>
      </c>
      <c r="G265" s="8" t="str">
        <f t="shared" si="4"/>
        <v>LAMAR NEKESHA</v>
      </c>
    </row>
    <row r="266" spans="1:7" x14ac:dyDescent="0.25">
      <c r="A266" s="8">
        <v>42868.01525462963</v>
      </c>
      <c r="B266" t="s">
        <v>579</v>
      </c>
      <c r="C266" t="s">
        <v>793</v>
      </c>
      <c r="D266" s="141">
        <v>2270000</v>
      </c>
      <c r="E266" t="s">
        <v>477</v>
      </c>
      <c r="F266" s="20" t="s">
        <v>478</v>
      </c>
      <c r="G266" s="8" t="str">
        <f t="shared" si="4"/>
        <v>BROWN JACOB</v>
      </c>
    </row>
    <row r="267" spans="1:7" x14ac:dyDescent="0.25">
      <c r="A267" s="8">
        <v>42868.016689814816</v>
      </c>
      <c r="B267" t="s">
        <v>442</v>
      </c>
      <c r="C267" t="s">
        <v>598</v>
      </c>
      <c r="D267" s="141">
        <v>3040000</v>
      </c>
      <c r="E267" t="s">
        <v>421</v>
      </c>
      <c r="F267" s="20" t="s">
        <v>422</v>
      </c>
      <c r="G267" s="8" t="str">
        <f t="shared" si="4"/>
        <v>WILLIAMS DONTE</v>
      </c>
    </row>
    <row r="268" spans="1:7" x14ac:dyDescent="0.25">
      <c r="A268" s="8">
        <v>42868.025347222225</v>
      </c>
      <c r="B268" t="s">
        <v>388</v>
      </c>
      <c r="C268" t="s">
        <v>597</v>
      </c>
      <c r="D268" s="141">
        <v>3000000</v>
      </c>
      <c r="E268" t="s">
        <v>451</v>
      </c>
      <c r="F268" s="20" t="s">
        <v>452</v>
      </c>
      <c r="G268" s="8" t="str">
        <f t="shared" si="4"/>
        <v>FORTUNATO FRANK</v>
      </c>
    </row>
    <row r="269" spans="1:7" x14ac:dyDescent="0.25">
      <c r="A269" s="8">
        <v>42868.029895833337</v>
      </c>
      <c r="B269" t="s">
        <v>395</v>
      </c>
      <c r="C269" t="s">
        <v>599</v>
      </c>
      <c r="D269" s="141">
        <v>2610000</v>
      </c>
      <c r="E269" t="s">
        <v>757</v>
      </c>
      <c r="F269" s="20" t="s">
        <v>758</v>
      </c>
      <c r="G269" s="8" t="str">
        <f t="shared" si="4"/>
        <v>MAGEE KENYA</v>
      </c>
    </row>
    <row r="270" spans="1:7" x14ac:dyDescent="0.25">
      <c r="A270" s="8">
        <v>42868.037974537037</v>
      </c>
      <c r="B270" t="s">
        <v>601</v>
      </c>
      <c r="C270" t="s">
        <v>798</v>
      </c>
      <c r="D270" s="141">
        <v>2270000</v>
      </c>
      <c r="E270" t="s">
        <v>477</v>
      </c>
      <c r="F270" s="20" t="s">
        <v>478</v>
      </c>
      <c r="G270" s="8" t="str">
        <f t="shared" si="4"/>
        <v>BROWN JACOB</v>
      </c>
    </row>
    <row r="271" spans="1:7" x14ac:dyDescent="0.25">
      <c r="A271" s="8">
        <v>42868.047986111109</v>
      </c>
      <c r="B271" t="s">
        <v>396</v>
      </c>
      <c r="C271" t="s">
        <v>799</v>
      </c>
      <c r="D271" s="141">
        <v>3090000</v>
      </c>
      <c r="E271" t="s">
        <v>414</v>
      </c>
      <c r="F271" s="20" t="s">
        <v>415</v>
      </c>
      <c r="G271" s="8" t="str">
        <f t="shared" si="4"/>
        <v>LAMAR NEKESHA</v>
      </c>
    </row>
    <row r="272" spans="1:7" x14ac:dyDescent="0.25">
      <c r="A272" s="8">
        <v>42868.054247685184</v>
      </c>
      <c r="B272" t="s">
        <v>466</v>
      </c>
      <c r="C272" t="s">
        <v>800</v>
      </c>
      <c r="D272" s="141">
        <v>3030000</v>
      </c>
      <c r="E272" t="s">
        <v>420</v>
      </c>
      <c r="F272" s="20" t="s">
        <v>397</v>
      </c>
      <c r="G272" s="8" t="str">
        <f t="shared" si="4"/>
        <v>BIRENBAUM THOMAS</v>
      </c>
    </row>
    <row r="273" spans="1:7" x14ac:dyDescent="0.25">
      <c r="A273" s="8">
        <v>42868.062662037039</v>
      </c>
      <c r="B273" t="s">
        <v>387</v>
      </c>
      <c r="C273" t="s">
        <v>597</v>
      </c>
      <c r="D273" s="141">
        <v>3000000</v>
      </c>
      <c r="E273" t="s">
        <v>451</v>
      </c>
      <c r="F273" s="20" t="s">
        <v>452</v>
      </c>
      <c r="G273" s="8" t="str">
        <f t="shared" si="4"/>
        <v>FORTUNATO FRANK</v>
      </c>
    </row>
    <row r="274" spans="1:7" x14ac:dyDescent="0.25">
      <c r="A274" s="8">
        <v>42868.068472222221</v>
      </c>
      <c r="B274" t="s">
        <v>345</v>
      </c>
      <c r="C274" t="s">
        <v>801</v>
      </c>
      <c r="D274" s="141">
        <v>2610000</v>
      </c>
      <c r="E274" t="s">
        <v>757</v>
      </c>
      <c r="F274" s="20" t="s">
        <v>758</v>
      </c>
      <c r="G274" s="8" t="str">
        <f t="shared" si="4"/>
        <v>MAGEE KENYA</v>
      </c>
    </row>
    <row r="275" spans="1:7" x14ac:dyDescent="0.25">
      <c r="A275" s="8">
        <v>42868.074733796297</v>
      </c>
      <c r="B275" t="s">
        <v>388</v>
      </c>
      <c r="C275" t="s">
        <v>597</v>
      </c>
      <c r="D275" s="141">
        <v>3000000</v>
      </c>
      <c r="E275" t="s">
        <v>451</v>
      </c>
      <c r="F275" s="20" t="s">
        <v>452</v>
      </c>
      <c r="G275" s="8" t="str">
        <f t="shared" si="4"/>
        <v>FORTUNATO FRANK</v>
      </c>
    </row>
    <row r="276" spans="1:7" x14ac:dyDescent="0.25">
      <c r="A276" s="8">
        <v>42868.078773148147</v>
      </c>
      <c r="B276" t="s">
        <v>579</v>
      </c>
      <c r="C276" t="s">
        <v>802</v>
      </c>
      <c r="D276" s="141">
        <v>2270000</v>
      </c>
      <c r="E276" t="s">
        <v>477</v>
      </c>
      <c r="F276" s="20" t="s">
        <v>478</v>
      </c>
      <c r="G276" s="8" t="str">
        <f t="shared" si="4"/>
        <v>BROWN JACOB</v>
      </c>
    </row>
    <row r="277" spans="1:7" x14ac:dyDescent="0.25">
      <c r="A277" s="8">
        <v>42868.088472222225</v>
      </c>
      <c r="B277" t="s">
        <v>472</v>
      </c>
      <c r="C277" t="s">
        <v>803</v>
      </c>
      <c r="D277" s="141">
        <v>3030000</v>
      </c>
      <c r="E277" t="s">
        <v>420</v>
      </c>
      <c r="F277" s="20" t="s">
        <v>397</v>
      </c>
      <c r="G277" s="8" t="str">
        <f t="shared" si="4"/>
        <v>BIRENBAUM THOMAS</v>
      </c>
    </row>
    <row r="278" spans="1:7" x14ac:dyDescent="0.25">
      <c r="A278" s="8">
        <v>42868.08965277778</v>
      </c>
      <c r="B278" t="s">
        <v>387</v>
      </c>
      <c r="C278" t="s">
        <v>597</v>
      </c>
      <c r="D278" s="141">
        <v>3000000</v>
      </c>
      <c r="E278" t="s">
        <v>451</v>
      </c>
      <c r="F278" s="20" t="s">
        <v>452</v>
      </c>
      <c r="G278" s="8" t="str">
        <f t="shared" si="4"/>
        <v>FORTUNATO FRANK</v>
      </c>
    </row>
    <row r="279" spans="1:7" x14ac:dyDescent="0.25">
      <c r="A279" s="8">
        <v>42868.100208333337</v>
      </c>
      <c r="B279" t="s">
        <v>388</v>
      </c>
      <c r="C279" t="s">
        <v>597</v>
      </c>
      <c r="D279" s="141">
        <v>3000000</v>
      </c>
      <c r="E279" t="s">
        <v>451</v>
      </c>
      <c r="F279" s="20" t="s">
        <v>452</v>
      </c>
      <c r="G279" s="8" t="str">
        <f t="shared" si="4"/>
        <v>FORTUNATO FRANK</v>
      </c>
    </row>
    <row r="280" spans="1:7" x14ac:dyDescent="0.25">
      <c r="A280" s="8">
        <v>42868.111122685186</v>
      </c>
      <c r="B280" t="s">
        <v>601</v>
      </c>
      <c r="C280" t="s">
        <v>804</v>
      </c>
      <c r="D280" s="141">
        <v>2270000</v>
      </c>
      <c r="E280" t="s">
        <v>477</v>
      </c>
      <c r="F280" s="20" t="s">
        <v>478</v>
      </c>
      <c r="G280" s="8" t="str">
        <f t="shared" si="4"/>
        <v>BROWN JACOB</v>
      </c>
    </row>
    <row r="281" spans="1:7" x14ac:dyDescent="0.25">
      <c r="A281" s="8">
        <v>42868.111527777779</v>
      </c>
      <c r="B281" t="s">
        <v>387</v>
      </c>
      <c r="C281" t="s">
        <v>597</v>
      </c>
      <c r="D281" s="141">
        <v>3000000</v>
      </c>
      <c r="E281" t="s">
        <v>451</v>
      </c>
      <c r="F281" s="20" t="s">
        <v>452</v>
      </c>
      <c r="G281" s="8" t="str">
        <f t="shared" si="4"/>
        <v>FORTUNATO FRANK</v>
      </c>
    </row>
    <row r="282" spans="1:7" x14ac:dyDescent="0.25">
      <c r="A282" s="8">
        <v>42867.070532407408</v>
      </c>
      <c r="B282" t="s">
        <v>505</v>
      </c>
      <c r="C282" t="s">
        <v>514</v>
      </c>
      <c r="D282" s="141">
        <v>2270000</v>
      </c>
      <c r="E282" t="s">
        <v>477</v>
      </c>
      <c r="F282" s="20" t="s">
        <v>478</v>
      </c>
      <c r="G282" s="8" t="str">
        <f t="shared" si="4"/>
        <v>BROWN JACOB</v>
      </c>
    </row>
    <row r="283" spans="1:7" x14ac:dyDescent="0.25">
      <c r="A283" s="8">
        <v>42867.071527777778</v>
      </c>
      <c r="B283" t="s">
        <v>505</v>
      </c>
      <c r="C283" t="s">
        <v>514</v>
      </c>
      <c r="D283" s="141">
        <v>2270000</v>
      </c>
      <c r="E283" t="s">
        <v>477</v>
      </c>
      <c r="F283" s="20" t="s">
        <v>478</v>
      </c>
      <c r="G283" s="8" t="str">
        <f t="shared" si="4"/>
        <v>BROWN JACOB</v>
      </c>
    </row>
    <row r="284" spans="1:7" x14ac:dyDescent="0.25">
      <c r="A284" s="8">
        <v>42867.090428240743</v>
      </c>
      <c r="B284" t="s">
        <v>356</v>
      </c>
      <c r="C284" t="s">
        <v>515</v>
      </c>
      <c r="D284" s="141">
        <v>3000000</v>
      </c>
      <c r="E284" t="s">
        <v>451</v>
      </c>
      <c r="F284" s="20" t="s">
        <v>452</v>
      </c>
      <c r="G284" s="8" t="str">
        <f t="shared" si="4"/>
        <v>FORTUNATO FRANK</v>
      </c>
    </row>
    <row r="285" spans="1:7" x14ac:dyDescent="0.25">
      <c r="A285" s="8">
        <v>42863.995520833334</v>
      </c>
      <c r="B285" t="s">
        <v>344</v>
      </c>
      <c r="C285" t="s">
        <v>426</v>
      </c>
      <c r="D285" s="141">
        <v>1800000</v>
      </c>
      <c r="E285" t="s">
        <v>416</v>
      </c>
      <c r="F285" s="20" t="s">
        <v>417</v>
      </c>
      <c r="G285" s="8" t="str">
        <f t="shared" si="4"/>
        <v>CHANDLER KELVIN</v>
      </c>
    </row>
    <row r="286" spans="1:7" x14ac:dyDescent="0.25">
      <c r="A286" s="8">
        <v>42864.007430555554</v>
      </c>
      <c r="B286" t="s">
        <v>410</v>
      </c>
      <c r="C286" t="s">
        <v>403</v>
      </c>
      <c r="D286" s="141">
        <v>2970000</v>
      </c>
      <c r="E286" t="s">
        <v>418</v>
      </c>
      <c r="F286" s="20" t="s">
        <v>419</v>
      </c>
      <c r="G286" s="8" t="str">
        <f t="shared" si="4"/>
        <v>GUZMAN DANNY</v>
      </c>
    </row>
    <row r="287" spans="1:7" x14ac:dyDescent="0.25">
      <c r="A287" s="8">
        <v>42864.009456018517</v>
      </c>
      <c r="B287" t="s">
        <v>384</v>
      </c>
      <c r="C287" t="s">
        <v>427</v>
      </c>
      <c r="D287" s="141">
        <v>2230000</v>
      </c>
      <c r="E287" t="s">
        <v>346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42864.018831018519</v>
      </c>
      <c r="B288" t="s">
        <v>405</v>
      </c>
      <c r="C288" t="s">
        <v>425</v>
      </c>
      <c r="D288" s="141">
        <v>3130000</v>
      </c>
      <c r="E288" t="s">
        <v>423</v>
      </c>
      <c r="F288" s="20" t="s">
        <v>424</v>
      </c>
      <c r="G288" s="8" t="str">
        <f t="shared" si="4"/>
        <v>ZEWDU DEREJE</v>
      </c>
    </row>
    <row r="289" spans="1:7" x14ac:dyDescent="0.25">
      <c r="A289" s="8">
        <v>42864.019791666666</v>
      </c>
      <c r="B289" t="s">
        <v>388</v>
      </c>
      <c r="C289" t="s">
        <v>404</v>
      </c>
      <c r="D289" s="141">
        <v>3040000</v>
      </c>
      <c r="E289" t="s">
        <v>421</v>
      </c>
      <c r="F289" s="20" t="s">
        <v>422</v>
      </c>
      <c r="G289" s="8" t="str">
        <f t="shared" si="4"/>
        <v>WILLIAMS DONTE</v>
      </c>
    </row>
    <row r="290" spans="1:7" x14ac:dyDescent="0.25">
      <c r="A290" s="8">
        <v>42864.019803240742</v>
      </c>
      <c r="B290" t="s">
        <v>405</v>
      </c>
      <c r="C290" t="s">
        <v>425</v>
      </c>
      <c r="D290" s="141">
        <v>3130000</v>
      </c>
      <c r="E290" t="s">
        <v>423</v>
      </c>
      <c r="F290" s="20" t="s">
        <v>424</v>
      </c>
      <c r="G290" s="8" t="str">
        <f t="shared" si="4"/>
        <v>ZEWDU DEREJE</v>
      </c>
    </row>
    <row r="291" spans="1:7" x14ac:dyDescent="0.25">
      <c r="A291" s="8">
        <v>42864.020671296297</v>
      </c>
      <c r="B291" t="s">
        <v>388</v>
      </c>
      <c r="C291" t="s">
        <v>404</v>
      </c>
      <c r="D291" s="141">
        <v>3040000</v>
      </c>
      <c r="E291" t="s">
        <v>421</v>
      </c>
      <c r="F291" s="20" t="s">
        <v>422</v>
      </c>
      <c r="G291" s="8" t="str">
        <f t="shared" si="4"/>
        <v>WILLIAMS DONTE</v>
      </c>
    </row>
    <row r="292" spans="1:7" x14ac:dyDescent="0.25">
      <c r="A292" s="8">
        <v>42864.02140046296</v>
      </c>
      <c r="B292" t="s">
        <v>401</v>
      </c>
      <c r="C292" t="s">
        <v>403</v>
      </c>
      <c r="D292" s="141">
        <v>2970000</v>
      </c>
      <c r="E292" t="s">
        <v>418</v>
      </c>
      <c r="F292" s="20" t="s">
        <v>419</v>
      </c>
      <c r="G292" s="8" t="str">
        <f t="shared" si="4"/>
        <v>GUZMAN DANNY</v>
      </c>
    </row>
    <row r="293" spans="1:7" x14ac:dyDescent="0.25">
      <c r="A293" s="8">
        <v>42864.021481481483</v>
      </c>
      <c r="B293" t="s">
        <v>405</v>
      </c>
      <c r="C293" t="s">
        <v>406</v>
      </c>
      <c r="D293" s="141">
        <v>3130000</v>
      </c>
      <c r="E293" t="s">
        <v>423</v>
      </c>
      <c r="F293" s="20" t="s">
        <v>424</v>
      </c>
      <c r="G293" s="8" t="str">
        <f t="shared" si="4"/>
        <v>ZEWDU DEREJE</v>
      </c>
    </row>
    <row r="294" spans="1:7" x14ac:dyDescent="0.25">
      <c r="A294" s="8">
        <v>42864.022488425922</v>
      </c>
      <c r="B294" t="s">
        <v>388</v>
      </c>
      <c r="C294" t="s">
        <v>404</v>
      </c>
      <c r="D294" s="141">
        <v>3040000</v>
      </c>
      <c r="E294" t="s">
        <v>421</v>
      </c>
      <c r="F294" s="20" t="s">
        <v>422</v>
      </c>
      <c r="G294" s="8" t="str">
        <f t="shared" si="4"/>
        <v>WILLIAMS DONTE</v>
      </c>
    </row>
    <row r="295" spans="1:7" x14ac:dyDescent="0.25">
      <c r="A295" s="8">
        <v>42864.030914351853</v>
      </c>
      <c r="B295" t="s">
        <v>343</v>
      </c>
      <c r="C295" t="s">
        <v>428</v>
      </c>
      <c r="D295" s="141">
        <v>1800000</v>
      </c>
      <c r="E295" t="s">
        <v>416</v>
      </c>
      <c r="F295" s="20" t="s">
        <v>417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395</v>
      </c>
      <c r="C296" t="s">
        <v>429</v>
      </c>
      <c r="D296" s="141">
        <v>3030000</v>
      </c>
      <c r="E296" t="s">
        <v>420</v>
      </c>
      <c r="F296" s="20" t="s">
        <v>397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410</v>
      </c>
      <c r="C297" t="s">
        <v>403</v>
      </c>
      <c r="D297" s="141">
        <v>2970000</v>
      </c>
      <c r="E297" t="s">
        <v>418</v>
      </c>
      <c r="F297" s="20" t="s">
        <v>419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374</v>
      </c>
      <c r="C298" t="s">
        <v>430</v>
      </c>
      <c r="D298" s="141">
        <v>2230000</v>
      </c>
      <c r="E298" t="s">
        <v>346</v>
      </c>
      <c r="F298" s="20" t="s">
        <v>196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401</v>
      </c>
      <c r="C299" t="s">
        <v>403</v>
      </c>
      <c r="D299" s="141">
        <v>2970000</v>
      </c>
      <c r="E299" t="s">
        <v>418</v>
      </c>
      <c r="F299" s="20" t="s">
        <v>419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402</v>
      </c>
      <c r="C300" t="s">
        <v>407</v>
      </c>
      <c r="D300" s="141">
        <v>3130000</v>
      </c>
      <c r="E300" t="s">
        <v>423</v>
      </c>
      <c r="F300" s="20" t="s">
        <v>424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401</v>
      </c>
      <c r="C301" t="s">
        <v>403</v>
      </c>
      <c r="D301" s="141">
        <v>2970000</v>
      </c>
      <c r="E301" t="s">
        <v>418</v>
      </c>
      <c r="F301" s="20" t="s">
        <v>419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387</v>
      </c>
      <c r="C302" t="s">
        <v>404</v>
      </c>
      <c r="D302" s="141">
        <v>3040000</v>
      </c>
      <c r="E302" t="s">
        <v>421</v>
      </c>
      <c r="F302" s="20" t="s">
        <v>422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387</v>
      </c>
      <c r="C303" t="s">
        <v>404</v>
      </c>
      <c r="D303" s="141">
        <v>3040000</v>
      </c>
      <c r="E303" t="s">
        <v>421</v>
      </c>
      <c r="F303" s="20" t="s">
        <v>422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345</v>
      </c>
      <c r="C304" t="s">
        <v>431</v>
      </c>
      <c r="D304" s="141">
        <v>3030000</v>
      </c>
      <c r="E304" t="s">
        <v>420</v>
      </c>
      <c r="F304" s="20" t="s">
        <v>397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410</v>
      </c>
      <c r="C305" t="s">
        <v>403</v>
      </c>
      <c r="D305" s="141">
        <v>2970000</v>
      </c>
      <c r="E305" t="s">
        <v>418</v>
      </c>
      <c r="F305" s="20" t="s">
        <v>419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401</v>
      </c>
      <c r="C306" t="s">
        <v>403</v>
      </c>
      <c r="D306" s="141">
        <v>2970000</v>
      </c>
      <c r="E306" t="s">
        <v>418</v>
      </c>
      <c r="F306" s="20" t="s">
        <v>419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388</v>
      </c>
      <c r="C307" t="s">
        <v>404</v>
      </c>
      <c r="D307" s="141">
        <v>3040000</v>
      </c>
      <c r="E307" t="s">
        <v>421</v>
      </c>
      <c r="F307" s="20" t="s">
        <v>422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405</v>
      </c>
      <c r="C308" t="s">
        <v>432</v>
      </c>
      <c r="D308" s="141">
        <v>3130000</v>
      </c>
      <c r="E308" t="s">
        <v>423</v>
      </c>
      <c r="F308" s="20" t="s">
        <v>424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387</v>
      </c>
      <c r="C309" t="s">
        <v>404</v>
      </c>
      <c r="D309" s="141">
        <v>3040000</v>
      </c>
      <c r="E309" t="s">
        <v>421</v>
      </c>
      <c r="F309" s="20" t="s">
        <v>422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410</v>
      </c>
      <c r="C310" t="s">
        <v>403</v>
      </c>
      <c r="D310" s="141">
        <v>2970000</v>
      </c>
      <c r="E310" t="s">
        <v>418</v>
      </c>
      <c r="F310" s="20" t="s">
        <v>419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401</v>
      </c>
      <c r="C311" t="s">
        <v>403</v>
      </c>
      <c r="D311" s="141">
        <v>2970000</v>
      </c>
      <c r="E311" t="s">
        <v>418</v>
      </c>
      <c r="F311" s="20" t="s">
        <v>419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201" t="s">
        <v>162</v>
      </c>
      <c r="B1" s="201" t="s">
        <v>165</v>
      </c>
      <c r="C1" s="201" t="s">
        <v>158</v>
      </c>
      <c r="D1" s="139" t="s">
        <v>170</v>
      </c>
      <c r="E1" s="201" t="s">
        <v>159</v>
      </c>
      <c r="F1" s="201" t="s">
        <v>157</v>
      </c>
      <c r="G1" s="201" t="s">
        <v>155</v>
      </c>
      <c r="H1" s="201" t="s">
        <v>168</v>
      </c>
      <c r="I1" s="201" t="s">
        <v>169</v>
      </c>
      <c r="J1" s="201" t="s">
        <v>399</v>
      </c>
      <c r="K1" s="201" t="s">
        <v>163</v>
      </c>
      <c r="L1" s="201" t="s">
        <v>161</v>
      </c>
      <c r="M1" s="201" t="s">
        <v>156</v>
      </c>
      <c r="N1" s="201" t="s">
        <v>166</v>
      </c>
      <c r="O1" s="201" t="s">
        <v>160</v>
      </c>
      <c r="P1" s="201" t="s">
        <v>167</v>
      </c>
      <c r="Q1" s="201" t="s">
        <v>164</v>
      </c>
      <c r="R1"/>
    </row>
    <row r="2" spans="1:18" x14ac:dyDescent="0.25">
      <c r="A2" s="168">
        <v>51.72</v>
      </c>
      <c r="B2" s="168">
        <v>0.16</v>
      </c>
      <c r="C2" s="168">
        <v>42.02</v>
      </c>
      <c r="D2" s="8">
        <v>42867</v>
      </c>
      <c r="E2" s="168">
        <v>0.69</v>
      </c>
      <c r="F2" s="168" t="s">
        <v>519</v>
      </c>
      <c r="G2" s="168">
        <v>320.45</v>
      </c>
      <c r="H2" s="168">
        <v>0</v>
      </c>
      <c r="I2" s="168">
        <v>0</v>
      </c>
      <c r="J2" s="168"/>
      <c r="K2" s="168">
        <v>1019.35</v>
      </c>
      <c r="L2" s="168" t="s">
        <v>518</v>
      </c>
      <c r="M2" s="168">
        <v>51.72</v>
      </c>
      <c r="N2" s="168">
        <v>1494568800</v>
      </c>
      <c r="O2" s="168">
        <v>3.7</v>
      </c>
      <c r="P2" s="168">
        <v>141</v>
      </c>
      <c r="Q2" s="168">
        <v>2.81</v>
      </c>
      <c r="R2"/>
    </row>
    <row r="3" spans="1:18" x14ac:dyDescent="0.25">
      <c r="A3" s="168">
        <v>50.2</v>
      </c>
      <c r="B3" s="168">
        <v>0.11</v>
      </c>
      <c r="C3" s="168">
        <v>41.8</v>
      </c>
      <c r="D3" s="8">
        <v>42867.041666666664</v>
      </c>
      <c r="E3" s="168">
        <v>0.73</v>
      </c>
      <c r="F3" s="168" t="s">
        <v>519</v>
      </c>
      <c r="G3" s="168">
        <v>319.39</v>
      </c>
      <c r="H3" s="168">
        <v>0</v>
      </c>
      <c r="I3" s="168">
        <v>0</v>
      </c>
      <c r="J3" s="168"/>
      <c r="K3" s="168">
        <v>1019.37</v>
      </c>
      <c r="L3" s="168" t="s">
        <v>518</v>
      </c>
      <c r="M3" s="168">
        <v>50.2</v>
      </c>
      <c r="N3" s="168">
        <v>1494572400</v>
      </c>
      <c r="O3" s="168">
        <v>3.81</v>
      </c>
      <c r="P3" s="168">
        <v>169</v>
      </c>
      <c r="Q3" s="168">
        <v>2.8</v>
      </c>
      <c r="R3"/>
    </row>
    <row r="4" spans="1:18" x14ac:dyDescent="0.25">
      <c r="A4" s="168">
        <v>48.63</v>
      </c>
      <c r="B4" s="168">
        <v>0.1</v>
      </c>
      <c r="C4" s="168">
        <v>41.46</v>
      </c>
      <c r="D4" s="8">
        <v>42867.083333333336</v>
      </c>
      <c r="E4" s="168">
        <v>0.76</v>
      </c>
      <c r="F4" s="168" t="s">
        <v>519</v>
      </c>
      <c r="G4" s="168">
        <v>318.32</v>
      </c>
      <c r="H4" s="168">
        <v>0</v>
      </c>
      <c r="I4" s="168">
        <v>0</v>
      </c>
      <c r="J4" s="168"/>
      <c r="K4" s="168">
        <v>1019.39</v>
      </c>
      <c r="L4" s="168" t="s">
        <v>518</v>
      </c>
      <c r="M4" s="168">
        <v>48.63</v>
      </c>
      <c r="N4" s="168">
        <v>1494576000</v>
      </c>
      <c r="O4" s="168">
        <v>3.59</v>
      </c>
      <c r="P4" s="168">
        <v>182</v>
      </c>
      <c r="Q4" s="168">
        <v>2.57</v>
      </c>
      <c r="R4"/>
    </row>
    <row r="5" spans="1:18" x14ac:dyDescent="0.25">
      <c r="A5" s="168">
        <v>47.6</v>
      </c>
      <c r="B5" s="168">
        <v>0.11</v>
      </c>
      <c r="C5" s="168">
        <v>41.33</v>
      </c>
      <c r="D5" s="8">
        <v>42867.125</v>
      </c>
      <c r="E5" s="168">
        <v>0.79</v>
      </c>
      <c r="F5" s="168" t="s">
        <v>519</v>
      </c>
      <c r="G5" s="168">
        <v>317.26</v>
      </c>
      <c r="H5" s="168">
        <v>0</v>
      </c>
      <c r="I5" s="168">
        <v>0</v>
      </c>
      <c r="J5" s="168"/>
      <c r="K5" s="168">
        <v>1019.41</v>
      </c>
      <c r="L5" s="168" t="s">
        <v>518</v>
      </c>
      <c r="M5" s="168">
        <v>47.6</v>
      </c>
      <c r="N5" s="168">
        <v>1494579600</v>
      </c>
      <c r="O5" s="168">
        <v>9.85</v>
      </c>
      <c r="P5" s="168">
        <v>214</v>
      </c>
      <c r="Q5" s="168">
        <v>2.86</v>
      </c>
      <c r="R5"/>
    </row>
    <row r="6" spans="1:18" x14ac:dyDescent="0.25">
      <c r="A6" s="168">
        <v>46.01</v>
      </c>
      <c r="B6" s="168">
        <v>0.08</v>
      </c>
      <c r="C6" s="168">
        <v>40.25</v>
      </c>
      <c r="D6" s="8">
        <v>42867.166666666664</v>
      </c>
      <c r="E6" s="168">
        <v>0.8</v>
      </c>
      <c r="F6" s="168" t="s">
        <v>519</v>
      </c>
      <c r="G6" s="168">
        <v>315.76</v>
      </c>
      <c r="H6" s="168">
        <v>0</v>
      </c>
      <c r="I6" s="168">
        <v>0</v>
      </c>
      <c r="J6" s="168"/>
      <c r="K6" s="168">
        <v>1019.35</v>
      </c>
      <c r="L6" s="168" t="s">
        <v>518</v>
      </c>
      <c r="M6" s="168">
        <v>46.01</v>
      </c>
      <c r="N6" s="168">
        <v>1494583200</v>
      </c>
      <c r="O6" s="168">
        <v>3.74</v>
      </c>
      <c r="P6" s="168">
        <v>185</v>
      </c>
      <c r="Q6" s="168">
        <v>2.94</v>
      </c>
      <c r="R6"/>
    </row>
    <row r="7" spans="1:18" x14ac:dyDescent="0.25">
      <c r="A7" s="168">
        <v>44.51</v>
      </c>
      <c r="B7" s="168">
        <v>0.11</v>
      </c>
      <c r="C7" s="168">
        <v>39.79</v>
      </c>
      <c r="D7" s="8">
        <v>42867.208333333336</v>
      </c>
      <c r="E7" s="168">
        <v>0.8</v>
      </c>
      <c r="F7" s="168" t="s">
        <v>519</v>
      </c>
      <c r="G7" s="168">
        <v>314.10000000000002</v>
      </c>
      <c r="H7" s="168">
        <v>0</v>
      </c>
      <c r="I7" s="168">
        <v>0</v>
      </c>
      <c r="J7" s="168"/>
      <c r="K7" s="168">
        <v>1019.22</v>
      </c>
      <c r="L7" s="168" t="s">
        <v>518</v>
      </c>
      <c r="M7" s="168">
        <v>45.47</v>
      </c>
      <c r="N7" s="168">
        <v>1494586800</v>
      </c>
      <c r="O7" s="168">
        <v>4.53</v>
      </c>
      <c r="P7" s="168">
        <v>176</v>
      </c>
      <c r="Q7" s="168">
        <v>3.04</v>
      </c>
      <c r="R7"/>
    </row>
    <row r="8" spans="1:18" x14ac:dyDescent="0.25">
      <c r="A8" s="168">
        <v>45.32</v>
      </c>
      <c r="B8" s="168">
        <v>0.14000000000000001</v>
      </c>
      <c r="C8" s="168">
        <v>39.57</v>
      </c>
      <c r="D8" s="8">
        <v>42867.25</v>
      </c>
      <c r="E8" s="168">
        <v>0.8</v>
      </c>
      <c r="F8" s="168" t="s">
        <v>517</v>
      </c>
      <c r="G8" s="168">
        <v>312.5</v>
      </c>
      <c r="H8" s="168">
        <v>0</v>
      </c>
      <c r="I8" s="168">
        <v>0</v>
      </c>
      <c r="J8" s="168"/>
      <c r="K8" s="168">
        <v>1018.81</v>
      </c>
      <c r="L8" s="168" t="s">
        <v>518</v>
      </c>
      <c r="M8" s="168">
        <v>45.32</v>
      </c>
      <c r="N8" s="168">
        <v>1494590400</v>
      </c>
      <c r="O8" s="168">
        <v>9.7799999999999994</v>
      </c>
      <c r="P8" s="168">
        <v>180</v>
      </c>
      <c r="Q8" s="168">
        <v>2.77</v>
      </c>
      <c r="R8"/>
    </row>
    <row r="9" spans="1:18" x14ac:dyDescent="0.25">
      <c r="A9" s="168">
        <v>49.33</v>
      </c>
      <c r="B9" s="168">
        <v>0.15</v>
      </c>
      <c r="C9" s="168">
        <v>41.03</v>
      </c>
      <c r="D9" s="8">
        <v>42867.291666666664</v>
      </c>
      <c r="E9" s="168">
        <v>0.73</v>
      </c>
      <c r="F9" s="168" t="s">
        <v>517</v>
      </c>
      <c r="G9" s="168">
        <v>310.89</v>
      </c>
      <c r="H9" s="168">
        <v>0</v>
      </c>
      <c r="I9" s="168">
        <v>0</v>
      </c>
      <c r="J9" s="168"/>
      <c r="K9" s="168">
        <v>1017.81</v>
      </c>
      <c r="L9" s="168" t="s">
        <v>518</v>
      </c>
      <c r="M9" s="168">
        <v>49.33</v>
      </c>
      <c r="N9" s="168">
        <v>1494594000</v>
      </c>
      <c r="O9" s="168">
        <v>4.03</v>
      </c>
      <c r="P9" s="168">
        <v>170</v>
      </c>
      <c r="Q9" s="168">
        <v>2.4300000000000002</v>
      </c>
      <c r="R9"/>
    </row>
    <row r="10" spans="1:18" x14ac:dyDescent="0.25">
      <c r="A10" s="168">
        <v>54.68</v>
      </c>
      <c r="B10" s="168">
        <v>0.08</v>
      </c>
      <c r="C10" s="168">
        <v>41.12</v>
      </c>
      <c r="D10" s="8">
        <v>42867.333333333336</v>
      </c>
      <c r="E10" s="168">
        <v>0.6</v>
      </c>
      <c r="F10" s="168" t="s">
        <v>517</v>
      </c>
      <c r="G10" s="168">
        <v>309.33999999999997</v>
      </c>
      <c r="H10" s="168">
        <v>0</v>
      </c>
      <c r="I10" s="168">
        <v>0</v>
      </c>
      <c r="J10" s="168"/>
      <c r="K10" s="168">
        <v>1016.43</v>
      </c>
      <c r="L10" s="168" t="s">
        <v>518</v>
      </c>
      <c r="M10" s="168">
        <v>54.68</v>
      </c>
      <c r="N10" s="168">
        <v>1494597600</v>
      </c>
      <c r="O10" s="168">
        <v>3.54</v>
      </c>
      <c r="P10" s="168">
        <v>177</v>
      </c>
      <c r="Q10" s="168">
        <v>1.81</v>
      </c>
      <c r="R10"/>
    </row>
    <row r="11" spans="1:18" x14ac:dyDescent="0.25">
      <c r="A11" s="168">
        <v>61.63</v>
      </c>
      <c r="B11" s="168">
        <v>0.1</v>
      </c>
      <c r="C11" s="168">
        <v>41.99</v>
      </c>
      <c r="D11" s="8">
        <v>42867.375</v>
      </c>
      <c r="E11" s="168">
        <v>0.48</v>
      </c>
      <c r="F11" s="168" t="s">
        <v>517</v>
      </c>
      <c r="G11" s="168">
        <v>308.39</v>
      </c>
      <c r="H11" s="168">
        <v>0</v>
      </c>
      <c r="I11" s="168">
        <v>0</v>
      </c>
      <c r="J11" s="168"/>
      <c r="K11" s="168">
        <v>1015.28</v>
      </c>
      <c r="L11" s="168" t="s">
        <v>518</v>
      </c>
      <c r="M11" s="168">
        <v>61.63</v>
      </c>
      <c r="N11" s="168">
        <v>1494601200</v>
      </c>
      <c r="O11" s="168">
        <v>10</v>
      </c>
      <c r="P11" s="168">
        <v>151</v>
      </c>
      <c r="Q11" s="168">
        <v>2.09</v>
      </c>
      <c r="R11"/>
    </row>
    <row r="12" spans="1:18" x14ac:dyDescent="0.25">
      <c r="A12" s="168">
        <v>66.98</v>
      </c>
      <c r="B12" s="168">
        <v>0.11</v>
      </c>
      <c r="C12" s="168">
        <v>41.62</v>
      </c>
      <c r="D12" s="8">
        <v>42867.416666666664</v>
      </c>
      <c r="E12" s="168">
        <v>0.4</v>
      </c>
      <c r="F12" s="168" t="s">
        <v>517</v>
      </c>
      <c r="G12" s="168">
        <v>308.45999999999998</v>
      </c>
      <c r="H12" s="168">
        <v>0</v>
      </c>
      <c r="I12" s="168">
        <v>0</v>
      </c>
      <c r="J12" s="168"/>
      <c r="K12" s="168">
        <v>1014.28</v>
      </c>
      <c r="L12" s="168" t="s">
        <v>518</v>
      </c>
      <c r="M12" s="168">
        <v>66.98</v>
      </c>
      <c r="N12" s="168">
        <v>1494604800</v>
      </c>
      <c r="O12" s="168">
        <v>10</v>
      </c>
      <c r="P12" s="168">
        <v>133</v>
      </c>
      <c r="Q12" s="168">
        <v>2.06</v>
      </c>
      <c r="R12"/>
    </row>
    <row r="13" spans="1:18" x14ac:dyDescent="0.25">
      <c r="A13" s="168">
        <v>71.989999999999995</v>
      </c>
      <c r="B13" s="168">
        <v>0.14000000000000001</v>
      </c>
      <c r="C13" s="168">
        <v>41.2</v>
      </c>
      <c r="D13" s="8">
        <v>42867.458333333336</v>
      </c>
      <c r="E13" s="168">
        <v>0.33</v>
      </c>
      <c r="F13" s="168" t="s">
        <v>517</v>
      </c>
      <c r="G13" s="168">
        <v>309.12</v>
      </c>
      <c r="H13" s="168">
        <v>0</v>
      </c>
      <c r="I13" s="168">
        <v>0</v>
      </c>
      <c r="J13" s="168"/>
      <c r="K13" s="168">
        <v>1013.31</v>
      </c>
      <c r="L13" s="168" t="s">
        <v>518</v>
      </c>
      <c r="M13" s="168">
        <v>71.989999999999995</v>
      </c>
      <c r="N13" s="168">
        <v>1494608400</v>
      </c>
      <c r="O13" s="168">
        <v>3.41</v>
      </c>
      <c r="P13" s="168">
        <v>119</v>
      </c>
      <c r="Q13" s="168">
        <v>2.85</v>
      </c>
      <c r="R13"/>
    </row>
    <row r="14" spans="1:18" x14ac:dyDescent="0.25">
      <c r="A14" s="168">
        <v>76.12</v>
      </c>
      <c r="B14" s="168">
        <v>0.14000000000000001</v>
      </c>
      <c r="C14" s="168">
        <v>37.76</v>
      </c>
      <c r="D14" s="8">
        <v>42867.5</v>
      </c>
      <c r="E14" s="168">
        <v>0.25</v>
      </c>
      <c r="F14" s="168" t="s">
        <v>517</v>
      </c>
      <c r="G14" s="168">
        <v>309.58999999999997</v>
      </c>
      <c r="H14" s="168">
        <v>0</v>
      </c>
      <c r="I14" s="168">
        <v>0</v>
      </c>
      <c r="J14" s="168"/>
      <c r="K14" s="168">
        <v>1012.33</v>
      </c>
      <c r="L14" s="168" t="s">
        <v>518</v>
      </c>
      <c r="M14" s="168">
        <v>76.12</v>
      </c>
      <c r="N14" s="168">
        <v>1494612000</v>
      </c>
      <c r="O14" s="168">
        <v>3.5</v>
      </c>
      <c r="P14" s="168">
        <v>111</v>
      </c>
      <c r="Q14" s="168">
        <v>2.74</v>
      </c>
      <c r="R14"/>
    </row>
    <row r="15" spans="1:18" x14ac:dyDescent="0.25">
      <c r="A15" s="168">
        <v>77.91</v>
      </c>
      <c r="B15" s="168">
        <v>0.21</v>
      </c>
      <c r="C15" s="168">
        <v>35.64</v>
      </c>
      <c r="D15" s="8">
        <v>42867.541666666664</v>
      </c>
      <c r="E15" s="168">
        <v>0.22</v>
      </c>
      <c r="F15" s="168" t="s">
        <v>517</v>
      </c>
      <c r="G15" s="168">
        <v>309.67</v>
      </c>
      <c r="H15" s="168">
        <v>0</v>
      </c>
      <c r="I15" s="168">
        <v>0</v>
      </c>
      <c r="J15" s="168"/>
      <c r="K15" s="168">
        <v>1011.28</v>
      </c>
      <c r="L15" s="168" t="s">
        <v>518</v>
      </c>
      <c r="M15" s="168">
        <v>77.91</v>
      </c>
      <c r="N15" s="168">
        <v>1494615600</v>
      </c>
      <c r="O15" s="168">
        <v>3.55</v>
      </c>
      <c r="P15" s="168">
        <v>108</v>
      </c>
      <c r="Q15" s="168">
        <v>3.64</v>
      </c>
      <c r="R15"/>
    </row>
    <row r="16" spans="1:18" x14ac:dyDescent="0.25">
      <c r="A16" s="168">
        <v>79.099999999999994</v>
      </c>
      <c r="B16" s="168">
        <v>0.28999999999999998</v>
      </c>
      <c r="C16" s="168">
        <v>35.020000000000003</v>
      </c>
      <c r="D16" s="8">
        <v>42867.583333333336</v>
      </c>
      <c r="E16" s="168">
        <v>0.2</v>
      </c>
      <c r="F16" s="168" t="s">
        <v>389</v>
      </c>
      <c r="G16" s="168">
        <v>309.55</v>
      </c>
      <c r="H16" s="168">
        <v>0</v>
      </c>
      <c r="I16" s="168">
        <v>0</v>
      </c>
      <c r="J16" s="168"/>
      <c r="K16" s="168">
        <v>1010.2</v>
      </c>
      <c r="L16" s="168" t="s">
        <v>516</v>
      </c>
      <c r="M16" s="168">
        <v>79.099999999999994</v>
      </c>
      <c r="N16" s="168">
        <v>1494619200</v>
      </c>
      <c r="O16" s="168">
        <v>3.52</v>
      </c>
      <c r="P16" s="168">
        <v>86</v>
      </c>
      <c r="Q16" s="168">
        <v>3.73</v>
      </c>
      <c r="R16"/>
    </row>
    <row r="17" spans="1:18" x14ac:dyDescent="0.25">
      <c r="A17" s="168">
        <v>78.92</v>
      </c>
      <c r="B17" s="168">
        <v>0.28999999999999998</v>
      </c>
      <c r="C17" s="168">
        <v>35.83</v>
      </c>
      <c r="D17" s="8">
        <v>42867.625</v>
      </c>
      <c r="E17" s="168">
        <v>0.2</v>
      </c>
      <c r="F17" s="168" t="s">
        <v>389</v>
      </c>
      <c r="G17" s="168">
        <v>309.04000000000002</v>
      </c>
      <c r="H17" s="168">
        <v>0</v>
      </c>
      <c r="I17" s="168">
        <v>0</v>
      </c>
      <c r="J17" s="168"/>
      <c r="K17" s="168">
        <v>1009.22</v>
      </c>
      <c r="L17" s="168" t="s">
        <v>516</v>
      </c>
      <c r="M17" s="168">
        <v>80.53</v>
      </c>
      <c r="N17" s="168">
        <v>1494622800</v>
      </c>
      <c r="O17" s="168">
        <v>3.45</v>
      </c>
      <c r="P17" s="168">
        <v>106</v>
      </c>
      <c r="Q17" s="168">
        <v>4.93</v>
      </c>
      <c r="R17"/>
    </row>
    <row r="18" spans="1:18" x14ac:dyDescent="0.25">
      <c r="A18" s="168">
        <v>79.790000000000006</v>
      </c>
      <c r="B18" s="168">
        <v>0.28999999999999998</v>
      </c>
      <c r="C18" s="168">
        <v>39.909999999999997</v>
      </c>
      <c r="D18" s="8">
        <v>42867.666666666664</v>
      </c>
      <c r="E18" s="168">
        <v>0.24</v>
      </c>
      <c r="F18" s="168" t="s">
        <v>389</v>
      </c>
      <c r="G18" s="168">
        <v>307.86</v>
      </c>
      <c r="H18" s="168">
        <v>0</v>
      </c>
      <c r="I18" s="168">
        <v>0</v>
      </c>
      <c r="J18" s="168"/>
      <c r="K18" s="168">
        <v>1008.33</v>
      </c>
      <c r="L18" s="168" t="s">
        <v>516</v>
      </c>
      <c r="M18" s="168">
        <v>79.790000000000006</v>
      </c>
      <c r="N18" s="168">
        <v>1494626400</v>
      </c>
      <c r="O18" s="168">
        <v>3.41</v>
      </c>
      <c r="P18" s="168">
        <v>120</v>
      </c>
      <c r="Q18" s="168">
        <v>6.41</v>
      </c>
      <c r="R18"/>
    </row>
    <row r="19" spans="1:18" x14ac:dyDescent="0.25">
      <c r="A19" s="168">
        <v>78.75</v>
      </c>
      <c r="B19" s="168">
        <v>0.28999999999999998</v>
      </c>
      <c r="C19" s="168">
        <v>41.89</v>
      </c>
      <c r="D19" s="8">
        <v>42867.708333333336</v>
      </c>
      <c r="E19" s="168">
        <v>0.27</v>
      </c>
      <c r="F19" s="168" t="s">
        <v>389</v>
      </c>
      <c r="G19" s="168">
        <v>306.29000000000002</v>
      </c>
      <c r="H19" s="168">
        <v>0</v>
      </c>
      <c r="I19" s="168">
        <v>0</v>
      </c>
      <c r="J19" s="168"/>
      <c r="K19" s="168">
        <v>1007.6</v>
      </c>
      <c r="L19" s="168" t="s">
        <v>516</v>
      </c>
      <c r="M19" s="168">
        <v>78.75</v>
      </c>
      <c r="N19" s="168">
        <v>1494630000</v>
      </c>
      <c r="O19" s="168">
        <v>3.43</v>
      </c>
      <c r="P19" s="168">
        <v>132</v>
      </c>
      <c r="Q19" s="168">
        <v>6.79</v>
      </c>
      <c r="R19"/>
    </row>
    <row r="20" spans="1:18" x14ac:dyDescent="0.25">
      <c r="A20" s="168">
        <v>75.819999999999993</v>
      </c>
      <c r="B20" s="168">
        <v>0.24</v>
      </c>
      <c r="C20" s="168">
        <v>42.22</v>
      </c>
      <c r="D20" s="8">
        <v>42867.75</v>
      </c>
      <c r="E20" s="168">
        <v>0.3</v>
      </c>
      <c r="F20" s="168" t="s">
        <v>517</v>
      </c>
      <c r="G20" s="168">
        <v>304.94</v>
      </c>
      <c r="H20" s="168">
        <v>0</v>
      </c>
      <c r="I20" s="168">
        <v>0</v>
      </c>
      <c r="J20" s="168"/>
      <c r="K20" s="168">
        <v>1007.22</v>
      </c>
      <c r="L20" s="168" t="s">
        <v>518</v>
      </c>
      <c r="M20" s="168">
        <v>75.819999999999993</v>
      </c>
      <c r="N20" s="168">
        <v>1494633600</v>
      </c>
      <c r="O20" s="168">
        <v>10</v>
      </c>
      <c r="P20" s="168">
        <v>148</v>
      </c>
      <c r="Q20" s="168">
        <v>8.41</v>
      </c>
      <c r="R20"/>
    </row>
    <row r="21" spans="1:18" x14ac:dyDescent="0.25">
      <c r="A21" s="168">
        <v>72.34</v>
      </c>
      <c r="B21" s="168">
        <v>0.14000000000000001</v>
      </c>
      <c r="C21" s="168">
        <v>44.36</v>
      </c>
      <c r="D21" s="8">
        <v>42867.791666666664</v>
      </c>
      <c r="E21" s="168">
        <v>0.37</v>
      </c>
      <c r="F21" s="168" t="s">
        <v>517</v>
      </c>
      <c r="G21" s="168">
        <v>304.06</v>
      </c>
      <c r="H21" s="168">
        <v>1.1000000000000001E-3</v>
      </c>
      <c r="I21" s="168">
        <v>0.02</v>
      </c>
      <c r="J21" s="168" t="s">
        <v>400</v>
      </c>
      <c r="K21" s="168">
        <v>1007.09</v>
      </c>
      <c r="L21" s="168" t="s">
        <v>518</v>
      </c>
      <c r="M21" s="168">
        <v>72.34</v>
      </c>
      <c r="N21" s="168">
        <v>1494637200</v>
      </c>
      <c r="O21" s="168">
        <v>10</v>
      </c>
      <c r="P21" s="168">
        <v>140</v>
      </c>
      <c r="Q21" s="168">
        <v>8.1300000000000008</v>
      </c>
      <c r="R21"/>
    </row>
    <row r="22" spans="1:18" x14ac:dyDescent="0.25">
      <c r="A22" s="168">
        <v>68.34</v>
      </c>
      <c r="B22" s="168">
        <v>0.16</v>
      </c>
      <c r="C22" s="168">
        <v>44.72</v>
      </c>
      <c r="D22" s="8">
        <v>42867.833333333336</v>
      </c>
      <c r="E22" s="168">
        <v>0.43</v>
      </c>
      <c r="F22" s="168" t="s">
        <v>517</v>
      </c>
      <c r="G22" s="168">
        <v>303.42</v>
      </c>
      <c r="H22" s="168">
        <v>0</v>
      </c>
      <c r="I22" s="168">
        <v>0</v>
      </c>
      <c r="J22" s="168"/>
      <c r="K22" s="168">
        <v>1007.48</v>
      </c>
      <c r="L22" s="168" t="s">
        <v>518</v>
      </c>
      <c r="M22" s="168">
        <v>68.34</v>
      </c>
      <c r="N22" s="168">
        <v>1494640800</v>
      </c>
      <c r="O22" s="168">
        <v>4.4400000000000004</v>
      </c>
      <c r="P22" s="168">
        <v>145</v>
      </c>
      <c r="Q22" s="168">
        <v>7.11</v>
      </c>
      <c r="R22"/>
    </row>
    <row r="23" spans="1:18" x14ac:dyDescent="0.25">
      <c r="A23" s="168">
        <v>65.36</v>
      </c>
      <c r="B23" s="168">
        <v>0.24</v>
      </c>
      <c r="C23" s="168">
        <v>44.4</v>
      </c>
      <c r="D23" s="8">
        <v>42867.875</v>
      </c>
      <c r="E23" s="168">
        <v>0.47</v>
      </c>
      <c r="F23" s="168" t="s">
        <v>519</v>
      </c>
      <c r="G23" s="168">
        <v>302.93</v>
      </c>
      <c r="H23" s="168">
        <v>0</v>
      </c>
      <c r="I23" s="168">
        <v>0</v>
      </c>
      <c r="J23" s="168"/>
      <c r="K23" s="168">
        <v>1007.83</v>
      </c>
      <c r="L23" s="168" t="s">
        <v>518</v>
      </c>
      <c r="M23" s="168">
        <v>65.36</v>
      </c>
      <c r="N23" s="168">
        <v>1494644400</v>
      </c>
      <c r="O23" s="168">
        <v>5.55</v>
      </c>
      <c r="P23" s="168">
        <v>150</v>
      </c>
      <c r="Q23" s="168">
        <v>7.39</v>
      </c>
      <c r="R23"/>
    </row>
    <row r="24" spans="1:18" x14ac:dyDescent="0.25">
      <c r="A24" s="168">
        <v>64.17</v>
      </c>
      <c r="B24" s="168">
        <v>0.38</v>
      </c>
      <c r="C24" s="168">
        <v>43.91</v>
      </c>
      <c r="D24" s="8">
        <v>42867.916666666664</v>
      </c>
      <c r="E24" s="168">
        <v>0.48</v>
      </c>
      <c r="F24" s="168" t="s">
        <v>805</v>
      </c>
      <c r="G24" s="168">
        <v>302.68</v>
      </c>
      <c r="H24" s="168">
        <v>0</v>
      </c>
      <c r="I24" s="168">
        <v>0</v>
      </c>
      <c r="J24" s="168"/>
      <c r="K24" s="168">
        <v>1007.81</v>
      </c>
      <c r="L24" s="168" t="s">
        <v>516</v>
      </c>
      <c r="M24" s="168">
        <v>64.17</v>
      </c>
      <c r="N24" s="168">
        <v>1494648000</v>
      </c>
      <c r="O24" s="168">
        <v>3.98</v>
      </c>
      <c r="P24" s="168">
        <v>157</v>
      </c>
      <c r="Q24" s="168">
        <v>6.6</v>
      </c>
      <c r="R24"/>
    </row>
    <row r="25" spans="1:18" x14ac:dyDescent="0.25">
      <c r="A25" s="168">
        <v>63.06</v>
      </c>
      <c r="B25" s="168">
        <v>0.47</v>
      </c>
      <c r="C25" s="168">
        <v>43.02</v>
      </c>
      <c r="D25" s="8">
        <v>42867.958333333336</v>
      </c>
      <c r="E25" s="168">
        <v>0.48</v>
      </c>
      <c r="F25" s="168" t="s">
        <v>805</v>
      </c>
      <c r="G25" s="168">
        <v>302.58999999999997</v>
      </c>
      <c r="H25" s="168">
        <v>1.6999999999999999E-3</v>
      </c>
      <c r="I25" s="168">
        <v>0.04</v>
      </c>
      <c r="J25" s="168" t="s">
        <v>400</v>
      </c>
      <c r="K25" s="168">
        <v>1007.61</v>
      </c>
      <c r="L25" s="168" t="s">
        <v>516</v>
      </c>
      <c r="M25" s="168">
        <v>63.06</v>
      </c>
      <c r="N25" s="168">
        <v>1494651600</v>
      </c>
      <c r="O25" s="168">
        <v>3</v>
      </c>
      <c r="P25" s="168">
        <v>165</v>
      </c>
      <c r="Q25" s="168">
        <v>7.84</v>
      </c>
      <c r="R25"/>
    </row>
    <row r="26" spans="1:18" x14ac:dyDescent="0.25">
      <c r="A26" s="168">
        <v>60.87</v>
      </c>
      <c r="B26" s="168">
        <v>0.43</v>
      </c>
      <c r="C26" s="168">
        <v>43.23</v>
      </c>
      <c r="D26" s="8">
        <v>42868</v>
      </c>
      <c r="E26" s="168">
        <v>0.52</v>
      </c>
      <c r="F26" s="168" t="s">
        <v>805</v>
      </c>
      <c r="G26" s="168">
        <v>302.38</v>
      </c>
      <c r="H26" s="168">
        <v>0</v>
      </c>
      <c r="I26" s="168">
        <v>0</v>
      </c>
      <c r="J26" s="168"/>
      <c r="K26" s="168">
        <v>1007.38</v>
      </c>
      <c r="L26" s="168" t="s">
        <v>516</v>
      </c>
      <c r="M26" s="168">
        <v>60.87</v>
      </c>
      <c r="N26" s="168">
        <v>1494655200</v>
      </c>
      <c r="O26" s="168">
        <v>2.65</v>
      </c>
      <c r="P26" s="168">
        <v>169</v>
      </c>
      <c r="Q26" s="168">
        <v>5.96</v>
      </c>
      <c r="R26"/>
    </row>
    <row r="27" spans="1:18" x14ac:dyDescent="0.25">
      <c r="A27" s="168">
        <v>59.73</v>
      </c>
      <c r="B27" s="168">
        <v>0.35</v>
      </c>
      <c r="C27" s="168">
        <v>43.21</v>
      </c>
      <c r="D27" s="8">
        <v>42868.041666666664</v>
      </c>
      <c r="E27" s="168">
        <v>0.54</v>
      </c>
      <c r="F27" s="168" t="s">
        <v>805</v>
      </c>
      <c r="G27" s="168">
        <v>301.87</v>
      </c>
      <c r="H27" s="168">
        <v>0</v>
      </c>
      <c r="I27" s="168">
        <v>0</v>
      </c>
      <c r="J27" s="168"/>
      <c r="K27" s="168">
        <v>1007.41</v>
      </c>
      <c r="L27" s="168" t="s">
        <v>516</v>
      </c>
      <c r="M27" s="168">
        <v>59.73</v>
      </c>
      <c r="N27" s="168">
        <v>1494658800</v>
      </c>
      <c r="O27" s="168">
        <v>2.61</v>
      </c>
      <c r="P27" s="168">
        <v>168</v>
      </c>
      <c r="Q27" s="168">
        <v>4.25</v>
      </c>
      <c r="R27"/>
    </row>
    <row r="28" spans="1:18" x14ac:dyDescent="0.25">
      <c r="A28" s="168">
        <v>57.06</v>
      </c>
      <c r="B28" s="168">
        <v>0.35</v>
      </c>
      <c r="C28" s="168">
        <v>42.01</v>
      </c>
      <c r="D28" s="8">
        <v>42868.083333333336</v>
      </c>
      <c r="E28" s="168">
        <v>0.56999999999999995</v>
      </c>
      <c r="F28" s="168" t="s">
        <v>805</v>
      </c>
      <c r="G28" s="168">
        <v>301.36</v>
      </c>
      <c r="H28" s="168">
        <v>0</v>
      </c>
      <c r="I28" s="168">
        <v>0</v>
      </c>
      <c r="J28" s="168"/>
      <c r="K28" s="168">
        <v>1007.36</v>
      </c>
      <c r="L28" s="168" t="s">
        <v>516</v>
      </c>
      <c r="M28" s="168">
        <v>57.06</v>
      </c>
      <c r="N28" s="168">
        <v>1494662400</v>
      </c>
      <c r="O28" s="168">
        <v>2.37</v>
      </c>
      <c r="P28" s="168">
        <v>188</v>
      </c>
      <c r="Q28" s="168">
        <v>3.65</v>
      </c>
      <c r="R28"/>
    </row>
    <row r="29" spans="1:18" x14ac:dyDescent="0.25">
      <c r="A29" s="168">
        <v>55.57</v>
      </c>
      <c r="B29" s="168">
        <v>0.25</v>
      </c>
      <c r="C29" s="168">
        <v>42.46</v>
      </c>
      <c r="D29" s="8">
        <v>42868.125</v>
      </c>
      <c r="E29" s="168">
        <v>0.61</v>
      </c>
      <c r="F29" s="168" t="s">
        <v>805</v>
      </c>
      <c r="G29" s="168">
        <v>300.83999999999997</v>
      </c>
      <c r="H29" s="168">
        <v>0</v>
      </c>
      <c r="I29" s="168">
        <v>0</v>
      </c>
      <c r="J29" s="168"/>
      <c r="K29" s="168">
        <v>1007.29</v>
      </c>
      <c r="L29" s="168" t="s">
        <v>516</v>
      </c>
      <c r="M29" s="168">
        <v>55.57</v>
      </c>
      <c r="N29" s="168">
        <v>1494666000</v>
      </c>
      <c r="O29" s="168">
        <v>2.02</v>
      </c>
      <c r="P29" s="168">
        <v>260</v>
      </c>
      <c r="Q29" s="168">
        <v>1.48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187</v>
      </c>
    </row>
    <row r="33" spans="1:1" x14ac:dyDescent="0.25">
      <c r="A33" s="14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8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338</v>
      </c>
      <c r="U1" s="159"/>
      <c r="V1" s="159"/>
      <c r="W1" s="159"/>
      <c r="X1" s="159"/>
    </row>
    <row r="2" spans="1:24" ht="15.75" thickBot="1" x14ac:dyDescent="0.3">
      <c r="A2" s="12">
        <v>42867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339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340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341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342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115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116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188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1031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1032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1033</v>
      </c>
      <c r="J20" s="143" t="s">
        <v>87</v>
      </c>
      <c r="M20" s="157" t="s">
        <v>377</v>
      </c>
      <c r="N20" s="157" t="s">
        <v>337</v>
      </c>
      <c r="T20" s="158"/>
      <c r="U20" s="158"/>
      <c r="V20" s="158"/>
      <c r="W20" s="158"/>
      <c r="X20" s="158"/>
    </row>
    <row r="21" spans="3:24" x14ac:dyDescent="0.25">
      <c r="C21" t="s">
        <v>1034</v>
      </c>
      <c r="J21" s="143" t="s">
        <v>90</v>
      </c>
      <c r="K21" s="143" t="s">
        <v>91</v>
      </c>
      <c r="M21" s="157" t="s">
        <v>178</v>
      </c>
      <c r="T21" s="158"/>
      <c r="U21" s="158"/>
      <c r="V21" s="158"/>
      <c r="W21" s="158"/>
      <c r="X21" s="158"/>
    </row>
    <row r="22" spans="3:24" x14ac:dyDescent="0.25">
      <c r="C22" t="s">
        <v>1035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552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1036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1037</v>
      </c>
      <c r="J25" s="143" t="s">
        <v>150</v>
      </c>
      <c r="M25" s="157" t="b">
        <v>1</v>
      </c>
    </row>
    <row r="26" spans="3:24" x14ac:dyDescent="0.25">
      <c r="C26" t="s">
        <v>1038</v>
      </c>
      <c r="J26" s="143" t="s">
        <v>151</v>
      </c>
      <c r="M26" s="157" t="str">
        <f>"C:\Users\stu\Documents\GitHub\eaglep3-reporting\EC\"&amp;TEXT(A2,"yyyy-mm-dd")&amp;"-refined-times.txt"</f>
        <v>C:\Users\stu\Documents\GitHub\eaglep3-reporting\EC\2017-05-12-refined-times.txt</v>
      </c>
    </row>
    <row r="27" spans="3:24" x14ac:dyDescent="0.25">
      <c r="C27" t="s">
        <v>553</v>
      </c>
      <c r="J27" s="143" t="s">
        <v>180</v>
      </c>
      <c r="M27" s="157" t="str">
        <f>"C:\Users\stu\Documents\GitHub\eaglep3-reporting\EC\"&amp;TEXT(A2,"YYYY-MM-DD")&amp;"-Enforcements.txt"</f>
        <v>C:\Users\stu\Documents\GitHub\eaglep3-reporting\EC\2017-05-12-Enforcements.txt</v>
      </c>
    </row>
    <row r="28" spans="3:24" x14ac:dyDescent="0.25">
      <c r="C28" t="s">
        <v>1039</v>
      </c>
      <c r="J28" s="143" t="s">
        <v>181</v>
      </c>
      <c r="M28" s="157" t="str">
        <f>"C:\Users\stu\Documents\GitHub\eaglep3-reporting\EC\"&amp;TEXT(A2,"YYYY-MM-DD")&amp;"-Runs-refined.txt"</f>
        <v>C:\Users\stu\Documents\GitHub\eaglep3-reporting\EC\2017-05-12-Runs-refined.txt</v>
      </c>
    </row>
    <row r="29" spans="3:24" x14ac:dyDescent="0.25">
      <c r="C29" t="s">
        <v>1040</v>
      </c>
      <c r="J29" s="143" t="s">
        <v>182</v>
      </c>
      <c r="M29" s="157" t="str">
        <f>"C:\Users\stu\Documents\GitHub\eaglep3-reporting\EC\"&amp;TEXT(A2,"YYYY-MM-DD")&amp;"-Trips.txt"</f>
        <v>C:\Users\stu\Documents\GitHub\eaglep3-reporting\EC\2017-05-12-Trips.txt</v>
      </c>
    </row>
    <row r="30" spans="3:24" x14ac:dyDescent="0.25">
      <c r="C30" t="s">
        <v>1041</v>
      </c>
      <c r="J30" s="143" t="s">
        <v>183</v>
      </c>
      <c r="M30" s="157" t="str">
        <f>"C:\Users\stu\Documents\GitHub\eaglep3-reporting\EC\"&amp;TEXT(A2,"YYYY-MM-DD")&amp;"-Weather.txt"</f>
        <v>C:\Users\stu\Documents\GitHub\eaglep3-reporting\EC\2017-05-12-Weather.txt</v>
      </c>
    </row>
    <row r="31" spans="3:24" x14ac:dyDescent="0.25">
      <c r="C31" t="s">
        <v>1042</v>
      </c>
      <c r="J31" s="143" t="s">
        <v>200</v>
      </c>
      <c r="M31" s="157" t="s">
        <v>201</v>
      </c>
    </row>
    <row r="32" spans="3:24" x14ac:dyDescent="0.25">
      <c r="C32" t="s">
        <v>1043</v>
      </c>
    </row>
    <row r="33" spans="3:3" x14ac:dyDescent="0.25">
      <c r="C33" t="s">
        <v>1044</v>
      </c>
    </row>
    <row r="34" spans="3:3" x14ac:dyDescent="0.25">
      <c r="C34" t="s">
        <v>1045</v>
      </c>
    </row>
    <row r="35" spans="3:3" x14ac:dyDescent="0.25">
      <c r="C35" t="s">
        <v>1046</v>
      </c>
    </row>
    <row r="36" spans="3:3" x14ac:dyDescent="0.25">
      <c r="C36" t="s">
        <v>1047</v>
      </c>
    </row>
    <row r="37" spans="3:3" x14ac:dyDescent="0.25">
      <c r="C37" t="s">
        <v>1048</v>
      </c>
    </row>
    <row r="38" spans="3:3" x14ac:dyDescent="0.25">
      <c r="C38" t="s">
        <v>1049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121</v>
      </c>
      <c r="B1" s="95" t="s">
        <v>122</v>
      </c>
      <c r="C1" s="96" t="s">
        <v>123</v>
      </c>
      <c r="H1" t="s">
        <v>117</v>
      </c>
      <c r="I1" s="163" t="s">
        <v>119</v>
      </c>
      <c r="J1" s="157" t="s">
        <v>350</v>
      </c>
    </row>
    <row r="2" spans="1:11" x14ac:dyDescent="0.25">
      <c r="A2" s="96" t="s">
        <v>124</v>
      </c>
      <c r="B2" s="96" t="s">
        <v>125</v>
      </c>
      <c r="C2" s="96" t="s">
        <v>126</v>
      </c>
      <c r="H2" t="s">
        <v>118</v>
      </c>
      <c r="I2" s="157" t="s">
        <v>120</v>
      </c>
      <c r="J2" s="157" t="s">
        <v>351</v>
      </c>
    </row>
    <row r="3" spans="1:11" x14ac:dyDescent="0.25">
      <c r="A3" s="96" t="s">
        <v>127</v>
      </c>
      <c r="B3" s="96" t="s">
        <v>128</v>
      </c>
      <c r="C3" s="96" t="s">
        <v>129</v>
      </c>
      <c r="H3" t="s">
        <v>143</v>
      </c>
      <c r="I3" s="157">
        <v>1</v>
      </c>
      <c r="J3" s="157">
        <v>1</v>
      </c>
      <c r="K3" s="58"/>
    </row>
    <row r="4" spans="1:11" x14ac:dyDescent="0.25">
      <c r="A4" s="96" t="s">
        <v>130</v>
      </c>
      <c r="C4" s="96" t="s">
        <v>131</v>
      </c>
      <c r="H4" t="s">
        <v>144</v>
      </c>
      <c r="I4" s="157">
        <v>2</v>
      </c>
      <c r="J4" s="157">
        <v>1</v>
      </c>
      <c r="K4" s="58"/>
    </row>
    <row r="5" spans="1:11" x14ac:dyDescent="0.25">
      <c r="A5" s="96" t="s">
        <v>132</v>
      </c>
      <c r="C5" s="96" t="s">
        <v>133</v>
      </c>
      <c r="H5" t="s">
        <v>145</v>
      </c>
      <c r="I5" s="157">
        <v>23</v>
      </c>
      <c r="J5" s="157">
        <v>10</v>
      </c>
      <c r="K5" s="58"/>
    </row>
    <row r="6" spans="1:11" x14ac:dyDescent="0.25">
      <c r="A6" s="96" t="s">
        <v>134</v>
      </c>
      <c r="C6" s="96" t="s">
        <v>135</v>
      </c>
      <c r="H6" s="97" t="s">
        <v>146</v>
      </c>
      <c r="I6" s="164" t="s">
        <v>125</v>
      </c>
    </row>
    <row r="7" spans="1:11" x14ac:dyDescent="0.25">
      <c r="A7" s="96" t="s">
        <v>136</v>
      </c>
      <c r="C7" s="96" t="s">
        <v>137</v>
      </c>
    </row>
    <row r="8" spans="1:11" x14ac:dyDescent="0.25">
      <c r="C8" s="96" t="s">
        <v>138</v>
      </c>
    </row>
    <row r="9" spans="1:11" x14ac:dyDescent="0.25">
      <c r="C9" s="97" t="s">
        <v>171</v>
      </c>
    </row>
    <row r="10" spans="1:11" x14ac:dyDescent="0.25">
      <c r="C10" s="96" t="s">
        <v>139</v>
      </c>
    </row>
    <row r="11" spans="1:11" x14ac:dyDescent="0.25">
      <c r="C11" s="96" t="s">
        <v>140</v>
      </c>
    </row>
    <row r="12" spans="1:11" x14ac:dyDescent="0.25">
      <c r="C12" s="96" t="s">
        <v>141</v>
      </c>
    </row>
    <row r="13" spans="1:11" x14ac:dyDescent="0.25">
      <c r="C13" s="96" t="s">
        <v>142</v>
      </c>
    </row>
    <row r="14" spans="1:11" x14ac:dyDescent="0.25">
      <c r="C14" s="97" t="s">
        <v>172</v>
      </c>
    </row>
    <row r="15" spans="1:11" x14ac:dyDescent="0.25">
      <c r="C15" s="97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207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208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209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210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211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212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213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214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215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216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217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218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219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220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221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222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223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224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225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226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227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228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229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230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231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232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233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234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235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236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237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238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239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240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241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242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243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244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245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246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247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248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249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250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251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252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253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254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255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256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257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258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259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260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261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262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263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264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265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266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267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268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269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270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271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272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273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274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275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276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277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278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279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280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281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282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283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284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285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286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287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288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289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290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291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292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293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294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295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296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297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298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299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300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301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302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303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304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305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306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307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308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309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310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311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312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313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314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315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316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317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318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319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320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321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322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323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324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325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326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327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328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329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330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331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332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333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334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335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336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2017-05-15T19:18:28Z</dcterms:modified>
</cp:coreProperties>
</file>