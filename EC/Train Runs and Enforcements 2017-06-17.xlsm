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3" i="1" l="1"/>
  <c r="X153" i="1"/>
  <c r="X154" i="1"/>
  <c r="X155" i="1"/>
  <c r="X156" i="1"/>
  <c r="K153" i="1"/>
  <c r="L153" i="1"/>
  <c r="M153" i="1"/>
  <c r="V153" i="1"/>
  <c r="Y153" i="1"/>
  <c r="Z153" i="1"/>
  <c r="AA153" i="1"/>
  <c r="AB153" i="1"/>
  <c r="AC153" i="1"/>
  <c r="AD153" i="1"/>
  <c r="T153" i="1" s="1"/>
  <c r="AE153" i="1"/>
  <c r="AF153" i="1"/>
  <c r="AH153" i="1"/>
  <c r="AM153" i="1"/>
  <c r="AN153" i="1"/>
  <c r="P150" i="1"/>
  <c r="X160" i="1"/>
  <c r="X161" i="1"/>
  <c r="X162" i="1"/>
  <c r="X163" i="1"/>
  <c r="X164" i="1"/>
  <c r="X165" i="1"/>
  <c r="X166" i="1"/>
  <c r="X167" i="1"/>
  <c r="X168" i="1"/>
  <c r="AB143" i="1"/>
  <c r="X29" i="1"/>
  <c r="X3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T32" i="1"/>
  <c r="V32" i="1"/>
  <c r="X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S10" i="3" s="1"/>
  <c r="Y33" i="1"/>
  <c r="Z33" i="1"/>
  <c r="AB33" i="1"/>
  <c r="AC33" i="1"/>
  <c r="AD33" i="1"/>
  <c r="T33" i="1" s="1"/>
  <c r="AE33" i="1"/>
  <c r="R10" i="3" s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R25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24" i="3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R17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S26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R21" i="3" s="1"/>
  <c r="AF73" i="1"/>
  <c r="AH73" i="1"/>
  <c r="AM73" i="1"/>
  <c r="AN73" i="1"/>
  <c r="K74" i="1"/>
  <c r="L74" i="1"/>
  <c r="M74" i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1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S11" i="3" s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4" i="1"/>
  <c r="AM94" i="1"/>
  <c r="AN9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32" i="3" s="1"/>
  <c r="AF163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6" i="1"/>
  <c r="AM96" i="1"/>
  <c r="AN9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AM104" i="1"/>
  <c r="AN104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05" i="1"/>
  <c r="AM105" i="1"/>
  <c r="AN105" i="1"/>
  <c r="K173" i="1"/>
  <c r="L173" i="1"/>
  <c r="M173" i="1"/>
  <c r="N173" i="1" s="1"/>
  <c r="V173" i="1"/>
  <c r="Y173" i="1"/>
  <c r="Z173" i="1"/>
  <c r="AB173" i="1"/>
  <c r="AC173" i="1"/>
  <c r="AD173" i="1"/>
  <c r="AE173" i="1"/>
  <c r="R34" i="3" s="1"/>
  <c r="AF173" i="1"/>
  <c r="AH106" i="1"/>
  <c r="AM106" i="1"/>
  <c r="AN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R35" i="3" s="1"/>
  <c r="AF175" i="1"/>
  <c r="AH108" i="1"/>
  <c r="AM108" i="1"/>
  <c r="AN1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0" i="1"/>
  <c r="AM110" i="1"/>
  <c r="AN110" i="1"/>
  <c r="K178" i="1"/>
  <c r="L178" i="1"/>
  <c r="M178" i="1"/>
  <c r="N178" i="1" s="1"/>
  <c r="T178" i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13" i="1"/>
  <c r="AM113" i="1"/>
  <c r="AN1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2" i="1"/>
  <c r="L182" i="1"/>
  <c r="M182" i="1"/>
  <c r="N182" i="1"/>
  <c r="V182" i="1"/>
  <c r="Y182" i="1"/>
  <c r="Z182" i="1"/>
  <c r="AB182" i="1"/>
  <c r="AC182" i="1"/>
  <c r="AD182" i="1"/>
  <c r="AE182" i="1"/>
  <c r="AF182" i="1"/>
  <c r="AH116" i="1"/>
  <c r="AM116" i="1"/>
  <c r="AN11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36" i="3" s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4" i="1"/>
  <c r="AM124" i="1"/>
  <c r="AN12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26" i="1"/>
  <c r="AM126" i="1"/>
  <c r="AN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9" i="1"/>
  <c r="AM129" i="1"/>
  <c r="AN1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37" i="1"/>
  <c r="AM137" i="1"/>
  <c r="AN137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42" i="1"/>
  <c r="AM142" i="1"/>
  <c r="AN142" i="1"/>
  <c r="K108" i="1"/>
  <c r="L108" i="1"/>
  <c r="M108" i="1"/>
  <c r="N108" i="1" s="1"/>
  <c r="V108" i="1"/>
  <c r="S23" i="3" s="1"/>
  <c r="Y108" i="1"/>
  <c r="Z108" i="1"/>
  <c r="AA108" i="1" s="1"/>
  <c r="AB108" i="1"/>
  <c r="AC108" i="1"/>
  <c r="AD108" i="1"/>
  <c r="T108" i="1" s="1"/>
  <c r="AE108" i="1"/>
  <c r="R23" i="3" s="1"/>
  <c r="AF108" i="1"/>
  <c r="AH143" i="1"/>
  <c r="AM143" i="1"/>
  <c r="AN143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P110" i="1" s="1"/>
  <c r="V110" i="1"/>
  <c r="Y110" i="1"/>
  <c r="Z110" i="1"/>
  <c r="AB110" i="1"/>
  <c r="AC110" i="1"/>
  <c r="AD110" i="1"/>
  <c r="AE110" i="1"/>
  <c r="R15" i="3" s="1"/>
  <c r="AF110" i="1"/>
  <c r="AH145" i="1"/>
  <c r="AM145" i="1"/>
  <c r="AN145" i="1"/>
  <c r="K111" i="1"/>
  <c r="L111" i="1"/>
  <c r="M111" i="1"/>
  <c r="N111" i="1" s="1"/>
  <c r="V111" i="1"/>
  <c r="S8" i="3" s="1"/>
  <c r="Y111" i="1"/>
  <c r="AA111" i="1" s="1"/>
  <c r="Z111" i="1"/>
  <c r="AB111" i="1"/>
  <c r="AC111" i="1"/>
  <c r="AD111" i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 s="1"/>
  <c r="V113" i="1"/>
  <c r="S16" i="3" s="1"/>
  <c r="Y113" i="1"/>
  <c r="Z113" i="1"/>
  <c r="AB113" i="1"/>
  <c r="AC113" i="1"/>
  <c r="AD113" i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S27" i="3" s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E122" i="1"/>
  <c r="R29" i="3" s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30" i="3" s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S9" i="3" s="1"/>
  <c r="Y128" i="1"/>
  <c r="Z128" i="1"/>
  <c r="AB128" i="1"/>
  <c r="AC128" i="1"/>
  <c r="AD128" i="1"/>
  <c r="X128" i="1" s="1"/>
  <c r="AE128" i="1"/>
  <c r="R9" i="3" s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4" i="1"/>
  <c r="AM164" i="1"/>
  <c r="AN164" i="1"/>
  <c r="K130" i="1"/>
  <c r="L130" i="1"/>
  <c r="M130" i="1"/>
  <c r="N130" i="1"/>
  <c r="V130" i="1"/>
  <c r="S31" i="3" s="1"/>
  <c r="Y130" i="1"/>
  <c r="Z130" i="1"/>
  <c r="AB130" i="1"/>
  <c r="AC130" i="1"/>
  <c r="AD130" i="1"/>
  <c r="AE130" i="1"/>
  <c r="R31" i="3" s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S28" i="3" s="1"/>
  <c r="Y141" i="1"/>
  <c r="Z141" i="1"/>
  <c r="AB141" i="1"/>
  <c r="AC141" i="1"/>
  <c r="AD141" i="1"/>
  <c r="AE141" i="1"/>
  <c r="R28" i="3" s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K143" i="1"/>
  <c r="L143" i="1"/>
  <c r="M143" i="1"/>
  <c r="P143" i="1" s="1"/>
  <c r="V143" i="1"/>
  <c r="Y143" i="1"/>
  <c r="Z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L147" i="1"/>
  <c r="M147" i="1"/>
  <c r="N147" i="1" s="1"/>
  <c r="V147" i="1"/>
  <c r="S18" i="3" s="1"/>
  <c r="Y147" i="1"/>
  <c r="Z147" i="1"/>
  <c r="AA147" i="1" s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V150" i="1"/>
  <c r="S22" i="3" s="1"/>
  <c r="Y150" i="1"/>
  <c r="Z150" i="1"/>
  <c r="AB150" i="1"/>
  <c r="AC150" i="1"/>
  <c r="AD150" i="1"/>
  <c r="AE150" i="1"/>
  <c r="R19" i="3" s="1"/>
  <c r="AF150" i="1"/>
  <c r="AH185" i="1"/>
  <c r="AM185" i="1"/>
  <c r="AN185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V152" i="1"/>
  <c r="Y152" i="1"/>
  <c r="Z152" i="1"/>
  <c r="AB152" i="1"/>
  <c r="AC152" i="1"/>
  <c r="AD152" i="1"/>
  <c r="AE152" i="1"/>
  <c r="AF152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93" i="1"/>
  <c r="AM193" i="1"/>
  <c r="AN193" i="1"/>
  <c r="K160" i="1"/>
  <c r="L160" i="1"/>
  <c r="M160" i="1"/>
  <c r="N160" i="1"/>
  <c r="V160" i="1"/>
  <c r="Y160" i="1"/>
  <c r="AA160" i="1" s="1"/>
  <c r="Z160" i="1"/>
  <c r="AB160" i="1"/>
  <c r="AC160" i="1"/>
  <c r="AD160" i="1"/>
  <c r="T160" i="1" s="1"/>
  <c r="AE160" i="1"/>
  <c r="AF160" i="1"/>
  <c r="AH194" i="1"/>
  <c r="AM194" i="1"/>
  <c r="AN194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0" i="1"/>
  <c r="AM210" i="1"/>
  <c r="AN21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T216" i="1"/>
  <c r="V216" i="1"/>
  <c r="S37" i="3" s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M10" i="3"/>
  <c r="U10" i="3"/>
  <c r="T10" i="3" s="1"/>
  <c r="V10" i="3"/>
  <c r="X10" i="3"/>
  <c r="M32" i="3"/>
  <c r="S32" i="3"/>
  <c r="U32" i="3"/>
  <c r="T32" i="3" s="1"/>
  <c r="V32" i="3"/>
  <c r="X32" i="3"/>
  <c r="M14" i="3"/>
  <c r="R14" i="3"/>
  <c r="S14" i="3"/>
  <c r="U14" i="3"/>
  <c r="AC14" i="3" s="1"/>
  <c r="V14" i="3"/>
  <c r="X14" i="3"/>
  <c r="M25" i="3"/>
  <c r="S25" i="3"/>
  <c r="U25" i="3"/>
  <c r="AC25" i="3" s="1"/>
  <c r="V25" i="3"/>
  <c r="X25" i="3"/>
  <c r="M24" i="3"/>
  <c r="R24" i="3"/>
  <c r="U24" i="3"/>
  <c r="T24" i="3" s="1"/>
  <c r="V24" i="3"/>
  <c r="X24" i="3"/>
  <c r="M17" i="3"/>
  <c r="S17" i="3"/>
  <c r="U17" i="3"/>
  <c r="T17" i="3" s="1"/>
  <c r="V17" i="3"/>
  <c r="X17" i="3"/>
  <c r="M20" i="3"/>
  <c r="S20" i="3"/>
  <c r="U20" i="3"/>
  <c r="AC20" i="3" s="1"/>
  <c r="V20" i="3"/>
  <c r="X20" i="3"/>
  <c r="M21" i="3"/>
  <c r="S21" i="3"/>
  <c r="U21" i="3"/>
  <c r="T21" i="3" s="1"/>
  <c r="V21" i="3"/>
  <c r="X21" i="3"/>
  <c r="M34" i="3"/>
  <c r="U34" i="3"/>
  <c r="T34" i="3" s="1"/>
  <c r="V34" i="3"/>
  <c r="X34" i="3"/>
  <c r="M26" i="3"/>
  <c r="R26" i="3"/>
  <c r="U26" i="3"/>
  <c r="T26" i="3" s="1"/>
  <c r="V26" i="3"/>
  <c r="X26" i="3"/>
  <c r="M35" i="3"/>
  <c r="S35" i="3"/>
  <c r="U35" i="3"/>
  <c r="AC35" i="3" s="1"/>
  <c r="V35" i="3"/>
  <c r="X35" i="3"/>
  <c r="M12" i="3"/>
  <c r="S12" i="3"/>
  <c r="U12" i="3"/>
  <c r="AD12" i="3" s="1"/>
  <c r="V12" i="3"/>
  <c r="X12" i="3"/>
  <c r="M13" i="3"/>
  <c r="S13" i="3"/>
  <c r="U13" i="3"/>
  <c r="T13" i="3" s="1"/>
  <c r="V13" i="3"/>
  <c r="X13" i="3"/>
  <c r="AD20" i="3"/>
  <c r="M11" i="3"/>
  <c r="R11" i="3"/>
  <c r="U11" i="3"/>
  <c r="V11" i="3"/>
  <c r="X11" i="3"/>
  <c r="AD21" i="3"/>
  <c r="M23" i="3"/>
  <c r="U23" i="3"/>
  <c r="AC23" i="3" s="1"/>
  <c r="V23" i="3"/>
  <c r="X23" i="3"/>
  <c r="M15" i="3"/>
  <c r="S15" i="3"/>
  <c r="U15" i="3"/>
  <c r="V15" i="3"/>
  <c r="X15" i="3"/>
  <c r="M37" i="3"/>
  <c r="R37" i="3"/>
  <c r="U37" i="3"/>
  <c r="T37" i="3" s="1"/>
  <c r="V37" i="3"/>
  <c r="X37" i="3"/>
  <c r="M8" i="3"/>
  <c r="R8" i="3"/>
  <c r="U8" i="3"/>
  <c r="T8" i="3" s="1"/>
  <c r="V8" i="3"/>
  <c r="X8" i="3"/>
  <c r="M38" i="3"/>
  <c r="S38" i="3"/>
  <c r="U38" i="3"/>
  <c r="AC38" i="3" s="1"/>
  <c r="V38" i="3"/>
  <c r="X38" i="3"/>
  <c r="M16" i="3"/>
  <c r="R16" i="3"/>
  <c r="U16" i="3"/>
  <c r="V16" i="3"/>
  <c r="X16" i="3"/>
  <c r="M29" i="3"/>
  <c r="S29" i="3"/>
  <c r="U29" i="3"/>
  <c r="T29" i="3" s="1"/>
  <c r="V29" i="3"/>
  <c r="X29" i="3"/>
  <c r="M30" i="3"/>
  <c r="S30" i="3"/>
  <c r="U30" i="3"/>
  <c r="T30" i="3" s="1"/>
  <c r="V30" i="3"/>
  <c r="X30" i="3"/>
  <c r="AD29" i="3"/>
  <c r="M27" i="3"/>
  <c r="R27" i="3"/>
  <c r="U27" i="3"/>
  <c r="AC27" i="3" s="1"/>
  <c r="V27" i="3"/>
  <c r="AE27" i="3" s="1"/>
  <c r="X27" i="3"/>
  <c r="M9" i="3"/>
  <c r="U9" i="3"/>
  <c r="T9" i="3" s="1"/>
  <c r="V9" i="3"/>
  <c r="X9" i="3"/>
  <c r="M31" i="3"/>
  <c r="U31" i="3"/>
  <c r="T31" i="3" s="1"/>
  <c r="V31" i="3"/>
  <c r="X31" i="3"/>
  <c r="M36" i="3"/>
  <c r="S36" i="3"/>
  <c r="U36" i="3"/>
  <c r="T36" i="3" s="1"/>
  <c r="V36" i="3"/>
  <c r="X36" i="3"/>
  <c r="M28" i="3"/>
  <c r="U28" i="3"/>
  <c r="AC28" i="3" s="1"/>
  <c r="V28" i="3"/>
  <c r="X28" i="3"/>
  <c r="M18" i="3"/>
  <c r="U18" i="3"/>
  <c r="V18" i="3"/>
  <c r="X18" i="3"/>
  <c r="AE35" i="3"/>
  <c r="M19" i="3"/>
  <c r="U19" i="3"/>
  <c r="T19" i="3" s="1"/>
  <c r="V19" i="3"/>
  <c r="X19" i="3"/>
  <c r="M22" i="3"/>
  <c r="R22" i="3"/>
  <c r="U22" i="3"/>
  <c r="T22" i="3" s="1"/>
  <c r="V22" i="3"/>
  <c r="X22" i="3"/>
  <c r="M7" i="3"/>
  <c r="R7" i="3"/>
  <c r="U7" i="3"/>
  <c r="AC7" i="3" s="1"/>
  <c r="V7" i="3"/>
  <c r="X7" i="3"/>
  <c r="AG153" i="1"/>
  <c r="AG24" i="1"/>
  <c r="AG39" i="1"/>
  <c r="AG15" i="1"/>
  <c r="AG30" i="1"/>
  <c r="AG46" i="1"/>
  <c r="AG22" i="1"/>
  <c r="AG37" i="1"/>
  <c r="AG17" i="1"/>
  <c r="AG32" i="1"/>
  <c r="AG48" i="1"/>
  <c r="AG64" i="1"/>
  <c r="AG55" i="1"/>
  <c r="AG71" i="1"/>
  <c r="AG58" i="1"/>
  <c r="AG74" i="1"/>
  <c r="AG57" i="1"/>
  <c r="AG73" i="1"/>
  <c r="AG88" i="1"/>
  <c r="AG94" i="1"/>
  <c r="AG80" i="1"/>
  <c r="AG163" i="1"/>
  <c r="AG178" i="1"/>
  <c r="AG166" i="1"/>
  <c r="AG181" i="1"/>
  <c r="AG93" i="1"/>
  <c r="AG176" i="1"/>
  <c r="AG185" i="1"/>
  <c r="AG100" i="1"/>
  <c r="AG187" i="1"/>
  <c r="AG103" i="1"/>
  <c r="AG186" i="1"/>
  <c r="AG102" i="1"/>
  <c r="AG189" i="1"/>
  <c r="AG104" i="1"/>
  <c r="AG121" i="1"/>
  <c r="AG137" i="1"/>
  <c r="AG154" i="1"/>
  <c r="AG203" i="1"/>
  <c r="AG128" i="1"/>
  <c r="AG144" i="1"/>
  <c r="AG210" i="1"/>
  <c r="AG123" i="1"/>
  <c r="AG139" i="1"/>
  <c r="AG156" i="1"/>
  <c r="AG205" i="1"/>
  <c r="AG212" i="1"/>
  <c r="AG118" i="1"/>
  <c r="AG134" i="1"/>
  <c r="AG150" i="1"/>
  <c r="AG200" i="1"/>
  <c r="AG217" i="1"/>
  <c r="AG28" i="1"/>
  <c r="AG43" i="1"/>
  <c r="AG19" i="1"/>
  <c r="AG34" i="1"/>
  <c r="AG50" i="1"/>
  <c r="AG26" i="1"/>
  <c r="AG41" i="1"/>
  <c r="AG21" i="1"/>
  <c r="AG36" i="1"/>
  <c r="AG52" i="1"/>
  <c r="AG68" i="1"/>
  <c r="AG59" i="1"/>
  <c r="AG75" i="1"/>
  <c r="AG62" i="1"/>
  <c r="AG78" i="1"/>
  <c r="AG61" i="1"/>
  <c r="AG77" i="1"/>
  <c r="AG92" i="1"/>
  <c r="AG175" i="1"/>
  <c r="AG84" i="1"/>
  <c r="AG167" i="1"/>
  <c r="AG86" i="1"/>
  <c r="AG170" i="1"/>
  <c r="AG184" i="1"/>
  <c r="AG165" i="1"/>
  <c r="AG180" i="1"/>
  <c r="AG188" i="1"/>
  <c r="AG211" i="1"/>
  <c r="AG191" i="1"/>
  <c r="AG106" i="1"/>
  <c r="AG190" i="1"/>
  <c r="AG105" i="1"/>
  <c r="AG192" i="1"/>
  <c r="AG108" i="1"/>
  <c r="AG125" i="1"/>
  <c r="AG141" i="1"/>
  <c r="AG158" i="1"/>
  <c r="AG207" i="1"/>
  <c r="AG132" i="1"/>
  <c r="AG148" i="1"/>
  <c r="AG198" i="1"/>
  <c r="AG215" i="1"/>
  <c r="AG127" i="1"/>
  <c r="AG143" i="1"/>
  <c r="AG160" i="1"/>
  <c r="AG209" i="1"/>
  <c r="AG216" i="1"/>
  <c r="AG122" i="1"/>
  <c r="AG138" i="1"/>
  <c r="AG155" i="1"/>
  <c r="AG204" i="1"/>
  <c r="AG220" i="1"/>
  <c r="AG65" i="1"/>
  <c r="AG87" i="1"/>
  <c r="AG90" i="1"/>
  <c r="AG85" i="1"/>
  <c r="AG183" i="1"/>
  <c r="AG107" i="1"/>
  <c r="AG110" i="1"/>
  <c r="AG109" i="1"/>
  <c r="AG112" i="1"/>
  <c r="AG145" i="1"/>
  <c r="AG161" i="1"/>
  <c r="AG136" i="1"/>
  <c r="AG202" i="1"/>
  <c r="AG131" i="1"/>
  <c r="AG147" i="1"/>
  <c r="AG214" i="1"/>
  <c r="AG126" i="1"/>
  <c r="AG142" i="1"/>
  <c r="AG208" i="1"/>
  <c r="AG18" i="1"/>
  <c r="AG60" i="1"/>
  <c r="AG54" i="1"/>
  <c r="AG70" i="1"/>
  <c r="AG16" i="1"/>
  <c r="AG31" i="1"/>
  <c r="AG47" i="1"/>
  <c r="AG23" i="1"/>
  <c r="AG38" i="1"/>
  <c r="AG14" i="1"/>
  <c r="AG29" i="1"/>
  <c r="AG45" i="1"/>
  <c r="AG25" i="1"/>
  <c r="AG40" i="1"/>
  <c r="AG56" i="1"/>
  <c r="AG72" i="1"/>
  <c r="AG63" i="1"/>
  <c r="AG79" i="1"/>
  <c r="AG66" i="1"/>
  <c r="AG82" i="1"/>
  <c r="AG81" i="1"/>
  <c r="AG164" i="1"/>
  <c r="AG179" i="1"/>
  <c r="AG171" i="1"/>
  <c r="AG173" i="1"/>
  <c r="AG169" i="1"/>
  <c r="AG96" i="1"/>
  <c r="AG194" i="1"/>
  <c r="AG193" i="1"/>
  <c r="AG97" i="1"/>
  <c r="AG129" i="1"/>
  <c r="AG120" i="1"/>
  <c r="AG152" i="1"/>
  <c r="AG219" i="1"/>
  <c r="AG197" i="1"/>
  <c r="AG115" i="1"/>
  <c r="AG159" i="1"/>
  <c r="AG20" i="1"/>
  <c r="AG35" i="1"/>
  <c r="AG51" i="1"/>
  <c r="AG27" i="1"/>
  <c r="AG42" i="1"/>
  <c r="AG33" i="1"/>
  <c r="AG49" i="1"/>
  <c r="AG44" i="1"/>
  <c r="AG67" i="1"/>
  <c r="AG53" i="1"/>
  <c r="AG174" i="1"/>
  <c r="AG101" i="1"/>
  <c r="AG206" i="1"/>
  <c r="AG168" i="1"/>
  <c r="AG162" i="1"/>
  <c r="AG95" i="1"/>
  <c r="AG114" i="1"/>
  <c r="AG117" i="1"/>
  <c r="AG124" i="1"/>
  <c r="AG119" i="1"/>
  <c r="AG218" i="1"/>
  <c r="AG196" i="1"/>
  <c r="AG182" i="1"/>
  <c r="AG177" i="1"/>
  <c r="AG98" i="1"/>
  <c r="AG140" i="1"/>
  <c r="AG135" i="1"/>
  <c r="AG213" i="1"/>
  <c r="AG99" i="1"/>
  <c r="AG146" i="1"/>
  <c r="AG76" i="1"/>
  <c r="AG195" i="1"/>
  <c r="AG133" i="1"/>
  <c r="AG116" i="1"/>
  <c r="AG83" i="1"/>
  <c r="AG172" i="1"/>
  <c r="AG199" i="1"/>
  <c r="AG201" i="1"/>
  <c r="AG69" i="1"/>
  <c r="AG91" i="1"/>
  <c r="AG89" i="1"/>
  <c r="AG111" i="1"/>
  <c r="AG113" i="1"/>
  <c r="AG149" i="1"/>
  <c r="AG157" i="1"/>
  <c r="AG151" i="1"/>
  <c r="AG130" i="1"/>
  <c r="W11" i="3"/>
  <c r="W22" i="3"/>
  <c r="W20" i="3"/>
  <c r="W27" i="3"/>
  <c r="W15" i="3"/>
  <c r="W10" i="3"/>
  <c r="W37" i="3"/>
  <c r="W16" i="3"/>
  <c r="W36" i="3"/>
  <c r="W38" i="3"/>
  <c r="W18" i="3"/>
  <c r="W19" i="3"/>
  <c r="W32" i="3"/>
  <c r="W8" i="3"/>
  <c r="W28" i="3"/>
  <c r="W35" i="3"/>
  <c r="W25" i="3"/>
  <c r="W24" i="3"/>
  <c r="W29" i="3"/>
  <c r="W17" i="3"/>
  <c r="W30" i="3"/>
  <c r="W7" i="3"/>
  <c r="W23" i="3"/>
  <c r="W21" i="3"/>
  <c r="W9" i="3"/>
  <c r="W34" i="3"/>
  <c r="W31" i="3"/>
  <c r="W26" i="3"/>
  <c r="W14" i="3"/>
  <c r="W12" i="3"/>
  <c r="W13" i="3"/>
  <c r="U153" i="1" l="1"/>
  <c r="W153" i="1"/>
  <c r="AI153" i="1"/>
  <c r="S7" i="3"/>
  <c r="AD36" i="3"/>
  <c r="AC36" i="3"/>
  <c r="AD8" i="3"/>
  <c r="X61" i="1"/>
  <c r="X57" i="1"/>
  <c r="X53" i="1"/>
  <c r="X199" i="1"/>
  <c r="X100" i="1"/>
  <c r="X59" i="1"/>
  <c r="X55" i="1"/>
  <c r="AD25" i="3"/>
  <c r="AC21" i="3"/>
  <c r="R20" i="3"/>
  <c r="AC32" i="3"/>
  <c r="AA219" i="1"/>
  <c r="AA209" i="1"/>
  <c r="X202" i="1"/>
  <c r="AA200" i="1"/>
  <c r="AA198" i="1"/>
  <c r="X152" i="1"/>
  <c r="AA150" i="1"/>
  <c r="AA141" i="1"/>
  <c r="X135" i="1"/>
  <c r="AA101" i="1"/>
  <c r="AA191" i="1"/>
  <c r="AA176" i="1"/>
  <c r="AA60" i="1"/>
  <c r="AA58" i="1"/>
  <c r="AA56" i="1"/>
  <c r="AA26" i="1"/>
  <c r="X25" i="1"/>
  <c r="AA23" i="1"/>
  <c r="X30" i="1"/>
  <c r="AE25" i="3"/>
  <c r="AA213" i="1"/>
  <c r="AA210" i="1"/>
  <c r="AA201" i="1"/>
  <c r="AA197" i="1"/>
  <c r="AA140" i="1"/>
  <c r="AA133" i="1"/>
  <c r="AA110" i="1"/>
  <c r="AA211" i="1"/>
  <c r="X178" i="1"/>
  <c r="AA82" i="1"/>
  <c r="AA78" i="1"/>
  <c r="X48" i="1"/>
  <c r="AA25" i="1"/>
  <c r="X28" i="1"/>
  <c r="AA151" i="1"/>
  <c r="S34" i="3"/>
  <c r="R38" i="3"/>
  <c r="R18" i="3"/>
  <c r="X144" i="1"/>
  <c r="S19" i="3"/>
  <c r="AC9" i="3"/>
  <c r="AE23" i="3"/>
  <c r="AE11" i="3"/>
  <c r="AD17" i="3"/>
  <c r="AA218" i="1"/>
  <c r="X141" i="1"/>
  <c r="X133" i="1"/>
  <c r="AA42" i="1"/>
  <c r="AC8" i="3"/>
  <c r="AD23" i="3"/>
  <c r="AC11" i="3"/>
  <c r="T11" i="3"/>
  <c r="T25" i="3"/>
  <c r="X216" i="1"/>
  <c r="X207" i="1"/>
  <c r="AA205" i="1"/>
  <c r="AA106" i="1"/>
  <c r="AA194" i="1"/>
  <c r="X187" i="1"/>
  <c r="AA93" i="1"/>
  <c r="AA72" i="1"/>
  <c r="AA70" i="1"/>
  <c r="W70" i="1" s="1"/>
  <c r="X67" i="1"/>
  <c r="AA54" i="1"/>
  <c r="X40" i="1"/>
  <c r="X36" i="1"/>
  <c r="AA36" i="1"/>
  <c r="AA27" i="1"/>
  <c r="X21" i="1"/>
  <c r="AA19" i="1"/>
  <c r="R12" i="3"/>
  <c r="AA114" i="1"/>
  <c r="AA195" i="1"/>
  <c r="AD37" i="3"/>
  <c r="AC26" i="3"/>
  <c r="X210" i="1"/>
  <c r="AE19" i="3"/>
  <c r="AD35" i="3"/>
  <c r="AC15" i="3"/>
  <c r="T15" i="3"/>
  <c r="AA220" i="1"/>
  <c r="W220" i="1" s="1"/>
  <c r="X219" i="1"/>
  <c r="AA217" i="1"/>
  <c r="AA214" i="1"/>
  <c r="AA208" i="1"/>
  <c r="AA206" i="1"/>
  <c r="X158" i="1"/>
  <c r="AA143" i="1"/>
  <c r="W143" i="1" s="1"/>
  <c r="T141" i="1"/>
  <c r="U141" i="1" s="1"/>
  <c r="S141" i="1" s="1"/>
  <c r="T133" i="1"/>
  <c r="AA132" i="1"/>
  <c r="X129" i="1"/>
  <c r="X121" i="1"/>
  <c r="X115" i="1"/>
  <c r="T96" i="1"/>
  <c r="AA190" i="1"/>
  <c r="X95" i="1"/>
  <c r="AA165" i="1"/>
  <c r="X83" i="1"/>
  <c r="AA68" i="1"/>
  <c r="AA66" i="1"/>
  <c r="X63" i="1"/>
  <c r="X47" i="1"/>
  <c r="AA41" i="1"/>
  <c r="W41" i="1" s="1"/>
  <c r="AA39" i="1"/>
  <c r="AA35" i="1"/>
  <c r="AA30" i="1"/>
  <c r="AA28" i="1"/>
  <c r="W28" i="1" s="1"/>
  <c r="AA20" i="1"/>
  <c r="AA16" i="1"/>
  <c r="AA196" i="1"/>
  <c r="AA155" i="1"/>
  <c r="AA152" i="1"/>
  <c r="W152" i="1" s="1"/>
  <c r="AA146" i="1"/>
  <c r="X143" i="1"/>
  <c r="AA138" i="1"/>
  <c r="AA136" i="1"/>
  <c r="AA135" i="1"/>
  <c r="AA131" i="1"/>
  <c r="W131" i="1" s="1"/>
  <c r="AA125" i="1"/>
  <c r="AA123" i="1"/>
  <c r="AA105" i="1"/>
  <c r="AA192" i="1"/>
  <c r="W192" i="1" s="1"/>
  <c r="AA187" i="1"/>
  <c r="X174" i="1"/>
  <c r="X171" i="1"/>
  <c r="X91" i="1"/>
  <c r="AA86" i="1"/>
  <c r="AA75" i="1"/>
  <c r="T75" i="1"/>
  <c r="X74" i="1"/>
  <c r="T71" i="1"/>
  <c r="X70" i="1"/>
  <c r="T67" i="1"/>
  <c r="X66" i="1"/>
  <c r="T63" i="1"/>
  <c r="X62" i="1"/>
  <c r="T59" i="1"/>
  <c r="X58" i="1"/>
  <c r="T55" i="1"/>
  <c r="AA53" i="1"/>
  <c r="AA51" i="1"/>
  <c r="AA43" i="1"/>
  <c r="W43" i="1" s="1"/>
  <c r="T40" i="1"/>
  <c r="AA38" i="1"/>
  <c r="AA33" i="1"/>
  <c r="AA144" i="1"/>
  <c r="AA139" i="1"/>
  <c r="W139" i="1" s="1"/>
  <c r="X132" i="1"/>
  <c r="T129" i="1"/>
  <c r="U129" i="1" s="1"/>
  <c r="S129" i="1" s="1"/>
  <c r="AA128" i="1"/>
  <c r="T128" i="1"/>
  <c r="U128" i="1" s="1"/>
  <c r="S128" i="1" s="1"/>
  <c r="AA126" i="1"/>
  <c r="T121" i="1"/>
  <c r="U121" i="1" s="1"/>
  <c r="S121" i="1" s="1"/>
  <c r="AA120" i="1"/>
  <c r="T115" i="1"/>
  <c r="U115" i="1" s="1"/>
  <c r="S115" i="1" s="1"/>
  <c r="X114" i="1"/>
  <c r="T107" i="1"/>
  <c r="U107" i="1" s="1"/>
  <c r="S107" i="1" s="1"/>
  <c r="T100" i="1"/>
  <c r="AA98" i="1"/>
  <c r="X24" i="1"/>
  <c r="X16" i="1"/>
  <c r="X15" i="1"/>
  <c r="X136" i="1"/>
  <c r="X88" i="1"/>
  <c r="X43" i="1"/>
  <c r="X220" i="1"/>
  <c r="AA216" i="1"/>
  <c r="X215" i="1"/>
  <c r="X212" i="1"/>
  <c r="X206" i="1"/>
  <c r="X203" i="1"/>
  <c r="X198" i="1"/>
  <c r="X157" i="1"/>
  <c r="X148" i="1"/>
  <c r="X117" i="1"/>
  <c r="X116" i="1"/>
  <c r="X110" i="1"/>
  <c r="X99" i="1"/>
  <c r="X188" i="1"/>
  <c r="AA188" i="1"/>
  <c r="AA183" i="1"/>
  <c r="AA169" i="1"/>
  <c r="AA85" i="1"/>
  <c r="AA81" i="1"/>
  <c r="W81" i="1" s="1"/>
  <c r="AA73" i="1"/>
  <c r="AA69" i="1"/>
  <c r="AA65" i="1"/>
  <c r="AA61" i="1"/>
  <c r="AA57" i="1"/>
  <c r="X54" i="1"/>
  <c r="AA50" i="1"/>
  <c r="W50" i="1" s="1"/>
  <c r="AA47" i="1"/>
  <c r="AA44" i="1"/>
  <c r="X39" i="1"/>
  <c r="AA31" i="1"/>
  <c r="AA15" i="1"/>
  <c r="AA212" i="1"/>
  <c r="T212" i="1"/>
  <c r="U212" i="1" s="1"/>
  <c r="S212" i="1" s="1"/>
  <c r="AA207" i="1"/>
  <c r="T207" i="1"/>
  <c r="U207" i="1" s="1"/>
  <c r="S207" i="1" s="1"/>
  <c r="AA203" i="1"/>
  <c r="T203" i="1"/>
  <c r="U203" i="1" s="1"/>
  <c r="S203" i="1" s="1"/>
  <c r="AA199" i="1"/>
  <c r="W199" i="1" s="1"/>
  <c r="T199" i="1"/>
  <c r="U199" i="1" s="1"/>
  <c r="S199" i="1" s="1"/>
  <c r="AA161" i="1"/>
  <c r="T161" i="1"/>
  <c r="U161" i="1" s="1"/>
  <c r="S161" i="1" s="1"/>
  <c r="AA158" i="1"/>
  <c r="W158" i="1" s="1"/>
  <c r="T158" i="1"/>
  <c r="U158" i="1" s="1"/>
  <c r="S158" i="1" s="1"/>
  <c r="AA154" i="1"/>
  <c r="T154" i="1"/>
  <c r="AA149" i="1"/>
  <c r="W149" i="1" s="1"/>
  <c r="X147" i="1"/>
  <c r="X140" i="1"/>
  <c r="X139" i="1"/>
  <c r="X137" i="1"/>
  <c r="AA134" i="1"/>
  <c r="T131" i="1"/>
  <c r="AA130" i="1"/>
  <c r="AA129" i="1"/>
  <c r="W129" i="1" s="1"/>
  <c r="X127" i="1"/>
  <c r="X125" i="1"/>
  <c r="X124" i="1"/>
  <c r="AA119" i="1"/>
  <c r="W119" i="1" s="1"/>
  <c r="T110" i="1"/>
  <c r="U110" i="1" s="1"/>
  <c r="S110" i="1" s="1"/>
  <c r="X194" i="1"/>
  <c r="T210" i="1"/>
  <c r="T206" i="1"/>
  <c r="U206" i="1" s="1"/>
  <c r="S206" i="1" s="1"/>
  <c r="T202" i="1"/>
  <c r="U202" i="1" s="1"/>
  <c r="S202" i="1" s="1"/>
  <c r="T198" i="1"/>
  <c r="T157" i="1"/>
  <c r="U157" i="1" s="1"/>
  <c r="S157" i="1" s="1"/>
  <c r="T152" i="1"/>
  <c r="U152" i="1" s="1"/>
  <c r="T144" i="1"/>
  <c r="X131" i="1"/>
  <c r="X103" i="1"/>
  <c r="T219" i="1"/>
  <c r="T215" i="1"/>
  <c r="X151" i="1"/>
  <c r="AA145" i="1"/>
  <c r="W145" i="1" s="1"/>
  <c r="AA142" i="1"/>
  <c r="AA137" i="1"/>
  <c r="AA124" i="1"/>
  <c r="X123" i="1"/>
  <c r="X120" i="1"/>
  <c r="AA113" i="1"/>
  <c r="X211" i="1"/>
  <c r="T211" i="1"/>
  <c r="U211" i="1" s="1"/>
  <c r="S211" i="1" s="1"/>
  <c r="AA148" i="1"/>
  <c r="W148" i="1" s="1"/>
  <c r="X119" i="1"/>
  <c r="T111" i="1"/>
  <c r="X111" i="1"/>
  <c r="AA122" i="1"/>
  <c r="AA121" i="1"/>
  <c r="AA118" i="1"/>
  <c r="AA117" i="1"/>
  <c r="W117" i="1" s="1"/>
  <c r="AA115" i="1"/>
  <c r="AA112" i="1"/>
  <c r="AA109" i="1"/>
  <c r="X106" i="1"/>
  <c r="AA100" i="1"/>
  <c r="AA97" i="1"/>
  <c r="X195" i="1"/>
  <c r="AA193" i="1"/>
  <c r="W193" i="1" s="1"/>
  <c r="X191" i="1"/>
  <c r="T188" i="1"/>
  <c r="AA184" i="1"/>
  <c r="AA181" i="1"/>
  <c r="T181" i="1"/>
  <c r="U181" i="1" s="1"/>
  <c r="S181" i="1" s="1"/>
  <c r="AA179" i="1"/>
  <c r="AA178" i="1"/>
  <c r="X177" i="1"/>
  <c r="AA173" i="1"/>
  <c r="T173" i="1"/>
  <c r="AA94" i="1"/>
  <c r="AA171" i="1"/>
  <c r="W171" i="1" s="1"/>
  <c r="X170" i="1"/>
  <c r="AA166" i="1"/>
  <c r="T166" i="1"/>
  <c r="AA164" i="1"/>
  <c r="W164" i="1" s="1"/>
  <c r="AA163" i="1"/>
  <c r="AA90" i="1"/>
  <c r="T90" i="1"/>
  <c r="U90" i="1" s="1"/>
  <c r="S90" i="1" s="1"/>
  <c r="AA88" i="1"/>
  <c r="W88" i="1" s="1"/>
  <c r="T88" i="1"/>
  <c r="AA80" i="1"/>
  <c r="X79" i="1"/>
  <c r="AA71" i="1"/>
  <c r="W71" i="1" s="1"/>
  <c r="AA67" i="1"/>
  <c r="AA63" i="1"/>
  <c r="AA59" i="1"/>
  <c r="W59" i="1" s="1"/>
  <c r="AA55" i="1"/>
  <c r="W55" i="1" s="1"/>
  <c r="X51" i="1"/>
  <c r="AA48" i="1"/>
  <c r="X35" i="1"/>
  <c r="X20" i="1"/>
  <c r="T187" i="1"/>
  <c r="T73" i="1"/>
  <c r="T69" i="1"/>
  <c r="T65" i="1"/>
  <c r="U65" i="1" s="1"/>
  <c r="S65" i="1" s="1"/>
  <c r="T61" i="1"/>
  <c r="T57" i="1"/>
  <c r="T53" i="1"/>
  <c r="U53" i="1" s="1"/>
  <c r="S53" i="1" s="1"/>
  <c r="AA52" i="1"/>
  <c r="AA49" i="1"/>
  <c r="AA45" i="1"/>
  <c r="X44" i="1"/>
  <c r="T36" i="1"/>
  <c r="U36" i="1" s="1"/>
  <c r="S36" i="1" s="1"/>
  <c r="AA32" i="1"/>
  <c r="T31" i="1"/>
  <c r="AA29" i="1"/>
  <c r="W29" i="1" s="1"/>
  <c r="AA21" i="1"/>
  <c r="T21" i="1"/>
  <c r="T16" i="1"/>
  <c r="AA107" i="1"/>
  <c r="W107" i="1" s="1"/>
  <c r="AA104" i="1"/>
  <c r="AA102" i="1"/>
  <c r="AA96" i="1"/>
  <c r="AA189" i="1"/>
  <c r="W189" i="1" s="1"/>
  <c r="AA186" i="1"/>
  <c r="AA185" i="1"/>
  <c r="AA182" i="1"/>
  <c r="AA95" i="1"/>
  <c r="X181" i="1"/>
  <c r="AA177" i="1"/>
  <c r="T177" i="1"/>
  <c r="AA175" i="1"/>
  <c r="AA174" i="1"/>
  <c r="X173" i="1"/>
  <c r="AA170" i="1"/>
  <c r="T170" i="1"/>
  <c r="U170" i="1" s="1"/>
  <c r="S170" i="1" s="1"/>
  <c r="AA168" i="1"/>
  <c r="AA167" i="1"/>
  <c r="AA162" i="1"/>
  <c r="W162" i="1" s="1"/>
  <c r="T162" i="1"/>
  <c r="AA92" i="1"/>
  <c r="AA91" i="1"/>
  <c r="X90" i="1"/>
  <c r="X87" i="1"/>
  <c r="AA84" i="1"/>
  <c r="AA83" i="1"/>
  <c r="AA77" i="1"/>
  <c r="AA40" i="1"/>
  <c r="AA37" i="1"/>
  <c r="AA22" i="1"/>
  <c r="AI220" i="1"/>
  <c r="U220" i="1"/>
  <c r="S220" i="1" s="1"/>
  <c r="AI217" i="1"/>
  <c r="U217" i="1"/>
  <c r="S217" i="1" s="1"/>
  <c r="AI213" i="1"/>
  <c r="U213" i="1"/>
  <c r="S213" i="1" s="1"/>
  <c r="AI209" i="1"/>
  <c r="U208" i="1"/>
  <c r="S208" i="1" s="1"/>
  <c r="AI205" i="1"/>
  <c r="U204" i="1"/>
  <c r="S204" i="1" s="1"/>
  <c r="AI201" i="1"/>
  <c r="U200" i="1"/>
  <c r="S200" i="1" s="1"/>
  <c r="AI197" i="1"/>
  <c r="U196" i="1"/>
  <c r="S196" i="1" s="1"/>
  <c r="AI193" i="1"/>
  <c r="U159" i="1"/>
  <c r="S159" i="1" s="1"/>
  <c r="AI189" i="1"/>
  <c r="U155" i="1"/>
  <c r="S155" i="1" s="1"/>
  <c r="AI185" i="1"/>
  <c r="AI181" i="1"/>
  <c r="AI177" i="1"/>
  <c r="AI173" i="1"/>
  <c r="AI169" i="1"/>
  <c r="AI165" i="1"/>
  <c r="AI161" i="1"/>
  <c r="AI158" i="1"/>
  <c r="AI154" i="1"/>
  <c r="AI151" i="1"/>
  <c r="U116" i="1"/>
  <c r="S116" i="1" s="1"/>
  <c r="AI150" i="1"/>
  <c r="AI216" i="1"/>
  <c r="U216" i="1"/>
  <c r="S216" i="1" s="1"/>
  <c r="AI212" i="1"/>
  <c r="AI218" i="1"/>
  <c r="U218" i="1"/>
  <c r="S218" i="1" s="1"/>
  <c r="U214" i="1"/>
  <c r="S214" i="1" s="1"/>
  <c r="AI214" i="1"/>
  <c r="AI210" i="1"/>
  <c r="U209" i="1"/>
  <c r="S209" i="1" s="1"/>
  <c r="AI206" i="1"/>
  <c r="U205" i="1"/>
  <c r="S205" i="1" s="1"/>
  <c r="AI202" i="1"/>
  <c r="U201" i="1"/>
  <c r="S201" i="1" s="1"/>
  <c r="AI198" i="1"/>
  <c r="U197" i="1"/>
  <c r="S197" i="1" s="1"/>
  <c r="AI194" i="1"/>
  <c r="U160" i="1"/>
  <c r="S160" i="1" s="1"/>
  <c r="AI190" i="1"/>
  <c r="U156" i="1"/>
  <c r="S156" i="1" s="1"/>
  <c r="AI186" i="1"/>
  <c r="U151" i="1"/>
  <c r="AI182" i="1"/>
  <c r="U147" i="1"/>
  <c r="S147" i="1" s="1"/>
  <c r="AI178" i="1"/>
  <c r="U143" i="1"/>
  <c r="S143" i="1" s="1"/>
  <c r="AI174" i="1"/>
  <c r="U139" i="1"/>
  <c r="S139" i="1" s="1"/>
  <c r="AI170" i="1"/>
  <c r="U135" i="1"/>
  <c r="S135" i="1" s="1"/>
  <c r="AI166" i="1"/>
  <c r="U131" i="1"/>
  <c r="S131" i="1" s="1"/>
  <c r="AI162" i="1"/>
  <c r="U127" i="1"/>
  <c r="S127" i="1" s="1"/>
  <c r="AI159" i="1"/>
  <c r="U123" i="1"/>
  <c r="S123" i="1" s="1"/>
  <c r="AI155" i="1"/>
  <c r="U119" i="1"/>
  <c r="S119" i="1" s="1"/>
  <c r="U219" i="1"/>
  <c r="S219" i="1" s="1"/>
  <c r="AI219" i="1"/>
  <c r="U215" i="1"/>
  <c r="S215" i="1" s="1"/>
  <c r="AI215" i="1"/>
  <c r="U210" i="1"/>
  <c r="S210" i="1" s="1"/>
  <c r="AI211" i="1"/>
  <c r="AI207" i="1"/>
  <c r="AI203" i="1"/>
  <c r="U198" i="1"/>
  <c r="S198" i="1" s="1"/>
  <c r="AI199" i="1"/>
  <c r="AI195" i="1"/>
  <c r="AI191" i="1"/>
  <c r="AI187" i="1"/>
  <c r="U148" i="1"/>
  <c r="S148" i="1" s="1"/>
  <c r="AI183" i="1"/>
  <c r="U144" i="1"/>
  <c r="S144" i="1"/>
  <c r="AI179" i="1"/>
  <c r="U140" i="1"/>
  <c r="S140" i="1" s="1"/>
  <c r="AI175" i="1"/>
  <c r="U136" i="1"/>
  <c r="S136" i="1" s="1"/>
  <c r="AI171" i="1"/>
  <c r="U132" i="1"/>
  <c r="S132" i="1" s="1"/>
  <c r="AI167" i="1"/>
  <c r="AI163" i="1"/>
  <c r="U124" i="1"/>
  <c r="S124" i="1" s="1"/>
  <c r="AI160" i="1"/>
  <c r="U120" i="1"/>
  <c r="S120" i="1" s="1"/>
  <c r="AI156" i="1"/>
  <c r="AI208" i="1"/>
  <c r="AI204" i="1"/>
  <c r="AI200" i="1"/>
  <c r="AI196" i="1"/>
  <c r="AI192" i="1"/>
  <c r="U154" i="1"/>
  <c r="S154" i="1" s="1"/>
  <c r="AI188" i="1"/>
  <c r="U149" i="1"/>
  <c r="S149" i="1" s="1"/>
  <c r="AI184" i="1"/>
  <c r="U145" i="1"/>
  <c r="S145" i="1" s="1"/>
  <c r="AI180" i="1"/>
  <c r="AI176" i="1"/>
  <c r="U137" i="1"/>
  <c r="S137" i="1" s="1"/>
  <c r="AI172" i="1"/>
  <c r="U133" i="1"/>
  <c r="S133" i="1" s="1"/>
  <c r="AI168" i="1"/>
  <c r="AI164" i="1"/>
  <c r="U125" i="1"/>
  <c r="S125" i="1" s="1"/>
  <c r="AI157" i="1"/>
  <c r="U117" i="1"/>
  <c r="S117" i="1" s="1"/>
  <c r="AI152" i="1"/>
  <c r="AI147" i="1"/>
  <c r="U112" i="1"/>
  <c r="S112" i="1" s="1"/>
  <c r="AI143" i="1"/>
  <c r="U108" i="1"/>
  <c r="S108" i="1" s="1"/>
  <c r="AI139" i="1"/>
  <c r="U104" i="1"/>
  <c r="S104" i="1" s="1"/>
  <c r="AI135" i="1"/>
  <c r="U101" i="1"/>
  <c r="S101" i="1" s="1"/>
  <c r="AI131" i="1"/>
  <c r="U97" i="1"/>
  <c r="S97" i="1" s="1"/>
  <c r="AI127" i="1"/>
  <c r="U192" i="1"/>
  <c r="S192" i="1" s="1"/>
  <c r="AI123" i="1"/>
  <c r="U189" i="1"/>
  <c r="S189" i="1" s="1"/>
  <c r="AI148" i="1"/>
  <c r="AI144" i="1"/>
  <c r="U109" i="1"/>
  <c r="S109" i="1" s="1"/>
  <c r="AI140" i="1"/>
  <c r="U105" i="1"/>
  <c r="S105" i="1" s="1"/>
  <c r="AI136" i="1"/>
  <c r="U102" i="1"/>
  <c r="S102" i="1" s="1"/>
  <c r="AI132" i="1"/>
  <c r="U98" i="1"/>
  <c r="S98" i="1" s="1"/>
  <c r="AI128" i="1"/>
  <c r="U193" i="1"/>
  <c r="S193" i="1" s="1"/>
  <c r="AI124" i="1"/>
  <c r="U190" i="1"/>
  <c r="S190" i="1" s="1"/>
  <c r="AI120" i="1"/>
  <c r="U186" i="1"/>
  <c r="S186" i="1" s="1"/>
  <c r="U114" i="1"/>
  <c r="S114" i="1" s="1"/>
  <c r="AI149" i="1"/>
  <c r="AI145" i="1"/>
  <c r="U106" i="1"/>
  <c r="S106" i="1" s="1"/>
  <c r="AI141" i="1"/>
  <c r="U103" i="1"/>
  <c r="S103" i="1" s="1"/>
  <c r="AI137" i="1"/>
  <c r="U99" i="1"/>
  <c r="S99" i="1" s="1"/>
  <c r="AI133" i="1"/>
  <c r="U194" i="1"/>
  <c r="S194" i="1" s="1"/>
  <c r="AI129" i="1"/>
  <c r="U191" i="1"/>
  <c r="S191" i="1" s="1"/>
  <c r="AI125" i="1"/>
  <c r="U187" i="1"/>
  <c r="S187" i="1" s="1"/>
  <c r="AI121" i="1"/>
  <c r="U111" i="1"/>
  <c r="S111" i="1" s="1"/>
  <c r="AI146" i="1"/>
  <c r="AI142" i="1"/>
  <c r="AI138" i="1"/>
  <c r="U100" i="1"/>
  <c r="S100" i="1" s="1"/>
  <c r="AI134" i="1"/>
  <c r="U195" i="1"/>
  <c r="S195" i="1" s="1"/>
  <c r="AI130" i="1"/>
  <c r="U96" i="1"/>
  <c r="S96" i="1" s="1"/>
  <c r="AI126" i="1"/>
  <c r="U188" i="1"/>
  <c r="S188" i="1" s="1"/>
  <c r="AI122" i="1"/>
  <c r="U185" i="1"/>
  <c r="S185" i="1" s="1"/>
  <c r="AI119" i="1"/>
  <c r="AI115" i="1"/>
  <c r="U95" i="1"/>
  <c r="S95" i="1" s="1"/>
  <c r="U183" i="1"/>
  <c r="S183" i="1" s="1"/>
  <c r="W183" i="1"/>
  <c r="AI117" i="1"/>
  <c r="U180" i="1"/>
  <c r="S180" i="1" s="1"/>
  <c r="AI113" i="1"/>
  <c r="AI109" i="1"/>
  <c r="U176" i="1"/>
  <c r="S176" i="1" s="1"/>
  <c r="AI105" i="1"/>
  <c r="U172" i="1"/>
  <c r="S172" i="1" s="1"/>
  <c r="AI101" i="1"/>
  <c r="U169" i="1"/>
  <c r="S169" i="1" s="1"/>
  <c r="AI97" i="1"/>
  <c r="U165" i="1"/>
  <c r="S165" i="1" s="1"/>
  <c r="AI93" i="1"/>
  <c r="U93" i="1"/>
  <c r="S93" i="1" s="1"/>
  <c r="AI89" i="1"/>
  <c r="U89" i="1"/>
  <c r="S89" i="1" s="1"/>
  <c r="AI85" i="1"/>
  <c r="U85" i="1"/>
  <c r="S85" i="1" s="1"/>
  <c r="U184" i="1"/>
  <c r="S184" i="1" s="1"/>
  <c r="AI118" i="1"/>
  <c r="AI114" i="1"/>
  <c r="AI110" i="1"/>
  <c r="U177" i="1"/>
  <c r="S177" i="1" s="1"/>
  <c r="AI106" i="1"/>
  <c r="U173" i="1"/>
  <c r="S173" i="1" s="1"/>
  <c r="AI102" i="1"/>
  <c r="AI98" i="1"/>
  <c r="U166" i="1"/>
  <c r="S166" i="1" s="1"/>
  <c r="AI94" i="1"/>
  <c r="U162" i="1"/>
  <c r="S162" i="1" s="1"/>
  <c r="AI90" i="1"/>
  <c r="AI86" i="1"/>
  <c r="U178" i="1"/>
  <c r="S178" i="1" s="1"/>
  <c r="AI111" i="1"/>
  <c r="U174" i="1"/>
  <c r="S174" i="1" s="1"/>
  <c r="AI107" i="1"/>
  <c r="U171" i="1"/>
  <c r="S171" i="1" s="1"/>
  <c r="AI103" i="1"/>
  <c r="U167" i="1"/>
  <c r="S167" i="1" s="1"/>
  <c r="AI99" i="1"/>
  <c r="U163" i="1"/>
  <c r="S163" i="1" s="1"/>
  <c r="AI95" i="1"/>
  <c r="U91" i="1"/>
  <c r="S91" i="1" s="1"/>
  <c r="AI91" i="1"/>
  <c r="U87" i="1"/>
  <c r="S87" i="1" s="1"/>
  <c r="AI87" i="1"/>
  <c r="AI84" i="1"/>
  <c r="AI80" i="1"/>
  <c r="U80" i="1"/>
  <c r="S80" i="1" s="1"/>
  <c r="AI116" i="1"/>
  <c r="U179" i="1"/>
  <c r="S179" i="1" s="1"/>
  <c r="AI112" i="1"/>
  <c r="U175" i="1"/>
  <c r="S175" i="1" s="1"/>
  <c r="AI108" i="1"/>
  <c r="U94" i="1"/>
  <c r="S94" i="1" s="1"/>
  <c r="AI104" i="1"/>
  <c r="U168" i="1"/>
  <c r="S168" i="1" s="1"/>
  <c r="AI100" i="1"/>
  <c r="U164" i="1"/>
  <c r="S164" i="1" s="1"/>
  <c r="AI96" i="1"/>
  <c r="U92" i="1"/>
  <c r="S92" i="1" s="1"/>
  <c r="AI92" i="1"/>
  <c r="U88" i="1"/>
  <c r="S88" i="1" s="1"/>
  <c r="AI88" i="1"/>
  <c r="U83" i="1"/>
  <c r="S83" i="1" s="1"/>
  <c r="AI83" i="1"/>
  <c r="AI81" i="1"/>
  <c r="AI77" i="1"/>
  <c r="AI73" i="1"/>
  <c r="U73" i="1"/>
  <c r="AI69" i="1"/>
  <c r="U69" i="1"/>
  <c r="S69" i="1" s="1"/>
  <c r="AI65" i="1"/>
  <c r="AI61" i="1"/>
  <c r="U61" i="1"/>
  <c r="S61" i="1" s="1"/>
  <c r="AI57" i="1"/>
  <c r="U57" i="1"/>
  <c r="S57" i="1" s="1"/>
  <c r="AI53" i="1"/>
  <c r="U82" i="1"/>
  <c r="S82" i="1" s="1"/>
  <c r="AI82" i="1"/>
  <c r="U78" i="1"/>
  <c r="S78" i="1" s="1"/>
  <c r="AI78" i="1"/>
  <c r="AI74" i="1"/>
  <c r="U74" i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U52" i="1"/>
  <c r="S52" i="1" s="1"/>
  <c r="AI52" i="1"/>
  <c r="AI48" i="1"/>
  <c r="U48" i="1"/>
  <c r="S48" i="1" s="1"/>
  <c r="AI44" i="1"/>
  <c r="U44" i="1"/>
  <c r="S44" i="1" s="1"/>
  <c r="AI40" i="1"/>
  <c r="U40" i="1"/>
  <c r="S40" i="1" s="1"/>
  <c r="AI36" i="1"/>
  <c r="AI32" i="1"/>
  <c r="U32" i="1"/>
  <c r="S32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46" i="1"/>
  <c r="W138" i="1"/>
  <c r="W135" i="1"/>
  <c r="W133" i="1"/>
  <c r="W132" i="1"/>
  <c r="W128" i="1"/>
  <c r="W127" i="1"/>
  <c r="W126" i="1"/>
  <c r="W125" i="1"/>
  <c r="W123" i="1"/>
  <c r="W122" i="1"/>
  <c r="W121" i="1"/>
  <c r="W118" i="1"/>
  <c r="W212" i="1"/>
  <c r="W207" i="1"/>
  <c r="W203" i="1"/>
  <c r="W202" i="1"/>
  <c r="W198" i="1"/>
  <c r="W161" i="1"/>
  <c r="W157" i="1"/>
  <c r="W154" i="1"/>
  <c r="W144" i="1"/>
  <c r="W134" i="1"/>
  <c r="W130" i="1"/>
  <c r="W219" i="1"/>
  <c r="W216" i="1"/>
  <c r="W215" i="1"/>
  <c r="W210" i="1"/>
  <c r="W206" i="1"/>
  <c r="W218" i="1"/>
  <c r="W217" i="1"/>
  <c r="W214" i="1"/>
  <c r="W213" i="1"/>
  <c r="W209" i="1"/>
  <c r="W208" i="1"/>
  <c r="W205" i="1"/>
  <c r="W204" i="1"/>
  <c r="W201" i="1"/>
  <c r="W200" i="1"/>
  <c r="W197" i="1"/>
  <c r="W196" i="1"/>
  <c r="W160" i="1"/>
  <c r="W159" i="1"/>
  <c r="W156" i="1"/>
  <c r="W155" i="1"/>
  <c r="W151" i="1"/>
  <c r="W150" i="1"/>
  <c r="W141" i="1"/>
  <c r="W140" i="1"/>
  <c r="W147" i="1"/>
  <c r="W142" i="1"/>
  <c r="W137" i="1"/>
  <c r="W136" i="1"/>
  <c r="W124" i="1"/>
  <c r="W120" i="1"/>
  <c r="W114" i="1"/>
  <c r="X149" i="1"/>
  <c r="X145" i="1"/>
  <c r="W112" i="1"/>
  <c r="W109" i="1"/>
  <c r="W103" i="1"/>
  <c r="W100" i="1"/>
  <c r="W97" i="1"/>
  <c r="W187" i="1"/>
  <c r="X217" i="1"/>
  <c r="X213" i="1"/>
  <c r="X208" i="1"/>
  <c r="X204" i="1"/>
  <c r="X200" i="1"/>
  <c r="X196" i="1"/>
  <c r="X159" i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W113" i="1"/>
  <c r="W106" i="1"/>
  <c r="W211" i="1"/>
  <c r="W101" i="1"/>
  <c r="W98" i="1"/>
  <c r="W191" i="1"/>
  <c r="W188" i="1"/>
  <c r="W180" i="1"/>
  <c r="X218" i="1"/>
  <c r="X214" i="1"/>
  <c r="X209" i="1"/>
  <c r="X205" i="1"/>
  <c r="X201" i="1"/>
  <c r="X197" i="1"/>
  <c r="AA116" i="1"/>
  <c r="W116" i="1" s="1"/>
  <c r="T113" i="1"/>
  <c r="U113" i="1" s="1"/>
  <c r="S113" i="1" s="1"/>
  <c r="X113" i="1"/>
  <c r="W110" i="1"/>
  <c r="W104" i="1"/>
  <c r="W102" i="1"/>
  <c r="W194" i="1"/>
  <c r="W96" i="1"/>
  <c r="W186" i="1"/>
  <c r="W185" i="1"/>
  <c r="W115" i="1"/>
  <c r="W111" i="1"/>
  <c r="W108" i="1"/>
  <c r="W105" i="1"/>
  <c r="W99" i="1"/>
  <c r="W195" i="1"/>
  <c r="W190" i="1"/>
  <c r="X185" i="1"/>
  <c r="X184" i="1"/>
  <c r="W179" i="1"/>
  <c r="W178" i="1"/>
  <c r="W173" i="1"/>
  <c r="W94" i="1"/>
  <c r="W166" i="1"/>
  <c r="W163" i="1"/>
  <c r="W90" i="1"/>
  <c r="X112" i="1"/>
  <c r="X108" i="1"/>
  <c r="X104" i="1"/>
  <c r="X101" i="1"/>
  <c r="X97" i="1"/>
  <c r="X192" i="1"/>
  <c r="X189" i="1"/>
  <c r="W182" i="1"/>
  <c r="W181" i="1"/>
  <c r="W172" i="1"/>
  <c r="W165" i="1"/>
  <c r="W89" i="1"/>
  <c r="W87" i="1"/>
  <c r="W86" i="1"/>
  <c r="W85" i="1"/>
  <c r="W82" i="1"/>
  <c r="X109" i="1"/>
  <c r="X105" i="1"/>
  <c r="X102" i="1"/>
  <c r="X98" i="1"/>
  <c r="X193" i="1"/>
  <c r="X190" i="1"/>
  <c r="X186" i="1"/>
  <c r="W184" i="1"/>
  <c r="T182" i="1"/>
  <c r="U182" i="1" s="1"/>
  <c r="S182" i="1" s="1"/>
  <c r="X182" i="1"/>
  <c r="W95" i="1"/>
  <c r="W177" i="1"/>
  <c r="W175" i="1"/>
  <c r="W174" i="1"/>
  <c r="W170" i="1"/>
  <c r="W168" i="1"/>
  <c r="W167" i="1"/>
  <c r="W92" i="1"/>
  <c r="W91" i="1"/>
  <c r="W78" i="1"/>
  <c r="W176" i="1"/>
  <c r="W169" i="1"/>
  <c r="W93" i="1"/>
  <c r="X179" i="1"/>
  <c r="X175" i="1"/>
  <c r="X94" i="1"/>
  <c r="X92" i="1"/>
  <c r="W84" i="1"/>
  <c r="W80" i="1"/>
  <c r="W79" i="1"/>
  <c r="W73" i="1"/>
  <c r="W69" i="1"/>
  <c r="W67" i="1"/>
  <c r="W65" i="1"/>
  <c r="W63" i="1"/>
  <c r="W61" i="1"/>
  <c r="W57" i="1"/>
  <c r="W53" i="1"/>
  <c r="X183" i="1"/>
  <c r="X180" i="1"/>
  <c r="X176" i="1"/>
  <c r="X172" i="1"/>
  <c r="X169" i="1"/>
  <c r="X93" i="1"/>
  <c r="X89" i="1"/>
  <c r="X85" i="1"/>
  <c r="T84" i="1"/>
  <c r="U84" i="1" s="1"/>
  <c r="S84" i="1" s="1"/>
  <c r="X84" i="1"/>
  <c r="X82" i="1"/>
  <c r="T81" i="1"/>
  <c r="U81" i="1" s="1"/>
  <c r="S81" i="1" s="1"/>
  <c r="X81" i="1"/>
  <c r="W76" i="1"/>
  <c r="W72" i="1"/>
  <c r="W68" i="1"/>
  <c r="W64" i="1"/>
  <c r="W60" i="1"/>
  <c r="W56" i="1"/>
  <c r="W52" i="1"/>
  <c r="X86" i="1"/>
  <c r="T86" i="1"/>
  <c r="U86" i="1" s="1"/>
  <c r="S86" i="1" s="1"/>
  <c r="W83" i="1"/>
  <c r="W77" i="1"/>
  <c r="X78" i="1"/>
  <c r="T77" i="1"/>
  <c r="U77" i="1" s="1"/>
  <c r="S77" i="1" s="1"/>
  <c r="X77" i="1"/>
  <c r="W75" i="1"/>
  <c r="W74" i="1"/>
  <c r="W66" i="1"/>
  <c r="W62" i="1"/>
  <c r="W58" i="1"/>
  <c r="W54" i="1"/>
  <c r="W51" i="1"/>
  <c r="X80" i="1"/>
  <c r="X76" i="1"/>
  <c r="X72" i="1"/>
  <c r="X68" i="1"/>
  <c r="X64" i="1"/>
  <c r="X60" i="1"/>
  <c r="X56" i="1"/>
  <c r="X52" i="1"/>
  <c r="T51" i="1"/>
  <c r="U51" i="1" s="1"/>
  <c r="S51" i="1" s="1"/>
  <c r="T50" i="1"/>
  <c r="U50" i="1" s="1"/>
  <c r="S50" i="1" s="1"/>
  <c r="X50" i="1"/>
  <c r="W48" i="1"/>
  <c r="W44" i="1"/>
  <c r="W42" i="1"/>
  <c r="W31" i="1"/>
  <c r="W27" i="1"/>
  <c r="W26" i="1"/>
  <c r="W17" i="1"/>
  <c r="W16" i="1"/>
  <c r="W49" i="1"/>
  <c r="W46" i="1"/>
  <c r="W45" i="1"/>
  <c r="W35" i="1"/>
  <c r="W32" i="1"/>
  <c r="W30" i="1"/>
  <c r="W21" i="1"/>
  <c r="W20" i="1"/>
  <c r="W15" i="1"/>
  <c r="W39" i="1"/>
  <c r="W36" i="1"/>
  <c r="W34" i="1"/>
  <c r="W33" i="1"/>
  <c r="W25" i="1"/>
  <c r="W24" i="1"/>
  <c r="W19" i="1"/>
  <c r="W18" i="1"/>
  <c r="W14" i="1"/>
  <c r="W47" i="1"/>
  <c r="W40" i="1"/>
  <c r="W38" i="1"/>
  <c r="W37" i="1"/>
  <c r="W23" i="1"/>
  <c r="W22" i="1"/>
  <c r="X49" i="1"/>
  <c r="X45" i="1"/>
  <c r="X41" i="1"/>
  <c r="X37" i="1"/>
  <c r="X33" i="1"/>
  <c r="X26" i="1"/>
  <c r="X22" i="1"/>
  <c r="X18" i="1"/>
  <c r="X46" i="1"/>
  <c r="X42" i="1"/>
  <c r="X38" i="1"/>
  <c r="X34" i="1"/>
  <c r="X27" i="1"/>
  <c r="X23" i="1"/>
  <c r="X19" i="1"/>
  <c r="AE31" i="3"/>
  <c r="AD31" i="3"/>
  <c r="AD27" i="3"/>
  <c r="AD16" i="3"/>
  <c r="AE15" i="3"/>
  <c r="AD15" i="3"/>
  <c r="AD28" i="3"/>
  <c r="AE17" i="3"/>
  <c r="AD13" i="3"/>
  <c r="AD11" i="3"/>
  <c r="AD9" i="3"/>
  <c r="AD19" i="3"/>
  <c r="AE37" i="3"/>
  <c r="AC18" i="3"/>
  <c r="T18" i="3"/>
  <c r="AC30" i="3"/>
  <c r="AD24" i="3"/>
  <c r="AE21" i="3"/>
  <c r="AC12" i="3"/>
  <c r="T12" i="3"/>
  <c r="AC17" i="3"/>
  <c r="AE9" i="3"/>
  <c r="AC22" i="3"/>
  <c r="AD32" i="3"/>
  <c r="AE29" i="3"/>
  <c r="AC16" i="3"/>
  <c r="T16" i="3"/>
  <c r="AE13" i="3"/>
  <c r="Y19" i="3"/>
  <c r="Y31" i="3"/>
  <c r="Y29" i="3"/>
  <c r="Y37" i="3"/>
  <c r="Y13" i="3"/>
  <c r="Y34" i="3"/>
  <c r="Y24" i="3"/>
  <c r="Y10" i="3"/>
  <c r="Y18" i="3"/>
  <c r="Y9" i="3"/>
  <c r="Y16" i="3"/>
  <c r="Y15" i="3"/>
  <c r="Y12" i="3"/>
  <c r="Y21" i="3"/>
  <c r="Y25" i="3"/>
  <c r="Y27" i="3"/>
  <c r="Y38" i="3"/>
  <c r="Y23" i="3"/>
  <c r="Y35" i="3"/>
  <c r="Y20" i="3"/>
  <c r="Y14" i="3"/>
  <c r="Y7" i="3"/>
  <c r="Y28" i="3"/>
  <c r="Y22" i="3"/>
  <c r="Y36" i="3"/>
  <c r="Y30" i="3"/>
  <c r="Y8" i="3"/>
  <c r="Y11" i="3"/>
  <c r="Y26" i="3"/>
  <c r="Y17" i="3"/>
  <c r="Y32" i="3"/>
  <c r="AE38" i="3"/>
  <c r="T7" i="3"/>
  <c r="AC19" i="3"/>
  <c r="AE34" i="3"/>
  <c r="T28" i="3"/>
  <c r="AC31" i="3"/>
  <c r="AE30" i="3"/>
  <c r="T27" i="3"/>
  <c r="AC29" i="3"/>
  <c r="AE26" i="3"/>
  <c r="T38" i="3"/>
  <c r="AC37" i="3"/>
  <c r="AE22" i="3"/>
  <c r="T23" i="3"/>
  <c r="AC13" i="3"/>
  <c r="AE18" i="3"/>
  <c r="T35" i="3"/>
  <c r="AC34" i="3"/>
  <c r="AE14" i="3"/>
  <c r="T20" i="3"/>
  <c r="AC24" i="3"/>
  <c r="AE10" i="3"/>
  <c r="T14" i="3"/>
  <c r="AC10" i="3"/>
  <c r="AD30" i="3"/>
  <c r="AD26" i="3"/>
  <c r="AD22" i="3"/>
  <c r="AD18" i="3"/>
  <c r="AD14" i="3"/>
  <c r="AD10" i="3"/>
  <c r="AD38" i="3"/>
  <c r="AD34" i="3"/>
  <c r="AE36" i="3"/>
  <c r="AE32" i="3"/>
  <c r="AE28" i="3"/>
  <c r="AE24" i="3"/>
  <c r="AE20" i="3"/>
  <c r="AE16" i="3"/>
  <c r="AE12" i="3"/>
  <c r="AE8" i="3"/>
  <c r="S73" i="1" l="1"/>
  <c r="M33" i="3"/>
  <c r="R33" i="3"/>
  <c r="S33" i="3"/>
  <c r="U33" i="3"/>
  <c r="V33" i="3"/>
  <c r="X33" i="3"/>
  <c r="W33" i="3"/>
  <c r="AD33" i="3" l="1"/>
  <c r="AE33" i="3"/>
  <c r="AC33" i="3"/>
  <c r="Y33" i="3"/>
  <c r="T33" i="3"/>
  <c r="AG13" i="1"/>
  <c r="AD13" i="1" l="1"/>
  <c r="X14" i="1" s="1"/>
  <c r="Z13" i="1" l="1"/>
  <c r="Y13" i="1"/>
  <c r="O2" i="3" l="1"/>
  <c r="M28" i="5" l="1"/>
  <c r="M23" i="5" l="1"/>
  <c r="AD7" i="3" l="1"/>
  <c r="AN13" i="1"/>
  <c r="AE7" i="3" l="1"/>
  <c r="K13" i="1" l="1"/>
  <c r="M13" i="1"/>
  <c r="N13" i="1" s="1"/>
  <c r="AB13" i="1"/>
  <c r="AC13" i="1"/>
  <c r="AE13" i="1"/>
  <c r="AM13" i="1"/>
  <c r="AI13" i="1" l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F10" i="6" l="1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24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11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7" i="3" s="1"/>
  <c r="G161" i="4"/>
  <c r="G162" i="4"/>
  <c r="G163" i="4"/>
  <c r="G164" i="4"/>
  <c r="G165" i="4"/>
  <c r="G166" i="4"/>
  <c r="G167" i="4"/>
  <c r="N9" i="3" s="1"/>
  <c r="G168" i="4"/>
  <c r="G169" i="4"/>
  <c r="G170" i="4"/>
  <c r="N31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21" i="3"/>
  <c r="N32" i="3"/>
  <c r="N22" i="3"/>
  <c r="N19" i="3"/>
  <c r="N28" i="3"/>
  <c r="N36" i="3"/>
  <c r="N37" i="3"/>
  <c r="N38" i="3"/>
  <c r="N23" i="3"/>
  <c r="N35" i="3"/>
  <c r="N18" i="3"/>
  <c r="N7" i="3"/>
  <c r="N29" i="3"/>
  <c r="N8" i="3"/>
  <c r="N15" i="3"/>
  <c r="N12" i="3"/>
  <c r="N13" i="3"/>
  <c r="N26" i="3"/>
  <c r="N17" i="3"/>
  <c r="N25" i="3"/>
  <c r="N30" i="3"/>
  <c r="N16" i="3"/>
  <c r="N34" i="3"/>
  <c r="N14" i="3"/>
  <c r="N10" i="3"/>
  <c r="N33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B19" i="6" l="1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G21" i="6" l="1"/>
  <c r="I21" i="6"/>
  <c r="J21" i="6"/>
  <c r="F21" i="6"/>
  <c r="H21" i="6"/>
  <c r="B22" i="6"/>
  <c r="M18" i="5"/>
  <c r="B23" i="6" l="1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F26" i="6" l="1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<sst xmlns="http://schemas.openxmlformats.org/spreadsheetml/2006/main" count="2783" uniqueCount="1001">
  <si>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</si>
  <si>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</si>
  <si>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</si>
  <si>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</si>
  <si>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</si>
  <si>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</si>
  <si>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</si>
  <si>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</si>
  <si>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</si>
  <si>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</si>
  <si>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</si>
  <si>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</si>
  <si>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</si>
  <si>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</si>
  <si>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</si>
  <si>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</si>
  <si>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</si>
  <si>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</si>
  <si>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</si>
  <si>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</si>
  <si>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</si>
  <si>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</si>
  <si>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</si>
  <si>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</si>
  <si>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</si>
  <si>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</si>
  <si>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</si>
  <si>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</si>
  <si>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</si>
  <si>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</si>
  <si>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</si>
  <si>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</si>
  <si>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</si>
  <si>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</si>
  <si>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</si>
  <si>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</si>
  <si>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</si>
  <si>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</si>
  <si>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</si>
  <si>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</si>
  <si>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</si>
  <si>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</si>
  <si>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</si>
  <si>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</si>
  <si>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</si>
  <si>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</si>
  <si>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</si>
  <si>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</si>
  <si>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</si>
  <si>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</si>
  <si>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</si>
  <si>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</si>
  <si>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</si>
  <si>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</si>
  <si>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</si>
  <si>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</si>
  <si>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</si>
  <si>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</si>
  <si>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</si>
  <si>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</si>
  <si>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</si>
  <si>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</si>
  <si>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</si>
  <si>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</si>
  <si>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</si>
  <si>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</si>
  <si>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</si>
  <si>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</si>
  <si>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</si>
  <si>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</si>
  <si>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</si>
  <si>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</si>
  <si>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</si>
  <si>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</si>
  <si>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</si>
  <si>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</si>
  <si>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</si>
  <si>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</si>
  <si>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</si>
  <si>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</si>
  <si>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</si>
  <si>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</si>
  <si>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</si>
  <si>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</si>
  <si>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</si>
  <si>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</si>
  <si>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</si>
  <si>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</si>
  <si>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</si>
  <si>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</si>
  <si>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</si>
  <si>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</si>
  <si>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</si>
  <si>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</si>
  <si>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</si>
  <si>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</si>
  <si>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</si>
  <si>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</si>
  <si>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</si>
  <si>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</si>
  <si>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</si>
  <si>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</si>
  <si>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</si>
  <si>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</si>
  <si>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</si>
  <si>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</si>
  <si>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</si>
  <si>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</si>
  <si>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</si>
  <si>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</si>
  <si>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</si>
  <si>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</si>
  <si>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</si>
  <si>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</si>
  <si>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</si>
  <si>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</si>
  <si>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</si>
  <si>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</si>
  <si>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</si>
  <si>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</si>
  <si>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</si>
  <si>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</si>
  <si>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</si>
  <si>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</si>
  <si>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</si>
  <si>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</si>
  <si>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</si>
  <si>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</si>
  <si>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</si>
  <si>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</si>
  <si>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</si>
  <si>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</si>
  <si>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</si>
  <si>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</si>
  <si>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</si>
  <si>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</si>
  <si>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</si>
  <si>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</si>
  <si>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</si>
  <si>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</si>
  <si>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</si>
  <si>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</si>
  <si>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</si>
  <si>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</si>
  <si>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</si>
  <si>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</si>
  <si>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</si>
  <si>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</si>
  <si>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</si>
  <si>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</si>
  <si>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</si>
  <si>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</si>
  <si>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</si>
  <si>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</si>
  <si>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</si>
  <si>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</si>
  <si>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</si>
  <si>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</si>
  <si>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</si>
  <si>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</si>
  <si>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</si>
  <si>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</si>
  <si>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</si>
  <si>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</si>
  <si>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</si>
  <si>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</si>
  <si>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</si>
  <si>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</si>
  <si>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</si>
  <si>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</si>
  <si>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</si>
  <si>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</si>
  <si>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</si>
  <si>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</si>
  <si>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</si>
  <si>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</si>
  <si>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</si>
  <si>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</si>
  <si>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</si>
  <si>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</si>
  <si>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</si>
  <si>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</si>
  <si>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</si>
  <si>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</si>
  <si>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</si>
  <si>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</si>
  <si>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</si>
  <si>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</si>
  <si>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</si>
  <si>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</si>
  <si>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</si>
  <si>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</si>
  <si>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</si>
  <si>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</si>
  <si>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</si>
  <si>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</si>
  <si>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</si>
  <si>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</si>
  <si>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</si>
  <si>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</si>
  <si>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</si>
  <si>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</si>
  <si>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</si>
  <si>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</si>
  <si>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</si>
  <si>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</si>
  <si>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</si>
  <si>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</si>
  <si>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</si>
  <si>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</si>
  <si>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</si>
  <si>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</si>
  <si>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</si>
  <si>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</si>
  <si>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</si>
  <si>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</si>
  <si>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</si>
  <si>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</si>
  <si>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</si>
  <si>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</si>
  <si>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</si>
  <si>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</si>
  <si>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</si>
  <si>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</si>
  <si>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</si>
  <si>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</si>
  <si>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</si>
  <si>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</si>
  <si>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</si>
  <si>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</si>
  <si>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</si>
  <si>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</si>
  <si>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</si>
  <si>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</si>
  <si>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</si>
  <si>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</si>
  <si>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</si>
  <si>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</si>
  <si>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</si>
  <si>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</si>
  <si>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</si>
  <si>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</si>
  <si>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</si>
  <si>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</si>
  <si>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</si>
  <si>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</si>
  <si>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</si>
  <si>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</si>
  <si>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</si>
  <si>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</si>
  <si>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</si>
  <si>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</si>
  <si>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</si>
  <si>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</si>
  <si>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</si>
  <si>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</si>
  <si>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</si>
  <si>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</si>
  <si>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</si>
  <si>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</si>
  <si>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</si>
  <si>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</si>
  <si>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</si>
  <si>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</si>
  <si>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</si>
  <si>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</si>
  <si>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</si>
  <si>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</si>
  <si>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</si>
  <si>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</si>
  <si>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</si>
  <si>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</si>
  <si>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</si>
  <si>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</si>
  <si>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</si>
  <si>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</si>
  <si>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</si>
  <si>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</si>
  <si>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</si>
  <si>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</si>
  <si>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</si>
  <si>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</si>
  <si>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</si>
  <si>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</si>
  <si>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</si>
  <si>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</si>
  <si>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</si>
  <si>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</si>
  <si>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</si>
  <si>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</si>
  <si>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</si>
  <si>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</si>
  <si>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</si>
  <si>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</si>
  <si>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</si>
  <si>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</si>
  <si>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</si>
  <si>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</si>
  <si>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</si>
  <si>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</si>
  <si>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</si>
  <si>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</si>
  <si>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</si>
  <si>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</si>
  <si>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</si>
  <si>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</si>
  <si>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</si>
  <si>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</si>
  <si>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</si>
  <si>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</si>
  <si>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</si>
  <si>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</si>
  <si>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</si>
  <si>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</si>
  <si>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</si>
  <si>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</si>
  <si>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</si>
  <si>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</si>
  <si>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</si>
  <si>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</si>
  <si>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</si>
  <si>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</si>
  <si>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</si>
  <si>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</si>
  <si>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</si>
  <si>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</si>
  <si>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</si>
  <si>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</si>
  <si>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</si>
  <si>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</si>
  <si>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</si>
  <si>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</si>
  <si>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</si>
  <si>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</si>
  <si>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</si>
  <si>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</si>
  <si>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</si>
  <si>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</si>
  <si>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</si>
  <si>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</si>
  <si>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</si>
  <si>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</si>
  <si>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</si>
  <si>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</si>
  <si>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</si>
  <si>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</si>
  <si>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</si>
  <si>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</si>
  <si>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</si>
  <si>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</si>
  <si>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</si>
  <si>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</si>
  <si>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</si>
  <si>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</si>
  <si>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</si>
  <si>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</si>
  <si>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</si>
  <si>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</si>
  <si>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</si>
  <si>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</si>
  <si>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</si>
  <si>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</si>
  <si>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</si>
  <si>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</si>
  <si>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</si>
  <si>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</si>
  <si>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</si>
  <si>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</si>
  <si>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</si>
  <si>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</si>
  <si>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</si>
  <si>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</si>
  <si>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</si>
  <si>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</si>
  <si>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</si>
  <si>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</si>
  <si>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</si>
  <si>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</si>
  <si>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</si>
  <si>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</si>
  <si>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</si>
  <si>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</si>
  <si>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</si>
  <si>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</si>
  <si>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</si>
  <si>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</si>
  <si>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</si>
  <si>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</si>
  <si>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</si>
  <si>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</si>
  <si>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</si>
  <si>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</si>
  <si>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</si>
  <si>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</si>
  <si>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</si>
  <si>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</si>
  <si>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</si>
  <si>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</si>
  <si>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</si>
  <si>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</si>
  <si>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</si>
  <si>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</si>
  <si>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</si>
  <si>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</si>
  <si>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</si>
  <si>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</si>
  <si>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</si>
  <si>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</si>
  <si>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</si>
  <si>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</si>
  <si>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</si>
  <si>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</si>
  <si>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</si>
  <si>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</si>
  <si>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</si>
  <si>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</si>
  <si>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</si>
  <si>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</si>
  <si>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</si>
  <si>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</si>
  <si>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</si>
  <si>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</si>
  <si>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</si>
  <si>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</si>
  <si>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</si>
  <si>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</si>
  <si>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</si>
  <si>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</si>
  <si>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</si>
  <si>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</si>
  <si>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</si>
  <si>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</si>
  <si>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</si>
  <si>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</si>
  <si>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</si>
  <si>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</si>
  <si>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</si>
  <si>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</si>
  <si>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</si>
  <si>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</si>
  <si>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</si>
  <si>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</si>
  <si>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</si>
  <si>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</si>
  <si>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204:444</t>
  </si>
  <si>
    <t>204:233307</t>
  </si>
  <si>
    <t>rtdc.l.rtdc.4046:itc</t>
  </si>
  <si>
    <t>rtdc.l.rtdc.4045:itc</t>
  </si>
  <si>
    <t>rtdc.l.rtdc.4055:itc</t>
  </si>
  <si>
    <t>rtdc.l.rtdc.4056:itc</t>
  </si>
  <si>
    <t>204:232971</t>
  </si>
  <si>
    <t>204:136</t>
  </si>
  <si>
    <t>204:232996</t>
  </si>
  <si>
    <t>204:232994</t>
  </si>
  <si>
    <t>204:233302</t>
  </si>
  <si>
    <t>204:232969</t>
  </si>
  <si>
    <t>204:232985</t>
  </si>
  <si>
    <t>204:233295</t>
  </si>
  <si>
    <t>204:232987</t>
  </si>
  <si>
    <t>204:233019</t>
  </si>
  <si>
    <t>300:58636</t>
  </si>
  <si>
    <t>204:469</t>
  </si>
  <si>
    <t>HAITHCOX</t>
  </si>
  <si>
    <t>204:233301</t>
  </si>
  <si>
    <t>204:233334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</si>
  <si>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</si>
  <si>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</si>
  <si>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</si>
  <si>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</si>
  <si>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</si>
  <si>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</si>
  <si>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</si>
  <si>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</si>
  <si>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HELVIE</t>
  </si>
  <si>
    <t>ADAM</t>
  </si>
  <si>
    <t>204:232981</t>
  </si>
  <si>
    <t>204:233310</t>
  </si>
  <si>
    <t>204:138</t>
  </si>
  <si>
    <t>204:160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</si>
  <si>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</si>
  <si>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</si>
  <si>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</si>
  <si>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</si>
  <si>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</si>
  <si>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</si>
  <si>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STEWART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</si>
  <si>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</si>
  <si>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</si>
  <si>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</si>
  <si>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</si>
  <si>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</si>
  <si>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</si>
  <si>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</si>
  <si>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</si>
  <si>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</si>
  <si>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204:233314</t>
  </si>
  <si>
    <t>204:232980</t>
  </si>
  <si>
    <t>204:233005</t>
  </si>
  <si>
    <t>204:232989</t>
  </si>
  <si>
    <t>204:433</t>
  </si>
  <si>
    <t>204:232992</t>
  </si>
  <si>
    <t>300:58929</t>
  </si>
  <si>
    <t>rtdc.l.rtdc.4011:itc</t>
  </si>
  <si>
    <t>rtdc.l.rtdc.4003:itc</t>
  </si>
  <si>
    <t>WENDY</t>
  </si>
  <si>
    <t>rtdc.l.rtdc.4004:itc</t>
  </si>
  <si>
    <t>GEBRETEKLE</t>
  </si>
  <si>
    <t>DAGNEW</t>
  </si>
  <si>
    <t>DELGADO</t>
  </si>
  <si>
    <t>DIANAH</t>
  </si>
  <si>
    <t>HOLCOMB</t>
  </si>
  <si>
    <t>KAMDEN</t>
  </si>
  <si>
    <t>uvIndex</t>
  </si>
  <si>
    <t>windGust</t>
  </si>
  <si>
    <t>204:233006</t>
  </si>
  <si>
    <t>204:232984</t>
  </si>
  <si>
    <t>204:232973</t>
  </si>
  <si>
    <t>204:232998</t>
  </si>
  <si>
    <t>204:455</t>
  </si>
  <si>
    <t>204:232979</t>
  </si>
  <si>
    <t>204:233328</t>
  </si>
  <si>
    <t>204:464</t>
  </si>
  <si>
    <t>204:134</t>
  </si>
  <si>
    <t>204:233000</t>
  </si>
  <si>
    <t>204:233317</t>
  </si>
  <si>
    <t>300:23304</t>
  </si>
  <si>
    <t>204:471</t>
  </si>
  <si>
    <t>204:682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</si>
  <si>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</si>
  <si>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</si>
  <si>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</si>
  <si>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</si>
  <si>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</si>
  <si>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</si>
  <si>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</si>
  <si>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</si>
  <si>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rtdc.l.rtdc.4058:itc</t>
  </si>
  <si>
    <t>rtdc.l.rtdc.4041:itc</t>
  </si>
  <si>
    <t>rtdc.l.rtdc.4053:itc</t>
  </si>
  <si>
    <t>YANG</t>
  </si>
  <si>
    <t>JAN</t>
  </si>
  <si>
    <t>ROCHA</t>
  </si>
  <si>
    <t>YAOTL</t>
  </si>
  <si>
    <t>YORK</t>
  </si>
  <si>
    <t>EDGAR</t>
  </si>
  <si>
    <t>PERKINS</t>
  </si>
  <si>
    <t>DARREN</t>
  </si>
  <si>
    <t>236-15</t>
  </si>
  <si>
    <t>partly-cloudy-day</t>
  </si>
  <si>
    <t>Partly Cloudy</t>
  </si>
  <si>
    <t>Mostly Cloudy</t>
  </si>
  <si>
    <t>partly-cloudy-night</t>
  </si>
  <si>
    <t>204:233312</t>
  </si>
  <si>
    <t>204:132</t>
  </si>
  <si>
    <t>204:232963</t>
  </si>
  <si>
    <t>204:233315</t>
  </si>
  <si>
    <t>204:232967</t>
  </si>
  <si>
    <t>204:233285</t>
  </si>
  <si>
    <t>204:233324</t>
  </si>
  <si>
    <t>204:233321</t>
  </si>
  <si>
    <t>204:233347</t>
  </si>
  <si>
    <t>204:233034</t>
  </si>
  <si>
    <t>204:484</t>
  </si>
  <si>
    <t>204:233093</t>
  </si>
  <si>
    <t>204:233049</t>
  </si>
  <si>
    <t>204:232988</t>
  </si>
  <si>
    <t>204:233316</t>
  </si>
  <si>
    <t>204:233002</t>
  </si>
  <si>
    <t>300:23302</t>
  </si>
  <si>
    <t>300:23301</t>
  </si>
  <si>
    <t>204:1160</t>
  </si>
  <si>
    <t>204:974</t>
  </si>
  <si>
    <t>204:1030</t>
  </si>
  <si>
    <t>300:58937</t>
  </si>
  <si>
    <t>204:677</t>
  </si>
  <si>
    <t>300:58935</t>
  </si>
  <si>
    <t>300:58619</t>
  </si>
  <si>
    <t>204:668</t>
  </si>
  <si>
    <t>300:58602</t>
  </si>
  <si>
    <t>300:58924</t>
  </si>
  <si>
    <t>300:58933</t>
  </si>
  <si>
    <t>300:58617</t>
  </si>
  <si>
    <t>300:58944</t>
  </si>
  <si>
    <t>300:58621</t>
  </si>
  <si>
    <t>204:950</t>
  </si>
  <si>
    <t>204:960</t>
  </si>
  <si>
    <t>Onboard in-route failure</t>
  </si>
  <si>
    <t>238-15</t>
  </si>
  <si>
    <t>240-15</t>
  </si>
  <si>
    <t>241-15</t>
  </si>
  <si>
    <t>242-15</t>
  </si>
  <si>
    <t>243-15</t>
  </si>
  <si>
    <t>244-15</t>
  </si>
  <si>
    <t>307-15</t>
  </si>
  <si>
    <t>309-15</t>
  </si>
  <si>
    <t>311-15</t>
  </si>
  <si>
    <t>313-15</t>
  </si>
  <si>
    <t>300-16</t>
  </si>
  <si>
    <t>51-16</t>
  </si>
  <si>
    <t>101-16</t>
  </si>
  <si>
    <t>52-16</t>
  </si>
  <si>
    <t>302-16</t>
  </si>
  <si>
    <t>103-16</t>
  </si>
  <si>
    <t>304-16</t>
  </si>
  <si>
    <t>1800-17</t>
  </si>
  <si>
    <t>121-17</t>
  </si>
  <si>
    <t>1801-17</t>
  </si>
  <si>
    <t>118-17</t>
  </si>
  <si>
    <t>134-17</t>
  </si>
  <si>
    <t>140-17</t>
  </si>
  <si>
    <t>152-17</t>
  </si>
  <si>
    <t>161-17</t>
  </si>
  <si>
    <t>1811-17</t>
  </si>
  <si>
    <t>154-17</t>
  </si>
  <si>
    <t>1813-17</t>
  </si>
  <si>
    <t>169-17</t>
  </si>
  <si>
    <t>178-17</t>
  </si>
  <si>
    <t>195-17</t>
  </si>
  <si>
    <t>197-17</t>
  </si>
  <si>
    <t>54-17</t>
  </si>
  <si>
    <t>198-17</t>
  </si>
  <si>
    <t>SWITCH ALIGNMENT</t>
  </si>
  <si>
    <t>Track device (7)</t>
  </si>
  <si>
    <t>200-17</t>
  </si>
  <si>
    <t>209-17</t>
  </si>
  <si>
    <t>211-17</t>
  </si>
  <si>
    <t>204-17</t>
  </si>
  <si>
    <t>215-17</t>
  </si>
  <si>
    <t>217-17</t>
  </si>
  <si>
    <t>1827-17</t>
  </si>
  <si>
    <t>228-17</t>
  </si>
  <si>
    <t>234-17</t>
  </si>
  <si>
    <t>237-17</t>
  </si>
  <si>
    <t>242-16</t>
  </si>
  <si>
    <t>245-16</t>
  </si>
  <si>
    <t>rtdc.l.rtdc.4012:itc</t>
  </si>
  <si>
    <t>307-16</t>
  </si>
  <si>
    <t>rtdc.l.rtdc.4029:itc</t>
  </si>
  <si>
    <t>246-16</t>
  </si>
  <si>
    <t>300-17</t>
  </si>
  <si>
    <t>MAELZER</t>
  </si>
  <si>
    <t>KURT</t>
  </si>
  <si>
    <t>101-17</t>
  </si>
  <si>
    <t>51-17</t>
  </si>
  <si>
    <t>GRASTON</t>
  </si>
  <si>
    <t>MATHEU</t>
  </si>
  <si>
    <t>302-17</t>
  </si>
  <si>
    <t>52-17</t>
  </si>
  <si>
    <t>103-17</t>
  </si>
  <si>
    <t>304-17</t>
  </si>
  <si>
    <t>306-17</t>
  </si>
  <si>
    <t>102-17</t>
  </si>
  <si>
    <t>105-17</t>
  </si>
  <si>
    <t>308-17</t>
  </si>
  <si>
    <t>LALONDE</t>
  </si>
  <si>
    <t>GREGORY</t>
  </si>
  <si>
    <t>107-17</t>
  </si>
  <si>
    <t>104-17</t>
  </si>
  <si>
    <t>109-17</t>
  </si>
  <si>
    <t>310-17</t>
  </si>
  <si>
    <t>DAVIDSON</t>
  </si>
  <si>
    <t>DAVID</t>
  </si>
  <si>
    <t>111-17</t>
  </si>
  <si>
    <t>113-17</t>
  </si>
  <si>
    <t>108-17</t>
  </si>
  <si>
    <t>106-17</t>
  </si>
  <si>
    <t>312-17</t>
  </si>
  <si>
    <t>1901-17</t>
  </si>
  <si>
    <t>110-17</t>
  </si>
  <si>
    <t>115-17</t>
  </si>
  <si>
    <t>117-17</t>
  </si>
  <si>
    <t>112-17</t>
  </si>
  <si>
    <t>119-17</t>
  </si>
  <si>
    <t>114-17</t>
  </si>
  <si>
    <t>116-17</t>
  </si>
  <si>
    <t>123-17</t>
  </si>
  <si>
    <t>1802-17</t>
  </si>
  <si>
    <t>125-17</t>
  </si>
  <si>
    <t>120-17</t>
  </si>
  <si>
    <t>127-17</t>
  </si>
  <si>
    <t>122-17</t>
  </si>
  <si>
    <t>1803-17</t>
  </si>
  <si>
    <t>124-17</t>
  </si>
  <si>
    <t>129-17</t>
  </si>
  <si>
    <t>131-17</t>
  </si>
  <si>
    <t>126-17</t>
  </si>
  <si>
    <t>1804-17</t>
  </si>
  <si>
    <t>133-17</t>
  </si>
  <si>
    <t>128-17</t>
  </si>
  <si>
    <t>135-17</t>
  </si>
  <si>
    <t>1805-17</t>
  </si>
  <si>
    <t>130-17</t>
  </si>
  <si>
    <t>137-17</t>
  </si>
  <si>
    <t>132-17</t>
  </si>
  <si>
    <t>139-17</t>
  </si>
  <si>
    <t>1806-17</t>
  </si>
  <si>
    <t>136-17</t>
  </si>
  <si>
    <t>141-17</t>
  </si>
  <si>
    <t>138-17</t>
  </si>
  <si>
    <t>143-17</t>
  </si>
  <si>
    <t>1807-17</t>
  </si>
  <si>
    <t>145-17</t>
  </si>
  <si>
    <t>147-17</t>
  </si>
  <si>
    <t>1808-17</t>
  </si>
  <si>
    <t>142-17</t>
  </si>
  <si>
    <t>149-17</t>
  </si>
  <si>
    <t>144-17</t>
  </si>
  <si>
    <t>151-17</t>
  </si>
  <si>
    <t>1809-17</t>
  </si>
  <si>
    <t>146-17</t>
  </si>
  <si>
    <t>153-17</t>
  </si>
  <si>
    <t>148-17</t>
  </si>
  <si>
    <t>150-17</t>
  </si>
  <si>
    <t>155-17</t>
  </si>
  <si>
    <t>1810-17</t>
  </si>
  <si>
    <t>157-17</t>
  </si>
  <si>
    <t>159-17</t>
  </si>
  <si>
    <t>156-17</t>
  </si>
  <si>
    <t>163-17</t>
  </si>
  <si>
    <t>BRANDNER</t>
  </si>
  <si>
    <t>MELINDA</t>
  </si>
  <si>
    <t>1812-17</t>
  </si>
  <si>
    <t>158-17</t>
  </si>
  <si>
    <t>165-17</t>
  </si>
  <si>
    <t>BRUDER</t>
  </si>
  <si>
    <t>RICHARD</t>
  </si>
  <si>
    <t>160-17</t>
  </si>
  <si>
    <t>167-17</t>
  </si>
  <si>
    <t>162-17</t>
  </si>
  <si>
    <t>53-17</t>
  </si>
  <si>
    <t>ARVIDSON</t>
  </si>
  <si>
    <t>DANIEL</t>
  </si>
  <si>
    <t>164-17</t>
  </si>
  <si>
    <t>171-17</t>
  </si>
  <si>
    <t>166-17</t>
  </si>
  <si>
    <t>1814-17</t>
  </si>
  <si>
    <t>173-17</t>
  </si>
  <si>
    <t>168-17</t>
  </si>
  <si>
    <t>1815-17</t>
  </si>
  <si>
    <t>175-17</t>
  </si>
  <si>
    <t>170-17</t>
  </si>
  <si>
    <t>177-17</t>
  </si>
  <si>
    <t>172-17</t>
  </si>
  <si>
    <t>179-17</t>
  </si>
  <si>
    <t>1816-17</t>
  </si>
  <si>
    <t>174-17</t>
  </si>
  <si>
    <t>181-17</t>
  </si>
  <si>
    <t>55-17</t>
  </si>
  <si>
    <t>176-17</t>
  </si>
  <si>
    <t>183-17</t>
  </si>
  <si>
    <t>1817-17</t>
  </si>
  <si>
    <t>MCREYNOLDS</t>
  </si>
  <si>
    <t>KYLE</t>
  </si>
  <si>
    <t>185-17</t>
  </si>
  <si>
    <t>180-17</t>
  </si>
  <si>
    <t>187-17</t>
  </si>
  <si>
    <t>182-17</t>
  </si>
  <si>
    <t>68-17</t>
  </si>
  <si>
    <t>1818-17</t>
  </si>
  <si>
    <t>189-17</t>
  </si>
  <si>
    <t>184-17</t>
  </si>
  <si>
    <t>191-17</t>
  </si>
  <si>
    <t>1819-17</t>
  </si>
  <si>
    <t>186-17</t>
  </si>
  <si>
    <t>193-17</t>
  </si>
  <si>
    <t>188-17</t>
  </si>
  <si>
    <t>1820-17</t>
  </si>
  <si>
    <t>190-17</t>
  </si>
  <si>
    <t>192-17</t>
  </si>
  <si>
    <t>199-17</t>
  </si>
  <si>
    <t>1821-17</t>
  </si>
  <si>
    <t>194-17</t>
  </si>
  <si>
    <t>201-17</t>
  </si>
  <si>
    <t>196-17</t>
  </si>
  <si>
    <t>203-17</t>
  </si>
  <si>
    <t>1822-17</t>
  </si>
  <si>
    <t>205-17</t>
  </si>
  <si>
    <t>207-17</t>
  </si>
  <si>
    <t>1823-17</t>
  </si>
  <si>
    <t>202-17</t>
  </si>
  <si>
    <t>56-17</t>
  </si>
  <si>
    <t>BROWN</t>
  </si>
  <si>
    <t>JACOB</t>
  </si>
  <si>
    <t>206-17</t>
  </si>
  <si>
    <t>1824-17</t>
  </si>
  <si>
    <t>213-17</t>
  </si>
  <si>
    <t>70-17</t>
  </si>
  <si>
    <t>208-17</t>
  </si>
  <si>
    <t>1825-17</t>
  </si>
  <si>
    <t>210-17</t>
  </si>
  <si>
    <t>212-17</t>
  </si>
  <si>
    <t>219-17</t>
  </si>
  <si>
    <t>214-17</t>
  </si>
  <si>
    <t>1826-17</t>
  </si>
  <si>
    <t>301-17</t>
  </si>
  <si>
    <t>216-17</t>
  </si>
  <si>
    <t>221-17</t>
  </si>
  <si>
    <t>218-17</t>
  </si>
  <si>
    <t>303-17</t>
  </si>
  <si>
    <t>220-17</t>
  </si>
  <si>
    <t>223-17</t>
  </si>
  <si>
    <t>1828-17</t>
  </si>
  <si>
    <t>305-17</t>
  </si>
  <si>
    <t>222-17</t>
  </si>
  <si>
    <t>225-17</t>
  </si>
  <si>
    <t>1829-17</t>
  </si>
  <si>
    <t>227-17</t>
  </si>
  <si>
    <t>224-17</t>
  </si>
  <si>
    <t>1830-17</t>
  </si>
  <si>
    <t>226-17</t>
  </si>
  <si>
    <t>229-17</t>
  </si>
  <si>
    <t>1831-17</t>
  </si>
  <si>
    <t>231-17</t>
  </si>
  <si>
    <t>1832-17</t>
  </si>
  <si>
    <t>233-17</t>
  </si>
  <si>
    <t>230-17</t>
  </si>
  <si>
    <t>1833-17</t>
  </si>
  <si>
    <t>235-17</t>
  </si>
  <si>
    <t>232-17</t>
  </si>
  <si>
    <t>1902-17</t>
  </si>
  <si>
    <t>236-17</t>
  </si>
  <si>
    <t>239-17</t>
  </si>
  <si>
    <t>241-17</t>
  </si>
  <si>
    <t>238-17</t>
  </si>
  <si>
    <t>243-17</t>
  </si>
  <si>
    <t>240-17</t>
  </si>
  <si>
    <t>245-17</t>
  </si>
  <si>
    <t>242-17</t>
  </si>
  <si>
    <t>307-17</t>
  </si>
  <si>
    <t>244-17</t>
  </si>
  <si>
    <t>309-17</t>
  </si>
  <si>
    <t>246-17</t>
  </si>
  <si>
    <t>311-17</t>
  </si>
  <si>
    <t>313-17</t>
  </si>
  <si>
    <t>precipType</t>
  </si>
  <si>
    <t>rain</t>
  </si>
  <si>
    <t>Drizzle</t>
  </si>
  <si>
    <t>204:746</t>
  </si>
  <si>
    <t>204:233346</t>
  </si>
  <si>
    <t>204:233030</t>
  </si>
  <si>
    <t>204:477</t>
  </si>
  <si>
    <t>204:233345</t>
  </si>
  <si>
    <t>204:232977</t>
  </si>
  <si>
    <t>204:233331</t>
  </si>
  <si>
    <t>204:233011</t>
  </si>
  <si>
    <t>204:233355</t>
  </si>
  <si>
    <t>204:233342</t>
  </si>
  <si>
    <t>204:233032</t>
  </si>
  <si>
    <t>204:233418</t>
  </si>
  <si>
    <t>204:427</t>
  </si>
  <si>
    <t>204:431</t>
  </si>
  <si>
    <t>204:232970</t>
  </si>
  <si>
    <t>204:233357</t>
  </si>
  <si>
    <t>204:233353</t>
  </si>
  <si>
    <t>204:233062</t>
  </si>
  <si>
    <t>204:129</t>
  </si>
  <si>
    <t>204:233283</t>
  </si>
  <si>
    <t>204:233320</t>
  </si>
  <si>
    <t>204:233325</t>
  </si>
  <si>
    <t>204:233343</t>
  </si>
  <si>
    <t>204:233028</t>
  </si>
  <si>
    <t>204:233366</t>
  </si>
  <si>
    <t>204:398</t>
  </si>
  <si>
    <t>204:233359</t>
  </si>
  <si>
    <t>204:233040</t>
  </si>
  <si>
    <t>204:130</t>
  </si>
  <si>
    <t>204:435</t>
  </si>
  <si>
    <t>204:233374</t>
  </si>
  <si>
    <t>204:233045</t>
  </si>
  <si>
    <t>204:233337</t>
  </si>
  <si>
    <t>204:233340</t>
  </si>
  <si>
    <t>204:233013</t>
  </si>
  <si>
    <t>204:232978</t>
  </si>
  <si>
    <t>204:233368</t>
  </si>
  <si>
    <t>204:1158</t>
  </si>
  <si>
    <t>204:2703</t>
  </si>
  <si>
    <t>204:6240</t>
  </si>
  <si>
    <t>204:233023</t>
  </si>
  <si>
    <t>204:181</t>
  </si>
  <si>
    <t>300:58615</t>
  </si>
  <si>
    <t>204:729</t>
  </si>
  <si>
    <t>204:1028</t>
  </si>
  <si>
    <t>204:1004</t>
  </si>
  <si>
    <t>204:715</t>
  </si>
  <si>
    <t>204:1014</t>
  </si>
  <si>
    <t>204:755</t>
  </si>
  <si>
    <t>204:722</t>
  </si>
  <si>
    <t>204:1018</t>
  </si>
  <si>
    <t>204:738</t>
  </si>
  <si>
    <t>204:1027</t>
  </si>
  <si>
    <t>300:58928</t>
  </si>
  <si>
    <t>300:58611</t>
  </si>
  <si>
    <t>204:734</t>
  </si>
  <si>
    <t>204:1021</t>
  </si>
  <si>
    <t>300:58920</t>
  </si>
  <si>
    <t>204:733</t>
  </si>
  <si>
    <t>204:1037</t>
  </si>
  <si>
    <t>300:58950</t>
  </si>
  <si>
    <t>300:58628</t>
  </si>
  <si>
    <t>204:983</t>
  </si>
  <si>
    <t>204:169</t>
  </si>
  <si>
    <t>204:979</t>
  </si>
  <si>
    <t>300:58954</t>
  </si>
  <si>
    <t>300:58640</t>
  </si>
  <si>
    <t>204:955</t>
  </si>
  <si>
    <t>300:58632</t>
  </si>
  <si>
    <t>204:650</t>
  </si>
  <si>
    <t>300:58179</t>
  </si>
  <si>
    <t>300:58656</t>
  </si>
  <si>
    <t>300:58946</t>
  </si>
  <si>
    <t>204:424</t>
  </si>
  <si>
    <t>204:233370</t>
  </si>
  <si>
    <t>300:58634</t>
  </si>
  <si>
    <t>204:680</t>
  </si>
  <si>
    <t>300:58963</t>
  </si>
  <si>
    <t>300:58655</t>
  </si>
  <si>
    <t>204:671</t>
  </si>
  <si>
    <t>300:58943</t>
  </si>
  <si>
    <t>204:233044</t>
  </si>
  <si>
    <t>204:233282</t>
  </si>
  <si>
    <t>204:233021</t>
  </si>
  <si>
    <t>300:30108</t>
  </si>
  <si>
    <t>204:233326</t>
  </si>
  <si>
    <t>204:161</t>
  </si>
  <si>
    <t>204:233330</t>
  </si>
  <si>
    <t>204:233007</t>
  </si>
  <si>
    <t>204:233329</t>
  </si>
  <si>
    <t>204:233053</t>
  </si>
  <si>
    <t>204:125</t>
  </si>
  <si>
    <t>204:233336</t>
  </si>
  <si>
    <t>204:233017</t>
  </si>
  <si>
    <t>204:482</t>
  </si>
  <si>
    <t>204:233227</t>
  </si>
  <si>
    <t>204:232894</t>
  </si>
  <si>
    <t>204:233389</t>
  </si>
  <si>
    <t>204:170</t>
  </si>
  <si>
    <t>204:233300</t>
  </si>
  <si>
    <t>204:232976</t>
  </si>
  <si>
    <t>204:233308</t>
  </si>
  <si>
    <t>204:233004</t>
  </si>
  <si>
    <t>204:233322</t>
  </si>
  <si>
    <t>204:233010</t>
  </si>
  <si>
    <t>204:228609</t>
  </si>
  <si>
    <t>204:233319</t>
  </si>
  <si>
    <t>204:1535</t>
  </si>
  <si>
    <t>204:1783</t>
  </si>
  <si>
    <t>204:19123</t>
  </si>
  <si>
    <t>204:1552</t>
  </si>
  <si>
    <t>204:1147</t>
  </si>
  <si>
    <t>204:1649</t>
  </si>
  <si>
    <t>300:23071</t>
  </si>
  <si>
    <t>300:23287</t>
  </si>
  <si>
    <t>300:22274</t>
  </si>
  <si>
    <t>300:23451</t>
  </si>
  <si>
    <t>300:23718</t>
  </si>
  <si>
    <t>300:23430</t>
  </si>
  <si>
    <t>300:23578</t>
  </si>
  <si>
    <t>300:23597</t>
  </si>
  <si>
    <t>204:116</t>
  </si>
  <si>
    <t>204:3497</t>
  </si>
  <si>
    <t>204:3173</t>
  </si>
  <si>
    <t>204:3363</t>
  </si>
  <si>
    <t>204:1475</t>
  </si>
  <si>
    <t>204:3675</t>
  </si>
  <si>
    <t>204:1469</t>
  </si>
  <si>
    <t>300:23179</t>
  </si>
  <si>
    <t>204:1486</t>
  </si>
  <si>
    <t>300:24068</t>
  </si>
  <si>
    <t>204:1150</t>
  </si>
  <si>
    <t>300:23160</t>
  </si>
  <si>
    <t>300:23288</t>
  </si>
  <si>
    <t>204:2208</t>
  </si>
  <si>
    <t>start /low /b %USERPROFILE%\Documents\GitHub\eaglep3\Utilities\DownloadLogsFromS3.py --loco 4014 --day 2017-06-17</t>
  </si>
  <si>
    <t>start /low /b %USERPROFILE%\Documents\GitHub\eaglep3\Utilities\DownloadLogsFromS3.py --loco 4046 --day 2017-06-17</t>
  </si>
  <si>
    <t>start /low /b %USERPROFILE%\Documents\GitHub\eaglep3\Utilities\DownloadLogsFromS3.py --loco 4031 --day 1969-12-31</t>
  </si>
  <si>
    <t>start /low /b %USERPROFILE%\Documents\GitHub\eaglep3\Utilities\DownloadLogsFromS3.py --loco 4032 --day 2017-06-17</t>
  </si>
  <si>
    <t>start /low /b %USERPROFILE%\Documents\GitHub\eaglep3\Utilities\DownloadLogsFromS3.py --loco 4045 --day 2017-06-18</t>
  </si>
  <si>
    <t>start /low /b %USERPROFILE%\Documents\GitHub\eaglep3\Utilities\DownloadLogsFromS3.py --loco 4019 --day 2017-06-17</t>
  </si>
  <si>
    <t>start /low /b %USERPROFILE%\Documents\GitHub\eaglep3\Utilities\DownloadLogsFromS3.py --loco 4054 --day 2017-06-18</t>
  </si>
  <si>
    <t>start /low /b %USERPROFILE%\Documents\GitHub\eaglep3\Utilities\DownloadLogsFromS3.py --loco 4024 --day 2017-06-17</t>
  </si>
  <si>
    <t>start /low /b %USERPROFILE%\Documents\GitHub\eaglep3\Utilities\DownloadLogsFromS3.py --loco 4023 --day 2017-06-17</t>
  </si>
  <si>
    <t>start /low /b %USERPROFILE%\Documents\GitHub\eaglep3\Utilities\DownloadLogsFromS3.py --loco 4020 --day 2017-06-17</t>
  </si>
  <si>
    <t>start /low /b %USERPROFILE%\Documents\GitHub\eaglep3\Utilities\DownloadLogsFromS3.py --loco 4013 --day 2017-06-17</t>
  </si>
  <si>
    <t>start /low /b %USERPROFILE%\Documents\GitHub\eaglep3\Utilities\DownloadLogsFromS3.py --loco 4039 --day 2017-06-17</t>
  </si>
  <si>
    <t>start /low /b %USERPROFILE%\Documents\GitHub\eaglep3\Utilities\DownloadLogsFromS3.py --loco 4003 --day 2017-06-17</t>
  </si>
  <si>
    <t>start /low /b %USERPROFILE%\Documents\GitHub\eaglep3\Utilities\DownloadLogsFromS3.py --loco 4032 --day 2017-06-18</t>
  </si>
  <si>
    <t>start /low /b %USERPROFILE%\Documents\GitHub\eaglep3\Utilities\DownloadLogsFromS3.py --loco 4031 --day 2017-06-17</t>
  </si>
  <si>
    <t>start /low /b %USERPROFILE%\Documents\GitHub\eaglep3\Utilities\DownloadLogsFromS3.py --loco 4045 --day 2017-06-17</t>
  </si>
  <si>
    <t>start /low /b %USERPROFILE%\Documents\GitHub\eaglep3\Utilities\DownloadLogsFromS3.py --loco 4023 --day 2017-06-18</t>
  </si>
  <si>
    <t>start /low /b %USERPROFILE%\Documents\GitHub\eaglep3\Utilities\DownloadLogsFromS3.py --loco 4020 --day 2017-06-18</t>
  </si>
  <si>
    <t>start /low /b %USERPROFILE%\Documents\GitHub\eaglep3\Utilities\DownloadLogsFromS3.py --loco 4046 --day 2017-06-18</t>
  </si>
  <si>
    <t>start /low /b %USERPROFILE%\Documents\GitHub\eaglep3\Utilities\DownloadLogsFromS3.py --loco 4050 --day 2017-06-17</t>
  </si>
  <si>
    <t>start /low /b %USERPROFILE%\Documents\GitHub\eaglep3\Utilities\DownloadLogsFromS3.py --loco 4049 --day 2017-06-17</t>
  </si>
  <si>
    <t>start /low /b %USERPROFILE%\Documents\GitHub\eaglep3\Utilities\DownloadLogsFromS3.py --loco 4050 --day 2017-06-18</t>
  </si>
  <si>
    <t>Delayed by onboard in-route failure</t>
  </si>
  <si>
    <t>Selected wrong track</t>
  </si>
  <si>
    <t>Did not perform depart test</t>
  </si>
  <si>
    <t>Overspeed</t>
  </si>
  <si>
    <t>Form C</t>
  </si>
  <si>
    <t>Processor vote-out caused Chambers Form C to not get enforced</t>
  </si>
  <si>
    <t>Re: 48585: Overspeed warnings, no enforcements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</si>
</sst>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0" xfId="0" applyNumberFormat="1" applyFon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COUNTIFS($N$13:$N$9327,"&gt;0",$AG$13:$AG$9327,I1)</f>
        <v>142</v>
      </c>
      <c r="K5" s="39"/>
      <c r="L5" s="39"/>
      <c r="M5" s="40">
        <f>AVERAGEIFS($N$13:$N$9327,$AG$13:$AG$9327,I1)</f>
        <v>38.399061033753085</v>
      </c>
      <c r="N5" s="38">
        <f t="array" ref="N5">MIN(IF($AG$13:$AG$9327=I1,IF(ISNUMBER($N$13:$N$9327),IF($N$13:$N$9327&gt;0,$N$13:$N$9327))))</f>
        <v>34.683333341963589</v>
      </c>
      <c r="O5" s="3">
        <f t="array" ref="O5">MAX(IF($AG$13:$AG$9327=I1,IF(ISNUMBER($N$13:$N$9327),IF($N$13:$N$9327&gt;0,$N$13:$N$9327))))</f>
        <v>46.083333335118368</v>
      </c>
      <c r="P5" s="2"/>
      <c r="R5" s="166" t="s">
        <v>17</v>
      </c>
      <c r="S5" s="186">
        <f>COUNTIFS($N$13:$N$9327,"&gt;0",$AG$13:$AG$9327,R1)</f>
        <v>34</v>
      </c>
      <c r="T5" s="187"/>
      <c r="U5" s="187"/>
      <c r="V5" s="183">
        <f>AVERAGEIFS($N$13:$N$9327,$AG$13:$AG$9327,R1)</f>
        <v>13.982843137277728</v>
      </c>
      <c r="W5" s="184">
        <f t="array" ref="W5">MIN(IF($AG$13:$AG$9327=R1,IF(ISNUMBER($N$13:$N$9327),IF($N$13:$N$9327&gt;0,$N$13:$N$9327))))</f>
        <v>12.466666668187827</v>
      </c>
      <c r="X5" s="185">
        <f t="array" ref="X5">MAX(IF($AG$13:$AG$9327=R1,IF(ISNUMBER($N$13:$N$9327),IF($N$13:$N$9327&gt;0,$N$13:$N$9327))))</f>
        <v>17.999999995809048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COUNTIFS($P$13:$P$9327,"&gt;0",$AG$13:$AG$9327,I1)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COUNTIFS($P$13:$P$9327,"&gt;0",$AG$13:$AG$9327,R1)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38.399061033753085</v>
      </c>
      <c r="N8" s="38">
        <f>N5</f>
        <v>34.683333341963589</v>
      </c>
      <c r="O8" s="3">
        <f>O5</f>
        <v>46.083333335118368</v>
      </c>
      <c r="P8" s="2"/>
      <c r="R8" s="166" t="s">
        <v>16</v>
      </c>
      <c r="S8" s="186">
        <f>S5</f>
        <v>34</v>
      </c>
      <c r="T8" s="187"/>
      <c r="U8" s="187"/>
      <c r="V8" s="183">
        <f>V5</f>
        <v>13.982843137277728</v>
      </c>
      <c r="W8" s="184">
        <f>W5</f>
        <v>12.466666668187827</v>
      </c>
      <c r="X8" s="185">
        <f>X5</f>
        <v>17.999999995809048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7" t="str">
        <f>"Eagle P3 System Performance - "&amp;TEXT(Variables!A2,"yyyy-mm-dd")</f>
        <v>Eagle P3 System Performance - 2017-06-17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642</v>
      </c>
      <c r="B13" s="7">
        <v>4032</v>
      </c>
      <c r="C13" s="21" t="s">
        <v>202</v>
      </c>
      <c r="D13" s="21" t="s">
        <v>837</v>
      </c>
      <c r="E13" s="13">
        <v>42903.132048611114</v>
      </c>
      <c r="F13" s="13">
        <v>42903.135601851849</v>
      </c>
      <c r="G13" s="7">
        <v>1</v>
      </c>
      <c r="H13" s="21" t="s">
        <v>838</v>
      </c>
      <c r="I13" s="13">
        <v>42903.160694444443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MAELZER KURT</v>
      </c>
      <c r="M13" s="6">
        <f t="shared" ref="M13:M76" si="1">I13-F13</f>
        <v>2.5092592593864538E-2</v>
      </c>
      <c r="N13" s="7">
        <f t="shared" ref="N13:N44" si="2">24*60*SUM($M13:$M13)</f>
        <v>36.133333335164934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-17T02:10:09-0600',mode:absolute,to:'2017-06-17T04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 t="shared" ref="X13:X27" si="6">VALUE(LEFT(AD13,4))-VALUE(LEFT(AD12,4))</f>
        <v>#VALUE!</v>
      </c>
      <c r="Y13" s="197">
        <f t="shared" ref="Y13:Y76" si="7">RIGHT(D13,LEN(D13)-4)/10000</f>
        <v>7.46E-2</v>
      </c>
      <c r="Z13" s="197">
        <f t="shared" ref="Z13:Z76" si="8">RIGHT(H13,LEN(H13)-4)/10000</f>
        <v>23.334599999999998</v>
      </c>
      <c r="AA13" s="197">
        <f t="shared" ref="AA13:AA76" si="9">ABS(Z13-Y13)</f>
        <v>23.259999999999998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/stypes="app*4032*20170617*"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4032 --swversion DE.1.0.9.0 --startMP 204:746 --initTime 2017-06-17T03:10:09 --startdatetime 2017-06-17T03:15:16 --delay 1 --endMP 204:233346 --enddatetime 2017-06-17T03:51:24 --enforcementcount 0 &gt;&gt;C:\Users\stu\Documents\GitHub\eaglep3-reporting\EC\2017-06-17-refined-times.txt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{"issue":{"subject":"","project_id":79,"tracker_id":40,"status_id":1,"priority_id":2,"assigned_to_id":23,"start_date":"2017-06-17","description":"","custom_fields":[{"id":1,"name":"Subdivision","value":"EC"},{"id":4,"name":"Milepost","value":"23.3346"},{"id":17,"name":"Train ID","value":"101-17"},{"id":16,"name":"Locomotive ID","value":"4032"},{"id":130,"name":"Impact","value":""},{"id":150,"name":"Time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2017-06-17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651</v>
      </c>
      <c r="B14" s="7">
        <v>4031</v>
      </c>
      <c r="C14" s="21" t="s">
        <v>202</v>
      </c>
      <c r="D14" s="21" t="s">
        <v>839</v>
      </c>
      <c r="E14" s="13">
        <v>42903.167685185188</v>
      </c>
      <c r="F14" s="13">
        <v>42903.175173611111</v>
      </c>
      <c r="G14" s="7">
        <v>1</v>
      </c>
      <c r="H14" s="21" t="s">
        <v>351</v>
      </c>
      <c r="I14" s="13">
        <v>42903.202141203707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MAELZER KURT</v>
      </c>
      <c r="M14" s="6">
        <f t="shared" si="1"/>
        <v>2.6967592595610768E-2</v>
      </c>
      <c r="N14" s="7">
        <f t="shared" si="2"/>
        <v>38.833333337679505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-17T03:01:28-0600',mode:absolute,to:'2017-06-17T05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23.303000000000001</v>
      </c>
      <c r="Z14" s="197">
        <f t="shared" si="8"/>
        <v>1.43E-2</v>
      </c>
      <c r="AA14" s="197">
        <f t="shared" si="9"/>
        <v>23.288700000000002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4" s="74" t="str">
        <f t="shared" si="12"/>
        <v>"C:\Program Files (x86)\AstroGrep\AstroGrep.exe" /e /r /s /spath="%USERPROFILE%\AppData\Local\Temp\OnboardLogs" /stypes="app*4031*20170617*"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4031 --swversion DE.1.0.9.0 --startMP 204:233030 --initTime 2017-06-17T04:01:28 --startdatetime 2017-06-17T04:12:15 --delay 1 --endMP 204:143 --enddatetime 2017-06-17T04:51:05 --enforcementcount 0 &gt;&gt;C:\Users\stu\Documents\GitHub\eaglep3-reporting\EC\2017-06-17-refined-times.txt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{"issue":{"subject":"","project_id":79,"tracker_id":40,"status_id":1,"priority_id":2,"assigned_to_id":23,"start_date":"2017-06-17","description":"","custom_fields":[{"id":1,"name":"Subdivision","value":"EC"},{"id":4,"name":"Milepost","value":"0.0143"},{"id":17,"name":"Train ID","value":"102-17"},{"id":16,"name":"Locomotive ID","value":"4031"},{"id":130,"name":"Impact","value":""},{"id":150,"name":"Time of Event (Mountain Time)","value":"04:51:05"},{"id":151,"name":"Denver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4031 --day 2017-06-17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648</v>
      </c>
      <c r="B15" s="7">
        <v>4040</v>
      </c>
      <c r="C15" s="21" t="s">
        <v>202</v>
      </c>
      <c r="D15" s="21" t="s">
        <v>840</v>
      </c>
      <c r="E15" s="13">
        <v>42903.15048611111</v>
      </c>
      <c r="F15" s="13">
        <v>42903.1565162037</v>
      </c>
      <c r="G15" s="7">
        <v>3</v>
      </c>
      <c r="H15" s="21" t="s">
        <v>841</v>
      </c>
      <c r="I15" s="13">
        <v>42903.182696759257</v>
      </c>
      <c r="J15" s="7">
        <v>0</v>
      </c>
      <c r="K15" s="89" t="str">
        <f t="shared" si="0"/>
        <v>4039/4040</v>
      </c>
      <c r="L15" s="21" t="str">
        <f>VLOOKUP(A15,'Trips&amp;Operators'!$C$1:$G$99999,5,FALSE)</f>
        <v>WILLIAMS DONTE</v>
      </c>
      <c r="M15" s="6">
        <f t="shared" si="1"/>
        <v>2.6180555556493346E-2</v>
      </c>
      <c r="N15" s="7">
        <f t="shared" si="2"/>
        <v>37.700000001350418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-17T02:36:42-0600',mode:absolute,to:'2017-06-17T05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4.7699999999999999E-2</v>
      </c>
      <c r="Z15" s="197">
        <f t="shared" si="8"/>
        <v>23.334499999999998</v>
      </c>
      <c r="AA15" s="197">
        <f t="shared" si="9"/>
        <v>23.286799999999999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5" s="74" t="str">
        <f t="shared" si="12"/>
        <v>"C:\Program Files (x86)\AstroGrep\AstroGrep.exe" /e /r /s /spath="%USERPROFILE%\AppData\Local\Temp\OnboardLogs" /stypes="app*4040*20170617*"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103-17 --locoid 4040 --swversion DE.1.0.9.0 --startMP 204:477 --initTime 2017-06-17T03:36:42 --startdatetime 2017-06-17T03:45:23 --delay 3 --endMP 204:233345 --enddatetime 2017-06-17T04:23:05 --enforcementcount 0 &gt;&gt;C:\Users\stu\Documents\GitHub\eaglep3-reporting\EC\2017-06-17-refined-times.txt</v>
      </c>
      <c r="AI1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{"issue":{"subject":"","project_id":79,"tracker_id":40,"status_id":1,"priority_id":2,"assigned_to_id":23,"start_date":"2017-06-17","description":"","custom_fields":[{"id":1,"name":"Subdivision","value":"EC"},{"id":4,"name":"Milepost","value":"23.3345"},{"id":17,"name":"Train ID","value":"103-17"},{"id":16,"name":"Locomotive ID","value":"4040"},{"id":130,"name":"Impact","value":""},{"id":150,"name":"Time of Event (Mountain Time)","value":"04:23:05"},{"id":151,"name":"Denver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4040 --day 2017-06-17</v>
      </c>
      <c r="AN1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657</v>
      </c>
      <c r="B16" s="7">
        <v>4039</v>
      </c>
      <c r="C16" s="21" t="s">
        <v>202</v>
      </c>
      <c r="D16" s="21" t="s">
        <v>842</v>
      </c>
      <c r="E16" s="13">
        <v>42903.186203703706</v>
      </c>
      <c r="F16" s="13">
        <v>42903.196203703701</v>
      </c>
      <c r="G16" s="7">
        <v>1</v>
      </c>
      <c r="H16" s="21" t="s">
        <v>193</v>
      </c>
      <c r="I16" s="13">
        <v>42903.224490740744</v>
      </c>
      <c r="J16" s="7">
        <v>0</v>
      </c>
      <c r="K16" s="89" t="str">
        <f t="shared" si="0"/>
        <v>4039/4040</v>
      </c>
      <c r="L16" s="21" t="str">
        <f>VLOOKUP(A16,'Trips&amp;Operators'!$C$1:$G$99999,5,FALSE)</f>
        <v>WILLIAMS DONTE</v>
      </c>
      <c r="M16" s="6">
        <f t="shared" si="1"/>
        <v>2.828703704290092E-2</v>
      </c>
      <c r="N16" s="7">
        <f t="shared" si="2"/>
        <v>40.733333341777325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-17T03:28:08-0600',mode:absolute,to:'2017-06-17T06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23.297699999999999</v>
      </c>
      <c r="Z16" s="197">
        <f t="shared" si="8"/>
        <v>1.52E-2</v>
      </c>
      <c r="AA16" s="197">
        <f t="shared" si="9"/>
        <v>23.282499999999999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6" s="74" t="str">
        <f t="shared" si="12"/>
        <v>"C:\Program Files (x86)\AstroGrep\AstroGrep.exe" /e /r /s /spath="%USERPROFILE%\AppData\Local\Temp\OnboardLogs" /stypes="app*4039*20170617*"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104-17 --locoid 4039 --swversion DE.1.0.9.0 --startMP 204:232977 --initTime 2017-06-17T04:28:08 --startdatetime 2017-06-17T04:42:32 --delay 1 --endMP 204:152 --enddatetime 2017-06-17T05:23:16 --enforcementcount 0 &gt;&gt;C:\Users\stu\Documents\GitHub\eaglep3-reporting\EC\2017-06-17-refined-times.txt</v>
      </c>
      <c r="AI1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ID","value":"104-17"},{"id":16,"name":"Locomotive ID","value":"4039"},{"id":130,"name":"Impact","value":""},{"id":150,"name":"Time of Event (Mountain Time)","value":"05:23:16"},{"id":151,"name":"Denver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4039 --day 2017-06-17</v>
      </c>
      <c r="AN1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652</v>
      </c>
      <c r="B17" s="7">
        <v>4046</v>
      </c>
      <c r="C17" s="21" t="s">
        <v>202</v>
      </c>
      <c r="D17" s="21" t="s">
        <v>499</v>
      </c>
      <c r="E17" s="13">
        <v>42903.171006944445</v>
      </c>
      <c r="F17" s="13">
        <v>42903.177245370367</v>
      </c>
      <c r="G17" s="7">
        <v>1</v>
      </c>
      <c r="H17" s="21" t="s">
        <v>843</v>
      </c>
      <c r="I17" s="13">
        <v>42903.203159722223</v>
      </c>
      <c r="J17" s="7">
        <v>0</v>
      </c>
      <c r="K17" s="89" t="str">
        <f t="shared" si="0"/>
        <v>4045/4046</v>
      </c>
      <c r="L17" s="21" t="str">
        <f>VLOOKUP(A17,'Trips&amp;Operators'!$C$1:$G$99999,5,FALSE)</f>
        <v>DAVIS WENDY</v>
      </c>
      <c r="M17" s="6">
        <f t="shared" si="1"/>
        <v>2.5914351856044959E-2</v>
      </c>
      <c r="N17" s="7">
        <f t="shared" si="2"/>
        <v>37.316666672704741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-17T03:06:15-0600',mode:absolute,to:'2017-06-17T05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4.3299999999999998E-2</v>
      </c>
      <c r="Z17" s="197">
        <f t="shared" si="8"/>
        <v>23.333100000000002</v>
      </c>
      <c r="AA17" s="197">
        <f t="shared" si="9"/>
        <v>23.289800000000003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7" s="74" t="str">
        <f t="shared" si="12"/>
        <v>"C:\Program Files (x86)\AstroGrep\AstroGrep.exe" /e /r /s /spath="%USERPROFILE%\AppData\Local\Temp\OnboardLogs" /stypes="app*4046*20170617*"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105-17 --locoid 4046 --swversion DE.1.0.9.0 --startMP 204:433 --initTime 2017-06-17T04:06:15 --startdatetime 2017-06-17T04:15:14 --delay 1 --endMP 204:233331 --enddatetime 2017-06-17T04:52:33 --enforcementcount 0 &gt;&gt;C:\Users\stu\Documents\GitHub\eaglep3-reporting\EC\2017-06-17-refined-times.txt</v>
      </c>
      <c r="AI1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{"issue":{"subject":"","project_id":79,"tracker_id":40,"status_id":1,"priority_id":2,"assigned_to_id":23,"start_date":"2017-06-17","description":"","custom_fields":[{"id":1,"name":"Subdivision","value":"EC"},{"id":4,"name":"Milepost","value":"23.3331"},{"id":17,"name":"Train ID","value":"105-17"},{"id":16,"name":"Locomotive ID","value":"4046"},{"id":130,"name":"Impact","value":""},{"id":150,"name":"Time of Event (Mountain Time)","value":"04:52:33"},{"id":151,"name":"Denver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4046 --day 2017-06-17</v>
      </c>
      <c r="AN1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665</v>
      </c>
      <c r="B18" s="7">
        <v>4045</v>
      </c>
      <c r="C18" s="21" t="s">
        <v>202</v>
      </c>
      <c r="D18" s="21" t="s">
        <v>844</v>
      </c>
      <c r="E18" s="13">
        <v>42903.214039351849</v>
      </c>
      <c r="F18" s="13">
        <v>42903.216874999998</v>
      </c>
      <c r="G18" s="7">
        <v>1</v>
      </c>
      <c r="H18" s="21" t="s">
        <v>349</v>
      </c>
      <c r="I18" s="13">
        <v>42903.243750000001</v>
      </c>
      <c r="J18" s="7">
        <v>0</v>
      </c>
      <c r="K18" s="89" t="str">
        <f t="shared" si="0"/>
        <v>4045/4046</v>
      </c>
      <c r="L18" s="21" t="str">
        <f>VLOOKUP(A18,'Trips&amp;Operators'!$C$1:$G$99999,5,FALSE)</f>
        <v>DAVIS WENDY</v>
      </c>
      <c r="M18" s="6">
        <f t="shared" si="1"/>
        <v>2.6875000003201421E-2</v>
      </c>
      <c r="N18" s="7">
        <f t="shared" si="2"/>
        <v>38.700000004610047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-17T04:08:13-0600',mode:absolute,to:'2017-06-17T06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23.301100000000002</v>
      </c>
      <c r="Z18" s="197">
        <f t="shared" si="8"/>
        <v>1.4999999999999999E-2</v>
      </c>
      <c r="AA18" s="197">
        <f t="shared" si="9"/>
        <v>23.286100000000001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8" s="74" t="str">
        <f t="shared" si="12"/>
        <v>"C:\Program Files (x86)\AstroGrep\AstroGrep.exe" /e /r /s /spath="%USERPROFILE%\AppData\Local\Temp\OnboardLogs" /stypes="app*4045*20170617*"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106-17 --locoid 4045 --swversion DE.1.0.9.0 --startMP 204:233011 --initTime 2017-06-17T05:08:13 --startdatetime 2017-06-17T05:12:18 --delay 1 --endMP 204:150 --enddatetime 2017-06-17T05:51:00 --enforcementcount 0 &gt;&gt;C:\Users\stu\Documents\GitHub\eaglep3-reporting\EC\2017-06-17-refined-times.txt</v>
      </c>
      <c r="AI1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ID","value":"106-17"},{"id":16,"name":"Locomotive ID","value":"4045"},{"id":130,"name":"Impact","value":""},{"id":150,"name":"Time of Event (Mountain Time)","value":"05:51:00"},{"id":151,"name":"Denver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4045 --day 2017-06-17</v>
      </c>
      <c r="AN1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656</v>
      </c>
      <c r="B19" s="7">
        <v>4024</v>
      </c>
      <c r="C19" s="21" t="s">
        <v>202</v>
      </c>
      <c r="D19" s="21" t="s">
        <v>440</v>
      </c>
      <c r="E19" s="13">
        <v>42903.182372685187</v>
      </c>
      <c r="F19" s="13">
        <v>42903.187673611108</v>
      </c>
      <c r="G19" s="7">
        <v>2</v>
      </c>
      <c r="H19" s="21" t="s">
        <v>845</v>
      </c>
      <c r="I19" s="13">
        <v>42903.212418981479</v>
      </c>
      <c r="J19" s="7">
        <v>0</v>
      </c>
      <c r="K19" s="89" t="str">
        <f t="shared" si="0"/>
        <v>4023/4024</v>
      </c>
      <c r="L19" s="21" t="str">
        <f>VLOOKUP(A19,'Trips&amp;Operators'!$C$1:$G$99999,5,FALSE)</f>
        <v>GEBRETEKLE DAGNEW</v>
      </c>
      <c r="M19" s="6">
        <f t="shared" si="1"/>
        <v>2.47453703705105E-2</v>
      </c>
      <c r="N19" s="7">
        <f t="shared" si="2"/>
        <v>35.63333333353512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-17T03:22:37-0600',mode:absolute,to:'2017-06-17T06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23.3355</v>
      </c>
      <c r="AA19" s="197">
        <f t="shared" si="9"/>
        <v>23.288799999999998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9" s="74" t="str">
        <f t="shared" si="12"/>
        <v>"C:\Program Files (x86)\AstroGrep\AstroGrep.exe" /e /r /s /spath="%USERPROFILE%\AppData\Local\Temp\OnboardLogs" /stypes="app*4024*20170617*"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107-17 --locoid 4024 --swversion DE.1.0.9.0 --startMP 204:467 --initTime 2017-06-17T04:22:37 --startdatetime 2017-06-17T04:30:15 --delay 2 --endMP 204:233355 --enddatetime 2017-06-17T05:05:53 --enforcementcount 0 &gt;&gt;C:\Users\stu\Documents\GitHub\eaglep3-reporting\EC\2017-06-17-refined-times.txt</v>
      </c>
      <c r="AI1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{"issue":{"subject":"","project_id":79,"tracker_id":40,"status_id":1,"priority_id":2,"assigned_to_id":23,"start_date":"2017-06-17","description":"","custom_fields":[{"id":1,"name":"Subdivision","value":"EC"},{"id":4,"name":"Milepost","value":"23.3355"},{"id":17,"name":"Train ID","value":"107-17"},{"id":16,"name":"Locomotive ID","value":"4024"},{"id":130,"name":"Impact","value":""},{"id":150,"name":"Time of Event (Mountain Time)","value":"05:05:53"},{"id":151,"name":"Denver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4024 --day 2017-06-17</v>
      </c>
      <c r="AN1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664</v>
      </c>
      <c r="B20" s="7">
        <v>4023</v>
      </c>
      <c r="C20" s="21" t="s">
        <v>202</v>
      </c>
      <c r="D20" s="21" t="s">
        <v>459</v>
      </c>
      <c r="E20" s="13">
        <v>42903.213564814818</v>
      </c>
      <c r="F20" s="13">
        <v>42903.22729166667</v>
      </c>
      <c r="G20" s="7">
        <v>1</v>
      </c>
      <c r="H20" s="21" t="s">
        <v>360</v>
      </c>
      <c r="I20" s="13">
        <v>42903.253287037034</v>
      </c>
      <c r="J20" s="7">
        <v>0</v>
      </c>
      <c r="K20" s="89" t="str">
        <f t="shared" si="0"/>
        <v>4023/4024</v>
      </c>
      <c r="L20" s="21" t="str">
        <f>VLOOKUP(A20,'Trips&amp;Operators'!$C$1:$G$99999,5,FALSE)</f>
        <v>GEBRETEKLE DAGNEW</v>
      </c>
      <c r="M20" s="6">
        <f t="shared" si="1"/>
        <v>2.5995370364398696E-2</v>
      </c>
      <c r="N20" s="7">
        <f t="shared" si="2"/>
        <v>37.433333324734122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-17T04:07:32-0600',mode:absolute,to:'2017-06-17T07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23.3019</v>
      </c>
      <c r="Z20" s="197">
        <f t="shared" si="8"/>
        <v>1.47E-2</v>
      </c>
      <c r="AA20" s="197">
        <f t="shared" si="9"/>
        <v>23.287199999999999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20" s="74" t="str">
        <f t="shared" si="12"/>
        <v>"C:\Program Files (x86)\AstroGrep\AstroGrep.exe" /e /r /s /spath="%USERPROFILE%\AppData\Local\Temp\OnboardLogs" /stypes="app*4023*20170617*"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108-17 --locoid 4023 --swversion DE.1.0.9.0 --startMP 204:233019 --initTime 2017-06-17T05:07:32 --startdatetime 2017-06-17T05:27:18 --delay 1 --endMP 204:147 --enddatetime 2017-06-17T06:04:44 --enforcementcount 0 &gt;&gt;C:\Users\stu\Documents\GitHub\eaglep3-reporting\EC\2017-06-17-refined-times.txt</v>
      </c>
      <c r="AI2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ID","value":"108-17"},{"id":16,"name":"Locomotive ID","value":"4023"},{"id":130,"name":"Impact","value":""},{"id":150,"name":"Time of Event (Mountain Time)","value":"06:04:44"},{"id":151,"name":"Denver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4023 --day 2017-06-17</v>
      </c>
      <c r="AN2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658</v>
      </c>
      <c r="B21" s="7">
        <v>4004</v>
      </c>
      <c r="C21" s="21" t="s">
        <v>202</v>
      </c>
      <c r="D21" s="21" t="s">
        <v>198</v>
      </c>
      <c r="E21" s="13">
        <v>42903.195729166669</v>
      </c>
      <c r="F21" s="13">
        <v>42903.19809027778</v>
      </c>
      <c r="G21" s="7">
        <v>1</v>
      </c>
      <c r="H21" s="21" t="s">
        <v>846</v>
      </c>
      <c r="I21" s="13">
        <v>42903.223078703704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LALONDE GREGORY</v>
      </c>
      <c r="M21" s="6">
        <f t="shared" si="1"/>
        <v>2.4988425924675539E-2</v>
      </c>
      <c r="N21" s="7">
        <f t="shared" si="2"/>
        <v>35.983333331532776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-17T03:41:51-0600',mode:absolute,to:'2017-06-17T06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4.5699999999999998E-2</v>
      </c>
      <c r="Z21" s="197">
        <f t="shared" si="8"/>
        <v>23.334199999999999</v>
      </c>
      <c r="AA21" s="197">
        <f t="shared" si="9"/>
        <v>23.288499999999999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21" s="74" t="str">
        <f t="shared" si="12"/>
        <v>"C:\Program Files (x86)\AstroGrep\AstroGrep.exe" /e /r /s /spath="%USERPROFILE%\AppData\Local\Temp\OnboardLogs" /stypes="app*4004*20170617*"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109-17 --locoid 4004 --swversion DE.1.0.9.0 --startMP 204:457 --initTime 2017-06-17T04:41:51 --startdatetime 2017-06-17T04:45:15 --delay 1 --endMP 204:233342 --enddatetime 2017-06-17T05:21:14 --enforcementcount 0 &gt;&gt;C:\Users\stu\Documents\GitHub\eaglep3-reporting\EC\2017-06-17-refined-times.txt</v>
      </c>
      <c r="AI2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{"issue":{"subject":"","project_id":79,"tracker_id":40,"status_id":1,"priority_id":2,"assigned_to_id":23,"start_date":"2017-06-17","description":"","custom_fields":[{"id":1,"name":"Subdivision","value":"EC"},{"id":4,"name":"Milepost","value":"23.3342"},{"id":17,"name":"Train ID","value":"109-17"},{"id":16,"name":"Locomotive ID","value":"4004"},{"id":130,"name":"Impact","value":""},{"id":150,"name":"Time of Event (Mountain Time)","value":"05:21:14"},{"id":151,"name":"Denver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4004 --day 2017-06-17</v>
      </c>
      <c r="AN2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668</v>
      </c>
      <c r="B22" s="7">
        <v>4003</v>
      </c>
      <c r="C22" s="21" t="s">
        <v>202</v>
      </c>
      <c r="D22" s="21" t="s">
        <v>459</v>
      </c>
      <c r="E22" s="13">
        <v>42903.225057870368</v>
      </c>
      <c r="F22" s="13">
        <v>42903.237673611111</v>
      </c>
      <c r="G22" s="7">
        <v>1</v>
      </c>
      <c r="H22" s="21" t="s">
        <v>396</v>
      </c>
      <c r="I22" s="13">
        <v>42903.263159722221</v>
      </c>
      <c r="J22" s="7">
        <v>0</v>
      </c>
      <c r="K22" s="89" t="str">
        <f t="shared" si="0"/>
        <v>4003/4004</v>
      </c>
      <c r="L22" s="21" t="str">
        <f>VLOOKUP(A22,'Trips&amp;Operators'!$C$1:$G$99999,5,FALSE)</f>
        <v>LALONDE GREGORY</v>
      </c>
      <c r="M22" s="6">
        <f t="shared" si="1"/>
        <v>2.548611110978527E-2</v>
      </c>
      <c r="N22" s="7">
        <f t="shared" si="2"/>
        <v>36.699999998090789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-17T04:24:05-0600',mode:absolute,to:'2017-06-17T07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23.3019</v>
      </c>
      <c r="Z22" s="197">
        <f t="shared" si="8"/>
        <v>1.54E-2</v>
      </c>
      <c r="AA22" s="197">
        <f t="shared" si="9"/>
        <v>23.2865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22" s="74" t="str">
        <f t="shared" si="12"/>
        <v>"C:\Program Files (x86)\AstroGrep\AstroGrep.exe" /e /r /s /spath="%USERPROFILE%\AppData\Local\Temp\OnboardLogs" /stypes="app*4003*20170617*"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110-17 --locoid 4003 --swversion DE.1.0.9.0 --startMP 204:233019 --initTime 2017-06-17T05:24:05 --startdatetime 2017-06-17T05:42:15 --delay 1 --endMP 204:154 --enddatetime 2017-06-17T06:18:57 --enforcementcount 0 &gt;&gt;C:\Users\stu\Documents\GitHub\eaglep3-reporting\EC\2017-06-17-refined-times.txt</v>
      </c>
      <c r="AI22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{"issue":{"subject":"","project_id":79,"tracker_id":40,"status_id":1,"priority_id":2,"assigned_to_id":23,"start_date":"2017-06-17","description":"","custom_fields":[{"id":1,"name":"Subdivision","value":"EC"},{"id":4,"name":"Milepost","value":"0.0154"},{"id":17,"name":"Train ID","value":"110-17"},{"id":16,"name":"Locomotive ID","value":"4003"},{"id":130,"name":"Impact","value":""},{"id":150,"name":"Time of Event (Mountain Time)","value":"06:18:57"},{"id":151,"name":"Denver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4003 --day 2017-06-17</v>
      </c>
      <c r="AN22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662</v>
      </c>
      <c r="B23" s="7">
        <v>4032</v>
      </c>
      <c r="C23" s="21" t="s">
        <v>202</v>
      </c>
      <c r="D23" s="21" t="s">
        <v>347</v>
      </c>
      <c r="E23" s="13">
        <v>42903.204282407409</v>
      </c>
      <c r="F23" s="13">
        <v>42903.208506944444</v>
      </c>
      <c r="G23" s="7">
        <v>1</v>
      </c>
      <c r="H23" s="21" t="s">
        <v>495</v>
      </c>
      <c r="I23" s="13">
        <v>42903.233715277776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MAELZER KURT</v>
      </c>
      <c r="M23" s="6">
        <f t="shared" si="1"/>
        <v>2.5208333332557231E-2</v>
      </c>
      <c r="N23" s="7">
        <f t="shared" si="2"/>
        <v>36.299999998882413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-17T03:54:10-0600',mode:absolute,to:'2017-06-17T06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4.4600000000000001E-2</v>
      </c>
      <c r="Z23" s="197">
        <f t="shared" si="8"/>
        <v>23.331399999999999</v>
      </c>
      <c r="AA23" s="197">
        <f t="shared" si="9"/>
        <v>23.286799999999999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23" s="74" t="str">
        <f t="shared" si="12"/>
        <v>"C:\Program Files (x86)\AstroGrep\AstroGrep.exe" /e /r /s /spath="%USERPROFILE%\AppData\Local\Temp\OnboardLogs" /stypes="app*4032*20170617*"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111-17 --locoid 4032 --swversion DE.1.0.9.0 --startMP 204:446 --initTime 2017-06-17T04:54:10 --startdatetime 2017-06-17T05:00:15 --delay 1 --endMP 204:233314 --enddatetime 2017-06-17T05:36:33 --enforcementcount 0 &gt;&gt;C:\Users\stu\Documents\GitHub\eaglep3-reporting\EC\2017-06-17-refined-times.txt</v>
      </c>
      <c r="AI23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{"issue":{"subject":"","project_id":79,"tracker_id":40,"status_id":1,"priority_id":2,"assigned_to_id":23,"start_date":"2017-06-17","description":"","custom_fields":[{"id":1,"name":"Subdivision","value":"EC"},{"id":4,"name":"Milepost","value":"23.3314"},{"id":17,"name":"Train ID","value":"111-17"},{"id":16,"name":"Locomotive ID","value":"4032"},{"id":130,"name":"Impact","value":""},{"id":150,"name":"Time of Event (Mountain Time)","value":"05:36:33"},{"id":151,"name":"Denver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4032 --day 2017-06-17</v>
      </c>
      <c r="AN23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671</v>
      </c>
      <c r="B24" s="7">
        <v>4031</v>
      </c>
      <c r="C24" s="21" t="s">
        <v>202</v>
      </c>
      <c r="D24" s="21" t="s">
        <v>847</v>
      </c>
      <c r="E24" s="13">
        <v>42903.242685185185</v>
      </c>
      <c r="F24" s="13">
        <v>42903.248067129629</v>
      </c>
      <c r="G24" s="7">
        <v>1</v>
      </c>
      <c r="H24" s="21" t="s">
        <v>420</v>
      </c>
      <c r="I24" s="13">
        <v>42903.274525462963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MAELZER KURT</v>
      </c>
      <c r="M24" s="6">
        <f t="shared" si="1"/>
        <v>2.6458333333721384E-2</v>
      </c>
      <c r="N24" s="7">
        <f t="shared" si="2"/>
        <v>38.100000000558794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-17T04:49:28-0600',mode:absolute,to:'2017-06-17T07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23.3032</v>
      </c>
      <c r="Z24" s="197">
        <f t="shared" si="8"/>
        <v>1.4500000000000001E-2</v>
      </c>
      <c r="AA24" s="197">
        <f t="shared" si="9"/>
        <v>23.288699999999999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24" s="74" t="str">
        <f t="shared" si="12"/>
        <v>"C:\Program Files (x86)\AstroGrep\AstroGrep.exe" /e /r /s /spath="%USERPROFILE%\AppData\Local\Temp\OnboardLogs" /stypes="app*4031*20170617*"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112-17 --locoid 4031 --swversion DE.1.0.9.0 --startMP 204:233032 --initTime 2017-06-17T05:49:28 --startdatetime 2017-06-17T05:57:13 --delay 1 --endMP 204:145 --enddatetime 2017-06-17T06:35:19 --enforcementcount 0 &gt;&gt;C:\Users\stu\Documents\GitHub\eaglep3-reporting\EC\2017-06-17-refined-times.txt</v>
      </c>
      <c r="AI2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{"issue":{"subject":"","project_id":79,"tracker_id":40,"status_id":1,"priority_id":2,"assigned_to_id":23,"start_date":"2017-06-17","description":"","custom_fields":[{"id":1,"name":"Subdivision","value":"EC"},{"id":4,"name":"Milepost","value":"0.0145"},{"id":17,"name":"Train ID","value":"112-17"},{"id":16,"name":"Locomotive ID","value":"4031"},{"id":130,"name":"Impact","value":""},{"id":150,"name":"Time of Event (Mountain Time)","value":"06:35:19"},{"id":151,"name":"Denver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4031 --day 2017-06-17</v>
      </c>
      <c r="AN2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663</v>
      </c>
      <c r="B25" s="7">
        <v>4020</v>
      </c>
      <c r="C25" s="21" t="s">
        <v>202</v>
      </c>
      <c r="D25" s="21" t="s">
        <v>348</v>
      </c>
      <c r="E25" s="13">
        <v>42903.20884259259</v>
      </c>
      <c r="F25" s="13">
        <v>42903.218969907408</v>
      </c>
      <c r="G25" s="7">
        <v>1</v>
      </c>
      <c r="H25" s="21" t="s">
        <v>437</v>
      </c>
      <c r="I25" s="13">
        <v>42903.24486111111</v>
      </c>
      <c r="J25" s="7">
        <v>0</v>
      </c>
      <c r="K25" s="89" t="str">
        <f t="shared" si="0"/>
        <v>4019/4020</v>
      </c>
      <c r="L25" s="21" t="str">
        <f>VLOOKUP(A25,'Trips&amp;Operators'!$C$1:$G$99999,5,FALSE)</f>
        <v>DAVIDSON DAVID</v>
      </c>
      <c r="M25" s="6">
        <f t="shared" si="1"/>
        <v>2.5891203702485655E-2</v>
      </c>
      <c r="N25" s="7">
        <f t="shared" si="2"/>
        <v>37.283333331579342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-17T04:00:44-0600',mode:absolute,to:'2017-06-17T06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4.58E-2</v>
      </c>
      <c r="Z25" s="197">
        <f t="shared" si="8"/>
        <v>23.329699999999999</v>
      </c>
      <c r="AA25" s="197">
        <f t="shared" si="9"/>
        <v>23.283899999999999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25" s="74" t="str">
        <f t="shared" si="12"/>
        <v>"C:\Program Files (x86)\AstroGrep\AstroGrep.exe" /e /r /s /spath="%USERPROFILE%\AppData\Local\Temp\OnboardLogs" /stypes="app*4020*20170617*"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113-17 --locoid 4020 --swversion DE.1.0.9.0 --startMP 204:458 --initTime 2017-06-17T05:00:44 --startdatetime 2017-06-17T05:15:19 --delay 1 --endMP 204:233297 --enddatetime 2017-06-17T05:52:36 --enforcementcount 0 &gt;&gt;C:\Users\stu\Documents\GitHub\eaglep3-reporting\EC\2017-06-17-refined-times.txt</v>
      </c>
      <c r="AI2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{"issue":{"subject":"","project_id":79,"tracker_id":40,"status_id":1,"priority_id":2,"assigned_to_id":23,"start_date":"2017-06-17","description":"","custom_fields":[{"id":1,"name":"Subdivision","value":"EC"},{"id":4,"name":"Milepost","value":"23.3297"},{"id":17,"name":"Train ID","value":"113-17"},{"id":16,"name":"Locomotive ID","value":"4020"},{"id":130,"name":"Impact","value":""},{"id":150,"name":"Time of Event (Mountain Time)","value":"05:52:36"},{"id":151,"name":"Denver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4020 --day 2017-06-17</v>
      </c>
      <c r="AN2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673</v>
      </c>
      <c r="B26" s="7">
        <v>4019</v>
      </c>
      <c r="C26" s="21" t="s">
        <v>202</v>
      </c>
      <c r="D26" s="21" t="s">
        <v>452</v>
      </c>
      <c r="E26" s="13">
        <v>42903.247650462959</v>
      </c>
      <c r="F26" s="13">
        <v>42903.25854166667</v>
      </c>
      <c r="G26" s="7">
        <v>1</v>
      </c>
      <c r="H26" s="21" t="s">
        <v>351</v>
      </c>
      <c r="I26" s="13">
        <v>42903.285405092596</v>
      </c>
      <c r="J26" s="7">
        <v>0</v>
      </c>
      <c r="K26" s="89" t="str">
        <f t="shared" si="0"/>
        <v>4019/4020</v>
      </c>
      <c r="L26" s="21" t="str">
        <f>VLOOKUP(A26,'Trips&amp;Operators'!$C$1:$G$99999,5,FALSE)</f>
        <v>DAVIDSON DAVID</v>
      </c>
      <c r="M26" s="6">
        <f t="shared" si="1"/>
        <v>2.6863425926421769E-2</v>
      </c>
      <c r="N26" s="7">
        <f t="shared" si="2"/>
        <v>38.683333334047347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-17T04:56:37-0600',mode:absolute,to:'2017-06-17T07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23.299600000000002</v>
      </c>
      <c r="Z26" s="197">
        <f t="shared" si="8"/>
        <v>1.43E-2</v>
      </c>
      <c r="AA26" s="197">
        <f t="shared" si="9"/>
        <v>23.285300000000003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26" s="74" t="str">
        <f t="shared" si="12"/>
        <v>"C:\Program Files (x86)\AstroGrep\AstroGrep.exe" /e /r /s /spath="%USERPROFILE%\AppData\Local\Temp\OnboardLogs" /stypes="app*4019*20170617*"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114-17 --locoid 4019 --swversion DE.1.0.9.0 --startMP 204:232996 --initTime 2017-06-17T05:56:37 --startdatetime 2017-06-17T06:12:18 --delay 1 --endMP 204:143 --enddatetime 2017-06-17T06:50:59 --enforcementcount 0 &gt;&gt;C:\Users\stu\Documents\GitHub\eaglep3-reporting\EC\2017-06-17-refined-times.txt</v>
      </c>
      <c r="AI2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{"issue":{"subject":"","project_id":79,"tracker_id":40,"status_id":1,"priority_id":2,"assigned_to_id":23,"start_date":"2017-06-17","description":"","custom_fields":[{"id":1,"name":"Subdivision","value":"EC"},{"id":4,"name":"Milepost","value":"0.0143"},{"id":17,"name":"Train ID","value":"114-17"},{"id":16,"name":"Locomotive ID","value":"4019"},{"id":130,"name":"Impact","value":""},{"id":150,"name":"Time of Event (Mountain Time)","value":"06:50:59"},{"id":151,"name":"Denver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4019 --day 2017-06-17</v>
      </c>
      <c r="AN2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4040</v>
      </c>
      <c r="C27" s="21" t="s">
        <v>202</v>
      </c>
      <c r="D27" s="21" t="s">
        <v>199</v>
      </c>
      <c r="E27" s="13">
        <v>42903.226712962962</v>
      </c>
      <c r="F27" s="13">
        <v>42903.229432870372</v>
      </c>
      <c r="G27" s="7">
        <v>1</v>
      </c>
      <c r="H27" s="21" t="s">
        <v>848</v>
      </c>
      <c r="I27" s="13">
        <v>42903.254884259259</v>
      </c>
      <c r="J27" s="7">
        <v>0</v>
      </c>
      <c r="K27" s="89" t="str">
        <f t="shared" si="0"/>
        <v>4039/4040</v>
      </c>
      <c r="L27" s="21" t="str">
        <f>VLOOKUP(A27,'Trips&amp;Operators'!$C$1:$G$99999,5,FALSE)</f>
        <v>WILLIAMS DONTE</v>
      </c>
      <c r="M27" s="6">
        <f t="shared" si="1"/>
        <v>2.545138888672227E-2</v>
      </c>
      <c r="N27" s="7">
        <f t="shared" si="2"/>
        <v>36.649999996880069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-17T04:26:28-0600',mode:absolute,to:'2017-06-17T07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4.5999999999999999E-2</v>
      </c>
      <c r="Z27" s="197">
        <f t="shared" si="8"/>
        <v>23.341799999999999</v>
      </c>
      <c r="AA27" s="197">
        <f t="shared" si="9"/>
        <v>23.2958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27" s="74" t="str">
        <f t="shared" si="12"/>
        <v>"C:\Program Files (x86)\AstroGrep\AstroGrep.exe" /e /r /s /spath="%USERPROFILE%\AppData\Local\Temp\OnboardLogs" /stypes="app*4040*20170617*"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115-17 --locoid 4040 --swversion DE.1.0.9.0 --startMP 204:460 --initTime 2017-06-17T05:26:28 --startdatetime 2017-06-17T05:30:23 --delay 1 --endMP 204:233418 --enddatetime 2017-06-17T06:07:02 --enforcementcount 0 &gt;&gt;C:\Users\stu\Documents\GitHub\eaglep3-reporting\EC\2017-06-17-refined-times.txt</v>
      </c>
      <c r="AI2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{"issue":{"subject":"","project_id":79,"tracker_id":40,"status_id":1,"priority_id":2,"assigned_to_id":23,"start_date":"2017-06-17","description":"","custom_fields":[{"id":1,"name":"Subdivision","value":"EC"},{"id":4,"name":"Milepost","value":"23.3418"},{"id":17,"name":"Train ID","value":"115-17"},{"id":16,"name":"Locomotive ID","value":"4040"},{"id":130,"name":"Impact","value":""},{"id":150,"name":"Time of Event (Mountain Time)","value":"06:07:02"},{"id":151,"name":"Denver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4040 --day 2017-06-17</v>
      </c>
      <c r="AN2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674</v>
      </c>
      <c r="B28" s="7">
        <v>4039</v>
      </c>
      <c r="C28" s="21" t="s">
        <v>202</v>
      </c>
      <c r="D28" s="21" t="s">
        <v>516</v>
      </c>
      <c r="E28" s="13">
        <v>42903.257777777777</v>
      </c>
      <c r="F28" s="13">
        <v>42903.268946759257</v>
      </c>
      <c r="G28" s="7">
        <v>1</v>
      </c>
      <c r="H28" s="21" t="s">
        <v>441</v>
      </c>
      <c r="I28" s="13">
        <v>42903.296655092592</v>
      </c>
      <c r="J28" s="7">
        <v>0</v>
      </c>
      <c r="K28" s="89" t="str">
        <f t="shared" si="0"/>
        <v>4039/4040</v>
      </c>
      <c r="L28" s="21" t="str">
        <f>VLOOKUP(A28,'Trips&amp;Operators'!$C$1:$G$99999,5,FALSE)</f>
        <v>WILLIAMS DONTE</v>
      </c>
      <c r="M28" s="6">
        <f t="shared" si="1"/>
        <v>2.7708333334885538E-2</v>
      </c>
      <c r="N28" s="7">
        <f t="shared" si="2"/>
        <v>39.900000002235174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-17T05:11:12-0600',mode:absolute,to:'2017-06-17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97" t="str">
        <f>IF(AA28&lt;VLOOKUP(AG28,Variables!$AC$3:$AD$8,2,FALSE),"Y","N")</f>
        <v>N</v>
      </c>
      <c r="X28" s="197">
        <f t="shared" ref="X28:X31" si="22">VALUE(LEFT(AD28,4))-VALUE(LEFT(AD27,4))</f>
        <v>1</v>
      </c>
      <c r="Y28" s="197">
        <f t="shared" si="7"/>
        <v>23.2973</v>
      </c>
      <c r="Z28" s="197">
        <f t="shared" si="8"/>
        <v>1.5599999999999999E-2</v>
      </c>
      <c r="AA28" s="197">
        <f t="shared" si="9"/>
        <v>23.281700000000001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28" s="74" t="str">
        <f t="shared" si="12"/>
        <v>"C:\Program Files (x86)\AstroGrep\AstroGrep.exe" /e /r /s /spath="%USERPROFILE%\AppData\Local\Temp\OnboardLogs" /stypes="app*4039*20170617*"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116-17 --locoid 4039 --swversion DE.1.0.9.0 --startMP 204:232973 --initTime 2017-06-17T06:11:12 --startdatetime 2017-06-17T06:27:17 --delay 1 --endMP 204:156 --enddatetime 2017-06-17T07:07:11 --enforcementcount 0 &gt;&gt;C:\Users\stu\Documents\GitHub\eaglep3-reporting\EC\2017-06-17-refined-times.txt</v>
      </c>
      <c r="AI2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{"issue":{"subject":"","project_id":79,"tracker_id":40,"status_id":1,"priority_id":2,"assigned_to_id":23,"start_date":"2017-06-17","description":"","custom_fields":[{"id":1,"name":"Subdivision","value":"EC"},{"id":4,"name":"Milepost","value":"0.0156"},{"id":17,"name":"Train ID","value":"116-17"},{"id":16,"name":"Locomotive ID","value":"4039"},{"id":130,"name":"Impact","value":""},{"id":150,"name":"Time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4039 --day 2017-06-17</v>
      </c>
      <c r="AN2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670</v>
      </c>
      <c r="B29" s="7">
        <v>4014</v>
      </c>
      <c r="C29" s="21" t="s">
        <v>202</v>
      </c>
      <c r="D29" s="21" t="s">
        <v>850</v>
      </c>
      <c r="E29" s="13">
        <v>42903.235185185185</v>
      </c>
      <c r="F29" s="13">
        <v>42903.239814814813</v>
      </c>
      <c r="G29" s="7">
        <v>1</v>
      </c>
      <c r="H29" s="21" t="s">
        <v>457</v>
      </c>
      <c r="I29" s="13">
        <v>42903.265555555554</v>
      </c>
      <c r="J29" s="7">
        <v>0</v>
      </c>
      <c r="K29" s="89" t="str">
        <f t="shared" si="0"/>
        <v>4013/4014</v>
      </c>
      <c r="L29" s="21" t="str">
        <f>VLOOKUP(A29,'Trips&amp;Operators'!$C$1:$G$99999,5,FALSE)</f>
        <v>GUZMAN DANNY</v>
      </c>
      <c r="M29" s="6">
        <f t="shared" si="1"/>
        <v>2.5740740740729962E-2</v>
      </c>
      <c r="N29" s="7">
        <f t="shared" si="2"/>
        <v>37.066666666651145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-17T04:38:40-0600',mode:absolute,to:'2017-06-17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97" t="str">
        <f>IF(AA29&lt;VLOOKUP(AG29,Variables!$AC$3:$AD$8,2,FALSE),"Y","N")</f>
        <v>N</v>
      </c>
      <c r="X29" s="197">
        <f t="shared" si="22"/>
        <v>1</v>
      </c>
      <c r="Y29" s="197">
        <f t="shared" si="7"/>
        <v>4.3099999999999999E-2</v>
      </c>
      <c r="Z29" s="197">
        <f t="shared" si="8"/>
        <v>23.329499999999999</v>
      </c>
      <c r="AA29" s="197">
        <f t="shared" si="9"/>
        <v>23.2864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s3://rtdc.mdm.uploadarchive.raw/RTDC4014/ "%USERPROFILE%\AppData\Local\Temp\OnboardLogs"\RTDC4014\2017-06-17 --exclude "*" --recursive --include "*20170617*" &amp; "%USERPROFILE%\Documents\GitHub\mrs-test-scripts\Headless Mode &amp; Sideloading\WalkAndUnGZ.bat" "%USERPROFILE%\AppData\Local\Temp\OnboardLogs"\RTDC4014\2017-06-17 &amp; aws s3 cp s3://rtdc.mdm.uploadarchive.raw/RTDC4014/ "%USERPROFILE%\AppData\Local\Temp\OnboardLogs"\RTDC4014\2017-06-18 --exclude "*" --recursive --include "*20170618*" &amp; "%USERPROFILE%\Documents\GitHub\mrs-test-scripts\Headless Mode &amp; Sideloading\WalkAndUnGZ.bat" "%USERPROFILE%\AppData\Local\Temp\OnboardLogs"\RTDC4014\2017-06-18</v>
      </c>
      <c r="AF29" s="74" t="str">
        <f t="shared" si="12"/>
        <v>"C:\Program Files (x86)\AstroGrep\AstroGrep.exe" /e /r /s /spath="%USERPROFILE%\AppData\Local\Temp\OnboardLogs" /stypes="app*4014*20170617*"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117-17 --locoid 4014 --swversion DE.1.0.9.0 --startMP 204:431 --initTime 2017-06-17T05:38:40 --startdatetime 2017-06-17T05:45:20 --delay 1 --endMP 204:233295 --enddatetime 2017-06-17T06:22:24 --enforcementcount 0 &gt;&gt;C:\Users\stu\Documents\GitHub\eaglep3-reporting\EC\2017-06-17-refined-times.txt</v>
      </c>
      <c r="AI2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{"issue":{"subject":"","project_id":79,"tracker_id":40,"status_id":1,"priority_id":2,"assigned_to_id":23,"start_date":"2017-06-17","description":"","custom_fields":[{"id":1,"name":"Subdivision","value":"EC"},{"id":4,"name":"Milepost","value":"23.3295"},{"id":17,"name":"Train ID","value":"117-17"},{"id":16,"name":"Locomotive ID","value":"4014"},{"id":130,"name":"Impact","value":""},{"id":150,"name":"Time of Event (Mountain Time)","value":"06:22:24"},{"id":151,"name":"Denver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4014 --day 2017-06-17</v>
      </c>
      <c r="AN2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607</v>
      </c>
      <c r="B30" s="7">
        <v>4013</v>
      </c>
      <c r="C30" s="21" t="s">
        <v>202</v>
      </c>
      <c r="D30" s="21" t="s">
        <v>851</v>
      </c>
      <c r="E30" s="13">
        <v>42903.276712962965</v>
      </c>
      <c r="F30" s="13">
        <v>42903.279386574075</v>
      </c>
      <c r="G30" s="7">
        <v>1</v>
      </c>
      <c r="H30" s="21" t="s">
        <v>522</v>
      </c>
      <c r="I30" s="13">
        <v>42903.307615740741</v>
      </c>
      <c r="J30" s="7">
        <v>0</v>
      </c>
      <c r="K30" s="89" t="str">
        <f t="shared" si="0"/>
        <v>4013/4014</v>
      </c>
      <c r="L30" s="21" t="str">
        <f>VLOOKUP(A30,'Trips&amp;Operators'!$C$1:$G$99999,5,FALSE)</f>
        <v>CHANDLER KELVIN</v>
      </c>
      <c r="M30" s="6">
        <f t="shared" si="1"/>
        <v>2.8229166666278616E-2</v>
      </c>
      <c r="N30" s="7">
        <f t="shared" si="2"/>
        <v>40.649999999441206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-17T05:38:28-0600',mode:absolute,to:'2017-06-17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97" t="str">
        <f>IF(AA30&lt;VLOOKUP(AG30,Variables!$AC$3:$AD$8,2,FALSE),"Y","N")</f>
        <v>N</v>
      </c>
      <c r="X30" s="197">
        <f t="shared" si="22"/>
        <v>1</v>
      </c>
      <c r="Y30" s="197">
        <f t="shared" si="7"/>
        <v>23.297000000000001</v>
      </c>
      <c r="Z30" s="197">
        <f t="shared" si="8"/>
        <v>1.34E-2</v>
      </c>
      <c r="AA30" s="197">
        <f t="shared" si="9"/>
        <v>23.2836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AF30" s="74" t="str">
        <f t="shared" si="12"/>
        <v>"C:\Program Files (x86)\AstroGrep\AstroGrep.exe" /e /r /s /spath="%USERPROFILE%\AppData\Local\Temp\OnboardLogs" /stypes="app*4013*20170617*"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118-17 --locoid 4013 --swversion DE.1.0.9.0 --startMP 204:232970 --initTime 2017-06-17T06:38:28 --startdatetime 2017-06-17T06:42:19 --delay 1 --endMP 204:134 --enddatetime 2017-06-17T07:22:58 --enforcementcount 0 &gt;&gt;C:\Users\stu\Documents\GitHub\eaglep3-reporting\EC\2017-06-17-refined-times.txt</v>
      </c>
      <c r="AI3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{"issue":{"subject":"","project_id":79,"tracker_id":40,"status_id":1,"priority_id":2,"assigned_to_id":23,"start_date":"2017-06-17","description":"","custom_fields":[{"id":1,"name":"Subdivision","value":"EC"},{"id":4,"name":"Milepost","value":"0.0134"},{"id":17,"name":"Train ID","value":"118-17"},{"id":16,"name":"Locomotive ID","value":"4013"},{"id":130,"name":"Impact","value":""},{"id":150,"name":"Time of Event (Mountain Time)","value":"07:22:58"},{"id":151,"name":"Denver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4013 --day 2017-06-17</v>
      </c>
      <c r="AN3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4046</v>
      </c>
      <c r="C31" s="21" t="s">
        <v>202</v>
      </c>
      <c r="D31" s="21" t="s">
        <v>343</v>
      </c>
      <c r="E31" s="13">
        <v>42903.245173611111</v>
      </c>
      <c r="F31" s="13">
        <v>42903.250150462962</v>
      </c>
      <c r="G31" s="7">
        <v>1</v>
      </c>
      <c r="H31" s="21" t="s">
        <v>566</v>
      </c>
      <c r="I31" s="13">
        <v>42903.275659722225</v>
      </c>
      <c r="J31" s="7">
        <v>0</v>
      </c>
      <c r="K31" s="89" t="str">
        <f t="shared" si="0"/>
        <v>4045/4046</v>
      </c>
      <c r="L31" s="21" t="str">
        <f>VLOOKUP(A31,'Trips&amp;Operators'!$C$1:$G$99999,5,FALSE)</f>
        <v>DAVIS WENDY</v>
      </c>
      <c r="M31" s="6">
        <f t="shared" si="1"/>
        <v>2.5509259263344575E-2</v>
      </c>
      <c r="N31" s="7">
        <f t="shared" si="2"/>
        <v>36.733333339216188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-17T04:53:03-0600',mode:absolute,to:'2017-06-17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97" t="str">
        <f>IF(AA31&lt;VLOOKUP(AG31,Variables!$AC$3:$AD$8,2,FALSE),"Y","N")</f>
        <v>N</v>
      </c>
      <c r="X31" s="197">
        <f t="shared" si="22"/>
        <v>1</v>
      </c>
      <c r="Y31" s="197">
        <f t="shared" si="7"/>
        <v>4.4900000000000002E-2</v>
      </c>
      <c r="Z31" s="197">
        <f t="shared" si="8"/>
        <v>23.331600000000002</v>
      </c>
      <c r="AA31" s="197">
        <f t="shared" si="9"/>
        <v>23.286700000000003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31" s="74" t="str">
        <f t="shared" si="12"/>
        <v>"C:\Program Files (x86)\AstroGrep\AstroGrep.exe" /e /r /s /spath="%USERPROFILE%\AppData\Local\Temp\OnboardLogs" /stypes="app*4046*20170617*"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119-17 --locoid 4046 --swversion DE.1.0.9.0 --startMP 204:449 --initTime 2017-06-17T05:53:03 --startdatetime 2017-06-17T06:00:13 --delay 1 --endMP 204:233316 --enddatetime 2017-06-17T06:36:57 --enforcementcount 0 &gt;&gt;C:\Users\stu\Documents\GitHub\eaglep3-reporting\EC\2017-06-17-refined-times.txt</v>
      </c>
      <c r="AI3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{"issue":{"subject":"","project_id":79,"tracker_id":40,"status_id":1,"priority_id":2,"assigned_to_id":23,"start_date":"2017-06-17","description":"","custom_fields":[{"id":1,"name":"Subdivision","value":"EC"},{"id":4,"name":"Milepost","value":"23.3316"},{"id":17,"name":"Train ID","value":"119-17"},{"id":16,"name":"Locomotive ID","value":"4046"},{"id":130,"name":"Impact","value":""},{"id":150,"name":"Time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4046 --day 2017-06-17</v>
      </c>
      <c r="AN3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678</v>
      </c>
      <c r="B32" s="7">
        <v>4045</v>
      </c>
      <c r="C32" s="21" t="s">
        <v>202</v>
      </c>
      <c r="D32" s="21" t="s">
        <v>565</v>
      </c>
      <c r="E32" s="13">
        <v>42903.286597222221</v>
      </c>
      <c r="F32" s="13">
        <v>42903.289756944447</v>
      </c>
      <c r="G32" s="7">
        <v>1</v>
      </c>
      <c r="H32" s="21" t="s">
        <v>360</v>
      </c>
      <c r="I32" s="13">
        <v>42903.316805555558</v>
      </c>
      <c r="J32" s="7">
        <v>0</v>
      </c>
      <c r="K32" s="89" t="str">
        <f t="shared" si="0"/>
        <v>4045/4046</v>
      </c>
      <c r="L32" s="21" t="str">
        <f>VLOOKUP(A32,'Trips&amp;Operators'!$C$1:$G$99999,5,FALSE)</f>
        <v>DAVIS WENDY</v>
      </c>
      <c r="M32" s="6">
        <f t="shared" si="1"/>
        <v>2.7048611111240461E-2</v>
      </c>
      <c r="N32" s="7">
        <f t="shared" si="2"/>
        <v>38.950000000186265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-17T05:52:42-0600',mode:absolute,to:'2017-06-17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97" t="str">
        <f>IF(AA32&lt;VLOOKUP(AG32,Variables!$AC$3:$AD$8,2,FALSE),"Y","N")</f>
        <v>N</v>
      </c>
      <c r="X32" s="197">
        <f t="shared" ref="X32:X63" si="23">VALUE(LEFT(AD32,4))-VALUE(LEFT(AD31,4))</f>
        <v>1</v>
      </c>
      <c r="Y32" s="197">
        <f t="shared" si="7"/>
        <v>23.2988</v>
      </c>
      <c r="Z32" s="197">
        <f t="shared" si="8"/>
        <v>1.47E-2</v>
      </c>
      <c r="AA32" s="197">
        <f t="shared" si="9"/>
        <v>23.284099999999999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32" s="74" t="str">
        <f t="shared" si="12"/>
        <v>"C:\Program Files (x86)\AstroGrep\AstroGrep.exe" /e /r /s /spath="%USERPROFILE%\AppData\Local\Temp\OnboardLogs" /stypes="app*4045*20170617*"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120-17 --locoid 4045 --swversion DE.1.0.9.0 --startMP 204:232988 --initTime 2017-06-17T06:52:42 --startdatetime 2017-06-17T06:57:15 --delay 1 --endMP 204:147 --enddatetime 2017-06-17T07:36:12 --enforcementcount 0 &gt;&gt;C:\Users\stu\Documents\GitHub\eaglep3-reporting\EC\2017-06-17-refined-times.txt</v>
      </c>
      <c r="AI32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ID","value":"120-17"},{"id":16,"name":"Locomotive ID","value":"4045"},{"id":130,"name":"Impact","value":""},{"id":150,"name":"Time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4045 --day 2017-06-17</v>
      </c>
      <c r="AN32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605</v>
      </c>
      <c r="B33" s="7">
        <v>4024</v>
      </c>
      <c r="C33" s="21" t="s">
        <v>202</v>
      </c>
      <c r="D33" s="21" t="s">
        <v>465</v>
      </c>
      <c r="E33" s="13">
        <v>42903.25545138889</v>
      </c>
      <c r="F33" s="13">
        <v>42903.260567129626</v>
      </c>
      <c r="G33" s="7">
        <v>2</v>
      </c>
      <c r="H33" s="21" t="s">
        <v>560</v>
      </c>
      <c r="I33" s="13">
        <v>42903.285937499997</v>
      </c>
      <c r="J33" s="7">
        <v>0</v>
      </c>
      <c r="K33" s="89" t="str">
        <f t="shared" si="0"/>
        <v>4023/4024</v>
      </c>
      <c r="L33" s="21" t="str">
        <f>VLOOKUP(A33,'Trips&amp;Operators'!$C$1:$G$99999,5,FALSE)</f>
        <v>GEBRETEKLE DAGNEW</v>
      </c>
      <c r="M33" s="6">
        <f t="shared" si="1"/>
        <v>2.5370370371092577E-2</v>
      </c>
      <c r="N33" s="7">
        <f t="shared" si="2"/>
        <v>36.53333333437331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-17T05:07:51-0600',mode:absolute,to:'2017-06-17T07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97" t="str">
        <f>IF(AA33&lt;VLOOKUP(AG33,Variables!$AC$3:$AD$8,2,FALSE),"Y","N")</f>
        <v>N</v>
      </c>
      <c r="X33" s="197">
        <f t="shared" si="23"/>
        <v>1</v>
      </c>
      <c r="Y33" s="197">
        <f t="shared" si="7"/>
        <v>4.4200000000000003E-2</v>
      </c>
      <c r="Z33" s="197">
        <f t="shared" si="8"/>
        <v>23.334700000000002</v>
      </c>
      <c r="AA33" s="197">
        <f t="shared" si="9"/>
        <v>23.290500000000002</v>
      </c>
      <c r="AB33" s="54" t="str">
        <f>VLOOKUP(A33,Enforcements!$C$7:$K$13,8,0)</f>
        <v>Bulletin (2)</v>
      </c>
      <c r="AC33" s="51" t="str">
        <f>VLOOKUP(A33,Enforcements!$C$7:$E$13,3,0)</f>
        <v>GRADE CROSSING</v>
      </c>
      <c r="AD33" s="206">
        <f t="shared" si="10"/>
        <v>121</v>
      </c>
      <c r="AE33" s="77" t="str">
        <f t="shared" si="11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33" s="74" t="str">
        <f t="shared" si="12"/>
        <v>"C:\Program Files (x86)\AstroGrep\AstroGrep.exe" /e /r /s /spath="%USERPROFILE%\AppData\Local\Temp\OnboardLogs" /stypes="app*4024*20170617*"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121-17 --locoid 4024 --swversion DE.1.0.9.0 --startMP 204:442 --initTime 2017-06-17T06:07:51 --startdatetime 2017-06-17T06:15:13 --delay 2 --endMP 204:233347 --enddatetime 2017-06-17T06:51:45 --enforcementcount 0 &gt;&gt;C:\Users\stu\Documents\GitHub\eaglep3-reporting\EC\2017-06-17-refined-times.txt</v>
      </c>
      <c r="AI33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{"issue":{"subject":"","project_id":79,"tracker_id":40,"status_id":1,"priority_id":2,"assigned_to_id":23,"start_date":"2017-06-17","description":"","custom_fields":[{"id":1,"name":"Subdivision","value":"EC"},{"id":4,"name":"Milepost","value":"23.3347"},{"id":17,"name":"Train ID","value":"121-17"},{"id":16,"name":"Locomotive ID","value":"4024"},{"id":130,"name":"Impact","value":""},{"id":150,"name":"Time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4024 --day 2017-06-17</v>
      </c>
      <c r="AN33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680</v>
      </c>
      <c r="B34" s="7">
        <v>4023</v>
      </c>
      <c r="C34" s="21" t="s">
        <v>202</v>
      </c>
      <c r="D34" s="21" t="s">
        <v>561</v>
      </c>
      <c r="E34" s="13">
        <v>42903.287361111114</v>
      </c>
      <c r="F34" s="13">
        <v>42903.300173611111</v>
      </c>
      <c r="G34" s="7">
        <v>1</v>
      </c>
      <c r="H34" s="21" t="s">
        <v>451</v>
      </c>
      <c r="I34" s="13">
        <v>42903.325972222221</v>
      </c>
      <c r="J34" s="7">
        <v>0</v>
      </c>
      <c r="K34" s="89" t="str">
        <f t="shared" si="0"/>
        <v>4023/4024</v>
      </c>
      <c r="L34" s="21" t="str">
        <f>VLOOKUP(A34,'Trips&amp;Operators'!$C$1:$G$99999,5,FALSE)</f>
        <v>GEBRETEKLE DAGNEW</v>
      </c>
      <c r="M34" s="6">
        <f t="shared" si="1"/>
        <v>2.5798611110076308E-2</v>
      </c>
      <c r="N34" s="7">
        <f t="shared" si="2"/>
        <v>37.149999998509884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-17T05:53:48-0600',mode:absolute,to:'2017-06-17T08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97" t="str">
        <f>IF(AA34&lt;VLOOKUP(AG34,Variables!$AC$3:$AD$8,2,FALSE),"Y","N")</f>
        <v>N</v>
      </c>
      <c r="X34" s="197">
        <f t="shared" si="23"/>
        <v>1</v>
      </c>
      <c r="Y34" s="197">
        <f t="shared" si="7"/>
        <v>23.3034</v>
      </c>
      <c r="Z34" s="197">
        <f t="shared" si="8"/>
        <v>1.3599999999999999E-2</v>
      </c>
      <c r="AA34" s="197">
        <f t="shared" si="9"/>
        <v>23.2898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34" s="74" t="str">
        <f t="shared" si="12"/>
        <v>"C:\Program Files (x86)\AstroGrep\AstroGrep.exe" /e /r /s /spath="%USERPROFILE%\AppData\Local\Temp\OnboardLogs" /stypes="app*4023*20170617*"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122-17 --locoid 4023 --swversion DE.1.0.9.0 --startMP 204:233034 --initTime 2017-06-17T06:53:48 --startdatetime 2017-06-17T07:12:15 --delay 1 --endMP 204:136 --enddatetime 2017-06-17T07:49:24 --enforcementcount 0 &gt;&gt;C:\Users\stu\Documents\GitHub\eaglep3-reporting\EC\2017-06-17-refined-times.txt</v>
      </c>
      <c r="AI3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{"issue":{"subject":"","project_id":79,"tracker_id":40,"status_id":1,"priority_id":2,"assigned_to_id":23,"start_date":"2017-06-17","description":"","custom_fields":[{"id":1,"name":"Subdivision","value":"EC"},{"id":4,"name":"Milepost","value":"0.0136"},{"id":17,"name":"Train ID","value":"122-17"},{"id":16,"name":"Locomotive ID","value":"4023"},{"id":130,"name":"Impact","value":""},{"id":150,"name":"Time of Event (Mountain Time)","value":"07:49:24"},{"id":151,"name":"Denver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4023 --day 2017-06-17</v>
      </c>
      <c r="AN3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675</v>
      </c>
      <c r="B35" s="7">
        <v>4004</v>
      </c>
      <c r="C35" s="21" t="s">
        <v>202</v>
      </c>
      <c r="D35" s="21" t="s">
        <v>355</v>
      </c>
      <c r="E35" s="13">
        <v>42903.265162037038</v>
      </c>
      <c r="F35" s="13">
        <v>42903.270995370367</v>
      </c>
      <c r="G35" s="7">
        <v>1</v>
      </c>
      <c r="H35" s="21" t="s">
        <v>852</v>
      </c>
      <c r="I35" s="13">
        <v>42903.295127314814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LALONDE GREGORY</v>
      </c>
      <c r="M35" s="6">
        <f t="shared" si="1"/>
        <v>2.4131944446708076E-2</v>
      </c>
      <c r="N35" s="7">
        <f t="shared" si="2"/>
        <v>34.750000003259629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-17T05:21:50-0600',mode:absolute,to:'2017-06-17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97" t="str">
        <f>IF(AA35&lt;VLOOKUP(AG35,Variables!$AC$3:$AD$8,2,FALSE),"Y","N")</f>
        <v>N</v>
      </c>
      <c r="X35" s="197">
        <f t="shared" si="23"/>
        <v>1</v>
      </c>
      <c r="Y35" s="197">
        <f t="shared" si="7"/>
        <v>4.53E-2</v>
      </c>
      <c r="Z35" s="197">
        <f t="shared" si="8"/>
        <v>23.335699999999999</v>
      </c>
      <c r="AA35" s="197">
        <f t="shared" si="9"/>
        <v>23.290399999999998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35" s="74" t="str">
        <f t="shared" si="12"/>
        <v>"C:\Program Files (x86)\AstroGrep\AstroGrep.exe" /e /r /s /spath="%USERPROFILE%\AppData\Local\Temp\OnboardLogs" /stypes="app*4004*20170617*"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123-17 --locoid 4004 --swversion DE.1.0.9.0 --startMP 204:453 --initTime 2017-06-17T06:21:50 --startdatetime 2017-06-17T06:30:14 --delay 1 --endMP 204:233357 --enddatetime 2017-06-17T07:04:59 --enforcementcount 0 &gt;&gt;C:\Users\stu\Documents\GitHub\eaglep3-reporting\EC\2017-06-17-refined-times.txt</v>
      </c>
      <c r="AI3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{"issue":{"subject":"","project_id":79,"tracker_id":40,"status_id":1,"priority_id":2,"assigned_to_id":23,"start_date":"2017-06-17","description":"","custom_fields":[{"id":1,"name":"Subdivision","value":"EC"},{"id":4,"name":"Milepost","value":"23.3357"},{"id":17,"name":"Train ID","value":"123-17"},{"id":16,"name":"Locomotive ID","value":"4004"},{"id":130,"name":"Impact","value":""},{"id":150,"name":"Time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4004 --day 2017-06-17</v>
      </c>
      <c r="AN3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682</v>
      </c>
      <c r="B36" s="7">
        <v>4003</v>
      </c>
      <c r="C36" s="21" t="s">
        <v>202</v>
      </c>
      <c r="D36" s="21" t="s">
        <v>459</v>
      </c>
      <c r="E36" s="13">
        <v>42903.296678240738</v>
      </c>
      <c r="F36" s="13">
        <v>42903.310578703706</v>
      </c>
      <c r="G36" s="7">
        <v>1</v>
      </c>
      <c r="H36" s="21" t="s">
        <v>350</v>
      </c>
      <c r="I36" s="13">
        <v>42903.336215277777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LALONDE GREGORY</v>
      </c>
      <c r="M36" s="6">
        <f t="shared" si="1"/>
        <v>2.5636574071540963E-2</v>
      </c>
      <c r="N36" s="7">
        <f t="shared" si="2"/>
        <v>36.916666663018987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-17T06:07:13-0600',mode:absolute,to:'2017-06-17T09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97" t="str">
        <f>IF(AA36&lt;VLOOKUP(AG36,Variables!$AC$3:$AD$8,2,FALSE),"Y","N")</f>
        <v>N</v>
      </c>
      <c r="X36" s="197">
        <f t="shared" si="23"/>
        <v>1</v>
      </c>
      <c r="Y36" s="197">
        <f t="shared" si="7"/>
        <v>23.3019</v>
      </c>
      <c r="Z36" s="197">
        <f t="shared" si="8"/>
        <v>1.49E-2</v>
      </c>
      <c r="AA36" s="197">
        <f t="shared" si="9"/>
        <v>23.286999999999999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36" s="74" t="str">
        <f t="shared" si="12"/>
        <v>"C:\Program Files (x86)\AstroGrep\AstroGrep.exe" /e /r /s /spath="%USERPROFILE%\AppData\Local\Temp\OnboardLogs" /stypes="app*4003*20170617*"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124-17 --locoid 4003 --swversion DE.1.0.9.0 --startMP 204:233019 --initTime 2017-06-17T07:07:13 --startdatetime 2017-06-17T07:27:14 --delay 1 --endMP 204:149 --enddatetime 2017-06-17T08:04:09 --enforcementcount 0 &gt;&gt;C:\Users\stu\Documents\GitHub\eaglep3-reporting\EC\2017-06-17-refined-times.txt</v>
      </c>
      <c r="AI3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ID","value":"124-17"},{"id":16,"name":"Locomotive ID","value":"4003"},{"id":130,"name":"Impact","value":""},{"id":150,"name":"Time of Event (Mountain Time)","value":"08:04:09"},{"id":151,"name":"Denver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4003 --day 2017-06-17</v>
      </c>
      <c r="AN3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677</v>
      </c>
      <c r="B37" s="7">
        <v>4032</v>
      </c>
      <c r="C37" s="21" t="s">
        <v>202</v>
      </c>
      <c r="D37" s="21" t="s">
        <v>444</v>
      </c>
      <c r="E37" s="13">
        <v>42903.279398148145</v>
      </c>
      <c r="F37" s="13">
        <v>42903.281423611108</v>
      </c>
      <c r="G37" s="7">
        <v>1</v>
      </c>
      <c r="H37" s="21" t="s">
        <v>853</v>
      </c>
      <c r="I37" s="13">
        <v>42903.306759259256</v>
      </c>
      <c r="J37" s="7">
        <v>0</v>
      </c>
      <c r="K37" s="89" t="str">
        <f t="shared" si="0"/>
        <v>4031/4032</v>
      </c>
      <c r="L37" s="21" t="str">
        <f>VLOOKUP(A37,'Trips&amp;Operators'!$C$1:$G$99999,5,FALSE)</f>
        <v>MAELZER KURT</v>
      </c>
      <c r="M37" s="6">
        <f t="shared" si="1"/>
        <v>2.5335648148029577E-2</v>
      </c>
      <c r="N37" s="7">
        <f t="shared" si="2"/>
        <v>36.483333333162591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-17T05:42:20-0600',mode:absolute,to:'2017-06-17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97" t="str">
        <f>IF(AA37&lt;VLOOKUP(AG37,Variables!$AC$3:$AD$8,2,FALSE),"Y","N")</f>
        <v>N</v>
      </c>
      <c r="X37" s="197">
        <f t="shared" si="23"/>
        <v>1</v>
      </c>
      <c r="Y37" s="197">
        <f t="shared" si="7"/>
        <v>4.4400000000000002E-2</v>
      </c>
      <c r="Z37" s="197">
        <f t="shared" si="8"/>
        <v>23.3353</v>
      </c>
      <c r="AA37" s="197">
        <f t="shared" si="9"/>
        <v>23.290900000000001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37" s="74" t="str">
        <f t="shared" si="12"/>
        <v>"C:\Program Files (x86)\AstroGrep\AstroGrep.exe" /e /r /s /spath="%USERPROFILE%\AppData\Local\Temp\OnboardLogs" /stypes="app*4032*20170617*"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125-17 --locoid 4032 --swversion DE.1.0.9.0 --startMP 204:444 --initTime 2017-06-17T06:42:20 --startdatetime 2017-06-17T06:45:15 --delay 1 --endMP 204:233353 --enddatetime 2017-06-17T07:21:44 --enforcementcount 0 &gt;&gt;C:\Users\stu\Documents\GitHub\eaglep3-reporting\EC\2017-06-17-refined-times.txt</v>
      </c>
      <c r="AI3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{"issue":{"subject":"","project_id":79,"tracker_id":40,"status_id":1,"priority_id":2,"assigned_to_id":23,"start_date":"2017-06-17","description":"","custom_fields":[{"id":1,"name":"Subdivision","value":"EC"},{"id":4,"name":"Milepost","value":"23.3353"},{"id":17,"name":"Train ID","value":"125-17"},{"id":16,"name":"Locomotive ID","value":"4032"},{"id":130,"name":"Impact","value":""},{"id":150,"name":"Time of Event (Mountain Time)","value":"07:21:44"},{"id":151,"name":"Denver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4032 --day 2017-06-17</v>
      </c>
      <c r="AN3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4031</v>
      </c>
      <c r="C38" s="21" t="s">
        <v>202</v>
      </c>
      <c r="D38" s="21" t="s">
        <v>854</v>
      </c>
      <c r="E38" s="13">
        <v>42903.314259259256</v>
      </c>
      <c r="F38" s="13">
        <v>42903.321168981478</v>
      </c>
      <c r="G38" s="7">
        <v>1</v>
      </c>
      <c r="H38" s="21" t="s">
        <v>855</v>
      </c>
      <c r="I38" s="13">
        <v>42903.349074074074</v>
      </c>
      <c r="J38" s="7">
        <v>0</v>
      </c>
      <c r="K38" s="89" t="str">
        <f t="shared" si="0"/>
        <v>4031/4032</v>
      </c>
      <c r="L38" s="21" t="str">
        <f>VLOOKUP(A38,'Trips&amp;Operators'!$C$1:$G$99999,5,FALSE)</f>
        <v>MAELZER KURT</v>
      </c>
      <c r="M38" s="6">
        <f t="shared" si="1"/>
        <v>2.7905092596483883E-2</v>
      </c>
      <c r="N38" s="7">
        <f t="shared" si="2"/>
        <v>40.183333338936791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-17T06:32:32-0600',mode:absolute,to:'2017-06-17T09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197" t="str">
        <f>IF(AA38&lt;VLOOKUP(AG38,Variables!$AC$3:$AD$8,2,FALSE),"Y","N")</f>
        <v>N</v>
      </c>
      <c r="X38" s="197">
        <f t="shared" si="23"/>
        <v>1</v>
      </c>
      <c r="Y38" s="197">
        <f t="shared" si="7"/>
        <v>23.3062</v>
      </c>
      <c r="Z38" s="197">
        <f t="shared" si="8"/>
        <v>1.29E-2</v>
      </c>
      <c r="AA38" s="197">
        <f t="shared" si="9"/>
        <v>23.293300000000002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38" s="74" t="str">
        <f t="shared" si="12"/>
        <v>"C:\Program Files (x86)\AstroGrep\AstroGrep.exe" /e /r /s /spath="%USERPROFILE%\AppData\Local\Temp\OnboardLogs" /stypes="app*4031*20170617*"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126-17 --locoid 4031 --swversion DE.1.0.9.0 --startMP 204:233062 --initTime 2017-06-17T07:32:32 --startdatetime 2017-06-17T07:42:29 --delay 1 --endMP 204:129 --enddatetime 2017-06-17T08:22:40 --enforcementcount 0 &gt;&gt;C:\Users\stu\Documents\GitHub\eaglep3-reporting\EC\2017-06-17-refined-times.txt</v>
      </c>
      <c r="AI3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{"issue":{"subject":"","project_id":79,"tracker_id":40,"status_id":1,"priority_id":2,"assigned_to_id":23,"start_date":"2017-06-17","description":"","custom_fields":[{"id":1,"name":"Subdivision","value":"EC"},{"id":4,"name":"Milepost","value":"0.0129"},{"id":17,"name":"Train ID","value":"126-17"},{"id":16,"name":"Locomotive ID","value":"4031"},{"id":130,"name":"Impact","value":""},{"id":150,"name":"Time of Event (Mountain Time)","value":"08:22:40"},{"id":151,"name":"Denver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4031 --day 2017-06-17</v>
      </c>
      <c r="AN3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679</v>
      </c>
      <c r="B39" s="7">
        <v>4020</v>
      </c>
      <c r="C39" s="21" t="s">
        <v>202</v>
      </c>
      <c r="D39" s="21" t="s">
        <v>348</v>
      </c>
      <c r="E39" s="13">
        <v>42903.286944444444</v>
      </c>
      <c r="F39" s="13">
        <v>42903.291851851849</v>
      </c>
      <c r="G39" s="7">
        <v>1</v>
      </c>
      <c r="H39" s="21" t="s">
        <v>445</v>
      </c>
      <c r="I39" s="13">
        <v>42903.317245370374</v>
      </c>
      <c r="J39" s="7">
        <v>0</v>
      </c>
      <c r="K39" s="89" t="str">
        <f t="shared" si="0"/>
        <v>4019/4020</v>
      </c>
      <c r="L39" s="21" t="str">
        <f>VLOOKUP(A39,'Trips&amp;Operators'!$C$1:$G$99999,5,FALSE)</f>
        <v>DAVIDSON DAVID</v>
      </c>
      <c r="M39" s="6">
        <f t="shared" si="1"/>
        <v>2.5393518524651881E-2</v>
      </c>
      <c r="N39" s="7">
        <f t="shared" si="2"/>
        <v>36.566666675498709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-17T05:53:12-0600',mode:absolute,to:'2017-06-17T08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97" t="str">
        <f>IF(AA39&lt;VLOOKUP(AG39,Variables!$AC$3:$AD$8,2,FALSE),"Y","N")</f>
        <v>N</v>
      </c>
      <c r="X39" s="197">
        <f t="shared" si="23"/>
        <v>1</v>
      </c>
      <c r="Y39" s="197">
        <f t="shared" si="7"/>
        <v>4.58E-2</v>
      </c>
      <c r="Z39" s="197">
        <f t="shared" si="8"/>
        <v>23.3307</v>
      </c>
      <c r="AA39" s="197">
        <f t="shared" si="9"/>
        <v>23.2849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39" s="74" t="str">
        <f t="shared" si="12"/>
        <v>"C:\Program Files (x86)\AstroGrep\AstroGrep.exe" /e /r /s /spath="%USERPROFILE%\AppData\Local\Temp\OnboardLogs" /stypes="app*4020*20170617*"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127-17 --locoid 4020 --swversion DE.1.0.9.0 --startMP 204:458 --initTime 2017-06-17T06:53:12 --startdatetime 2017-06-17T07:00:16 --delay 1 --endMP 204:233307 --enddatetime 2017-06-17T07:36:50 --enforcementcount 0 &gt;&gt;C:\Users\stu\Documents\GitHub\eaglep3-reporting\EC\2017-06-17-refined-times.txt</v>
      </c>
      <c r="AI3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{"issue":{"subject":"","project_id":79,"tracker_id":40,"status_id":1,"priority_id":2,"assigned_to_id":23,"start_date":"2017-06-17","description":"","custom_fields":[{"id":1,"name":"Subdivision","value":"EC"},{"id":4,"name":"Milepost","value":"23.3307"},{"id":17,"name":"Train ID","value":"127-17"},{"id":16,"name":"Locomotive ID","value":"4020"},{"id":130,"name":"Impact","value":""},{"id":150,"name":"Time of Event (Mountain Time)","value":"07:36:50"},{"id":151,"name":"Denver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4020 --day 2017-06-17</v>
      </c>
      <c r="AN3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688</v>
      </c>
      <c r="B40" s="7">
        <v>4019</v>
      </c>
      <c r="C40" s="21" t="s">
        <v>202</v>
      </c>
      <c r="D40" s="21" t="s">
        <v>450</v>
      </c>
      <c r="E40" s="13">
        <v>42903.319328703707</v>
      </c>
      <c r="F40" s="13">
        <v>42903.331446759257</v>
      </c>
      <c r="G40" s="7">
        <v>1</v>
      </c>
      <c r="H40" s="21" t="s">
        <v>360</v>
      </c>
      <c r="I40" s="13">
        <v>42903.358773148146</v>
      </c>
      <c r="J40" s="7">
        <v>0</v>
      </c>
      <c r="K40" s="89" t="str">
        <f t="shared" si="0"/>
        <v>4019/4020</v>
      </c>
      <c r="L40" s="21" t="str">
        <f>VLOOKUP(A40,'Trips&amp;Operators'!$C$1:$G$99999,5,FALSE)</f>
        <v>DAVIDSON DAVID</v>
      </c>
      <c r="M40" s="6">
        <f t="shared" si="1"/>
        <v>2.73263888884685E-2</v>
      </c>
      <c r="N40" s="7">
        <f t="shared" si="2"/>
        <v>39.34999999939464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-17T06:39:50-0600',mode:absolute,to:'2017-06-17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97" t="str">
        <f>IF(AA40&lt;VLOOKUP(AG40,Variables!$AC$3:$AD$8,2,FALSE),"Y","N")</f>
        <v>N</v>
      </c>
      <c r="X40" s="197">
        <f t="shared" si="23"/>
        <v>1</v>
      </c>
      <c r="Y40" s="197">
        <f t="shared" si="7"/>
        <v>23.2971</v>
      </c>
      <c r="Z40" s="197">
        <f t="shared" si="8"/>
        <v>1.47E-2</v>
      </c>
      <c r="AA40" s="197">
        <f t="shared" si="9"/>
        <v>23.282399999999999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40" s="74" t="str">
        <f t="shared" si="12"/>
        <v>"C:\Program Files (x86)\AstroGrep\AstroGrep.exe" /e /r /s /spath="%USERPROFILE%\AppData\Local\Temp\OnboardLogs" /stypes="app*4019*20170617*"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128-17 --locoid 4019 --swversion DE.1.0.9.0 --startMP 204:232971 --initTime 2017-06-17T07:39:50 --startdatetime 2017-06-17T07:57:17 --delay 1 --endMP 204:147 --enddatetime 2017-06-17T08:36:38 --enforcementcount 0 &gt;&gt;C:\Users\stu\Documents\GitHub\eaglep3-reporting\EC\2017-06-17-refined-times.txt</v>
      </c>
      <c r="AI4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ID","value":"128-17"},{"id":16,"name":"Locomotive ID","value":"4019"},{"id":130,"name":"Impact","value":""},{"id":150,"name":"Time of Event (Mountain Time)","value":"08:36:38"},{"id":151,"name":"Denver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4019 --day 2017-06-17</v>
      </c>
      <c r="AN4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683</v>
      </c>
      <c r="B41" s="7">
        <v>4040</v>
      </c>
      <c r="C41" s="21" t="s">
        <v>202</v>
      </c>
      <c r="D41" s="21" t="s">
        <v>440</v>
      </c>
      <c r="E41" s="13">
        <v>42903.29859953704</v>
      </c>
      <c r="F41" s="13">
        <v>42903.30228009259</v>
      </c>
      <c r="G41" s="7">
        <v>1</v>
      </c>
      <c r="H41" s="21" t="s">
        <v>856</v>
      </c>
      <c r="I41" s="13">
        <v>42903.330520833333</v>
      </c>
      <c r="J41" s="7">
        <v>0</v>
      </c>
      <c r="K41" s="89" t="str">
        <f t="shared" si="0"/>
        <v>4039/4040</v>
      </c>
      <c r="L41" s="21" t="str">
        <f>VLOOKUP(A41,'Trips&amp;Operators'!$C$1:$G$99999,5,FALSE)</f>
        <v>WILLIAMS DONTE</v>
      </c>
      <c r="M41" s="6">
        <f t="shared" si="1"/>
        <v>2.8240740743058268E-2</v>
      </c>
      <c r="N41" s="7">
        <f t="shared" si="2"/>
        <v>40.666666670003906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-17T06:09:59-0600',mode:absolute,to:'2017-06-17T08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97" t="str">
        <f>IF(AA41&lt;VLOOKUP(AG41,Variables!$AC$3:$AD$8,2,FALSE),"Y","N")</f>
        <v>N</v>
      </c>
      <c r="X41" s="197">
        <f t="shared" si="23"/>
        <v>1</v>
      </c>
      <c r="Y41" s="197">
        <f t="shared" si="7"/>
        <v>4.6699999999999998E-2</v>
      </c>
      <c r="Z41" s="197">
        <f t="shared" si="8"/>
        <v>23.328299999999999</v>
      </c>
      <c r="AA41" s="197">
        <f t="shared" si="9"/>
        <v>23.281599999999997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41" s="74" t="str">
        <f t="shared" si="12"/>
        <v>"C:\Program Files (x86)\AstroGrep\AstroGrep.exe" /e /r /s /spath="%USERPROFILE%\AppData\Local\Temp\OnboardLogs" /stypes="app*4040*20170617*"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129-17 --locoid 4040 --swversion DE.1.0.9.0 --startMP 204:467 --initTime 2017-06-17T07:09:59 --startdatetime 2017-06-17T07:15:17 --delay 1 --endMP 204:233283 --enddatetime 2017-06-17T07:55:57 --enforcementcount 0 &gt;&gt;C:\Users\stu\Documents\GitHub\eaglep3-reporting\EC\2017-06-17-refined-times.txt</v>
      </c>
      <c r="AI4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{"issue":{"subject":"","project_id":79,"tracker_id":40,"status_id":1,"priority_id":2,"assigned_to_id":23,"start_date":"2017-06-17","description":"","custom_fields":[{"id":1,"name":"Subdivision","value":"EC"},{"id":4,"name":"Milepost","value":"23.3283"},{"id":17,"name":"Train ID","value":"129-17"},{"id":16,"name":"Locomotive ID","value":"4040"},{"id":130,"name":"Impact","value":""},{"id":150,"name":"Time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4040 --day 2017-06-17</v>
      </c>
      <c r="AN4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691</v>
      </c>
      <c r="B42" s="7">
        <v>4039</v>
      </c>
      <c r="C42" s="21" t="s">
        <v>202</v>
      </c>
      <c r="D42" s="21" t="s">
        <v>519</v>
      </c>
      <c r="E42" s="13">
        <v>42903.332569444443</v>
      </c>
      <c r="F42" s="13">
        <v>42903.34202546296</v>
      </c>
      <c r="G42" s="7">
        <v>1</v>
      </c>
      <c r="H42" s="21" t="s">
        <v>349</v>
      </c>
      <c r="I42" s="13">
        <v>42903.369351851848</v>
      </c>
      <c r="J42" s="7">
        <v>0</v>
      </c>
      <c r="K42" s="89" t="str">
        <f t="shared" si="0"/>
        <v>4039/4040</v>
      </c>
      <c r="L42" s="21" t="str">
        <f>VLOOKUP(A42,'Trips&amp;Operators'!$C$1:$G$99999,5,FALSE)</f>
        <v>WILLIAMS DONTE</v>
      </c>
      <c r="M42" s="6">
        <f t="shared" si="1"/>
        <v>2.73263888884685E-2</v>
      </c>
      <c r="N42" s="7">
        <f t="shared" si="2"/>
        <v>39.34999999939464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-17T06:58:54-0600',mode:absolute,to:'2017-06-17T09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7"/>
        <v>23.297899999999998</v>
      </c>
      <c r="Z42" s="197">
        <f t="shared" si="8"/>
        <v>1.4999999999999999E-2</v>
      </c>
      <c r="AA42" s="197">
        <f t="shared" si="9"/>
        <v>23.282899999999998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42" s="74" t="str">
        <f t="shared" si="12"/>
        <v>"C:\Program Files (x86)\AstroGrep\AstroGrep.exe" /e /r /s /spath="%USERPROFILE%\AppData\Local\Temp\OnboardLogs" /stypes="app*4039*20170617*"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130-17 --locoid 4039 --swversion DE.1.0.9.0 --startMP 204:232979 --initTime 2017-06-17T07:58:54 --startdatetime 2017-06-17T08:12:31 --delay 1 --endMP 204:150 --enddatetime 2017-06-17T08:51:52 --enforcementcount 0 &gt;&gt;C:\Users\stu\Documents\GitHub\eaglep3-reporting\EC\2017-06-17-refined-times.txt</v>
      </c>
      <c r="AI42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ID","value":"130-17"},{"id":16,"name":"Locomotive ID","value":"4039"},{"id":130,"name":"Impact","value":""},{"id":150,"name":"Time of Event (Mountain Time)","value":"08:51:52"},{"id":151,"name":"Denver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4039 --day 2017-06-17</v>
      </c>
      <c r="AN42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684</v>
      </c>
      <c r="B43" s="7">
        <v>4014</v>
      </c>
      <c r="C43" s="21" t="s">
        <v>202</v>
      </c>
      <c r="D43" s="21" t="s">
        <v>356</v>
      </c>
      <c r="E43" s="13">
        <v>42903.308888888889</v>
      </c>
      <c r="F43" s="13">
        <v>42903.3128125</v>
      </c>
      <c r="G43" s="7">
        <v>2</v>
      </c>
      <c r="H43" s="21" t="s">
        <v>857</v>
      </c>
      <c r="I43" s="13">
        <v>42903.338090277779</v>
      </c>
      <c r="J43" s="7">
        <v>0</v>
      </c>
      <c r="K43" s="89" t="str">
        <f t="shared" si="0"/>
        <v>4013/4014</v>
      </c>
      <c r="L43" s="21" t="str">
        <f>VLOOKUP(A43,'Trips&amp;Operators'!$C$1:$G$99999,5,FALSE)</f>
        <v>GUZMAN DANNY</v>
      </c>
      <c r="M43" s="6">
        <f t="shared" si="1"/>
        <v>2.527777777868323E-2</v>
      </c>
      <c r="N43" s="7">
        <f t="shared" si="2"/>
        <v>36.400000001303852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-17T06:24:48-0600',mode:absolute,to:'2017-06-17T09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7"/>
        <v>4.4699999999999997E-2</v>
      </c>
      <c r="Z43" s="197">
        <f t="shared" si="8"/>
        <v>23.332000000000001</v>
      </c>
      <c r="AA43" s="197">
        <f t="shared" si="9"/>
        <v>23.287300000000002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s3://rtdc.mdm.uploadarchive.raw/RTDC4014/ "%USERPROFILE%\AppData\Local\Temp\OnboardLogs"\RTDC4014\2017-06-17 --exclude "*" --recursive --include "*20170617*" &amp; "%USERPROFILE%\Documents\GitHub\mrs-test-scripts\Headless Mode &amp; Sideloading\WalkAndUnGZ.bat" "%USERPROFILE%\AppData\Local\Temp\OnboardLogs"\RTDC4014\2017-06-17 &amp; aws s3 cp s3://rtdc.mdm.uploadarchive.raw/RTDC4014/ "%USERPROFILE%\AppData\Local\Temp\OnboardLogs"\RTDC4014\2017-06-18 --exclude "*" --recursive --include "*20170618*" &amp; "%USERPROFILE%\Documents\GitHub\mrs-test-scripts\Headless Mode &amp; Sideloading\WalkAndUnGZ.bat" "%USERPROFILE%\AppData\Local\Temp\OnboardLogs"\RTDC4014\2017-06-18</v>
      </c>
      <c r="AF43" s="74" t="str">
        <f t="shared" si="12"/>
        <v>"C:\Program Files (x86)\AstroGrep\AstroGrep.exe" /e /r /s /spath="%USERPROFILE%\AppData\Local\Temp\OnboardLogs" /stypes="app*4014*20170617*"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131-17 --locoid 4014 --swversion DE.1.0.9.0 --startMP 204:447 --initTime 2017-06-17T07:24:48 --startdatetime 2017-06-17T07:30:27 --delay 2 --endMP 204:233320 --enddatetime 2017-06-17T08:06:51 --enforcementcount 0 &gt;&gt;C:\Users\stu\Documents\GitHub\eaglep3-reporting\EC\2017-06-17-refined-times.txt</v>
      </c>
      <c r="AI43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{"issue":{"subject":"","project_id":79,"tracker_id":40,"status_id":1,"priority_id":2,"assigned_to_id":23,"start_date":"2017-06-17","description":"","custom_fields":[{"id":1,"name":"Subdivision","value":"EC"},{"id":4,"name":"Milepost","value":"23.332"},{"id":17,"name":"Train ID","value":"131-17"},{"id":16,"name":"Locomotive ID","value":"4014"},{"id":130,"name":"Impact","value":""},{"id":150,"name":"Time of Event (Mountain Time)","value":"08:06:51"},{"id":151,"name":"Denver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4014 --day 2017-06-17</v>
      </c>
      <c r="AN43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693</v>
      </c>
      <c r="B44" s="7">
        <v>4013</v>
      </c>
      <c r="C44" s="21" t="s">
        <v>202</v>
      </c>
      <c r="D44" s="21" t="s">
        <v>515</v>
      </c>
      <c r="E44" s="13">
        <v>42903.340324074074</v>
      </c>
      <c r="F44" s="13">
        <v>42903.35224537037</v>
      </c>
      <c r="G44" s="7">
        <v>1</v>
      </c>
      <c r="H44" s="21" t="s">
        <v>349</v>
      </c>
      <c r="I44" s="13">
        <v>42903.379374999997</v>
      </c>
      <c r="J44" s="7">
        <v>0</v>
      </c>
      <c r="K44" s="89" t="str">
        <f t="shared" si="0"/>
        <v>4013/4014</v>
      </c>
      <c r="L44" s="21" t="str">
        <f>VLOOKUP(A44,'Trips&amp;Operators'!$C$1:$G$99999,5,FALSE)</f>
        <v>GUZMAN DANNY</v>
      </c>
      <c r="M44" s="6">
        <f t="shared" si="1"/>
        <v>2.7129629626870155E-2</v>
      </c>
      <c r="N44" s="7">
        <f t="shared" si="2"/>
        <v>39.066666662693024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-17T07:10:04-0600',mode:absolute,to:'2017-06-17T10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7"/>
        <v>23.298400000000001</v>
      </c>
      <c r="Z44" s="197">
        <f t="shared" si="8"/>
        <v>1.4999999999999999E-2</v>
      </c>
      <c r="AA44" s="197">
        <f t="shared" si="9"/>
        <v>23.2834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AF44" s="74" t="str">
        <f t="shared" si="12"/>
        <v>"C:\Program Files (x86)\AstroGrep\AstroGrep.exe" /e /r /s /spath="%USERPROFILE%\AppData\Local\Temp\OnboardLogs" /stypes="app*4013*20170617*"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132-17 --locoid 4013 --swversion DE.1.0.9.0 --startMP 204:232984 --initTime 2017-06-17T08:10:04 --startdatetime 2017-06-17T08:27:14 --delay 1 --endMP 204:150 --enddatetime 2017-06-17T09:06:18 --enforcementcount 0 &gt;&gt;C:\Users\stu\Documents\GitHub\eaglep3-reporting\EC\2017-06-17-refined-times.txt</v>
      </c>
      <c r="AI4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ID","value":"132-17"},{"id":16,"name":"Locomotive ID","value":"4013"},{"id":130,"name":"Impact","value":""},{"id":150,"name":"Time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4013 --day 2017-06-17</v>
      </c>
      <c r="AN4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687</v>
      </c>
      <c r="B45" s="7">
        <v>4046</v>
      </c>
      <c r="C45" s="21" t="s">
        <v>202</v>
      </c>
      <c r="D45" s="21" t="s">
        <v>461</v>
      </c>
      <c r="E45" s="13">
        <v>42903.318518518521</v>
      </c>
      <c r="F45" s="13">
        <v>42903.323067129626</v>
      </c>
      <c r="G45" s="7">
        <v>1</v>
      </c>
      <c r="H45" s="21" t="s">
        <v>858</v>
      </c>
      <c r="I45" s="13">
        <v>42903.348958333336</v>
      </c>
      <c r="J45" s="7">
        <v>0</v>
      </c>
      <c r="K45" s="89" t="str">
        <f t="shared" si="0"/>
        <v>4045/4046</v>
      </c>
      <c r="L45" s="21" t="str">
        <f>VLOOKUP(A45,'Trips&amp;Operators'!$C$1:$G$99999,5,FALSE)</f>
        <v>DAVIS WENDY</v>
      </c>
      <c r="M45" s="6">
        <f t="shared" si="1"/>
        <v>2.5891203709761612E-2</v>
      </c>
      <c r="N45" s="7">
        <f t="shared" ref="N45:N73" si="24">24*60*SUM($M45:$M45)</f>
        <v>37.283333342056721</v>
      </c>
      <c r="O45" s="7"/>
      <c r="P45" s="7"/>
      <c r="Q45" s="22"/>
      <c r="R45" s="170"/>
      <c r="S45" s="213">
        <f t="shared" ref="S45:S72" si="25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-17T06:38:40-0600',mode:absolute,to:'2017-06-17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7"/>
        <v>4.6899999999999997E-2</v>
      </c>
      <c r="Z45" s="197">
        <f t="shared" si="8"/>
        <v>23.3325</v>
      </c>
      <c r="AA45" s="197">
        <f t="shared" si="9"/>
        <v>23.285599999999999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45" s="74" t="str">
        <f t="shared" si="12"/>
        <v>"C:\Program Files (x86)\AstroGrep\AstroGrep.exe" /e /r /s /spath="%USERPROFILE%\AppData\Local\Temp\OnboardLogs" /stypes="app*4046*20170617*"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133-17 --locoid 4046 --swversion DE.1.0.9.0 --startMP 204:469 --initTime 2017-06-17T07:38:40 --startdatetime 2017-06-17T07:45:13 --delay 1 --endMP 204:233325 --enddatetime 2017-06-17T08:22:30 --enforcementcount 0 &gt;&gt;C:\Users\stu\Documents\GitHub\eaglep3-reporting\EC\2017-06-17-refined-times.txt</v>
      </c>
      <c r="AI4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{"issue":{"subject":"","project_id":79,"tracker_id":40,"status_id":1,"priority_id":2,"assigned_to_id":23,"start_date":"2017-06-17","description":"","custom_fields":[{"id":1,"name":"Subdivision","value":"EC"},{"id":4,"name":"Milepost","value":"23.3325"},{"id":17,"name":"Train ID","value":"133-17"},{"id":16,"name":"Locomotive ID","value":"4046"},{"id":130,"name":"Impact","value":""},{"id":150,"name":"Time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4046 --day 2017-06-17</v>
      </c>
      <c r="AN4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608</v>
      </c>
      <c r="B46" s="7">
        <v>4045</v>
      </c>
      <c r="C46" s="21" t="s">
        <v>202</v>
      </c>
      <c r="D46" s="21" t="s">
        <v>453</v>
      </c>
      <c r="E46" s="13">
        <v>42903.359791666669</v>
      </c>
      <c r="F46" s="13">
        <v>42903.362673611111</v>
      </c>
      <c r="G46" s="7">
        <v>1</v>
      </c>
      <c r="H46" s="21" t="s">
        <v>357</v>
      </c>
      <c r="I46" s="13">
        <v>42903.38962962963</v>
      </c>
      <c r="J46" s="7">
        <v>0</v>
      </c>
      <c r="K46" s="89" t="str">
        <f t="shared" si="0"/>
        <v>4045/4046</v>
      </c>
      <c r="L46" s="21" t="str">
        <f>VLOOKUP(A46,'Trips&amp;Operators'!$C$1:$G$99999,5,FALSE)</f>
        <v>DAVIS WENDY</v>
      </c>
      <c r="M46" s="6">
        <f t="shared" si="1"/>
        <v>2.6956018518831115E-2</v>
      </c>
      <c r="N46" s="7">
        <f t="shared" si="24"/>
        <v>38.816666667116806</v>
      </c>
      <c r="O46" s="7"/>
      <c r="P46" s="7"/>
      <c r="Q46" s="22"/>
      <c r="R46" s="170"/>
      <c r="S46" s="213">
        <f t="shared" si="25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-17T07:38:06-0600',mode:absolute,to:'2017-06-17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23.299399999999999</v>
      </c>
      <c r="Z46" s="197">
        <f t="shared" si="8"/>
        <v>1.3899999999999999E-2</v>
      </c>
      <c r="AA46" s="197">
        <f t="shared" si="9"/>
        <v>23.285499999999999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46" s="74" t="str">
        <f t="shared" si="12"/>
        <v>"C:\Program Files (x86)\AstroGrep\AstroGrep.exe" /e /r /s /spath="%USERPROFILE%\AppData\Local\Temp\OnboardLogs" /stypes="app*4045*20170617*"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134-17 --locoid 4045 --swversion DE.1.0.9.0 --startMP 204:232994 --initTime 2017-06-17T08:38:06 --startdatetime 2017-06-17T08:42:15 --delay 1 --endMP 204:139 --enddatetime 2017-06-17T09:21:04 --enforcementcount 0 &gt;&gt;C:\Users\stu\Documents\GitHub\eaglep3-reporting\EC\2017-06-17-refined-times.txt</v>
      </c>
      <c r="AI4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{"issue":{"subject":"","project_id":79,"tracker_id":40,"status_id":1,"priority_id":2,"assigned_to_id":23,"start_date":"2017-06-17","description":"","custom_fields":[{"id":1,"name":"Subdivision","value":"EC"},{"id":4,"name":"Milepost","value":"0.0139"},{"id":17,"name":"Train ID","value":"134-17"},{"id":16,"name":"Locomotive ID","value":"4045"},{"id":130,"name":"Impact","value":""},{"id":150,"name":"Time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4045 --day 2017-06-17</v>
      </c>
      <c r="AN4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689</v>
      </c>
      <c r="B47" s="7">
        <v>4024</v>
      </c>
      <c r="C47" s="21" t="s">
        <v>202</v>
      </c>
      <c r="D47" s="21" t="s">
        <v>355</v>
      </c>
      <c r="E47" s="13">
        <v>42903.328518518516</v>
      </c>
      <c r="F47" s="13">
        <v>42903.333506944444</v>
      </c>
      <c r="G47" s="7">
        <v>1</v>
      </c>
      <c r="H47" s="21" t="s">
        <v>859</v>
      </c>
      <c r="I47" s="13">
        <v>42903.357870370368</v>
      </c>
      <c r="J47" s="7">
        <v>0</v>
      </c>
      <c r="K47" s="89" t="str">
        <f t="shared" si="0"/>
        <v>4023/4024</v>
      </c>
      <c r="L47" s="21" t="str">
        <f>VLOOKUP(A47,'Trips&amp;Operators'!$C$1:$G$99999,5,FALSE)</f>
        <v>GEBRETEKLE DAGNEW</v>
      </c>
      <c r="M47" s="6">
        <f t="shared" si="1"/>
        <v>2.4363425924093463E-2</v>
      </c>
      <c r="N47" s="7">
        <f t="shared" si="24"/>
        <v>35.083333330694586</v>
      </c>
      <c r="O47" s="7"/>
      <c r="P47" s="7"/>
      <c r="Q47" s="22"/>
      <c r="R47" s="170"/>
      <c r="S47" s="213">
        <f t="shared" si="25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-17T06:53:04-0600',mode:absolute,to:'2017-06-17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7"/>
        <v>4.53E-2</v>
      </c>
      <c r="Z47" s="197">
        <f t="shared" si="8"/>
        <v>23.334299999999999</v>
      </c>
      <c r="AA47" s="197">
        <f t="shared" si="9"/>
        <v>23.288999999999998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47" s="74" t="str">
        <f t="shared" si="12"/>
        <v>"C:\Program Files (x86)\AstroGrep\AstroGrep.exe" /e /r /s /spath="%USERPROFILE%\AppData\Local\Temp\OnboardLogs" /stypes="app*4024*20170617*"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135-17 --locoid 4024 --swversion DE.1.0.9.0 --startMP 204:453 --initTime 2017-06-17T07:53:04 --startdatetime 2017-06-17T08:00:15 --delay 1 --endMP 204:233343 --enddatetime 2017-06-17T08:35:20 --enforcementcount 0 &gt;&gt;C:\Users\stu\Documents\GitHub\eaglep3-reporting\EC\2017-06-17-refined-times.txt</v>
      </c>
      <c r="AI4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{"issue":{"subject":"","project_id":79,"tracker_id":40,"status_id":1,"priority_id":2,"assigned_to_id":23,"start_date":"2017-06-17","description":"","custom_fields":[{"id":1,"name":"Subdivision","value":"EC"},{"id":4,"name":"Milepost","value":"23.3343"},{"id":17,"name":"Train ID","value":"135-17"},{"id":16,"name":"Locomotive ID","value":"4024"},{"id":130,"name":"Impact","value":""},{"id":150,"name":"Time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4024 --day 2017-06-17</v>
      </c>
      <c r="AN4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696</v>
      </c>
      <c r="B48" s="7">
        <v>4023</v>
      </c>
      <c r="C48" s="21" t="s">
        <v>202</v>
      </c>
      <c r="D48" s="21" t="s">
        <v>860</v>
      </c>
      <c r="E48" s="13">
        <v>42903.359039351853</v>
      </c>
      <c r="F48" s="13">
        <v>42903.373078703706</v>
      </c>
      <c r="G48" s="7">
        <v>1</v>
      </c>
      <c r="H48" s="21" t="s">
        <v>477</v>
      </c>
      <c r="I48" s="13">
        <v>42903.398981481485</v>
      </c>
      <c r="J48" s="7">
        <v>0</v>
      </c>
      <c r="K48" s="89" t="str">
        <f t="shared" si="0"/>
        <v>4023/4024</v>
      </c>
      <c r="L48" s="21" t="str">
        <f>VLOOKUP(A48,'Trips&amp;Operators'!$C$1:$G$99999,5,FALSE)</f>
        <v>GEBRETEKLE DAGNEW</v>
      </c>
      <c r="M48" s="6">
        <f t="shared" si="1"/>
        <v>2.5902777779265307E-2</v>
      </c>
      <c r="N48" s="7">
        <f t="shared" si="24"/>
        <v>37.300000002142042</v>
      </c>
      <c r="O48" s="7"/>
      <c r="P48" s="7"/>
      <c r="Q48" s="22"/>
      <c r="R48" s="170"/>
      <c r="S48" s="213">
        <f t="shared" si="25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-17T07:37:01-0600',mode:absolute,to:'2017-06-17T10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7"/>
        <v>23.302800000000001</v>
      </c>
      <c r="Z48" s="197">
        <f t="shared" si="8"/>
        <v>1.38E-2</v>
      </c>
      <c r="AA48" s="197">
        <f t="shared" si="9"/>
        <v>23.289000000000001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48" s="74" t="str">
        <f t="shared" si="12"/>
        <v>"C:\Program Files (x86)\AstroGrep\AstroGrep.exe" /e /r /s /spath="%USERPROFILE%\AppData\Local\Temp\OnboardLogs" /stypes="app*4023*20170617*"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136-17 --locoid 4023 --swversion DE.1.0.9.0 --startMP 204:233028 --initTime 2017-06-17T08:37:01 --startdatetime 2017-06-17T08:57:14 --delay 1 --endMP 204:138 --enddatetime 2017-06-17T09:34:32 --enforcementcount 0 &gt;&gt;C:\Users\stu\Documents\GitHub\eaglep3-reporting\EC\2017-06-17-refined-times.txt</v>
      </c>
      <c r="AI4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{"issue":{"subject":"","project_id":79,"tracker_id":40,"status_id":1,"priority_id":2,"assigned_to_id":23,"start_date":"2017-06-17","description":"","custom_fields":[{"id":1,"name":"Subdivision","value":"EC"},{"id":4,"name":"Milepost","value":"0.0138"},{"id":17,"name":"Train ID","value":"136-17"},{"id":16,"name":"Locomotive ID","value":"4023"},{"id":130,"name":"Impact","value":""},{"id":150,"name":"Time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4023 --day 2017-06-17</v>
      </c>
      <c r="AN4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692</v>
      </c>
      <c r="B49" s="7">
        <v>4004</v>
      </c>
      <c r="C49" s="21" t="s">
        <v>202</v>
      </c>
      <c r="D49" s="21" t="s">
        <v>356</v>
      </c>
      <c r="E49" s="13">
        <v>42903.338101851848</v>
      </c>
      <c r="F49" s="13">
        <v>42903.343946759262</v>
      </c>
      <c r="G49" s="7">
        <v>1</v>
      </c>
      <c r="H49" s="21" t="s">
        <v>861</v>
      </c>
      <c r="I49" s="13">
        <v>42903.36859953704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LALONDE GREGORY</v>
      </c>
      <c r="M49" s="6">
        <f t="shared" si="1"/>
        <v>2.4652777778101154E-2</v>
      </c>
      <c r="N49" s="7">
        <f t="shared" si="24"/>
        <v>35.500000000465661</v>
      </c>
      <c r="O49" s="7"/>
      <c r="P49" s="7"/>
      <c r="Q49" s="22"/>
      <c r="R49" s="170"/>
      <c r="S49" s="213">
        <f t="shared" si="25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-17T07:06:52-0600',mode:absolute,to:'2017-06-17T09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7"/>
        <v>4.4699999999999997E-2</v>
      </c>
      <c r="Z49" s="197">
        <f t="shared" si="8"/>
        <v>23.336600000000001</v>
      </c>
      <c r="AA49" s="197">
        <f t="shared" si="9"/>
        <v>23.291900000000002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49" s="74" t="str">
        <f t="shared" si="12"/>
        <v>"C:\Program Files (x86)\AstroGrep\AstroGrep.exe" /e /r /s /spath="%USERPROFILE%\AppData\Local\Temp\OnboardLogs" /stypes="app*4004*20170617*"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137-17 --locoid 4004 --swversion DE.1.0.9.0 --startMP 204:447 --initTime 2017-06-17T08:06:52 --startdatetime 2017-06-17T08:15:17 --delay 1 --endMP 204:233366 --enddatetime 2017-06-17T08:50:47 --enforcementcount 0 &gt;&gt;C:\Users\stu\Documents\GitHub\eaglep3-reporting\EC\2017-06-17-refined-times.txt</v>
      </c>
      <c r="AI4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{"issue":{"subject":"","project_id":79,"tracker_id":40,"status_id":1,"priority_id":2,"assigned_to_id":23,"start_date":"2017-06-17","description":"","custom_fields":[{"id":1,"name":"Subdivision","value":"EC"},{"id":4,"name":"Milepost","value":"23.3366"},{"id":17,"name":"Train ID","value":"137-17"},{"id":16,"name":"Locomotive ID","value":"4004"},{"id":130,"name":"Impact","value":""},{"id":150,"name":"Time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4004 --day 2017-06-17</v>
      </c>
      <c r="AN4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698</v>
      </c>
      <c r="B50" s="7">
        <v>4003</v>
      </c>
      <c r="C50" s="21" t="s">
        <v>202</v>
      </c>
      <c r="D50" s="21" t="s">
        <v>561</v>
      </c>
      <c r="E50" s="13">
        <v>42903.37</v>
      </c>
      <c r="F50" s="13">
        <v>42903.383506944447</v>
      </c>
      <c r="G50" s="7">
        <v>0</v>
      </c>
      <c r="H50" s="21" t="s">
        <v>194</v>
      </c>
      <c r="I50" s="13">
        <v>42903.409050925926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LALONDE GREGORY</v>
      </c>
      <c r="M50" s="6">
        <f t="shared" si="1"/>
        <v>2.5543981479131617E-2</v>
      </c>
      <c r="N50" s="7">
        <f t="shared" si="24"/>
        <v>36.783333329949528</v>
      </c>
      <c r="O50" s="7"/>
      <c r="P50" s="7"/>
      <c r="Q50" s="22"/>
      <c r="R50" s="170"/>
      <c r="S50" s="213">
        <f t="shared" si="25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-17T07:52:48-0600',mode:absolute,to:'2017-06-17T10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23.3034</v>
      </c>
      <c r="Z50" s="197">
        <f t="shared" si="8"/>
        <v>1.5800000000000002E-2</v>
      </c>
      <c r="AA50" s="197">
        <f t="shared" si="9"/>
        <v>23.287600000000001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50" s="74" t="str">
        <f t="shared" si="12"/>
        <v>"C:\Program Files (x86)\AstroGrep\AstroGrep.exe" /e /r /s /spath="%USERPROFILE%\AppData\Local\Temp\OnboardLogs" /stypes="app*4003*20170617*"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138-17 --locoid 4003 --swversion DE.1.0.9.0 --startMP 204:233034 --initTime 2017-06-17T08:52:48 --startdatetime 2017-06-17T09:12:15 --delay 0 --endMP 204:158 --enddatetime 2017-06-17T09:49:02 --enforcementcount 0 &gt;&gt;C:\Users\stu\Documents\GitHub\eaglep3-reporting\EC\2017-06-17-refined-times.txt</v>
      </c>
      <c r="AI5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{"issue":{"subject":"","project_id":79,"tracker_id":40,"status_id":1,"priority_id":2,"assigned_to_id":23,"start_date":"2017-06-17","description":"","custom_fields":[{"id":1,"name":"Subdivision","value":"EC"},{"id":4,"name":"Milepost","value":"0.0158"},{"id":17,"name":"Train ID","value":"138-17"},{"id":16,"name":"Locomotive ID","value":"4003"},{"id":130,"name":"Impact","value":""},{"id":150,"name":"Time of Event (Mountain Time)","value":"09:49:02"},{"id":151,"name":"Denver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4003 --day 2017-06-17</v>
      </c>
      <c r="AN5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694</v>
      </c>
      <c r="B51" s="7">
        <v>4032</v>
      </c>
      <c r="C51" s="21" t="s">
        <v>202</v>
      </c>
      <c r="D51" s="21" t="s">
        <v>862</v>
      </c>
      <c r="E51" s="13">
        <v>42903.351215277777</v>
      </c>
      <c r="F51" s="13">
        <v>42903.354386574072</v>
      </c>
      <c r="G51" s="7">
        <v>1</v>
      </c>
      <c r="H51" s="21" t="s">
        <v>863</v>
      </c>
      <c r="I51" s="13">
        <v>42903.379004629627</v>
      </c>
      <c r="J51" s="7">
        <v>0</v>
      </c>
      <c r="K51" s="89" t="str">
        <f t="shared" si="0"/>
        <v>4031/4032</v>
      </c>
      <c r="L51" s="21" t="str">
        <f>VLOOKUP(A51,'Trips&amp;Operators'!$C$1:$G$99999,5,FALSE)</f>
        <v>MAELZER KURT</v>
      </c>
      <c r="M51" s="6">
        <f t="shared" si="1"/>
        <v>2.4618055555038154E-2</v>
      </c>
      <c r="N51" s="7">
        <f t="shared" si="24"/>
        <v>35.449999999254942</v>
      </c>
      <c r="O51" s="7"/>
      <c r="P51" s="7"/>
      <c r="Q51" s="22"/>
      <c r="R51" s="170"/>
      <c r="S51" s="213">
        <f t="shared" si="25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-17T07:25:45-0600',mode:absolute,to:'2017-06-17T10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3.9800000000000002E-2</v>
      </c>
      <c r="Z51" s="197">
        <f t="shared" si="8"/>
        <v>23.335899999999999</v>
      </c>
      <c r="AA51" s="197">
        <f t="shared" si="9"/>
        <v>23.296099999999999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51" s="74" t="str">
        <f t="shared" si="12"/>
        <v>"C:\Program Files (x86)\AstroGrep\AstroGrep.exe" /e /r /s /spath="%USERPROFILE%\AppData\Local\Temp\OnboardLogs" /stypes="app*4032*20170617*"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139-17 --locoid 4032 --swversion DE.1.0.9.0 --startMP 204:398 --initTime 2017-06-17T08:25:45 --startdatetime 2017-06-17T08:30:19 --delay 1 --endMP 204:233359 --enddatetime 2017-06-17T09:05:46 --enforcementcount 0 &gt;&gt;C:\Users\stu\Documents\GitHub\eaglep3-reporting\EC\2017-06-17-refined-times.txt</v>
      </c>
      <c r="AI5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{"issue":{"subject":"","project_id":79,"tracker_id":40,"status_id":1,"priority_id":2,"assigned_to_id":23,"start_date":"2017-06-17","description":"","custom_fields":[{"id":1,"name":"Subdivision","value":"EC"},{"id":4,"name":"Milepost","value":"23.3359"},{"id":17,"name":"Train ID","value":"139-17"},{"id":16,"name":"Locomotive ID","value":"4032"},{"id":130,"name":"Impact","value":""},{"id":150,"name":"Time of Event (Mountain Time)","value":"09:05:46"},{"id":151,"name":"Denver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4032 --day 2017-06-17</v>
      </c>
      <c r="AN5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609</v>
      </c>
      <c r="B52" s="7">
        <v>4031</v>
      </c>
      <c r="C52" s="21" t="s">
        <v>202</v>
      </c>
      <c r="D52" s="21" t="s">
        <v>864</v>
      </c>
      <c r="E52" s="13">
        <v>42903.385046296295</v>
      </c>
      <c r="F52" s="13">
        <v>42903.393958333334</v>
      </c>
      <c r="G52" s="7">
        <v>0</v>
      </c>
      <c r="H52" s="21" t="s">
        <v>865</v>
      </c>
      <c r="I52" s="13">
        <v>42903.422372685185</v>
      </c>
      <c r="J52" s="7">
        <v>0</v>
      </c>
      <c r="K52" s="89" t="str">
        <f t="shared" si="0"/>
        <v>4031/4032</v>
      </c>
      <c r="L52" s="21" t="str">
        <f>VLOOKUP(A52,'Trips&amp;Operators'!$C$1:$G$99999,5,FALSE)</f>
        <v>MAELZER KURT</v>
      </c>
      <c r="M52" s="6">
        <f t="shared" si="1"/>
        <v>2.8414351851097308E-2</v>
      </c>
      <c r="N52" s="7">
        <f t="shared" si="24"/>
        <v>40.916666665580124</v>
      </c>
      <c r="O52" s="7"/>
      <c r="P52" s="7"/>
      <c r="Q52" s="22"/>
      <c r="R52" s="170"/>
      <c r="S52" s="213">
        <f t="shared" si="25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-17T08:14:28-0600',mode:absolute,to:'2017-06-17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23.303999999999998</v>
      </c>
      <c r="Z52" s="197">
        <f t="shared" si="8"/>
        <v>1.2999999999999999E-2</v>
      </c>
      <c r="AA52" s="197">
        <f t="shared" si="9"/>
        <v>23.290999999999997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52" s="74" t="str">
        <f t="shared" si="12"/>
        <v>"C:\Program Files (x86)\AstroGrep\AstroGrep.exe" /e /r /s /spath="%USERPROFILE%\AppData\Local\Temp\OnboardLogs" /stypes="app*4031*20170617*"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140-17 --locoid 4031 --swversion DE.1.0.9.0 --startMP 204:233040 --initTime 2017-06-17T09:14:28 --startdatetime 2017-06-17T09:27:18 --delay 0 --endMP 204:130 --enddatetime 2017-06-17T10:08:13 --enforcementcount 0 &gt;&gt;C:\Users\stu\Documents\GitHub\eaglep3-reporting\EC\2017-06-17-refined-times.txt</v>
      </c>
      <c r="AI52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{"issue":{"subject":"","project_id":79,"tracker_id":40,"status_id":1,"priority_id":2,"assigned_to_id":23,"start_date":"2017-06-17","description":"","custom_fields":[{"id":1,"name":"Subdivision","value":"EC"},{"id":4,"name":"Milepost","value":"0.013"},{"id":17,"name":"Train ID","value":"140-17"},{"id":16,"name":"Locomotive ID","value":"4031"},{"id":130,"name":"Impact","value":""},{"id":150,"name":"Time of Event (Mountain Time)","value":"10:08:13"},{"id":151,"name":"Denver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4031 --day 2017-06-17</v>
      </c>
      <c r="AN52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697</v>
      </c>
      <c r="B53" s="7">
        <v>4020</v>
      </c>
      <c r="C53" s="21" t="s">
        <v>202</v>
      </c>
      <c r="D53" s="21" t="s">
        <v>198</v>
      </c>
      <c r="E53" s="13">
        <v>42903.360682870371</v>
      </c>
      <c r="F53" s="13">
        <v>42903.364849537036</v>
      </c>
      <c r="G53" s="7">
        <v>1</v>
      </c>
      <c r="H53" s="21" t="s">
        <v>476</v>
      </c>
      <c r="I53" s="13">
        <v>42903.391643518517</v>
      </c>
      <c r="J53" s="7">
        <v>0</v>
      </c>
      <c r="K53" s="89" t="str">
        <f t="shared" si="0"/>
        <v>4019/4020</v>
      </c>
      <c r="L53" s="21" t="str">
        <f>VLOOKUP(A53,'Trips&amp;Operators'!$C$1:$G$99999,5,FALSE)</f>
        <v>DAVIDSON DAVID</v>
      </c>
      <c r="M53" s="6">
        <f t="shared" si="1"/>
        <v>2.679398148029577E-2</v>
      </c>
      <c r="N53" s="7">
        <f t="shared" si="24"/>
        <v>38.583333331625909</v>
      </c>
      <c r="O53" s="7"/>
      <c r="P53" s="7"/>
      <c r="Q53" s="22"/>
      <c r="R53" s="170"/>
      <c r="S53" s="213">
        <f t="shared" si="25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-17T07:39:23-0600',mode:absolute,to:'2017-06-17T10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4.5699999999999998E-2</v>
      </c>
      <c r="Z53" s="197">
        <f t="shared" si="8"/>
        <v>23.331</v>
      </c>
      <c r="AA53" s="197">
        <f t="shared" si="9"/>
        <v>23.285299999999999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53" s="74" t="str">
        <f t="shared" si="12"/>
        <v>"C:\Program Files (x86)\AstroGrep\AstroGrep.exe" /e /r /s /spath="%USERPROFILE%\AppData\Local\Temp\OnboardLogs" /stypes="app*4020*20170617*"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141-17 --locoid 4020 --swversion DE.1.0.9.0 --startMP 204:457 --initTime 2017-06-17T08:39:23 --startdatetime 2017-06-17T08:45:23 --delay 1 --endMP 204:233310 --enddatetime 2017-06-17T09:23:58 --enforcementcount 0 &gt;&gt;C:\Users\stu\Documents\GitHub\eaglep3-reporting\EC\2017-06-17-refined-times.txt</v>
      </c>
      <c r="AI53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{"issue":{"subject":"","project_id":79,"tracker_id":40,"status_id":1,"priority_id":2,"assigned_to_id":23,"start_date":"2017-06-17","description":"","custom_fields":[{"id":1,"name":"Subdivision","value":"EC"},{"id":4,"name":"Milepost","value":"23.331"},{"id":17,"name":"Train ID","value":"141-17"},{"id":16,"name":"Locomotive ID","value":"4020"},{"id":130,"name":"Impact","value":""},{"id":150,"name":"Time of Event (Mountain Time)","value":"09:23:58"},{"id":151,"name":"Denver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4020 --day 2017-06-17</v>
      </c>
      <c r="AN53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704</v>
      </c>
      <c r="B54" s="7">
        <v>4019</v>
      </c>
      <c r="C54" s="21" t="s">
        <v>202</v>
      </c>
      <c r="D54" s="21" t="s">
        <v>519</v>
      </c>
      <c r="E54" s="13">
        <v>42903.399884259263</v>
      </c>
      <c r="F54" s="13">
        <v>42903.404444444444</v>
      </c>
      <c r="G54" s="7">
        <v>1</v>
      </c>
      <c r="H54" s="21" t="s">
        <v>350</v>
      </c>
      <c r="I54" s="13">
        <v>42903.433831018519</v>
      </c>
      <c r="J54" s="7">
        <v>0</v>
      </c>
      <c r="K54" s="89" t="str">
        <f t="shared" si="0"/>
        <v>4019/4020</v>
      </c>
      <c r="L54" s="21" t="str">
        <f>VLOOKUP(A54,'Trips&amp;Operators'!$C$1:$G$99999,5,FALSE)</f>
        <v>DAVIDSON DAVID</v>
      </c>
      <c r="M54" s="6">
        <f t="shared" si="1"/>
        <v>2.9386574075033423E-2</v>
      </c>
      <c r="N54" s="7">
        <f t="shared" si="24"/>
        <v>42.316666668048128</v>
      </c>
      <c r="O54" s="7"/>
      <c r="P54" s="7"/>
      <c r="Q54" s="22"/>
      <c r="R54" s="170"/>
      <c r="S54" s="213">
        <f t="shared" si="25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-17T08:35:50-0600',mode:absolute,to:'2017-06-17T11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23.297899999999998</v>
      </c>
      <c r="Z54" s="197">
        <f t="shared" si="8"/>
        <v>1.49E-2</v>
      </c>
      <c r="AA54" s="197">
        <f t="shared" si="9"/>
        <v>23.282999999999998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54" s="74" t="str">
        <f t="shared" si="12"/>
        <v>"C:\Program Files (x86)\AstroGrep\AstroGrep.exe" /e /r /s /spath="%USERPROFILE%\AppData\Local\Temp\OnboardLogs" /stypes="app*4019*20170617*"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142-17 --locoid 4019 --swversion DE.1.0.9.0 --startMP 204:232979 --initTime 2017-06-17T09:35:50 --startdatetime 2017-06-17T09:42:24 --delay 1 --endMP 204:149 --enddatetime 2017-06-17T10:24:43 --enforcementcount 0 &gt;&gt;C:\Users\stu\Documents\GitHub\eaglep3-reporting\EC\2017-06-17-refined-times.txt</v>
      </c>
      <c r="AI5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ID","value":"142-17"},{"id":16,"name":"Locomotive ID","value":"4019"},{"id":130,"name":"Impact","value":""},{"id":150,"name":"Time of Event (Mountain Time)","value":"10:24:43"},{"id":151,"name":"Denver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4019 --day 2017-06-17</v>
      </c>
      <c r="AN5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699</v>
      </c>
      <c r="B55" s="7">
        <v>4040</v>
      </c>
      <c r="C55" s="21" t="s">
        <v>202</v>
      </c>
      <c r="D55" s="21" t="s">
        <v>866</v>
      </c>
      <c r="E55" s="13">
        <v>42903.371504629627</v>
      </c>
      <c r="F55" s="13">
        <v>42903.375162037039</v>
      </c>
      <c r="G55" s="7">
        <v>1</v>
      </c>
      <c r="H55" s="21" t="s">
        <v>445</v>
      </c>
      <c r="I55" s="13">
        <v>42903.400775462964</v>
      </c>
      <c r="J55" s="7">
        <v>0</v>
      </c>
      <c r="K55" s="89" t="str">
        <f t="shared" si="0"/>
        <v>4039/4040</v>
      </c>
      <c r="L55" s="21" t="str">
        <f>VLOOKUP(A55,'Trips&amp;Operators'!$C$1:$G$99999,5,FALSE)</f>
        <v>WILLIAMS DONTE</v>
      </c>
      <c r="M55" s="6">
        <f t="shared" si="1"/>
        <v>2.5613425925257616E-2</v>
      </c>
      <c r="N55" s="7">
        <f t="shared" si="24"/>
        <v>36.883333332370967</v>
      </c>
      <c r="O55" s="7"/>
      <c r="P55" s="7"/>
      <c r="Q55" s="22"/>
      <c r="R55" s="170"/>
      <c r="S55" s="213">
        <f t="shared" si="25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-17T07:54:58-0600',mode:absolute,to:'2017-06-17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7"/>
        <v>4.3499999999999997E-2</v>
      </c>
      <c r="Z55" s="197">
        <f t="shared" si="8"/>
        <v>23.3307</v>
      </c>
      <c r="AA55" s="197">
        <f t="shared" si="9"/>
        <v>23.287199999999999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55" s="74" t="str">
        <f t="shared" si="12"/>
        <v>"C:\Program Files (x86)\AstroGrep\AstroGrep.exe" /e /r /s /spath="%USERPROFILE%\AppData\Local\Temp\OnboardLogs" /stypes="app*4040*20170617*"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143-17 --locoid 4040 --swversion DE.1.0.9.0 --startMP 204:435 --initTime 2017-06-17T08:54:58 --startdatetime 2017-06-17T09:00:14 --delay 1 --endMP 204:233307 --enddatetime 2017-06-17T09:37:07 --enforcementcount 0 &gt;&gt;C:\Users\stu\Documents\GitHub\eaglep3-reporting\EC\2017-06-17-refined-times.txt</v>
      </c>
      <c r="AI5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{"issue":{"subject":"","project_id":79,"tracker_id":40,"status_id":1,"priority_id":2,"assigned_to_id":23,"start_date":"2017-06-17","description":"","custom_fields":[{"id":1,"name":"Subdivision","value":"EC"},{"id":4,"name":"Milepost","value":"23.3307"},{"id":17,"name":"Train ID","value":"143-17"},{"id":16,"name":"Locomotive ID","value":"4040"},{"id":130,"name":"Impact","value":""},{"id":150,"name":"Time of Event (Mountain Time)","value":"09:37:07"},{"id":151,"name":"Denver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4040 --day 2017-06-17</v>
      </c>
      <c r="AN5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706</v>
      </c>
      <c r="B56" s="7">
        <v>4039</v>
      </c>
      <c r="C56" s="21" t="s">
        <v>202</v>
      </c>
      <c r="D56" s="21" t="s">
        <v>554</v>
      </c>
      <c r="E56" s="13">
        <v>42903.403483796297</v>
      </c>
      <c r="F56" s="13">
        <v>42903.414942129632</v>
      </c>
      <c r="G56" s="7">
        <v>1</v>
      </c>
      <c r="H56" s="21" t="s">
        <v>193</v>
      </c>
      <c r="I56" s="13">
        <v>42903.446944444448</v>
      </c>
      <c r="J56" s="7">
        <v>0</v>
      </c>
      <c r="K56" s="89" t="str">
        <f t="shared" si="0"/>
        <v>4039/4040</v>
      </c>
      <c r="L56" s="21" t="str">
        <f>VLOOKUP(A56,'Trips&amp;Operators'!$C$1:$G$99999,5,FALSE)</f>
        <v>WILLIAMS DONTE</v>
      </c>
      <c r="M56" s="6">
        <f t="shared" si="1"/>
        <v>3.2002314816054422E-2</v>
      </c>
      <c r="N56" s="7">
        <f t="shared" si="24"/>
        <v>46.083333335118368</v>
      </c>
      <c r="O56" s="7"/>
      <c r="P56" s="7"/>
      <c r="Q56" s="22"/>
      <c r="R56" s="170"/>
      <c r="S56" s="213">
        <f t="shared" si="25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-17T08:41:01-0600',mode:absolute,to:'2017-06-17T11:43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7"/>
        <v>23.296299999999999</v>
      </c>
      <c r="Z56" s="197">
        <f t="shared" si="8"/>
        <v>1.52E-2</v>
      </c>
      <c r="AA56" s="197">
        <f t="shared" si="9"/>
        <v>23.281099999999999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56" s="74" t="str">
        <f t="shared" si="12"/>
        <v>"C:\Program Files (x86)\AstroGrep\AstroGrep.exe" /e /r /s /spath="%USERPROFILE%\AppData\Local\Temp\OnboardLogs" /stypes="app*4039*20170617*"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144-17 --locoid 4039 --swversion DE.1.0.9.0 --startMP 204:232963 --initTime 2017-06-17T09:41:01 --startdatetime 2017-06-17T09:57:31 --delay 1 --endMP 204:152 --enddatetime 2017-06-17T10:43:36 --enforcementcount 0 &gt;&gt;C:\Users\stu\Documents\GitHub\eaglep3-reporting\EC\2017-06-17-refined-times.txt</v>
      </c>
      <c r="AI5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ID","value":"144-17"},{"id":16,"name":"Locomotive ID","value":"4039"},{"id":130,"name":"Impact","value":""},{"id":150,"name":"Time of Event (Mountain Time)","value":"10:43:36"},{"id":151,"name":"Denver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4039 --day 2017-06-17</v>
      </c>
      <c r="AN5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16:43:36"},{"id":29,"name":"Sharepoint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701</v>
      </c>
      <c r="B57" s="7">
        <v>4014</v>
      </c>
      <c r="C57" s="21" t="s">
        <v>202</v>
      </c>
      <c r="D57" s="21" t="s">
        <v>348</v>
      </c>
      <c r="E57" s="13">
        <v>42903.381030092591</v>
      </c>
      <c r="F57" s="13">
        <v>42903.385578703703</v>
      </c>
      <c r="G57" s="7">
        <v>2</v>
      </c>
      <c r="H57" s="21" t="s">
        <v>555</v>
      </c>
      <c r="I57" s="13">
        <v>42903.411354166667</v>
      </c>
      <c r="J57" s="7">
        <v>0</v>
      </c>
      <c r="K57" s="89" t="str">
        <f t="shared" si="0"/>
        <v>4013/4014</v>
      </c>
      <c r="L57" s="21" t="str">
        <f>VLOOKUP(A57,'Trips&amp;Operators'!$C$1:$G$99999,5,FALSE)</f>
        <v>GUZMAN DANNY</v>
      </c>
      <c r="M57" s="6">
        <f t="shared" si="1"/>
        <v>2.5775462963792961E-2</v>
      </c>
      <c r="N57" s="7">
        <f t="shared" si="24"/>
        <v>37.116666667861864</v>
      </c>
      <c r="O57" s="7"/>
      <c r="P57" s="7"/>
      <c r="Q57" s="22"/>
      <c r="R57" s="170"/>
      <c r="S57" s="213">
        <f t="shared" si="25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-17T08:08:41-0600',mode:absolute,to:'2017-06-17T10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4.58E-2</v>
      </c>
      <c r="Z57" s="197">
        <f t="shared" si="8"/>
        <v>23.331499999999998</v>
      </c>
      <c r="AA57" s="197">
        <f t="shared" si="9"/>
        <v>23.285699999999999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s3://rtdc.mdm.uploadarchive.raw/RTDC4014/ "%USERPROFILE%\AppData\Local\Temp\OnboardLogs"\RTDC4014\2017-06-17 --exclude "*" --recursive --include "*20170617*" &amp; "%USERPROFILE%\Documents\GitHub\mrs-test-scripts\Headless Mode &amp; Sideloading\WalkAndUnGZ.bat" "%USERPROFILE%\AppData\Local\Temp\OnboardLogs"\RTDC4014\2017-06-17 &amp; aws s3 cp s3://rtdc.mdm.uploadarchive.raw/RTDC4014/ "%USERPROFILE%\AppData\Local\Temp\OnboardLogs"\RTDC4014\2017-06-18 --exclude "*" --recursive --include "*20170618*" &amp; "%USERPROFILE%\Documents\GitHub\mrs-test-scripts\Headless Mode &amp; Sideloading\WalkAndUnGZ.bat" "%USERPROFILE%\AppData\Local\Temp\OnboardLogs"\RTDC4014\2017-06-18</v>
      </c>
      <c r="AF57" s="74" t="str">
        <f t="shared" si="12"/>
        <v>"C:\Program Files (x86)\AstroGrep\AstroGrep.exe" /e /r /s /spath="%USERPROFILE%\AppData\Local\Temp\OnboardLogs" /stypes="app*4014*20170617*"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145-17 --locoid 4014 --swversion DE.1.0.9.0 --startMP 204:458 --initTime 2017-06-17T09:08:41 --startdatetime 2017-06-17T09:15:14 --delay 2 --endMP 204:233315 --enddatetime 2017-06-17T09:52:21 --enforcementcount 0 &gt;&gt;C:\Users\stu\Documents\GitHub\eaglep3-reporting\EC\2017-06-17-refined-times.txt</v>
      </c>
      <c r="AI5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{"issue":{"subject":"","project_id":79,"tracker_id":40,"status_id":1,"priority_id":2,"assigned_to_id":23,"start_date":"2017-06-17","description":"","custom_fields":[{"id":1,"name":"Subdivision","value":"EC"},{"id":4,"name":"Milepost","value":"23.3315"},{"id":17,"name":"Train ID","value":"145-17"},{"id":16,"name":"Locomotive ID","value":"4014"},{"id":130,"name":"Impact","value":""},{"id":150,"name":"Time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4014 --day 2017-06-17</v>
      </c>
      <c r="AN5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709</v>
      </c>
      <c r="B58" s="7">
        <v>4013</v>
      </c>
      <c r="C58" s="21" t="s">
        <v>202</v>
      </c>
      <c r="D58" s="21" t="s">
        <v>517</v>
      </c>
      <c r="E58" s="13">
        <v>42903.413703703707</v>
      </c>
      <c r="F58" s="13">
        <v>42903.42523148148</v>
      </c>
      <c r="G58" s="7">
        <v>1</v>
      </c>
      <c r="H58" s="21" t="s">
        <v>350</v>
      </c>
      <c r="I58" s="13">
        <v>42903.453252314815</v>
      </c>
      <c r="J58" s="7">
        <v>0</v>
      </c>
      <c r="K58" s="89" t="str">
        <f t="shared" si="0"/>
        <v>4013/4014</v>
      </c>
      <c r="L58" s="21" t="str">
        <f>VLOOKUP(A58,'Trips&amp;Operators'!$C$1:$G$99999,5,FALSE)</f>
        <v>GUZMAN DANNY</v>
      </c>
      <c r="M58" s="6">
        <f t="shared" si="1"/>
        <v>2.8020833335176576E-2</v>
      </c>
      <c r="N58" s="7">
        <f t="shared" si="24"/>
        <v>40.350000002654269</v>
      </c>
      <c r="O58" s="7"/>
      <c r="P58" s="7"/>
      <c r="Q58" s="22"/>
      <c r="R58" s="170"/>
      <c r="S58" s="213">
        <f t="shared" si="25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-17T08:55:44-0600',mode:absolute,to:'2017-06-17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23.299800000000001</v>
      </c>
      <c r="Z58" s="197">
        <f t="shared" si="8"/>
        <v>1.49E-2</v>
      </c>
      <c r="AA58" s="197">
        <f t="shared" si="9"/>
        <v>23.2849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AF58" s="74" t="str">
        <f t="shared" si="12"/>
        <v>"C:\Program Files (x86)\AstroGrep\AstroGrep.exe" /e /r /s /spath="%USERPROFILE%\AppData\Local\Temp\OnboardLogs" /stypes="app*4013*20170617*"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146-17 --locoid 4013 --swversion DE.1.0.9.0 --startMP 204:232998 --initTime 2017-06-17T09:55:44 --startdatetime 2017-06-17T10:12:20 --delay 1 --endMP 204:149 --enddatetime 2017-06-17T10:52:41 --enforcementcount 0 &gt;&gt;C:\Users\stu\Documents\GitHub\eaglep3-reporting\EC\2017-06-17-refined-times.txt</v>
      </c>
      <c r="AI5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ID","value":"146-17"},{"id":16,"name":"Locomotive ID","value":"4013"},{"id":130,"name":"Impact","value":""},{"id":150,"name":"Time of Event (Mountain Time)","value":"10:52:41"},{"id":151,"name":"Denver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4013 --day 2017-06-17</v>
      </c>
      <c r="AN5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702</v>
      </c>
      <c r="B59" s="7">
        <v>4046</v>
      </c>
      <c r="C59" s="21" t="s">
        <v>202</v>
      </c>
      <c r="D59" s="21" t="s">
        <v>348</v>
      </c>
      <c r="E59" s="13">
        <v>42903.39203703704</v>
      </c>
      <c r="F59" s="13">
        <v>42903.395983796298</v>
      </c>
      <c r="G59" s="7">
        <v>1</v>
      </c>
      <c r="H59" s="21" t="s">
        <v>437</v>
      </c>
      <c r="I59" s="13">
        <v>42903.421631944446</v>
      </c>
      <c r="J59" s="7">
        <v>0</v>
      </c>
      <c r="K59" s="89" t="str">
        <f t="shared" si="0"/>
        <v>4045/4046</v>
      </c>
      <c r="L59" s="21" t="str">
        <f>VLOOKUP(A59,'Trips&amp;Operators'!$C$1:$G$99999,5,FALSE)</f>
        <v>DAVIS WENDY</v>
      </c>
      <c r="M59" s="6">
        <f t="shared" si="1"/>
        <v>2.5648148148320615E-2</v>
      </c>
      <c r="N59" s="7">
        <f t="shared" si="24"/>
        <v>36.933333333581686</v>
      </c>
      <c r="O59" s="7"/>
      <c r="P59" s="7"/>
      <c r="Q59" s="22"/>
      <c r="R59" s="170"/>
      <c r="S59" s="213">
        <f t="shared" si="25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-17T08:24:32-0600',mode:absolute,to:'2017-06-17T11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7"/>
        <v>4.58E-2</v>
      </c>
      <c r="Z59" s="197">
        <f t="shared" si="8"/>
        <v>23.329699999999999</v>
      </c>
      <c r="AA59" s="197">
        <f t="shared" si="9"/>
        <v>23.283899999999999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59" s="74" t="str">
        <f t="shared" si="12"/>
        <v>"C:\Program Files (x86)\AstroGrep\AstroGrep.exe" /e /r /s /spath="%USERPROFILE%\AppData\Local\Temp\OnboardLogs" /stypes="app*4046*20170617*"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147-17 --locoid 4046 --swversion DE.1.0.9.0 --startMP 204:458 --initTime 2017-06-17T09:24:32 --startdatetime 2017-06-17T09:30:13 --delay 1 --endMP 204:233297 --enddatetime 2017-06-17T10:07:09 --enforcementcount 0 &gt;&gt;C:\Users\stu\Documents\GitHub\eaglep3-reporting\EC\2017-06-17-refined-times.txt</v>
      </c>
      <c r="AI5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{"issue":{"subject":"","project_id":79,"tracker_id":40,"status_id":1,"priority_id":2,"assigned_to_id":23,"start_date":"2017-06-17","description":"","custom_fields":[{"id":1,"name":"Subdivision","value":"EC"},{"id":4,"name":"Milepost","value":"23.3297"},{"id":17,"name":"Train ID","value":"147-17"},{"id":16,"name":"Locomotive ID","value":"4046"},{"id":130,"name":"Impact","value":""},{"id":150,"name":"Time of Event (Mountain Time)","value":"10:07:09"},{"id":151,"name":"Denver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4046 --day 2017-06-17</v>
      </c>
      <c r="AN5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711</v>
      </c>
      <c r="B60" s="7">
        <v>4045</v>
      </c>
      <c r="C60" s="21" t="s">
        <v>202</v>
      </c>
      <c r="D60" s="21" t="s">
        <v>523</v>
      </c>
      <c r="E60" s="13">
        <v>42903.43005787037</v>
      </c>
      <c r="F60" s="13">
        <v>42903.435590277775</v>
      </c>
      <c r="G60" s="7">
        <v>1</v>
      </c>
      <c r="H60" s="21" t="s">
        <v>350</v>
      </c>
      <c r="I60" s="13">
        <v>42903.464803240742</v>
      </c>
      <c r="J60" s="7">
        <v>0</v>
      </c>
      <c r="K60" s="89" t="str">
        <f t="shared" si="0"/>
        <v>4045/4046</v>
      </c>
      <c r="L60" s="21" t="str">
        <f>VLOOKUP(A60,'Trips&amp;Operators'!$C$1:$G$99999,5,FALSE)</f>
        <v>DAVIS WENDY</v>
      </c>
      <c r="M60" s="6">
        <f t="shared" si="1"/>
        <v>2.9212962966994382E-2</v>
      </c>
      <c r="N60" s="7">
        <f t="shared" si="24"/>
        <v>42.066666672471911</v>
      </c>
      <c r="O60" s="7"/>
      <c r="P60" s="7"/>
      <c r="Q60" s="22"/>
      <c r="R60" s="170"/>
      <c r="S60" s="213">
        <f t="shared" si="25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-17T09:19:17-0600',mode:absolute,to:'2017-06-17T12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7"/>
        <v>23.3</v>
      </c>
      <c r="Z60" s="197">
        <f t="shared" si="8"/>
        <v>1.49E-2</v>
      </c>
      <c r="AA60" s="197">
        <f t="shared" si="9"/>
        <v>23.2851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60" s="74" t="str">
        <f t="shared" si="12"/>
        <v>"C:\Program Files (x86)\AstroGrep\AstroGrep.exe" /e /r /s /spath="%USERPROFILE%\AppData\Local\Temp\OnboardLogs" /stypes="app*4045*20170617*"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148-17 --locoid 4045 --swversion DE.1.0.9.0 --startMP 204:233000 --initTime 2017-06-17T10:19:17 --startdatetime 2017-06-17T10:27:15 --delay 1 --endMP 204:149 --enddatetime 2017-06-17T11:09:19 --enforcementcount 0 &gt;&gt;C:\Users\stu\Documents\GitHub\eaglep3-reporting\EC\2017-06-17-refined-times.txt</v>
      </c>
      <c r="AI6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ID","value":"148-17"},{"id":16,"name":"Locomotive ID","value":"4045"},{"id":130,"name":"Impact","value":""},{"id":150,"name":"Time of Event (Mountain Time)","value":"11:09:19"},{"id":151,"name":"Denver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4045 --day 2017-06-17</v>
      </c>
      <c r="AN6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705</v>
      </c>
      <c r="B61" s="7">
        <v>4024</v>
      </c>
      <c r="C61" s="21" t="s">
        <v>202</v>
      </c>
      <c r="D61" s="21" t="s">
        <v>198</v>
      </c>
      <c r="E61" s="13">
        <v>42903.401990740742</v>
      </c>
      <c r="F61" s="13">
        <v>42903.406458333331</v>
      </c>
      <c r="G61" s="7">
        <v>1</v>
      </c>
      <c r="H61" s="21" t="s">
        <v>867</v>
      </c>
      <c r="I61" s="13">
        <v>42903.432951388888</v>
      </c>
      <c r="J61" s="7">
        <v>0</v>
      </c>
      <c r="K61" s="89" t="str">
        <f t="shared" si="0"/>
        <v>4023/4024</v>
      </c>
      <c r="L61" s="21" t="str">
        <f>VLOOKUP(A61,'Trips&amp;Operators'!$C$1:$G$99999,5,FALSE)</f>
        <v>GEBRETEKLE DAGNEW</v>
      </c>
      <c r="M61" s="6">
        <f t="shared" si="1"/>
        <v>2.6493055556784384E-2</v>
      </c>
      <c r="N61" s="7">
        <f t="shared" si="24"/>
        <v>38.150000001769513</v>
      </c>
      <c r="O61" s="7"/>
      <c r="P61" s="7"/>
      <c r="Q61" s="22"/>
      <c r="R61" s="170"/>
      <c r="S61" s="213">
        <f t="shared" si="25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-17T08:38:52-0600',mode:absolute,to:'2017-06-17T11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7"/>
        <v>4.5699999999999998E-2</v>
      </c>
      <c r="Z61" s="197">
        <f t="shared" si="8"/>
        <v>23.337399999999999</v>
      </c>
      <c r="AA61" s="197">
        <f t="shared" si="9"/>
        <v>23.291699999999999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61" s="74" t="str">
        <f t="shared" si="12"/>
        <v>"C:\Program Files (x86)\AstroGrep\AstroGrep.exe" /e /r /s /spath="%USERPROFILE%\AppData\Local\Temp\OnboardLogs" /stypes="app*4024*20170617*"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149-17 --locoid 4024 --swversion DE.1.0.9.0 --startMP 204:457 --initTime 2017-06-17T09:38:52 --startdatetime 2017-06-17T09:45:18 --delay 1 --endMP 204:233374 --enddatetime 2017-06-17T10:23:27 --enforcementcount 0 &gt;&gt;C:\Users\stu\Documents\GitHub\eaglep3-reporting\EC\2017-06-17-refined-times.txt</v>
      </c>
      <c r="AI6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{"issue":{"subject":"","project_id":79,"tracker_id":40,"status_id":1,"priority_id":2,"assigned_to_id":23,"start_date":"2017-06-17","description":"","custom_fields":[{"id":1,"name":"Subdivision","value":"EC"},{"id":4,"name":"Milepost","value":"23.3374"},{"id":17,"name":"Train ID","value":"149-17"},{"id":16,"name":"Locomotive ID","value":"4024"},{"id":130,"name":"Impact","value":""},{"id":150,"name":"Time of Event (Mountain Time)","value":"10:23:27"},{"id":151,"name":"Denver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4024 --day 2017-06-17</v>
      </c>
      <c r="AN6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4023</v>
      </c>
      <c r="C62" s="21" t="s">
        <v>202</v>
      </c>
      <c r="D62" s="21" t="s">
        <v>868</v>
      </c>
      <c r="E62" s="13">
        <v>42903.434606481482</v>
      </c>
      <c r="F62" s="13">
        <v>42903.446087962962</v>
      </c>
      <c r="G62" s="7">
        <v>1</v>
      </c>
      <c r="H62" s="21" t="s">
        <v>349</v>
      </c>
      <c r="I62" s="13">
        <v>42903.474305555559</v>
      </c>
      <c r="J62" s="7">
        <v>0</v>
      </c>
      <c r="K62" s="89" t="str">
        <f t="shared" si="0"/>
        <v>4023/4024</v>
      </c>
      <c r="L62" s="21" t="str">
        <f>VLOOKUP(A62,'Trips&amp;Operators'!$C$1:$G$99999,5,FALSE)</f>
        <v>GEBRETEKLE DAGNEW</v>
      </c>
      <c r="M62" s="6">
        <f t="shared" si="1"/>
        <v>2.8217592596774921E-2</v>
      </c>
      <c r="N62" s="7">
        <f t="shared" si="24"/>
        <v>40.633333339355886</v>
      </c>
      <c r="O62" s="7"/>
      <c r="P62" s="7"/>
      <c r="Q62" s="22"/>
      <c r="R62" s="170"/>
      <c r="S62" s="213">
        <f t="shared" si="25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-17T09:25:50-0600',mode:absolute,to:'2017-06-17T12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7"/>
        <v>23.304500000000001</v>
      </c>
      <c r="Z62" s="197">
        <f t="shared" si="8"/>
        <v>1.4999999999999999E-2</v>
      </c>
      <c r="AA62" s="197">
        <f t="shared" si="9"/>
        <v>23.2895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62" s="74" t="str">
        <f t="shared" si="12"/>
        <v>"C:\Program Files (x86)\AstroGrep\AstroGrep.exe" /e /r /s /spath="%USERPROFILE%\AppData\Local\Temp\OnboardLogs" /stypes="app*4023*20170617*"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150-17 --locoid 4023 --swversion DE.1.0.9.0 --startMP 204:233045 --initTime 2017-06-17T10:25:50 --startdatetime 2017-06-17T10:42:22 --delay 1 --endMP 204:150 --enddatetime 2017-06-17T11:23:00 --enforcementcount 0 &gt;&gt;C:\Users\stu\Documents\GitHub\eaglep3-reporting\EC\2017-06-17-refined-times.txt</v>
      </c>
      <c r="AI62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ID","value":"150-17"},{"id":16,"name":"Locomotive ID","value":"4023"},{"id":130,"name":"Impact","value":""},{"id":150,"name":"Time of Event (Mountain Time)","value":"11:23:00"},{"id":151,"name":"Denver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4023 --day 2017-06-17</v>
      </c>
      <c r="AN62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707</v>
      </c>
      <c r="B63" s="7">
        <v>4004</v>
      </c>
      <c r="C63" s="21" t="s">
        <v>202</v>
      </c>
      <c r="D63" s="21" t="s">
        <v>392</v>
      </c>
      <c r="E63" s="13">
        <v>42903.410995370374</v>
      </c>
      <c r="F63" s="13">
        <v>42903.416828703703</v>
      </c>
      <c r="G63" s="7">
        <v>1</v>
      </c>
      <c r="H63" s="21" t="s">
        <v>869</v>
      </c>
      <c r="I63" s="13">
        <v>42903.442337962966</v>
      </c>
      <c r="J63" s="7">
        <v>0</v>
      </c>
      <c r="K63" s="89" t="str">
        <f t="shared" si="0"/>
        <v>4003/4004</v>
      </c>
      <c r="L63" s="21" t="str">
        <f>VLOOKUP(A63,'Trips&amp;Operators'!$C$1:$G$99999,5,FALSE)</f>
        <v>LALONDE GREGORY</v>
      </c>
      <c r="M63" s="6">
        <f t="shared" si="1"/>
        <v>2.5509259263344575E-2</v>
      </c>
      <c r="N63" s="7">
        <f t="shared" si="24"/>
        <v>36.733333339216188</v>
      </c>
      <c r="O63" s="7"/>
      <c r="P63" s="7"/>
      <c r="Q63" s="22"/>
      <c r="R63" s="170"/>
      <c r="S63" s="213">
        <f t="shared" si="25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-17T08:51:50-0600',mode:absolute,to:'2017-06-17T11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7"/>
        <v>4.6199999999999998E-2</v>
      </c>
      <c r="Z63" s="197">
        <f t="shared" si="8"/>
        <v>23.3337</v>
      </c>
      <c r="AA63" s="197">
        <f t="shared" si="9"/>
        <v>23.287500000000001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63" s="74" t="str">
        <f t="shared" si="12"/>
        <v>"C:\Program Files (x86)\AstroGrep\AstroGrep.exe" /e /r /s /spath="%USERPROFILE%\AppData\Local\Temp\OnboardLogs" /stypes="app*4004*20170617*"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151-17 --locoid 4004 --swversion DE.1.0.9.0 --startMP 204:462 --initTime 2017-06-17T09:51:50 --startdatetime 2017-06-17T10:00:14 --delay 1 --endMP 204:233337 --enddatetime 2017-06-17T10:36:58 --enforcementcount 0 &gt;&gt;C:\Users\stu\Documents\GitHub\eaglep3-reporting\EC\2017-06-17-refined-times.txt</v>
      </c>
      <c r="AI63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{"issue":{"subject":"","project_id":79,"tracker_id":40,"status_id":1,"priority_id":2,"assigned_to_id":23,"start_date":"2017-06-17","description":"","custom_fields":[{"id":1,"name":"Subdivision","value":"EC"},{"id":4,"name":"Milepost","value":"23.3337"},{"id":17,"name":"Train ID","value":"151-17"},{"id":16,"name":"Locomotive ID","value":"4004"},{"id":130,"name":"Impact","value":""},{"id":150,"name":"Time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4004 --day 2017-06-17</v>
      </c>
      <c r="AN63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610</v>
      </c>
      <c r="B64" s="7">
        <v>4003</v>
      </c>
      <c r="C64" s="21" t="s">
        <v>202</v>
      </c>
      <c r="D64" s="21" t="s">
        <v>844</v>
      </c>
      <c r="E64" s="13">
        <v>42903.444131944445</v>
      </c>
      <c r="F64" s="13">
        <v>42903.456400462965</v>
      </c>
      <c r="G64" s="7">
        <v>0</v>
      </c>
      <c r="H64" s="21" t="s">
        <v>193</v>
      </c>
      <c r="I64" s="13">
        <v>42903.484803240739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LALONDE GREGORY</v>
      </c>
      <c r="M64" s="6">
        <f t="shared" si="1"/>
        <v>2.8402777774317656E-2</v>
      </c>
      <c r="N64" s="7">
        <f t="shared" si="24"/>
        <v>40.899999995017424</v>
      </c>
      <c r="O64" s="7"/>
      <c r="P64" s="7"/>
      <c r="Q64" s="22"/>
      <c r="R64" s="170"/>
      <c r="S64" s="213">
        <f t="shared" si="25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-17T09:39:33-0600',mode:absolute,to:'2017-06-17T12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197" t="str">
        <f>IF(AA64&lt;VLOOKUP(AG64,Variables!$AC$3:$AD$8,2,FALSE),"Y","N")</f>
        <v>N</v>
      </c>
      <c r="X64" s="197">
        <f t="shared" ref="X64:X95" si="26">VALUE(LEFT(AD64,4))-VALUE(LEFT(AD63,4))</f>
        <v>1</v>
      </c>
      <c r="Y64" s="197">
        <f t="shared" si="7"/>
        <v>23.301100000000002</v>
      </c>
      <c r="Z64" s="197">
        <f t="shared" si="8"/>
        <v>1.52E-2</v>
      </c>
      <c r="AA64" s="197">
        <f t="shared" si="9"/>
        <v>23.285900000000002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64" s="74" t="str">
        <f t="shared" si="12"/>
        <v>"C:\Program Files (x86)\AstroGrep\AstroGrep.exe" /e /r /s /spath="%USERPROFILE%\AppData\Local\Temp\OnboardLogs" /stypes="app*4003*20170617*"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152-17 --locoid 4003 --swversion DE.1.0.9.0 --startMP 204:233011 --initTime 2017-06-17T10:39:33 --startdatetime 2017-06-17T10:57:13 --delay 0 --endMP 204:152 --enddatetime 2017-06-17T11:38:07 --enforcementcount 0 &gt;&gt;C:\Users\stu\Documents\GitHub\eaglep3-reporting\EC\2017-06-17-refined-times.txt</v>
      </c>
      <c r="AI6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ID","value":"152-17"},{"id":16,"name":"Locomotive ID","value":"4003"},{"id":130,"name":"Impact","value":""},{"id":150,"name":"Time of Event (Mountain Time)","value":"11:38:07"},{"id":151,"name":"Denver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4003 --day 2017-06-17</v>
      </c>
      <c r="AN6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710</v>
      </c>
      <c r="B65" s="7">
        <v>4032</v>
      </c>
      <c r="C65" s="21" t="s">
        <v>202</v>
      </c>
      <c r="D65" s="21" t="s">
        <v>347</v>
      </c>
      <c r="E65" s="13">
        <v>42903.424421296295</v>
      </c>
      <c r="F65" s="13">
        <v>42903.427256944444</v>
      </c>
      <c r="G65" s="7">
        <v>2</v>
      </c>
      <c r="H65" s="21" t="s">
        <v>870</v>
      </c>
      <c r="I65" s="13">
        <v>42903.455555555556</v>
      </c>
      <c r="J65" s="7">
        <v>0</v>
      </c>
      <c r="K65" s="89" t="str">
        <f t="shared" si="0"/>
        <v>4031/4032</v>
      </c>
      <c r="L65" s="21" t="str">
        <f>VLOOKUP(A65,'Trips&amp;Operators'!$C$1:$G$99999,5,FALSE)</f>
        <v>SULLIVAN BRANDON</v>
      </c>
      <c r="M65" s="6">
        <f t="shared" si="1"/>
        <v>2.8298611112404615E-2</v>
      </c>
      <c r="N65" s="7">
        <f t="shared" si="24"/>
        <v>40.750000001862645</v>
      </c>
      <c r="O65" s="7"/>
      <c r="P65" s="7"/>
      <c r="Q65" s="22"/>
      <c r="R65" s="170"/>
      <c r="S65" s="213">
        <f t="shared" si="25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-17T09:11:10-0600',mode:absolute,to:'2017-06-17T11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 t="shared" si="7"/>
        <v>4.4600000000000001E-2</v>
      </c>
      <c r="Z65" s="197">
        <f t="shared" si="8"/>
        <v>23.334</v>
      </c>
      <c r="AA65" s="197">
        <f t="shared" si="9"/>
        <v>23.289400000000001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65" s="74" t="str">
        <f t="shared" si="12"/>
        <v>"C:\Program Files (x86)\AstroGrep\AstroGrep.exe" /e /r /s /spath="%USERPROFILE%\AppData\Local\Temp\OnboardLogs" /stypes="app*4032*20170617*"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153-17 --locoid 4032 --swversion DE.1.0.9.0 --startMP 204:446 --initTime 2017-06-17T10:11:10 --startdatetime 2017-06-17T10:15:15 --delay 2 --endMP 204:233340 --enddatetime 2017-06-17T10:56:00 --enforcementcount 0 &gt;&gt;C:\Users\stu\Documents\GitHub\eaglep3-reporting\EC\2017-06-17-refined-times.txt</v>
      </c>
      <c r="AI6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{"issue":{"subject":"","project_id":79,"tracker_id":40,"status_id":1,"priority_id":2,"assigned_to_id":23,"start_date":"2017-06-17","description":"","custom_fields":[{"id":1,"name":"Subdivision","value":"EC"},{"id":4,"name":"Milepost","value":"23.334"},{"id":17,"name":"Train ID","value":"153-17"},{"id":16,"name":"Locomotive ID","value":"4032"},{"id":130,"name":"Impact","value":""},{"id":150,"name":"Time of Event (Mountain Time)","value":"10:56:00"},{"id":151,"name":"Denver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4032 --day 2017-06-17</v>
      </c>
      <c r="AN6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613</v>
      </c>
      <c r="B66" s="7">
        <v>4031</v>
      </c>
      <c r="C66" s="21" t="s">
        <v>202</v>
      </c>
      <c r="D66" s="21" t="s">
        <v>871</v>
      </c>
      <c r="E66" s="13">
        <v>42903.460081018522</v>
      </c>
      <c r="F66" s="13">
        <v>42903.466851851852</v>
      </c>
      <c r="G66" s="7">
        <v>1</v>
      </c>
      <c r="H66" s="21" t="s">
        <v>350</v>
      </c>
      <c r="I66" s="13">
        <v>42903.497511574074</v>
      </c>
      <c r="J66" s="7">
        <v>0</v>
      </c>
      <c r="K66" s="89" t="str">
        <f t="shared" si="0"/>
        <v>4031/4032</v>
      </c>
      <c r="L66" s="21" t="str">
        <f>VLOOKUP(A66,'Trips&amp;Operators'!$C$1:$G$99999,5,FALSE)</f>
        <v>SULLIVAN BRANDON</v>
      </c>
      <c r="M66" s="6">
        <f t="shared" si="1"/>
        <v>3.0659722222480923E-2</v>
      </c>
      <c r="N66" s="7">
        <f t="shared" si="24"/>
        <v>44.150000000372529</v>
      </c>
      <c r="O66" s="7"/>
      <c r="P66" s="7"/>
      <c r="Q66" s="22"/>
      <c r="R66" s="170"/>
      <c r="S66" s="213">
        <f t="shared" si="25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-17T10:02:31-0600',mode:absolute,to:'2017-06-17T12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197" t="str">
        <f>IF(AA66&lt;VLOOKUP(AG66,Variables!$AC$3:$AD$8,2,FALSE),"Y","N")</f>
        <v>N</v>
      </c>
      <c r="X66" s="197">
        <f t="shared" si="26"/>
        <v>1</v>
      </c>
      <c r="Y66" s="197">
        <f t="shared" si="7"/>
        <v>23.301300000000001</v>
      </c>
      <c r="Z66" s="197">
        <f t="shared" si="8"/>
        <v>1.49E-2</v>
      </c>
      <c r="AA66" s="197">
        <f t="shared" si="9"/>
        <v>23.2864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66" s="74" t="str">
        <f t="shared" si="12"/>
        <v>"C:\Program Files (x86)\AstroGrep\AstroGrep.exe" /e /r /s /spath="%USERPROFILE%\AppData\Local\Temp\OnboardLogs" /stypes="app*4031*20170617*"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154-17 --locoid 4031 --swversion DE.1.0.9.0 --startMP 204:233013 --initTime 2017-06-17T11:02:31 --startdatetime 2017-06-17T11:12:16 --delay 1 --endMP 204:149 --enddatetime 2017-06-17T11:56:25 --enforcementcount 0 &gt;&gt;C:\Users\stu\Documents\GitHub\eaglep3-reporting\EC\2017-06-17-refined-times.txt</v>
      </c>
      <c r="AI6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ID","value":"154-17"},{"id":16,"name":"Locomotive ID","value":"4031"},{"id":130,"name":"Impact","value":""},{"id":150,"name":"Time of Event (Mountain Time)","value":"11:56:25"},{"id":151,"name":"Denver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4031 --day 2017-06-17</v>
      </c>
      <c r="AN6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713</v>
      </c>
      <c r="B67" s="7">
        <v>4020</v>
      </c>
      <c r="C67" s="21" t="s">
        <v>202</v>
      </c>
      <c r="D67" s="21" t="s">
        <v>518</v>
      </c>
      <c r="E67" s="13">
        <v>42903.435069444444</v>
      </c>
      <c r="F67" s="13">
        <v>42903.437685185185</v>
      </c>
      <c r="G67" s="7">
        <v>1</v>
      </c>
      <c r="H67" s="21" t="s">
        <v>457</v>
      </c>
      <c r="I67" s="13">
        <v>42903.464131944442</v>
      </c>
      <c r="J67" s="7">
        <v>0</v>
      </c>
      <c r="K67" s="89" t="str">
        <f t="shared" si="0"/>
        <v>4019/4020</v>
      </c>
      <c r="L67" s="21" t="str">
        <f>VLOOKUP(A67,'Trips&amp;Operators'!$C$1:$G$99999,5,FALSE)</f>
        <v>DAVIDSON DAVID</v>
      </c>
      <c r="M67" s="6">
        <f t="shared" si="1"/>
        <v>2.6446759256941732E-2</v>
      </c>
      <c r="N67" s="7">
        <f t="shared" si="24"/>
        <v>38.083333329996094</v>
      </c>
      <c r="O67" s="7"/>
      <c r="P67" s="7"/>
      <c r="Q67" s="22"/>
      <c r="R67" s="170"/>
      <c r="S67" s="213">
        <f t="shared" si="25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-17T09:26:30-0600',mode:absolute,to:'2017-06-17T12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97" t="str">
        <f>IF(AA67&lt;VLOOKUP(AG67,Variables!$AC$3:$AD$8,2,FALSE),"Y","N")</f>
        <v>N</v>
      </c>
      <c r="X67" s="197">
        <f t="shared" si="26"/>
        <v>1</v>
      </c>
      <c r="Y67" s="197">
        <f t="shared" si="7"/>
        <v>4.5499999999999999E-2</v>
      </c>
      <c r="Z67" s="197">
        <f t="shared" si="8"/>
        <v>23.329499999999999</v>
      </c>
      <c r="AA67" s="197">
        <f t="shared" si="9"/>
        <v>23.283999999999999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67" s="74" t="str">
        <f t="shared" si="12"/>
        <v>"C:\Program Files (x86)\AstroGrep\AstroGrep.exe" /e /r /s /spath="%USERPROFILE%\AppData\Local\Temp\OnboardLogs" /stypes="app*4020*20170617*"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155-17 --locoid 4020 --swversion DE.1.0.9.0 --startMP 204:455 --initTime 2017-06-17T10:26:30 --startdatetime 2017-06-17T10:30:16 --delay 1 --endMP 204:233295 --enddatetime 2017-06-17T11:08:21 --enforcementcount 0 &gt;&gt;C:\Users\stu\Documents\GitHub\eaglep3-reporting\EC\2017-06-17-refined-times.txt</v>
      </c>
      <c r="AI67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{"issue":{"subject":"","project_id":79,"tracker_id":40,"status_id":1,"priority_id":2,"assigned_to_id":23,"start_date":"2017-06-17","description":"","custom_fields":[{"id":1,"name":"Subdivision","value":"EC"},{"id":4,"name":"Milepost","value":"23.3295"},{"id":17,"name":"Train ID","value":"155-17"},{"id":16,"name":"Locomotive ID","value":"4020"},{"id":130,"name":"Impact","value":""},{"id":150,"name":"Time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4020 --day 2017-06-17</v>
      </c>
      <c r="AN67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717</v>
      </c>
      <c r="B68" s="7">
        <v>4019</v>
      </c>
      <c r="C68" s="21" t="s">
        <v>202</v>
      </c>
      <c r="D68" s="21" t="s">
        <v>872</v>
      </c>
      <c r="E68" s="13">
        <v>42903.465856481482</v>
      </c>
      <c r="F68" s="13">
        <v>42903.478055555555</v>
      </c>
      <c r="G68" s="7">
        <v>1</v>
      </c>
      <c r="H68" s="21" t="s">
        <v>441</v>
      </c>
      <c r="I68" s="13">
        <v>42903.508159722223</v>
      </c>
      <c r="J68" s="7">
        <v>0</v>
      </c>
      <c r="K68" s="89" t="str">
        <f t="shared" si="0"/>
        <v>4019/4020</v>
      </c>
      <c r="L68" s="21" t="str">
        <f>VLOOKUP(A68,'Trips&amp;Operators'!$C$1:$G$99999,5,FALSE)</f>
        <v>DAVIDSON DAVID</v>
      </c>
      <c r="M68" s="6">
        <f t="shared" si="1"/>
        <v>3.0104166668024845E-2</v>
      </c>
      <c r="N68" s="7">
        <f t="shared" si="24"/>
        <v>43.350000001955777</v>
      </c>
      <c r="O68" s="7"/>
      <c r="P68" s="7"/>
      <c r="Q68" s="22"/>
      <c r="R68" s="170"/>
      <c r="S68" s="213">
        <f t="shared" si="25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-17T10:10:50-0600',mode:absolute,to:'2017-06-17T13:11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7"/>
        <v>23.297799999999999</v>
      </c>
      <c r="Z68" s="197">
        <f t="shared" si="8"/>
        <v>1.5599999999999999E-2</v>
      </c>
      <c r="AA68" s="197">
        <f t="shared" si="9"/>
        <v>23.2822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68" s="74" t="str">
        <f t="shared" si="12"/>
        <v>"C:\Program Files (x86)\AstroGrep\AstroGrep.exe" /e /r /s /spath="%USERPROFILE%\AppData\Local\Temp\OnboardLogs" /stypes="app*4019*20170617*"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156-17 --locoid 4019 --swversion DE.1.0.9.0 --startMP 204:232978 --initTime 2017-06-17T11:10:50 --startdatetime 2017-06-17T11:28:24 --delay 1 --endMP 204:156 --enddatetime 2017-06-17T12:11:45 --enforcementcount 0 &gt;&gt;C:\Users\stu\Documents\GitHub\eaglep3-reporting\EC\2017-06-17-refined-times.txt</v>
      </c>
      <c r="AI68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{"issue":{"subject":"","project_id":79,"tracker_id":40,"status_id":1,"priority_id":2,"assigned_to_id":23,"start_date":"2017-06-17","description":"","custom_fields":[{"id":1,"name":"Subdivision","value":"EC"},{"id":4,"name":"Milepost","value":"0.0156"},{"id":17,"name":"Train ID","value":"156-17"},{"id":16,"name":"Locomotive ID","value":"4019"},{"id":130,"name":"Impact","value":""},{"id":150,"name":"Time of Event (Mountain Time)","value":"12:11:45"},{"id":151,"name":"Denver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4019 --day 2017-06-17</v>
      </c>
      <c r="AN68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715</v>
      </c>
      <c r="B69" s="7">
        <v>4040</v>
      </c>
      <c r="C69" s="21" t="s">
        <v>202</v>
      </c>
      <c r="D69" s="21" t="s">
        <v>461</v>
      </c>
      <c r="E69" s="13">
        <v>42903.449305555558</v>
      </c>
      <c r="F69" s="13">
        <v>42903.451215277775</v>
      </c>
      <c r="G69" s="7">
        <v>1</v>
      </c>
      <c r="H69" s="21" t="s">
        <v>476</v>
      </c>
      <c r="I69" s="13">
        <v>42903.477511574078</v>
      </c>
      <c r="J69" s="7">
        <v>0</v>
      </c>
      <c r="K69" s="89" t="str">
        <f t="shared" si="0"/>
        <v>4039/4040</v>
      </c>
      <c r="L69" s="21" t="str">
        <f>VLOOKUP(A69,'Trips&amp;Operators'!$C$1:$G$99999,5,FALSE)</f>
        <v>STEWART MICHAEL</v>
      </c>
      <c r="M69" s="6">
        <f t="shared" si="1"/>
        <v>2.6296296302461997E-2</v>
      </c>
      <c r="N69" s="7">
        <f t="shared" si="24"/>
        <v>37.866666675545275</v>
      </c>
      <c r="O69" s="7"/>
      <c r="P69" s="7"/>
      <c r="Q69" s="22"/>
      <c r="R69" s="170"/>
      <c r="S69" s="213">
        <f t="shared" si="25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-17T09:47:00-0600',mode:absolute,to:'2017-06-17T12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7"/>
        <v>4.6899999999999997E-2</v>
      </c>
      <c r="Z69" s="197">
        <f t="shared" si="8"/>
        <v>23.331</v>
      </c>
      <c r="AA69" s="197">
        <f t="shared" si="9"/>
        <v>23.284099999999999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69" s="74" t="str">
        <f t="shared" si="12"/>
        <v>"C:\Program Files (x86)\AstroGrep\AstroGrep.exe" /e /r /s /spath="%USERPROFILE%\AppData\Local\Temp\OnboardLogs" /stypes="app*4040*20170617*"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157-17 --locoid 4040 --swversion DE.1.0.9.0 --startMP 204:469 --initTime 2017-06-17T10:47:00 --startdatetime 2017-06-17T10:49:45 --delay 1 --endMP 204:233310 --enddatetime 2017-06-17T11:27:37 --enforcementcount 0 &gt;&gt;C:\Users\stu\Documents\GitHub\eaglep3-reporting\EC\2017-06-17-refined-times.txt</v>
      </c>
      <c r="AI69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{"issue":{"subject":"","project_id":79,"tracker_id":40,"status_id":1,"priority_id":2,"assigned_to_id":23,"start_date":"2017-06-17","description":"","custom_fields":[{"id":1,"name":"Subdivision","value":"EC"},{"id":4,"name":"Milepost","value":"23.331"},{"id":17,"name":"Train ID","value":"157-17"},{"id":16,"name":"Locomotive ID","value":"4040"},{"id":130,"name":"Impact","value":""},{"id":150,"name":"Time of Event (Mountain Time)","value":"11:27:37"},{"id":151,"name":"Denver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4040 --day 2017-06-17</v>
      </c>
      <c r="AN69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722</v>
      </c>
      <c r="B70" s="7">
        <v>4039</v>
      </c>
      <c r="C70" s="21" t="s">
        <v>202</v>
      </c>
      <c r="D70" s="21" t="s">
        <v>458</v>
      </c>
      <c r="E70" s="13">
        <v>42903.486203703702</v>
      </c>
      <c r="F70" s="13">
        <v>42903.48778935185</v>
      </c>
      <c r="G70" s="7">
        <v>1</v>
      </c>
      <c r="H70" s="21" t="s">
        <v>193</v>
      </c>
      <c r="I70" s="13">
        <v>42903.516226851854</v>
      </c>
      <c r="J70" s="7">
        <v>0</v>
      </c>
      <c r="K70" s="89" t="str">
        <f t="shared" si="0"/>
        <v>4039/4040</v>
      </c>
      <c r="L70" s="21" t="str">
        <f>VLOOKUP(A70,'Trips&amp;Operators'!$C$1:$G$99999,5,FALSE)</f>
        <v>STEWART MICHAEL</v>
      </c>
      <c r="M70" s="6">
        <f t="shared" si="1"/>
        <v>2.8437500004656613E-2</v>
      </c>
      <c r="N70" s="7">
        <f t="shared" si="24"/>
        <v>40.950000006705523</v>
      </c>
      <c r="O70" s="7"/>
      <c r="P70" s="7"/>
      <c r="Q70" s="22"/>
      <c r="R70" s="170"/>
      <c r="S70" s="213">
        <f t="shared" si="25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-17T10:40:08-0600',mode:absolute,to:'2017-06-17T13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7"/>
        <v>23.2987</v>
      </c>
      <c r="Z70" s="197">
        <f t="shared" si="8"/>
        <v>1.52E-2</v>
      </c>
      <c r="AA70" s="197">
        <f t="shared" si="9"/>
        <v>23.2835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70" s="74" t="str">
        <f t="shared" si="12"/>
        <v>"C:\Program Files (x86)\AstroGrep\AstroGrep.exe" /e /r /s /spath="%USERPROFILE%\AppData\Local\Temp\OnboardLogs" /stypes="app*4039*20170617*"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158-17 --locoid 4039 --swversion DE.1.0.9.0 --startMP 204:232987 --initTime 2017-06-17T11:40:08 --startdatetime 2017-06-17T11:42:25 --delay 1 --endMP 204:152 --enddatetime 2017-06-17T12:23:22 --enforcementcount 0 &gt;&gt;C:\Users\stu\Documents\GitHub\eaglep3-reporting\EC\2017-06-17-refined-times.txt</v>
      </c>
      <c r="AI70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ID","value":"158-17"},{"id":16,"name":"Locomotive ID","value":"4039"},{"id":130,"name":"Impact","value":""},{"id":150,"name":"Time of Event (Mountain Time)","value":"12:23:22"},{"id":151,"name":"Denver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4039 --day 2017-06-17</v>
      </c>
      <c r="AN70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716</v>
      </c>
      <c r="B71" s="7">
        <v>4014</v>
      </c>
      <c r="C71" s="21" t="s">
        <v>202</v>
      </c>
      <c r="D71" s="21" t="s">
        <v>353</v>
      </c>
      <c r="E71" s="13">
        <v>42903.45585648148</v>
      </c>
      <c r="F71" s="13">
        <v>42903.458495370367</v>
      </c>
      <c r="G71" s="7">
        <v>1</v>
      </c>
      <c r="H71" s="21" t="s">
        <v>873</v>
      </c>
      <c r="I71" s="13">
        <v>42903.485509259262</v>
      </c>
      <c r="J71" s="7">
        <v>0</v>
      </c>
      <c r="K71" s="89" t="str">
        <f t="shared" si="0"/>
        <v>4013/4014</v>
      </c>
      <c r="L71" s="21" t="str">
        <f>VLOOKUP(A71,'Trips&amp;Operators'!$C$1:$G$99999,5,FALSE)</f>
        <v>GUZMAN DANNY</v>
      </c>
      <c r="M71" s="6">
        <f t="shared" si="1"/>
        <v>2.701388889545342E-2</v>
      </c>
      <c r="N71" s="7">
        <f t="shared" si="24"/>
        <v>38.900000009452924</v>
      </c>
      <c r="O71" s="7"/>
      <c r="P71" s="7"/>
      <c r="Q71" s="22"/>
      <c r="R71" s="170"/>
      <c r="S71" s="213">
        <f t="shared" si="25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-17T09:56:26-0600',mode:absolute,to:'2017-06-17T12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197" t="str">
        <f>IF(AA71&lt;VLOOKUP(AG71,Variables!$AC$3:$AD$8,2,FALSE),"Y","N")</f>
        <v>N</v>
      </c>
      <c r="X71" s="197">
        <f t="shared" si="26"/>
        <v>1</v>
      </c>
      <c r="Y71" s="197">
        <f t="shared" si="7"/>
        <v>4.5100000000000001E-2</v>
      </c>
      <c r="Z71" s="197">
        <f t="shared" si="8"/>
        <v>23.3368</v>
      </c>
      <c r="AA71" s="197">
        <f t="shared" si="9"/>
        <v>23.291699999999999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s3://rtdc.mdm.uploadarchive.raw/RTDC4014/ "%USERPROFILE%\AppData\Local\Temp\OnboardLogs"\RTDC4014\2017-06-17 --exclude "*" --recursive --include "*20170617*" &amp; "%USERPROFILE%\Documents\GitHub\mrs-test-scripts\Headless Mode &amp; Sideloading\WalkAndUnGZ.bat" "%USERPROFILE%\AppData\Local\Temp\OnboardLogs"\RTDC4014\2017-06-17 &amp; aws s3 cp s3://rtdc.mdm.uploadarchive.raw/RTDC4014/ "%USERPROFILE%\AppData\Local\Temp\OnboardLogs"\RTDC4014\2017-06-18 --exclude "*" --recursive --include "*20170618*" &amp; "%USERPROFILE%\Documents\GitHub\mrs-test-scripts\Headless Mode &amp; Sideloading\WalkAndUnGZ.bat" "%USERPROFILE%\AppData\Local\Temp\OnboardLogs"\RTDC4014\2017-06-18</v>
      </c>
      <c r="AF71" s="74" t="str">
        <f t="shared" si="12"/>
        <v>"C:\Program Files (x86)\AstroGrep\AstroGrep.exe" /e /r /s /spath="%USERPROFILE%\AppData\Local\Temp\OnboardLogs" /stypes="app*4014*20170617*"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159-17 --locoid 4014 --swversion DE.1.0.9.0 --startMP 204:451 --initTime 2017-06-17T10:56:26 --startdatetime 2017-06-17T11:00:14 --delay 1 --endMP 204:233368 --enddatetime 2017-06-17T11:39:08 --enforcementcount 0 &gt;&gt;C:\Users\stu\Documents\GitHub\eaglep3-reporting\EC\2017-06-17-refined-times.txt</v>
      </c>
      <c r="AI71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{"issue":{"subject":"","project_id":79,"tracker_id":40,"status_id":1,"priority_id":2,"assigned_to_id":23,"start_date":"2017-06-17","description":"","custom_fields":[{"id":1,"name":"Subdivision","value":"EC"},{"id":4,"name":"Milepost","value":"23.3368"},{"id":17,"name":"Train ID","value":"159-17"},{"id":16,"name":"Locomotive ID","value":"4014"},{"id":130,"name":"Impact","value":""},{"id":150,"name":"Time of Event (Mountain Time)","value":"11:39:08"},{"id":151,"name":"Denver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4014 --day 2017-06-17</v>
      </c>
      <c r="AN71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726</v>
      </c>
      <c r="B72" s="7">
        <v>4013</v>
      </c>
      <c r="C72" s="21" t="s">
        <v>202</v>
      </c>
      <c r="D72" s="21" t="s">
        <v>872</v>
      </c>
      <c r="E72" s="13">
        <v>42903.487812500003</v>
      </c>
      <c r="F72" s="13">
        <v>42903.498101851852</v>
      </c>
      <c r="G72" s="7">
        <v>1</v>
      </c>
      <c r="H72" s="21" t="s">
        <v>874</v>
      </c>
      <c r="I72" s="13">
        <v>42903.52752314815</v>
      </c>
      <c r="J72" s="7">
        <v>0</v>
      </c>
      <c r="K72" s="89" t="str">
        <f t="shared" si="0"/>
        <v>4013/4014</v>
      </c>
      <c r="L72" s="21" t="str">
        <f>VLOOKUP(A72,'Trips&amp;Operators'!$C$1:$G$99999,5,FALSE)</f>
        <v>GUZMAN DANNY</v>
      </c>
      <c r="M72" s="6">
        <f t="shared" si="1"/>
        <v>2.9421296298096422E-2</v>
      </c>
      <c r="N72" s="7">
        <f t="shared" si="24"/>
        <v>42.366666669258848</v>
      </c>
      <c r="O72" s="7"/>
      <c r="P72" s="7"/>
      <c r="Q72" s="22"/>
      <c r="R72" s="170" t="s">
        <v>999</v>
      </c>
      <c r="S72" s="213">
        <f t="shared" si="25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-17T10:42:27-0600',mode:absolute,to:'2017-06-17T13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197" t="str">
        <f>IF(AA72&lt;VLOOKUP(AG72,Variables!$AC$3:$AD$8,2,FALSE),"Y","N")</f>
        <v>N</v>
      </c>
      <c r="X72" s="197">
        <f t="shared" si="26"/>
        <v>1</v>
      </c>
      <c r="Y72" s="197">
        <f t="shared" si="7"/>
        <v>23.297799999999999</v>
      </c>
      <c r="Z72" s="197">
        <f t="shared" si="8"/>
        <v>0.1158</v>
      </c>
      <c r="AA72" s="197">
        <f t="shared" si="9"/>
        <v>23.181999999999999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AF72" s="74" t="str">
        <f t="shared" si="12"/>
        <v>"C:\Program Files (x86)\AstroGrep\AstroGrep.exe" /e /r /s /spath="%USERPROFILE%\AppData\Local\Temp\OnboardLogs" /stypes="app*4013*20170617*"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160-17 --locoid 4013 --swversion DE.1.0.9.0 --startMP 204:232978 --initTime 2017-06-17T11:42:27 --startdatetime 2017-06-17T11:57:16 --delay 1 --endMP 204:1158 --enddatetime 2017-06-17T12:39:38 --enforcementcount 0 &gt;&gt;C:\Users\stu\Documents\GitHub\eaglep3-reporting\EC\2017-06-17-refined-times.txt</v>
      </c>
      <c r="AI72" s="96" t="str">
        <f t="shared" si="19"/>
        <v>echo {"issue":{"subject":"Processor vote-out caused Chambers Form C to not get enforced","project_id":79,"tracker_id":40,"status_id":1,"priority_id":2,"assigned_to_id":23,"start_date":"2017-06-17","description":"","custom_fields":[{"id":1,"name":"Subdivision","value":"EC"},{"id":4,"name":"Milepost","value":"0.1158"},{"id":17,"name":"Train ID","value":"160-17"},{"id":16,"name":"Locomotive ID","value":"4013"},{"id":130,"name":"Impact","value":""},{"id":150,"name":"Time of Event (Mountain Time)","value":"12:39:38"},{"id":151,"name":"Denver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4013 --day 2017-06-17</v>
      </c>
      <c r="AN72" s="151" t="str">
        <f t="shared" si="21"/>
        <v>echo {"issue":{"subject":"Processor vote-out caused Chambers Form C to not get enforced","project_id":30,"tracker_id":4,"status_id":1,"priority_id":1,"assigned_to_id":10,"start_date":"2017-06-17","description":"","custom_fields":[{"id":30,"name":"Category","value":"Issue"},{"id":3,"name":"Functional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611</v>
      </c>
      <c r="B73" s="7">
        <v>4046</v>
      </c>
      <c r="C73" s="21" t="s">
        <v>202</v>
      </c>
      <c r="D73" s="21" t="s">
        <v>348</v>
      </c>
      <c r="E73" s="13">
        <v>42903.467349537037</v>
      </c>
      <c r="F73" s="13">
        <v>42903.471666666665</v>
      </c>
      <c r="G73" s="7">
        <v>2</v>
      </c>
      <c r="H73" s="21" t="s">
        <v>875</v>
      </c>
      <c r="I73" s="13">
        <v>42903.501701388886</v>
      </c>
      <c r="J73" s="7">
        <v>0</v>
      </c>
      <c r="K73" s="89" t="str">
        <f t="shared" si="0"/>
        <v>4045/4046</v>
      </c>
      <c r="L73" s="21" t="str">
        <f>VLOOKUP(A73,'Trips&amp;Operators'!$C$1:$G$99999,5,FALSE)</f>
        <v>DAVIS MICHAEL</v>
      </c>
      <c r="M73" s="6">
        <f t="shared" si="1"/>
        <v>3.0034722221898846E-2</v>
      </c>
      <c r="N73" s="7">
        <f t="shared" si="24"/>
        <v>43.249999999534339</v>
      </c>
      <c r="O73" s="7"/>
      <c r="P73" s="7"/>
      <c r="Q73" s="22"/>
      <c r="R73" s="170" t="s">
        <v>994</v>
      </c>
      <c r="S73" s="213">
        <f>SUM(U73:U74)/IF(AG73="EC",12,1)</f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-17T10:12:59-0600',mode:absolute,to:'2017-06-17T13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3" s="197" t="str">
        <f>IF(AA73&lt;VLOOKUP(AG73,Variables!$AC$3:$AD$8,2,FALSE),"Y","N")</f>
        <v>Y</v>
      </c>
      <c r="X73" s="197">
        <f t="shared" si="26"/>
        <v>1</v>
      </c>
      <c r="Y73" s="197">
        <f t="shared" si="7"/>
        <v>4.58E-2</v>
      </c>
      <c r="Z73" s="197">
        <f t="shared" si="8"/>
        <v>0.27029999999999998</v>
      </c>
      <c r="AA73" s="197">
        <f t="shared" si="9"/>
        <v>0.22449999999999998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73" s="74" t="str">
        <f t="shared" si="12"/>
        <v>"C:\Program Files (x86)\AstroGrep\AstroGrep.exe" /e /r /s /spath="%USERPROFILE%\AppData\Local\Temp\OnboardLogs" /stypes="app*4046*20170617*"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161-17 --locoid 4046 --swversion DE.1.0.9.0 --startMP 204:458 --initTime 2017-06-17T11:12:59 --startdatetime 2017-06-17T11:19:12 --delay 2 --endMP 204:2703 --enddatetime 2017-06-17T12:02:27 --enforcementcount 0 &gt;&gt;C:\Users\stu\Documents\GitHub\eaglep3-reporting\EC\2017-06-17-refined-times.txt</v>
      </c>
      <c r="AI73" s="96" t="str">
        <f t="shared" si="19"/>
        <v>echo {"issue":{"subject":"Delayed by onboard in-route failure","project_id":79,"tracker_id":40,"status_id":1,"priority_id":2,"assigned_to_id":23,"start_date":"2017-06-17","description":"","custom_fields":[{"id":1,"name":"Subdivision","value":"EC"},{"id":4,"name":"Milepost","value":"0.2703"},{"id":17,"name":"Train ID","value":"161-17"},{"id":16,"name":"Locomotive ID","value":"4046"},{"id":130,"name":"Impact","value":""},{"id":150,"name":"Time of Event (Mountain Time)","value":"12:02:27"},{"id":151,"name":"Denver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4046 --day 2017-06-17</v>
      </c>
      <c r="AN73" s="151" t="str">
        <f t="shared" si="21"/>
        <v>echo {"issue":{"subject":"Delayed by onboard in-route failure","project_id":30,"tracker_id":4,"status_id":1,"priority_id":1,"assigned_to_id":10,"start_date":"2017-06-17","description":"","custom_fields":[{"id":30,"name":"Category","value":"Issue"},{"id":3,"name":"Functional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18:02:27"},{"id":29,"name":"Sharepoint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611</v>
      </c>
      <c r="B74" s="7">
        <v>4046</v>
      </c>
      <c r="C74" s="21" t="s">
        <v>202</v>
      </c>
      <c r="D74" s="21" t="s">
        <v>876</v>
      </c>
      <c r="E74" s="13">
        <v>42903.47078703704</v>
      </c>
      <c r="F74" s="13">
        <v>42903.471666666665</v>
      </c>
      <c r="G74" s="7">
        <v>1</v>
      </c>
      <c r="H74" s="21" t="s">
        <v>524</v>
      </c>
      <c r="I74" s="13">
        <v>42903.501701388886</v>
      </c>
      <c r="J74" s="7">
        <v>0</v>
      </c>
      <c r="K74" s="89" t="str">
        <f t="shared" si="0"/>
        <v>4045/4046</v>
      </c>
      <c r="L74" s="21" t="str">
        <f>VLOOKUP(A74,'Trips&amp;Operators'!$C$1:$G$99999,5,FALSE)</f>
        <v>DAVIS MICHAEL</v>
      </c>
      <c r="M74" s="6">
        <f t="shared" si="1"/>
        <v>3.0034722221898846E-2</v>
      </c>
      <c r="N74" s="7"/>
      <c r="O74" s="7"/>
      <c r="P74" s="7"/>
      <c r="Q74" s="22"/>
      <c r="R74" s="170"/>
      <c r="S74" s="213"/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-17T10:17:56-0600',mode:absolute,to:'2017-06-17T13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197" t="str">
        <f>IF(AA74&lt;VLOOKUP(AG74,Variables!$AC$3:$AD$8,2,FALSE),"Y","N")</f>
        <v>Y</v>
      </c>
      <c r="X74" s="197">
        <f t="shared" si="26"/>
        <v>0</v>
      </c>
      <c r="Y74" s="197">
        <f t="shared" si="7"/>
        <v>0.624</v>
      </c>
      <c r="Z74" s="197">
        <f t="shared" si="8"/>
        <v>23.331700000000001</v>
      </c>
      <c r="AA74" s="197">
        <f t="shared" si="9"/>
        <v>22.707700000000003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74" s="74" t="str">
        <f t="shared" si="12"/>
        <v>"C:\Program Files (x86)\AstroGrep\AstroGrep.exe" /e /r /s /spath="%USERPROFILE%\AppData\Local\Temp\OnboardLogs" /stypes="app*4046*20170617*"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161-17 --locoid 4046 --swversion DE.1.0.9.0 --startMP 204:6240 --initTime 2017-06-17T11:17:56 --startdatetime 2017-06-17T11:19:12 --delay 1 --endMP 204:233317 --enddatetime 2017-06-17T12:02:27 --enforcementcount 0 &gt;&gt;C:\Users\stu\Documents\GitHub\eaglep3-reporting\EC\2017-06-17-refined-times.txt</v>
      </c>
      <c r="AI74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{"issue":{"subject":"","project_id":79,"tracker_id":40,"status_id":1,"priority_id":2,"assigned_to_id":23,"start_date":"2017-06-17","description":"","custom_fields":[{"id":1,"name":"Subdivision","value":"EC"},{"id":4,"name":"Milepost","value":"23.3317"},{"id":17,"name":"Train ID","value":"161-17"},{"id":16,"name":"Locomotive ID","value":"4046"},{"id":130,"name":"Impact","value":""},{"id":150,"name":"Time of Event (Mountain Time)","value":"12:02:27"},{"id":151,"name":"Denver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4046 --day 2017-06-17</v>
      </c>
      <c r="AN74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18:02:27"},{"id":29,"name":"Sharepoint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728</v>
      </c>
      <c r="B75" s="7">
        <v>4045</v>
      </c>
      <c r="C75" s="21" t="s">
        <v>202</v>
      </c>
      <c r="D75" s="21" t="s">
        <v>523</v>
      </c>
      <c r="E75" s="13">
        <v>42903.505937499998</v>
      </c>
      <c r="F75" s="13">
        <v>42903.508912037039</v>
      </c>
      <c r="G75" s="7">
        <v>2</v>
      </c>
      <c r="H75" s="21" t="s">
        <v>350</v>
      </c>
      <c r="I75" s="13">
        <v>42903.537673611114</v>
      </c>
      <c r="J75" s="7">
        <v>0</v>
      </c>
      <c r="K75" s="89" t="str">
        <f t="shared" si="0"/>
        <v>4045/4046</v>
      </c>
      <c r="L75" s="21" t="str">
        <f>VLOOKUP(A75,'Trips&amp;Operators'!$C$1:$G$99999,5,FALSE)</f>
        <v>DAVIS MICHAEL</v>
      </c>
      <c r="M75" s="6">
        <f t="shared" si="1"/>
        <v>2.8761574074451346E-2</v>
      </c>
      <c r="N75" s="7">
        <f t="shared" ref="N75:N109" si="27">24*60*SUM($M75:$M75)</f>
        <v>41.416666667209938</v>
      </c>
      <c r="O75" s="7"/>
      <c r="P75" s="7"/>
      <c r="Q75" s="22"/>
      <c r="R75" s="170"/>
      <c r="S75" s="213">
        <f t="shared" ref="S75:S106" si="28">SUM(U75:U75)/IF(AG75="EC",12,1)</f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-17T11:08:33-0600',mode:absolute,to:'2017-06-17T13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7"/>
        <v>23.3</v>
      </c>
      <c r="Z75" s="197">
        <f t="shared" si="8"/>
        <v>1.49E-2</v>
      </c>
      <c r="AA75" s="197">
        <f t="shared" si="9"/>
        <v>23.2851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75" s="74" t="str">
        <f t="shared" si="12"/>
        <v>"C:\Program Files (x86)\AstroGrep\AstroGrep.exe" /e /r /s /spath="%USERPROFILE%\AppData\Local\Temp\OnboardLogs" /stypes="app*4045*20170617*"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162-17 --locoid 4045 --swversion DE.1.0.9.0 --startMP 204:233000 --initTime 2017-06-17T12:08:33 --startdatetime 2017-06-17T12:12:50 --delay 2 --endMP 204:149 --enddatetime 2017-06-17T12:54:15 --enforcementcount 0 &gt;&gt;C:\Users\stu\Documents\GitHub\eaglep3-reporting\EC\2017-06-17-refined-times.txt</v>
      </c>
      <c r="AI75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ID","value":"162-17"},{"id":16,"name":"Locomotive ID","value":"4045"},{"id":130,"name":"Impact","value":""},{"id":150,"name":"Time of Event (Mountain Time)","value":"12:54:15"},{"id":151,"name":"Denver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4045 --day 2017-06-17</v>
      </c>
      <c r="AN75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718</v>
      </c>
      <c r="B76" s="7">
        <v>4024</v>
      </c>
      <c r="C76" s="21" t="s">
        <v>202</v>
      </c>
      <c r="D76" s="21" t="s">
        <v>353</v>
      </c>
      <c r="E76" s="13">
        <v>42903.476446759261</v>
      </c>
      <c r="F76" s="13">
        <v>42903.479386574072</v>
      </c>
      <c r="G76" s="7">
        <v>3</v>
      </c>
      <c r="H76" s="21" t="s">
        <v>464</v>
      </c>
      <c r="I76" s="13">
        <v>42903.507569444446</v>
      </c>
      <c r="J76" s="7">
        <v>0</v>
      </c>
      <c r="K76" s="89" t="str">
        <f t="shared" si="0"/>
        <v>4023/4024</v>
      </c>
      <c r="L76" s="21" t="str">
        <f>VLOOKUP(A76,'Trips&amp;Operators'!$C$1:$G$99999,5,FALSE)</f>
        <v>BRANDNER MELINDA</v>
      </c>
      <c r="M76" s="6">
        <f t="shared" si="1"/>
        <v>2.8182870373711921E-2</v>
      </c>
      <c r="N76" s="7">
        <f t="shared" si="27"/>
        <v>40.583333338145167</v>
      </c>
      <c r="O76" s="7"/>
      <c r="P76" s="7"/>
      <c r="Q76" s="22"/>
      <c r="R76" s="170"/>
      <c r="S76" s="213">
        <f t="shared" si="28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-17T10:26:05-0600',mode:absolute,to:'2017-06-17T13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7"/>
        <v>4.5100000000000001E-2</v>
      </c>
      <c r="Z76" s="197">
        <f t="shared" si="8"/>
        <v>23.333400000000001</v>
      </c>
      <c r="AA76" s="197">
        <f t="shared" si="9"/>
        <v>23.2883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76" s="74" t="str">
        <f t="shared" si="12"/>
        <v>"C:\Program Files (x86)\AstroGrep\AstroGrep.exe" /e /r /s /spath="%USERPROFILE%\AppData\Local\Temp\OnboardLogs" /stypes="app*4024*20170617*"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163-17 --locoid 4024 --swversion DE.1.0.9.0 --startMP 204:451 --initTime 2017-06-17T11:26:05 --startdatetime 2017-06-17T11:30:19 --delay 3 --endMP 204:233334 --enddatetime 2017-06-17T12:10:54 --enforcementcount 0 &gt;&gt;C:\Users\stu\Documents\GitHub\eaglep3-reporting\EC\2017-06-17-refined-times.txt</v>
      </c>
      <c r="AI76" s="96" t="str">
        <f t="shared" si="19"/>
        <v>echo {"issue":{"subject":"","project_id":79,"tracker_id":40,"status_id":1,"priority_id":2,"assigned_to_id":23,"start_date":"2017-06-17","description":"","custom_fields":[{"id":1,"name":"Subdivision","value":"EC"},{"id":4,"name":"Milepost","value":"23.3334"},{"id":17,"name":"Train ID","value":"163-17"},{"id":16,"name":"Locomotive ID","value":"4024"},{"id":130,"name":"Impact","value":""},{"id":150,"name":"Time of Event (Mountain Time)","value":"12:10:54"},{"id":151,"name":"Denver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4024 --day 2017-06-17</v>
      </c>
      <c r="AN76" s="151" t="str">
        <f t="shared" si="2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18:10:54"},{"id":29,"name":"Sharepoint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732</v>
      </c>
      <c r="B77" s="7">
        <v>4023</v>
      </c>
      <c r="C77" s="21" t="s">
        <v>202</v>
      </c>
      <c r="D77" s="21" t="s">
        <v>517</v>
      </c>
      <c r="E77" s="13">
        <v>42903.517268518517</v>
      </c>
      <c r="F77" s="13">
        <v>42903.519293981481</v>
      </c>
      <c r="G77" s="7">
        <v>2</v>
      </c>
      <c r="H77" s="21" t="s">
        <v>357</v>
      </c>
      <c r="I77" s="13">
        <v>42903.548680555556</v>
      </c>
      <c r="J77" s="7">
        <v>0</v>
      </c>
      <c r="K77" s="89" t="str">
        <f t="shared" ref="K77:K140" si="29">IF(ISEVEN(B77),(B77-1)&amp;"/"&amp;B77,B77&amp;"/"&amp;(B77+1))</f>
        <v>4023/4024</v>
      </c>
      <c r="L77" s="21" t="str">
        <f>VLOOKUP(A77,'Trips&amp;Operators'!$C$1:$G$99999,5,FALSE)</f>
        <v>BRANDNER MELINDA</v>
      </c>
      <c r="M77" s="6">
        <f t="shared" ref="M77:M140" si="30">I77-F77</f>
        <v>2.9386574075033423E-2</v>
      </c>
      <c r="N77" s="7">
        <f t="shared" si="27"/>
        <v>42.316666668048128</v>
      </c>
      <c r="O77" s="7"/>
      <c r="P77" s="7"/>
      <c r="Q77" s="22"/>
      <c r="R77" s="170"/>
      <c r="S77" s="213">
        <f t="shared" si="28"/>
        <v>1</v>
      </c>
      <c r="T77" s="195" t="str">
        <f t="shared" ref="T77:T140" si="31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-17T11:24:52-0600',mode:absolute,to:'2017-06-17T14:10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7" s="197" t="str">
        <f>IF(AA77&lt;VLOOKUP(AG77,Variables!$AC$3:$AD$8,2,FALSE),"Y","N")</f>
        <v>N</v>
      </c>
      <c r="X77" s="197">
        <f t="shared" si="26"/>
        <v>1</v>
      </c>
      <c r="Y77" s="197">
        <f t="shared" ref="Y77:Y140" si="33">RIGHT(D77,LEN(D77)-4)/10000</f>
        <v>23.299800000000001</v>
      </c>
      <c r="Z77" s="197">
        <f t="shared" ref="Z77:Z140" si="34">RIGHT(H77,LEN(H77)-4)/10000</f>
        <v>1.3899999999999999E-2</v>
      </c>
      <c r="AA77" s="197">
        <f t="shared" ref="AA77:AA140" si="35">ABS(Z77-Y77)</f>
        <v>23.285900000000002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6">VALUE(LEFT(A77,LEN(A77)-3))</f>
        <v>164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/stypes="app*4023*20170617*"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164-17 --locoid 4023 --swversion DE.1.0.9.0 --startMP 204:232998 --initTime 2017-06-17T12:24:52 --startdatetime 2017-06-17T12:27:47 --delay 2 --endMP 204:139 --enddatetime 2017-06-17T13:10:06 --enforcementcount 0 &gt;&gt;C:\Users\stu\Documents\GitHub\eaglep3-reporting\EC\2017-06-17-refined-times.txt</v>
      </c>
      <c r="AI77" s="96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{"issue":{"subject":"","project_id":79,"tracker_id":40,"status_id":1,"priority_id":2,"assigned_to_id":23,"start_date":"2017-06-17","description":"","custom_fields":[{"id":1,"name":"Subdivision","value":"EC"},{"id":4,"name":"Milepost","value":"0.0139"},{"id":17,"name":"Train ID","value":"164-17"},{"id":16,"name":"Locomotive ID","value":"4023"},{"id":130,"name":"Impact","value":""},{"id":150,"name":"Time of Event (Mountain Time)","value":"13:10:06"},{"id":151,"name":"Denver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2">"start /low /b "&amp;dls3logs&amp;" --loco "&amp;B77&amp;" --day "&amp;TEXT(F77,"YYYY-MM-DD")</f>
        <v>start /low /b %USERPROFILE%\Documents\GitHub\eaglep3\Utilities\DownloadLogsFromS3.py --loco 4023 --day 2017-06-17</v>
      </c>
      <c r="AN77" s="151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19:10:06"},{"id":29,"name":"Sharepoint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723</v>
      </c>
      <c r="B78" s="7">
        <v>4004</v>
      </c>
      <c r="C78" s="21" t="s">
        <v>202</v>
      </c>
      <c r="D78" s="21" t="s">
        <v>352</v>
      </c>
      <c r="E78" s="13">
        <v>42903.487233796295</v>
      </c>
      <c r="F78" s="13">
        <v>42903.48978009259</v>
      </c>
      <c r="G78" s="7">
        <v>1</v>
      </c>
      <c r="H78" s="21" t="s">
        <v>495</v>
      </c>
      <c r="I78" s="13">
        <v>42903.515902777777</v>
      </c>
      <c r="J78" s="7">
        <v>0</v>
      </c>
      <c r="K78" s="89" t="str">
        <f t="shared" si="29"/>
        <v>4003/4004</v>
      </c>
      <c r="L78" s="21" t="str">
        <f>VLOOKUP(A78,'Trips&amp;Operators'!$C$1:$G$99999,5,FALSE)</f>
        <v>BRUDER RICHARD</v>
      </c>
      <c r="M78" s="6">
        <f t="shared" si="30"/>
        <v>2.6122685187146999E-2</v>
      </c>
      <c r="N78" s="7">
        <f t="shared" si="27"/>
        <v>37.616666669491678</v>
      </c>
      <c r="O78" s="7"/>
      <c r="P78" s="7"/>
      <c r="Q78" s="22"/>
      <c r="R78" s="170"/>
      <c r="S78" s="213">
        <f t="shared" si="28"/>
        <v>1</v>
      </c>
      <c r="T78" s="195" t="str">
        <f t="shared" si="31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-06-17T10:41:37-0600',mode:absolute,to:'2017-06-17T13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7" t="str">
        <f>IF(AA78&lt;VLOOKUP(AG78,Variables!$AC$3:$AD$8,2,FALSE),"Y","N")</f>
        <v>N</v>
      </c>
      <c r="X78" s="197">
        <f t="shared" si="26"/>
        <v>1</v>
      </c>
      <c r="Y78" s="197">
        <f t="shared" si="33"/>
        <v>4.6600000000000003E-2</v>
      </c>
      <c r="Z78" s="197">
        <f t="shared" si="34"/>
        <v>23.331399999999999</v>
      </c>
      <c r="AA78" s="197">
        <f t="shared" si="35"/>
        <v>23.284799999999997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6"/>
        <v>165</v>
      </c>
      <c r="AE78" s="77" t="str">
        <f t="shared" si="37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78" s="74" t="str">
        <f t="shared" si="38"/>
        <v>"C:\Program Files (x86)\AstroGrep\AstroGrep.exe" /e /r /s /spath="%USERPROFILE%\AppData\Local\Temp\OnboardLogs" /stypes="app*4004*20170617*" /stext=" 18:.+((SYSTEM_STATE.+slice.+state.+changed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si="40"/>
        <v>"%USERPROFILE%\Documents\GitHub\eaglep3\Utilities\RefineRTDCRunTimes.py" --tripid 165-17 --locoid 4004 --swversion DE.1.0.9.0 --startMP 204:466 --initTime 2017-06-17T11:41:37 --startdatetime 2017-06-17T11:45:17 --delay 1 --endMP 204:233314 --enddatetime 2017-06-17T12:22:54 --enforcementcount 0 &gt;&gt;C:\Users\stu\Documents\GitHub\eaglep3-reporting\EC\2017-06-17-refined-times.txt</v>
      </c>
      <c r="AI7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{"issue":{"subject":"","project_id":79,"tracker_id":40,"status_id":1,"priority_id":2,"assigned_to_id":23,"start_date":"2017-06-17","description":"","custom_fields":[{"id":1,"name":"Subdivision","value":"EC"},{"id":4,"name":"Milepost","value":"23.3314"},{"id":17,"name":"Train ID","value":"165-17"},{"id":16,"name":"Locomotive ID","value":"4004"},{"id":130,"name":"Impact","value":""},{"id":150,"name":"Time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2"/>
        <v>start /low /b %USERPROFILE%\Documents\GitHub\eaglep3\Utilities\DownloadLogsFromS3.py --loco 4004 --day 2017-06-17</v>
      </c>
      <c r="AN78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734</v>
      </c>
      <c r="B79" s="7">
        <v>4003</v>
      </c>
      <c r="C79" s="21" t="s">
        <v>202</v>
      </c>
      <c r="D79" s="21" t="s">
        <v>844</v>
      </c>
      <c r="E79" s="13">
        <v>42903.524502314816</v>
      </c>
      <c r="F79" s="13">
        <v>42903.529537037037</v>
      </c>
      <c r="G79" s="7">
        <v>2</v>
      </c>
      <c r="H79" s="21" t="s">
        <v>193</v>
      </c>
      <c r="I79" s="13">
        <v>42903.557685185187</v>
      </c>
      <c r="J79" s="7">
        <v>0</v>
      </c>
      <c r="K79" s="89" t="str">
        <f t="shared" si="29"/>
        <v>4003/4004</v>
      </c>
      <c r="L79" s="21" t="str">
        <f>VLOOKUP(A79,'Trips&amp;Operators'!$C$1:$G$99999,5,FALSE)</f>
        <v>BRUDER RICHARD</v>
      </c>
      <c r="M79" s="6">
        <f t="shared" si="30"/>
        <v>2.8148148150648922E-2</v>
      </c>
      <c r="N79" s="7">
        <f t="shared" si="27"/>
        <v>40.533333336934447</v>
      </c>
      <c r="O79" s="7"/>
      <c r="P79" s="7"/>
      <c r="Q79" s="22"/>
      <c r="R79" s="170"/>
      <c r="S79" s="213">
        <f t="shared" si="28"/>
        <v>1</v>
      </c>
      <c r="T79" s="195" t="str">
        <f t="shared" si="31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-06-17T11:35:17-0600',mode:absolute,to:'2017-06-17T14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97" t="str">
        <f>IF(AA79&lt;VLOOKUP(AG79,Variables!$AC$3:$AD$8,2,FALSE),"Y","N")</f>
        <v>N</v>
      </c>
      <c r="X79" s="197">
        <f t="shared" si="26"/>
        <v>1</v>
      </c>
      <c r="Y79" s="197">
        <f t="shared" si="33"/>
        <v>23.301100000000002</v>
      </c>
      <c r="Z79" s="197">
        <f t="shared" si="34"/>
        <v>1.52E-2</v>
      </c>
      <c r="AA79" s="197">
        <f t="shared" si="35"/>
        <v>23.285900000000002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6"/>
        <v>166</v>
      </c>
      <c r="AE79" s="77" t="str">
        <f t="shared" si="37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79" s="74" t="str">
        <f t="shared" si="38"/>
        <v>"C:\Program Files (x86)\AstroGrep\AstroGrep.exe" /e /r /s /spath="%USERPROFILE%\AppData\Local\Temp\OnboardLogs" /stypes="app*4003*20170617*"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166-17 --locoid 4003 --swversion DE.1.0.9.0 --startMP 204:233011 --initTime 2017-06-17T12:35:17 --startdatetime 2017-06-17T12:42:32 --delay 2 --endMP 204:152 --enddatetime 2017-06-17T13:23:04 --enforcementcount 0 &gt;&gt;C:\Users\stu\Documents\GitHub\eaglep3-reporting\EC\2017-06-17-refined-times.txt</v>
      </c>
      <c r="AI7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ID","value":"166-17"},{"id":16,"name":"Locomotive ID","value":"4003"},{"id":130,"name":"Impact","value":""},{"id":150,"name":"Time of Event (Mountain Time)","value":"13:23:04"},{"id":151,"name":"Denver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4003 --day 2017-06-17</v>
      </c>
      <c r="AN79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727</v>
      </c>
      <c r="B80" s="7">
        <v>4032</v>
      </c>
      <c r="C80" s="21" t="s">
        <v>202</v>
      </c>
      <c r="D80" s="21" t="s">
        <v>526</v>
      </c>
      <c r="E80" s="13">
        <v>42903.498703703706</v>
      </c>
      <c r="F80" s="13">
        <v>42903.500162037039</v>
      </c>
      <c r="G80" s="7">
        <v>1</v>
      </c>
      <c r="H80" s="21" t="s">
        <v>841</v>
      </c>
      <c r="I80" s="13">
        <v>42903.52616898148</v>
      </c>
      <c r="J80" s="7">
        <v>0</v>
      </c>
      <c r="K80" s="89" t="str">
        <f t="shared" si="29"/>
        <v>4031/4032</v>
      </c>
      <c r="L80" s="21" t="str">
        <f>VLOOKUP(A80,'Trips&amp;Operators'!$C$1:$G$99999,5,FALSE)</f>
        <v>SULLIVAN BRANDON</v>
      </c>
      <c r="M80" s="6">
        <f t="shared" si="30"/>
        <v>2.6006944441178348E-2</v>
      </c>
      <c r="N80" s="7">
        <f t="shared" si="27"/>
        <v>37.449999995296821</v>
      </c>
      <c r="O80" s="7"/>
      <c r="P80" s="7"/>
      <c r="Q80" s="22"/>
      <c r="R80" s="170"/>
      <c r="S80" s="213">
        <f t="shared" si="28"/>
        <v>1</v>
      </c>
      <c r="T80" s="195" t="str">
        <f t="shared" si="31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-06-17T10:58:08-0600',mode:absolute,to:'2017-06-17T13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197" t="str">
        <f>IF(AA80&lt;VLOOKUP(AG80,Variables!$AC$3:$AD$8,2,FALSE),"Y","N")</f>
        <v>N</v>
      </c>
      <c r="X80" s="197">
        <f t="shared" si="26"/>
        <v>1</v>
      </c>
      <c r="Y80" s="197">
        <f t="shared" si="33"/>
        <v>4.7100000000000003E-2</v>
      </c>
      <c r="Z80" s="197">
        <f t="shared" si="34"/>
        <v>23.334499999999998</v>
      </c>
      <c r="AA80" s="197">
        <f t="shared" si="35"/>
        <v>23.287399999999998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6"/>
        <v>167</v>
      </c>
      <c r="AE80" s="77" t="str">
        <f t="shared" si="3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80" s="74" t="str">
        <f t="shared" si="38"/>
        <v>"C:\Program Files (x86)\AstroGrep\AstroGrep.exe" /e /r /s /spath="%USERPROFILE%\AppData\Local\Temp\OnboardLogs" /stypes="app*4032*20170617*"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167-17 --locoid 4032 --swversion DE.1.0.9.0 --startMP 204:471 --initTime 2017-06-17T11:58:08 --startdatetime 2017-06-17T12:00:14 --delay 1 --endMP 204:233345 --enddatetime 2017-06-17T12:37:41 --enforcementcount 0 &gt;&gt;C:\Users\stu\Documents\GitHub\eaglep3-reporting\EC\2017-06-17-refined-times.txt</v>
      </c>
      <c r="AI8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{"issue":{"subject":"","project_id":79,"tracker_id":40,"status_id":1,"priority_id":2,"assigned_to_id":23,"start_date":"2017-06-17","description":"","custom_fields":[{"id":1,"name":"Subdivision","value":"EC"},{"id":4,"name":"Milepost","value":"23.3345"},{"id":17,"name":"Train ID","value":"167-17"},{"id":16,"name":"Locomotive ID","value":"4032"},{"id":130,"name":"Impact","value":""},{"id":150,"name":"Time of Event (Mountain Time)","value":"12:37:41"},{"id":151,"name":"Denver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4032 --day 2017-06-17</v>
      </c>
      <c r="AN80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737</v>
      </c>
      <c r="B81" s="7">
        <v>4031</v>
      </c>
      <c r="C81" s="21" t="s">
        <v>202</v>
      </c>
      <c r="D81" s="21" t="s">
        <v>877</v>
      </c>
      <c r="E81" s="13">
        <v>42903.533171296294</v>
      </c>
      <c r="F81" s="13">
        <v>42903.539780092593</v>
      </c>
      <c r="G81" s="7">
        <v>1</v>
      </c>
      <c r="H81" s="21" t="s">
        <v>349</v>
      </c>
      <c r="I81" s="13">
        <v>42903.56753472222</v>
      </c>
      <c r="J81" s="7">
        <v>0</v>
      </c>
      <c r="K81" s="89" t="str">
        <f t="shared" si="29"/>
        <v>4031/4032</v>
      </c>
      <c r="L81" s="21" t="str">
        <f>VLOOKUP(A81,'Trips&amp;Operators'!$C$1:$G$99999,5,FALSE)</f>
        <v>SULLIVAN BRANDON</v>
      </c>
      <c r="M81" s="6">
        <f t="shared" si="30"/>
        <v>2.7754629627452232E-2</v>
      </c>
      <c r="N81" s="7">
        <f t="shared" si="27"/>
        <v>39.966666663531214</v>
      </c>
      <c r="O81" s="7"/>
      <c r="P81" s="7"/>
      <c r="Q81" s="22"/>
      <c r="R81" s="170"/>
      <c r="S81" s="213">
        <f t="shared" si="28"/>
        <v>1</v>
      </c>
      <c r="T81" s="195" t="str">
        <f t="shared" si="31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-06-17T11:47:46-0600',mode:absolute,to:'2017-06-17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1" s="197" t="str">
        <f>IF(AA81&lt;VLOOKUP(AG81,Variables!$AC$3:$AD$8,2,FALSE),"Y","N")</f>
        <v>N</v>
      </c>
      <c r="X81" s="197">
        <f t="shared" si="26"/>
        <v>1</v>
      </c>
      <c r="Y81" s="197">
        <f t="shared" si="33"/>
        <v>23.302299999999999</v>
      </c>
      <c r="Z81" s="197">
        <f t="shared" si="34"/>
        <v>1.4999999999999999E-2</v>
      </c>
      <c r="AA81" s="197">
        <f t="shared" si="35"/>
        <v>23.287299999999998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6"/>
        <v>168</v>
      </c>
      <c r="AE81" s="77" t="str">
        <f t="shared" si="3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81" s="74" t="str">
        <f t="shared" si="38"/>
        <v>"C:\Program Files (x86)\AstroGrep\AstroGrep.exe" /e /r /s /spath="%USERPROFILE%\AppData\Local\Temp\OnboardLogs" /stypes="app*4031*20170617*"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168-17 --locoid 4031 --swversion DE.1.0.9.0 --startMP 204:233023 --initTime 2017-06-17T12:47:46 --startdatetime 2017-06-17T12:57:17 --delay 1 --endMP 204:150 --enddatetime 2017-06-17T13:37:15 --enforcementcount 0 &gt;&gt;C:\Users\stu\Documents\GitHub\eaglep3-reporting\EC\2017-06-17-refined-times.txt</v>
      </c>
      <c r="AI8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ID","value":"168-17"},{"id":16,"name":"Locomotive ID","value":"4031"},{"id":130,"name":"Impact","value":""},{"id":150,"name":"Time of Event (Mountain Time)","value":"13:37:15"},{"id":151,"name":"Denver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4031 --day 2017-06-17</v>
      </c>
      <c r="AN81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615</v>
      </c>
      <c r="B82" s="7">
        <v>4020</v>
      </c>
      <c r="C82" s="21" t="s">
        <v>202</v>
      </c>
      <c r="D82" s="21" t="s">
        <v>526</v>
      </c>
      <c r="E82" s="13">
        <v>42903.508900462963</v>
      </c>
      <c r="F82" s="13">
        <v>42903.51059027778</v>
      </c>
      <c r="G82" s="7">
        <v>1</v>
      </c>
      <c r="H82" s="21" t="s">
        <v>873</v>
      </c>
      <c r="I82" s="13">
        <v>42903.538159722222</v>
      </c>
      <c r="J82" s="7">
        <v>0</v>
      </c>
      <c r="K82" s="89" t="str">
        <f t="shared" si="29"/>
        <v>4019/4020</v>
      </c>
      <c r="L82" s="21" t="str">
        <f>VLOOKUP(A82,'Trips&amp;Operators'!$C$1:$G$99999,5,FALSE)</f>
        <v>DELGADO DIANAH</v>
      </c>
      <c r="M82" s="6">
        <f t="shared" si="30"/>
        <v>2.7569444442633539E-2</v>
      </c>
      <c r="N82" s="7">
        <f t="shared" si="27"/>
        <v>39.699999997392297</v>
      </c>
      <c r="O82" s="7"/>
      <c r="P82" s="7"/>
      <c r="Q82" s="22"/>
      <c r="R82" s="170"/>
      <c r="S82" s="213">
        <f t="shared" si="28"/>
        <v>1</v>
      </c>
      <c r="T82" s="195" t="str">
        <f t="shared" si="31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-06-17T11:12:49-0600',mode:absolute,to:'2017-06-17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197" t="str">
        <f>IF(AA82&lt;VLOOKUP(AG82,Variables!$AC$3:$AD$8,2,FALSE),"Y","N")</f>
        <v>N</v>
      </c>
      <c r="X82" s="197">
        <f t="shared" si="26"/>
        <v>1</v>
      </c>
      <c r="Y82" s="197">
        <f t="shared" si="33"/>
        <v>4.7100000000000003E-2</v>
      </c>
      <c r="Z82" s="197">
        <f t="shared" si="34"/>
        <v>23.3368</v>
      </c>
      <c r="AA82" s="197">
        <f t="shared" si="35"/>
        <v>23.2897</v>
      </c>
      <c r="AB82" s="54" t="str">
        <f>VLOOKUP(A82,Enforcements!$C$7:$K$13,8,0)</f>
        <v>Bulletin (2)</v>
      </c>
      <c r="AC82" s="51" t="str">
        <f>VLOOKUP(A82,Enforcements!$C$7:$E$13,3,0)</f>
        <v>GRADE CROSSING</v>
      </c>
      <c r="AD82" s="206">
        <f t="shared" si="36"/>
        <v>169</v>
      </c>
      <c r="AE82" s="77" t="str">
        <f t="shared" si="37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82" s="74" t="str">
        <f t="shared" si="38"/>
        <v>"C:\Program Files (x86)\AstroGrep\AstroGrep.exe" /e /r /s /spath="%USERPROFILE%\AppData\Local\Temp\OnboardLogs" /stypes="app*4020*20170617*"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169-17 --locoid 4020 --swversion DE.1.0.9.0 --startMP 204:471 --initTime 2017-06-17T12:12:49 --startdatetime 2017-06-17T12:15:15 --delay 1 --endMP 204:233368 --enddatetime 2017-06-17T12:54:57 --enforcementcount 0 &gt;&gt;C:\Users\stu\Documents\GitHub\eaglep3-reporting\EC\2017-06-17-refined-times.txt</v>
      </c>
      <c r="AI8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{"issue":{"subject":"","project_id":79,"tracker_id":40,"status_id":1,"priority_id":2,"assigned_to_id":23,"start_date":"2017-06-17","description":"","custom_fields":[{"id":1,"name":"Subdivision","value":"EC"},{"id":4,"name":"Milepost","value":"23.3368"},{"id":17,"name":"Train ID","value":"169-17"},{"id":16,"name":"Locomotive ID","value":"4020"},{"id":130,"name":"Impact","value":""},{"id":150,"name":"Time of Event (Mountain Time)","value":"12:54:57"},{"id":151,"name":"Denver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4020 --day 2017-06-17</v>
      </c>
      <c r="AN82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740</v>
      </c>
      <c r="B83" s="7">
        <v>4019</v>
      </c>
      <c r="C83" s="21" t="s">
        <v>202</v>
      </c>
      <c r="D83" s="21" t="s">
        <v>564</v>
      </c>
      <c r="E83" s="13">
        <v>42903.546643518515</v>
      </c>
      <c r="F83" s="13">
        <v>42903.55027777778</v>
      </c>
      <c r="G83" s="7">
        <v>2</v>
      </c>
      <c r="H83" s="21" t="s">
        <v>349</v>
      </c>
      <c r="I83" s="13">
        <v>42903.577256944445</v>
      </c>
      <c r="J83" s="7">
        <v>0</v>
      </c>
      <c r="K83" s="89" t="str">
        <f t="shared" si="29"/>
        <v>4019/4020</v>
      </c>
      <c r="L83" s="21" t="str">
        <f>VLOOKUP(A83,'Trips&amp;Operators'!$C$1:$G$99999,5,FALSE)</f>
        <v>DELGADO DIANAH</v>
      </c>
      <c r="M83" s="6">
        <f t="shared" si="30"/>
        <v>2.6979166665114462E-2</v>
      </c>
      <c r="N83" s="7">
        <f t="shared" si="27"/>
        <v>38.849999997764826</v>
      </c>
      <c r="O83" s="7"/>
      <c r="P83" s="7"/>
      <c r="Q83" s="22"/>
      <c r="R83" s="170"/>
      <c r="S83" s="213">
        <f t="shared" si="28"/>
        <v>1</v>
      </c>
      <c r="T83" s="195" t="str">
        <f t="shared" si="31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-06-17T12:07:10-0600',mode:absolute,to:'2017-06-17T14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97" t="str">
        <f>IF(AA83&lt;VLOOKUP(AG83,Variables!$AC$3:$AD$8,2,FALSE),"Y","N")</f>
        <v>N</v>
      </c>
      <c r="X83" s="197">
        <f t="shared" si="26"/>
        <v>1</v>
      </c>
      <c r="Y83" s="197">
        <f t="shared" si="33"/>
        <v>23.3049</v>
      </c>
      <c r="Z83" s="197">
        <f t="shared" si="34"/>
        <v>1.4999999999999999E-2</v>
      </c>
      <c r="AA83" s="197">
        <f t="shared" si="35"/>
        <v>23.289899999999999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6"/>
        <v>170</v>
      </c>
      <c r="AE83" s="77" t="str">
        <f t="shared" si="37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83" s="74" t="str">
        <f t="shared" si="38"/>
        <v>"C:\Program Files (x86)\AstroGrep\AstroGrep.exe" /e /r /s /spath="%USERPROFILE%\AppData\Local\Temp\OnboardLogs" /stypes="app*4019*20170617*"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170-17 --locoid 4019 --swversion DE.1.0.9.0 --startMP 204:233049 --initTime 2017-06-17T13:07:10 --startdatetime 2017-06-17T13:12:24 --delay 2 --endMP 204:150 --enddatetime 2017-06-17T13:51:15 --enforcementcount 0 &gt;&gt;C:\Users\stu\Documents\GitHub\eaglep3-reporting\EC\2017-06-17-refined-times.txt</v>
      </c>
      <c r="AI8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{"issue":{"subject":"","project_id":79,"tracker_id":40,"status_id":1,"priority_id":2,"assigned_to_id":23,"start_date":"2017-06-17","description":"","custom_fields":[{"id":1,"name":"Subdivision","value":"EC"},{"id":4,"name":"Milepost","value":"0.015"},{"id":17,"name":"Train ID","value":"170-17"},{"id":16,"name":"Locomotive ID","value":"4019"},{"id":130,"name":"Impact","value":""},{"id":150,"name":"Time of Event (Mountain Time)","value":"13:51:15"},{"id":151,"name":"Denver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4019 --day 2017-06-17</v>
      </c>
      <c r="AN83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733</v>
      </c>
      <c r="B84" s="7">
        <v>4040</v>
      </c>
      <c r="C84" s="21" t="s">
        <v>202</v>
      </c>
      <c r="D84" s="21" t="s">
        <v>355</v>
      </c>
      <c r="E84" s="13">
        <v>42903.518206018518</v>
      </c>
      <c r="F84" s="13">
        <v>42903.521006944444</v>
      </c>
      <c r="G84" s="7">
        <v>1</v>
      </c>
      <c r="H84" s="21" t="s">
        <v>437</v>
      </c>
      <c r="I84" s="13">
        <v>42903.546979166669</v>
      </c>
      <c r="J84" s="7">
        <v>0</v>
      </c>
      <c r="K84" s="89" t="str">
        <f t="shared" si="29"/>
        <v>4039/4040</v>
      </c>
      <c r="L84" s="21" t="str">
        <f>VLOOKUP(A84,'Trips&amp;Operators'!$C$1:$G$99999,5,FALSE)</f>
        <v>STEWART MICHAEL</v>
      </c>
      <c r="M84" s="6">
        <f t="shared" si="30"/>
        <v>2.5972222225391306E-2</v>
      </c>
      <c r="N84" s="7">
        <f t="shared" si="27"/>
        <v>37.400000004563481</v>
      </c>
      <c r="O84" s="7"/>
      <c r="P84" s="7"/>
      <c r="Q84" s="22"/>
      <c r="R84" s="170"/>
      <c r="S84" s="213">
        <f t="shared" si="28"/>
        <v>1</v>
      </c>
      <c r="T84" s="195" t="str">
        <f t="shared" si="3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-06-17T11:26:13-0600',mode:absolute,to:'2017-06-17T14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97" t="str">
        <f>IF(AA84&lt;VLOOKUP(AG84,Variables!$AC$3:$AD$8,2,FALSE),"Y","N")</f>
        <v>N</v>
      </c>
      <c r="X84" s="197">
        <f t="shared" si="26"/>
        <v>1</v>
      </c>
      <c r="Y84" s="197">
        <f t="shared" si="33"/>
        <v>4.53E-2</v>
      </c>
      <c r="Z84" s="197">
        <f t="shared" si="34"/>
        <v>23.329699999999999</v>
      </c>
      <c r="AA84" s="197">
        <f t="shared" si="35"/>
        <v>23.284399999999998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6"/>
        <v>171</v>
      </c>
      <c r="AE84" s="77" t="str">
        <f t="shared" si="3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84" s="74" t="str">
        <f t="shared" si="38"/>
        <v>"C:\Program Files (x86)\AstroGrep\AstroGrep.exe" /e /r /s /spath="%USERPROFILE%\AppData\Local\Temp\OnboardLogs" /stypes="app*4040*20170617*"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171-17 --locoid 4040 --swversion DE.1.0.9.0 --startMP 204:453 --initTime 2017-06-17T12:26:13 --startdatetime 2017-06-17T12:30:15 --delay 1 --endMP 204:233297 --enddatetime 2017-06-17T13:07:39 --enforcementcount 0 &gt;&gt;C:\Users\stu\Documents\GitHub\eaglep3-reporting\EC\2017-06-17-refined-times.txt</v>
      </c>
      <c r="AI8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{"issue":{"subject":"","project_id":79,"tracker_id":40,"status_id":1,"priority_id":2,"assigned_to_id":23,"start_date":"2017-06-17","description":"","custom_fields":[{"id":1,"name":"Subdivision","value":"EC"},{"id":4,"name":"Milepost","value":"23.3297"},{"id":17,"name":"Train ID","value":"171-17"},{"id":16,"name":"Locomotive ID","value":"4040"},{"id":130,"name":"Impact","value":""},{"id":150,"name":"Time of Event (Mountain Time)","value":"13:07:39"},{"id":151,"name":"Denver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4040 --day 2017-06-17</v>
      </c>
      <c r="AN84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742</v>
      </c>
      <c r="B85" s="7">
        <v>4039</v>
      </c>
      <c r="C85" s="21" t="s">
        <v>202</v>
      </c>
      <c r="D85" s="21" t="s">
        <v>455</v>
      </c>
      <c r="E85" s="13">
        <v>42903.557824074072</v>
      </c>
      <c r="F85" s="13">
        <v>42903.560613425929</v>
      </c>
      <c r="G85" s="7">
        <v>1</v>
      </c>
      <c r="H85" s="21" t="s">
        <v>194</v>
      </c>
      <c r="I85" s="13">
        <v>42903.589606481481</v>
      </c>
      <c r="J85" s="7">
        <v>0</v>
      </c>
      <c r="K85" s="89" t="str">
        <f t="shared" si="29"/>
        <v>4039/4040</v>
      </c>
      <c r="L85" s="21" t="str">
        <f>VLOOKUP(A85,'Trips&amp;Operators'!$C$1:$G$99999,5,FALSE)</f>
        <v>STEWART MICHAEL</v>
      </c>
      <c r="M85" s="6">
        <f t="shared" si="30"/>
        <v>2.8993055551836733E-2</v>
      </c>
      <c r="N85" s="7">
        <f t="shared" si="27"/>
        <v>41.749999994644895</v>
      </c>
      <c r="O85" s="7"/>
      <c r="P85" s="7"/>
      <c r="Q85" s="22"/>
      <c r="R85" s="170"/>
      <c r="S85" s="213">
        <f t="shared" si="28"/>
        <v>1</v>
      </c>
      <c r="T85" s="195" t="str">
        <f t="shared" si="3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-06-17T12:23:16-0600',mode:absolute,to:'2017-06-17T15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97" t="str">
        <f>IF(AA85&lt;VLOOKUP(AG85,Variables!$AC$3:$AD$8,2,FALSE),"Y","N")</f>
        <v>N</v>
      </c>
      <c r="X85" s="197">
        <f t="shared" si="26"/>
        <v>1</v>
      </c>
      <c r="Y85" s="197">
        <f t="shared" si="33"/>
        <v>23.296900000000001</v>
      </c>
      <c r="Z85" s="197">
        <f t="shared" si="34"/>
        <v>1.5800000000000002E-2</v>
      </c>
      <c r="AA85" s="197">
        <f t="shared" si="35"/>
        <v>23.281100000000002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6"/>
        <v>172</v>
      </c>
      <c r="AE85" s="77" t="str">
        <f t="shared" si="3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85" s="74" t="str">
        <f t="shared" si="38"/>
        <v>"C:\Program Files (x86)\AstroGrep\AstroGrep.exe" /e /r /s /spath="%USERPROFILE%\AppData\Local\Temp\OnboardLogs" /stypes="app*4039*20170617*"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172-17 --locoid 4039 --swversion DE.1.0.9.0 --startMP 204:232969 --initTime 2017-06-17T13:23:16 --startdatetime 2017-06-17T13:27:17 --delay 1 --endMP 204:158 --enddatetime 2017-06-17T14:09:02 --enforcementcount 0 &gt;&gt;C:\Users\stu\Documents\GitHub\eaglep3-reporting\EC\2017-06-17-refined-times.txt</v>
      </c>
      <c r="AI85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{"issue":{"subject":"","project_id":79,"tracker_id":40,"status_id":1,"priority_id":2,"assigned_to_id":23,"start_date":"2017-06-17","description":"","custom_fields":[{"id":1,"name":"Subdivision","value":"EC"},{"id":4,"name":"Milepost","value":"0.0158"},{"id":17,"name":"Train ID","value":"172-17"},{"id":16,"name":"Locomotive ID","value":"4039"},{"id":130,"name":"Impact","value":""},{"id":150,"name":"Time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4039 --day 2017-06-17</v>
      </c>
      <c r="AN85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736</v>
      </c>
      <c r="B86" s="7">
        <v>4054</v>
      </c>
      <c r="C86" s="21" t="s">
        <v>202</v>
      </c>
      <c r="D86" s="21" t="s">
        <v>521</v>
      </c>
      <c r="E86" s="13">
        <v>42903.527627314812</v>
      </c>
      <c r="F86" s="13">
        <v>42903.531458333331</v>
      </c>
      <c r="G86" s="7">
        <v>1</v>
      </c>
      <c r="H86" s="21" t="s">
        <v>856</v>
      </c>
      <c r="I86" s="13">
        <v>42903.55840277778</v>
      </c>
      <c r="J86" s="7">
        <v>0</v>
      </c>
      <c r="K86" s="89" t="str">
        <f t="shared" si="29"/>
        <v>4053/4054</v>
      </c>
      <c r="L86" s="21" t="str">
        <f>VLOOKUP(A86,'Trips&amp;Operators'!$C$1:$G$99999,5,FALSE)</f>
        <v>HOLCOMB KAMDEN</v>
      </c>
      <c r="M86" s="6">
        <f t="shared" si="30"/>
        <v>2.694444444932742E-2</v>
      </c>
      <c r="N86" s="7">
        <f t="shared" si="27"/>
        <v>38.800000007031485</v>
      </c>
      <c r="O86" s="7"/>
      <c r="P86" s="7"/>
      <c r="Q86" s="22"/>
      <c r="R86" s="170"/>
      <c r="S86" s="213">
        <f t="shared" si="28"/>
        <v>1</v>
      </c>
      <c r="T86" s="195" t="str">
        <f t="shared" si="3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-06-17T11:39:47-0600',mode:absolute,to:'2017-06-17T14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97" t="str">
        <f>IF(AA86&lt;VLOOKUP(AG86,Variables!$AC$3:$AD$8,2,FALSE),"Y","N")</f>
        <v>N</v>
      </c>
      <c r="X86" s="197">
        <f t="shared" si="26"/>
        <v>1</v>
      </c>
      <c r="Y86" s="197">
        <f t="shared" si="33"/>
        <v>4.6399999999999997E-2</v>
      </c>
      <c r="Z86" s="197">
        <f t="shared" si="34"/>
        <v>23.328299999999999</v>
      </c>
      <c r="AA86" s="197">
        <f t="shared" si="35"/>
        <v>23.2819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6"/>
        <v>173</v>
      </c>
      <c r="AE86" s="77" t="str">
        <f t="shared" si="37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86" s="74" t="str">
        <f t="shared" si="38"/>
        <v>"C:\Program Files (x86)\AstroGrep\AstroGrep.exe" /e /r /s /spath="%USERPROFILE%\AppData\Local\Temp\OnboardLogs" /stypes="app*4054*20170617*"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173-17 --locoid 4054 --swversion DE.1.0.9.0 --startMP 204:464 --initTime 2017-06-17T12:39:47 --startdatetime 2017-06-17T12:45:18 --delay 1 --endMP 204:233283 --enddatetime 2017-06-17T13:24:06 --enforcementcount 0 &gt;&gt;C:\Users\stu\Documents\GitHub\eaglep3-reporting\EC\2017-06-17-refined-times.txt</v>
      </c>
      <c r="AI8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{"issue":{"subject":"","project_id":79,"tracker_id":40,"status_id":1,"priority_id":2,"assigned_to_id":23,"start_date":"2017-06-17","description":"","custom_fields":[{"id":1,"name":"Subdivision","value":"EC"},{"id":4,"name":"Milepost","value":"23.3283"},{"id":17,"name":"Train ID","value":"173-17"},{"id":16,"name":"Locomotive ID","value":"4054"},{"id":130,"name":"Impact","value":""},{"id":150,"name":"Time of Event (Mountain Time)","value":"13:24:06"},{"id":151,"name":"Denver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4054 --day 2017-06-17</v>
      </c>
      <c r="AN86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745</v>
      </c>
      <c r="B87" s="7">
        <v>4053</v>
      </c>
      <c r="C87" s="21" t="s">
        <v>202</v>
      </c>
      <c r="D87" s="21" t="s">
        <v>456</v>
      </c>
      <c r="E87" s="13">
        <v>42903.568032407406</v>
      </c>
      <c r="F87" s="13">
        <v>42903.571666666663</v>
      </c>
      <c r="G87" s="7">
        <v>1</v>
      </c>
      <c r="H87" s="21" t="s">
        <v>878</v>
      </c>
      <c r="I87" s="13">
        <v>42903.599351851852</v>
      </c>
      <c r="J87" s="7">
        <v>0</v>
      </c>
      <c r="K87" s="89" t="str">
        <f t="shared" si="29"/>
        <v>4053/4054</v>
      </c>
      <c r="L87" s="21" t="str">
        <f>VLOOKUP(A87,'Trips&amp;Operators'!$C$1:$G$99999,5,FALSE)</f>
        <v>HOLCOMB KAMDEN</v>
      </c>
      <c r="M87" s="6">
        <f t="shared" si="30"/>
        <v>2.768518518860219E-2</v>
      </c>
      <c r="N87" s="7">
        <f t="shared" si="27"/>
        <v>39.866666671587154</v>
      </c>
      <c r="O87" s="7"/>
      <c r="P87" s="7"/>
      <c r="Q87" s="22"/>
      <c r="R87" s="170"/>
      <c r="S87" s="213">
        <f t="shared" si="28"/>
        <v>1</v>
      </c>
      <c r="T87" s="195" t="str">
        <f t="shared" si="3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-06-17T12:37:58-0600',mode:absolute,to:'2017-06-17T15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97" t="str">
        <f>IF(AA87&lt;VLOOKUP(AG87,Variables!$AC$3:$AD$8,2,FALSE),"Y","N")</f>
        <v>N</v>
      </c>
      <c r="X87" s="197">
        <f t="shared" si="26"/>
        <v>1</v>
      </c>
      <c r="Y87" s="197">
        <f t="shared" si="33"/>
        <v>23.298500000000001</v>
      </c>
      <c r="Z87" s="197">
        <f t="shared" si="34"/>
        <v>1.8100000000000002E-2</v>
      </c>
      <c r="AA87" s="197">
        <f t="shared" si="35"/>
        <v>23.2804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6"/>
        <v>174</v>
      </c>
      <c r="AE87" s="77" t="str">
        <f t="shared" si="37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87" s="74" t="str">
        <f t="shared" si="38"/>
        <v>"C:\Program Files (x86)\AstroGrep\AstroGrep.exe" /e /r /s /spath="%USERPROFILE%\AppData\Local\Temp\OnboardLogs" /stypes="app*4053*20170617*"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174-17 --locoid 4053 --swversion DE.1.0.9.0 --startMP 204:232985 --initTime 2017-06-17T13:37:58 --startdatetime 2017-06-17T13:43:12 --delay 1 --endMP 204:181 --enddatetime 2017-06-17T14:23:04 --enforcementcount 0 &gt;&gt;C:\Users\stu\Documents\GitHub\eaglep3-reporting\EC\2017-06-17-refined-times.txt</v>
      </c>
      <c r="AI8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{"issue":{"subject":"","project_id":79,"tracker_id":40,"status_id":1,"priority_id":2,"assigned_to_id":23,"start_date":"2017-06-17","description":"","custom_fields":[{"id":1,"name":"Subdivision","value":"EC"},{"id":4,"name":"Milepost","value":"0.0181"},{"id":17,"name":"Train ID","value":"174-17"},{"id":16,"name":"Locomotive ID","value":"4053"},{"id":130,"name":"Impact","value":""},{"id":150,"name":"Time of Event (Mountain Time)","value":"14:23:04"},{"id":151,"name":"Denver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4053 --day 2017-06-17</v>
      </c>
      <c r="AN87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739</v>
      </c>
      <c r="B88" s="7">
        <v>4046</v>
      </c>
      <c r="C88" s="21" t="s">
        <v>202</v>
      </c>
      <c r="D88" s="21" t="s">
        <v>198</v>
      </c>
      <c r="E88" s="13">
        <v>42903.539884259262</v>
      </c>
      <c r="F88" s="13">
        <v>42903.542025462964</v>
      </c>
      <c r="G88" s="7">
        <v>1</v>
      </c>
      <c r="H88" s="21" t="s">
        <v>393</v>
      </c>
      <c r="I88" s="13">
        <v>42903.569328703707</v>
      </c>
      <c r="J88" s="7">
        <v>0</v>
      </c>
      <c r="K88" s="89" t="str">
        <f t="shared" si="29"/>
        <v>4045/4046</v>
      </c>
      <c r="L88" s="21" t="str">
        <f>VLOOKUP(A88,'Trips&amp;Operators'!$C$1:$G$99999,5,FALSE)</f>
        <v>DAVIS MICHAEL</v>
      </c>
      <c r="M88" s="6">
        <f t="shared" si="30"/>
        <v>2.7303240742185153E-2</v>
      </c>
      <c r="N88" s="7">
        <f t="shared" si="27"/>
        <v>39.31666666874662</v>
      </c>
      <c r="O88" s="7"/>
      <c r="P88" s="7"/>
      <c r="Q88" s="22"/>
      <c r="R88" s="170"/>
      <c r="S88" s="213">
        <f t="shared" si="28"/>
        <v>1</v>
      </c>
      <c r="T88" s="195" t="str">
        <f t="shared" si="3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-06-17T11:57:26-0600',mode:absolute,to:'2017-06-17T14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97" t="str">
        <f>IF(AA88&lt;VLOOKUP(AG88,Variables!$AC$3:$AD$8,2,FALSE),"Y","N")</f>
        <v>N</v>
      </c>
      <c r="X88" s="197">
        <f t="shared" si="26"/>
        <v>1</v>
      </c>
      <c r="Y88" s="197">
        <f t="shared" si="33"/>
        <v>4.5699999999999998E-2</v>
      </c>
      <c r="Z88" s="197">
        <f t="shared" si="34"/>
        <v>23.3293</v>
      </c>
      <c r="AA88" s="197">
        <f t="shared" si="35"/>
        <v>23.2836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6"/>
        <v>175</v>
      </c>
      <c r="AE88" s="77" t="str">
        <f t="shared" si="3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88" s="74" t="str">
        <f t="shared" si="38"/>
        <v>"C:\Program Files (x86)\AstroGrep\AstroGrep.exe" /e /r /s /spath="%USERPROFILE%\AppData\Local\Temp\OnboardLogs" /stypes="app*4046*20170617*"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175-17 --locoid 4046 --swversion DE.1.0.9.0 --startMP 204:457 --initTime 2017-06-17T12:57:26 --startdatetime 2017-06-17T13:00:31 --delay 1 --endMP 204:233293 --enddatetime 2017-06-17T13:39:50 --enforcementcount 0 &gt;&gt;C:\Users\stu\Documents\GitHub\eaglep3-reporting\EC\2017-06-17-refined-times.txt</v>
      </c>
      <c r="AI8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{"issue":{"subject":"","project_id":79,"tracker_id":40,"status_id":1,"priority_id":2,"assigned_to_id":23,"start_date":"2017-06-17","description":"","custom_fields":[{"id":1,"name":"Subdivision","value":"EC"},{"id":4,"name":"Milepost","value":"23.3293"},{"id":17,"name":"Train ID","value":"175-17"},{"id":16,"name":"Locomotive ID","value":"4046"},{"id":130,"name":"Impact","value":""},{"id":150,"name":"Time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4046 --day 2017-06-17</v>
      </c>
      <c r="AN88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748</v>
      </c>
      <c r="B89" s="7">
        <v>4045</v>
      </c>
      <c r="C89" s="21" t="s">
        <v>202</v>
      </c>
      <c r="D89" s="21" t="s">
        <v>453</v>
      </c>
      <c r="E89" s="13">
        <v>42903.579027777778</v>
      </c>
      <c r="F89" s="13">
        <v>42903.581759259258</v>
      </c>
      <c r="G89" s="7">
        <v>1</v>
      </c>
      <c r="H89" s="21" t="s">
        <v>193</v>
      </c>
      <c r="I89" s="13">
        <v>42903.609444444446</v>
      </c>
      <c r="J89" s="7">
        <v>0</v>
      </c>
      <c r="K89" s="89" t="str">
        <f t="shared" si="29"/>
        <v>4045/4046</v>
      </c>
      <c r="L89" s="21" t="str">
        <f>VLOOKUP(A89,'Trips&amp;Operators'!$C$1:$G$99999,5,FALSE)</f>
        <v>DAVIS MICHAEL</v>
      </c>
      <c r="M89" s="6">
        <f t="shared" si="30"/>
        <v>2.768518518860219E-2</v>
      </c>
      <c r="N89" s="7">
        <f t="shared" si="27"/>
        <v>39.866666671587154</v>
      </c>
      <c r="O89" s="7"/>
      <c r="P89" s="7"/>
      <c r="Q89" s="22"/>
      <c r="R89" s="170"/>
      <c r="S89" s="213">
        <f t="shared" si="28"/>
        <v>1</v>
      </c>
      <c r="T89" s="195" t="str">
        <f t="shared" si="3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-06-17T12:53:48-0600',mode:absolute,to:'2017-06-17T15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97" t="str">
        <f>IF(AA89&lt;VLOOKUP(AG89,Variables!$AC$3:$AD$8,2,FALSE),"Y","N")</f>
        <v>N</v>
      </c>
      <c r="X89" s="197">
        <f t="shared" si="26"/>
        <v>1</v>
      </c>
      <c r="Y89" s="197">
        <f t="shared" si="33"/>
        <v>23.299399999999999</v>
      </c>
      <c r="Z89" s="197">
        <f t="shared" si="34"/>
        <v>1.52E-2</v>
      </c>
      <c r="AA89" s="197">
        <f t="shared" si="35"/>
        <v>23.284199999999998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6"/>
        <v>176</v>
      </c>
      <c r="AE89" s="77" t="str">
        <f t="shared" si="3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89" s="74" t="str">
        <f t="shared" si="38"/>
        <v>"C:\Program Files (x86)\AstroGrep\AstroGrep.exe" /e /r /s /spath="%USERPROFILE%\AppData\Local\Temp\OnboardLogs" /stypes="app*4045*20170617*"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176-17 --locoid 4045 --swversion DE.1.0.9.0 --startMP 204:232994 --initTime 2017-06-17T13:53:48 --startdatetime 2017-06-17T13:57:44 --delay 1 --endMP 204:152 --enddatetime 2017-06-17T14:37:36 --enforcementcount 0 &gt;&gt;C:\Users\stu\Documents\GitHub\eaglep3-reporting\EC\2017-06-17-refined-times.txt</v>
      </c>
      <c r="AI8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ID","value":"176-17"},{"id":16,"name":"Locomotive ID","value":"4045"},{"id":130,"name":"Impact","value":""},{"id":150,"name":"Time of Event (Mountain Time)","value":"14:37:36"},{"id":151,"name":"Denver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2"/>
        <v>start /low /b %USERPROFILE%\Documents\GitHub\eaglep3\Utilities\DownloadLogsFromS3.py --loco 4045 --day 2017-06-17</v>
      </c>
      <c r="AN89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741</v>
      </c>
      <c r="B90" s="7">
        <v>4024</v>
      </c>
      <c r="C90" s="21" t="s">
        <v>202</v>
      </c>
      <c r="D90" s="21" t="s">
        <v>347</v>
      </c>
      <c r="E90" s="13">
        <v>42903.550081018519</v>
      </c>
      <c r="F90" s="13">
        <v>42903.55327546296</v>
      </c>
      <c r="G90" s="7">
        <v>1</v>
      </c>
      <c r="H90" s="21" t="s">
        <v>552</v>
      </c>
      <c r="I90" s="13">
        <v>42903.579930555556</v>
      </c>
      <c r="J90" s="7">
        <v>0</v>
      </c>
      <c r="K90" s="89" t="str">
        <f t="shared" si="29"/>
        <v>4023/4024</v>
      </c>
      <c r="L90" s="21" t="str">
        <f>VLOOKUP(A90,'Trips&amp;Operators'!$C$1:$G$99999,5,FALSE)</f>
        <v>BRANDNER MELINDA</v>
      </c>
      <c r="M90" s="6">
        <f t="shared" si="30"/>
        <v>2.6655092595319729E-2</v>
      </c>
      <c r="N90" s="7">
        <f t="shared" si="27"/>
        <v>38.38333333726041</v>
      </c>
      <c r="O90" s="7"/>
      <c r="P90" s="7"/>
      <c r="Q90" s="22"/>
      <c r="R90" s="170"/>
      <c r="S90" s="213">
        <f t="shared" si="28"/>
        <v>1</v>
      </c>
      <c r="T90" s="195" t="str">
        <f t="shared" si="3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-06-17T12:12:07-0600',mode:absolute,to:'2017-06-17T14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197" t="str">
        <f>IF(AA90&lt;VLOOKUP(AG90,Variables!$AC$3:$AD$8,2,FALSE),"Y","N")</f>
        <v>N</v>
      </c>
      <c r="X90" s="197">
        <f t="shared" si="26"/>
        <v>1</v>
      </c>
      <c r="Y90" s="197">
        <f t="shared" si="33"/>
        <v>4.4600000000000001E-2</v>
      </c>
      <c r="Z90" s="197">
        <f t="shared" si="34"/>
        <v>23.331199999999999</v>
      </c>
      <c r="AA90" s="197">
        <f t="shared" si="35"/>
        <v>23.2866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6"/>
        <v>177</v>
      </c>
      <c r="AE90" s="77" t="str">
        <f t="shared" si="3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90" s="74" t="str">
        <f t="shared" si="38"/>
        <v>"C:\Program Files (x86)\AstroGrep\AstroGrep.exe" /e /r /s /spath="%USERPROFILE%\AppData\Local\Temp\OnboardLogs" /stypes="app*4024*20170617*" /stext=" 19:.+((SYSTEM_STATE.+slice.+state.+changed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177-17 --locoid 4024 --swversion DE.1.0.9.0 --startMP 204:446 --initTime 2017-06-17T13:12:07 --startdatetime 2017-06-17T13:16:43 --delay 1 --endMP 204:233312 --enddatetime 2017-06-17T13:55:06 --enforcementcount 0 &gt;&gt;C:\Users\stu\Documents\GitHub\eaglep3-reporting\EC\2017-06-17-refined-times.txt</v>
      </c>
      <c r="AI9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{"issue":{"subject":"","project_id":79,"tracker_id":40,"status_id":1,"priority_id":2,"assigned_to_id":23,"start_date":"2017-06-17","description":"","custom_fields":[{"id":1,"name":"Subdivision","value":"EC"},{"id":4,"name":"Milepost","value":"23.3312"},{"id":17,"name":"Train ID","value":"177-17"},{"id":16,"name":"Locomotive ID","value":"4024"},{"id":130,"name":"Impact","value":""},{"id":150,"name":"Time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4024 --day 2017-06-17</v>
      </c>
      <c r="AN90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616</v>
      </c>
      <c r="B91" s="7">
        <v>4023</v>
      </c>
      <c r="C91" s="21" t="s">
        <v>202</v>
      </c>
      <c r="D91" s="21" t="s">
        <v>452</v>
      </c>
      <c r="E91" s="13">
        <v>42903.58488425926</v>
      </c>
      <c r="F91" s="13">
        <v>42903.592291666668</v>
      </c>
      <c r="G91" s="7">
        <v>1</v>
      </c>
      <c r="H91" s="21" t="s">
        <v>553</v>
      </c>
      <c r="I91" s="13">
        <v>42903.619571759256</v>
      </c>
      <c r="J91" s="7">
        <v>0</v>
      </c>
      <c r="K91" s="89" t="str">
        <f t="shared" si="29"/>
        <v>4023/4024</v>
      </c>
      <c r="L91" s="21" t="str">
        <f>VLOOKUP(A91,'Trips&amp;Operators'!$C$1:$G$99999,5,FALSE)</f>
        <v>BRANDNER MELINDA</v>
      </c>
      <c r="M91" s="6">
        <f t="shared" si="30"/>
        <v>2.7280092588625848E-2</v>
      </c>
      <c r="N91" s="7">
        <f t="shared" si="27"/>
        <v>39.283333327621222</v>
      </c>
      <c r="O91" s="7"/>
      <c r="P91" s="7"/>
      <c r="Q91" s="22"/>
      <c r="R91" s="170"/>
      <c r="S91" s="213">
        <f t="shared" si="28"/>
        <v>1</v>
      </c>
      <c r="T91" s="195" t="str">
        <f t="shared" si="31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-06-17T13:02:14-0600',mode:absolute,to:'2017-06-17T15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197" t="str">
        <f>IF(AA91&lt;VLOOKUP(AG91,Variables!$AC$3:$AD$8,2,FALSE),"Y","N")</f>
        <v>N</v>
      </c>
      <c r="X91" s="197">
        <f t="shared" si="26"/>
        <v>1</v>
      </c>
      <c r="Y91" s="197">
        <f t="shared" si="33"/>
        <v>23.299600000000002</v>
      </c>
      <c r="Z91" s="197">
        <f t="shared" si="34"/>
        <v>1.32E-2</v>
      </c>
      <c r="AA91" s="197">
        <f t="shared" si="35"/>
        <v>23.2864</v>
      </c>
      <c r="AB91" s="54" t="str">
        <f>VLOOKUP(A91,Enforcements!$C$7:$K$13,8,0)</f>
        <v>Bulletin (2)</v>
      </c>
      <c r="AC91" s="51" t="str">
        <f>VLOOKUP(A91,Enforcements!$C$7:$E$13,3,0)</f>
        <v>GRADE CROSSING</v>
      </c>
      <c r="AD91" s="206">
        <f t="shared" si="36"/>
        <v>178</v>
      </c>
      <c r="AE91" s="77" t="str">
        <f t="shared" si="3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91" s="74" t="str">
        <f t="shared" si="38"/>
        <v>"C:\Program Files (x86)\AstroGrep\AstroGrep.exe" /e /r /s /spath="%USERPROFILE%\AppData\Local\Temp\OnboardLogs" /stypes="app*4023*20170617*"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178-17 --locoid 4023 --swversion DE.1.0.9.0 --startMP 204:232996 --initTime 2017-06-17T14:02:14 --startdatetime 2017-06-17T14:12:54 --delay 1 --endMP 204:132 --enddatetime 2017-06-17T14:52:11 --enforcementcount 0 &gt;&gt;C:\Users\stu\Documents\GitHub\eaglep3-reporting\EC\2017-06-17-refined-times.txt</v>
      </c>
      <c r="AI9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{"issue":{"subject":"","project_id":79,"tracker_id":40,"status_id":1,"priority_id":2,"assigned_to_id":23,"start_date":"2017-06-17","description":"","custom_fields":[{"id":1,"name":"Subdivision","value":"EC"},{"id":4,"name":"Milepost","value":"0.0132"},{"id":17,"name":"Train ID","value":"178-17"},{"id":16,"name":"Locomotive ID","value":"4023"},{"id":130,"name":"Impact","value":""},{"id":150,"name":"Time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2"/>
        <v>start /low /b %USERPROFILE%\Documents\GitHub\eaglep3\Utilities\DownloadLogsFromS3.py --loco 4023 --day 2017-06-17</v>
      </c>
      <c r="AN91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743</v>
      </c>
      <c r="B92" s="7">
        <v>4004</v>
      </c>
      <c r="C92" s="21" t="s">
        <v>202</v>
      </c>
      <c r="D92" s="21" t="s">
        <v>356</v>
      </c>
      <c r="E92" s="13">
        <v>42903.55982638889</v>
      </c>
      <c r="F92" s="13">
        <v>42903.562673611108</v>
      </c>
      <c r="G92" s="7">
        <v>1</v>
      </c>
      <c r="H92" s="21" t="s">
        <v>552</v>
      </c>
      <c r="I92" s="13">
        <v>42903.587604166663</v>
      </c>
      <c r="J92" s="7">
        <v>0</v>
      </c>
      <c r="K92" s="89" t="str">
        <f t="shared" si="29"/>
        <v>4003/4004</v>
      </c>
      <c r="L92" s="21" t="str">
        <f>VLOOKUP(A92,'Trips&amp;Operators'!$C$1:$G$99999,5,FALSE)</f>
        <v>BRUDER RICHARD</v>
      </c>
      <c r="M92" s="6">
        <f t="shared" si="30"/>
        <v>2.4930555555329192E-2</v>
      </c>
      <c r="N92" s="7">
        <f t="shared" si="27"/>
        <v>35.899999999674037</v>
      </c>
      <c r="O92" s="7"/>
      <c r="P92" s="7"/>
      <c r="Q92" s="22"/>
      <c r="R92" s="170"/>
      <c r="S92" s="213">
        <f t="shared" si="28"/>
        <v>1</v>
      </c>
      <c r="T92" s="195" t="str">
        <f t="shared" si="31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-06-17T12:26:09-0600',mode:absolute,to:'2017-06-17T15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97" t="str">
        <f>IF(AA92&lt;VLOOKUP(AG92,Variables!$AC$3:$AD$8,2,FALSE),"Y","N")</f>
        <v>N</v>
      </c>
      <c r="X92" s="197">
        <f t="shared" si="26"/>
        <v>1</v>
      </c>
      <c r="Y92" s="197">
        <f t="shared" si="33"/>
        <v>4.4699999999999997E-2</v>
      </c>
      <c r="Z92" s="197">
        <f t="shared" si="34"/>
        <v>23.331199999999999</v>
      </c>
      <c r="AA92" s="197">
        <f t="shared" si="35"/>
        <v>23.2865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6"/>
        <v>179</v>
      </c>
      <c r="AE92" s="77" t="str">
        <f t="shared" si="37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92" s="74" t="str">
        <f t="shared" si="38"/>
        <v>"C:\Program Files (x86)\AstroGrep\AstroGrep.exe" /e /r /s /spath="%USERPROFILE%\AppData\Local\Temp\OnboardLogs" /stypes="app*4004*20170617*"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179-17 --locoid 4004 --swversion DE.1.0.9.0 --startMP 204:447 --initTime 2017-06-17T13:26:09 --startdatetime 2017-06-17T13:30:15 --delay 1 --endMP 204:233312 --enddatetime 2017-06-17T14:06:09 --enforcementcount 0 &gt;&gt;C:\Users\stu\Documents\GitHub\eaglep3-reporting\EC\2017-06-17-refined-times.txt</v>
      </c>
      <c r="AI9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{"issue":{"subject":"","project_id":79,"tracker_id":40,"status_id":1,"priority_id":2,"assigned_to_id":23,"start_date":"2017-06-17","description":"","custom_fields":[{"id":1,"name":"Subdivision","value":"EC"},{"id":4,"name":"Milepost","value":"23.3312"},{"id":17,"name":"Train ID","value":"179-17"},{"id":16,"name":"Locomotive ID","value":"4004"},{"id":130,"name":"Impact","value":""},{"id":150,"name":"Time of Event (Mountain Time)","value":"14:06:09"},{"id":151,"name":"Denver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2"/>
        <v>start /low /b %USERPROFILE%\Documents\GitHub\eaglep3\Utilities\DownloadLogsFromS3.py --loco 4004 --day 2017-06-17</v>
      </c>
      <c r="AN92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754</v>
      </c>
      <c r="B93" s="7">
        <v>4003</v>
      </c>
      <c r="C93" s="21" t="s">
        <v>202</v>
      </c>
      <c r="D93" s="21" t="s">
        <v>517</v>
      </c>
      <c r="E93" s="13">
        <v>42903.597731481481</v>
      </c>
      <c r="F93" s="13">
        <v>42903.602303240739</v>
      </c>
      <c r="G93" s="7">
        <v>2</v>
      </c>
      <c r="H93" s="21" t="s">
        <v>360</v>
      </c>
      <c r="I93" s="13">
        <v>42903.629236111112</v>
      </c>
      <c r="J93" s="7">
        <v>0</v>
      </c>
      <c r="K93" s="89" t="str">
        <f t="shared" si="29"/>
        <v>4003/4004</v>
      </c>
      <c r="L93" s="21" t="str">
        <f>VLOOKUP(A93,'Trips&amp;Operators'!$C$1:$G$99999,5,FALSE)</f>
        <v>BRUDER RICHARD</v>
      </c>
      <c r="M93" s="6">
        <f t="shared" si="30"/>
        <v>2.6932870372547768E-2</v>
      </c>
      <c r="N93" s="7">
        <f t="shared" si="27"/>
        <v>38.783333336468786</v>
      </c>
      <c r="O93" s="7"/>
      <c r="P93" s="7"/>
      <c r="Q93" s="22"/>
      <c r="R93" s="170"/>
      <c r="S93" s="213">
        <f t="shared" si="28"/>
        <v>1</v>
      </c>
      <c r="T93" s="195" t="str">
        <f t="shared" si="31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-06-17T13:20:44-0600',mode:absolute,to:'2017-06-17T16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97" t="str">
        <f>IF(AA93&lt;VLOOKUP(AG93,Variables!$AC$3:$AD$8,2,FALSE),"Y","N")</f>
        <v>N</v>
      </c>
      <c r="X93" s="197">
        <f t="shared" si="26"/>
        <v>1</v>
      </c>
      <c r="Y93" s="197">
        <f t="shared" si="33"/>
        <v>23.299800000000001</v>
      </c>
      <c r="Z93" s="197">
        <f t="shared" si="34"/>
        <v>1.47E-2</v>
      </c>
      <c r="AA93" s="197">
        <f t="shared" si="35"/>
        <v>23.2851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6"/>
        <v>180</v>
      </c>
      <c r="AE93" s="77" t="str">
        <f t="shared" si="37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93" s="74" t="str">
        <f t="shared" si="38"/>
        <v>"C:\Program Files (x86)\AstroGrep\AstroGrep.exe" /e /r /s /spath="%USERPROFILE%\AppData\Local\Temp\OnboardLogs" /stypes="app*4003*20170617*" /stext=" 21:.+((SYSTEM_STATE.+slice.+state.+changed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180-17 --locoid 4003 --swversion DE.1.0.9.0 --startMP 204:232998 --initTime 2017-06-17T14:20:44 --startdatetime 2017-06-17T14:27:19 --delay 2 --endMP 204:147 --enddatetime 2017-06-17T15:06:06 --enforcementcount 0 &gt;&gt;C:\Users\stu\Documents\GitHub\eaglep3-reporting\EC\2017-06-17-refined-times.txt</v>
      </c>
      <c r="AI9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ID","value":"180-17"},{"id":16,"name":"Locomotive ID","value":"4003"},{"id":130,"name":"Impact","value":""},{"id":150,"name":"Time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2"/>
        <v>start /low /b %USERPROFILE%\Documents\GitHub\eaglep3\Utilities\DownloadLogsFromS3.py --loco 4003 --day 2017-06-17</v>
      </c>
      <c r="AN93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746</v>
      </c>
      <c r="B94" s="7">
        <v>4032</v>
      </c>
      <c r="C94" s="21" t="s">
        <v>202</v>
      </c>
      <c r="D94" s="21" t="s">
        <v>521</v>
      </c>
      <c r="E94" s="13">
        <v>42903.568877314814</v>
      </c>
      <c r="F94" s="13">
        <v>42903.573206018518</v>
      </c>
      <c r="G94" s="7">
        <v>3</v>
      </c>
      <c r="H94" s="21" t="s">
        <v>858</v>
      </c>
      <c r="I94" s="13">
        <v>42903.598912037036</v>
      </c>
      <c r="J94" s="7">
        <v>0</v>
      </c>
      <c r="K94" s="89" t="str">
        <f t="shared" si="29"/>
        <v>4031/4032</v>
      </c>
      <c r="L94" s="21" t="str">
        <f>VLOOKUP(A94,'Trips&amp;Operators'!$C$1:$G$99999,5,FALSE)</f>
        <v>SULLIVAN BRANDON</v>
      </c>
      <c r="M94" s="6">
        <f t="shared" si="30"/>
        <v>2.5706018517666962E-2</v>
      </c>
      <c r="N94" s="7">
        <f t="shared" si="27"/>
        <v>37.016666665440425</v>
      </c>
      <c r="O94" s="7"/>
      <c r="P94" s="7"/>
      <c r="Q94" s="22"/>
      <c r="R94" s="170"/>
      <c r="S94" s="213">
        <f t="shared" si="28"/>
        <v>1</v>
      </c>
      <c r="T94" s="195" t="str">
        <f t="shared" si="31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-06-17T12:39:11-0600',mode:absolute,to:'2017-06-17T15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197" t="str">
        <f>IF(AA94&lt;VLOOKUP(AG94,Variables!$AC$3:$AD$8,2,FALSE),"Y","N")</f>
        <v>N</v>
      </c>
      <c r="X94" s="197">
        <f t="shared" si="26"/>
        <v>1</v>
      </c>
      <c r="Y94" s="197">
        <f t="shared" si="33"/>
        <v>4.6399999999999997E-2</v>
      </c>
      <c r="Z94" s="197">
        <f t="shared" si="34"/>
        <v>23.3325</v>
      </c>
      <c r="AA94" s="197">
        <f t="shared" si="35"/>
        <v>23.286100000000001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6"/>
        <v>181</v>
      </c>
      <c r="AE94" s="77" t="str">
        <f t="shared" si="3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94" s="74" t="str">
        <f t="shared" si="38"/>
        <v>"C:\Program Files (x86)\AstroGrep\AstroGrep.exe" /e /r /s /spath="%USERPROFILE%\AppData\Local\Temp\OnboardLogs" /stypes="app*4032*20170617*" /stext=" 20:.+((SYSTEM_STATE.+slice.+state.+changed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181-17 --locoid 4032 --swversion DE.1.0.9.0 --startMP 204:464 --initTime 2017-06-17T13:39:11 --startdatetime 2017-06-17T13:45:25 --delay 3 --endMP 204:233325 --enddatetime 2017-06-17T14:22:26 --enforcementcount 0 &gt;&gt;C:\Users\stu\Documents\GitHub\eaglep3-reporting\EC\2017-06-17-refined-times.txt</v>
      </c>
      <c r="AI9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{"issue":{"subject":"","project_id":79,"tracker_id":40,"status_id":1,"priority_id":2,"assigned_to_id":23,"start_date":"2017-06-17","description":"","custom_fields":[{"id":1,"name":"Subdivision","value":"EC"},{"id":4,"name":"Milepost","value":"23.3325"},{"id":17,"name":"Train ID","value":"181-17"},{"id":16,"name":"Locomotive ID","value":"4032"},{"id":130,"name":"Impact","value":""},{"id":150,"name":"Time of Event (Mountain Time)","value":"14:22:26"},{"id":151,"name":"Denver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2"/>
        <v>start /low /b %USERPROFILE%\Documents\GitHub\eaglep3\Utilities\DownloadLogsFromS3.py --loco 4032 --day 2017-06-17</v>
      </c>
      <c r="AN94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756</v>
      </c>
      <c r="B95" s="7">
        <v>4031</v>
      </c>
      <c r="C95" s="21" t="s">
        <v>202</v>
      </c>
      <c r="D95" s="21" t="s">
        <v>459</v>
      </c>
      <c r="E95" s="13">
        <v>42903.605150462965</v>
      </c>
      <c r="F95" s="13">
        <v>42903.612824074073</v>
      </c>
      <c r="G95" s="7">
        <v>1</v>
      </c>
      <c r="H95" s="21" t="s">
        <v>900</v>
      </c>
      <c r="I95" s="13">
        <v>42903.639791666668</v>
      </c>
      <c r="J95" s="7">
        <v>0</v>
      </c>
      <c r="K95" s="89" t="str">
        <f t="shared" si="29"/>
        <v>4031/4032</v>
      </c>
      <c r="L95" s="21" t="str">
        <f>VLOOKUP(A95,'Trips&amp;Operators'!$C$1:$G$99999,5,FALSE)</f>
        <v>SULLIVAN BRANDON</v>
      </c>
      <c r="M95" s="6">
        <f t="shared" si="30"/>
        <v>2.6967592595610768E-2</v>
      </c>
      <c r="N95" s="7">
        <f t="shared" si="27"/>
        <v>38.833333337679505</v>
      </c>
      <c r="O95" s="7"/>
      <c r="P95" s="7"/>
      <c r="Q95" s="22"/>
      <c r="R95" s="170"/>
      <c r="S95" s="213">
        <f t="shared" si="28"/>
        <v>1</v>
      </c>
      <c r="T95" s="195" t="str">
        <f t="shared" si="31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-06-17T13:31:25-0600',mode:absolute,to:'2017-06-17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197" t="str">
        <f>IF(AA95&lt;VLOOKUP(AG95,Variables!$AC$3:$AD$8,2,FALSE),"Y","N")</f>
        <v>N</v>
      </c>
      <c r="X95" s="197">
        <f t="shared" si="26"/>
        <v>1</v>
      </c>
      <c r="Y95" s="197">
        <f t="shared" si="33"/>
        <v>23.3019</v>
      </c>
      <c r="Z95" s="197">
        <f t="shared" si="34"/>
        <v>1.6899999999999998E-2</v>
      </c>
      <c r="AA95" s="197">
        <f t="shared" si="35"/>
        <v>23.285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6"/>
        <v>182</v>
      </c>
      <c r="AE95" s="77" t="str">
        <f t="shared" si="3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95" s="74" t="str">
        <f t="shared" si="38"/>
        <v>"C:\Program Files (x86)\AstroGrep\AstroGrep.exe" /e /r /s /spath="%USERPROFILE%\AppData\Local\Temp\OnboardLogs" /stypes="app*4031*20170617*" /stext=" 21:.+((SYSTEM_STATE.+slice.+state.+changed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182-17 --locoid 4031 --swversion DE.1.0.9.0 --startMP 204:233019 --initTime 2017-06-17T14:31:25 --startdatetime 2017-06-17T14:42:28 --delay 1 --endMP 204:169 --enddatetime 2017-06-17T15:21:18 --enforcementcount 0 &gt;&gt;C:\Users\stu\Documents\GitHub\eaglep3-reporting\EC\2017-06-17-refined-times.txt</v>
      </c>
      <c r="AI95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{"issue":{"subject":"","project_id":79,"tracker_id":40,"status_id":1,"priority_id":2,"assigned_to_id":23,"start_date":"2017-06-17","description":"","custom_fields":[{"id":1,"name":"Subdivision","value":"EC"},{"id":4,"name":"Milepost","value":"0.0169"},{"id":17,"name":"Train ID","value":"182-17"},{"id":16,"name":"Locomotive ID","value":"4031"},{"id":130,"name":"Impact","value":""},{"id":150,"name":"Time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2"/>
        <v>start /low /b %USERPROFILE%\Documents\GitHub\eaglep3\Utilities\DownloadLogsFromS3.py --loco 4031 --day 2017-06-17</v>
      </c>
      <c r="AN95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749</v>
      </c>
      <c r="B96" s="7">
        <v>4020</v>
      </c>
      <c r="C96" s="21" t="s">
        <v>202</v>
      </c>
      <c r="D96" s="21" t="s">
        <v>910</v>
      </c>
      <c r="E96" s="13">
        <v>42903.579328703701</v>
      </c>
      <c r="F96" s="13">
        <v>42903.58353009259</v>
      </c>
      <c r="G96" s="7">
        <v>1</v>
      </c>
      <c r="H96" s="21" t="s">
        <v>911</v>
      </c>
      <c r="I96" s="13">
        <v>42903.608541666668</v>
      </c>
      <c r="J96" s="7">
        <v>0</v>
      </c>
      <c r="K96" s="89" t="str">
        <f t="shared" si="29"/>
        <v>4019/4020</v>
      </c>
      <c r="L96" s="21" t="str">
        <f>VLOOKUP(A96,'Trips&amp;Operators'!$C$1:$G$99999,5,FALSE)</f>
        <v>DELGADO DIANAH</v>
      </c>
      <c r="M96" s="6">
        <f t="shared" si="30"/>
        <v>2.5011574078234844E-2</v>
      </c>
      <c r="N96" s="7">
        <f t="shared" si="27"/>
        <v>36.016666672658175</v>
      </c>
      <c r="O96" s="7"/>
      <c r="P96" s="7"/>
      <c r="Q96" s="22"/>
      <c r="R96" s="170"/>
      <c r="S96" s="213">
        <f t="shared" si="28"/>
        <v>1</v>
      </c>
      <c r="T96" s="195" t="str">
        <f t="shared" si="31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-06-17T12:54:14-0600',mode:absolute,to:'2017-06-17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6" s="197" t="str">
        <f>IF(AA96&lt;VLOOKUP(AG96,Variables!$AC$3:$AD$8,2,FALSE),"Y","N")</f>
        <v>N</v>
      </c>
      <c r="X96" s="197">
        <f t="shared" ref="X96:X127" si="44">VALUE(LEFT(AD96,4))-VALUE(LEFT(AD95,4))</f>
        <v>1</v>
      </c>
      <c r="Y96" s="197">
        <f t="shared" si="33"/>
        <v>4.24E-2</v>
      </c>
      <c r="Z96" s="197">
        <f t="shared" si="34"/>
        <v>23.337</v>
      </c>
      <c r="AA96" s="197">
        <f t="shared" si="35"/>
        <v>23.294599999999999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6"/>
        <v>183</v>
      </c>
      <c r="AE96" s="77" t="str">
        <f t="shared" si="37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96" s="74" t="str">
        <f t="shared" si="38"/>
        <v>"C:\Program Files (x86)\AstroGrep\AstroGrep.exe" /e /r /s /spath="%USERPROFILE%\AppData\Local\Temp\OnboardLogs" /stypes="app*4020*20170617*" /stext=" 20:.+((SYSTEM_STATE.+slice.+state.+changed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183-17 --locoid 4020 --swversion DE.1.0.9.0 --startMP 204:424 --initTime 2017-06-17T13:54:14 --startdatetime 2017-06-17T14:00:17 --delay 1 --endMP 204:233370 --enddatetime 2017-06-17T14:36:18 --enforcementcount 0 &gt;&gt;C:\Users\stu\Documents\GitHub\eaglep3-reporting\EC\2017-06-17-refined-times.txt</v>
      </c>
      <c r="AI9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{"issue":{"subject":"","project_id":79,"tracker_id":40,"status_id":1,"priority_id":2,"assigned_to_id":23,"start_date":"2017-06-17","description":"","custom_fields":[{"id":1,"name":"Subdivision","value":"EC"},{"id":4,"name":"Milepost","value":"23.337"},{"id":17,"name":"Train ID","value":"183-17"},{"id":16,"name":"Locomotive ID","value":"4020"},{"id":130,"name":"Impact","value":""},{"id":150,"name":"Time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4020 --day 2017-06-17</v>
      </c>
      <c r="AN96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760</v>
      </c>
      <c r="B97" s="7">
        <v>4019</v>
      </c>
      <c r="C97" s="21" t="s">
        <v>202</v>
      </c>
      <c r="D97" s="21" t="s">
        <v>918</v>
      </c>
      <c r="E97" s="13">
        <v>42903.618449074071</v>
      </c>
      <c r="F97" s="13">
        <v>42903.623067129629</v>
      </c>
      <c r="G97" s="7">
        <v>1</v>
      </c>
      <c r="H97" s="21" t="s">
        <v>359</v>
      </c>
      <c r="I97" s="13">
        <v>42903.649074074077</v>
      </c>
      <c r="J97" s="7">
        <v>0</v>
      </c>
      <c r="K97" s="89" t="str">
        <f t="shared" si="29"/>
        <v>4019/4020</v>
      </c>
      <c r="L97" s="21" t="str">
        <f>VLOOKUP(A97,'Trips&amp;Operators'!$C$1:$G$99999,5,FALSE)</f>
        <v>DELGADO DIANAH</v>
      </c>
      <c r="M97" s="6">
        <f t="shared" si="30"/>
        <v>2.6006944448454306E-2</v>
      </c>
      <c r="N97" s="7">
        <f t="shared" si="27"/>
        <v>37.4500000057742</v>
      </c>
      <c r="O97" s="7"/>
      <c r="P97" s="7"/>
      <c r="Q97" s="22"/>
      <c r="R97" s="170"/>
      <c r="S97" s="213">
        <f t="shared" si="28"/>
        <v>1</v>
      </c>
      <c r="T97" s="195" t="str">
        <f t="shared" si="31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-06-17T13:50:34-0600',mode:absolute,to:'2017-06-17T16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7" s="197" t="str">
        <f>IF(AA97&lt;VLOOKUP(AG97,Variables!$AC$3:$AD$8,2,FALSE),"Y","N")</f>
        <v>N</v>
      </c>
      <c r="X97" s="197">
        <f t="shared" si="44"/>
        <v>1</v>
      </c>
      <c r="Y97" s="197">
        <f t="shared" si="33"/>
        <v>23.304400000000001</v>
      </c>
      <c r="Z97" s="197">
        <f t="shared" si="34"/>
        <v>1.41E-2</v>
      </c>
      <c r="AA97" s="197">
        <f t="shared" si="35"/>
        <v>23.290300000000002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6"/>
        <v>184</v>
      </c>
      <c r="AE97" s="77" t="str">
        <f t="shared" si="37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97" s="74" t="str">
        <f t="shared" si="38"/>
        <v>"C:\Program Files (x86)\AstroGrep\AstroGrep.exe" /e /r /s /spath="%USERPROFILE%\AppData\Local\Temp\OnboardLogs" /stypes="app*4019*20170617*" /stext=" 21:.+((SYSTEM_STATE.+slice.+state.+changed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184-17 --locoid 4019 --swversion DE.1.0.9.0 --startMP 204:233044 --initTime 2017-06-17T14:50:34 --startdatetime 2017-06-17T14:57:13 --delay 1 --endMP 204:141 --enddatetime 2017-06-17T15:34:40 --enforcementcount 0 &gt;&gt;C:\Users\stu\Documents\GitHub\eaglep3-reporting\EC\2017-06-17-refined-times.txt</v>
      </c>
      <c r="AI9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{"issue":{"subject":"","project_id":79,"tracker_id":40,"status_id":1,"priority_id":2,"assigned_to_id":23,"start_date":"2017-06-17","description":"","custom_fields":[{"id":1,"name":"Subdivision","value":"EC"},{"id":4,"name":"Milepost","value":"0.0141"},{"id":17,"name":"Train ID","value":"184-17"},{"id":16,"name":"Locomotive ID","value":"4019"},{"id":130,"name":"Impact","value":""},{"id":150,"name":"Time of Event (Mountain Time)","value":"15:34:40"},{"id":151,"name":"Denver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2"/>
        <v>start /low /b %USERPROFILE%\Documents\GitHub\eaglep3\Utilities\DownloadLogsFromS3.py --loco 4019 --day 2017-06-17</v>
      </c>
      <c r="AN97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753</v>
      </c>
      <c r="B98" s="7">
        <v>4040</v>
      </c>
      <c r="C98" s="21" t="s">
        <v>202</v>
      </c>
      <c r="D98" s="21" t="s">
        <v>352</v>
      </c>
      <c r="E98" s="13">
        <v>42903.592488425929</v>
      </c>
      <c r="F98" s="13">
        <v>42903.633564814816</v>
      </c>
      <c r="G98" s="7">
        <v>1</v>
      </c>
      <c r="H98" s="21" t="s">
        <v>524</v>
      </c>
      <c r="I98" s="13">
        <v>42903.660821759258</v>
      </c>
      <c r="J98" s="7">
        <v>0</v>
      </c>
      <c r="K98" s="89" t="str">
        <f t="shared" si="29"/>
        <v>4039/4040</v>
      </c>
      <c r="L98" s="21" t="str">
        <f>VLOOKUP(A98,'Trips&amp;Operators'!$C$1:$G$99999,5,FALSE)</f>
        <v>STEWART MICHAEL</v>
      </c>
      <c r="M98" s="6">
        <f t="shared" si="30"/>
        <v>2.7256944442342501E-2</v>
      </c>
      <c r="N98" s="7">
        <f t="shared" si="27"/>
        <v>39.249999996973202</v>
      </c>
      <c r="O98" s="7"/>
      <c r="P98" s="7"/>
      <c r="Q98" s="22"/>
      <c r="R98" s="170"/>
      <c r="S98" s="213">
        <f t="shared" si="28"/>
        <v>1</v>
      </c>
      <c r="T98" s="195" t="str">
        <f t="shared" si="3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-06-17T13:13:11-0600',mode:absolute,to:'2017-06-17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97" t="str">
        <f>IF(AA98&lt;VLOOKUP(AG98,Variables!$AC$3:$AD$8,2,FALSE),"Y","N")</f>
        <v>N</v>
      </c>
      <c r="X98" s="197">
        <f t="shared" si="44"/>
        <v>1</v>
      </c>
      <c r="Y98" s="197">
        <f t="shared" si="33"/>
        <v>4.6600000000000003E-2</v>
      </c>
      <c r="Z98" s="197">
        <f t="shared" si="34"/>
        <v>23.331700000000001</v>
      </c>
      <c r="AA98" s="197">
        <f t="shared" si="35"/>
        <v>23.2851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6"/>
        <v>185</v>
      </c>
      <c r="AE98" s="77" t="str">
        <f t="shared" si="3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98" s="74" t="str">
        <f t="shared" si="38"/>
        <v>"C:\Program Files (x86)\AstroGrep\AstroGrep.exe" /e /r /s /spath="%USERPROFILE%\AppData\Local\Temp\OnboardLogs" /stypes="app*4040*20170617*" /stext=" 21:.+((SYSTEM_STATE.+slice.+state.+changed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185-17 --locoid 4040 --swversion DE.1.0.9.0 --startMP 204:466 --initTime 2017-06-17T14:13:11 --startdatetime 2017-06-17T15:12:20 --delay 1 --endMP 204:233317 --enddatetime 2017-06-17T15:51:35 --enforcementcount 0 &gt;&gt;C:\Users\stu\Documents\GitHub\eaglep3-reporting\EC\2017-06-17-refined-times.txt</v>
      </c>
      <c r="AI9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{"issue":{"subject":"","project_id":79,"tracker_id":40,"status_id":1,"priority_id":2,"assigned_to_id":23,"start_date":"2017-06-17","description":"","custom_fields":[{"id":1,"name":"Subdivision","value":"EC"},{"id":4,"name":"Milepost","value":"23.3317"},{"id":17,"name":"Train ID","value":"185-17"},{"id":16,"name":"Locomotive ID","value":"4040"},{"id":130,"name":"Impact","value":""},{"id":150,"name":"Time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4040 --day 2017-06-17</v>
      </c>
      <c r="AN98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763</v>
      </c>
      <c r="B99" s="7">
        <v>4039</v>
      </c>
      <c r="C99" s="21" t="s">
        <v>202</v>
      </c>
      <c r="D99" s="21" t="s">
        <v>475</v>
      </c>
      <c r="E99" s="13">
        <v>42903.63144675926</v>
      </c>
      <c r="F99" s="13">
        <v>42903.633564814816</v>
      </c>
      <c r="G99" s="7">
        <v>0</v>
      </c>
      <c r="H99" s="21" t="s">
        <v>478</v>
      </c>
      <c r="I99" s="13">
        <v>42903.660821759258</v>
      </c>
      <c r="J99" s="7">
        <v>0</v>
      </c>
      <c r="K99" s="89" t="str">
        <f t="shared" si="29"/>
        <v>4039/4040</v>
      </c>
      <c r="L99" s="21" t="str">
        <f>VLOOKUP(A99,'Trips&amp;Operators'!$C$1:$G$99999,5,FALSE)</f>
        <v>STEWART MICHAEL</v>
      </c>
      <c r="M99" s="6">
        <f t="shared" si="30"/>
        <v>2.7256944442342501E-2</v>
      </c>
      <c r="N99" s="7">
        <f t="shared" si="27"/>
        <v>39.249999996973202</v>
      </c>
      <c r="O99" s="7"/>
      <c r="P99" s="7"/>
      <c r="Q99" s="22"/>
      <c r="R99" s="170"/>
      <c r="S99" s="213">
        <f t="shared" si="28"/>
        <v>1</v>
      </c>
      <c r="T99" s="195" t="str">
        <f t="shared" si="31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-06-17T14:09:17-0600',mode:absolute,to:'2017-06-17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97" t="str">
        <f>IF(AA99&lt;VLOOKUP(AG99,Variables!$AC$3:$AD$8,2,FALSE),"Y","N")</f>
        <v>N</v>
      </c>
      <c r="X99" s="197">
        <f t="shared" si="44"/>
        <v>1</v>
      </c>
      <c r="Y99" s="197">
        <f t="shared" si="33"/>
        <v>23.298100000000002</v>
      </c>
      <c r="Z99" s="197">
        <f t="shared" si="34"/>
        <v>1.6E-2</v>
      </c>
      <c r="AA99" s="197">
        <f t="shared" si="35"/>
        <v>23.282100000000003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6"/>
        <v>186</v>
      </c>
      <c r="AE99" s="77" t="str">
        <f t="shared" si="3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99" s="74" t="str">
        <f t="shared" si="38"/>
        <v>"C:\Program Files (x86)\AstroGrep\AstroGrep.exe" /e /r /s /spath="%USERPROFILE%\AppData\Local\Temp\OnboardLogs" /stypes="app*4039*20170617*"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186-17 --locoid 4039 --swversion DE.1.0.9.0 --startMP 204:232981 --initTime 2017-06-17T15:09:17 --startdatetime 2017-06-17T15:12:20 --delay 0 --endMP 204:160 --enddatetime 2017-06-17T15:51:35 --enforcementcount 0 &gt;&gt;C:\Users\stu\Documents\GitHub\eaglep3-reporting\EC\2017-06-17-refined-times.txt</v>
      </c>
      <c r="AI9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{"issue":{"subject":"","project_id":79,"tracker_id":40,"status_id":1,"priority_id":2,"assigned_to_id":23,"start_date":"2017-06-17","description":"","custom_fields":[{"id":1,"name":"Subdivision","value":"EC"},{"id":4,"name":"Milepost","value":"0.016"},{"id":17,"name":"Train ID","value":"186-17"},{"id":16,"name":"Locomotive ID","value":"4039"},{"id":130,"name":"Impact","value":""},{"id":150,"name":"Time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4039 --day 2017-06-17</v>
      </c>
      <c r="AN99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755</v>
      </c>
      <c r="B100" s="7">
        <v>4054</v>
      </c>
      <c r="C100" s="21" t="s">
        <v>202</v>
      </c>
      <c r="D100" s="21" t="s">
        <v>849</v>
      </c>
      <c r="E100" s="13">
        <v>42903.601261574076</v>
      </c>
      <c r="F100" s="13">
        <v>42903.604375000003</v>
      </c>
      <c r="G100" s="7">
        <v>1</v>
      </c>
      <c r="H100" s="21" t="s">
        <v>919</v>
      </c>
      <c r="I100" s="13">
        <v>42903.629803240743</v>
      </c>
      <c r="J100" s="7">
        <v>0</v>
      </c>
      <c r="K100" s="89" t="str">
        <f t="shared" si="29"/>
        <v>4053/4054</v>
      </c>
      <c r="L100" s="21" t="str">
        <f>VLOOKUP(A100,'Trips&amp;Operators'!$C$1:$G$99999,5,FALSE)</f>
        <v>HOLCOMB KAMDEN</v>
      </c>
      <c r="M100" s="6">
        <f t="shared" si="30"/>
        <v>2.5428240740438923E-2</v>
      </c>
      <c r="N100" s="7">
        <f t="shared" si="27"/>
        <v>36.616666666232049</v>
      </c>
      <c r="O100" s="7"/>
      <c r="P100" s="7"/>
      <c r="Q100" s="22"/>
      <c r="R100" s="170"/>
      <c r="S100" s="213">
        <f t="shared" si="28"/>
        <v>1</v>
      </c>
      <c r="T100" s="195" t="str">
        <f t="shared" si="31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-06-17T13:25:49-0600',mode:absolute,to:'2017-06-17T16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97" t="str">
        <f>IF(AA100&lt;VLOOKUP(AG100,Variables!$AC$3:$AD$8,2,FALSE),"Y","N")</f>
        <v>N</v>
      </c>
      <c r="X100" s="197">
        <f t="shared" si="44"/>
        <v>1</v>
      </c>
      <c r="Y100" s="197">
        <f t="shared" si="33"/>
        <v>4.2700000000000002E-2</v>
      </c>
      <c r="Z100" s="197">
        <f t="shared" si="34"/>
        <v>23.328199999999999</v>
      </c>
      <c r="AA100" s="197">
        <f t="shared" si="35"/>
        <v>23.285499999999999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6"/>
        <v>187</v>
      </c>
      <c r="AE100" s="77" t="str">
        <f t="shared" si="37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100" s="74" t="str">
        <f t="shared" si="38"/>
        <v>"C:\Program Files (x86)\AstroGrep\AstroGrep.exe" /e /r /s /spath="%USERPROFILE%\AppData\Local\Temp\OnboardLogs" /stypes="app*4054*20170617*"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187-17 --locoid 4054 --swversion DE.1.0.9.0 --startMP 204:427 --initTime 2017-06-17T14:25:49 --startdatetime 2017-06-17T14:30:18 --delay 1 --endMP 204:233282 --enddatetime 2017-06-17T15:06:55 --enforcementcount 0 &gt;&gt;C:\Users\stu\Documents\GitHub\eaglep3-reporting\EC\2017-06-17-refined-times.txt</v>
      </c>
      <c r="AI10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{"issue":{"subject":"","project_id":79,"tracker_id":40,"status_id":1,"priority_id":2,"assigned_to_id":23,"start_date":"2017-06-17","description":"","custom_fields":[{"id":1,"name":"Subdivision","value":"EC"},{"id":4,"name":"Milepost","value":"23.3282"},{"id":17,"name":"Train ID","value":"187-17"},{"id":16,"name":"Locomotive ID","value":"4054"},{"id":130,"name":"Impact","value":""},{"id":150,"name":"Time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4054 --day 2017-06-17</v>
      </c>
      <c r="AN100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765</v>
      </c>
      <c r="B101" s="7">
        <v>4053</v>
      </c>
      <c r="C101" s="21" t="s">
        <v>202</v>
      </c>
      <c r="D101" s="21" t="s">
        <v>554</v>
      </c>
      <c r="E101" s="13">
        <v>42903.640266203707</v>
      </c>
      <c r="F101" s="13">
        <v>42903.644016203703</v>
      </c>
      <c r="G101" s="7">
        <v>1</v>
      </c>
      <c r="H101" s="21" t="s">
        <v>477</v>
      </c>
      <c r="I101" s="13">
        <v>42903.670034722221</v>
      </c>
      <c r="J101" s="7">
        <v>0</v>
      </c>
      <c r="K101" s="89" t="str">
        <f t="shared" si="29"/>
        <v>4053/4054</v>
      </c>
      <c r="L101" s="21" t="str">
        <f>VLOOKUP(A101,'Trips&amp;Operators'!$C$1:$G$99999,5,FALSE)</f>
        <v>HOLCOMB KAMDEN</v>
      </c>
      <c r="M101" s="6">
        <f t="shared" si="30"/>
        <v>2.6018518517958E-2</v>
      </c>
      <c r="N101" s="7">
        <f t="shared" si="27"/>
        <v>37.46666666585952</v>
      </c>
      <c r="O101" s="7"/>
      <c r="P101" s="7"/>
      <c r="Q101" s="22"/>
      <c r="R101" s="170"/>
      <c r="S101" s="213">
        <f t="shared" si="28"/>
        <v>1</v>
      </c>
      <c r="T101" s="195" t="str">
        <f t="shared" si="31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-06-17T14:21:59-0600',mode:absolute,to:'2017-06-17T17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97" t="str">
        <f>IF(AA101&lt;VLOOKUP(AG101,Variables!$AC$3:$AD$8,2,FALSE),"Y","N")</f>
        <v>N</v>
      </c>
      <c r="X101" s="197">
        <f t="shared" si="44"/>
        <v>1</v>
      </c>
      <c r="Y101" s="197">
        <f t="shared" si="33"/>
        <v>23.296299999999999</v>
      </c>
      <c r="Z101" s="197">
        <f t="shared" si="34"/>
        <v>1.38E-2</v>
      </c>
      <c r="AA101" s="197">
        <f t="shared" si="35"/>
        <v>23.282499999999999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6"/>
        <v>188</v>
      </c>
      <c r="AE101" s="77" t="str">
        <f t="shared" si="37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101" s="74" t="str">
        <f t="shared" si="38"/>
        <v>"C:\Program Files (x86)\AstroGrep\AstroGrep.exe" /e /r /s /spath="%USERPROFILE%\AppData\Local\Temp\OnboardLogs" /stypes="app*4053*20170617*" /stext=" 22:.+((SYSTEM_STATE.+slice.+state.+changed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188-17 --locoid 4053 --swversion DE.1.0.9.0 --startMP 204:232963 --initTime 2017-06-17T15:21:59 --startdatetime 2017-06-17T15:27:23 --delay 1 --endMP 204:138 --enddatetime 2017-06-17T16:04:51 --enforcementcount 0 &gt;&gt;C:\Users\stu\Documents\GitHub\eaglep3-reporting\EC\2017-06-17-refined-times.txt</v>
      </c>
      <c r="AI10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{"issue":{"subject":"","project_id":79,"tracker_id":40,"status_id":1,"priority_id":2,"assigned_to_id":23,"start_date":"2017-06-17","description":"","custom_fields":[{"id":1,"name":"Subdivision","value":"EC"},{"id":4,"name":"Milepost","value":"0.0138"},{"id":17,"name":"Train ID","value":"188-17"},{"id":16,"name":"Locomotive ID","value":"4053"},{"id":130,"name":"Impact","value":""},{"id":150,"name":"Time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4053 --day 2017-06-17</v>
      </c>
      <c r="AN101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759</v>
      </c>
      <c r="B102" s="7">
        <v>4046</v>
      </c>
      <c r="C102" s="21" t="s">
        <v>202</v>
      </c>
      <c r="D102" s="21" t="s">
        <v>198</v>
      </c>
      <c r="E102" s="13">
        <v>42903.612187500003</v>
      </c>
      <c r="F102" s="13">
        <v>42903.614942129629</v>
      </c>
      <c r="G102" s="7">
        <v>1</v>
      </c>
      <c r="H102" s="21" t="s">
        <v>557</v>
      </c>
      <c r="I102" s="13">
        <v>42903.641192129631</v>
      </c>
      <c r="J102" s="7">
        <v>0</v>
      </c>
      <c r="K102" s="89" t="str">
        <f t="shared" si="29"/>
        <v>4045/4046</v>
      </c>
      <c r="L102" s="21" t="str">
        <f>VLOOKUP(A102,'Trips&amp;Operators'!$C$1:$G$99999,5,FALSE)</f>
        <v>DAVIS MICHAEL</v>
      </c>
      <c r="M102" s="6">
        <f t="shared" si="30"/>
        <v>2.6250000002619345E-2</v>
      </c>
      <c r="N102" s="7">
        <f t="shared" si="27"/>
        <v>37.800000003771856</v>
      </c>
      <c r="O102" s="7"/>
      <c r="P102" s="7"/>
      <c r="Q102" s="22"/>
      <c r="R102" s="170"/>
      <c r="S102" s="213">
        <f t="shared" si="28"/>
        <v>1</v>
      </c>
      <c r="T102" s="195" t="str">
        <f t="shared" si="31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-06-17T13:41:33-0600',mode:absolute,to:'2017-06-17T16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197" t="str">
        <f>IF(AA102&lt;VLOOKUP(AG102,Variables!$AC$3:$AD$8,2,FALSE),"Y","N")</f>
        <v>N</v>
      </c>
      <c r="X102" s="197">
        <f t="shared" si="44"/>
        <v>1</v>
      </c>
      <c r="Y102" s="197">
        <f t="shared" si="33"/>
        <v>4.5699999999999998E-2</v>
      </c>
      <c r="Z102" s="197">
        <f t="shared" si="34"/>
        <v>23.328499999999998</v>
      </c>
      <c r="AA102" s="197">
        <f t="shared" si="35"/>
        <v>23.282799999999998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6"/>
        <v>189</v>
      </c>
      <c r="AE102" s="77" t="str">
        <f t="shared" si="3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02" s="74" t="str">
        <f t="shared" si="38"/>
        <v>"C:\Program Files (x86)\AstroGrep\AstroGrep.exe" /e /r /s /spath="%USERPROFILE%\AppData\Local\Temp\OnboardLogs" /stypes="app*4046*20170617*"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189-17 --locoid 4046 --swversion DE.1.0.9.0 --startMP 204:457 --initTime 2017-06-17T14:41:33 --startdatetime 2017-06-17T14:45:31 --delay 1 --endMP 204:233285 --enddatetime 2017-06-17T15:23:19 --enforcementcount 0 &gt;&gt;C:\Users\stu\Documents\GitHub\eaglep3-reporting\EC\2017-06-17-refined-times.txt</v>
      </c>
      <c r="AI10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{"issue":{"subject":"","project_id":79,"tracker_id":40,"status_id":1,"priority_id":2,"assigned_to_id":23,"start_date":"2017-06-17","description":"","custom_fields":[{"id":1,"name":"Subdivision","value":"EC"},{"id":4,"name":"Milepost","value":"23.3285"},{"id":17,"name":"Train ID","value":"189-17"},{"id":16,"name":"Locomotive ID","value":"4046"},{"id":130,"name":"Impact","value":""},{"id":150,"name":"Time of Event (Mountain Time)","value":"15:23:19"},{"id":151,"name":"Denver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2" t="str">
        <f t="shared" si="42"/>
        <v>start /low /b %USERPROFILE%\Documents\GitHub\eaglep3\Utilities\DownloadLogsFromS3.py --loco 4046 --day 2017-06-17</v>
      </c>
      <c r="AN102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</row>
    <row r="103" spans="1:91" s="20" customFormat="1" x14ac:dyDescent="0.25">
      <c r="A103" s="32" t="s">
        <v>767</v>
      </c>
      <c r="B103" s="7">
        <v>4045</v>
      </c>
      <c r="C103" s="21" t="s">
        <v>202</v>
      </c>
      <c r="D103" s="21" t="s">
        <v>920</v>
      </c>
      <c r="E103" s="13">
        <v>42903.651747685188</v>
      </c>
      <c r="F103" s="13">
        <v>42903.654606481483</v>
      </c>
      <c r="G103" s="7">
        <v>1</v>
      </c>
      <c r="H103" s="21" t="s">
        <v>193</v>
      </c>
      <c r="I103" s="13">
        <v>42903.682488425926</v>
      </c>
      <c r="J103" s="7">
        <v>0</v>
      </c>
      <c r="K103" s="89" t="str">
        <f t="shared" si="29"/>
        <v>4045/4046</v>
      </c>
      <c r="L103" s="21" t="str">
        <f>VLOOKUP(A103,'Trips&amp;Operators'!$C$1:$G$99999,5,FALSE)</f>
        <v>DAVIS MICHAEL</v>
      </c>
      <c r="M103" s="6">
        <f t="shared" si="30"/>
        <v>2.7881944442924578E-2</v>
      </c>
      <c r="N103" s="7">
        <f t="shared" si="27"/>
        <v>40.149999997811392</v>
      </c>
      <c r="O103" s="7"/>
      <c r="P103" s="7"/>
      <c r="Q103" s="22"/>
      <c r="R103" s="170"/>
      <c r="S103" s="213">
        <f t="shared" si="28"/>
        <v>1</v>
      </c>
      <c r="T103" s="195" t="str">
        <f t="shared" si="31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-06-17T14:38:31-0600',mode:absolute,to:'2017-06-17T17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197" t="str">
        <f>IF(AA103&lt;VLOOKUP(AG103,Variables!$AC$3:$AD$8,2,FALSE),"Y","N")</f>
        <v>N</v>
      </c>
      <c r="X103" s="197">
        <f t="shared" si="44"/>
        <v>1</v>
      </c>
      <c r="Y103" s="197">
        <f t="shared" si="33"/>
        <v>23.302099999999999</v>
      </c>
      <c r="Z103" s="197">
        <f t="shared" si="34"/>
        <v>1.52E-2</v>
      </c>
      <c r="AA103" s="197">
        <f t="shared" si="35"/>
        <v>23.286899999999999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6"/>
        <v>190</v>
      </c>
      <c r="AE103" s="77" t="str">
        <f t="shared" si="3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03" s="74" t="str">
        <f t="shared" si="38"/>
        <v>"C:\Program Files (x86)\AstroGrep\AstroGrep.exe" /e /r /s /spath="%USERPROFILE%\AppData\Local\Temp\OnboardLogs" /stypes="app*4045*20170617*"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190-17 --locoid 4045 --swversion DE.1.0.9.0 --startMP 204:233021 --initTime 2017-06-17T15:38:31 --startdatetime 2017-06-17T15:42:38 --delay 1 --endMP 204:152 --enddatetime 2017-06-17T16:22:47 --enforcementcount 0 &gt;&gt;C:\Users\stu\Documents\GitHub\eaglep3-reporting\EC\2017-06-17-refined-times.txt</v>
      </c>
      <c r="AI10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ID","value":"190-17"},{"id":16,"name":"Locomotive ID","value":"4045"},{"id":130,"name":"Impact","value":""},{"id":150,"name":"Time of Event (Mountain Time)","value":"16:22:47"},{"id":151,"name":"Denver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4045 --day 2017-06-17</v>
      </c>
      <c r="AN103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761</v>
      </c>
      <c r="B104" s="7">
        <v>4024</v>
      </c>
      <c r="C104" s="21" t="s">
        <v>202</v>
      </c>
      <c r="D104" s="21" t="s">
        <v>356</v>
      </c>
      <c r="E104" s="13">
        <v>42903.621759259258</v>
      </c>
      <c r="F104" s="13">
        <v>42903.625219907408</v>
      </c>
      <c r="G104" s="7">
        <v>1</v>
      </c>
      <c r="H104" s="21" t="s">
        <v>520</v>
      </c>
      <c r="I104" s="13">
        <v>42903.651574074072</v>
      </c>
      <c r="J104" s="7">
        <v>0</v>
      </c>
      <c r="K104" s="89" t="str">
        <f t="shared" si="29"/>
        <v>4023/4024</v>
      </c>
      <c r="L104" s="21" t="str">
        <f>VLOOKUP(A104,'Trips&amp;Operators'!$C$1:$G$99999,5,FALSE)</f>
        <v>BRANDNER MELINDA</v>
      </c>
      <c r="M104" s="6">
        <f t="shared" si="30"/>
        <v>2.6354166664532386E-2</v>
      </c>
      <c r="N104" s="7">
        <f t="shared" si="27"/>
        <v>37.949999996926636</v>
      </c>
      <c r="O104" s="7"/>
      <c r="P104" s="7"/>
      <c r="Q104" s="22"/>
      <c r="R104" s="170"/>
      <c r="S104" s="213">
        <f t="shared" si="28"/>
        <v>1</v>
      </c>
      <c r="T104" s="195" t="str">
        <f t="shared" si="31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-06-17T13:55:20-0600',mode:absolute,to:'2017-06-17T16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4" s="197" t="str">
        <f>IF(AA104&lt;VLOOKUP(AG104,Variables!$AC$3:$AD$8,2,FALSE),"Y","N")</f>
        <v>N</v>
      </c>
      <c r="X104" s="197">
        <f t="shared" si="44"/>
        <v>1</v>
      </c>
      <c r="Y104" s="197">
        <f t="shared" si="33"/>
        <v>4.4699999999999997E-2</v>
      </c>
      <c r="Z104" s="197">
        <f t="shared" si="34"/>
        <v>23.332799999999999</v>
      </c>
      <c r="AA104" s="197">
        <f t="shared" si="35"/>
        <v>23.2881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6"/>
        <v>191</v>
      </c>
      <c r="AE104" s="77" t="str">
        <f t="shared" si="3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04" s="74" t="str">
        <f t="shared" si="38"/>
        <v>"C:\Program Files (x86)\AstroGrep\AstroGrep.exe" /e /r /s /spath="%USERPROFILE%\AppData\Local\Temp\OnboardLogs" /stypes="app*4024*20170617*" /stext=" 21:.+((SYSTEM_STATE.+slice.+state.+changed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191-17 --locoid 4024 --swversion DE.1.0.9.0 --startMP 204:447 --initTime 2017-06-17T14:55:20 --startdatetime 2017-06-17T15:00:19 --delay 1 --endMP 204:233328 --enddatetime 2017-06-17T15:38:16 --enforcementcount 0 &gt;&gt;C:\Users\stu\Documents\GitHub\eaglep3-reporting\EC\2017-06-17-refined-times.txt</v>
      </c>
      <c r="AI10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{"issue":{"subject":"","project_id":79,"tracker_id":40,"status_id":1,"priority_id":2,"assigned_to_id":23,"start_date":"2017-06-17","description":"","custom_fields":[{"id":1,"name":"Subdivision","value":"EC"},{"id":4,"name":"Milepost","value":"23.3328"},{"id":17,"name":"Train ID","value":"191-17"},{"id":16,"name":"Locomotive ID","value":"4024"},{"id":130,"name":"Impact","value":""},{"id":150,"name":"Time of Event (Mountain Time)","value":"15:38:16"},{"id":151,"name":"Denver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4024 --day 2017-06-17</v>
      </c>
      <c r="AN104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768</v>
      </c>
      <c r="B105" s="7">
        <v>4023</v>
      </c>
      <c r="C105" s="21" t="s">
        <v>202</v>
      </c>
      <c r="D105" s="21" t="s">
        <v>497</v>
      </c>
      <c r="E105" s="13">
        <v>42903.661840277775</v>
      </c>
      <c r="F105" s="13">
        <v>42903.664756944447</v>
      </c>
      <c r="G105" s="7">
        <v>1</v>
      </c>
      <c r="H105" s="21" t="s">
        <v>351</v>
      </c>
      <c r="I105" s="13">
        <v>42903.693391203706</v>
      </c>
      <c r="J105" s="7">
        <v>0</v>
      </c>
      <c r="K105" s="89" t="str">
        <f t="shared" si="29"/>
        <v>4023/4024</v>
      </c>
      <c r="L105" s="21" t="str">
        <f>VLOOKUP(A105,'Trips&amp;Operators'!$C$1:$G$99999,5,FALSE)</f>
        <v>BRANDNER MELINDA</v>
      </c>
      <c r="M105" s="6">
        <f t="shared" si="30"/>
        <v>2.8634259258979E-2</v>
      </c>
      <c r="N105" s="7">
        <f t="shared" si="27"/>
        <v>41.23333333292976</v>
      </c>
      <c r="O105" s="7"/>
      <c r="P105" s="7"/>
      <c r="Q105" s="22"/>
      <c r="R105" s="170"/>
      <c r="S105" s="213">
        <f t="shared" si="28"/>
        <v>1</v>
      </c>
      <c r="T105" s="195" t="str">
        <f t="shared" si="31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-06-17T14:53:03-0600',mode:absolute,to:'2017-06-17T17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5" s="197" t="str">
        <f>IF(AA105&lt;VLOOKUP(AG105,Variables!$AC$3:$AD$8,2,FALSE),"Y","N")</f>
        <v>N</v>
      </c>
      <c r="X105" s="197">
        <f t="shared" si="44"/>
        <v>1</v>
      </c>
      <c r="Y105" s="197">
        <f t="shared" si="33"/>
        <v>23.3005</v>
      </c>
      <c r="Z105" s="197">
        <f t="shared" si="34"/>
        <v>1.43E-2</v>
      </c>
      <c r="AA105" s="197">
        <f t="shared" si="35"/>
        <v>23.286200000000001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6"/>
        <v>192</v>
      </c>
      <c r="AE105" s="77" t="str">
        <f t="shared" si="3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105" s="74" t="str">
        <f t="shared" si="38"/>
        <v>"C:\Program Files (x86)\AstroGrep\AstroGrep.exe" /e /r /s /spath="%USERPROFILE%\AppData\Local\Temp\OnboardLogs" /stypes="app*4023*20170617*"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192-17 --locoid 4023 --swversion DE.1.0.9.0 --startMP 204:233005 --initTime 2017-06-17T15:53:03 --startdatetime 2017-06-17T15:57:15 --delay 1 --endMP 204:143 --enddatetime 2017-06-17T16:38:29 --enforcementcount 0 &gt;&gt;C:\Users\stu\Documents\GitHub\eaglep3-reporting\EC\2017-06-17-refined-times.txt</v>
      </c>
      <c r="AI105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{"issue":{"subject":"","project_id":79,"tracker_id":40,"status_id":1,"priority_id":2,"assigned_to_id":23,"start_date":"2017-06-17","description":"","custom_fields":[{"id":1,"name":"Subdivision","value":"EC"},{"id":4,"name":"Milepost","value":"0.0143"},{"id":17,"name":"Train ID","value":"192-17"},{"id":16,"name":"Locomotive ID","value":"4023"},{"id":130,"name":"Impact","value":""},{"id":150,"name":"Time of Event (Mountain Time)","value":"16:38:29"},{"id":151,"name":"Denver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4023 --day 2017-06-17</v>
      </c>
      <c r="AN105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764</v>
      </c>
      <c r="B106" s="7">
        <v>4004</v>
      </c>
      <c r="C106" s="21" t="s">
        <v>202</v>
      </c>
      <c r="D106" s="21" t="s">
        <v>353</v>
      </c>
      <c r="E106" s="13">
        <v>42903.632037037038</v>
      </c>
      <c r="F106" s="13">
        <v>42903.635648148149</v>
      </c>
      <c r="G106" s="7">
        <v>2</v>
      </c>
      <c r="H106" s="21" t="s">
        <v>843</v>
      </c>
      <c r="I106" s="13">
        <v>42903.661076388889</v>
      </c>
      <c r="J106" s="7">
        <v>0</v>
      </c>
      <c r="K106" s="89" t="str">
        <f t="shared" si="29"/>
        <v>4003/4004</v>
      </c>
      <c r="L106" s="21" t="str">
        <f>VLOOKUP(A106,'Trips&amp;Operators'!$C$1:$G$99999,5,FALSE)</f>
        <v>BRUDER RICHARD</v>
      </c>
      <c r="M106" s="6">
        <f t="shared" si="30"/>
        <v>2.5428240740438923E-2</v>
      </c>
      <c r="N106" s="7">
        <f t="shared" si="27"/>
        <v>36.616666666232049</v>
      </c>
      <c r="O106" s="7"/>
      <c r="P106" s="7"/>
      <c r="Q106" s="22"/>
      <c r="R106" s="170"/>
      <c r="S106" s="213">
        <f t="shared" si="28"/>
        <v>1</v>
      </c>
      <c r="T106" s="195" t="str">
        <f t="shared" si="31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-06-17T14:10:08-0600',mode:absolute,to:'2017-06-17T16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97" t="str">
        <f>IF(AA106&lt;VLOOKUP(AG106,Variables!$AC$3:$AD$8,2,FALSE),"Y","N")</f>
        <v>N</v>
      </c>
      <c r="X106" s="197">
        <f t="shared" si="44"/>
        <v>1</v>
      </c>
      <c r="Y106" s="197">
        <f t="shared" si="33"/>
        <v>4.5100000000000001E-2</v>
      </c>
      <c r="Z106" s="197">
        <f t="shared" si="34"/>
        <v>23.333100000000002</v>
      </c>
      <c r="AA106" s="197">
        <f t="shared" si="35"/>
        <v>23.288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6"/>
        <v>193</v>
      </c>
      <c r="AE106" s="77" t="str">
        <f t="shared" si="37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106" s="74" t="str">
        <f t="shared" si="38"/>
        <v>"C:\Program Files (x86)\AstroGrep\AstroGrep.exe" /e /r /s /spath="%USERPROFILE%\AppData\Local\Temp\OnboardLogs" /stypes="app*4004*20170617*" /stext=" 21:.+((SYSTEM_STATE.+slice.+state.+changed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193-17 --locoid 4004 --swversion DE.1.0.9.0 --startMP 204:451 --initTime 2017-06-17T15:10:08 --startdatetime 2017-06-17T15:15:20 --delay 2 --endMP 204:233331 --enddatetime 2017-06-17T15:51:57 --enforcementcount 0 &gt;&gt;C:\Users\stu\Documents\GitHub\eaglep3-reporting\EC\2017-06-17-refined-times.txt</v>
      </c>
      <c r="AI10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{"issue":{"subject":"","project_id":79,"tracker_id":40,"status_id":1,"priority_id":2,"assigned_to_id":23,"start_date":"2017-06-17","description":"","custom_fields":[{"id":1,"name":"Subdivision","value":"EC"},{"id":4,"name":"Milepost","value":"23.3331"},{"id":17,"name":"Train ID","value":"193-17"},{"id":16,"name":"Locomotive ID","value":"4004"},{"id":130,"name":"Impact","value":""},{"id":150,"name":"Time of Event (Mountain Time)","value":"15:51:57"},{"id":151,"name":"Denver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4004 --day 2017-06-17</v>
      </c>
      <c r="AN106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771</v>
      </c>
      <c r="B107" s="7">
        <v>4003</v>
      </c>
      <c r="C107" s="21" t="s">
        <v>202</v>
      </c>
      <c r="D107" s="21" t="s">
        <v>871</v>
      </c>
      <c r="E107" s="13">
        <v>42903.670949074076</v>
      </c>
      <c r="F107" s="13">
        <v>42903.675335648149</v>
      </c>
      <c r="G107" s="7">
        <v>1</v>
      </c>
      <c r="H107" s="21" t="s">
        <v>420</v>
      </c>
      <c r="I107" s="13">
        <v>42903.702199074076</v>
      </c>
      <c r="J107" s="7">
        <v>0</v>
      </c>
      <c r="K107" s="89" t="str">
        <f t="shared" si="29"/>
        <v>4003/4004</v>
      </c>
      <c r="L107" s="21" t="str">
        <f>VLOOKUP(A107,'Trips&amp;Operators'!$C$1:$G$99999,5,FALSE)</f>
        <v>BRUDER RICHARD</v>
      </c>
      <c r="M107" s="6">
        <f t="shared" si="30"/>
        <v>2.6863425926421769E-2</v>
      </c>
      <c r="N107" s="7">
        <f t="shared" si="27"/>
        <v>38.683333334047347</v>
      </c>
      <c r="O107" s="7"/>
      <c r="P107" s="7"/>
      <c r="Q107" s="22"/>
      <c r="R107" s="170"/>
      <c r="S107" s="213">
        <f t="shared" ref="S107:S138" si="45">SUM(U107:U107)/IF(AG107="EC",12,1)</f>
        <v>1</v>
      </c>
      <c r="T107" s="195" t="str">
        <f t="shared" si="31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-06-17T15:06:10-0600',mode:absolute,to:'2017-06-17T17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97" t="str">
        <f>IF(AA107&lt;VLOOKUP(AG107,Variables!$AC$3:$AD$8,2,FALSE),"Y","N")</f>
        <v>N</v>
      </c>
      <c r="X107" s="197">
        <f t="shared" si="44"/>
        <v>1</v>
      </c>
      <c r="Y107" s="197">
        <f t="shared" si="33"/>
        <v>23.301300000000001</v>
      </c>
      <c r="Z107" s="197">
        <f t="shared" si="34"/>
        <v>1.4500000000000001E-2</v>
      </c>
      <c r="AA107" s="197">
        <f t="shared" si="35"/>
        <v>23.286799999999999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6"/>
        <v>194</v>
      </c>
      <c r="AE107" s="77" t="str">
        <f t="shared" si="37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107" s="74" t="str">
        <f t="shared" si="38"/>
        <v>"C:\Program Files (x86)\AstroGrep\AstroGrep.exe" /e /r /s /spath="%USERPROFILE%\AppData\Local\Temp\OnboardLogs" /stypes="app*4003*20170617*"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194-17 --locoid 4003 --swversion DE.1.0.9.0 --startMP 204:233013 --initTime 2017-06-17T16:06:10 --startdatetime 2017-06-17T16:12:29 --delay 1 --endMP 204:145 --enddatetime 2017-06-17T16:51:10 --enforcementcount 0 &gt;&gt;C:\Users\stu\Documents\GitHub\eaglep3-reporting\EC\2017-06-17-refined-times.txt</v>
      </c>
      <c r="AI10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{"issue":{"subject":"","project_id":79,"tracker_id":40,"status_id":1,"priority_id":2,"assigned_to_id":23,"start_date":"2017-06-17","description":"","custom_fields":[{"id":1,"name":"Subdivision","value":"EC"},{"id":4,"name":"Milepost","value":"0.0145"},{"id":17,"name":"Train ID","value":"194-17"},{"id":16,"name":"Locomotive ID","value":"4003"},{"id":130,"name":"Impact","value":""},{"id":150,"name":"Time of Event (Mountain Time)","value":"16:51:10"},{"id":151,"name":"Denver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4003 --day 2017-06-17</v>
      </c>
      <c r="AN107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617</v>
      </c>
      <c r="B108" s="7">
        <v>4032</v>
      </c>
      <c r="C108" s="21" t="s">
        <v>202</v>
      </c>
      <c r="D108" s="21" t="s">
        <v>199</v>
      </c>
      <c r="E108" s="13">
        <v>42903.641226851854</v>
      </c>
      <c r="F108" s="13">
        <v>42903.645983796298</v>
      </c>
      <c r="G108" s="7">
        <v>1</v>
      </c>
      <c r="H108" s="21" t="s">
        <v>922</v>
      </c>
      <c r="I108" s="13">
        <v>42903.673854166664</v>
      </c>
      <c r="J108" s="7">
        <v>0</v>
      </c>
      <c r="K108" s="89" t="str">
        <f t="shared" si="29"/>
        <v>4031/4032</v>
      </c>
      <c r="L108" s="21" t="str">
        <f>VLOOKUP(A108,'Trips&amp;Operators'!$C$1:$G$99999,5,FALSE)</f>
        <v>SULLIVAN BRANDON</v>
      </c>
      <c r="M108" s="6">
        <f t="shared" si="30"/>
        <v>2.7870370366144925E-2</v>
      </c>
      <c r="N108" s="7">
        <f t="shared" si="27"/>
        <v>40.133333327248693</v>
      </c>
      <c r="O108" s="7"/>
      <c r="P108" s="7"/>
      <c r="Q108" s="22"/>
      <c r="R108" s="170"/>
      <c r="S108" s="213">
        <f t="shared" si="45"/>
        <v>1</v>
      </c>
      <c r="T108" s="195" t="str">
        <f t="shared" si="31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-06-17T14:23:22-0600',mode:absolute,to:'2017-06-17T17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197" t="str">
        <f>IF(AA108&lt;VLOOKUP(AG108,Variables!$AC$3:$AD$8,2,FALSE),"Y","N")</f>
        <v>N</v>
      </c>
      <c r="X108" s="197">
        <f t="shared" si="44"/>
        <v>1</v>
      </c>
      <c r="Y108" s="197">
        <f t="shared" si="33"/>
        <v>4.5999999999999999E-2</v>
      </c>
      <c r="Z108" s="197">
        <f t="shared" si="34"/>
        <v>23.332599999999999</v>
      </c>
      <c r="AA108" s="197">
        <f t="shared" si="35"/>
        <v>23.2866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6"/>
        <v>195</v>
      </c>
      <c r="AE108" s="77" t="str">
        <f t="shared" si="3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08" s="74" t="str">
        <f t="shared" si="38"/>
        <v>"C:\Program Files (x86)\AstroGrep\AstroGrep.exe" /e /r /s /spath="%USERPROFILE%\AppData\Local\Temp\OnboardLogs" /stypes="app*4032*20170617*"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195-17 --locoid 4032 --swversion DE.1.0.9.0 --startMP 204:460 --initTime 2017-06-17T15:23:22 --startdatetime 2017-06-17T15:30:13 --delay 1 --endMP 204:233326 --enddatetime 2017-06-17T16:10:21 --enforcementcount 0 &gt;&gt;C:\Users\stu\Documents\GitHub\eaglep3-reporting\EC\2017-06-17-refined-times.txt</v>
      </c>
      <c r="AI10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{"issue":{"subject":"","project_id":79,"tracker_id":40,"status_id":1,"priority_id":2,"assigned_to_id":23,"start_date":"2017-06-17","description":"","custom_fields":[{"id":1,"name":"Subdivision","value":"EC"},{"id":4,"name":"Milepost","value":"23.3326"},{"id":17,"name":"Train ID","value":"195-17"},{"id":16,"name":"Locomotive ID","value":"4032"},{"id":130,"name":"Impact","value":""},{"id":150,"name":"Time of Event (Mountain Time)","value":"16:10:21"},{"id":151,"name":"Denver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4032 --day 2017-06-17</v>
      </c>
      <c r="AN108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773</v>
      </c>
      <c r="B109" s="7">
        <v>4031</v>
      </c>
      <c r="C109" s="21" t="s">
        <v>202</v>
      </c>
      <c r="D109" s="21" t="s">
        <v>459</v>
      </c>
      <c r="E109" s="13">
        <v>42903.680243055554</v>
      </c>
      <c r="F109" s="13">
        <v>42903.685590277775</v>
      </c>
      <c r="G109" s="7">
        <v>0</v>
      </c>
      <c r="H109" s="21" t="s">
        <v>193</v>
      </c>
      <c r="I109" s="13">
        <v>42903.712847222225</v>
      </c>
      <c r="J109" s="7">
        <v>0</v>
      </c>
      <c r="K109" s="89" t="str">
        <f t="shared" si="29"/>
        <v>4031/4032</v>
      </c>
      <c r="L109" s="21" t="str">
        <f>VLOOKUP(A109,'Trips&amp;Operators'!$C$1:$G$99999,5,FALSE)</f>
        <v>SULLIVAN BRANDON</v>
      </c>
      <c r="M109" s="6">
        <f t="shared" si="30"/>
        <v>2.7256944449618459E-2</v>
      </c>
      <c r="N109" s="7">
        <f t="shared" si="27"/>
        <v>39.250000007450581</v>
      </c>
      <c r="O109" s="7"/>
      <c r="P109" s="7"/>
      <c r="Q109" s="22"/>
      <c r="R109" s="170"/>
      <c r="S109" s="213">
        <f t="shared" si="45"/>
        <v>1</v>
      </c>
      <c r="T109" s="195" t="str">
        <f t="shared" si="31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-06-17T15:19:33-0600',mode:absolute,to:'2017-06-17T18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197" t="str">
        <f>IF(AA109&lt;VLOOKUP(AG109,Variables!$AC$3:$AD$8,2,FALSE),"Y","N")</f>
        <v>N</v>
      </c>
      <c r="X109" s="197">
        <f t="shared" si="44"/>
        <v>1</v>
      </c>
      <c r="Y109" s="197">
        <f t="shared" si="33"/>
        <v>23.3019</v>
      </c>
      <c r="Z109" s="197">
        <f t="shared" si="34"/>
        <v>1.52E-2</v>
      </c>
      <c r="AA109" s="197">
        <f t="shared" si="35"/>
        <v>23.2867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6"/>
        <v>196</v>
      </c>
      <c r="AE109" s="77" t="str">
        <f t="shared" si="3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09" s="74" t="str">
        <f t="shared" si="38"/>
        <v>"C:\Program Files (x86)\AstroGrep\AstroGrep.exe" /e /r /s /spath="%USERPROFILE%\AppData\Local\Temp\OnboardLogs" /stypes="app*4031*20170617*"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196-17 --locoid 4031 --swversion DE.1.0.9.0 --startMP 204:233019 --initTime 2017-06-17T16:19:33 --startdatetime 2017-06-17T16:27:15 --delay 0 --endMP 204:152 --enddatetime 2017-06-17T17:06:30 --enforcementcount 0 &gt;&gt;C:\Users\stu\Documents\GitHub\eaglep3-reporting\EC\2017-06-17-refined-times.txt</v>
      </c>
      <c r="AI10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ID","value":"196-17"},{"id":16,"name":"Locomotive ID","value":"4031"},{"id":130,"name":"Impact","value":""},{"id":150,"name":"Time of Event (Mountain Time)","value":"17:06:30"},{"id":151,"name":"Denver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4031 --day 2017-06-17</v>
      </c>
      <c r="AN109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618</v>
      </c>
      <c r="B110" s="7">
        <v>4020</v>
      </c>
      <c r="C110" s="21" t="s">
        <v>202</v>
      </c>
      <c r="D110" s="21" t="s">
        <v>198</v>
      </c>
      <c r="E110" s="13">
        <v>42903.653437499997</v>
      </c>
      <c r="F110" s="13">
        <v>42903.656678240739</v>
      </c>
      <c r="G110" s="7">
        <v>0</v>
      </c>
      <c r="H110" s="21" t="s">
        <v>845</v>
      </c>
      <c r="I110" s="13">
        <v>42903.675694444442</v>
      </c>
      <c r="J110" s="7">
        <v>0</v>
      </c>
      <c r="K110" s="89" t="str">
        <f t="shared" si="29"/>
        <v>4019/4020</v>
      </c>
      <c r="L110" s="21" t="str">
        <f>VLOOKUP(A110,'Trips&amp;Operators'!$C$1:$G$99999,5,FALSE)</f>
        <v>DELGADO DIANAH</v>
      </c>
      <c r="M110" s="6">
        <f t="shared" si="30"/>
        <v>1.9016203703358769E-2</v>
      </c>
      <c r="N110" s="7"/>
      <c r="O110" s="7"/>
      <c r="P110" s="7">
        <f>24*60*SUM($M110:$M110)</f>
        <v>27.383333332836628</v>
      </c>
      <c r="Q110" s="22"/>
      <c r="R110" s="170" t="s">
        <v>412</v>
      </c>
      <c r="S110" s="213">
        <f t="shared" si="45"/>
        <v>1</v>
      </c>
      <c r="T110" s="195" t="str">
        <f t="shared" si="31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-06-17T14:40:57-0600',mode:absolute,to:'2017-06-17T17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0" s="197" t="str">
        <f>IF(AA110&lt;VLOOKUP(AG110,Variables!$AC$3:$AD$8,2,FALSE),"Y","N")</f>
        <v>N</v>
      </c>
      <c r="X110" s="197">
        <f t="shared" si="44"/>
        <v>1</v>
      </c>
      <c r="Y110" s="197">
        <f t="shared" si="33"/>
        <v>4.5699999999999998E-2</v>
      </c>
      <c r="Z110" s="197">
        <f t="shared" si="34"/>
        <v>23.3355</v>
      </c>
      <c r="AA110" s="197">
        <f t="shared" si="35"/>
        <v>23.2898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6"/>
        <v>197</v>
      </c>
      <c r="AE110" s="77" t="str">
        <f t="shared" si="37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110" s="74" t="str">
        <f t="shared" si="38"/>
        <v>"C:\Program Files (x86)\AstroGrep\AstroGrep.exe" /e /r /s /spath="%USERPROFILE%\AppData\Local\Temp\OnboardLogs" /stypes="app*4020*20170617*"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197-17 --locoid 4020 --swversion DE.1.0.9.0 --startMP 204:457 --initTime 2017-06-17T15:40:57 --startdatetime 2017-06-17T15:45:37 --delay 0 --endMP 204:233355 --enddatetime 2017-06-17T16:13:00 --enforcementcount 0 &gt;&gt;C:\Users\stu\Documents\GitHub\eaglep3-reporting\EC\2017-06-17-refined-times.txt</v>
      </c>
      <c r="AI110" s="96" t="str">
        <f t="shared" si="41"/>
        <v>echo {"issue":{"subject":"Wi-MAX data drop","project_id":79,"tracker_id":40,"status_id":1,"priority_id":2,"assigned_to_id":23,"start_date":"2017-06-17","description":"","custom_fields":[{"id":1,"name":"Subdivision","value":"EC"},{"id":4,"name":"Milepost","value":"23.3355"},{"id":17,"name":"Train ID","value":"197-17"},{"id":16,"name":"Locomotive ID","value":"4020"},{"id":130,"name":"Impact","value":""},{"id":150,"name":"Time of Event (Mountain Time)","value":"16:13:00"},{"id":151,"name":"Denver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4020 --day 2017-06-17</v>
      </c>
      <c r="AN110" s="151" t="str">
        <f t="shared" si="43"/>
        <v>echo {"issue":{"subject":"Wi-MAX data drop","project_id":30,"tracker_id":4,"status_id":1,"priority_id":1,"assigned_to_id":10,"start_date":"2017-06-17","description":"","custom_fields":[{"id":30,"name":"Category","value":"Issue"},{"id":3,"name":"Functional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620</v>
      </c>
      <c r="B111" s="7">
        <v>4019</v>
      </c>
      <c r="C111" s="21" t="s">
        <v>202</v>
      </c>
      <c r="D111" s="21" t="s">
        <v>563</v>
      </c>
      <c r="E111" s="13">
        <v>42903.689143518517</v>
      </c>
      <c r="F111" s="13">
        <v>42903.69599537037</v>
      </c>
      <c r="G111" s="7">
        <v>2</v>
      </c>
      <c r="H111" s="21" t="s">
        <v>350</v>
      </c>
      <c r="I111" s="13">
        <v>42903.722615740742</v>
      </c>
      <c r="J111" s="7">
        <v>0</v>
      </c>
      <c r="K111" s="89" t="str">
        <f t="shared" si="29"/>
        <v>4019/4020</v>
      </c>
      <c r="L111" s="21" t="str">
        <f>VLOOKUP(A111,'Trips&amp;Operators'!$C$1:$G$99999,5,FALSE)</f>
        <v>DELGADO DIANAH</v>
      </c>
      <c r="M111" s="6">
        <f t="shared" si="30"/>
        <v>2.662037037225673E-2</v>
      </c>
      <c r="N111" s="7">
        <f t="shared" ref="N111:N142" si="46">24*60*SUM($M111:$M111)</f>
        <v>38.333333336049691</v>
      </c>
      <c r="O111" s="7"/>
      <c r="P111" s="7"/>
      <c r="Q111" s="22"/>
      <c r="R111" s="170"/>
      <c r="S111" s="213">
        <f t="shared" si="45"/>
        <v>1</v>
      </c>
      <c r="T111" s="195" t="str">
        <f t="shared" si="31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-06-17T15:32:22-0600',mode:absolute,to:'2017-06-17T18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197" t="str">
        <f>IF(AA111&lt;VLOOKUP(AG111,Variables!$AC$3:$AD$8,2,FALSE),"Y","N")</f>
        <v>N</v>
      </c>
      <c r="X111" s="197">
        <f t="shared" si="44"/>
        <v>1</v>
      </c>
      <c r="Y111" s="197">
        <f t="shared" si="33"/>
        <v>23.3093</v>
      </c>
      <c r="Z111" s="197">
        <f t="shared" si="34"/>
        <v>1.49E-2</v>
      </c>
      <c r="AA111" s="197">
        <f t="shared" si="35"/>
        <v>23.2944</v>
      </c>
      <c r="AB111" s="54" t="str">
        <f>VLOOKUP(A111,Enforcements!$C$7:$K$13,8,0)</f>
        <v>Bulletin (2)</v>
      </c>
      <c r="AC111" s="51" t="str">
        <f>VLOOKUP(A111,Enforcements!$C$7:$E$13,3,0)</f>
        <v>GRADE CROSSING</v>
      </c>
      <c r="AD111" s="206">
        <f t="shared" si="36"/>
        <v>198</v>
      </c>
      <c r="AE111" s="77" t="str">
        <f t="shared" si="37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111" s="74" t="str">
        <f t="shared" si="38"/>
        <v>"C:\Program Files (x86)\AstroGrep\AstroGrep.exe" /e /r /s /spath="%USERPROFILE%\AppData\Local\Temp\OnboardLogs" /stypes="app*4019*20170617*"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198-17 --locoid 4019 --swversion DE.1.0.9.0 --startMP 204:233093 --initTime 2017-06-17T16:32:22 --startdatetime 2017-06-17T16:42:14 --delay 2 --endMP 204:149 --enddatetime 2017-06-17T17:20:34 --enforcementcount 0 &gt;&gt;C:\Users\stu\Documents\GitHub\eaglep3-reporting\EC\2017-06-17-refined-times.txt</v>
      </c>
      <c r="AI11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ID","value":"198-17"},{"id":16,"name":"Locomotive ID","value":"4019"},{"id":130,"name":"Impact","value":""},{"id":150,"name":"Time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4019 --day 2017-06-17</v>
      </c>
      <c r="AN111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769</v>
      </c>
      <c r="B112" s="7">
        <v>4040</v>
      </c>
      <c r="C112" s="21" t="s">
        <v>202</v>
      </c>
      <c r="D112" s="21" t="s">
        <v>461</v>
      </c>
      <c r="E112" s="13">
        <v>42903.663344907407</v>
      </c>
      <c r="F112" s="13">
        <v>42903.666863425926</v>
      </c>
      <c r="G112" s="7">
        <v>2</v>
      </c>
      <c r="H112" s="21" t="s">
        <v>463</v>
      </c>
      <c r="I112" s="13">
        <v>42903.692361111112</v>
      </c>
      <c r="J112" s="7">
        <v>0</v>
      </c>
      <c r="K112" s="89" t="str">
        <f t="shared" si="29"/>
        <v>4039/4040</v>
      </c>
      <c r="L112" s="21" t="str">
        <f>VLOOKUP(A112,'Trips&amp;Operators'!$C$1:$G$99999,5,FALSE)</f>
        <v>STEWART MICHAEL</v>
      </c>
      <c r="M112" s="6">
        <f t="shared" si="30"/>
        <v>2.5497685186564922E-2</v>
      </c>
      <c r="N112" s="7">
        <f t="shared" si="46"/>
        <v>36.716666668653488</v>
      </c>
      <c r="O112" s="7"/>
      <c r="P112" s="7"/>
      <c r="Q112" s="22"/>
      <c r="R112" s="170"/>
      <c r="S112" s="213">
        <f t="shared" si="45"/>
        <v>1</v>
      </c>
      <c r="T112" s="195" t="str">
        <f t="shared" si="31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-06-17T14:55:13-0600',mode:absolute,to:'2017-06-17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7" t="str">
        <f>IF(AA112&lt;VLOOKUP(AG112,Variables!$AC$3:$AD$8,2,FALSE),"Y","N")</f>
        <v>N</v>
      </c>
      <c r="X112" s="197">
        <f t="shared" si="44"/>
        <v>1</v>
      </c>
      <c r="Y112" s="197">
        <f t="shared" si="33"/>
        <v>4.6899999999999997E-2</v>
      </c>
      <c r="Z112" s="197">
        <f t="shared" si="34"/>
        <v>23.330100000000002</v>
      </c>
      <c r="AA112" s="197">
        <f t="shared" si="35"/>
        <v>23.283200000000001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6"/>
        <v>199</v>
      </c>
      <c r="AE112" s="77" t="str">
        <f t="shared" si="3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12" s="74" t="str">
        <f t="shared" si="38"/>
        <v>"C:\Program Files (x86)\AstroGrep\AstroGrep.exe" /e /r /s /spath="%USERPROFILE%\AppData\Local\Temp\OnboardLogs" /stypes="app*4040*20170617*" /stext=" 22:.+((SYSTEM_STATE.+slice.+state.+changed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199-17 --locoid 4040 --swversion DE.1.0.9.0 --startMP 204:469 --initTime 2017-06-17T15:55:13 --startdatetime 2017-06-17T16:00:17 --delay 2 --endMP 204:233301 --enddatetime 2017-06-17T16:37:00 --enforcementcount 0 &gt;&gt;C:\Users\stu\Documents\GitHub\eaglep3-reporting\EC\2017-06-17-refined-times.txt</v>
      </c>
      <c r="AI11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{"issue":{"subject":"","project_id":79,"tracker_id":40,"status_id":1,"priority_id":2,"assigned_to_id":23,"start_date":"2017-06-17","description":"","custom_fields":[{"id":1,"name":"Subdivision","value":"EC"},{"id":4,"name":"Milepost","value":"23.3301"},{"id":17,"name":"Train ID","value":"199-17"},{"id":16,"name":"Locomotive ID","value":"4040"},{"id":130,"name":"Impact","value":""},{"id":150,"name":"Time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4040 --day 2017-06-17</v>
      </c>
      <c r="AN112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623</v>
      </c>
      <c r="B113" s="7">
        <v>4039</v>
      </c>
      <c r="C113" s="21" t="s">
        <v>202</v>
      </c>
      <c r="D113" s="21" t="s">
        <v>450</v>
      </c>
      <c r="E113" s="13">
        <v>42903.703946759262</v>
      </c>
      <c r="F113" s="13">
        <v>42903.706446759257</v>
      </c>
      <c r="G113" s="7">
        <v>1</v>
      </c>
      <c r="H113" s="21" t="s">
        <v>923</v>
      </c>
      <c r="I113" s="13">
        <v>42903.734606481485</v>
      </c>
      <c r="J113" s="7">
        <v>0</v>
      </c>
      <c r="K113" s="89" t="str">
        <f t="shared" si="29"/>
        <v>4039/4040</v>
      </c>
      <c r="L113" s="21" t="str">
        <f>VLOOKUP(A113,'Trips&amp;Operators'!$C$1:$G$99999,5,FALSE)</f>
        <v>STEWART MICHAEL</v>
      </c>
      <c r="M113" s="6">
        <f t="shared" si="30"/>
        <v>2.8159722227428574E-2</v>
      </c>
      <c r="N113" s="7">
        <f t="shared" si="46"/>
        <v>40.550000007497147</v>
      </c>
      <c r="O113" s="7"/>
      <c r="P113" s="7"/>
      <c r="Q113" s="22"/>
      <c r="R113" s="170"/>
      <c r="S113" s="213">
        <f t="shared" si="45"/>
        <v>1</v>
      </c>
      <c r="T113" s="195" t="str">
        <f t="shared" si="3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-06-17T15:53:41-0600',mode:absolute,to:'2017-06-17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7" t="str">
        <f>IF(AA113&lt;VLOOKUP(AG113,Variables!$AC$3:$AD$8,2,FALSE),"Y","N")</f>
        <v>N</v>
      </c>
      <c r="X113" s="197">
        <f t="shared" si="44"/>
        <v>1</v>
      </c>
      <c r="Y113" s="197">
        <f t="shared" si="33"/>
        <v>23.2971</v>
      </c>
      <c r="Z113" s="197">
        <f t="shared" si="34"/>
        <v>1.61E-2</v>
      </c>
      <c r="AA113" s="197">
        <f t="shared" si="35"/>
        <v>23.280999999999999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6"/>
        <v>200</v>
      </c>
      <c r="AE113" s="77" t="str">
        <f t="shared" si="3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13" s="74" t="str">
        <f t="shared" si="38"/>
        <v>"C:\Program Files (x86)\AstroGrep\AstroGrep.exe" /e /r /s /spath="%USERPROFILE%\AppData\Local\Temp\OnboardLogs" /stypes="app*4039*20170617*"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200-17 --locoid 4039 --swversion DE.1.0.9.0 --startMP 204:232971 --initTime 2017-06-17T16:53:41 --startdatetime 2017-06-17T16:57:17 --delay 1 --endMP 204:161 --enddatetime 2017-06-17T17:37:50 --enforcementcount 0 &gt;&gt;C:\Users\stu\Documents\GitHub\eaglep3-reporting\EC\2017-06-17-refined-times.txt</v>
      </c>
      <c r="AI11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{"issue":{"subject":"","project_id":79,"tracker_id":40,"status_id":1,"priority_id":2,"assigned_to_id":23,"start_date":"2017-06-17","description":"","custom_fields":[{"id":1,"name":"Subdivision","value":"EC"},{"id":4,"name":"Milepost","value":"0.0161"},{"id":17,"name":"Train ID","value":"200-17"},{"id":16,"name":"Locomotive ID","value":"4039"},{"id":130,"name":"Impact","value":""},{"id":150,"name":"Time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4039 --day 2017-06-17</v>
      </c>
      <c r="AN113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772</v>
      </c>
      <c r="B114" s="7">
        <v>4054</v>
      </c>
      <c r="C114" s="21" t="s">
        <v>202</v>
      </c>
      <c r="D114" s="21" t="s">
        <v>444</v>
      </c>
      <c r="E114" s="13">
        <v>42903.673564814817</v>
      </c>
      <c r="F114" s="13">
        <v>42903.677372685182</v>
      </c>
      <c r="G114" s="7">
        <v>1</v>
      </c>
      <c r="H114" s="21" t="s">
        <v>454</v>
      </c>
      <c r="I114" s="13">
        <v>42903.702719907407</v>
      </c>
      <c r="J114" s="7">
        <v>0</v>
      </c>
      <c r="K114" s="89" t="str">
        <f t="shared" si="29"/>
        <v>4053/4054</v>
      </c>
      <c r="L114" s="21" t="str">
        <f>VLOOKUP(A114,'Trips&amp;Operators'!$C$1:$G$99999,5,FALSE)</f>
        <v>HOLCOMB KAMDEN</v>
      </c>
      <c r="M114" s="6">
        <f t="shared" si="30"/>
        <v>2.5347222224809229E-2</v>
      </c>
      <c r="N114" s="7">
        <f t="shared" si="46"/>
        <v>36.50000000372529</v>
      </c>
      <c r="O114" s="7"/>
      <c r="P114" s="7"/>
      <c r="Q114" s="22"/>
      <c r="R114" s="170"/>
      <c r="S114" s="213">
        <f t="shared" si="45"/>
        <v>1</v>
      </c>
      <c r="T114" s="195" t="str">
        <f t="shared" si="31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-06-17T15:09:56-0600',mode:absolute,to:'2017-06-17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197" t="str">
        <f>IF(AA114&lt;VLOOKUP(AG114,Variables!$AC$3:$AD$8,2,FALSE),"Y","N")</f>
        <v>N</v>
      </c>
      <c r="X114" s="197">
        <f t="shared" si="44"/>
        <v>1</v>
      </c>
      <c r="Y114" s="197">
        <f t="shared" si="33"/>
        <v>4.4400000000000002E-2</v>
      </c>
      <c r="Z114" s="197">
        <f t="shared" si="34"/>
        <v>23.330200000000001</v>
      </c>
      <c r="AA114" s="197">
        <f t="shared" si="35"/>
        <v>23.285800000000002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6"/>
        <v>201</v>
      </c>
      <c r="AE114" s="77" t="str">
        <f t="shared" si="37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114" s="74" t="str">
        <f t="shared" si="38"/>
        <v>"C:\Program Files (x86)\AstroGrep\AstroGrep.exe" /e /r /s /spath="%USERPROFILE%\AppData\Local\Temp\OnboardLogs" /stypes="app*4054*20170617*" /stext=" 22:.+((SYSTEM_STATE.+slice.+state.+changed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201-17 --locoid 4054 --swversion DE.1.0.9.0 --startMP 204:444 --initTime 2017-06-17T16:09:56 --startdatetime 2017-06-17T16:15:25 --delay 1 --endMP 204:233302 --enddatetime 2017-06-17T16:51:55 --enforcementcount 0 &gt;&gt;C:\Users\stu\Documents\GitHub\eaglep3-reporting\EC\2017-06-17-refined-times.txt</v>
      </c>
      <c r="AI11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{"issue":{"subject":"","project_id":79,"tracker_id":40,"status_id":1,"priority_id":2,"assigned_to_id":23,"start_date":"2017-06-17","description":"","custom_fields":[{"id":1,"name":"Subdivision","value":"EC"},{"id":4,"name":"Milepost","value":"23.3302"},{"id":17,"name":"Train ID","value":"201-17"},{"id":16,"name":"Locomotive ID","value":"4054"},{"id":130,"name":"Impact","value":""},{"id":150,"name":"Time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4054 --day 2017-06-17</v>
      </c>
      <c r="AN114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779</v>
      </c>
      <c r="B115" s="7">
        <v>4053</v>
      </c>
      <c r="C115" s="21" t="s">
        <v>202</v>
      </c>
      <c r="D115" s="21" t="s">
        <v>498</v>
      </c>
      <c r="E115" s="13">
        <v>42903.71398148148</v>
      </c>
      <c r="F115" s="13">
        <v>42903.716956018521</v>
      </c>
      <c r="G115" s="7">
        <v>1</v>
      </c>
      <c r="H115" s="21" t="s">
        <v>349</v>
      </c>
      <c r="I115" s="13">
        <v>42903.74386574074</v>
      </c>
      <c r="J115" s="7">
        <v>0</v>
      </c>
      <c r="K115" s="89" t="str">
        <f t="shared" si="29"/>
        <v>4053/4054</v>
      </c>
      <c r="L115" s="21" t="str">
        <f>VLOOKUP(A115,'Trips&amp;Operators'!$C$1:$G$99999,5,FALSE)</f>
        <v>HOLCOMB KAMDEN</v>
      </c>
      <c r="M115" s="6">
        <f t="shared" si="30"/>
        <v>2.6909722218988463E-2</v>
      </c>
      <c r="N115" s="7">
        <f t="shared" si="46"/>
        <v>38.749999995343387</v>
      </c>
      <c r="O115" s="7"/>
      <c r="P115" s="7"/>
      <c r="Q115" s="22"/>
      <c r="R115" s="170" t="s">
        <v>1000</v>
      </c>
      <c r="S115" s="213">
        <f t="shared" si="45"/>
        <v>1</v>
      </c>
      <c r="T115" s="195" t="str">
        <f t="shared" si="31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-06-17T16:08:08-0600',mode:absolute,to:'2017-06-17T18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3"/>
        <v>23.2989</v>
      </c>
      <c r="Z115" s="197">
        <f t="shared" si="34"/>
        <v>1.4999999999999999E-2</v>
      </c>
      <c r="AA115" s="197">
        <f t="shared" si="35"/>
        <v>23.283899999999999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6"/>
        <v>202</v>
      </c>
      <c r="AE115" s="77" t="str">
        <f t="shared" si="37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115" s="74" t="str">
        <f t="shared" si="38"/>
        <v>"C:\Program Files (x86)\AstroGrep\AstroGrep.exe" /e /r /s /spath="%USERPROFILE%\AppData\Local\Temp\OnboardLogs" /stypes="app*4053*20170617*"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202-17 --locoid 4053 --swversion DE.1.0.9.0 --startMP 204:232989 --initTime 2017-06-17T17:08:08 --startdatetime 2017-06-17T17:12:25 --delay 1 --endMP 204:150 --enddatetime 2017-06-17T17:51:10 --enforcementcount 0 &gt;&gt;C:\Users\stu\Documents\GitHub\eaglep3-reporting\EC\2017-06-17-refined-times.txt</v>
      </c>
      <c r="AI115" s="96" t="str">
        <f t="shared" si="41"/>
        <v>echo {"issue":{"subject":"Re: 48585: Overspeed warnings, no enforcements","project_id":79,"tracker_id":40,"status_id":1,"priority_id":2,"assigned_to_id":23,"start_date":"2017-06-17","description":"","custom_fields":[{"id":1,"name":"Subdivision","value":"EC"},{"id":4,"name":"Milepost","value":"0.015"},{"id":17,"name":"Train ID","value":"202-17"},{"id":16,"name":"Locomotive ID","value":"4053"},{"id":130,"name":"Impact","value":""},{"id":150,"name":"Time of Event (Mountain Time)","value":"17:51:10"},{"id":151,"name":"Denver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4053 --day 2017-06-17</v>
      </c>
      <c r="AN115" s="151" t="str">
        <f t="shared" si="43"/>
        <v>echo {"issue":{"subject":"Re: 48585: Overspeed warnings, no enforcements","project_id":30,"tracker_id":4,"status_id":1,"priority_id":1,"assigned_to_id":10,"start_date":"2017-06-17","description":"","custom_fields":[{"id":30,"name":"Category","value":"Issue"},{"id":3,"name":"Functional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774</v>
      </c>
      <c r="B116" s="7">
        <v>4046</v>
      </c>
      <c r="C116" s="21" t="s">
        <v>202</v>
      </c>
      <c r="D116" s="21" t="s">
        <v>465</v>
      </c>
      <c r="E116" s="13">
        <v>42903.684814814813</v>
      </c>
      <c r="F116" s="13">
        <v>42903.687905092593</v>
      </c>
      <c r="G116" s="7">
        <v>1</v>
      </c>
      <c r="H116" s="21" t="s">
        <v>463</v>
      </c>
      <c r="I116" s="13">
        <v>42903.715243055558</v>
      </c>
      <c r="J116" s="7">
        <v>0</v>
      </c>
      <c r="K116" s="89" t="str">
        <f t="shared" si="29"/>
        <v>4045/4046</v>
      </c>
      <c r="L116" s="21" t="str">
        <f>VLOOKUP(A116,'Trips&amp;Operators'!$C$1:$G$99999,5,FALSE)</f>
        <v>DAVIS MICHAEL</v>
      </c>
      <c r="M116" s="6">
        <f t="shared" si="30"/>
        <v>2.7337962965248153E-2</v>
      </c>
      <c r="N116" s="7">
        <f t="shared" si="46"/>
        <v>39.36666666995734</v>
      </c>
      <c r="O116" s="7"/>
      <c r="P116" s="7"/>
      <c r="Q116" s="22"/>
      <c r="R116" s="170"/>
      <c r="S116" s="213">
        <f t="shared" si="45"/>
        <v>1</v>
      </c>
      <c r="T116" s="195" t="str">
        <f t="shared" si="31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-06-17T15:26:08-0600',mode:absolute,to:'2017-06-17T18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3"/>
        <v>4.4200000000000003E-2</v>
      </c>
      <c r="Z116" s="197">
        <f t="shared" si="34"/>
        <v>23.330100000000002</v>
      </c>
      <c r="AA116" s="197">
        <f t="shared" si="35"/>
        <v>23.285900000000002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6"/>
        <v>203</v>
      </c>
      <c r="AE116" s="77" t="str">
        <f t="shared" si="3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16" s="74" t="str">
        <f t="shared" si="38"/>
        <v>"C:\Program Files (x86)\AstroGrep\AstroGrep.exe" /e /r /s /spath="%USERPROFILE%\AppData\Local\Temp\OnboardLogs" /stypes="app*4046*20170617*"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203-17 --locoid 4046 --swversion DE.1.0.9.0 --startMP 204:442 --initTime 2017-06-17T16:26:08 --startdatetime 2017-06-17T16:30:35 --delay 1 --endMP 204:233301 --enddatetime 2017-06-17T17:09:57 --enforcementcount 0 &gt;&gt;C:\Users\stu\Documents\GitHub\eaglep3-reporting\EC\2017-06-17-refined-times.txt</v>
      </c>
      <c r="AI11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{"issue":{"subject":"","project_id":79,"tracker_id":40,"status_id":1,"priority_id":2,"assigned_to_id":23,"start_date":"2017-06-17","description":"","custom_fields":[{"id":1,"name":"Subdivision","value":"EC"},{"id":4,"name":"Milepost","value":"23.3301"},{"id":17,"name":"Train ID","value":"203-17"},{"id":16,"name":"Locomotive ID","value":"4046"},{"id":130,"name":"Impact","value":""},{"id":150,"name":"Time of Event (Mountain Time)","value":"17:09:57"},{"id":151,"name":"Denver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4046 --day 2017-06-17</v>
      </c>
      <c r="AN116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626</v>
      </c>
      <c r="B117" s="7">
        <v>4045</v>
      </c>
      <c r="C117" s="21" t="s">
        <v>202</v>
      </c>
      <c r="D117" s="21" t="s">
        <v>453</v>
      </c>
      <c r="E117" s="13">
        <v>42903.724953703706</v>
      </c>
      <c r="F117" s="13">
        <v>42903.727476851855</v>
      </c>
      <c r="G117" s="7">
        <v>1</v>
      </c>
      <c r="H117" s="21" t="s">
        <v>900</v>
      </c>
      <c r="I117" s="13">
        <v>42903.756736111114</v>
      </c>
      <c r="J117" s="7">
        <v>0</v>
      </c>
      <c r="K117" s="89" t="str">
        <f t="shared" si="29"/>
        <v>4045/4046</v>
      </c>
      <c r="L117" s="21" t="str">
        <f>VLOOKUP(A117,'Trips&amp;Operators'!$C$1:$G$99999,5,FALSE)</f>
        <v>DAVIS MICHAEL</v>
      </c>
      <c r="M117" s="6">
        <f t="shared" si="30"/>
        <v>2.9259259259561077E-2</v>
      </c>
      <c r="N117" s="7">
        <f t="shared" si="46"/>
        <v>42.133333333767951</v>
      </c>
      <c r="O117" s="7"/>
      <c r="P117" s="7"/>
      <c r="Q117" s="22"/>
      <c r="R117" s="170"/>
      <c r="S117" s="213">
        <f t="shared" si="45"/>
        <v>1</v>
      </c>
      <c r="T117" s="195" t="str">
        <f t="shared" si="31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-06-17T16:23:56-0600',mode:absolute,to:'2017-06-17T19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3"/>
        <v>23.299399999999999</v>
      </c>
      <c r="Z117" s="197">
        <f t="shared" si="34"/>
        <v>1.6899999999999998E-2</v>
      </c>
      <c r="AA117" s="197">
        <f t="shared" si="35"/>
        <v>23.282499999999999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6"/>
        <v>204</v>
      </c>
      <c r="AE117" s="77" t="str">
        <f t="shared" si="3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17" s="74" t="str">
        <f t="shared" si="38"/>
        <v>"C:\Program Files (x86)\AstroGrep\AstroGrep.exe" /e /r /s /spath="%USERPROFILE%\AppData\Local\Temp\OnboardLogs" /stypes="app*4045*20170618*"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204-17 --locoid 4045 --swversion DE.1.0.9.0 --startMP 204:232994 --initTime 2017-06-17T17:23:56 --startdatetime 2017-06-17T17:27:34 --delay 1 --endMP 204:169 --enddatetime 2017-06-17T18:09:42 --enforcementcount 0 &gt;&gt;C:\Users\stu\Documents\GitHub\eaglep3-reporting\EC\2017-06-17-refined-times.txt</v>
      </c>
      <c r="AI11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{"issue":{"subject":"","project_id":79,"tracker_id":40,"status_id":1,"priority_id":2,"assigned_to_id":23,"start_date":"2017-06-17","description":"","custom_fields":[{"id":1,"name":"Subdivision","value":"EC"},{"id":4,"name":"Milepost","value":"0.0169"},{"id":17,"name":"Train ID","value":"204-17"},{"id":16,"name":"Locomotive ID","value":"4045"},{"id":130,"name":"Impact","value":""},{"id":150,"name":"Time of Event (Mountain Time)","value":"18:09:42"},{"id":151,"name":"Denver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4045 --day 2017-06-17</v>
      </c>
      <c r="AN117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776</v>
      </c>
      <c r="B118" s="7">
        <v>4024</v>
      </c>
      <c r="C118" s="21" t="s">
        <v>202</v>
      </c>
      <c r="D118" s="21" t="s">
        <v>355</v>
      </c>
      <c r="E118" s="13">
        <v>42903.695324074077</v>
      </c>
      <c r="F118" s="13">
        <v>42903.698125000003</v>
      </c>
      <c r="G118" s="7">
        <v>1</v>
      </c>
      <c r="H118" s="21" t="s">
        <v>555</v>
      </c>
      <c r="I118" s="13">
        <v>42903.724537037036</v>
      </c>
      <c r="J118" s="7">
        <v>0</v>
      </c>
      <c r="K118" s="89" t="str">
        <f t="shared" si="29"/>
        <v>4023/4024</v>
      </c>
      <c r="L118" s="21" t="str">
        <f>VLOOKUP(A118,'Trips&amp;Operators'!$C$1:$G$99999,5,FALSE)</f>
        <v>BRANDNER MELINDA</v>
      </c>
      <c r="M118" s="6">
        <f t="shared" si="30"/>
        <v>2.6412037033878732E-2</v>
      </c>
      <c r="N118" s="7">
        <f t="shared" si="46"/>
        <v>38.033333328785375</v>
      </c>
      <c r="O118" s="7"/>
      <c r="P118" s="7"/>
      <c r="Q118" s="22"/>
      <c r="R118" s="170"/>
      <c r="S118" s="213">
        <f t="shared" si="45"/>
        <v>1</v>
      </c>
      <c r="T118" s="195" t="str">
        <f t="shared" si="31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-06-17T15:41:16-0600',mode:absolute,to:'2017-06-17T18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3"/>
        <v>4.53E-2</v>
      </c>
      <c r="Z118" s="197">
        <f t="shared" si="34"/>
        <v>23.331499999999998</v>
      </c>
      <c r="AA118" s="197">
        <f t="shared" si="35"/>
        <v>23.286199999999997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6"/>
        <v>205</v>
      </c>
      <c r="AE118" s="77" t="str">
        <f t="shared" si="3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18" s="74" t="str">
        <f t="shared" si="38"/>
        <v>"C:\Program Files (x86)\AstroGrep\AstroGrep.exe" /e /r /s /spath="%USERPROFILE%\AppData\Local\Temp\OnboardLogs" /stypes="app*4024*20170617*"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205-17 --locoid 4024 --swversion DE.1.0.9.0 --startMP 204:453 --initTime 2017-06-17T16:41:16 --startdatetime 2017-06-17T16:45:18 --delay 1 --endMP 204:233315 --enddatetime 2017-06-17T17:23:20 --enforcementcount 0 &gt;&gt;C:\Users\stu\Documents\GitHub\eaglep3-reporting\EC\2017-06-17-refined-times.txt</v>
      </c>
      <c r="AI11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{"issue":{"subject":"","project_id":79,"tracker_id":40,"status_id":1,"priority_id":2,"assigned_to_id":23,"start_date":"2017-06-17","description":"","custom_fields":[{"id":1,"name":"Subdivision","value":"EC"},{"id":4,"name":"Milepost","value":"23.3315"},{"id":17,"name":"Train ID","value":"205-17"},{"id":16,"name":"Locomotive ID","value":"4024"},{"id":130,"name":"Impact","value":""},{"id":150,"name":"Time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4024 --day 2017-06-17</v>
      </c>
      <c r="AN118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783</v>
      </c>
      <c r="B119" s="7">
        <v>4023</v>
      </c>
      <c r="C119" s="21" t="s">
        <v>202</v>
      </c>
      <c r="D119" s="21" t="s">
        <v>567</v>
      </c>
      <c r="E119" s="13">
        <v>42903.735277777778</v>
      </c>
      <c r="F119" s="13">
        <v>42903.738043981481</v>
      </c>
      <c r="G119" s="7">
        <v>1</v>
      </c>
      <c r="H119" s="21" t="s">
        <v>359</v>
      </c>
      <c r="I119" s="13">
        <v>42903.765243055554</v>
      </c>
      <c r="J119" s="7">
        <v>0</v>
      </c>
      <c r="K119" s="89" t="str">
        <f t="shared" si="29"/>
        <v>4023/4024</v>
      </c>
      <c r="L119" s="21" t="str">
        <f>VLOOKUP(A119,'Trips&amp;Operators'!$C$1:$G$99999,5,FALSE)</f>
        <v>BRANDNER MELINDA</v>
      </c>
      <c r="M119" s="6">
        <f t="shared" si="30"/>
        <v>2.7199074072996154E-2</v>
      </c>
      <c r="N119" s="7">
        <f t="shared" si="46"/>
        <v>39.166666665114462</v>
      </c>
      <c r="O119" s="7"/>
      <c r="P119" s="7"/>
      <c r="Q119" s="22"/>
      <c r="R119" s="170"/>
      <c r="S119" s="213">
        <f t="shared" si="45"/>
        <v>1</v>
      </c>
      <c r="T119" s="195" t="str">
        <f t="shared" si="31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-06-17T16:38:48-0600',mode:absolute,to:'2017-06-17T19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9" s="197" t="str">
        <f>IF(AA119&lt;VLOOKUP(AG119,Variables!$AC$3:$AD$8,2,FALSE),"Y","N")</f>
        <v>N</v>
      </c>
      <c r="X119" s="197">
        <f t="shared" si="44"/>
        <v>1</v>
      </c>
      <c r="Y119" s="197">
        <f t="shared" si="33"/>
        <v>23.3002</v>
      </c>
      <c r="Z119" s="197">
        <f t="shared" si="34"/>
        <v>1.41E-2</v>
      </c>
      <c r="AA119" s="197">
        <f t="shared" si="35"/>
        <v>23.286100000000001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6"/>
        <v>206</v>
      </c>
      <c r="AE119" s="77" t="str">
        <f t="shared" si="3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119" s="74" t="str">
        <f t="shared" si="38"/>
        <v>"C:\Program Files (x86)\AstroGrep\AstroGrep.exe" /e /r /s /spath="%USERPROFILE%\AppData\Local\Temp\OnboardLogs" /stypes="app*4023*20170618*"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206-17 --locoid 4023 --swversion DE.1.0.9.0 --startMP 204:233002 --initTime 2017-06-17T17:38:48 --startdatetime 2017-06-17T17:42:47 --delay 1 --endMP 204:141 --enddatetime 2017-06-17T18:21:57 --enforcementcount 0 &gt;&gt;C:\Users\stu\Documents\GitHub\eaglep3-reporting\EC\2017-06-17-refined-times.txt</v>
      </c>
      <c r="AI11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{"issue":{"subject":"","project_id":79,"tracker_id":40,"status_id":1,"priority_id":2,"assigned_to_id":23,"start_date":"2017-06-17","description":"","custom_fields":[{"id":1,"name":"Subdivision","value":"EC"},{"id":4,"name":"Milepost","value":"0.0141"},{"id":17,"name":"Train ID","value":"206-17"},{"id":16,"name":"Locomotive ID","value":"4023"},{"id":130,"name":"Impact","value":""},{"id":150,"name":"Time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4023 --day 2017-06-17</v>
      </c>
      <c r="AN119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777</v>
      </c>
      <c r="B120" s="7">
        <v>4004</v>
      </c>
      <c r="C120" s="21" t="s">
        <v>202</v>
      </c>
      <c r="D120" s="21" t="s">
        <v>521</v>
      </c>
      <c r="E120" s="13">
        <v>42903.704236111109</v>
      </c>
      <c r="F120" s="13">
        <v>42903.708506944444</v>
      </c>
      <c r="G120" s="7">
        <v>1</v>
      </c>
      <c r="H120" s="21" t="s">
        <v>924</v>
      </c>
      <c r="I120" s="13">
        <v>42903.734212962961</v>
      </c>
      <c r="J120" s="7">
        <v>0</v>
      </c>
      <c r="K120" s="89" t="str">
        <f t="shared" si="29"/>
        <v>4003/4004</v>
      </c>
      <c r="L120" s="21" t="str">
        <f>VLOOKUP(A120,'Trips&amp;Operators'!$C$1:$G$99999,5,FALSE)</f>
        <v>BRUDER RICHARD</v>
      </c>
      <c r="M120" s="6">
        <f t="shared" si="30"/>
        <v>2.5706018517666962E-2</v>
      </c>
      <c r="N120" s="7">
        <f t="shared" si="46"/>
        <v>37.016666665440425</v>
      </c>
      <c r="O120" s="7"/>
      <c r="P120" s="7"/>
      <c r="Q120" s="22"/>
      <c r="R120" s="170"/>
      <c r="S120" s="213">
        <f t="shared" si="45"/>
        <v>1</v>
      </c>
      <c r="T120" s="195" t="str">
        <f t="shared" si="31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-06-17T15:54:06-0600',mode:absolute,to:'2017-06-17T18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197" t="str">
        <f>IF(AA120&lt;VLOOKUP(AG120,Variables!$AC$3:$AD$8,2,FALSE),"Y","N")</f>
        <v>N</v>
      </c>
      <c r="X120" s="197">
        <f t="shared" si="44"/>
        <v>1</v>
      </c>
      <c r="Y120" s="197">
        <f t="shared" si="33"/>
        <v>4.6399999999999997E-2</v>
      </c>
      <c r="Z120" s="197">
        <f t="shared" si="34"/>
        <v>23.332999999999998</v>
      </c>
      <c r="AA120" s="197">
        <f t="shared" si="35"/>
        <v>23.2866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6"/>
        <v>207</v>
      </c>
      <c r="AE120" s="77" t="str">
        <f t="shared" si="37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120" s="74" t="str">
        <f t="shared" si="38"/>
        <v>"C:\Program Files (x86)\AstroGrep\AstroGrep.exe" /e /r /s /spath="%USERPROFILE%\AppData\Local\Temp\OnboardLogs" /stypes="app*4004*20170617*"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207-17 --locoid 4004 --swversion DE.1.0.9.0 --startMP 204:464 --initTime 2017-06-17T16:54:06 --startdatetime 2017-06-17T17:00:15 --delay 1 --endMP 204:233330 --enddatetime 2017-06-17T17:37:16 --enforcementcount 0 &gt;&gt;C:\Users\stu\Documents\GitHub\eaglep3-reporting\EC\2017-06-17-refined-times.txt</v>
      </c>
      <c r="AI12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{"issue":{"subject":"","project_id":79,"tracker_id":40,"status_id":1,"priority_id":2,"assigned_to_id":23,"start_date":"2017-06-17","description":"","custom_fields":[{"id":1,"name":"Subdivision","value":"EC"},{"id":4,"name":"Milepost","value":"23.333"},{"id":17,"name":"Train ID","value":"207-17"},{"id":16,"name":"Locomotive ID","value":"4004"},{"id":130,"name":"Impact","value":""},{"id":150,"name":"Time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4004 --day 2017-06-17</v>
      </c>
      <c r="AN120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787</v>
      </c>
      <c r="B121" s="7">
        <v>4003</v>
      </c>
      <c r="C121" s="21" t="s">
        <v>202</v>
      </c>
      <c r="D121" s="21" t="s">
        <v>925</v>
      </c>
      <c r="E121" s="13">
        <v>42903.743379629632</v>
      </c>
      <c r="F121" s="13">
        <v>42903.748124999998</v>
      </c>
      <c r="G121" s="7">
        <v>1</v>
      </c>
      <c r="H121" s="21" t="s">
        <v>420</v>
      </c>
      <c r="I121" s="13">
        <v>42903.774583333332</v>
      </c>
      <c r="J121" s="7">
        <v>0</v>
      </c>
      <c r="K121" s="89" t="str">
        <f t="shared" si="29"/>
        <v>4003/4004</v>
      </c>
      <c r="L121" s="21" t="str">
        <f>VLOOKUP(A121,'Trips&amp;Operators'!$C$1:$G$99999,5,FALSE)</f>
        <v>BRUDER RICHARD</v>
      </c>
      <c r="M121" s="6">
        <f t="shared" si="30"/>
        <v>2.6458333333721384E-2</v>
      </c>
      <c r="N121" s="7">
        <f t="shared" si="46"/>
        <v>38.100000000558794</v>
      </c>
      <c r="O121" s="7"/>
      <c r="P121" s="7"/>
      <c r="Q121" s="22"/>
      <c r="R121" s="170"/>
      <c r="S121" s="213">
        <f t="shared" si="45"/>
        <v>1</v>
      </c>
      <c r="T121" s="195" t="str">
        <f t="shared" si="31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-06-17T16:50:28-0600',mode:absolute,to:'2017-06-17T19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197" t="str">
        <f>IF(AA121&lt;VLOOKUP(AG121,Variables!$AC$3:$AD$8,2,FALSE),"Y","N")</f>
        <v>N</v>
      </c>
      <c r="X121" s="197">
        <f t="shared" si="44"/>
        <v>1</v>
      </c>
      <c r="Y121" s="197">
        <f t="shared" si="33"/>
        <v>23.300699999999999</v>
      </c>
      <c r="Z121" s="197">
        <f t="shared" si="34"/>
        <v>1.4500000000000001E-2</v>
      </c>
      <c r="AA121" s="197">
        <f t="shared" si="35"/>
        <v>23.286199999999997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6"/>
        <v>208</v>
      </c>
      <c r="AE121" s="77" t="str">
        <f t="shared" si="37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121" s="74" t="str">
        <f t="shared" si="38"/>
        <v>"C:\Program Files (x86)\AstroGrep\AstroGrep.exe" /e /r /s /spath="%USERPROFILE%\AppData\Local\Temp\OnboardLogs" /stypes="app*4003*20170618*"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208-17 --locoid 4003 --swversion DE.1.0.9.0 --startMP 204:233007 --initTime 2017-06-17T17:50:28 --startdatetime 2017-06-17T17:57:18 --delay 1 --endMP 204:145 --enddatetime 2017-06-17T18:35:24 --enforcementcount 0 &gt;&gt;C:\Users\stu\Documents\GitHub\eaglep3-reporting\EC\2017-06-17-refined-times.txt</v>
      </c>
      <c r="AI12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{"issue":{"subject":"","project_id":79,"tracker_id":40,"status_id":1,"priority_id":2,"assigned_to_id":23,"start_date":"2017-06-17","description":"","custom_fields":[{"id":1,"name":"Subdivision","value":"EC"},{"id":4,"name":"Milepost","value":"0.0145"},{"id":17,"name":"Train ID","value":"208-17"},{"id":16,"name":"Locomotive ID","value":"4003"},{"id":130,"name":"Impact","value":""},{"id":150,"name":"Time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4003 --day 2017-06-17</v>
      </c>
      <c r="AN121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624</v>
      </c>
      <c r="B122" s="7">
        <v>4032</v>
      </c>
      <c r="C122" s="21" t="s">
        <v>202</v>
      </c>
      <c r="D122" s="21" t="s">
        <v>444</v>
      </c>
      <c r="E122" s="13">
        <v>42903.714363425926</v>
      </c>
      <c r="F122" s="13">
        <v>42903.71912037037</v>
      </c>
      <c r="G122" s="7">
        <v>5</v>
      </c>
      <c r="H122" s="21" t="s">
        <v>926</v>
      </c>
      <c r="I122" s="13">
        <v>42903.745416666665</v>
      </c>
      <c r="J122" s="7">
        <v>0</v>
      </c>
      <c r="K122" s="89" t="str">
        <f t="shared" si="29"/>
        <v>4031/4032</v>
      </c>
      <c r="L122" s="21" t="str">
        <f>VLOOKUP(A122,'Trips&amp;Operators'!$C$1:$G$99999,5,FALSE)</f>
        <v>SULLIVAN BRANDON</v>
      </c>
      <c r="M122" s="6">
        <f t="shared" si="30"/>
        <v>2.6296296295186039E-2</v>
      </c>
      <c r="N122" s="7">
        <f t="shared" si="46"/>
        <v>37.866666665067896</v>
      </c>
      <c r="O122" s="7"/>
      <c r="P122" s="7"/>
      <c r="Q122" s="22"/>
      <c r="R122" s="170"/>
      <c r="S122" s="213">
        <f t="shared" si="45"/>
        <v>1</v>
      </c>
      <c r="T122" s="195" t="str">
        <f t="shared" si="31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-06-17T16:08:41-0600',mode:absolute,to:'2017-06-17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197" t="str">
        <f>IF(AA122&lt;VLOOKUP(AG122,Variables!$AC$3:$AD$8,2,FALSE),"Y","N")</f>
        <v>N</v>
      </c>
      <c r="X122" s="197">
        <f t="shared" si="44"/>
        <v>1</v>
      </c>
      <c r="Y122" s="197">
        <f t="shared" si="33"/>
        <v>4.4400000000000002E-2</v>
      </c>
      <c r="Z122" s="197">
        <f t="shared" si="34"/>
        <v>23.332899999999999</v>
      </c>
      <c r="AA122" s="197">
        <f t="shared" si="35"/>
        <v>23.288499999999999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6"/>
        <v>209</v>
      </c>
      <c r="AE122" s="77" t="str">
        <f t="shared" si="3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22" s="74" t="str">
        <f t="shared" si="38"/>
        <v>"C:\Program Files (x86)\AstroGrep\AstroGrep.exe" /e /r /s /spath="%USERPROFILE%\AppData\Local\Temp\OnboardLogs" /stypes="app*4032*20170617*"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209-17 --locoid 4032 --swversion DE.1.0.9.0 --startMP 204:444 --initTime 2017-06-17T17:08:41 --startdatetime 2017-06-17T17:15:32 --delay 5 --endMP 204:233329 --enddatetime 2017-06-17T17:53:24 --enforcementcount 0 &gt;&gt;C:\Users\stu\Documents\GitHub\eaglep3-reporting\EC\2017-06-17-refined-times.txt</v>
      </c>
      <c r="AI12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{"issue":{"subject":"","project_id":79,"tracker_id":40,"status_id":1,"priority_id":2,"assigned_to_id":23,"start_date":"2017-06-17","description":"","custom_fields":[{"id":1,"name":"Subdivision","value":"EC"},{"id":4,"name":"Milepost","value":"23.3329"},{"id":17,"name":"Train ID","value":"209-17"},{"id":16,"name":"Locomotive ID","value":"4032"},{"id":130,"name":"Impact","value":""},{"id":150,"name":"Time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4032 --day 2017-06-17</v>
      </c>
      <c r="AN122" s="151" t="str">
        <f t="shared" si="4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789</v>
      </c>
      <c r="B123" s="7">
        <v>4031</v>
      </c>
      <c r="C123" s="21" t="s">
        <v>202</v>
      </c>
      <c r="D123" s="21" t="s">
        <v>844</v>
      </c>
      <c r="E123" s="13">
        <v>42903.751006944447</v>
      </c>
      <c r="F123" s="13">
        <v>42903.758518518516</v>
      </c>
      <c r="G123" s="7">
        <v>2</v>
      </c>
      <c r="H123" s="21" t="s">
        <v>396</v>
      </c>
      <c r="I123" s="13">
        <v>42903.785509259258</v>
      </c>
      <c r="J123" s="7">
        <v>0</v>
      </c>
      <c r="K123" s="89" t="str">
        <f t="shared" si="29"/>
        <v>4031/4032</v>
      </c>
      <c r="L123" s="21" t="str">
        <f>VLOOKUP(A123,'Trips&amp;Operators'!$C$1:$G$99999,5,FALSE)</f>
        <v>SULLIVAN BRANDON</v>
      </c>
      <c r="M123" s="6">
        <f t="shared" si="30"/>
        <v>2.6990740741894115E-2</v>
      </c>
      <c r="N123" s="7">
        <f t="shared" si="46"/>
        <v>38.866666668327525</v>
      </c>
      <c r="O123" s="7"/>
      <c r="P123" s="7"/>
      <c r="Q123" s="22"/>
      <c r="R123" s="170"/>
      <c r="S123" s="213">
        <f t="shared" si="45"/>
        <v>1</v>
      </c>
      <c r="T123" s="195" t="str">
        <f t="shared" si="3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-06-17T17:01:27-0600',mode:absolute,to:'2017-06-17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197" t="str">
        <f>IF(AA123&lt;VLOOKUP(AG123,Variables!$AC$3:$AD$8,2,FALSE),"Y","N")</f>
        <v>N</v>
      </c>
      <c r="X123" s="197">
        <f t="shared" si="44"/>
        <v>1</v>
      </c>
      <c r="Y123" s="197">
        <f t="shared" si="33"/>
        <v>23.301100000000002</v>
      </c>
      <c r="Z123" s="197">
        <f t="shared" si="34"/>
        <v>1.54E-2</v>
      </c>
      <c r="AA123" s="197">
        <f t="shared" si="35"/>
        <v>23.285700000000002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6"/>
        <v>210</v>
      </c>
      <c r="AE123" s="77" t="str">
        <f t="shared" si="3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23" s="74" t="str">
        <f t="shared" si="38"/>
        <v>"C:\Program Files (x86)\AstroGrep\AstroGrep.exe" /e /r /s /spath="%USERPROFILE%\AppData\Local\Temp\OnboardLogs" /stypes="app*4031*20170618*"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210-17 --locoid 4031 --swversion DE.1.0.9.0 --startMP 204:233011 --initTime 2017-06-17T18:01:27 --startdatetime 2017-06-17T18:12:16 --delay 2 --endMP 204:154 --enddatetime 2017-06-17T18:51:08 --enforcementcount 0 &gt;&gt;C:\Users\stu\Documents\GitHub\eaglep3-reporting\EC\2017-06-17-refined-times.txt</v>
      </c>
      <c r="AI12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{"issue":{"subject":"","project_id":79,"tracker_id":40,"status_id":1,"priority_id":2,"assigned_to_id":23,"start_date":"2017-06-17","description":"","custom_fields":[{"id":1,"name":"Subdivision","value":"EC"},{"id":4,"name":"Milepost","value":"0.0154"},{"id":17,"name":"Train ID","value":"210-17"},{"id":16,"name":"Locomotive ID","value":"4031"},{"id":130,"name":"Impact","value":""},{"id":150,"name":"Time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4031 --day 2017-06-17</v>
      </c>
      <c r="AN123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625</v>
      </c>
      <c r="B124" s="7">
        <v>4020</v>
      </c>
      <c r="C124" s="21" t="s">
        <v>202</v>
      </c>
      <c r="D124" s="21" t="s">
        <v>347</v>
      </c>
      <c r="E124" s="13">
        <v>42903.726006944446</v>
      </c>
      <c r="F124" s="13">
        <v>42903.729803240742</v>
      </c>
      <c r="G124" s="7">
        <v>1</v>
      </c>
      <c r="H124" s="21" t="s">
        <v>845</v>
      </c>
      <c r="I124" s="13">
        <v>42903.754525462966</v>
      </c>
      <c r="J124" s="7">
        <v>0</v>
      </c>
      <c r="K124" s="89" t="str">
        <f t="shared" si="29"/>
        <v>4019/4020</v>
      </c>
      <c r="L124" s="21" t="str">
        <f>VLOOKUP(A124,'Trips&amp;Operators'!$C$1:$G$99999,5,FALSE)</f>
        <v>DELGADO DIANAH</v>
      </c>
      <c r="M124" s="6">
        <f t="shared" si="30"/>
        <v>2.4722222224227153E-2</v>
      </c>
      <c r="N124" s="7">
        <f t="shared" si="46"/>
        <v>35.6000000028871</v>
      </c>
      <c r="O124" s="7"/>
      <c r="P124" s="7"/>
      <c r="Q124" s="22"/>
      <c r="R124" s="170"/>
      <c r="S124" s="213">
        <f t="shared" si="45"/>
        <v>1</v>
      </c>
      <c r="T124" s="195" t="str">
        <f t="shared" si="3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-06-17T16:25:27-0600',mode:absolute,to:'2017-06-17T19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197" t="str">
        <f>IF(AA124&lt;VLOOKUP(AG124,Variables!$AC$3:$AD$8,2,FALSE),"Y","N")</f>
        <v>N</v>
      </c>
      <c r="X124" s="197">
        <f t="shared" si="44"/>
        <v>1</v>
      </c>
      <c r="Y124" s="197">
        <f t="shared" si="33"/>
        <v>4.4600000000000001E-2</v>
      </c>
      <c r="Z124" s="197">
        <f t="shared" si="34"/>
        <v>23.3355</v>
      </c>
      <c r="AA124" s="197">
        <f t="shared" si="35"/>
        <v>23.290900000000001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6"/>
        <v>211</v>
      </c>
      <c r="AE124" s="77" t="str">
        <f t="shared" si="37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124" s="74" t="str">
        <f t="shared" si="38"/>
        <v>"C:\Program Files (x86)\AstroGrep\AstroGrep.exe" /e /r /s /spath="%USERPROFILE%\AppData\Local\Temp\OnboardLogs" /stypes="app*4020*20170618*" /stext=" 00:.+((SYSTEM_STATE.+slice.+state.+changed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211-17 --locoid 4020 --swversion DE.1.0.9.0 --startMP 204:446 --initTime 2017-06-17T17:25:27 --startdatetime 2017-06-17T17:30:55 --delay 1 --endMP 204:233355 --enddatetime 2017-06-17T18:06:31 --enforcementcount 0 &gt;&gt;C:\Users\stu\Documents\GitHub\eaglep3-reporting\EC\2017-06-17-refined-times.txt</v>
      </c>
      <c r="AI12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{"issue":{"subject":"","project_id":79,"tracker_id":40,"status_id":1,"priority_id":2,"assigned_to_id":23,"start_date":"2017-06-17","description":"","custom_fields":[{"id":1,"name":"Subdivision","value":"EC"},{"id":4,"name":"Milepost","value":"23.3355"},{"id":17,"name":"Train ID","value":"211-17"},{"id":16,"name":"Locomotive ID","value":"4020"},{"id":130,"name":"Impact","value":""},{"id":150,"name":"Time of Event (Mountain Time)","value":"18:06:31"},{"id":151,"name":"Denver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4020 --day 2017-06-17</v>
      </c>
      <c r="AN124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790</v>
      </c>
      <c r="B125" s="7">
        <v>4019</v>
      </c>
      <c r="C125" s="21" t="s">
        <v>202</v>
      </c>
      <c r="D125" s="21" t="s">
        <v>927</v>
      </c>
      <c r="E125" s="13">
        <v>42903.763703703706</v>
      </c>
      <c r="F125" s="13">
        <v>42903.768923611111</v>
      </c>
      <c r="G125" s="7">
        <v>1</v>
      </c>
      <c r="H125" s="21" t="s">
        <v>928</v>
      </c>
      <c r="I125" s="13">
        <v>42903.794606481482</v>
      </c>
      <c r="J125" s="7">
        <v>0</v>
      </c>
      <c r="K125" s="89" t="str">
        <f t="shared" si="29"/>
        <v>4019/4020</v>
      </c>
      <c r="L125" s="21" t="str">
        <f>VLOOKUP(A125,'Trips&amp;Operators'!$C$1:$G$99999,5,FALSE)</f>
        <v>DELGADO DIANAH</v>
      </c>
      <c r="M125" s="6">
        <f t="shared" si="30"/>
        <v>2.5682870371383615E-2</v>
      </c>
      <c r="N125" s="7">
        <f t="shared" si="46"/>
        <v>36.983333334792405</v>
      </c>
      <c r="O125" s="7"/>
      <c r="P125" s="7"/>
      <c r="Q125" s="22"/>
      <c r="R125" s="170"/>
      <c r="S125" s="213">
        <f t="shared" si="45"/>
        <v>1</v>
      </c>
      <c r="T125" s="195" t="str">
        <f t="shared" si="31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-06-17T17:19:44-0600',mode:absolute,to:'2017-06-17T20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197" t="str">
        <f>IF(AA125&lt;VLOOKUP(AG125,Variables!$AC$3:$AD$8,2,FALSE),"Y","N")</f>
        <v>N</v>
      </c>
      <c r="X125" s="197">
        <f t="shared" si="44"/>
        <v>1</v>
      </c>
      <c r="Y125" s="197">
        <f t="shared" si="33"/>
        <v>23.305299999999999</v>
      </c>
      <c r="Z125" s="197">
        <f t="shared" si="34"/>
        <v>1.2500000000000001E-2</v>
      </c>
      <c r="AA125" s="197">
        <f t="shared" si="35"/>
        <v>23.2928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6"/>
        <v>212</v>
      </c>
      <c r="AE125" s="77" t="str">
        <f t="shared" si="37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125" s="74" t="str">
        <f t="shared" si="38"/>
        <v>"C:\Program Files (x86)\AstroGrep\AstroGrep.exe" /e /r /s /spath="%USERPROFILE%\AppData\Local\Temp\OnboardLogs" /stypes="app*4019*20170618*"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212-17 --locoid 4019 --swversion DE.1.0.9.0 --startMP 204:233053 --initTime 2017-06-17T18:19:44 --startdatetime 2017-06-17T18:27:15 --delay 1 --endMP 204:125 --enddatetime 2017-06-17T19:04:14 --enforcementcount 0 &gt;&gt;C:\Users\stu\Documents\GitHub\eaglep3-reporting\EC\2017-06-17-refined-times.txt</v>
      </c>
      <c r="AI125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{"issue":{"subject":"","project_id":79,"tracker_id":40,"status_id":1,"priority_id":2,"assigned_to_id":23,"start_date":"2017-06-17","description":"","custom_fields":[{"id":1,"name":"Subdivision","value":"EC"},{"id":4,"name":"Milepost","value":"0.0125"},{"id":17,"name":"Train ID","value":"212-17"},{"id":16,"name":"Locomotive ID","value":"4019"},{"id":130,"name":"Impact","value":""},{"id":150,"name":"Time of Event (Mountain Time)","value":"19:04:14"},{"id":151,"name":"Denver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4019 --day 2017-06-17</v>
      </c>
      <c r="AN125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785</v>
      </c>
      <c r="B126" s="7">
        <v>4040</v>
      </c>
      <c r="C126" s="21" t="s">
        <v>202</v>
      </c>
      <c r="D126" s="21" t="s">
        <v>392</v>
      </c>
      <c r="E126" s="13">
        <v>42903.737407407411</v>
      </c>
      <c r="F126" s="13">
        <v>42903.740312499998</v>
      </c>
      <c r="G126" s="7">
        <v>1</v>
      </c>
      <c r="H126" s="21" t="s">
        <v>929</v>
      </c>
      <c r="I126" s="13">
        <v>42903.765393518515</v>
      </c>
      <c r="J126" s="7">
        <v>0</v>
      </c>
      <c r="K126" s="89" t="str">
        <f t="shared" si="29"/>
        <v>4039/4040</v>
      </c>
      <c r="L126" s="21" t="str">
        <f>VLOOKUP(A126,'Trips&amp;Operators'!$C$1:$G$99999,5,FALSE)</f>
        <v>YANG JAN</v>
      </c>
      <c r="M126" s="6">
        <f t="shared" si="30"/>
        <v>2.5081018517084885E-2</v>
      </c>
      <c r="N126" s="7">
        <f t="shared" si="46"/>
        <v>36.116666664602235</v>
      </c>
      <c r="O126" s="7"/>
      <c r="P126" s="7"/>
      <c r="Q126" s="22"/>
      <c r="R126" s="170"/>
      <c r="S126" s="213">
        <f t="shared" si="45"/>
        <v>1</v>
      </c>
      <c r="T126" s="195" t="str">
        <f t="shared" si="31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-06-17T16:41:52-0600',mode:absolute,to:'2017-06-17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7" t="str">
        <f>IF(AA126&lt;VLOOKUP(AG126,Variables!$AC$3:$AD$8,2,FALSE),"Y","N")</f>
        <v>N</v>
      </c>
      <c r="X126" s="197">
        <f t="shared" si="44"/>
        <v>1</v>
      </c>
      <c r="Y126" s="197">
        <f t="shared" si="33"/>
        <v>4.6199999999999998E-2</v>
      </c>
      <c r="Z126" s="197">
        <f t="shared" si="34"/>
        <v>23.333600000000001</v>
      </c>
      <c r="AA126" s="197">
        <f t="shared" si="35"/>
        <v>23.287400000000002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6"/>
        <v>213</v>
      </c>
      <c r="AE126" s="77" t="str">
        <f t="shared" si="3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26" s="74" t="str">
        <f t="shared" si="38"/>
        <v>"C:\Program Files (x86)\AstroGrep\AstroGrep.exe" /e /r /s /spath="%USERPROFILE%\AppData\Local\Temp\OnboardLogs" /stypes="app*4040*20170618*"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213-17 --locoid 4040 --swversion DE.1.0.9.0 --startMP 204:462 --initTime 2017-06-17T17:41:52 --startdatetime 2017-06-17T17:46:03 --delay 1 --endMP 204:233336 --enddatetime 2017-06-17T18:22:10 --enforcementcount 0 &gt;&gt;C:\Users\stu\Documents\GitHub\eaglep3-reporting\EC\2017-06-17-refined-times.txt</v>
      </c>
      <c r="AI12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{"issue":{"subject":"","project_id":79,"tracker_id":40,"status_id":1,"priority_id":2,"assigned_to_id":23,"start_date":"2017-06-17","description":"","custom_fields":[{"id":1,"name":"Subdivision","value":"EC"},{"id":4,"name":"Milepost","value":"23.3336"},{"id":17,"name":"Train ID","value":"213-17"},{"id":16,"name":"Locomotive ID","value":"4040"},{"id":130,"name":"Impact","value":""},{"id":150,"name":"Time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4040 --day 2017-06-17</v>
      </c>
      <c r="AN126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792</v>
      </c>
      <c r="B127" s="7">
        <v>4039</v>
      </c>
      <c r="C127" s="21" t="s">
        <v>202</v>
      </c>
      <c r="D127" s="21" t="s">
        <v>930</v>
      </c>
      <c r="E127" s="13">
        <v>42903.773217592592</v>
      </c>
      <c r="F127" s="13">
        <v>42903.779467592591</v>
      </c>
      <c r="G127" s="7">
        <v>1</v>
      </c>
      <c r="H127" s="21" t="s">
        <v>396</v>
      </c>
      <c r="I127" s="13">
        <v>42903.806064814817</v>
      </c>
      <c r="J127" s="7">
        <v>0</v>
      </c>
      <c r="K127" s="89" t="str">
        <f t="shared" si="29"/>
        <v>4039/4040</v>
      </c>
      <c r="L127" s="21" t="str">
        <f>VLOOKUP(A127,'Trips&amp;Operators'!$C$1:$G$99999,5,FALSE)</f>
        <v>YANG JAN</v>
      </c>
      <c r="M127" s="6">
        <f t="shared" si="30"/>
        <v>2.6597222225973383E-2</v>
      </c>
      <c r="N127" s="7">
        <f t="shared" si="46"/>
        <v>38.300000005401671</v>
      </c>
      <c r="O127" s="7"/>
      <c r="P127" s="7"/>
      <c r="Q127" s="22"/>
      <c r="R127" s="170"/>
      <c r="S127" s="213">
        <f t="shared" si="45"/>
        <v>1</v>
      </c>
      <c r="T127" s="195" t="str">
        <f t="shared" si="31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-06-17T17:33:26-0600',mode:absolute,to:'2017-06-17T20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7" t="str">
        <f>IF(AA127&lt;VLOOKUP(AG127,Variables!$AC$3:$AD$8,2,FALSE),"Y","N")</f>
        <v>N</v>
      </c>
      <c r="X127" s="197">
        <f t="shared" si="44"/>
        <v>1</v>
      </c>
      <c r="Y127" s="197">
        <f t="shared" si="33"/>
        <v>23.3017</v>
      </c>
      <c r="Z127" s="197">
        <f t="shared" si="34"/>
        <v>1.54E-2</v>
      </c>
      <c r="AA127" s="197">
        <f t="shared" si="35"/>
        <v>23.286300000000001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6"/>
        <v>214</v>
      </c>
      <c r="AE127" s="77" t="str">
        <f t="shared" si="3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27" s="74" t="str">
        <f t="shared" si="38"/>
        <v>"C:\Program Files (x86)\AstroGrep\AstroGrep.exe" /e /r /s /spath="%USERPROFILE%\AppData\Local\Temp\OnboardLogs" /stypes="app*4039*20170618*"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214-17 --locoid 4039 --swversion DE.1.0.9.0 --startMP 204:233017 --initTime 2017-06-17T18:33:26 --startdatetime 2017-06-17T18:42:26 --delay 1 --endMP 204:154 --enddatetime 2017-06-17T19:20:44 --enforcementcount 0 &gt;&gt;C:\Users\stu\Documents\GitHub\eaglep3-reporting\EC\2017-06-17-refined-times.txt</v>
      </c>
      <c r="AI12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{"issue":{"subject":"","project_id":79,"tracker_id":40,"status_id":1,"priority_id":2,"assigned_to_id":23,"start_date":"2017-06-17","description":"","custom_fields":[{"id":1,"name":"Subdivision","value":"EC"},{"id":4,"name":"Milepost","value":"0.0154"},{"id":17,"name":"Train ID","value":"214-17"},{"id":16,"name":"Locomotive ID","value":"4039"},{"id":130,"name":"Impact","value":""},{"id":150,"name":"Time of Event (Mountain Time)","value":"19:20:44"},{"id":151,"name":"Denver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4039 --day 2017-06-17</v>
      </c>
      <c r="AN127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627</v>
      </c>
      <c r="B128" s="7">
        <v>4054</v>
      </c>
      <c r="C128" s="21" t="s">
        <v>202</v>
      </c>
      <c r="D128" s="21" t="s">
        <v>521</v>
      </c>
      <c r="E128" s="13">
        <v>42903.74628472222</v>
      </c>
      <c r="F128" s="13">
        <v>42903.750462962962</v>
      </c>
      <c r="G128" s="7">
        <v>1</v>
      </c>
      <c r="H128" s="21" t="s">
        <v>437</v>
      </c>
      <c r="I128" s="13">
        <v>42903.776250000003</v>
      </c>
      <c r="J128" s="7">
        <v>0</v>
      </c>
      <c r="K128" s="89" t="str">
        <f t="shared" si="29"/>
        <v>4053/4054</v>
      </c>
      <c r="L128" s="21" t="str">
        <f>VLOOKUP(A128,'Trips&amp;Operators'!$C$1:$G$99999,5,FALSE)</f>
        <v>HOLCOMB KAMDEN</v>
      </c>
      <c r="M128" s="6">
        <f t="shared" si="30"/>
        <v>2.5787037040572613E-2</v>
      </c>
      <c r="N128" s="7">
        <f t="shared" si="46"/>
        <v>37.133333338424563</v>
      </c>
      <c r="O128" s="7"/>
      <c r="P128" s="7"/>
      <c r="Q128" s="22"/>
      <c r="R128" s="170"/>
      <c r="S128" s="213">
        <f t="shared" si="45"/>
        <v>1</v>
      </c>
      <c r="T128" s="195" t="str">
        <f t="shared" si="31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-06-17T16:54:39-0600',mode:absolute,to:'2017-06-17T19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197" t="str">
        <f>IF(AA128&lt;VLOOKUP(AG128,Variables!$AC$3:$AD$8,2,FALSE),"Y","N")</f>
        <v>N</v>
      </c>
      <c r="X128" s="197">
        <f t="shared" ref="X128:X152" si="47">VALUE(LEFT(AD128,4))-VALUE(LEFT(AD127,4))</f>
        <v>1</v>
      </c>
      <c r="Y128" s="197">
        <f t="shared" si="33"/>
        <v>4.6399999999999997E-2</v>
      </c>
      <c r="Z128" s="197">
        <f t="shared" si="34"/>
        <v>23.329699999999999</v>
      </c>
      <c r="AA128" s="197">
        <f t="shared" si="35"/>
        <v>23.283300000000001</v>
      </c>
      <c r="AB128" s="54" t="str">
        <f>VLOOKUP(A128,Enforcements!$C$7:$K$13,8,0)</f>
        <v>Bulletin (2)</v>
      </c>
      <c r="AC128" s="51" t="str">
        <f>VLOOKUP(A128,Enforcements!$C$7:$E$13,3,0)</f>
        <v>GRADE CROSSING</v>
      </c>
      <c r="AD128" s="206">
        <f t="shared" si="36"/>
        <v>215</v>
      </c>
      <c r="AE128" s="77" t="str">
        <f t="shared" si="37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128" s="74" t="str">
        <f t="shared" si="38"/>
        <v>"C:\Program Files (x86)\AstroGrep\AstroGrep.exe" /e /r /s /spath="%USERPROFILE%\AppData\Local\Temp\OnboardLogs" /stypes="app*4054*20170618*"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215-17 --locoid 4054 --swversion DE.1.0.9.0 --startMP 204:464 --initTime 2017-06-17T17:54:39 --startdatetime 2017-06-17T18:00:40 --delay 1 --endMP 204:233297 --enddatetime 2017-06-17T18:37:48 --enforcementcount 0 &gt;&gt;C:\Users\stu\Documents\GitHub\eaglep3-reporting\EC\2017-06-17-refined-times.txt</v>
      </c>
      <c r="AI12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{"issue":{"subject":"","project_id":79,"tracker_id":40,"status_id":1,"priority_id":2,"assigned_to_id":23,"start_date":"2017-06-17","description":"","custom_fields":[{"id":1,"name":"Subdivision","value":"EC"},{"id":4,"name":"Milepost","value":"23.3297"},{"id":17,"name":"Train ID","value":"215-17"},{"id":16,"name":"Locomotive ID","value":"4054"},{"id":130,"name":"Impact","value":""},{"id":150,"name":"Time of Event (Mountain Time)","value":"18:37:48"},{"id":151,"name":"Denver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4054 --day 2017-06-17</v>
      </c>
      <c r="AN128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795</v>
      </c>
      <c r="B129" s="7">
        <v>4053</v>
      </c>
      <c r="C129" s="21" t="s">
        <v>202</v>
      </c>
      <c r="D129" s="21" t="s">
        <v>496</v>
      </c>
      <c r="E129" s="13">
        <v>42903.786527777775</v>
      </c>
      <c r="F129" s="13">
        <v>42903.789895833332</v>
      </c>
      <c r="G129" s="7">
        <v>1</v>
      </c>
      <c r="H129" s="21" t="s">
        <v>350</v>
      </c>
      <c r="I129" s="13">
        <v>42903.815798611111</v>
      </c>
      <c r="J129" s="7">
        <v>0</v>
      </c>
      <c r="K129" s="89" t="str">
        <f t="shared" si="29"/>
        <v>4053/4054</v>
      </c>
      <c r="L129" s="21" t="str">
        <f>VLOOKUP(A129,'Trips&amp;Operators'!$C$1:$G$99999,5,FALSE)</f>
        <v>HOLCOMB KAMDEN</v>
      </c>
      <c r="M129" s="6">
        <f t="shared" si="30"/>
        <v>2.5902777779265307E-2</v>
      </c>
      <c r="N129" s="7">
        <f t="shared" si="46"/>
        <v>37.300000002142042</v>
      </c>
      <c r="O129" s="7"/>
      <c r="P129" s="7"/>
      <c r="Q129" s="22"/>
      <c r="R129" s="170"/>
      <c r="S129" s="213">
        <f t="shared" si="45"/>
        <v>1</v>
      </c>
      <c r="T129" s="195" t="str">
        <f t="shared" si="31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-06-17T17:52:36-0600',mode:absolute,to:'2017-06-17T20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197" t="str">
        <f>IF(AA129&lt;VLOOKUP(AG129,Variables!$AC$3:$AD$8,2,FALSE),"Y","N")</f>
        <v>N</v>
      </c>
      <c r="X129" s="197">
        <f t="shared" si="47"/>
        <v>1</v>
      </c>
      <c r="Y129" s="197">
        <f t="shared" si="33"/>
        <v>23.297999999999998</v>
      </c>
      <c r="Z129" s="197">
        <f t="shared" si="34"/>
        <v>1.49E-2</v>
      </c>
      <c r="AA129" s="197">
        <f t="shared" si="35"/>
        <v>23.283099999999997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6"/>
        <v>216</v>
      </c>
      <c r="AE129" s="77" t="str">
        <f t="shared" si="37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129" s="74" t="str">
        <f t="shared" si="38"/>
        <v>"C:\Program Files (x86)\AstroGrep\AstroGrep.exe" /e /r /s /spath="%USERPROFILE%\AppData\Local\Temp\OnboardLogs" /stypes="app*4053*20170618*"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216-17 --locoid 4053 --swversion DE.1.0.9.0 --startMP 204:232980 --initTime 2017-06-17T18:52:36 --startdatetime 2017-06-17T18:57:27 --delay 1 --endMP 204:149 --enddatetime 2017-06-17T19:34:45 --enforcementcount 0 &gt;&gt;C:\Users\stu\Documents\GitHub\eaglep3-reporting\EC\2017-06-17-refined-times.txt</v>
      </c>
      <c r="AI12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ID","value":"216-17"},{"id":16,"name":"Locomotive ID","value":"4053"},{"id":130,"name":"Impact","value":""},{"id":150,"name":"Time of Event (Mountain Time)","value":"19:34:45"},{"id":151,"name":"Denver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4053 --day 2017-06-17</v>
      </c>
      <c r="AN129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628</v>
      </c>
      <c r="B130" s="7">
        <v>4046</v>
      </c>
      <c r="C130" s="21" t="s">
        <v>202</v>
      </c>
      <c r="D130" s="21" t="s">
        <v>931</v>
      </c>
      <c r="E130" s="13">
        <v>42903.758229166669</v>
      </c>
      <c r="F130" s="13">
        <v>42903.760601851849</v>
      </c>
      <c r="G130" s="7">
        <v>2</v>
      </c>
      <c r="H130" s="21" t="s">
        <v>932</v>
      </c>
      <c r="I130" s="13">
        <v>42903.785844907405</v>
      </c>
      <c r="J130" s="7">
        <v>0</v>
      </c>
      <c r="K130" s="89" t="str">
        <f t="shared" si="29"/>
        <v>4045/4046</v>
      </c>
      <c r="L130" s="21" t="str">
        <f>VLOOKUP(A130,'Trips&amp;Operators'!$C$1:$G$99999,5,FALSE)</f>
        <v>PERKINS DARREN</v>
      </c>
      <c r="M130" s="6">
        <f t="shared" si="30"/>
        <v>2.5243055555620231E-2</v>
      </c>
      <c r="N130" s="7">
        <f t="shared" si="46"/>
        <v>36.350000000093132</v>
      </c>
      <c r="O130" s="7"/>
      <c r="P130" s="7"/>
      <c r="Q130" s="22"/>
      <c r="R130" s="170"/>
      <c r="S130" s="213">
        <f t="shared" si="45"/>
        <v>1</v>
      </c>
      <c r="T130" s="195" t="str">
        <f t="shared" si="31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-06-17T17:11:51-0600',mode:absolute,to:'2017-06-17T19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97" t="str">
        <f>IF(AA130&lt;VLOOKUP(AG130,Variables!$AC$3:$AD$8,2,FALSE),"Y","N")</f>
        <v>N</v>
      </c>
      <c r="X130" s="197">
        <f t="shared" si="47"/>
        <v>1</v>
      </c>
      <c r="Y130" s="197">
        <f t="shared" si="33"/>
        <v>4.82E-2</v>
      </c>
      <c r="Z130" s="197">
        <f t="shared" si="34"/>
        <v>23.322700000000001</v>
      </c>
      <c r="AA130" s="197">
        <f t="shared" si="35"/>
        <v>23.2745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6"/>
        <v>217</v>
      </c>
      <c r="AE130" s="77" t="str">
        <f t="shared" si="3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30" s="74" t="str">
        <f t="shared" si="38"/>
        <v>"C:\Program Files (x86)\AstroGrep\AstroGrep.exe" /e /r /s /spath="%USERPROFILE%\AppData\Local\Temp\OnboardLogs" /stypes="app*4046*20170618*"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217-17 --locoid 4046 --swversion DE.1.0.9.0 --startMP 204:482 --initTime 2017-06-17T18:11:51 --startdatetime 2017-06-17T18:15:16 --delay 2 --endMP 204:233227 --enddatetime 2017-06-17T18:51:37 --enforcementcount 0 &gt;&gt;C:\Users\stu\Documents\GitHub\eaglep3-reporting\EC\2017-06-17-refined-times.txt</v>
      </c>
      <c r="AI13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{"issue":{"subject":"","project_id":79,"tracker_id":40,"status_id":1,"priority_id":2,"assigned_to_id":23,"start_date":"2017-06-17","description":"","custom_fields":[{"id":1,"name":"Subdivision","value":"EC"},{"id":4,"name":"Milepost","value":"23.3227"},{"id":17,"name":"Train ID","value":"217-17"},{"id":16,"name":"Locomotive ID","value":"4046"},{"id":130,"name":"Impact","value":""},{"id":150,"name":"Time of Event (Mountain Time)","value":"18:51:37"},{"id":151,"name":"Denver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4046 --day 2017-06-17</v>
      </c>
      <c r="AN130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797</v>
      </c>
      <c r="B131" s="7">
        <v>4045</v>
      </c>
      <c r="C131" s="21" t="s">
        <v>202</v>
      </c>
      <c r="D131" s="21" t="s">
        <v>933</v>
      </c>
      <c r="E131" s="13">
        <v>42903.792488425926</v>
      </c>
      <c r="F131" s="13">
        <v>42903.800474537034</v>
      </c>
      <c r="G131" s="7">
        <v>1</v>
      </c>
      <c r="H131" s="21" t="s">
        <v>478</v>
      </c>
      <c r="I131" s="13">
        <v>42903.826608796298</v>
      </c>
      <c r="J131" s="7">
        <v>0</v>
      </c>
      <c r="K131" s="89" t="str">
        <f t="shared" si="29"/>
        <v>4045/4046</v>
      </c>
      <c r="L131" s="21" t="str">
        <f>VLOOKUP(A131,'Trips&amp;Operators'!$C$1:$G$99999,5,FALSE)</f>
        <v>PERKINS DARREN</v>
      </c>
      <c r="M131" s="6">
        <f t="shared" si="30"/>
        <v>2.6134259263926651E-2</v>
      </c>
      <c r="N131" s="7">
        <f t="shared" si="46"/>
        <v>37.633333340054378</v>
      </c>
      <c r="O131" s="7"/>
      <c r="P131" s="7"/>
      <c r="Q131" s="22"/>
      <c r="R131" s="170"/>
      <c r="S131" s="213">
        <f t="shared" si="45"/>
        <v>1</v>
      </c>
      <c r="T131" s="195" t="str">
        <f t="shared" si="31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-06-17T18:01:11-0600',mode:absolute,to:'2017-06-17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97" t="str">
        <f>IF(AA131&lt;VLOOKUP(AG131,Variables!$AC$3:$AD$8,2,FALSE),"Y","N")</f>
        <v>N</v>
      </c>
      <c r="X131" s="197">
        <f t="shared" si="47"/>
        <v>1</v>
      </c>
      <c r="Y131" s="197">
        <f t="shared" si="33"/>
        <v>23.289400000000001</v>
      </c>
      <c r="Z131" s="197">
        <f t="shared" si="34"/>
        <v>1.6E-2</v>
      </c>
      <c r="AA131" s="197">
        <f t="shared" si="35"/>
        <v>23.273400000000002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6"/>
        <v>218</v>
      </c>
      <c r="AE131" s="77" t="str">
        <f t="shared" si="3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31" s="74" t="str">
        <f t="shared" si="38"/>
        <v>"C:\Program Files (x86)\AstroGrep\AstroGrep.exe" /e /r /s /spath="%USERPROFILE%\AppData\Local\Temp\OnboardLogs" /stypes="app*4045*20170618*"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218-17 --locoid 4045 --swversion DE.1.0.9.0 --startMP 204:232894 --initTime 2017-06-17T19:01:11 --startdatetime 2017-06-17T19:12:41 --delay 1 --endMP 204:160 --enddatetime 2017-06-17T19:50:19 --enforcementcount 0 &gt;&gt;C:\Users\stu\Documents\GitHub\eaglep3-reporting\EC\2017-06-17-refined-times.txt</v>
      </c>
      <c r="AI131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{"issue":{"subject":"","project_id":79,"tracker_id":40,"status_id":1,"priority_id":2,"assigned_to_id":23,"start_date":"2017-06-17","description":"","custom_fields":[{"id":1,"name":"Subdivision","value":"EC"},{"id":4,"name":"Milepost","value":"0.016"},{"id":17,"name":"Train ID","value":"218-17"},{"id":16,"name":"Locomotive ID","value":"4045"},{"id":130,"name":"Impact","value":""},{"id":150,"name":"Time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4045 --day 2017-06-17</v>
      </c>
      <c r="AN131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791</v>
      </c>
      <c r="B132" s="7">
        <v>4024</v>
      </c>
      <c r="C132" s="21" t="s">
        <v>202</v>
      </c>
      <c r="D132" s="21" t="s">
        <v>866</v>
      </c>
      <c r="E132" s="13">
        <v>42903.767962962964</v>
      </c>
      <c r="F132" s="13">
        <v>42903.771087962959</v>
      </c>
      <c r="G132" s="7">
        <v>1</v>
      </c>
      <c r="H132" s="21" t="s">
        <v>934</v>
      </c>
      <c r="I132" s="13">
        <v>42903.797071759262</v>
      </c>
      <c r="J132" s="7">
        <v>0</v>
      </c>
      <c r="K132" s="89" t="str">
        <f t="shared" si="29"/>
        <v>4023/4024</v>
      </c>
      <c r="L132" s="21" t="str">
        <f>VLOOKUP(A132,'Trips&amp;Operators'!$C$1:$G$99999,5,FALSE)</f>
        <v>FORTUNATO FRANK</v>
      </c>
      <c r="M132" s="6">
        <f t="shared" si="30"/>
        <v>2.5983796302170958E-2</v>
      </c>
      <c r="N132" s="7">
        <f t="shared" si="46"/>
        <v>37.41666667512618</v>
      </c>
      <c r="O132" s="7"/>
      <c r="P132" s="7"/>
      <c r="Q132" s="22"/>
      <c r="R132" s="170"/>
      <c r="S132" s="213">
        <f t="shared" si="45"/>
        <v>1</v>
      </c>
      <c r="T132" s="195" t="str">
        <f t="shared" si="31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-06-17T17:25:52-0600',mode:absolute,to:'2017-06-17T20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2" s="197" t="str">
        <f>IF(AA132&lt;VLOOKUP(AG132,Variables!$AC$3:$AD$8,2,FALSE),"Y","N")</f>
        <v>N</v>
      </c>
      <c r="X132" s="197">
        <f t="shared" si="47"/>
        <v>1</v>
      </c>
      <c r="Y132" s="197">
        <f t="shared" si="33"/>
        <v>4.3499999999999997E-2</v>
      </c>
      <c r="Z132" s="197">
        <f t="shared" si="34"/>
        <v>23.338899999999999</v>
      </c>
      <c r="AA132" s="197">
        <f t="shared" si="35"/>
        <v>23.295399999999997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6"/>
        <v>219</v>
      </c>
      <c r="AE132" s="77" t="str">
        <f t="shared" si="3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32" s="74" t="str">
        <f t="shared" si="38"/>
        <v>"C:\Program Files (x86)\AstroGrep\AstroGrep.exe" /e /r /s /spath="%USERPROFILE%\AppData\Local\Temp\OnboardLogs" /stypes="app*4024*20170618*"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219-17 --locoid 4024 --swversion DE.1.0.9.0 --startMP 204:435 --initTime 2017-06-17T18:25:52 --startdatetime 2017-06-17T18:30:22 --delay 1 --endMP 204:233389 --enddatetime 2017-06-17T19:07:47 --enforcementcount 0 &gt;&gt;C:\Users\stu\Documents\GitHub\eaglep3-reporting\EC\2017-06-17-refined-times.txt</v>
      </c>
      <c r="AI132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{"issue":{"subject":"","project_id":79,"tracker_id":40,"status_id":1,"priority_id":2,"assigned_to_id":23,"start_date":"2017-06-17","description":"","custom_fields":[{"id":1,"name":"Subdivision","value":"EC"},{"id":4,"name":"Milepost","value":"23.3389"},{"id":17,"name":"Train ID","value":"219-17"},{"id":16,"name":"Locomotive ID","value":"4024"},{"id":130,"name":"Impact","value":""},{"id":150,"name":"Time of Event (Mountain Time)","value":"19:07:47"},{"id":151,"name":"Denver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4024 --day 2017-06-17</v>
      </c>
      <c r="AN132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799</v>
      </c>
      <c r="B133" s="7">
        <v>4023</v>
      </c>
      <c r="C133" s="21" t="s">
        <v>202</v>
      </c>
      <c r="D133" s="21" t="s">
        <v>453</v>
      </c>
      <c r="E133" s="13">
        <v>42903.807037037041</v>
      </c>
      <c r="F133" s="13">
        <v>42903.810578703706</v>
      </c>
      <c r="G133" s="7">
        <v>1</v>
      </c>
      <c r="H133" s="21" t="s">
        <v>935</v>
      </c>
      <c r="I133" s="13">
        <v>42903.837187500001</v>
      </c>
      <c r="J133" s="7">
        <v>0</v>
      </c>
      <c r="K133" s="89" t="str">
        <f t="shared" si="29"/>
        <v>4023/4024</v>
      </c>
      <c r="L133" s="21" t="str">
        <f>VLOOKUP(A133,'Trips&amp;Operators'!$C$1:$G$99999,5,FALSE)</f>
        <v>FORTUNATO FRANK</v>
      </c>
      <c r="M133" s="6">
        <f t="shared" si="30"/>
        <v>2.6608796295477077E-2</v>
      </c>
      <c r="N133" s="7">
        <f t="shared" si="46"/>
        <v>38.316666665486991</v>
      </c>
      <c r="O133" s="7"/>
      <c r="P133" s="7"/>
      <c r="Q133" s="22"/>
      <c r="R133" s="170"/>
      <c r="S133" s="213">
        <f t="shared" si="45"/>
        <v>1</v>
      </c>
      <c r="T133" s="195" t="str">
        <f t="shared" si="31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-06-17T18:22:08-0600',mode:absolute,to:'2017-06-17T21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3" s="197" t="str">
        <f>IF(AA133&lt;VLOOKUP(AG133,Variables!$AC$3:$AD$8,2,FALSE),"Y","N")</f>
        <v>N</v>
      </c>
      <c r="X133" s="197">
        <f t="shared" si="47"/>
        <v>1</v>
      </c>
      <c r="Y133" s="197">
        <f t="shared" si="33"/>
        <v>23.299399999999999</v>
      </c>
      <c r="Z133" s="197">
        <f t="shared" si="34"/>
        <v>1.7000000000000001E-2</v>
      </c>
      <c r="AA133" s="197">
        <f t="shared" si="35"/>
        <v>23.282399999999999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6"/>
        <v>220</v>
      </c>
      <c r="AE133" s="77" t="str">
        <f t="shared" si="3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133" s="74" t="str">
        <f t="shared" si="38"/>
        <v>"C:\Program Files (x86)\AstroGrep\AstroGrep.exe" /e /r /s /spath="%USERPROFILE%\AppData\Local\Temp\OnboardLogs" /stypes="app*4023*20170618*"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220-17 --locoid 4023 --swversion DE.1.0.9.0 --startMP 204:232994 --initTime 2017-06-17T19:22:08 --startdatetime 2017-06-17T19:27:14 --delay 1 --endMP 204:170 --enddatetime 2017-06-17T20:05:33 --enforcementcount 0 &gt;&gt;C:\Users\stu\Documents\GitHub\eaglep3-reporting\EC\2017-06-17-refined-times.txt</v>
      </c>
      <c r="AI133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{"issue":{"subject":"","project_id":79,"tracker_id":40,"status_id":1,"priority_id":2,"assigned_to_id":23,"start_date":"2017-06-17","description":"","custom_fields":[{"id":1,"name":"Subdivision","value":"EC"},{"id":4,"name":"Milepost","value":"0.017"},{"id":17,"name":"Train ID","value":"220-17"},{"id":16,"name":"Locomotive ID","value":"4023"},{"id":130,"name":"Impact","value":""},{"id":150,"name":"Time of Event (Mountain Time)","value":"20:05:33"},{"id":151,"name":"Denver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4023 --day 2017-06-17</v>
      </c>
      <c r="AN133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796</v>
      </c>
      <c r="B134" s="7">
        <v>4032</v>
      </c>
      <c r="C134" s="21" t="s">
        <v>202</v>
      </c>
      <c r="D134" s="21" t="s">
        <v>343</v>
      </c>
      <c r="E134" s="13">
        <v>42903.788182870368</v>
      </c>
      <c r="F134" s="13">
        <v>42903.791828703703</v>
      </c>
      <c r="G134" s="7">
        <v>2</v>
      </c>
      <c r="H134" s="21" t="s">
        <v>936</v>
      </c>
      <c r="I134" s="13">
        <v>42903.816712962966</v>
      </c>
      <c r="J134" s="7">
        <v>0</v>
      </c>
      <c r="K134" s="89" t="str">
        <f t="shared" si="29"/>
        <v>4031/4032</v>
      </c>
      <c r="L134" s="21" t="str">
        <f>VLOOKUP(A134,'Trips&amp;Operators'!$C$1:$G$99999,5,FALSE)</f>
        <v>LAMAR NEKESHA</v>
      </c>
      <c r="M134" s="6">
        <f t="shared" si="30"/>
        <v>2.4884259262762498E-2</v>
      </c>
      <c r="N134" s="7">
        <f t="shared" si="46"/>
        <v>35.833333338377997</v>
      </c>
      <c r="O134" s="7"/>
      <c r="P134" s="7"/>
      <c r="Q134" s="22"/>
      <c r="R134" s="170"/>
      <c r="S134" s="213">
        <f t="shared" si="45"/>
        <v>1</v>
      </c>
      <c r="T134" s="195" t="str">
        <f t="shared" si="31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-06-17T17:54:59-0600',mode:absolute,to:'2017-06-17T20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197" t="str">
        <f>IF(AA134&lt;VLOOKUP(AG134,Variables!$AC$3:$AD$8,2,FALSE),"Y","N")</f>
        <v>N</v>
      </c>
      <c r="X134" s="197">
        <f t="shared" si="47"/>
        <v>1</v>
      </c>
      <c r="Y134" s="197">
        <f t="shared" si="33"/>
        <v>4.4900000000000002E-2</v>
      </c>
      <c r="Z134" s="197">
        <f t="shared" si="34"/>
        <v>23.33</v>
      </c>
      <c r="AA134" s="197">
        <f t="shared" si="35"/>
        <v>23.2851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6"/>
        <v>221</v>
      </c>
      <c r="AE134" s="77" t="str">
        <f t="shared" si="3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34" s="74" t="str">
        <f t="shared" si="38"/>
        <v>"C:\Program Files (x86)\AstroGrep\AstroGrep.exe" /e /r /s /spath="%USERPROFILE%\AppData\Local\Temp\OnboardLogs" /stypes="app*4032*20170618*"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221-17 --locoid 4032 --swversion DE.1.0.9.0 --startMP 204:449 --initTime 2017-06-17T18:54:59 --startdatetime 2017-06-17T19:00:14 --delay 2 --endMP 204:233300 --enddatetime 2017-06-17T19:36:04 --enforcementcount 0 &gt;&gt;C:\Users\stu\Documents\GitHub\eaglep3-reporting\EC\2017-06-17-refined-times.txt</v>
      </c>
      <c r="AI134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{"issue":{"subject":"","project_id":79,"tracker_id":40,"status_id":1,"priority_id":2,"assigned_to_id":23,"start_date":"2017-06-17","description":"","custom_fields":[{"id":1,"name":"Subdivision","value":"EC"},{"id":4,"name":"Milepost","value":"23.33"},{"id":17,"name":"Train ID","value":"221-17"},{"id":16,"name":"Locomotive ID","value":"4032"},{"id":130,"name":"Impact","value":""},{"id":150,"name":"Time of Event (Mountain Time)","value":"19:36:04"},{"id":151,"name":"Denver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4032 --day 2017-06-17</v>
      </c>
      <c r="AN134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4031</v>
      </c>
      <c r="C135" s="21" t="s">
        <v>202</v>
      </c>
      <c r="D135" s="21" t="s">
        <v>937</v>
      </c>
      <c r="E135" s="13">
        <v>42903.827581018515</v>
      </c>
      <c r="F135" s="13">
        <v>42903.831400462965</v>
      </c>
      <c r="G135" s="7">
        <v>1</v>
      </c>
      <c r="H135" s="21" t="s">
        <v>359</v>
      </c>
      <c r="I135" s="13">
        <v>42903.857592592591</v>
      </c>
      <c r="J135" s="7">
        <v>0</v>
      </c>
      <c r="K135" s="89" t="str">
        <f t="shared" si="29"/>
        <v>4031/4032</v>
      </c>
      <c r="L135" s="21" t="str">
        <f>VLOOKUP(A135,'Trips&amp;Operators'!$C$1:$G$99999,5,FALSE)</f>
        <v>LAMAR NEKESHA</v>
      </c>
      <c r="M135" s="6">
        <f t="shared" si="30"/>
        <v>2.619212962599704E-2</v>
      </c>
      <c r="N135" s="7">
        <f t="shared" si="46"/>
        <v>37.716666661435738</v>
      </c>
      <c r="O135" s="7"/>
      <c r="P135" s="7"/>
      <c r="Q135" s="22"/>
      <c r="R135" s="170"/>
      <c r="S135" s="213">
        <f t="shared" si="45"/>
        <v>1</v>
      </c>
      <c r="T135" s="195" t="str">
        <f t="shared" si="31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-06-17T18:51:43-0600',mode:absolute,to:'2017-06-17T21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197" t="str">
        <f>IF(AA135&lt;VLOOKUP(AG135,Variables!$AC$3:$AD$8,2,FALSE),"Y","N")</f>
        <v>N</v>
      </c>
      <c r="X135" s="197">
        <f t="shared" si="47"/>
        <v>1</v>
      </c>
      <c r="Y135" s="197">
        <f t="shared" si="33"/>
        <v>23.297599999999999</v>
      </c>
      <c r="Z135" s="197">
        <f t="shared" si="34"/>
        <v>1.41E-2</v>
      </c>
      <c r="AA135" s="197">
        <f t="shared" si="35"/>
        <v>23.2835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6"/>
        <v>222</v>
      </c>
      <c r="AE135" s="77" t="str">
        <f t="shared" si="3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35" s="74" t="str">
        <f t="shared" si="38"/>
        <v>"C:\Program Files (x86)\AstroGrep\AstroGrep.exe" /e /r /s /spath="%USERPROFILE%\AppData\Local\Temp\OnboardLogs" /stypes="app*4031*20170618*"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222-17 --locoid 4031 --swversion DE.1.0.9.0 --startMP 204:232976 --initTime 2017-06-17T19:51:43 --startdatetime 2017-06-17T19:57:13 --delay 1 --endMP 204:141 --enddatetime 2017-06-17T20:34:56 --enforcementcount 0 &gt;&gt;C:\Users\stu\Documents\GitHub\eaglep3-reporting\EC\2017-06-17-refined-times.txt</v>
      </c>
      <c r="AI135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{"issue":{"subject":"","project_id":79,"tracker_id":40,"status_id":1,"priority_id":2,"assigned_to_id":23,"start_date":"2017-06-17","description":"","custom_fields":[{"id":1,"name":"Subdivision","value":"EC"},{"id":4,"name":"Milepost","value":"0.0141"},{"id":17,"name":"Train ID","value":"222-17"},{"id":16,"name":"Locomotive ID","value":"4031"},{"id":130,"name":"Impact","value":""},{"id":150,"name":"Time of Event (Mountain Time)","value":"20:34:56"},{"id":151,"name":"Denver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4031 --day 2017-06-17</v>
      </c>
      <c r="AN135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800</v>
      </c>
      <c r="B136" s="7">
        <v>4040</v>
      </c>
      <c r="C136" s="21" t="s">
        <v>202</v>
      </c>
      <c r="D136" s="21" t="s">
        <v>518</v>
      </c>
      <c r="E136" s="13">
        <v>42903.808217592596</v>
      </c>
      <c r="F136" s="13">
        <v>42903.8127662037</v>
      </c>
      <c r="G136" s="7">
        <v>1</v>
      </c>
      <c r="H136" s="21" t="s">
        <v>437</v>
      </c>
      <c r="I136" s="13">
        <v>42903.836851851855</v>
      </c>
      <c r="J136" s="7">
        <v>0</v>
      </c>
      <c r="K136" s="89" t="str">
        <f t="shared" si="29"/>
        <v>4039/4040</v>
      </c>
      <c r="L136" s="21" t="str">
        <f>VLOOKUP(A136,'Trips&amp;Operators'!$C$1:$G$99999,5,FALSE)</f>
        <v>BIRENBAUM THOMAS</v>
      </c>
      <c r="M136" s="6">
        <f t="shared" si="30"/>
        <v>2.4085648154141381E-2</v>
      </c>
      <c r="N136" s="7">
        <f t="shared" si="46"/>
        <v>34.683333341963589</v>
      </c>
      <c r="O136" s="7"/>
      <c r="P136" s="7"/>
      <c r="Q136" s="22"/>
      <c r="R136" s="170"/>
      <c r="S136" s="213">
        <f t="shared" si="45"/>
        <v>1</v>
      </c>
      <c r="T136" s="195" t="str">
        <f t="shared" si="31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-06-17T18:23:50-0600',mode:absolute,to:'2017-06-17T21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7" t="str">
        <f>IF(AA136&lt;VLOOKUP(AG136,Variables!$AC$3:$AD$8,2,FALSE),"Y","N")</f>
        <v>N</v>
      </c>
      <c r="X136" s="197">
        <f t="shared" si="47"/>
        <v>1</v>
      </c>
      <c r="Y136" s="197">
        <f t="shared" si="33"/>
        <v>4.5499999999999999E-2</v>
      </c>
      <c r="Z136" s="197">
        <f t="shared" si="34"/>
        <v>23.329699999999999</v>
      </c>
      <c r="AA136" s="197">
        <f t="shared" si="35"/>
        <v>23.284199999999998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6"/>
        <v>223</v>
      </c>
      <c r="AE136" s="77" t="str">
        <f t="shared" si="3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36" s="74" t="str">
        <f t="shared" si="38"/>
        <v>"C:\Program Files (x86)\AstroGrep\AstroGrep.exe" /e /r /s /spath="%USERPROFILE%\AppData\Local\Temp\OnboardLogs" /stypes="app*4040*20170618*"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223-17 --locoid 4040 --swversion DE.1.0.9.0 --startMP 204:455 --initTime 2017-06-17T19:23:50 --startdatetime 2017-06-17T19:30:23 --delay 1 --endMP 204:233297 --enddatetime 2017-06-17T20:05:04 --enforcementcount 0 &gt;&gt;C:\Users\stu\Documents\GitHub\eaglep3-reporting\EC\2017-06-17-refined-times.txt</v>
      </c>
      <c r="AI136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{"issue":{"subject":"","project_id":79,"tracker_id":40,"status_id":1,"priority_id":2,"assigned_to_id":23,"start_date":"2017-06-17","description":"","custom_fields":[{"id":1,"name":"Subdivision","value":"EC"},{"id":4,"name":"Milepost","value":"23.3297"},{"id":17,"name":"Train ID","value":"223-17"},{"id":16,"name":"Locomotive ID","value":"4040"},{"id":130,"name":"Impact","value":""},{"id":150,"name":"Time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4040 --day 2017-06-17</v>
      </c>
      <c r="AN136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4039</v>
      </c>
      <c r="C137" s="21" t="s">
        <v>202</v>
      </c>
      <c r="D137" s="21" t="s">
        <v>565</v>
      </c>
      <c r="E137" s="13">
        <v>42903.848182870373</v>
      </c>
      <c r="F137" s="13">
        <v>42903.852222222224</v>
      </c>
      <c r="G137" s="7">
        <v>1</v>
      </c>
      <c r="H137" s="21" t="s">
        <v>359</v>
      </c>
      <c r="I137" s="13">
        <v>42903.878472222219</v>
      </c>
      <c r="J137" s="7">
        <v>0</v>
      </c>
      <c r="K137" s="89" t="str">
        <f t="shared" si="29"/>
        <v>4039/4040</v>
      </c>
      <c r="L137" s="21" t="str">
        <f>VLOOKUP(A137,'Trips&amp;Operators'!$C$1:$G$99999,5,FALSE)</f>
        <v>BIRENBAUM THOMAS</v>
      </c>
      <c r="M137" s="6">
        <f t="shared" si="30"/>
        <v>2.6249999995343387E-2</v>
      </c>
      <c r="N137" s="7">
        <f t="shared" si="46"/>
        <v>37.799999993294477</v>
      </c>
      <c r="O137" s="7"/>
      <c r="P137" s="7"/>
      <c r="Q137" s="22"/>
      <c r="R137" s="170"/>
      <c r="S137" s="213">
        <f t="shared" si="45"/>
        <v>1</v>
      </c>
      <c r="T137" s="195" t="str">
        <f t="shared" si="31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-06-17T19:21:23-0600',mode:absolute,to:'2017-06-17T22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7" t="str">
        <f>IF(AA137&lt;VLOOKUP(AG137,Variables!$AC$3:$AD$8,2,FALSE),"Y","N")</f>
        <v>N</v>
      </c>
      <c r="X137" s="197">
        <f t="shared" si="47"/>
        <v>1</v>
      </c>
      <c r="Y137" s="197">
        <f t="shared" si="33"/>
        <v>23.2988</v>
      </c>
      <c r="Z137" s="197">
        <f t="shared" si="34"/>
        <v>1.41E-2</v>
      </c>
      <c r="AA137" s="197">
        <f t="shared" si="35"/>
        <v>23.284700000000001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6"/>
        <v>224</v>
      </c>
      <c r="AE137" s="77" t="str">
        <f t="shared" si="3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37" s="74" t="str">
        <f t="shared" si="38"/>
        <v>"C:\Program Files (x86)\AstroGrep\AstroGrep.exe" /e /r /s /spath="%USERPROFILE%\AppData\Local\Temp\OnboardLogs" /stypes="app*4039*20170618*"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224-17 --locoid 4039 --swversion DE.1.0.9.0 --startMP 204:232988 --initTime 2017-06-17T20:21:23 --startdatetime 2017-06-17T20:27:12 --delay 1 --endMP 204:141 --enddatetime 2017-06-17T21:05:00 --enforcementcount 0 &gt;&gt;C:\Users\stu\Documents\GitHub\eaglep3-reporting\EC\2017-06-17-refined-times.txt</v>
      </c>
      <c r="AI137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{"issue":{"subject":"","project_id":79,"tracker_id":40,"status_id":1,"priority_id":2,"assigned_to_id":23,"start_date":"2017-06-17","description":"","custom_fields":[{"id":1,"name":"Subdivision","value":"EC"},{"id":4,"name":"Milepost","value":"0.0141"},{"id":17,"name":"Train ID","value":"224-17"},{"id":16,"name":"Locomotive ID","value":"4039"},{"id":130,"name":"Impact","value":""},{"id":150,"name":"Time of Event (Mountain Time)","value":"21:05:00"},{"id":151,"name":"Denver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4039 --day 2017-06-17</v>
      </c>
      <c r="AN137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804</v>
      </c>
      <c r="B138" s="7">
        <v>4046</v>
      </c>
      <c r="C138" s="21" t="s">
        <v>202</v>
      </c>
      <c r="D138" s="21" t="s">
        <v>562</v>
      </c>
      <c r="E138" s="13">
        <v>42903.828460648147</v>
      </c>
      <c r="F138" s="13">
        <v>42903.833518518521</v>
      </c>
      <c r="G138" s="7">
        <v>1</v>
      </c>
      <c r="H138" s="21" t="s">
        <v>938</v>
      </c>
      <c r="I138" s="13">
        <v>42903.859236111108</v>
      </c>
      <c r="J138" s="7">
        <v>0</v>
      </c>
      <c r="K138" s="89" t="str">
        <f t="shared" si="29"/>
        <v>4045/4046</v>
      </c>
      <c r="L138" s="21" t="str">
        <f>VLOOKUP(A138,'Trips&amp;Operators'!$C$1:$G$99999,5,FALSE)</f>
        <v>PERKINS DARREN</v>
      </c>
      <c r="M138" s="6">
        <f t="shared" si="30"/>
        <v>2.5717592587170657E-2</v>
      </c>
      <c r="N138" s="7">
        <f t="shared" si="46"/>
        <v>37.033333325525746</v>
      </c>
      <c r="O138" s="7"/>
      <c r="P138" s="7"/>
      <c r="Q138" s="22"/>
      <c r="R138" s="170"/>
      <c r="S138" s="213">
        <f t="shared" si="45"/>
        <v>1</v>
      </c>
      <c r="T138" s="195" t="str">
        <f t="shared" si="31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-06-17T18:52:59-0600',mode:absolute,to:'2017-06-17T21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197" t="str">
        <f>IF(AA138&lt;VLOOKUP(AG138,Variables!$AC$3:$AD$8,2,FALSE),"Y","N")</f>
        <v>N</v>
      </c>
      <c r="X138" s="197">
        <f t="shared" si="47"/>
        <v>1</v>
      </c>
      <c r="Y138" s="197">
        <f t="shared" si="33"/>
        <v>4.8399999999999999E-2</v>
      </c>
      <c r="Z138" s="197">
        <f t="shared" si="34"/>
        <v>23.3308</v>
      </c>
      <c r="AA138" s="197">
        <f t="shared" si="35"/>
        <v>23.282399999999999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6"/>
        <v>225</v>
      </c>
      <c r="AE138" s="77" t="str">
        <f t="shared" si="3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38" s="74" t="str">
        <f t="shared" si="38"/>
        <v>"C:\Program Files (x86)\AstroGrep\AstroGrep.exe" /e /r /s /spath="%USERPROFILE%\AppData\Local\Temp\OnboardLogs" /stypes="app*4046*20170618*"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225-17 --locoid 4046 --swversion DE.1.0.9.0 --startMP 204:484 --initTime 2017-06-17T19:52:59 --startdatetime 2017-06-17T20:00:16 --delay 1 --endMP 204:233308 --enddatetime 2017-06-17T20:37:18 --enforcementcount 0 &gt;&gt;C:\Users\stu\Documents\GitHub\eaglep3-reporting\EC\2017-06-17-refined-times.txt</v>
      </c>
      <c r="AI138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{"issue":{"subject":"","project_id":79,"tracker_id":40,"status_id":1,"priority_id":2,"assigned_to_id":23,"start_date":"2017-06-17","description":"","custom_fields":[{"id":1,"name":"Subdivision","value":"EC"},{"id":4,"name":"Milepost","value":"23.3308"},{"id":17,"name":"Train ID","value":"225-17"},{"id":16,"name":"Locomotive ID","value":"4046"},{"id":130,"name":"Impact","value":""},{"id":150,"name":"Time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4046 --day 2017-06-17</v>
      </c>
      <c r="AN138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809</v>
      </c>
      <c r="B139" s="7">
        <v>4045</v>
      </c>
      <c r="C139" s="21" t="s">
        <v>202</v>
      </c>
      <c r="D139" s="21" t="s">
        <v>939</v>
      </c>
      <c r="E139" s="13">
        <v>42903.865034722221</v>
      </c>
      <c r="F139" s="13">
        <v>42903.873101851852</v>
      </c>
      <c r="G139" s="7">
        <v>1</v>
      </c>
      <c r="H139" s="21" t="s">
        <v>477</v>
      </c>
      <c r="I139" s="13">
        <v>42903.899722222224</v>
      </c>
      <c r="J139" s="7">
        <v>0</v>
      </c>
      <c r="K139" s="89" t="str">
        <f t="shared" si="29"/>
        <v>4045/4046</v>
      </c>
      <c r="L139" s="21" t="str">
        <f>VLOOKUP(A139,'Trips&amp;Operators'!$C$1:$G$99999,5,FALSE)</f>
        <v>PERKINS DARREN</v>
      </c>
      <c r="M139" s="6">
        <f t="shared" si="30"/>
        <v>2.662037037225673E-2</v>
      </c>
      <c r="N139" s="7">
        <f t="shared" si="46"/>
        <v>38.333333336049691</v>
      </c>
      <c r="O139" s="7"/>
      <c r="P139" s="7"/>
      <c r="Q139" s="22"/>
      <c r="R139" s="170"/>
      <c r="S139" s="213">
        <f t="shared" ref="S139:S149" si="48">SUM(U139:U139)/IF(AG139="EC",12,1)</f>
        <v>1</v>
      </c>
      <c r="T139" s="195" t="str">
        <f t="shared" si="31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-06-17T19:45:39-0600',mode:absolute,to:'2017-06-17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197" t="str">
        <f>IF(AA139&lt;VLOOKUP(AG139,Variables!$AC$3:$AD$8,2,FALSE),"Y","N")</f>
        <v>N</v>
      </c>
      <c r="X139" s="197">
        <f t="shared" si="47"/>
        <v>1</v>
      </c>
      <c r="Y139" s="197">
        <f t="shared" si="33"/>
        <v>23.3004</v>
      </c>
      <c r="Z139" s="197">
        <f t="shared" si="34"/>
        <v>1.38E-2</v>
      </c>
      <c r="AA139" s="197">
        <f t="shared" si="35"/>
        <v>23.2866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6"/>
        <v>226</v>
      </c>
      <c r="AE139" s="77" t="str">
        <f t="shared" si="3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39" s="74" t="str">
        <f t="shared" si="38"/>
        <v>"C:\Program Files (x86)\AstroGrep\AstroGrep.exe" /e /r /s /spath="%USERPROFILE%\AppData\Local\Temp\OnboardLogs" /stypes="app*4045*20170618*"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226-17 --locoid 4045 --swversion DE.1.0.9.0 --startMP 204:233004 --initTime 2017-06-17T20:45:39 --startdatetime 2017-06-17T20:57:16 --delay 1 --endMP 204:138 --enddatetime 2017-06-17T21:35:36 --enforcementcount 0 &gt;&gt;C:\Users\stu\Documents\GitHub\eaglep3-reporting\EC\2017-06-17-refined-times.txt</v>
      </c>
      <c r="AI139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{"issue":{"subject":"","project_id":79,"tracker_id":40,"status_id":1,"priority_id":2,"assigned_to_id":23,"start_date":"2017-06-17","description":"","custom_fields":[{"id":1,"name":"Subdivision","value":"EC"},{"id":4,"name":"Milepost","value":"0.0138"},{"id":17,"name":"Train ID","value":"226-17"},{"id":16,"name":"Locomotive ID","value":"4045"},{"id":130,"name":"Impact","value":""},{"id":150,"name":"Time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4045 --day 2017-06-17</v>
      </c>
      <c r="AN139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806</v>
      </c>
      <c r="B140" s="7">
        <v>4024</v>
      </c>
      <c r="C140" s="21" t="s">
        <v>202</v>
      </c>
      <c r="D140" s="21" t="s">
        <v>356</v>
      </c>
      <c r="E140" s="13">
        <v>42903.844733796293</v>
      </c>
      <c r="F140" s="13">
        <v>42903.854328703703</v>
      </c>
      <c r="G140" s="7">
        <v>1</v>
      </c>
      <c r="H140" s="21" t="s">
        <v>940</v>
      </c>
      <c r="I140" s="13">
        <v>42903.879861111112</v>
      </c>
      <c r="J140" s="7">
        <v>0</v>
      </c>
      <c r="K140" s="89" t="str">
        <f t="shared" si="29"/>
        <v>4023/4024</v>
      </c>
      <c r="L140" s="21" t="str">
        <f>VLOOKUP(A140,'Trips&amp;Operators'!$C$1:$G$99999,5,FALSE)</f>
        <v>FORTUNATO FRANK</v>
      </c>
      <c r="M140" s="6">
        <f t="shared" si="30"/>
        <v>2.5532407409627922E-2</v>
      </c>
      <c r="N140" s="7">
        <f t="shared" si="46"/>
        <v>36.766666669864208</v>
      </c>
      <c r="O140" s="7"/>
      <c r="P140" s="7"/>
      <c r="Q140" s="22"/>
      <c r="R140" s="170"/>
      <c r="S140" s="213">
        <f t="shared" si="48"/>
        <v>1</v>
      </c>
      <c r="T140" s="195" t="str">
        <f t="shared" si="31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2"/>
        <v>https://d0f6bd738d7f1b3e5a7ca70fe4ff75f0.us-east-1.aws.found.io/app/kibana#/discover/Steve-Slow-Train-Analysis-(2080s-and-2083s)?_g=(refreshInterval:(display:Off,pause:!f,section:0,value:0),time:(from:'2017-06-17T19:16:25-0600',mode:absolute,to:'2017-06-17T22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0" s="197" t="str">
        <f>IF(AA140&lt;VLOOKUP(AG140,Variables!$AC$3:$AD$8,2,FALSE),"Y","N")</f>
        <v>N</v>
      </c>
      <c r="X140" s="197">
        <f t="shared" si="47"/>
        <v>1</v>
      </c>
      <c r="Y140" s="197">
        <f t="shared" si="33"/>
        <v>4.4699999999999997E-2</v>
      </c>
      <c r="Z140" s="197">
        <f t="shared" si="34"/>
        <v>23.3322</v>
      </c>
      <c r="AA140" s="197">
        <f t="shared" si="35"/>
        <v>23.287500000000001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6"/>
        <v>227</v>
      </c>
      <c r="AE140" s="77" t="str">
        <f t="shared" si="3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40" s="74" t="str">
        <f t="shared" si="38"/>
        <v>"C:\Program Files (x86)\AstroGrep\AstroGrep.exe" /e /r /s /spath="%USERPROFILE%\AppData\Local\Temp\OnboardLogs" /stypes="app*4024*20170618*"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227-17 --locoid 4024 --swversion DE.1.0.9.0 --startMP 204:447 --initTime 2017-06-17T20:16:25 --startdatetime 2017-06-17T20:30:14 --delay 1 --endMP 204:233322 --enddatetime 2017-06-17T21:07:00 --enforcementcount 0 &gt;&gt;C:\Users\stu\Documents\GitHub\eaglep3-reporting\EC\2017-06-17-refined-times.txt</v>
      </c>
      <c r="AI140" s="96" t="str">
        <f t="shared" si="41"/>
        <v>echo {"issue":{"subject":"","project_id":79,"tracker_id":40,"status_id":1,"priority_id":2,"assigned_to_id":23,"start_date":"2017-06-17","description":"","custom_fields":[{"id":1,"name":"Subdivision","value":"EC"},{"id":4,"name":"Milepost","value":"23.3322"},{"id":17,"name":"Train ID","value":"227-17"},{"id":16,"name":"Locomotive ID","value":"4024"},{"id":130,"name":"Impact","value":""},{"id":150,"name":"Time of Event (Mountain Time)","value":"21:07:00"},{"id":151,"name":"Denver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4024 --day 2017-06-17</v>
      </c>
      <c r="AN140" s="151" t="str">
        <f t="shared" si="4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630</v>
      </c>
      <c r="B141" s="7">
        <v>4023</v>
      </c>
      <c r="C141" s="21" t="s">
        <v>202</v>
      </c>
      <c r="D141" s="21" t="s">
        <v>500</v>
      </c>
      <c r="E141" s="13">
        <v>42903.881574074076</v>
      </c>
      <c r="F141" s="13">
        <v>42903.894652777781</v>
      </c>
      <c r="G141" s="7">
        <v>1</v>
      </c>
      <c r="H141" s="21" t="s">
        <v>350</v>
      </c>
      <c r="I141" s="13">
        <v>42903.920902777776</v>
      </c>
      <c r="J141" s="7">
        <v>0</v>
      </c>
      <c r="K141" s="89" t="str">
        <f t="shared" ref="K141:K204" si="49">IF(ISEVEN(B141),(B141-1)&amp;"/"&amp;B141,B141&amp;"/"&amp;(B141+1))</f>
        <v>4023/4024</v>
      </c>
      <c r="L141" s="21" t="str">
        <f>VLOOKUP(A141,'Trips&amp;Operators'!$C$1:$G$99999,5,FALSE)</f>
        <v>FORTUNATO FRANK</v>
      </c>
      <c r="M141" s="6">
        <f t="shared" ref="M141:M204" si="50">I141-F141</f>
        <v>2.6249999995343387E-2</v>
      </c>
      <c r="N141" s="7">
        <f t="shared" si="46"/>
        <v>37.799999993294477</v>
      </c>
      <c r="O141" s="7"/>
      <c r="P141" s="7"/>
      <c r="Q141" s="22"/>
      <c r="R141" s="170"/>
      <c r="S141" s="213">
        <f t="shared" si="48"/>
        <v>1</v>
      </c>
      <c r="T141" s="195" t="str">
        <f t="shared" ref="T141:T204" si="51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-17T20:09:28-0600',mode:absolute,to:'2017-06-17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1" s="197" t="str">
        <f>IF(AA141&lt;VLOOKUP(AG141,Variables!$AC$3:$AD$8,2,FALSE),"Y","N")</f>
        <v>N</v>
      </c>
      <c r="X141" s="197">
        <f t="shared" si="47"/>
        <v>1</v>
      </c>
      <c r="Y141" s="197">
        <f t="shared" ref="Y141:Y204" si="53">RIGHT(D141,LEN(D141)-4)/10000</f>
        <v>23.299199999999999</v>
      </c>
      <c r="Z141" s="197">
        <f t="shared" ref="Z141:Z204" si="54">RIGHT(H141,LEN(H141)-4)/10000</f>
        <v>1.49E-2</v>
      </c>
      <c r="AA141" s="197">
        <f t="shared" ref="AA141:AA204" si="55">ABS(Z141-Y141)</f>
        <v>23.284299999999998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6">VALUE(LEFT(A141,LEN(A141)-3))</f>
        <v>228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/stypes="app*4023*20170618*"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ref="AH141:AH204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228-17 --locoid 4023 --swversion DE.1.0.9.0 --startMP 204:232992 --initTime 2017-06-17T21:09:28 --startdatetime 2017-06-17T21:28:18 --delay 1 --endMP 204:149 --enddatetime 2017-06-17T22:06:06 --enforcementcount 0 &gt;&gt;C:\Users\stu\Documents\GitHub\eaglep3-reporting\EC\2017-06-17-refined-times.txt</v>
      </c>
      <c r="AI141" s="96" t="str">
        <f t="shared" ref="AI141:AI204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{"issue":{"subject":"","project_id":79,"tracker_id":40,"status_id":1,"priority_id":2,"assigned_to_id":23,"start_date":"2017-06-17","description":"","custom_fields":[{"id":1,"name":"Subdivision","value":"EC"},{"id":4,"name":"Milepost","value":"0.0149"},{"id":17,"name":"Train ID","value":"228-17"},{"id":16,"name":"Locomotive ID","value":"4023"},{"id":130,"name":"Impact","value":""},{"id":150,"name":"Time of Event (Mountain Time)","value":"22:06:06"},{"id":151,"name":"Denver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62">"start /low /b "&amp;dls3logs&amp;" --loco "&amp;B141&amp;" --day "&amp;TEXT(F141,"YYYY-MM-DD")</f>
        <v>start /low /b %USERPROFILE%\Documents\GitHub\eaglep3\Utilities\DownloadLogsFromS3.py --loco 4023 --day 2017-06-17</v>
      </c>
      <c r="AN141" s="151" t="str">
        <f t="shared" ref="AN141:AN204" si="6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810</v>
      </c>
      <c r="B142" s="7">
        <v>4032</v>
      </c>
      <c r="C142" s="21" t="s">
        <v>202</v>
      </c>
      <c r="D142" s="21" t="s">
        <v>444</v>
      </c>
      <c r="E142" s="13">
        <v>42903.87159722222</v>
      </c>
      <c r="F142" s="13">
        <v>42903.875150462962</v>
      </c>
      <c r="G142" s="7">
        <v>1</v>
      </c>
      <c r="H142" s="21" t="s">
        <v>926</v>
      </c>
      <c r="I142" s="13">
        <v>42903.900543981479</v>
      </c>
      <c r="J142" s="7">
        <v>0</v>
      </c>
      <c r="K142" s="89" t="str">
        <f t="shared" si="49"/>
        <v>4031/4032</v>
      </c>
      <c r="L142" s="21" t="str">
        <f>VLOOKUP(A142,'Trips&amp;Operators'!$C$1:$G$99999,5,FALSE)</f>
        <v>LAMAR NEKESHA</v>
      </c>
      <c r="M142" s="6">
        <f t="shared" si="50"/>
        <v>2.5393518517375924E-2</v>
      </c>
      <c r="N142" s="7">
        <f t="shared" si="46"/>
        <v>36.56666666502133</v>
      </c>
      <c r="O142" s="7"/>
      <c r="P142" s="7"/>
      <c r="Q142" s="22"/>
      <c r="R142" s="170"/>
      <c r="S142" s="213">
        <f t="shared" si="48"/>
        <v>1</v>
      </c>
      <c r="T142" s="195" t="str">
        <f t="shared" si="51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2"/>
        <v>https://d0f6bd738d7f1b3e5a7ca70fe4ff75f0.us-east-1.aws.found.io/app/kibana#/discover/Steve-Slow-Train-Analysis-(2080s-and-2083s)?_g=(refreshInterval:(display:Off,pause:!f,section:0,value:0),time:(from:'2017-06-17T19:55:06-0600',mode:absolute,to:'2017-06-17T22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197" t="str">
        <f>IF(AA142&lt;VLOOKUP(AG142,Variables!$AC$3:$AD$8,2,FALSE),"Y","N")</f>
        <v>N</v>
      </c>
      <c r="X142" s="197">
        <f t="shared" si="47"/>
        <v>1</v>
      </c>
      <c r="Y142" s="197">
        <f t="shared" si="53"/>
        <v>4.4400000000000002E-2</v>
      </c>
      <c r="Z142" s="197">
        <f t="shared" si="54"/>
        <v>23.332899999999999</v>
      </c>
      <c r="AA142" s="197">
        <f t="shared" si="55"/>
        <v>23.288499999999999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6"/>
        <v>229</v>
      </c>
      <c r="AE142" s="77" t="str">
        <f t="shared" si="5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42" s="74" t="str">
        <f t="shared" si="58"/>
        <v>"C:\Program Files (x86)\AstroGrep\AstroGrep.exe" /e /r /s /spath="%USERPROFILE%\AppData\Local\Temp\OnboardLogs" /stypes="app*4032*20170618*" /stext=" 03:.+((SYSTEM_STATE.+slice.+state.+changed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si="60"/>
        <v>"%USERPROFILE%\Documents\GitHub\eaglep3\Utilities\RefineRTDCRunTimes.py" --tripid 229-17 --locoid 4032 --swversion DE.1.0.9.0 --startMP 204:444 --initTime 2017-06-17T20:55:06 --startdatetime 2017-06-17T21:00:13 --delay 1 --endMP 204:233329 --enddatetime 2017-06-17T21:36:47 --enforcementcount 0 &gt;&gt;C:\Users\stu\Documents\GitHub\eaglep3-reporting\EC\2017-06-17-refined-times.txt</v>
      </c>
      <c r="AI142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{"issue":{"subject":"","project_id":79,"tracker_id":40,"status_id":1,"priority_id":2,"assigned_to_id":23,"start_date":"2017-06-17","description":"","custom_fields":[{"id":1,"name":"Subdivision","value":"EC"},{"id":4,"name":"Milepost","value":"23.3329"},{"id":17,"name":"Train ID","value":"229-17"},{"id":16,"name":"Locomotive ID","value":"4032"},{"id":130,"name":"Impact","value":""},{"id":150,"name":"Time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2"/>
        <v>start /low /b %USERPROFILE%\Documents\GitHub\eaglep3\Utilities\DownloadLogsFromS3.py --loco 4032 --day 2017-06-17</v>
      </c>
      <c r="AN142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4031</v>
      </c>
      <c r="C143" s="21" t="s">
        <v>202</v>
      </c>
      <c r="D143" s="21" t="s">
        <v>941</v>
      </c>
      <c r="E143" s="13">
        <v>42903.911469907405</v>
      </c>
      <c r="F143" s="13">
        <v>42903.913483796299</v>
      </c>
      <c r="G143" s="7">
        <v>2</v>
      </c>
      <c r="H143" s="21" t="s">
        <v>942</v>
      </c>
      <c r="I143" s="13">
        <v>42903.915567129632</v>
      </c>
      <c r="J143" s="7">
        <v>0</v>
      </c>
      <c r="K143" s="89" t="str">
        <f t="shared" si="49"/>
        <v>4031/4032</v>
      </c>
      <c r="L143" s="21" t="str">
        <f>VLOOKUP(A143,'Trips&amp;Operators'!$C$1:$G$99999,5,FALSE)</f>
        <v>LAMAR NEKESHA</v>
      </c>
      <c r="M143" s="6">
        <f t="shared" si="50"/>
        <v>2.0833333328482695E-3</v>
      </c>
      <c r="N143" s="7"/>
      <c r="O143" s="7"/>
      <c r="P143" s="7">
        <f>24*60*SUM($M143:$M143)</f>
        <v>2.9999999993015081</v>
      </c>
      <c r="Q143" s="22"/>
      <c r="R143" s="170" t="s">
        <v>586</v>
      </c>
      <c r="S143" s="213">
        <f t="shared" si="48"/>
        <v>0</v>
      </c>
      <c r="T143" s="195" t="str">
        <f t="shared" si="51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96" t="str">
        <f t="shared" si="52"/>
        <v>https://d0f6bd738d7f1b3e5a7ca70fe4ff75f0.us-east-1.aws.found.io/app/kibana#/discover/Steve-Slow-Train-Analysis-(2080s-and-2083s)?_g=(refreshInterval:(display:Off,pause:!f,section:0,value:0),time:(from:'2017-06-17T20:52:31-0600',mode:absolute,to:'2017-06-17T22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197" t="str">
        <f>IF(AA143&lt;VLOOKUP(AG143,Variables!$AC$3:$AD$8,2,FALSE),"Y","N")</f>
        <v>Y</v>
      </c>
      <c r="X143" s="197">
        <f t="shared" si="47"/>
        <v>1</v>
      </c>
      <c r="Y143" s="197">
        <f t="shared" si="53"/>
        <v>23.300999999999998</v>
      </c>
      <c r="Z143" s="197">
        <f t="shared" si="54"/>
        <v>22.860900000000001</v>
      </c>
      <c r="AA143" s="197">
        <f t="shared" si="55"/>
        <v>0.44009999999999749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6"/>
        <v>230</v>
      </c>
      <c r="AE143" s="77" t="str">
        <f t="shared" si="5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43" s="74" t="str">
        <f t="shared" si="58"/>
        <v>"C:\Program Files (x86)\AstroGrep\AstroGrep.exe" /e /r /s /spath="%USERPROFILE%\AppData\Local\Temp\OnboardLogs" /stypes="app*4031*20170618*" /stext=" 03:.+((SYSTEM_STATE.+slice.+state.+changed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230-17 --locoid 4031 --swversion DE.1.0.9.0 --startMP 204:233010 --initTime 2017-06-17T21:52:31 --startdatetime 2017-06-17T21:55:25 --delay 2 --endMP 204:228609 --enddatetime 2017-06-17T21:58:25 --enforcementcount 0 &gt;&gt;C:\Users\stu\Documents\GitHub\eaglep3-reporting\EC\2017-06-17-refined-times.txt</v>
      </c>
      <c r="AI143" s="96" t="str">
        <f t="shared" si="61"/>
        <v>echo {"issue":{"subject":"Onboard in-route failure","project_id":79,"tracker_id":40,"status_id":1,"priority_id":2,"assigned_to_id":23,"start_date":"2017-06-17","description":"","custom_fields":[{"id":1,"name":"Subdivision","value":"EC"},{"id":4,"name":"Milepost","value":"22.8609"},{"id":17,"name":"Train ID","value":"230-17"},{"id":16,"name":"Locomotive ID","value":"4031"},{"id":130,"name":"Impact","value":""},{"id":150,"name":"Time of Event (Mountain Time)","value":"21:58:25"},{"id":151,"name":"Denver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4031 --day 2017-06-17</v>
      </c>
      <c r="AN143" s="151" t="str">
        <f t="shared" si="63"/>
        <v>echo {"issue":{"subject":"Onboard in-route failure","project_id":30,"tracker_id":4,"status_id":1,"priority_id":1,"assigned_to_id":10,"start_date":"2017-06-18","description":"","custom_fields":[{"id":30,"name":"Category","value":"Issue"},{"id":3,"name":"Functional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812</v>
      </c>
      <c r="B144" s="7">
        <v>4040</v>
      </c>
      <c r="C144" s="21" t="s">
        <v>202</v>
      </c>
      <c r="D144" s="21" t="s">
        <v>347</v>
      </c>
      <c r="E144" s="13">
        <v>42903.880543981482</v>
      </c>
      <c r="F144" s="13">
        <v>42903.896053240744</v>
      </c>
      <c r="G144" s="7">
        <v>1</v>
      </c>
      <c r="H144" s="21" t="s">
        <v>558</v>
      </c>
      <c r="I144" s="13">
        <v>42903.921574074076</v>
      </c>
      <c r="J144" s="7">
        <v>0</v>
      </c>
      <c r="K144" s="89" t="str">
        <f t="shared" si="49"/>
        <v>4039/4040</v>
      </c>
      <c r="L144" s="21" t="str">
        <f>VLOOKUP(A144,'Trips&amp;Operators'!$C$1:$G$99999,5,FALSE)</f>
        <v>YANG JAN</v>
      </c>
      <c r="M144" s="6">
        <f t="shared" si="50"/>
        <v>2.5520833332848269E-2</v>
      </c>
      <c r="N144" s="7">
        <f t="shared" ref="N144:N149" si="64">24*60*SUM($M144:$M144)</f>
        <v>36.749999999301508</v>
      </c>
      <c r="O144" s="7"/>
      <c r="P144" s="7"/>
      <c r="Q144" s="22"/>
      <c r="R144" s="170"/>
      <c r="S144" s="213">
        <f t="shared" si="48"/>
        <v>1</v>
      </c>
      <c r="T144" s="195" t="str">
        <f t="shared" si="51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2"/>
        <v>https://d0f6bd738d7f1b3e5a7ca70fe4ff75f0.us-east-1.aws.found.io/app/kibana#/discover/Steve-Slow-Train-Analysis-(2080s-and-2083s)?_g=(refreshInterval:(display:Off,pause:!f,section:0,value:0),time:(from:'2017-06-17T20:07:59-0600',mode:absolute,to:'2017-06-17T23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7" t="str">
        <f>IF(AA144&lt;VLOOKUP(AG144,Variables!$AC$3:$AD$8,2,FALSE),"Y","N")</f>
        <v>N</v>
      </c>
      <c r="X144" s="197">
        <f t="shared" si="47"/>
        <v>1</v>
      </c>
      <c r="Y144" s="197">
        <f t="shared" si="53"/>
        <v>4.4600000000000001E-2</v>
      </c>
      <c r="Z144" s="197">
        <f t="shared" si="54"/>
        <v>23.3324</v>
      </c>
      <c r="AA144" s="197">
        <f t="shared" si="55"/>
        <v>23.287800000000001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6"/>
        <v>231</v>
      </c>
      <c r="AE144" s="77" t="str">
        <f t="shared" si="5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44" s="74" t="str">
        <f t="shared" si="58"/>
        <v>"C:\Program Files (x86)\AstroGrep\AstroGrep.exe" /e /r /s /spath="%USERPROFILE%\AppData\Local\Temp\OnboardLogs" /stypes="app*4040*20170618*" /stext=" 04:.+((SYSTEM_STATE.+slice.+state.+changed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231-17 --locoid 4040 --swversion DE.1.0.9.0 --startMP 204:446 --initTime 2017-06-17T21:07:59 --startdatetime 2017-06-17T21:30:19 --delay 1 --endMP 204:233324 --enddatetime 2017-06-17T22:07:04 --enforcementcount 0 &gt;&gt;C:\Users\stu\Documents\GitHub\eaglep3-reporting\EC\2017-06-17-refined-times.txt</v>
      </c>
      <c r="AI144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{"issue":{"subject":"","project_id":79,"tracker_id":40,"status_id":1,"priority_id":2,"assigned_to_id":23,"start_date":"2017-06-17","description":"","custom_fields":[{"id":1,"name":"Subdivision","value":"EC"},{"id":4,"name":"Milepost","value":"23.3324"},{"id":17,"name":"Train ID","value":"231-17"},{"id":16,"name":"Locomotive ID","value":"4040"},{"id":130,"name":"Impact","value":""},{"id":150,"name":"Time of Event (Mountain Time)","value":"22:07:04"},{"id":151,"name":"Denver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4040 --day 2017-06-17</v>
      </c>
      <c r="AN144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818</v>
      </c>
      <c r="B145" s="7">
        <v>4039</v>
      </c>
      <c r="C145" s="21" t="s">
        <v>202</v>
      </c>
      <c r="D145" s="21" t="s">
        <v>517</v>
      </c>
      <c r="E145" s="13">
        <v>42903.929826388892</v>
      </c>
      <c r="F145" s="13">
        <v>42903.936006944445</v>
      </c>
      <c r="G145" s="7">
        <v>8</v>
      </c>
      <c r="H145" s="21" t="s">
        <v>522</v>
      </c>
      <c r="I145" s="13">
        <v>42903.963194444441</v>
      </c>
      <c r="J145" s="7">
        <v>0</v>
      </c>
      <c r="K145" s="89" t="str">
        <f t="shared" si="49"/>
        <v>4039/4040</v>
      </c>
      <c r="L145" s="21" t="str">
        <f>VLOOKUP(A145,'Trips&amp;Operators'!$C$1:$G$99999,5,FALSE)</f>
        <v>YANG JAN</v>
      </c>
      <c r="M145" s="6">
        <f t="shared" si="50"/>
        <v>2.7187499996216502E-2</v>
      </c>
      <c r="N145" s="7">
        <f t="shared" si="64"/>
        <v>39.149999994551763</v>
      </c>
      <c r="O145" s="7"/>
      <c r="P145" s="7"/>
      <c r="Q145" s="22"/>
      <c r="R145" s="170"/>
      <c r="S145" s="213">
        <f t="shared" si="48"/>
        <v>1</v>
      </c>
      <c r="T145" s="195" t="str">
        <f t="shared" si="51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2"/>
        <v>https://d0f6bd738d7f1b3e5a7ca70fe4ff75f0.us-east-1.aws.found.io/app/kibana#/discover/Steve-Slow-Train-Analysis-(2080s-and-2083s)?_g=(refreshInterval:(display:Off,pause:!f,section:0,value:0),time:(from:'2017-06-17T21:18:57-0600',mode:absolute,to:'2017-06-18T00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7" t="str">
        <f>IF(AA145&lt;VLOOKUP(AG145,Variables!$AC$3:$AD$8,2,FALSE),"Y","N")</f>
        <v>N</v>
      </c>
      <c r="X145" s="197">
        <f t="shared" si="47"/>
        <v>1</v>
      </c>
      <c r="Y145" s="197">
        <f t="shared" si="53"/>
        <v>23.299800000000001</v>
      </c>
      <c r="Z145" s="197">
        <f t="shared" si="54"/>
        <v>1.34E-2</v>
      </c>
      <c r="AA145" s="197">
        <f t="shared" si="55"/>
        <v>23.2864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6"/>
        <v>232</v>
      </c>
      <c r="AE145" s="77" t="str">
        <f t="shared" si="5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45" s="74" t="str">
        <f t="shared" si="58"/>
        <v>"C:\Program Files (x86)\AstroGrep\AstroGrep.exe" /e /r /s /spath="%USERPROFILE%\AppData\Local\Temp\OnboardLogs" /stypes="app*4039*20170618*" /stext=" 05:.+((SYSTEM_STATE.+slice.+state.+changed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232-17 --locoid 4039 --swversion DE.1.0.9.0 --startMP 204:232998 --initTime 2017-06-17T22:18:57 --startdatetime 2017-06-17T22:27:51 --delay 8 --endMP 204:134 --enddatetime 2017-06-17T23:07:00 --enforcementcount 0 &gt;&gt;C:\Users\stu\Documents\GitHub\eaglep3-reporting\EC\2017-06-17-refined-times.txt</v>
      </c>
      <c r="AI145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{"issue":{"subject":"","project_id":79,"tracker_id":40,"status_id":1,"priority_id":2,"assigned_to_id":23,"start_date":"2017-06-17","description":"","custom_fields":[{"id":1,"name":"Subdivision","value":"EC"},{"id":4,"name":"Milepost","value":"0.0134"},{"id":17,"name":"Train ID","value":"232-17"},{"id":16,"name":"Locomotive ID","value":"4039"},{"id":130,"name":"Impact","value":""},{"id":150,"name":"Time of Event (Mountain Time)","value":"23:07:00"},{"id":151,"name":"Denver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4039 --day 2017-06-17</v>
      </c>
      <c r="AN145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814</v>
      </c>
      <c r="B146" s="7">
        <v>4046</v>
      </c>
      <c r="C146" s="21" t="s">
        <v>202</v>
      </c>
      <c r="D146" s="21" t="s">
        <v>465</v>
      </c>
      <c r="E146" s="13">
        <v>42903.909953703704</v>
      </c>
      <c r="F146" s="13">
        <v>42903.916863425926</v>
      </c>
      <c r="G146" s="7">
        <v>1</v>
      </c>
      <c r="H146" s="21" t="s">
        <v>943</v>
      </c>
      <c r="I146" s="13">
        <v>42903.94253472222</v>
      </c>
      <c r="J146" s="7">
        <v>0</v>
      </c>
      <c r="K146" s="89" t="str">
        <f t="shared" si="49"/>
        <v>4045/4046</v>
      </c>
      <c r="L146" s="21" t="str">
        <f>VLOOKUP(A146,'Trips&amp;Operators'!$C$1:$G$99999,5,FALSE)</f>
        <v>PERKINS DARREN</v>
      </c>
      <c r="M146" s="6">
        <f t="shared" si="50"/>
        <v>2.5671296294603962E-2</v>
      </c>
      <c r="N146" s="7">
        <f t="shared" si="64"/>
        <v>36.966666664229706</v>
      </c>
      <c r="O146" s="7"/>
      <c r="P146" s="7"/>
      <c r="Q146" s="22"/>
      <c r="R146" s="170"/>
      <c r="S146" s="213">
        <f t="shared" si="48"/>
        <v>1</v>
      </c>
      <c r="T146" s="195" t="str">
        <f t="shared" si="51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2"/>
        <v>https://d0f6bd738d7f1b3e5a7ca70fe4ff75f0.us-east-1.aws.found.io/app/kibana#/discover/Steve-Slow-Train-Analysis-(2080s-and-2083s)?_g=(refreshInterval:(display:Off,pause:!f,section:0,value:0),time:(from:'2017-06-17T20:50:20-0600',mode:absolute,to:'2017-06-17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6" s="197" t="str">
        <f>IF(AA146&lt;VLOOKUP(AG146,Variables!$AC$3:$AD$8,2,FALSE),"Y","N")</f>
        <v>N</v>
      </c>
      <c r="X146" s="197">
        <f t="shared" si="47"/>
        <v>1</v>
      </c>
      <c r="Y146" s="197">
        <f t="shared" si="53"/>
        <v>4.4200000000000003E-2</v>
      </c>
      <c r="Z146" s="197">
        <f t="shared" si="54"/>
        <v>23.331900000000001</v>
      </c>
      <c r="AA146" s="197">
        <f t="shared" si="55"/>
        <v>23.287700000000001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6"/>
        <v>233</v>
      </c>
      <c r="AE146" s="77" t="str">
        <f t="shared" si="57"/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AF146" s="74" t="str">
        <f t="shared" si="58"/>
        <v>"C:\Program Files (x86)\AstroGrep\AstroGrep.exe" /e /r /s /spath="%USERPROFILE%\AppData\Local\Temp\OnboardLogs" /stypes="app*4046*20170618*" /stext=" 04:.+((SYSTEM_STATE.+slice.+state.+changed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233-17 --locoid 4046 --swversion DE.1.0.9.0 --startMP 204:442 --initTime 2017-06-17T21:50:20 --startdatetime 2017-06-17T22:00:17 --delay 1 --endMP 204:233319 --enddatetime 2017-06-17T22:37:15 --enforcementcount 0 &gt;&gt;C:\Users\stu\Documents\GitHub\eaglep3-reporting\EC\2017-06-17-refined-times.txt</v>
      </c>
      <c r="AI146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{"issue":{"subject":"","project_id":79,"tracker_id":40,"status_id":1,"priority_id":2,"assigned_to_id":23,"start_date":"2017-06-17","description":"","custom_fields":[{"id":1,"name":"Subdivision","value":"EC"},{"id":4,"name":"Milepost","value":"23.3319"},{"id":17,"name":"Train ID","value":"233-17"},{"id":16,"name":"Locomotive ID","value":"4046"},{"id":130,"name":"Impact","value":""},{"id":150,"name":"Time of Event (Mountain Time)","value":"22:37:15"},{"id":151,"name":"Denver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4046 --day 2017-06-17</v>
      </c>
      <c r="AN146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631</v>
      </c>
      <c r="B147" s="7">
        <v>4045</v>
      </c>
      <c r="C147" s="21" t="s">
        <v>202</v>
      </c>
      <c r="D147" s="21" t="s">
        <v>567</v>
      </c>
      <c r="E147" s="13">
        <v>42903.951192129629</v>
      </c>
      <c r="F147" s="13">
        <v>42903.956446759257</v>
      </c>
      <c r="G147" s="7">
        <v>1</v>
      </c>
      <c r="H147" s="21" t="s">
        <v>360</v>
      </c>
      <c r="I147" s="13">
        <v>42903.985405092593</v>
      </c>
      <c r="J147" s="7">
        <v>0</v>
      </c>
      <c r="K147" s="89" t="str">
        <f t="shared" si="49"/>
        <v>4045/4046</v>
      </c>
      <c r="L147" s="21" t="str">
        <f>VLOOKUP(A147,'Trips&amp;Operators'!$C$1:$G$99999,5,FALSE)</f>
        <v>PERKINS DARREN</v>
      </c>
      <c r="M147" s="6">
        <f t="shared" si="50"/>
        <v>2.8958333336049691E-2</v>
      </c>
      <c r="N147" s="7">
        <f t="shared" si="64"/>
        <v>41.700000003911555</v>
      </c>
      <c r="O147" s="7"/>
      <c r="P147" s="7"/>
      <c r="Q147" s="22"/>
      <c r="R147" s="170"/>
      <c r="S147" s="213">
        <f t="shared" si="48"/>
        <v>1</v>
      </c>
      <c r="T147" s="195" t="str">
        <f t="shared" si="51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2"/>
        <v>https://d0f6bd738d7f1b3e5a7ca70fe4ff75f0.us-east-1.aws.found.io/app/kibana#/discover/Steve-Slow-Train-Analysis-(2080s-and-2083s)?_g=(refreshInterval:(display:Off,pause:!f,section:0,value:0),time:(from:'2017-06-17T21:49:43-0600',mode:absolute,to:'2017-06-18T00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7" s="197" t="str">
        <f>IF(AA147&lt;VLOOKUP(AG147,Variables!$AC$3:$AD$8,2,FALSE),"Y","N")</f>
        <v>N</v>
      </c>
      <c r="X147" s="197">
        <f t="shared" si="47"/>
        <v>1</v>
      </c>
      <c r="Y147" s="197">
        <f t="shared" si="53"/>
        <v>23.3002</v>
      </c>
      <c r="Z147" s="197">
        <f t="shared" si="54"/>
        <v>1.47E-2</v>
      </c>
      <c r="AA147" s="197">
        <f t="shared" si="55"/>
        <v>23.285499999999999</v>
      </c>
      <c r="AB147" s="54" t="str">
        <f>VLOOKUP(A147,Enforcements!$C$7:$K$13,8,0)</f>
        <v>Bulletin (2)</v>
      </c>
      <c r="AC147" s="51" t="str">
        <f>VLOOKUP(A147,Enforcements!$C$7:$E$13,3,0)</f>
        <v>GRADE CROSSING</v>
      </c>
      <c r="AD147" s="206">
        <f t="shared" si="56"/>
        <v>234</v>
      </c>
      <c r="AE147" s="77" t="str">
        <f t="shared" si="5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147" s="74" t="str">
        <f t="shared" si="58"/>
        <v>"C:\Program Files (x86)\AstroGrep\AstroGrep.exe" /e /r /s /spath="%USERPROFILE%\AppData\Local\Temp\OnboardLogs" /stypes="app*4045*20170618*" /stext=" 05:.+((SYSTEM_STATE.+slice.+state.+changed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234-17 --locoid 4045 --swversion DE.1.0.9.0 --startMP 204:233002 --initTime 2017-06-17T22:49:43 --startdatetime 2017-06-17T22:57:17 --delay 1 --endMP 204:147 --enddatetime 2017-06-17T23:38:59 --enforcementcount 0 &gt;&gt;C:\Users\stu\Documents\GitHub\eaglep3-reporting\EC\2017-06-17-refined-times.txt</v>
      </c>
      <c r="AI147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ID","value":"234-17"},{"id":16,"name":"Locomotive ID","value":"4045"},{"id":130,"name":"Impact","value":""},{"id":150,"name":"Time of Event (Mountain Time)","value":"23:38:59"},{"id":151,"name":"Denver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4045 --day 2017-06-17</v>
      </c>
      <c r="AN147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817</v>
      </c>
      <c r="B148" s="7">
        <v>4024</v>
      </c>
      <c r="C148" s="21" t="s">
        <v>202</v>
      </c>
      <c r="D148" s="21" t="s">
        <v>562</v>
      </c>
      <c r="E148" s="13">
        <v>42903.926562499997</v>
      </c>
      <c r="F148" s="13">
        <v>42903.9378125</v>
      </c>
      <c r="G148" s="7">
        <v>1</v>
      </c>
      <c r="H148" s="21" t="s">
        <v>858</v>
      </c>
      <c r="I148" s="13">
        <v>42903.965254629627</v>
      </c>
      <c r="J148" s="7">
        <v>0</v>
      </c>
      <c r="K148" s="89" t="str">
        <f t="shared" si="49"/>
        <v>4023/4024</v>
      </c>
      <c r="L148" s="21" t="str">
        <f>VLOOKUP(A148,'Trips&amp;Operators'!$C$1:$G$99999,5,FALSE)</f>
        <v>ZEWDU DEREJE</v>
      </c>
      <c r="M148" s="6">
        <f t="shared" si="50"/>
        <v>2.7442129627161194E-2</v>
      </c>
      <c r="N148" s="7">
        <f t="shared" si="64"/>
        <v>39.516666663112119</v>
      </c>
      <c r="O148" s="7"/>
      <c r="P148" s="7"/>
      <c r="Q148" s="22"/>
      <c r="R148" s="170"/>
      <c r="S148" s="213">
        <f t="shared" si="48"/>
        <v>1</v>
      </c>
      <c r="T148" s="195" t="str">
        <f t="shared" si="51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2"/>
        <v>https://d0f6bd738d7f1b3e5a7ca70fe4ff75f0.us-east-1.aws.found.io/app/kibana#/discover/Steve-Slow-Train-Analysis-(2080s-and-2083s)?_g=(refreshInterval:(display:Off,pause:!f,section:0,value:0),time:(from:'2017-06-17T21:14:15-0600',mode:absolute,to:'2017-06-18T00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8" s="197" t="str">
        <f>IF(AA148&lt;VLOOKUP(AG148,Variables!$AC$3:$AD$8,2,FALSE),"Y","N")</f>
        <v>N</v>
      </c>
      <c r="X148" s="197">
        <f t="shared" si="47"/>
        <v>1</v>
      </c>
      <c r="Y148" s="197">
        <f t="shared" si="53"/>
        <v>4.8399999999999999E-2</v>
      </c>
      <c r="Z148" s="197">
        <f t="shared" si="54"/>
        <v>23.3325</v>
      </c>
      <c r="AA148" s="197">
        <f t="shared" si="55"/>
        <v>23.284099999999999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6"/>
        <v>235</v>
      </c>
      <c r="AE148" s="77" t="str">
        <f t="shared" si="57"/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AF148" s="74" t="str">
        <f t="shared" si="58"/>
        <v>"C:\Program Files (x86)\AstroGrep\AstroGrep.exe" /e /r /s /spath="%USERPROFILE%\AppData\Local\Temp\OnboardLogs" /stypes="app*4024*20170618*" /stext=" 05:.+((SYSTEM_STATE.+slice.+state.+changed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235-17 --locoid 4024 --swversion DE.1.0.9.0 --startMP 204:484 --initTime 2017-06-17T22:14:15 --startdatetime 2017-06-17T22:30:27 --delay 1 --endMP 204:233325 --enddatetime 2017-06-17T23:09:58 --enforcementcount 0 &gt;&gt;C:\Users\stu\Documents\GitHub\eaglep3-reporting\EC\2017-06-17-refined-times.txt</v>
      </c>
      <c r="AI148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{"issue":{"subject":"","project_id":79,"tracker_id":40,"status_id":1,"priority_id":2,"assigned_to_id":23,"start_date":"2017-06-17","description":"","custom_fields":[{"id":1,"name":"Subdivision","value":"EC"},{"id":4,"name":"Milepost","value":"23.3325"},{"id":17,"name":"Train ID","value":"235-17"},{"id":16,"name":"Locomotive ID","value":"4024"},{"id":130,"name":"Impact","value":""},{"id":150,"name":"Time of Event (Mountain Time)","value":"23:09:58"},{"id":151,"name":"Denver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4024 --day 2017-06-17</v>
      </c>
      <c r="AN148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820</v>
      </c>
      <c r="B149" s="7">
        <v>4023</v>
      </c>
      <c r="C149" s="21" t="s">
        <v>202</v>
      </c>
      <c r="D149" s="21" t="s">
        <v>514</v>
      </c>
      <c r="E149" s="13">
        <v>42903.97320601852</v>
      </c>
      <c r="F149" s="13">
        <v>42903.977303240739</v>
      </c>
      <c r="G149" s="7">
        <v>1</v>
      </c>
      <c r="H149" s="21" t="s">
        <v>396</v>
      </c>
      <c r="I149" s="13">
        <v>42904.004513888889</v>
      </c>
      <c r="J149" s="7">
        <v>0</v>
      </c>
      <c r="K149" s="89" t="str">
        <f t="shared" si="49"/>
        <v>4023/4024</v>
      </c>
      <c r="L149" s="21" t="str">
        <f>VLOOKUP(A149,'Trips&amp;Operators'!$C$1:$G$99999,5,FALSE)</f>
        <v>ZEWDU DEREJE</v>
      </c>
      <c r="M149" s="6">
        <f t="shared" si="50"/>
        <v>2.7210648149775807E-2</v>
      </c>
      <c r="N149" s="7">
        <f t="shared" si="64"/>
        <v>39.183333335677162</v>
      </c>
      <c r="O149" s="7"/>
      <c r="P149" s="7"/>
      <c r="Q149" s="22"/>
      <c r="R149" s="170"/>
      <c r="S149" s="213">
        <f t="shared" si="48"/>
        <v>1</v>
      </c>
      <c r="T149" s="195" t="str">
        <f t="shared" si="51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2"/>
        <v>https://d0f6bd738d7f1b3e5a7ca70fe4ff75f0.us-east-1.aws.found.io/app/kibana#/discover/Steve-Slow-Train-Analysis-(2080s-and-2083s)?_g=(refreshInterval:(display:Off,pause:!f,section:0,value:0),time:(from:'2017-06-17T22:21:25-0600',mode:absolute,to:'2017-06-18T01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9" s="197" t="str">
        <f>IF(AA149&lt;VLOOKUP(AG149,Variables!$AC$3:$AD$8,2,FALSE),"Y","N")</f>
        <v>N</v>
      </c>
      <c r="X149" s="197">
        <f t="shared" si="47"/>
        <v>1</v>
      </c>
      <c r="Y149" s="197">
        <f t="shared" si="53"/>
        <v>23.300599999999999</v>
      </c>
      <c r="Z149" s="197">
        <f t="shared" si="54"/>
        <v>1.54E-2</v>
      </c>
      <c r="AA149" s="197">
        <f t="shared" si="55"/>
        <v>23.2852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6"/>
        <v>236</v>
      </c>
      <c r="AE149" s="77" t="str">
        <f t="shared" si="5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149" s="74" t="str">
        <f t="shared" si="58"/>
        <v>"C:\Program Files (x86)\AstroGrep\AstroGrep.exe" /e /r /s /spath="%USERPROFILE%\AppData\Local\Temp\OnboardLogs" /stypes="app*4023*20170618*" /stext=" 06:.+((SYSTEM_STATE.+slice.+state.+changed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236-17 --locoid 4023 --swversion DE.1.0.9.0 --startMP 204:233006 --initTime 2017-06-17T23:21:25 --startdatetime 2017-06-17T23:27:19 --delay 1 --endMP 204:154 --enddatetime 2017-06-18T00:06:30 --enforcementcount 0 &gt;&gt;C:\Users\stu\Documents\GitHub\eaglep3-reporting\EC\2017-06-17-refined-times.txt</v>
      </c>
      <c r="AI149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{"issue":{"subject":"","project_id":79,"tracker_id":40,"status_id":1,"priority_id":2,"assigned_to_id":23,"start_date":"2017-06-18","description":"","custom_fields":[{"id":1,"name":"Subdivision","value":"EC"},{"id":4,"name":"Milepost","value":"0.0154"},{"id":17,"name":"Train ID","value":"236-17"},{"id":16,"name":"Locomotive ID","value":"4023"},{"id":130,"name":"Impact","value":""},{"id":150,"name":"Time of Event (Mountain Time)","value":"00:06:30"},{"id":151,"name":"Denver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4023 --day 2017-06-17</v>
      </c>
      <c r="AN149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632</v>
      </c>
      <c r="B150" s="7">
        <v>4032</v>
      </c>
      <c r="C150" s="21" t="s">
        <v>202</v>
      </c>
      <c r="D150" s="21" t="s">
        <v>944</v>
      </c>
      <c r="E150" s="13">
        <v>42903.961759259262</v>
      </c>
      <c r="F150" s="13">
        <v>42903.962476851855</v>
      </c>
      <c r="G150" s="7">
        <v>1</v>
      </c>
      <c r="H150" s="21" t="s">
        <v>945</v>
      </c>
      <c r="I150" s="13">
        <v>42903.963425925926</v>
      </c>
      <c r="J150" s="7">
        <v>1</v>
      </c>
      <c r="K150" s="89" t="str">
        <f t="shared" si="49"/>
        <v>4031/4032</v>
      </c>
      <c r="L150" s="21" t="str">
        <f>VLOOKUP(A150,'Trips&amp;Operators'!$C$1:$G$99999,5,FALSE)</f>
        <v>LAMAR NEKESHA</v>
      </c>
      <c r="M150" s="6">
        <f t="shared" si="50"/>
        <v>9.4907407037680969E-4</v>
      </c>
      <c r="N150" s="7"/>
      <c r="O150" s="7"/>
      <c r="P150" s="7">
        <f>24*60*SUM($M150:$M152)</f>
        <v>45.816666668979451</v>
      </c>
      <c r="Q150" s="22"/>
      <c r="R150" s="170" t="s">
        <v>995</v>
      </c>
      <c r="S150" s="213">
        <f>SUM(U150:U152)/IF(AG150="EC",12,1)</f>
        <v>1</v>
      </c>
      <c r="T150" s="195" t="str">
        <f t="shared" si="51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6" t="str">
        <f t="shared" si="52"/>
        <v>https://d0f6bd738d7f1b3e5a7ca70fe4ff75f0.us-east-1.aws.found.io/app/kibana#/discover/Steve-Slow-Train-Analysis-(2080s-and-2083s)?_g=(refreshInterval:(display:Off,pause:!f,section:0,value:0),time:(from:'2017-06-17T22:04:56-0600',mode:absolute,to:'2017-06-18T00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197" t="str">
        <f>IF(AA150&lt;VLOOKUP(AG150,Variables!$AC$3:$AD$8,2,FALSE),"Y","N")</f>
        <v>Y</v>
      </c>
      <c r="X150" s="197">
        <f t="shared" si="47"/>
        <v>1</v>
      </c>
      <c r="Y150" s="197">
        <f t="shared" si="53"/>
        <v>0.1535</v>
      </c>
      <c r="Z150" s="197">
        <f t="shared" si="54"/>
        <v>0.17829999999999999</v>
      </c>
      <c r="AA150" s="197">
        <f t="shared" si="55"/>
        <v>2.4799999999999989E-2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6"/>
        <v>237</v>
      </c>
      <c r="AE150" s="77" t="str">
        <f t="shared" si="5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50" s="74" t="str">
        <f t="shared" si="58"/>
        <v>"C:\Program Files (x86)\AstroGrep\AstroGrep.exe" /e /r /s /spath="%USERPROFILE%\AppData\Local\Temp\OnboardLogs" /stypes="app*4032*20170618*" /stext=" 05:.+((SYSTEM_STATE.+slice.+state.+changed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237-17 --locoid 4032 --swversion DE.1.0.9.0 --startMP 204:1535 --initTime 2017-06-17T23:04:56 --startdatetime 2017-06-17T23:05:58 --delay 1 --endMP 204:1783 --enddatetime 2017-06-17T23:07:20 --enforcementcount 1 &gt;&gt;C:\Users\stu\Documents\GitHub\eaglep3-reporting\EC\2017-06-17-refined-times.txt</v>
      </c>
      <c r="AI150" s="96" t="str">
        <f t="shared" si="61"/>
        <v>echo {"issue":{"subject":"Selected wrong track","project_id":79,"tracker_id":40,"status_id":1,"priority_id":2,"assigned_to_id":23,"start_date":"2017-06-17","description":"","custom_fields":[{"id":1,"name":"Subdivision","value":"EC"},{"id":4,"name":"Milepost","value":"0.1783"},{"id":17,"name":"Train ID","value":"237-17"},{"id":16,"name":"Locomotive ID","value":"4032"},{"id":130,"name":"Impact","value":""},{"id":150,"name":"Time of Event (Mountain Time)","value":"23:07:20"},{"id":151,"name":"Denver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2"/>
        <v>start /low /b %USERPROFILE%\Documents\GitHub\eaglep3\Utilities\DownloadLogsFromS3.py --loco 4032 --day 2017-06-17</v>
      </c>
      <c r="AN150" s="151" t="str">
        <f t="shared" si="63"/>
        <v>echo {"issue":{"subject":"Selected wrong track","project_id":30,"tracker_id":4,"status_id":1,"priority_id":1,"assigned_to_id":10,"start_date":"2017-06-18","description":"","custom_fields":[{"id":30,"name":"Category","value":"Issue"},{"id":3,"name":"Functional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632</v>
      </c>
      <c r="B151" s="7">
        <v>4032</v>
      </c>
      <c r="C151" s="21" t="s">
        <v>202</v>
      </c>
      <c r="D151" s="21" t="s">
        <v>946</v>
      </c>
      <c r="E151" s="13">
        <v>42903.967118055552</v>
      </c>
      <c r="F151" s="13">
        <v>42903.968055555553</v>
      </c>
      <c r="G151" s="7">
        <v>1</v>
      </c>
      <c r="H151" s="21" t="s">
        <v>552</v>
      </c>
      <c r="I151" s="13">
        <v>42903.992337962962</v>
      </c>
      <c r="J151" s="7">
        <v>1</v>
      </c>
      <c r="K151" s="89" t="str">
        <f t="shared" si="49"/>
        <v>4031/4032</v>
      </c>
      <c r="L151" s="21" t="str">
        <f>VLOOKUP(A151,'Trips&amp;Operators'!$C$1:$G$99999,5,FALSE)</f>
        <v>LAMAR NEKESHA</v>
      </c>
      <c r="M151" s="6">
        <f t="shared" si="50"/>
        <v>2.4282407408463769E-2</v>
      </c>
      <c r="N151" s="7"/>
      <c r="O151" s="7"/>
      <c r="P151" s="7"/>
      <c r="Q151" s="22"/>
      <c r="R151" s="170"/>
      <c r="S151" s="213"/>
      <c r="T151" s="195" t="str">
        <f t="shared" si="51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2"/>
        <v>https://d0f6bd738d7f1b3e5a7ca70fe4ff75f0.us-east-1.aws.found.io/app/kibana#/discover/Steve-Slow-Train-Analysis-(2080s-and-2083s)?_g=(refreshInterval:(display:Off,pause:!f,section:0,value:0),time:(from:'2017-06-17T22:12:39-0600',mode:absolute,to:'2017-06-18T00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97" t="str">
        <f>IF(AA151&lt;VLOOKUP(AG151,Variables!$AC$3:$AD$8,2,FALSE),"Y","N")</f>
        <v>Y</v>
      </c>
      <c r="X151" s="197">
        <f t="shared" si="47"/>
        <v>0</v>
      </c>
      <c r="Y151" s="197">
        <f t="shared" si="53"/>
        <v>1.9123000000000001</v>
      </c>
      <c r="Z151" s="197">
        <f t="shared" si="54"/>
        <v>23.331199999999999</v>
      </c>
      <c r="AA151" s="197">
        <f t="shared" si="55"/>
        <v>21.418900000000001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6"/>
        <v>237</v>
      </c>
      <c r="AE151" s="77" t="str">
        <f t="shared" si="5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51" s="74" t="str">
        <f t="shared" si="58"/>
        <v>"C:\Program Files (x86)\AstroGrep\AstroGrep.exe" /e /r /s /spath="%USERPROFILE%\AppData\Local\Temp\OnboardLogs" /stypes="app*4032*20170618*" /stext=" 05:.+((SYSTEM_STATE.+slice.+state.+changed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237-17 --locoid 4032 --swversion DE.1.0.9.0 --startMP 204:19123 --initTime 2017-06-17T23:12:39 --startdatetime 2017-06-17T23:14:00 --delay 1 --endMP 204:233312 --enddatetime 2017-06-17T23:48:58 --enforcementcount 1 &gt;&gt;C:\Users\stu\Documents\GitHub\eaglep3-reporting\EC\2017-06-17-refined-times.txt</v>
      </c>
      <c r="AI151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{"issue":{"subject":"","project_id":79,"tracker_id":40,"status_id":1,"priority_id":2,"assigned_to_id":23,"start_date":"2017-06-17","description":"","custom_fields":[{"id":1,"name":"Subdivision","value":"EC"},{"id":4,"name":"Milepost","value":"23.3312"},{"id":17,"name":"Train ID","value":"237-17"},{"id":16,"name":"Locomotive ID","value":"4032"},{"id":130,"name":"Impact","value":""},{"id":150,"name":"Time of Event (Mountain Time)","value":"23:48:58"},{"id":151,"name":"Denver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2"/>
        <v>start /low /b %USERPROFILE%\Documents\GitHub\eaglep3\Utilities\DownloadLogsFromS3.py --loco 4032 --day 2017-06-17</v>
      </c>
      <c r="AN151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632</v>
      </c>
      <c r="B152" s="7">
        <v>4032</v>
      </c>
      <c r="C152" s="21" t="s">
        <v>202</v>
      </c>
      <c r="D152" s="21" t="s">
        <v>440</v>
      </c>
      <c r="E152" s="13">
        <v>42903.954363425924</v>
      </c>
      <c r="F152" s="13">
        <v>42903.955081018517</v>
      </c>
      <c r="G152" s="7">
        <v>1</v>
      </c>
      <c r="H152" s="21" t="s">
        <v>947</v>
      </c>
      <c r="I152" s="13">
        <v>42903.96166666667</v>
      </c>
      <c r="J152" s="7">
        <v>0</v>
      </c>
      <c r="K152" s="89" t="str">
        <f t="shared" si="49"/>
        <v>4031/4032</v>
      </c>
      <c r="L152" s="21" t="str">
        <f>VLOOKUP(A152,'Trips&amp;Operators'!$C$1:$G$99999,5,FALSE)</f>
        <v>LAMAR NEKESHA</v>
      </c>
      <c r="M152" s="6">
        <f t="shared" si="50"/>
        <v>6.5856481523951516E-3</v>
      </c>
      <c r="N152" s="7"/>
      <c r="O152" s="7"/>
      <c r="P152" s="7"/>
      <c r="Q152" s="22"/>
      <c r="R152" s="170"/>
      <c r="S152" s="213"/>
      <c r="T152" s="195" t="str">
        <f t="shared" si="51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96" t="str">
        <f t="shared" si="52"/>
        <v>https://d0f6bd738d7f1b3e5a7ca70fe4ff75f0.us-east-1.aws.found.io/app/kibana#/discover/Steve-Slow-Train-Analysis-(2080s-and-2083s)?_g=(refreshInterval:(display:Off,pause:!f,section:0,value:0),time:(from:'2017-06-17T21:54:17-0600',mode:absolute,to:'2017-06-18T00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7" t="str">
        <f>IF(AA152&lt;VLOOKUP(AG152,Variables!$AC$3:$AD$8,2,FALSE),"Y","N")</f>
        <v>Y</v>
      </c>
      <c r="X152" s="197">
        <f t="shared" si="47"/>
        <v>0</v>
      </c>
      <c r="Y152" s="197">
        <f t="shared" si="53"/>
        <v>4.6699999999999998E-2</v>
      </c>
      <c r="Z152" s="197">
        <f t="shared" si="54"/>
        <v>0.1552</v>
      </c>
      <c r="AA152" s="197">
        <f t="shared" si="55"/>
        <v>0.10850000000000001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6"/>
        <v>237</v>
      </c>
      <c r="AE152" s="77" t="str">
        <f t="shared" si="57"/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AF152" s="74" t="str">
        <f t="shared" si="58"/>
        <v>"C:\Program Files (x86)\AstroGrep\AstroGrep.exe" /e /r /s /spath="%USERPROFILE%\AppData\Local\Temp\OnboardLogs" /stypes="app*4032*20170618*" /stext=" 05:.+((SYSTEM_STATE.+slice.+state.+changed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237-17 --locoid 4032 --swversion DE.1.0.9.0 --startMP 204:467 --initTime 2017-06-17T22:54:17 --startdatetime 2017-06-17T22:55:19 --delay 1 --endMP 204:1552 --enddatetime 2017-06-17T23:04:48 --enforcementcount 0 &gt;&gt;C:\Users\stu\Documents\GitHub\eaglep3-reporting\EC\2017-06-17-refined-times.txt</v>
      </c>
      <c r="AI152" s="96" t="str">
        <f t="shared" si="61"/>
        <v>echo {"issue":{"subject":"","project_id":79,"tracker_id":40,"status_id":1,"priority_id":2,"assigned_to_id":23,"start_date":"2017-06-17","description":"","custom_fields":[{"id":1,"name":"Subdivision","value":"EC"},{"id":4,"name":"Milepost","value":"0.1552"},{"id":17,"name":"Train ID","value":"237-17"},{"id":16,"name":"Locomotive ID","value":"4032"},{"id":130,"name":"Impact","value":""},{"id":150,"name":"Time of Event (Mountain Time)","value":"23:04:48"},{"id":151,"name":"Denver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2"/>
        <v>start /low /b %USERPROFILE%\Documents\GitHub\eaglep3\Utilities\DownloadLogsFromS3.py --loco 4032 --day 2017-06-17</v>
      </c>
      <c r="AN152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823</v>
      </c>
      <c r="B153" s="7">
        <v>4031</v>
      </c>
      <c r="C153" s="21" t="s">
        <v>202</v>
      </c>
      <c r="D153" s="21" t="s">
        <v>440</v>
      </c>
      <c r="E153" s="13">
        <v>42903.954363425924</v>
      </c>
      <c r="F153" s="13">
        <v>42903.993055555555</v>
      </c>
      <c r="G153" s="7">
        <v>1</v>
      </c>
      <c r="H153" s="21" t="s">
        <v>947</v>
      </c>
      <c r="I153" s="13">
        <v>42903.993750000001</v>
      </c>
      <c r="J153" s="7">
        <v>0</v>
      </c>
      <c r="K153" s="89" t="str">
        <f t="shared" si="49"/>
        <v>4031/4032</v>
      </c>
      <c r="L153" s="21" t="str">
        <f>VLOOKUP(A153,'Trips&amp;Operators'!$C$1:$G$99999,5,FALSE)</f>
        <v>LAMAR NEKESHA</v>
      </c>
      <c r="M153" s="6">
        <f t="shared" si="50"/>
        <v>6.944444467080757E-4</v>
      </c>
      <c r="N153" s="7"/>
      <c r="O153" s="7"/>
      <c r="P153" s="7">
        <f>24*60*SUM($M153:$M153)</f>
        <v>1.000000003259629</v>
      </c>
      <c r="Q153" s="22"/>
      <c r="R153" s="170" t="s">
        <v>996</v>
      </c>
      <c r="S153" s="213"/>
      <c r="T153" s="195" t="str">
        <f t="shared" si="51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96" t="str">
        <f t="shared" si="52"/>
        <v>https://d0f6bd738d7f1b3e5a7ca70fe4ff75f0.us-east-1.aws.found.io/app/kibana#/discover/Steve-Slow-Train-Analysis-(2080s-and-2083s)?_g=(refreshInterval:(display:Off,pause:!f,section:0,value:0),time:(from:'2017-06-17T21:54:17-0600',mode:absolute,to:'2017-06-18T00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97" t="str">
        <f>IF(AA153&lt;VLOOKUP(AG153,Variables!$AC$3:$AD$8,2,FALSE),"Y","N")</f>
        <v>Y</v>
      </c>
      <c r="X153" s="197">
        <f t="shared" ref="X153:X156" si="65">VALUE(LEFT(AD153,4))-VALUE(LEFT(AD152,4))</f>
        <v>1</v>
      </c>
      <c r="Y153" s="197">
        <f t="shared" si="53"/>
        <v>4.6699999999999998E-2</v>
      </c>
      <c r="Z153" s="197">
        <f t="shared" si="54"/>
        <v>0.1552</v>
      </c>
      <c r="AA153" s="197">
        <f t="shared" si="55"/>
        <v>0.10850000000000001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6"/>
        <v>238</v>
      </c>
      <c r="AE153" s="77" t="str">
        <f t="shared" si="57"/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AF153" s="74" t="str">
        <f t="shared" si="58"/>
        <v>"C:\Program Files (x86)\AstroGrep\AstroGrep.exe" /e /r /s /spath="%USERPROFILE%\AppData\Local\Temp\OnboardLogs" /stypes="app*4031*20170618*" /stext=" 05:.+((SYSTEM_STATE.+slice.+state.+changed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ref="AH153" si="66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238-17 --locoid 4031 --swversion DE.1.0.9.0 --startMP 204:467 --initTime 2017-06-17T22:54:17 --startdatetime 2017-06-17T23:50:00 --delay 1 --endMP 204:1552 --enddatetime 2017-06-17T23:51:00 --enforcementcount 0 &gt;&gt;C:\Users\stu\Documents\GitHub\eaglep3-reporting\EC\2017-06-17-refined-times.txt</v>
      </c>
      <c r="AI153" s="96" t="str">
        <f t="shared" ref="AI153" si="67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{"issue":{"subject":"Did not perform depart test","project_id":79,"tracker_id":40,"status_id":1,"priority_id":2,"assigned_to_id":23,"start_date":"2017-06-17","description":"","custom_fields":[{"id":1,"name":"Subdivision","value":"EC"},{"id":4,"name":"Milepost","value":"0.1552"},{"id":17,"name":"Train ID","value":"238-17"},{"id":16,"name":"Locomotive ID","value":"4031"},{"id":130,"name":"Impact","value":""},{"id":150,"name":"Time of Event (Mountain Time)","value":"23:51:00"},{"id":151,"name":"Denver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ref="AM153" si="68">"start /low /b "&amp;dls3logs&amp;" --loco "&amp;B153&amp;" --day "&amp;TEXT(F153,"YYYY-MM-DD")</f>
        <v>start /low /b %USERPROFILE%\Documents\GitHub\eaglep3\Utilities\DownloadLogsFromS3.py --loco 4031 --day 2017-06-17</v>
      </c>
      <c r="AN153" s="151" t="str">
        <f t="shared" ref="AN153" si="69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perform depart test","project_id":30,"tracker_id":4,"status_id":1,"priority_id":1,"assigned_to_id":10,"start_date":"2017-06-18","description":"","custom_fields":[{"id":30,"name":"Category","value":"Issue"},{"id":3,"name":"Functional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05:51:00"},{"id":29,"name":"Sharepoint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821</v>
      </c>
      <c r="B154" s="7">
        <v>4040</v>
      </c>
      <c r="C154" s="21" t="s">
        <v>202</v>
      </c>
      <c r="D154" s="21" t="s">
        <v>518</v>
      </c>
      <c r="E154" s="13">
        <v>42903.977488425924</v>
      </c>
      <c r="F154" s="13">
        <v>42903.979363425926</v>
      </c>
      <c r="G154" s="7">
        <v>1</v>
      </c>
      <c r="H154" s="21" t="s">
        <v>559</v>
      </c>
      <c r="I154" s="13">
        <v>42904.005254629628</v>
      </c>
      <c r="J154" s="7">
        <v>0</v>
      </c>
      <c r="K154" s="89" t="str">
        <f t="shared" si="49"/>
        <v>4039/4040</v>
      </c>
      <c r="L154" s="21" t="str">
        <f>VLOOKUP(A154,'Trips&amp;Operators'!$C$1:$G$99999,5,FALSE)</f>
        <v>YANG JAN</v>
      </c>
      <c r="M154" s="6">
        <f t="shared" si="50"/>
        <v>2.5891203702485655E-2</v>
      </c>
      <c r="N154" s="7">
        <f t="shared" ref="N154:N185" si="70">24*60*SUM($M154:$M154)</f>
        <v>37.283333331579342</v>
      </c>
      <c r="O154" s="7"/>
      <c r="P154" s="7"/>
      <c r="Q154" s="22"/>
      <c r="R154" s="170"/>
      <c r="S154" s="213">
        <f t="shared" ref="S154:S185" si="71">SUM(U154:U154)/IF(AG154="EC",12,1)</f>
        <v>1</v>
      </c>
      <c r="T154" s="195" t="str">
        <f t="shared" si="51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2"/>
        <v>https://d0f6bd738d7f1b3e5a7ca70fe4ff75f0.us-east-1.aws.found.io/app/kibana#/discover/Steve-Slow-Train-Analysis-(2080s-and-2083s)?_g=(refreshInterval:(display:Off,pause:!f,section:0,value:0),time:(from:'2017-06-17T22:27:35-0600',mode:absolute,to:'2017-06-18T01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4" s="197" t="str">
        <f>IF(AA154&lt;VLOOKUP(AG154,Variables!$AC$3:$AD$8,2,FALSE),"Y","N")</f>
        <v>N</v>
      </c>
      <c r="X154" s="197">
        <f t="shared" si="65"/>
        <v>1</v>
      </c>
      <c r="Y154" s="197">
        <f t="shared" si="53"/>
        <v>4.5499999999999999E-2</v>
      </c>
      <c r="Z154" s="197">
        <f t="shared" si="54"/>
        <v>23.332100000000001</v>
      </c>
      <c r="AA154" s="197">
        <f t="shared" si="55"/>
        <v>23.2866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6"/>
        <v>239</v>
      </c>
      <c r="AE154" s="77" t="str">
        <f t="shared" si="57"/>
        <v>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 &amp; 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</v>
      </c>
      <c r="AF154" s="74" t="str">
        <f t="shared" si="58"/>
        <v>"C:\Program Files (x86)\AstroGrep\AstroGrep.exe" /e /r /s /spath="%USERPROFILE%\AppData\Local\Temp\OnboardLogs" /stypes="app*4040*20170618*" /stext=" 06:.+((SYSTEM_STATE.+slice.+state.+changed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239-17 --locoid 4040 --swversion DE.1.0.9.0 --startMP 204:455 --initTime 2017-06-17T23:27:35 --startdatetime 2017-06-17T23:30:17 --delay 1 --endMP 204:233321 --enddatetime 2017-06-18T00:07:34 --enforcementcount 0 &gt;&gt;C:\Users\stu\Documents\GitHub\eaglep3-reporting\EC\2017-06-17-refined-times.txt</v>
      </c>
      <c r="AI154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{"issue":{"subject":"","project_id":79,"tracker_id":40,"status_id":1,"priority_id":2,"assigned_to_id":23,"start_date":"2017-06-18","description":"","custom_fields":[{"id":1,"name":"Subdivision","value":"EC"},{"id":4,"name":"Milepost","value":"23.3321"},{"id":17,"name":"Train ID","value":"239-17"},{"id":16,"name":"Locomotive ID","value":"4040"},{"id":130,"name":"Impact","value":""},{"id":150,"name":"Time of Event (Mountain Time)","value":"00:07:34"},{"id":151,"name":"Denver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2"/>
        <v>start /low /b %USERPROFILE%\Documents\GitHub\eaglep3\Utilities\DownloadLogsFromS3.py --loco 4040 --day 2017-06-17</v>
      </c>
      <c r="AN154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06:07:34"},{"id":29,"name":"Sharepoint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825</v>
      </c>
      <c r="B155" s="7">
        <v>4039</v>
      </c>
      <c r="C155" s="21" t="s">
        <v>202</v>
      </c>
      <c r="D155" s="21" t="s">
        <v>452</v>
      </c>
      <c r="E155" s="13">
        <v>42904.013460648152</v>
      </c>
      <c r="F155" s="13">
        <v>42904.019016203703</v>
      </c>
      <c r="G155" s="7">
        <v>1</v>
      </c>
      <c r="H155" s="21" t="s">
        <v>478</v>
      </c>
      <c r="I155" s="13">
        <v>42904.04515046296</v>
      </c>
      <c r="J155" s="7">
        <v>0</v>
      </c>
      <c r="K155" s="89" t="str">
        <f t="shared" si="49"/>
        <v>4039/4040</v>
      </c>
      <c r="L155" s="21" t="str">
        <f>VLOOKUP(A155,'Trips&amp;Operators'!$C$1:$G$99999,5,FALSE)</f>
        <v>YANG JAN</v>
      </c>
      <c r="M155" s="6">
        <f t="shared" si="50"/>
        <v>2.6134259256650694E-2</v>
      </c>
      <c r="N155" s="7">
        <f t="shared" si="70"/>
        <v>37.633333329576999</v>
      </c>
      <c r="O155" s="7"/>
      <c r="P155" s="7"/>
      <c r="Q155" s="22"/>
      <c r="R155" s="170"/>
      <c r="S155" s="213">
        <f t="shared" si="71"/>
        <v>1</v>
      </c>
      <c r="T155" s="195" t="str">
        <f t="shared" si="51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2"/>
        <v>https://d0f6bd738d7f1b3e5a7ca70fe4ff75f0.us-east-1.aws.found.io/app/kibana#/discover/Steve-Slow-Train-Analysis-(2080s-and-2083s)?_g=(refreshInterval:(display:Off,pause:!f,section:0,value:0),time:(from:'2017-06-17T23:19:23-0600',mode:absolute,to:'2017-06-18T02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5" s="197" t="str">
        <f>IF(AA155&lt;VLOOKUP(AG155,Variables!$AC$3:$AD$8,2,FALSE),"Y","N")</f>
        <v>N</v>
      </c>
      <c r="X155" s="197">
        <f t="shared" si="65"/>
        <v>1</v>
      </c>
      <c r="Y155" s="197">
        <f t="shared" si="53"/>
        <v>23.299600000000002</v>
      </c>
      <c r="Z155" s="197">
        <f t="shared" si="54"/>
        <v>1.6E-2</v>
      </c>
      <c r="AA155" s="197">
        <f t="shared" si="55"/>
        <v>23.283600000000003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6"/>
        <v>240</v>
      </c>
      <c r="AE155" s="77" t="str">
        <f t="shared" si="57"/>
        <v>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 &amp; aws s3 cp s3://rtdc.mdm.uploadarchive.raw/RTDC4039/ "%USERPROFILE%\AppData\Local\Temp\OnboardLogs"\RTDC4039\2017-06-19 --exclude "*" --recursive --include "*20170619*" &amp; "%USERPROFILE%\Documents\GitHub\mrs-test-scripts\Headless Mode &amp; Sideloading\WalkAndUnGZ.bat" "%USERPROFILE%\AppData\Local\Temp\OnboardLogs"\RTDC4039\2017-06-19</v>
      </c>
      <c r="AF155" s="74" t="str">
        <f t="shared" si="58"/>
        <v>"C:\Program Files (x86)\AstroGrep\AstroGrep.exe" /e /r /s /spath="%USERPROFILE%\AppData\Local\Temp\OnboardLogs" /stypes="app*4039*20170618*" /stext=" 07:.+((SYSTEM_STATE.+slice.+state.+changed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240-17 --locoid 4039 --swversion DE.1.0.9.0 --startMP 204:232996 --initTime 2017-06-18T00:19:23 --startdatetime 2017-06-18T00:27:23 --delay 1 --endMP 204:160 --enddatetime 2017-06-18T01:05:01 --enforcementcount 0 &gt;&gt;C:\Users\stu\Documents\GitHub\eaglep3-reporting\EC\2017-06-17-refined-times.txt</v>
      </c>
      <c r="AI155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{"issue":{"subject":"","project_id":79,"tracker_id":40,"status_id":1,"priority_id":2,"assigned_to_id":23,"start_date":"2017-06-18","description":"","custom_fields":[{"id":1,"name":"Subdivision","value":"EC"},{"id":4,"name":"Milepost","value":"0.016"},{"id":17,"name":"Train ID","value":"240-17"},{"id":16,"name":"Locomotive ID","value":"4039"},{"id":130,"name":"Impact","value":""},{"id":150,"name":"Time of Event (Mountain Time)","value":"01:05:01"},{"id":151,"name":"Denver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2"/>
        <v>start /low /b %USERPROFILE%\Documents\GitHub\eaglep3\Utilities\DownloadLogsFromS3.py --loco 4039 --day 2017-06-18</v>
      </c>
      <c r="AN155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822</v>
      </c>
      <c r="B156" s="7">
        <v>4046</v>
      </c>
      <c r="C156" s="21" t="s">
        <v>202</v>
      </c>
      <c r="D156" s="21" t="s">
        <v>355</v>
      </c>
      <c r="E156" s="13">
        <v>42903.993981481479</v>
      </c>
      <c r="F156" s="13">
        <v>42904.000173611108</v>
      </c>
      <c r="G156" s="7">
        <v>1</v>
      </c>
      <c r="H156" s="21" t="s">
        <v>929</v>
      </c>
      <c r="I156" s="13">
        <v>42904.025462962964</v>
      </c>
      <c r="J156" s="7">
        <v>0</v>
      </c>
      <c r="K156" s="89" t="str">
        <f t="shared" si="49"/>
        <v>4045/4046</v>
      </c>
      <c r="L156" s="21" t="str">
        <f>VLOOKUP(A156,'Trips&amp;Operators'!$C$1:$G$99999,5,FALSE)</f>
        <v>PERKINS DARREN</v>
      </c>
      <c r="M156" s="6">
        <f t="shared" si="50"/>
        <v>2.5289351855462883E-2</v>
      </c>
      <c r="N156" s="7">
        <f t="shared" si="70"/>
        <v>36.416666671866551</v>
      </c>
      <c r="O156" s="7"/>
      <c r="P156" s="7"/>
      <c r="Q156" s="22"/>
      <c r="R156" s="170"/>
      <c r="S156" s="213">
        <f t="shared" si="71"/>
        <v>1</v>
      </c>
      <c r="T156" s="195" t="str">
        <f t="shared" si="51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2"/>
        <v>https://d0f6bd738d7f1b3e5a7ca70fe4ff75f0.us-east-1.aws.found.io/app/kibana#/discover/Steve-Slow-Train-Analysis-(2080s-and-2083s)?_g=(refreshInterval:(display:Off,pause:!f,section:0,value:0),time:(from:'2017-06-17T22:51:20-0600',mode:absolute,to:'2017-06-18T01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97" t="str">
        <f>IF(AA156&lt;VLOOKUP(AG156,Variables!$AC$3:$AD$8,2,FALSE),"Y","N")</f>
        <v>N</v>
      </c>
      <c r="X156" s="197">
        <f t="shared" si="65"/>
        <v>1</v>
      </c>
      <c r="Y156" s="197">
        <f t="shared" si="53"/>
        <v>4.53E-2</v>
      </c>
      <c r="Z156" s="197">
        <f t="shared" si="54"/>
        <v>23.333600000000001</v>
      </c>
      <c r="AA156" s="197">
        <f t="shared" si="55"/>
        <v>23.2883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6"/>
        <v>241</v>
      </c>
      <c r="AE156" s="77" t="str">
        <f t="shared" si="57"/>
        <v>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 &amp; 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</v>
      </c>
      <c r="AF156" s="74" t="str">
        <f t="shared" si="58"/>
        <v>"C:\Program Files (x86)\AstroGrep\AstroGrep.exe" /e /r /s /spath="%USERPROFILE%\AppData\Local\Temp\OnboardLogs" /stypes="app*4046*20170618*" /stext=" 06:.+((SYSTEM_STATE.+slice.+state.+changed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241-17 --locoid 4046 --swversion DE.1.0.9.0 --startMP 204:453 --initTime 2017-06-17T23:51:20 --startdatetime 2017-06-18T00:00:15 --delay 1 --endMP 204:233336 --enddatetime 2017-06-18T00:36:40 --enforcementcount 0 &gt;&gt;C:\Users\stu\Documents\GitHub\eaglep3-reporting\EC\2017-06-17-refined-times.txt</v>
      </c>
      <c r="AI156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{"issue":{"subject":"","project_id":79,"tracker_id":40,"status_id":1,"priority_id":2,"assigned_to_id":23,"start_date":"2017-06-18","description":"","custom_fields":[{"id":1,"name":"Subdivision","value":"EC"},{"id":4,"name":"Milepost","value":"23.3336"},{"id":17,"name":"Train ID","value":"241-17"},{"id":16,"name":"Locomotive ID","value":"4046"},{"id":130,"name":"Impact","value":""},{"id":150,"name":"Time of Event (Mountain Time)","value":"00:36:40"},{"id":151,"name":"Denver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2"/>
        <v>start /low /b %USERPROFILE%\Documents\GitHub\eaglep3\Utilities\DownloadLogsFromS3.py --loco 4046 --day 2017-06-18</v>
      </c>
      <c r="AN156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06:36:40"},{"id":29,"name":"Sharepoint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827</v>
      </c>
      <c r="B157" s="7">
        <v>4045</v>
      </c>
      <c r="C157" s="21" t="s">
        <v>202</v>
      </c>
      <c r="D157" s="21" t="s">
        <v>517</v>
      </c>
      <c r="E157" s="13">
        <v>42904.033148148148</v>
      </c>
      <c r="F157" s="13">
        <v>42904.039803240739</v>
      </c>
      <c r="G157" s="7">
        <v>1</v>
      </c>
      <c r="H157" s="21" t="s">
        <v>193</v>
      </c>
      <c r="I157" s="13">
        <v>42904.066574074073</v>
      </c>
      <c r="J157" s="7">
        <v>0</v>
      </c>
      <c r="K157" s="89" t="str">
        <f t="shared" si="49"/>
        <v>4045/4046</v>
      </c>
      <c r="L157" s="21" t="str">
        <f>VLOOKUP(A157,'Trips&amp;Operators'!$C$1:$G$99999,5,FALSE)</f>
        <v>PERKINS DARREN</v>
      </c>
      <c r="M157" s="6">
        <f t="shared" si="50"/>
        <v>2.6770833334012423E-2</v>
      </c>
      <c r="N157" s="7">
        <f t="shared" si="70"/>
        <v>38.550000000977889</v>
      </c>
      <c r="O157" s="7"/>
      <c r="P157" s="7"/>
      <c r="Q157" s="22"/>
      <c r="R157" s="170"/>
      <c r="S157" s="213">
        <f t="shared" si="71"/>
        <v>1</v>
      </c>
      <c r="T157" s="195" t="str">
        <f t="shared" si="51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2"/>
        <v>https://d0f6bd738d7f1b3e5a7ca70fe4ff75f0.us-east-1.aws.found.io/app/kibana#/discover/Steve-Slow-Train-Analysis-(2080s-and-2083s)?_g=(refreshInterval:(display:Off,pause:!f,section:0,value:0),time:(from:'2017-06-17T23:47:44-0600',mode:absolute,to:'2017-06-18T02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 t="shared" si="53"/>
        <v>23.299800000000001</v>
      </c>
      <c r="Z157" s="197">
        <f t="shared" si="54"/>
        <v>1.52E-2</v>
      </c>
      <c r="AA157" s="197">
        <f t="shared" si="55"/>
        <v>23.284600000000001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6"/>
        <v>242</v>
      </c>
      <c r="AE157" s="77" t="str">
        <f t="shared" si="57"/>
        <v>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 &amp; aws s3 cp s3://rtdc.mdm.uploadarchive.raw/RTDC4045/ "%USERPROFILE%\AppData\Local\Temp\OnboardLogs"\RTDC4045\2017-06-19 --exclude "*" --recursive --include "*20170619*" &amp; "%USERPROFILE%\Documents\GitHub\mrs-test-scripts\Headless Mode &amp; Sideloading\WalkAndUnGZ.bat" "%USERPROFILE%\AppData\Local\Temp\OnboardLogs"\RTDC4045\2017-06-19</v>
      </c>
      <c r="AF157" s="74" t="str">
        <f t="shared" si="58"/>
        <v>"C:\Program Files (x86)\AstroGrep\AstroGrep.exe" /e /r /s /spath="%USERPROFILE%\AppData\Local\Temp\OnboardLogs" /stypes="app*4045*20170618*"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242-17 --locoid 4045 --swversion DE.1.0.9.0 --startMP 204:232998 --initTime 2017-06-18T00:47:44 --startdatetime 2017-06-18T00:57:19 --delay 1 --endMP 204:152 --enddatetime 2017-06-18T01:35:52 --enforcementcount 0 &gt;&gt;C:\Users\stu\Documents\GitHub\eaglep3-reporting\EC\2017-06-17-refined-times.txt</v>
      </c>
      <c r="AI157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ID","value":"242-17"},{"id":16,"name":"Locomotive ID","value":"4045"},{"id":130,"name":"Impact","value":""},{"id":150,"name":"Time of Event (Mountain Time)","value":"01:35:52"},{"id":151,"name":"Denver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4045 --day 2017-06-18</v>
      </c>
      <c r="AN157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824</v>
      </c>
      <c r="B158" s="7">
        <v>4024</v>
      </c>
      <c r="C158" s="21" t="s">
        <v>202</v>
      </c>
      <c r="D158" s="21" t="s">
        <v>521</v>
      </c>
      <c r="E158" s="13">
        <v>42904.005740740744</v>
      </c>
      <c r="F158" s="13">
        <v>42904.020995370367</v>
      </c>
      <c r="G158" s="7">
        <v>1</v>
      </c>
      <c r="H158" s="21" t="s">
        <v>495</v>
      </c>
      <c r="I158" s="13">
        <v>42904.046747685185</v>
      </c>
      <c r="J158" s="7">
        <v>0</v>
      </c>
      <c r="K158" s="89" t="str">
        <f t="shared" si="49"/>
        <v>4023/4024</v>
      </c>
      <c r="L158" s="21" t="str">
        <f>VLOOKUP(A158,'Trips&amp;Operators'!$C$1:$G$99999,5,FALSE)</f>
        <v>FORTUNATO FRANK</v>
      </c>
      <c r="M158" s="6">
        <f t="shared" si="50"/>
        <v>2.5752314817509614E-2</v>
      </c>
      <c r="N158" s="7">
        <f t="shared" si="70"/>
        <v>37.083333337213844</v>
      </c>
      <c r="O158" s="7"/>
      <c r="P158" s="7"/>
      <c r="Q158" s="22"/>
      <c r="R158" s="170"/>
      <c r="S158" s="213">
        <f t="shared" si="71"/>
        <v>1</v>
      </c>
      <c r="T158" s="195" t="str">
        <f t="shared" si="51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2"/>
        <v>https://d0f6bd738d7f1b3e5a7ca70fe4ff75f0.us-east-1.aws.found.io/app/kibana#/discover/Steve-Slow-Train-Analysis-(2080s-and-2083s)?_g=(refreshInterval:(display:Off,pause:!f,section:0,value:0),time:(from:'2017-06-17T23:08:16-0600',mode:absolute,to:'2017-06-18T02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 t="shared" si="53"/>
        <v>4.6399999999999997E-2</v>
      </c>
      <c r="Z158" s="197">
        <f t="shared" si="54"/>
        <v>23.331399999999999</v>
      </c>
      <c r="AA158" s="197">
        <f t="shared" si="55"/>
        <v>23.285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6"/>
        <v>243</v>
      </c>
      <c r="AE158" s="77" t="str">
        <f t="shared" si="57"/>
        <v>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 &amp; 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</v>
      </c>
      <c r="AF158" s="74" t="str">
        <f t="shared" si="58"/>
        <v>"C:\Program Files (x86)\AstroGrep\AstroGrep.exe" /e /r /s /spath="%USERPROFILE%\AppData\Local\Temp\OnboardLogs" /stypes="app*4024*20170618*" /stext=" 07:.+((SYSTEM_STATE.+slice.+state.+changed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243-17 --locoid 4024 --swversion DE.1.0.9.0 --startMP 204:464 --initTime 2017-06-18T00:08:16 --startdatetime 2017-06-18T00:30:14 --delay 1 --endMP 204:233314 --enddatetime 2017-06-18T01:07:19 --enforcementcount 0 &gt;&gt;C:\Users\stu\Documents\GitHub\eaglep3-reporting\EC\2017-06-17-refined-times.txt</v>
      </c>
      <c r="AI158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{"issue":{"subject":"","project_id":79,"tracker_id":40,"status_id":1,"priority_id":2,"assigned_to_id":23,"start_date":"2017-06-18","description":"","custom_fields":[{"id":1,"name":"Subdivision","value":"EC"},{"id":4,"name":"Milepost","value":"23.3314"},{"id":17,"name":"Train ID","value":"243-17"},{"id":16,"name":"Locomotive ID","value":"4024"},{"id":130,"name":"Impact","value":""},{"id":150,"name":"Time of Event (Mountain Time)","value":"01:07:19"},{"id":151,"name":"Denver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2"/>
        <v>start /low /b %USERPROFILE%\Documents\GitHub\eaglep3\Utilities\DownloadLogsFromS3.py --loco 4024 --day 2017-06-18</v>
      </c>
      <c r="AN158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829</v>
      </c>
      <c r="B159" s="7">
        <v>4023</v>
      </c>
      <c r="C159" s="21" t="s">
        <v>202</v>
      </c>
      <c r="D159" s="21" t="s">
        <v>517</v>
      </c>
      <c r="E159" s="13">
        <v>42904.048819444448</v>
      </c>
      <c r="F159" s="13">
        <v>42904.060798611114</v>
      </c>
      <c r="G159" s="7">
        <v>1</v>
      </c>
      <c r="H159" s="21" t="s">
        <v>193</v>
      </c>
      <c r="I159" s="13">
        <v>42904.087951388887</v>
      </c>
      <c r="J159" s="7">
        <v>0</v>
      </c>
      <c r="K159" s="89" t="str">
        <f t="shared" si="49"/>
        <v>4023/4024</v>
      </c>
      <c r="L159" s="21" t="str">
        <f>VLOOKUP(A159,'Trips&amp;Operators'!$C$1:$G$99999,5,FALSE)</f>
        <v>FORTUNATO FRANK</v>
      </c>
      <c r="M159" s="6">
        <f t="shared" si="50"/>
        <v>2.7152777773153502E-2</v>
      </c>
      <c r="N159" s="7">
        <f t="shared" si="70"/>
        <v>39.099999993341044</v>
      </c>
      <c r="O159" s="7"/>
      <c r="P159" s="7"/>
      <c r="Q159" s="22"/>
      <c r="R159" s="170"/>
      <c r="S159" s="213">
        <f t="shared" si="71"/>
        <v>1</v>
      </c>
      <c r="T159" s="195" t="str">
        <f t="shared" si="51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2"/>
        <v>https://d0f6bd738d7f1b3e5a7ca70fe4ff75f0.us-east-1.aws.found.io/app/kibana#/discover/Steve-Slow-Train-Analysis-(2080s-and-2083s)?_g=(refreshInterval:(display:Off,pause:!f,section:0,value:0),time:(from:'2017-06-18T00:10:18-0600',mode:absolute,to:'2017-06-18T03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 t="shared" si="53"/>
        <v>23.299800000000001</v>
      </c>
      <c r="Z159" s="197">
        <f t="shared" si="54"/>
        <v>1.52E-2</v>
      </c>
      <c r="AA159" s="197">
        <f t="shared" si="55"/>
        <v>23.284600000000001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6"/>
        <v>244</v>
      </c>
      <c r="AE159" s="77" t="str">
        <f t="shared" si="57"/>
        <v>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 &amp; aws s3 cp s3://rtdc.mdm.uploadarchive.raw/RTDC4023/ "%USERPROFILE%\AppData\Local\Temp\OnboardLogs"\RTDC4023\2017-06-19 --exclude "*" --recursive --include "*20170619*" &amp; "%USERPROFILE%\Documents\GitHub\mrs-test-scripts\Headless Mode &amp; Sideloading\WalkAndUnGZ.bat" "%USERPROFILE%\AppData\Local\Temp\OnboardLogs"\RTDC4023\2017-06-19</v>
      </c>
      <c r="AF159" s="74" t="str">
        <f t="shared" si="58"/>
        <v>"C:\Program Files (x86)\AstroGrep\AstroGrep.exe" /e /r /s /spath="%USERPROFILE%\AppData\Local\Temp\OnboardLogs" /stypes="app*4023*20170618*" /stext=" 08:.+((SYSTEM_STATE.+slice.+state.+changed )|(ment ac)|(multiple cpu faults)|(system.+state.+changed )|(\[timeout)|(PRM\|1\|D)|(kpr)|(kdp)|(train st.+moving)|(\|lc)|(penalty))"</v>
      </c>
      <c r="AG159" s="209" t="str">
        <f t="shared" si="59"/>
        <v>EC</v>
      </c>
      <c r="AH159" s="78" t="str">
        <f t="shared" si="60"/>
        <v>"%USERPROFILE%\Documents\GitHub\eaglep3\Utilities\RefineRTDCRunTimes.py" --tripid 244-17 --locoid 4023 --swversion DE.1.0.9.0 --startMP 204:232998 --initTime 2017-06-18T01:10:18 --startdatetime 2017-06-18T01:27:33 --delay 1 --endMP 204:152 --enddatetime 2017-06-18T02:06:39 --enforcementcount 0 &gt;&gt;C:\Users\stu\Documents\GitHub\eaglep3-reporting\EC\2017-06-17-refined-times.txt</v>
      </c>
      <c r="AI159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ID","value":"244-17"},{"id":16,"name":"Locomotive ID","value":"4023"},{"id":130,"name":"Impact","value":""},{"id":150,"name":"Time of Event (Mountain Time)","value":"02:06:39"},{"id":151,"name":"Denver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2"/>
        <v>start /low /b %USERPROFILE%\Documents\GitHub\eaglep3\Utilities\DownloadLogsFromS3.py --loco 4023 --day 2017-06-18</v>
      </c>
      <c r="AN159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08:06:39"},{"id":29,"name":"Sharepoint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826</v>
      </c>
      <c r="B160" s="7">
        <v>4044</v>
      </c>
      <c r="C160" s="21" t="s">
        <v>202</v>
      </c>
      <c r="D160" s="21" t="s">
        <v>948</v>
      </c>
      <c r="E160" s="13">
        <v>42904.027766203704</v>
      </c>
      <c r="F160" s="13">
        <v>42904.042453703703</v>
      </c>
      <c r="G160" s="7">
        <v>2</v>
      </c>
      <c r="H160" s="21" t="s">
        <v>919</v>
      </c>
      <c r="I160" s="13">
        <v>42904.06753472222</v>
      </c>
      <c r="J160" s="7">
        <v>0</v>
      </c>
      <c r="K160" s="89" t="str">
        <f t="shared" si="49"/>
        <v>4043/4044</v>
      </c>
      <c r="L160" s="21" t="str">
        <f>VLOOKUP(A160,'Trips&amp;Operators'!$C$1:$G$99999,5,FALSE)</f>
        <v>LAMAR NEKESHA</v>
      </c>
      <c r="M160" s="6">
        <f t="shared" si="50"/>
        <v>2.5081018517084885E-2</v>
      </c>
      <c r="N160" s="7">
        <f t="shared" si="70"/>
        <v>36.116666664602235</v>
      </c>
      <c r="O160" s="7"/>
      <c r="P160" s="7"/>
      <c r="Q160" s="22"/>
      <c r="R160" s="170"/>
      <c r="S160" s="213">
        <f t="shared" si="71"/>
        <v>1</v>
      </c>
      <c r="T160" s="195" t="str">
        <f t="shared" si="51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2"/>
        <v>https://d0f6bd738d7f1b3e5a7ca70fe4ff75f0.us-east-1.aws.found.io/app/kibana#/discover/Steve-Slow-Train-Analysis-(2080s-and-2083s)?_g=(refreshInterval:(display:Off,pause:!f,section:0,value:0),time:(from:'2017-06-17T23:39:59-0600',mode:absolute,to:'2017-06-18T02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197" t="str">
        <f>IF(AA160&lt;VLOOKUP(AG160,Variables!$AC$3:$AD$8,2,FALSE),"Y","N")</f>
        <v>N</v>
      </c>
      <c r="X160" s="197">
        <f t="shared" ref="X160:X168" si="72">VALUE(LEFT(AD160,4))-VALUE(LEFT(AD159,4))</f>
        <v>1</v>
      </c>
      <c r="Y160" s="197">
        <f t="shared" si="53"/>
        <v>0.1147</v>
      </c>
      <c r="Z160" s="197">
        <f t="shared" si="54"/>
        <v>23.328199999999999</v>
      </c>
      <c r="AA160" s="197">
        <f t="shared" si="55"/>
        <v>23.2135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6"/>
        <v>245</v>
      </c>
      <c r="AE160" s="77" t="str">
        <f t="shared" si="57"/>
        <v>aws s3 cp s3://rtdc.mdm.uploadarchive.raw/RTDC4044/ "%USERPROFILE%\AppData\Local\Temp\OnboardLogs"\RTDC4044\2017-06-18 --exclude "*" --recursive --include "*20170618*" &amp; "%USERPROFILE%\Documents\GitHub\mrs-test-scripts\Headless Mode &amp; Sideloading\WalkAndUnGZ.bat" "%USERPROFILE%\AppData\Local\Temp\OnboardLogs"\RTDC4044\2017-06-18 &amp; 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</v>
      </c>
      <c r="AF160" s="74" t="str">
        <f t="shared" si="58"/>
        <v>"C:\Program Files (x86)\AstroGrep\AstroGrep.exe" /e /r /s /spath="%USERPROFILE%\AppData\Local\Temp\OnboardLogs" /stypes="app*4044*20170618*" /stext=" 07:.+((SYSTEM_STATE.+slice.+state.+changed )|(ment ac)|(multiple cpu faults)|(system.+state.+changed )|(\[timeout)|(PRM\|1\|D)|(kpr)|(kdp)|(train st.+moving)|(\|lc)|(penalty))"</v>
      </c>
      <c r="AG160" s="209" t="str">
        <f t="shared" si="59"/>
        <v>EC</v>
      </c>
      <c r="AH160" s="78" t="str">
        <f t="shared" si="60"/>
        <v>"%USERPROFILE%\Documents\GitHub\eaglep3\Utilities\RefineRTDCRunTimes.py" --tripid 245-17 --locoid 4044 --swversion DE.1.0.9.0 --startMP 204:1147 --initTime 2017-06-18T00:39:59 --startdatetime 2017-06-18T01:01:08 --delay 2 --endMP 204:233282 --enddatetime 2017-06-18T01:37:15 --enforcementcount 0 &gt;&gt;C:\Users\stu\Documents\GitHub\eaglep3-reporting\EC\2017-06-17-refined-times.txt</v>
      </c>
      <c r="AI160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{"issue":{"subject":"","project_id":79,"tracker_id":40,"status_id":1,"priority_id":2,"assigned_to_id":23,"start_date":"2017-06-18","description":"","custom_fields":[{"id":1,"name":"Subdivision","value":"EC"},{"id":4,"name":"Milepost","value":"23.3282"},{"id":17,"name":"Train ID","value":"245-17"},{"id":16,"name":"Locomotive ID","value":"4044"},{"id":130,"name":"Impact","value":""},{"id":150,"name":"Time of Event (Mountain Time)","value":"01:37:15"},{"id":151,"name":"Denver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2"/>
        <v>start /low /b %USERPROFILE%\Documents\GitHub\eaglep3\Utilities\DownloadLogsFromS3.py --loco 4044 --day 2017-06-18</v>
      </c>
      <c r="AN160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831</v>
      </c>
      <c r="B161" s="7">
        <v>4043</v>
      </c>
      <c r="C161" s="21" t="s">
        <v>202</v>
      </c>
      <c r="D161" s="21" t="s">
        <v>556</v>
      </c>
      <c r="E161" s="13">
        <v>42904.077118055553</v>
      </c>
      <c r="F161" s="13">
        <v>42904.081701388888</v>
      </c>
      <c r="G161" s="7">
        <v>1</v>
      </c>
      <c r="H161" s="21" t="s">
        <v>949</v>
      </c>
      <c r="I161" s="13">
        <v>42904.108217592591</v>
      </c>
      <c r="J161" s="7">
        <v>0</v>
      </c>
      <c r="K161" s="89" t="str">
        <f t="shared" si="49"/>
        <v>4043/4044</v>
      </c>
      <c r="L161" s="21" t="str">
        <f>VLOOKUP(A161,'Trips&amp;Operators'!$C$1:$G$99999,5,FALSE)</f>
        <v>LAMAR NEKESHA</v>
      </c>
      <c r="M161" s="6">
        <f t="shared" si="50"/>
        <v>2.6516203703067731E-2</v>
      </c>
      <c r="N161" s="7">
        <f t="shared" si="70"/>
        <v>38.183333332417533</v>
      </c>
      <c r="O161" s="7"/>
      <c r="P161" s="7"/>
      <c r="Q161" s="22"/>
      <c r="R161" s="170"/>
      <c r="S161" s="213">
        <f t="shared" si="71"/>
        <v>1</v>
      </c>
      <c r="T161" s="195" t="str">
        <f t="shared" si="51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52"/>
        <v>https://d0f6bd738d7f1b3e5a7ca70fe4ff75f0.us-east-1.aws.found.io/app/kibana#/discover/Steve-Slow-Train-Analysis-(2080s-and-2083s)?_g=(refreshInterval:(display:Off,pause:!f,section:0,value:0),time:(from:'2017-06-18T00:51:03-0600',mode:absolute,to:'2017-06-18T03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97" t="str">
        <f>IF(AA161&lt;VLOOKUP(AG161,Variables!$AC$3:$AD$8,2,FALSE),"Y","N")</f>
        <v>N</v>
      </c>
      <c r="X161" s="197">
        <f t="shared" si="72"/>
        <v>1</v>
      </c>
      <c r="Y161" s="197">
        <f t="shared" si="53"/>
        <v>23.296700000000001</v>
      </c>
      <c r="Z161" s="197">
        <f t="shared" si="54"/>
        <v>0.16489999999999999</v>
      </c>
      <c r="AA161" s="197">
        <f t="shared" si="55"/>
        <v>23.131800000000002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6"/>
        <v>246</v>
      </c>
      <c r="AE161" s="77" t="str">
        <f t="shared" si="57"/>
        <v>aws s3 cp s3://rtdc.mdm.uploadarchive.raw/RTDC4043/ "%USERPROFILE%\AppData\Local\Temp\OnboardLogs"\RTDC4043\2017-06-18 --exclude "*" --recursive --include "*20170618*" &amp; "%USERPROFILE%\Documents\GitHub\mrs-test-scripts\Headless Mode &amp; Sideloading\WalkAndUnGZ.bat" "%USERPROFILE%\AppData\Local\Temp\OnboardLogs"\RTDC4043\2017-06-18 &amp; aws s3 cp s3://rtdc.mdm.uploadarchive.raw/RTDC4043/ "%USERPROFILE%\AppData\Local\Temp\OnboardLogs"\RTDC4043\2017-06-19 --exclude "*" --recursive --include "*20170619*" &amp; "%USERPROFILE%\Documents\GitHub\mrs-test-scripts\Headless Mode &amp; Sideloading\WalkAndUnGZ.bat" "%USERPROFILE%\AppData\Local\Temp\OnboardLogs"\RTDC4043\2017-06-19</v>
      </c>
      <c r="AF161" s="74" t="str">
        <f t="shared" si="58"/>
        <v>"C:\Program Files (x86)\AstroGrep\AstroGrep.exe" /e /r /s /spath="%USERPROFILE%\AppData\Local\Temp\OnboardLogs" /stypes="app*4043*20170618*" /stext=" 08:.+((SYSTEM_STATE.+slice.+state.+changed )|(ment ac)|(multiple cpu faults)|(system.+state.+changed )|(\[timeout)|(PRM\|1\|D)|(kpr)|(kdp)|(train st.+moving)|(\|lc)|(penalty))"</v>
      </c>
      <c r="AG161" s="209" t="str">
        <f t="shared" si="59"/>
        <v>EC</v>
      </c>
      <c r="AH161" s="78" t="str">
        <f t="shared" si="60"/>
        <v>"%USERPROFILE%\Documents\GitHub\eaglep3\Utilities\RefineRTDCRunTimes.py" --tripid 246-17 --locoid 4043 --swversion DE.1.0.9.0 --startMP 204:232967 --initTime 2017-06-18T01:51:03 --startdatetime 2017-06-18T01:57:39 --delay 1 --endMP 204:1649 --enddatetime 2017-06-18T02:35:50 --enforcementcount 0 &gt;&gt;C:\Users\stu\Documents\GitHub\eaglep3-reporting\EC\2017-06-17-refined-times.txt</v>
      </c>
      <c r="AI161" s="96" t="str">
        <f t="shared" si="61"/>
        <v>echo {"issue":{"subject":"","project_id":79,"tracker_id":40,"status_id":1,"priority_id":2,"assigned_to_id":23,"start_date":"2017-06-18","description":"","custom_fields":[{"id":1,"name":"Subdivision","value":"EC"},{"id":4,"name":"Milepost","value":"0.1649"},{"id":17,"name":"Train ID","value":"246-17"},{"id":16,"name":"Locomotive ID","value":"4043"},{"id":130,"name":"Impact","value":""},{"id":150,"name":"Time of Event (Mountain Time)","value":"02:35:50"},{"id":151,"name":"Denver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2"/>
        <v>start /low /b %USERPROFILE%\Documents\GitHub\eaglep3\Utilities\DownloadLogsFromS3.py --loco 4043 --day 2017-06-18</v>
      </c>
      <c r="AN161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604</v>
      </c>
      <c r="B162" s="7">
        <v>4049</v>
      </c>
      <c r="C162" s="21" t="s">
        <v>202</v>
      </c>
      <c r="D162" s="21" t="s">
        <v>879</v>
      </c>
      <c r="E162" s="13">
        <v>42903.233182870368</v>
      </c>
      <c r="F162" s="13">
        <v>42903.236990740741</v>
      </c>
      <c r="G162" s="7">
        <v>1</v>
      </c>
      <c r="H162" s="21" t="s">
        <v>880</v>
      </c>
      <c r="I162" s="13">
        <v>42903.246365740742</v>
      </c>
      <c r="J162" s="7">
        <v>0</v>
      </c>
      <c r="K162" s="89" t="str">
        <f t="shared" si="49"/>
        <v>4049/4050</v>
      </c>
      <c r="L162" s="21" t="str">
        <f>VLOOKUP(A162,'Trips&amp;Operators'!$C$1:$G$99999,5,FALSE)</f>
        <v>YORK EDGAR</v>
      </c>
      <c r="M162" s="6">
        <f t="shared" si="50"/>
        <v>9.3750000014551915E-3</v>
      </c>
      <c r="N162" s="7">
        <f t="shared" si="70"/>
        <v>13.500000002095476</v>
      </c>
      <c r="O162" s="7"/>
      <c r="P162" s="7"/>
      <c r="Q162" s="22"/>
      <c r="R162" s="170"/>
      <c r="S162" s="213">
        <f t="shared" si="71"/>
        <v>1</v>
      </c>
      <c r="T162" s="195" t="str">
        <f t="shared" si="5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2"/>
        <v>https://d0f6bd738d7f1b3e5a7ca70fe4ff75f0.us-east-1.aws.found.io/app/kibana#/discover/Steve-Slow-Train-Analysis-(2080s-and-2083s)?_g=(refreshInterval:(display:Off,pause:!f,section:0,value:0),time:(from:'2017-06-17T04:35:47-0600',mode:absolute,to:'2017-06-17T06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197" t="str">
        <f>IF(AA162&lt;VLOOKUP(AG162,Variables!$AC$3:$AD$8,2,FALSE),"Y","N")</f>
        <v>N</v>
      </c>
      <c r="X162" s="197">
        <f t="shared" si="72"/>
        <v>1554</v>
      </c>
      <c r="Y162" s="197">
        <f t="shared" si="53"/>
        <v>5.8615000000000004</v>
      </c>
      <c r="Z162" s="197">
        <f t="shared" si="54"/>
        <v>7.2900000000000006E-2</v>
      </c>
      <c r="AA162" s="197">
        <f t="shared" si="55"/>
        <v>5.7886000000000006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6"/>
        <v>1800</v>
      </c>
      <c r="AE162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62" s="74" t="str">
        <f t="shared" si="58"/>
        <v>"C:\Program Files (x86)\AstroGrep\AstroGrep.exe" /e /r /s /spath="%USERPROFILE%\AppData\Local\Temp\OnboardLogs" /stypes="app*4049*20170617*" /stext=" 11:.+((SYSTEM_STATE.+slice.+state.+changed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1800-17 --locoid 4049 --swversion DE.1.0.9.0 --startMP 300:58615 --initTime 2017-06-17T05:35:47 --startdatetime 2017-06-17T05:41:16 --delay 1 --endMP 204:729 --enddatetime 2017-06-17T05:54:46 --enforcementcount 0 &gt;&gt;C:\Users\stu\Documents\GitHub\eaglep3-reporting\EC\2017-06-17-refined-times.txt</v>
      </c>
      <c r="AI162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{"issue":{"subject":"","project_id":79,"tracker_id":40,"status_id":1,"priority_id":2,"assigned_to_id":23,"start_date":"2017-06-17","description":"","custom_fields":[{"id":1,"name":"Subdivision","value":"NW"},{"id":4,"name":"Milepost","value":"0.0729"},{"id":17,"name":"Train ID","value":"1800-17"},{"id":16,"name":"Locomotive ID","value":"4049"},{"id":130,"name":"Impact","value":""},{"id":150,"name":"Time of Event (Mountain Time)","value":"05:54:46"},{"id":151,"name":"Denver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2"/>
        <v>start /low /b %USERPROFILE%\Documents\GitHub\eaglep3\Utilities\DownloadLogsFromS3.py --loco 4049 --day 2017-06-17</v>
      </c>
      <c r="AN162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606</v>
      </c>
      <c r="B163" s="7">
        <v>4050</v>
      </c>
      <c r="C163" s="21" t="s">
        <v>202</v>
      </c>
      <c r="D163" s="21" t="s">
        <v>881</v>
      </c>
      <c r="E163" s="13">
        <v>42903.247233796297</v>
      </c>
      <c r="F163" s="13">
        <v>42903.264756944445</v>
      </c>
      <c r="G163" s="7">
        <v>4</v>
      </c>
      <c r="H163" s="21" t="s">
        <v>580</v>
      </c>
      <c r="I163" s="13">
        <v>42903.274270833332</v>
      </c>
      <c r="J163" s="7">
        <v>0</v>
      </c>
      <c r="K163" s="89" t="str">
        <f t="shared" si="49"/>
        <v>4049/4050</v>
      </c>
      <c r="L163" s="21" t="str">
        <f>VLOOKUP(A163,'Trips&amp;Operators'!$C$1:$G$99999,5,FALSE)</f>
        <v>YORK EDGAR</v>
      </c>
      <c r="M163" s="6">
        <f t="shared" si="50"/>
        <v>9.5138888864312321E-3</v>
      </c>
      <c r="N163" s="7">
        <f t="shared" si="70"/>
        <v>13.699999996460974</v>
      </c>
      <c r="O163" s="7"/>
      <c r="P163" s="7"/>
      <c r="Q163" s="22"/>
      <c r="R163" s="170"/>
      <c r="S163" s="213">
        <f t="shared" si="71"/>
        <v>1</v>
      </c>
      <c r="T163" s="195" t="str">
        <f t="shared" si="51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2"/>
        <v>https://d0f6bd738d7f1b3e5a7ca70fe4ff75f0.us-east-1.aws.found.io/app/kibana#/discover/Steve-Slow-Train-Analysis-(2080s-and-2083s)?_g=(refreshInterval:(display:Off,pause:!f,section:0,value:0),time:(from:'2017-06-17T04:56:01-0600',mode:absolute,to:'2017-06-17T07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3" s="197" t="str">
        <f>IF(AA163&lt;VLOOKUP(AG163,Variables!$AC$3:$AD$8,2,FALSE),"Y","N")</f>
        <v>N</v>
      </c>
      <c r="X163" s="197">
        <f t="shared" si="72"/>
        <v>1</v>
      </c>
      <c r="Y163" s="197">
        <f t="shared" si="53"/>
        <v>0.1028</v>
      </c>
      <c r="Z163" s="197">
        <f t="shared" si="54"/>
        <v>5.8933</v>
      </c>
      <c r="AA163" s="197">
        <f t="shared" si="55"/>
        <v>5.7904999999999998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6"/>
        <v>1801</v>
      </c>
      <c r="AE163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63" s="74" t="str">
        <f t="shared" si="58"/>
        <v>"C:\Program Files (x86)\AstroGrep\AstroGrep.exe" /e /r /s /spath="%USERPROFILE%\AppData\Local\Temp\OnboardLogs" /stypes="app*4050*20170617*" /stext=" 12:.+((SYSTEM_STATE.+slice.+state.+changed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1801-17 --locoid 4050 --swversion DE.1.0.9.0 --startMP 204:1028 --initTime 2017-06-17T05:56:01 --startdatetime 2017-06-17T06:21:15 --delay 4 --endMP 300:58933 --enddatetime 2017-06-17T06:34:57 --enforcementcount 0 &gt;&gt;C:\Users\stu\Documents\GitHub\eaglep3-reporting\EC\2017-06-17-refined-times.txt</v>
      </c>
      <c r="AI163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{"issue":{"subject":"","project_id":79,"tracker_id":40,"status_id":1,"priority_id":2,"assigned_to_id":23,"start_date":"2017-06-17","description":"","custom_fields":[{"id":1,"name":"Subdivision","value":"NW"},{"id":4,"name":"Milepost","value":"5.8933"},{"id":17,"name":"Train ID","value":"1801-17"},{"id":16,"name":"Locomotive ID","value":"4050"},{"id":130,"name":"Impact","value":""},{"id":150,"name":"Time of Event (Mountain Time)","value":"06:34:57"},{"id":151,"name":"Denver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2"/>
        <v>start /low /b %USERPROFILE%\Documents\GitHub\eaglep3\Utilities\DownloadLogsFromS3.py --loco 4050 --day 2017-06-17</v>
      </c>
      <c r="AN163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676</v>
      </c>
      <c r="B164" s="7">
        <v>4049</v>
      </c>
      <c r="C164" s="21" t="s">
        <v>202</v>
      </c>
      <c r="D164" s="21" t="s">
        <v>583</v>
      </c>
      <c r="E164" s="13">
        <v>42903.275034722225</v>
      </c>
      <c r="F164" s="13">
        <v>42903.278356481482</v>
      </c>
      <c r="G164" s="7">
        <v>0</v>
      </c>
      <c r="H164" s="21" t="s">
        <v>880</v>
      </c>
      <c r="I164" s="13">
        <v>42903.287627314814</v>
      </c>
      <c r="J164" s="7">
        <v>0</v>
      </c>
      <c r="K164" s="89" t="str">
        <f t="shared" si="49"/>
        <v>4049/4050</v>
      </c>
      <c r="L164" s="21" t="str">
        <f>VLOOKUP(A164,'Trips&amp;Operators'!$C$1:$G$99999,5,FALSE)</f>
        <v>YORK EDGAR</v>
      </c>
      <c r="M164" s="6">
        <f t="shared" si="50"/>
        <v>9.2708333322661929E-3</v>
      </c>
      <c r="N164" s="7">
        <f t="shared" si="70"/>
        <v>13.349999998463318</v>
      </c>
      <c r="O164" s="7"/>
      <c r="P164" s="7"/>
      <c r="Q164" s="22"/>
      <c r="R164" s="170"/>
      <c r="S164" s="213">
        <f t="shared" si="71"/>
        <v>1</v>
      </c>
      <c r="T164" s="195" t="str">
        <f t="shared" si="51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2"/>
        <v>https://d0f6bd738d7f1b3e5a7ca70fe4ff75f0.us-east-1.aws.found.io/app/kibana#/discover/Steve-Slow-Train-Analysis-(2080s-and-2083s)?_g=(refreshInterval:(display:Off,pause:!f,section:0,value:0),time:(from:'2017-06-17T05:36:03-0600',mode:absolute,to:'2017-06-17T07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197" t="str">
        <f>IF(AA164&lt;VLOOKUP(AG164,Variables!$AC$3:$AD$8,2,FALSE),"Y","N")</f>
        <v>N</v>
      </c>
      <c r="X164" s="197">
        <f t="shared" si="72"/>
        <v>1</v>
      </c>
      <c r="Y164" s="197">
        <f t="shared" si="53"/>
        <v>5.8620999999999999</v>
      </c>
      <c r="Z164" s="197">
        <f t="shared" si="54"/>
        <v>7.2900000000000006E-2</v>
      </c>
      <c r="AA164" s="197">
        <f t="shared" si="55"/>
        <v>5.7892000000000001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6"/>
        <v>1802</v>
      </c>
      <c r="AE164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64" s="74" t="str">
        <f t="shared" si="58"/>
        <v>"C:\Program Files (x86)\AstroGrep\AstroGrep.exe" /e /r /s /spath="%USERPROFILE%\AppData\Local\Temp\OnboardLogs" /stypes="app*4049*20170617*" /stext=" 12:.+((SYSTEM_STATE.+slice.+state.+changed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1802-17 --locoid 4049 --swversion DE.1.0.9.0 --startMP 300:58621 --initTime 2017-06-17T06:36:03 --startdatetime 2017-06-17T06:40:50 --delay 0 --endMP 204:729 --enddatetime 2017-06-17T06:54:11 --enforcementcount 0 &gt;&gt;C:\Users\stu\Documents\GitHub\eaglep3-reporting\EC\2017-06-17-refined-times.txt</v>
      </c>
      <c r="AI164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{"issue":{"subject":"","project_id":79,"tracker_id":40,"status_id":1,"priority_id":2,"assigned_to_id":23,"start_date":"2017-06-17","description":"","custom_fields":[{"id":1,"name":"Subdivision","value":"NW"},{"id":4,"name":"Milepost","value":"0.0729"},{"id":17,"name":"Train ID","value":"1802-17"},{"id":16,"name":"Locomotive ID","value":"4049"},{"id":130,"name":"Impact","value":""},{"id":150,"name":"Time of Event (Mountain Time)","value":"06:54:11"},{"id":151,"name":"Denver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2"/>
        <v>start /low /b %USERPROFILE%\Documents\GitHub\eaglep3\Utilities\DownloadLogsFromS3.py --loco 4049 --day 2017-06-17</v>
      </c>
      <c r="AN164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12:54:11"},{"id":29,"name":"Sharepoint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681</v>
      </c>
      <c r="B165" s="7">
        <v>4050</v>
      </c>
      <c r="C165" s="21" t="s">
        <v>202</v>
      </c>
      <c r="D165" s="21" t="s">
        <v>882</v>
      </c>
      <c r="E165" s="13">
        <v>42903.288599537038</v>
      </c>
      <c r="F165" s="13">
        <v>42903.306400462963</v>
      </c>
      <c r="G165" s="7">
        <v>1</v>
      </c>
      <c r="H165" s="21" t="s">
        <v>575</v>
      </c>
      <c r="I165" s="13">
        <v>42903.315057870372</v>
      </c>
      <c r="J165" s="7">
        <v>0</v>
      </c>
      <c r="K165" s="89" t="str">
        <f t="shared" si="49"/>
        <v>4049/4050</v>
      </c>
      <c r="L165" s="21" t="str">
        <f>VLOOKUP(A165,'Trips&amp;Operators'!$C$1:$G$99999,5,FALSE)</f>
        <v>YORK EDGAR</v>
      </c>
      <c r="M165" s="6">
        <f t="shared" si="50"/>
        <v>8.6574074084637687E-3</v>
      </c>
      <c r="N165" s="7">
        <f t="shared" si="70"/>
        <v>12.466666668187827</v>
      </c>
      <c r="O165" s="7"/>
      <c r="P165" s="7"/>
      <c r="Q165" s="22"/>
      <c r="R165" s="170"/>
      <c r="S165" s="213">
        <f t="shared" si="71"/>
        <v>1</v>
      </c>
      <c r="T165" s="195" t="str">
        <f t="shared" si="51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2"/>
        <v>https://d0f6bd738d7f1b3e5a7ca70fe4ff75f0.us-east-1.aws.found.io/app/kibana#/discover/Steve-Slow-Train-Analysis-(2080s-and-2083s)?_g=(refreshInterval:(display:Off,pause:!f,section:0,value:0),time:(from:'2017-06-17T05:55:35-0600',mode:absolute,to:'2017-06-17T08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197" t="str">
        <f>IF(AA165&lt;VLOOKUP(AG165,Variables!$AC$3:$AD$8,2,FALSE),"Y","N")</f>
        <v>N</v>
      </c>
      <c r="X165" s="197">
        <f t="shared" si="72"/>
        <v>1</v>
      </c>
      <c r="Y165" s="197">
        <f t="shared" si="53"/>
        <v>0.1004</v>
      </c>
      <c r="Z165" s="197">
        <f t="shared" si="54"/>
        <v>5.8935000000000004</v>
      </c>
      <c r="AA165" s="197">
        <f t="shared" si="55"/>
        <v>5.7931000000000008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6"/>
        <v>1803</v>
      </c>
      <c r="AE165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65" s="74" t="str">
        <f t="shared" si="58"/>
        <v>"C:\Program Files (x86)\AstroGrep\AstroGrep.exe" /e /r /s /spath="%USERPROFILE%\AppData\Local\Temp\OnboardLogs" /stypes="app*4050*20170617*" /stext=" 13:.+((SYSTEM_STATE.+slice.+state.+changed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1803-17 --locoid 4050 --swversion DE.1.0.9.0 --startMP 204:1004 --initTime 2017-06-17T06:55:35 --startdatetime 2017-06-17T07:21:13 --delay 1 --endMP 300:58935 --enddatetime 2017-06-17T07:33:41 --enforcementcount 0 &gt;&gt;C:\Users\stu\Documents\GitHub\eaglep3-reporting\EC\2017-06-17-refined-times.txt</v>
      </c>
      <c r="AI165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{"issue":{"subject":"","project_id":79,"tracker_id":40,"status_id":1,"priority_id":2,"assigned_to_id":23,"start_date":"2017-06-17","description":"","custom_fields":[{"id":1,"name":"Subdivision","value":"NW"},{"id":4,"name":"Milepost","value":"5.8935"},{"id":17,"name":"Train ID","value":"1803-17"},{"id":16,"name":"Locomotive ID","value":"4050"},{"id":130,"name":"Impact","value":""},{"id":150,"name":"Time of Event (Mountain Time)","value":"07:33:41"},{"id":151,"name":"Denver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2"/>
        <v>start /low /b %USERPROFILE%\Documents\GitHub\eaglep3\Utilities\DownloadLogsFromS3.py --loco 4050 --day 2017-06-17</v>
      </c>
      <c r="AN165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686</v>
      </c>
      <c r="B166" s="7">
        <v>4049</v>
      </c>
      <c r="C166" s="21" t="s">
        <v>202</v>
      </c>
      <c r="D166" s="21" t="s">
        <v>576</v>
      </c>
      <c r="E166" s="13">
        <v>42903.316064814811</v>
      </c>
      <c r="F166" s="13">
        <v>42903.320208333331</v>
      </c>
      <c r="G166" s="7">
        <v>0</v>
      </c>
      <c r="H166" s="21" t="s">
        <v>883</v>
      </c>
      <c r="I166" s="13">
        <v>42903.329097222224</v>
      </c>
      <c r="J166" s="7">
        <v>0</v>
      </c>
      <c r="K166" s="89" t="str">
        <f t="shared" si="49"/>
        <v>4049/4050</v>
      </c>
      <c r="L166" s="21" t="str">
        <f>VLOOKUP(A166,'Trips&amp;Operators'!$C$1:$G$99999,5,FALSE)</f>
        <v>YORK EDGAR</v>
      </c>
      <c r="M166" s="6">
        <f t="shared" si="50"/>
        <v>8.8888888931251131E-3</v>
      </c>
      <c r="N166" s="7">
        <f t="shared" si="70"/>
        <v>12.800000006100163</v>
      </c>
      <c r="O166" s="7"/>
      <c r="P166" s="7"/>
      <c r="Q166" s="22"/>
      <c r="R166" s="170"/>
      <c r="S166" s="213">
        <f t="shared" si="71"/>
        <v>1</v>
      </c>
      <c r="T166" s="195" t="str">
        <f t="shared" si="51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2"/>
        <v>https://d0f6bd738d7f1b3e5a7ca70fe4ff75f0.us-east-1.aws.found.io/app/kibana#/discover/Steve-Slow-Train-Analysis-(2080s-and-2083s)?_g=(refreshInterval:(display:Off,pause:!f,section:0,value:0),time:(from:'2017-06-17T06:35:08-0600',mode:absolute,to:'2017-06-17T08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197" t="str">
        <f>IF(AA166&lt;VLOOKUP(AG166,Variables!$AC$3:$AD$8,2,FALSE),"Y","N")</f>
        <v>N</v>
      </c>
      <c r="X166" s="197">
        <f t="shared" si="72"/>
        <v>1</v>
      </c>
      <c r="Y166" s="197">
        <f t="shared" si="53"/>
        <v>5.8619000000000003</v>
      </c>
      <c r="Z166" s="197">
        <f t="shared" si="54"/>
        <v>7.1499999999999994E-2</v>
      </c>
      <c r="AA166" s="197">
        <f t="shared" si="55"/>
        <v>5.7904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6"/>
        <v>1804</v>
      </c>
      <c r="AE166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66" s="74" t="str">
        <f t="shared" si="58"/>
        <v>"C:\Program Files (x86)\AstroGrep\AstroGrep.exe" /e /r /s /spath="%USERPROFILE%\AppData\Local\Temp\OnboardLogs" /stypes="app*4049*20170617*" /stext=" 13:.+((SYSTEM_STATE.+slice.+state.+changed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1804-17 --locoid 4049 --swversion DE.1.0.9.0 --startMP 300:58619 --initTime 2017-06-17T07:35:08 --startdatetime 2017-06-17T07:41:06 --delay 0 --endMP 204:715 --enddatetime 2017-06-17T07:53:54 --enforcementcount 0 &gt;&gt;C:\Users\stu\Documents\GitHub\eaglep3-reporting\EC\2017-06-17-refined-times.txt</v>
      </c>
      <c r="AI166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{"issue":{"subject":"","project_id":79,"tracker_id":40,"status_id":1,"priority_id":2,"assigned_to_id":23,"start_date":"2017-06-17","description":"","custom_fields":[{"id":1,"name":"Subdivision","value":"NW"},{"id":4,"name":"Milepost","value":"0.0715"},{"id":17,"name":"Train ID","value":"1804-17"},{"id":16,"name":"Locomotive ID","value":"4049"},{"id":130,"name":"Impact","value":""},{"id":150,"name":"Time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2"/>
        <v>start /low /b %USERPROFILE%\Documents\GitHub\eaglep3\Utilities\DownloadLogsFromS3.py --loco 4049 --day 2017-06-17</v>
      </c>
      <c r="AN166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690</v>
      </c>
      <c r="B167" s="7">
        <v>4050</v>
      </c>
      <c r="C167" s="21" t="s">
        <v>202</v>
      </c>
      <c r="D167" s="21" t="s">
        <v>884</v>
      </c>
      <c r="E167" s="13">
        <v>42903.330439814818</v>
      </c>
      <c r="F167" s="13">
        <v>42903.348090277781</v>
      </c>
      <c r="G167" s="7">
        <v>0</v>
      </c>
      <c r="H167" s="21" t="s">
        <v>573</v>
      </c>
      <c r="I167" s="13">
        <v>42903.357152777775</v>
      </c>
      <c r="J167" s="7">
        <v>0</v>
      </c>
      <c r="K167" s="89" t="str">
        <f t="shared" si="49"/>
        <v>4049/4050</v>
      </c>
      <c r="L167" s="21" t="str">
        <f>VLOOKUP(A167,'Trips&amp;Operators'!$C$1:$G$99999,5,FALSE)</f>
        <v>YORK EDGAR</v>
      </c>
      <c r="M167" s="6">
        <f t="shared" si="50"/>
        <v>9.0624999938881956E-3</v>
      </c>
      <c r="N167" s="7">
        <f t="shared" si="70"/>
        <v>13.049999991199002</v>
      </c>
      <c r="O167" s="7"/>
      <c r="P167" s="7"/>
      <c r="Q167" s="22"/>
      <c r="R167" s="170"/>
      <c r="S167" s="213">
        <f t="shared" si="71"/>
        <v>1</v>
      </c>
      <c r="T167" s="195" t="str">
        <f t="shared" si="51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2"/>
        <v>https://d0f6bd738d7f1b3e5a7ca70fe4ff75f0.us-east-1.aws.found.io/app/kibana#/discover/Steve-Slow-Train-Analysis-(2080s-and-2083s)?_g=(refreshInterval:(display:Off,pause:!f,section:0,value:0),time:(from:'2017-06-17T06:55:50-0600',mode:absolute,to:'2017-06-17T09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7" s="197" t="str">
        <f>IF(AA167&lt;VLOOKUP(AG167,Variables!$AC$3:$AD$8,2,FALSE),"Y","N")</f>
        <v>N</v>
      </c>
      <c r="X167" s="197">
        <f t="shared" si="72"/>
        <v>1</v>
      </c>
      <c r="Y167" s="197">
        <f t="shared" si="53"/>
        <v>0.1014</v>
      </c>
      <c r="Z167" s="197">
        <f t="shared" si="54"/>
        <v>5.8936999999999999</v>
      </c>
      <c r="AA167" s="197">
        <f t="shared" si="55"/>
        <v>5.7923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6"/>
        <v>1805</v>
      </c>
      <c r="AE167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67" s="74" t="str">
        <f t="shared" si="58"/>
        <v>"C:\Program Files (x86)\AstroGrep\AstroGrep.exe" /e /r /s /spath="%USERPROFILE%\AppData\Local\Temp\OnboardLogs" /stypes="app*4050*20170617*" /stext=" 14:.+((SYSTEM_STATE.+slice.+state.+changed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1805-17 --locoid 4050 --swversion DE.1.0.9.0 --startMP 204:1014 --initTime 2017-06-17T07:55:50 --startdatetime 2017-06-17T08:21:15 --delay 0 --endMP 300:58937 --enddatetime 2017-06-17T08:34:18 --enforcementcount 0 &gt;&gt;C:\Users\stu\Documents\GitHub\eaglep3-reporting\EC\2017-06-17-refined-times.txt</v>
      </c>
      <c r="AI167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{"issue":{"subject":"","project_id":79,"tracker_id":40,"status_id":1,"priority_id":2,"assigned_to_id":23,"start_date":"2017-06-17","description":"","custom_fields":[{"id":1,"name":"Subdivision","value":"NW"},{"id":4,"name":"Milepost","value":"5.8937"},{"id":17,"name":"Train ID","value":"1805-17"},{"id":16,"name":"Locomotive ID","value":"4050"},{"id":130,"name":"Impact","value":""},{"id":150,"name":"Time of Event (Mountain Time)","value":"08:34:18"},{"id":151,"name":"Denver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2"/>
        <v>start /low /b %USERPROFILE%\Documents\GitHub\eaglep3\Utilities\DownloadLogsFromS3.py --loco 4050 --day 2017-06-17</v>
      </c>
      <c r="AN167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695</v>
      </c>
      <c r="B168" s="7">
        <v>4049</v>
      </c>
      <c r="C168" s="21" t="s">
        <v>202</v>
      </c>
      <c r="D168" s="21" t="s">
        <v>583</v>
      </c>
      <c r="E168" s="13">
        <v>42903.358032407406</v>
      </c>
      <c r="F168" s="13">
        <v>42903.361840277779</v>
      </c>
      <c r="G168" s="7">
        <v>1</v>
      </c>
      <c r="H168" s="21" t="s">
        <v>885</v>
      </c>
      <c r="I168" s="13">
        <v>42903.370810185188</v>
      </c>
      <c r="J168" s="7">
        <v>0</v>
      </c>
      <c r="K168" s="89" t="str">
        <f t="shared" si="49"/>
        <v>4049/4050</v>
      </c>
      <c r="L168" s="21" t="str">
        <f>VLOOKUP(A168,'Trips&amp;Operators'!$C$1:$G$99999,5,FALSE)</f>
        <v>YORK EDGAR</v>
      </c>
      <c r="M168" s="6">
        <f t="shared" si="50"/>
        <v>8.969907408754807E-3</v>
      </c>
      <c r="N168" s="7">
        <f t="shared" si="70"/>
        <v>12.916666668606922</v>
      </c>
      <c r="O168" s="7"/>
      <c r="P168" s="7"/>
      <c r="Q168" s="22"/>
      <c r="R168" s="170"/>
      <c r="S168" s="213">
        <f t="shared" si="71"/>
        <v>1</v>
      </c>
      <c r="T168" s="195" t="str">
        <f t="shared" si="51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2"/>
        <v>https://d0f6bd738d7f1b3e5a7ca70fe4ff75f0.us-east-1.aws.found.io/app/kibana#/discover/Steve-Slow-Train-Analysis-(2080s-and-2083s)?_g=(refreshInterval:(display:Off,pause:!f,section:0,value:0),time:(from:'2017-06-17T07:35:34-0600',mode:absolute,to:'2017-06-17T09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8" s="197" t="str">
        <f>IF(AA168&lt;VLOOKUP(AG168,Variables!$AC$3:$AD$8,2,FALSE),"Y","N")</f>
        <v>N</v>
      </c>
      <c r="X168" s="197">
        <f t="shared" si="72"/>
        <v>1</v>
      </c>
      <c r="Y168" s="197">
        <f t="shared" si="53"/>
        <v>5.8620999999999999</v>
      </c>
      <c r="Z168" s="197">
        <f t="shared" si="54"/>
        <v>7.5499999999999998E-2</v>
      </c>
      <c r="AA168" s="197">
        <f t="shared" si="55"/>
        <v>5.7866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6"/>
        <v>1806</v>
      </c>
      <c r="AE168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68" s="74" t="str">
        <f t="shared" si="58"/>
        <v>"C:\Program Files (x86)\AstroGrep\AstroGrep.exe" /e /r /s /spath="%USERPROFILE%\AppData\Local\Temp\OnboardLogs" /stypes="app*4049*20170617*" /stext=" 14:.+((SYSTEM_STATE.+slice.+state.+changed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1806-17 --locoid 4049 --swversion DE.1.0.9.0 --startMP 300:58621 --initTime 2017-06-17T08:35:34 --startdatetime 2017-06-17T08:41:03 --delay 1 --endMP 204:755 --enddatetime 2017-06-17T08:53:58 --enforcementcount 0 &gt;&gt;C:\Users\stu\Documents\GitHub\eaglep3-reporting\EC\2017-06-17-refined-times.txt</v>
      </c>
      <c r="AI168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{"issue":{"subject":"","project_id":79,"tracker_id":40,"status_id":1,"priority_id":2,"assigned_to_id":23,"start_date":"2017-06-17","description":"","custom_fields":[{"id":1,"name":"Subdivision","value":"NW"},{"id":4,"name":"Milepost","value":"0.0755"},{"id":17,"name":"Train ID","value":"1806-17"},{"id":16,"name":"Locomotive ID","value":"4049"},{"id":130,"name":"Impact","value":""},{"id":150,"name":"Time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2"/>
        <v>start /low /b %USERPROFILE%\Documents\GitHub\eaglep3\Utilities\DownloadLogsFromS3.py --loco 4049 --day 2017-06-17</v>
      </c>
      <c r="AN168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14:53:58"},{"id":29,"name":"Sharepoint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700</v>
      </c>
      <c r="B169" s="7">
        <v>4050</v>
      </c>
      <c r="C169" s="21" t="s">
        <v>202</v>
      </c>
      <c r="D169" s="21" t="s">
        <v>884</v>
      </c>
      <c r="E169" s="13">
        <v>42903.372013888889</v>
      </c>
      <c r="F169" s="13">
        <v>42903.389745370368</v>
      </c>
      <c r="G169" s="7">
        <v>0</v>
      </c>
      <c r="H169" s="21" t="s">
        <v>501</v>
      </c>
      <c r="I169" s="13">
        <v>42903.398495370369</v>
      </c>
      <c r="J169" s="7">
        <v>0</v>
      </c>
      <c r="K169" s="89" t="str">
        <f t="shared" si="49"/>
        <v>4049/4050</v>
      </c>
      <c r="L169" s="21" t="str">
        <f>VLOOKUP(A169,'Trips&amp;Operators'!$C$1:$G$99999,5,FALSE)</f>
        <v>YORK EDGAR</v>
      </c>
      <c r="M169" s="6">
        <f t="shared" si="50"/>
        <v>8.7500000008731149E-3</v>
      </c>
      <c r="N169" s="7">
        <f t="shared" si="70"/>
        <v>12.600000001257285</v>
      </c>
      <c r="O169" s="7"/>
      <c r="P169" s="7"/>
      <c r="Q169" s="22"/>
      <c r="R169" s="170"/>
      <c r="S169" s="213">
        <f t="shared" si="71"/>
        <v>1</v>
      </c>
      <c r="T169" s="195" t="str">
        <f t="shared" si="51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2"/>
        <v>https://d0f6bd738d7f1b3e5a7ca70fe4ff75f0.us-east-1.aws.found.io/app/kibana#/discover/Steve-Slow-Train-Analysis-(2080s-and-2083s)?_g=(refreshInterval:(display:Off,pause:!f,section:0,value:0),time:(from:'2017-06-17T07:55:42-0600',mode:absolute,to:'2017-06-17T10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197" t="str">
        <f>IF(AA169&lt;VLOOKUP(AG169,Variables!$AC$3:$AD$8,2,FALSE),"Y","N")</f>
        <v>N</v>
      </c>
      <c r="X169" s="197">
        <f t="shared" ref="X169:X200" si="73">VALUE(LEFT(AD169,4))-VALUE(LEFT(AD168,4))</f>
        <v>1</v>
      </c>
      <c r="Y169" s="197">
        <f t="shared" si="53"/>
        <v>0.1014</v>
      </c>
      <c r="Z169" s="197">
        <f t="shared" si="54"/>
        <v>5.8929</v>
      </c>
      <c r="AA169" s="197">
        <f t="shared" si="55"/>
        <v>5.7915000000000001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6"/>
        <v>1807</v>
      </c>
      <c r="AE169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69" s="74" t="str">
        <f t="shared" si="58"/>
        <v>"C:\Program Files (x86)\AstroGrep\AstroGrep.exe" /e /r /s /spath="%USERPROFILE%\AppData\Local\Temp\OnboardLogs" /stypes="app*4050*20170617*" /stext=" 15:.+((SYSTEM_STATE.+slice.+state.+changed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1807-17 --locoid 4050 --swversion DE.1.0.9.0 --startMP 204:1014 --initTime 2017-06-17T08:55:42 --startdatetime 2017-06-17T09:21:14 --delay 0 --endMP 300:58929 --enddatetime 2017-06-17T09:33:50 --enforcementcount 0 &gt;&gt;C:\Users\stu\Documents\GitHub\eaglep3-reporting\EC\2017-06-17-refined-times.txt</v>
      </c>
      <c r="AI169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{"issue":{"subject":"","project_id":79,"tracker_id":40,"status_id":1,"priority_id":2,"assigned_to_id":23,"start_date":"2017-06-17","description":"","custom_fields":[{"id":1,"name":"Subdivision","value":"NW"},{"id":4,"name":"Milepost","value":"5.8929"},{"id":17,"name":"Train ID","value":"1807-17"},{"id":16,"name":"Locomotive ID","value":"4050"},{"id":130,"name":"Impact","value":""},{"id":150,"name":"Time of Event (Mountain Time)","value":"09:33:50"},{"id":151,"name":"Denver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2"/>
        <v>start /low /b %USERPROFILE%\Documents\GitHub\eaglep3\Utilities\DownloadLogsFromS3.py --loco 4050 --day 2017-06-17</v>
      </c>
      <c r="AN169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703</v>
      </c>
      <c r="B170" s="7">
        <v>4049</v>
      </c>
      <c r="C170" s="21" t="s">
        <v>202</v>
      </c>
      <c r="D170" s="21" t="s">
        <v>581</v>
      </c>
      <c r="E170" s="13">
        <v>42903.399259259262</v>
      </c>
      <c r="F170" s="13">
        <v>42903.403437499997</v>
      </c>
      <c r="G170" s="7">
        <v>1</v>
      </c>
      <c r="H170" s="21" t="s">
        <v>886</v>
      </c>
      <c r="I170" s="13">
        <v>42903.412430555552</v>
      </c>
      <c r="J170" s="7">
        <v>0</v>
      </c>
      <c r="K170" s="89" t="str">
        <f t="shared" si="49"/>
        <v>4049/4050</v>
      </c>
      <c r="L170" s="21" t="str">
        <f>VLOOKUP(A170,'Trips&amp;Operators'!$C$1:$G$99999,5,FALSE)</f>
        <v>YORK EDGAR</v>
      </c>
      <c r="M170" s="6">
        <f t="shared" si="50"/>
        <v>8.9930555550381541E-3</v>
      </c>
      <c r="N170" s="7">
        <f t="shared" si="70"/>
        <v>12.949999999254942</v>
      </c>
      <c r="O170" s="7"/>
      <c r="P170" s="7"/>
      <c r="Q170" s="22"/>
      <c r="R170" s="170"/>
      <c r="S170" s="213">
        <f t="shared" si="71"/>
        <v>1</v>
      </c>
      <c r="T170" s="195" t="str">
        <f t="shared" si="51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2"/>
        <v>https://d0f6bd738d7f1b3e5a7ca70fe4ff75f0.us-east-1.aws.found.io/app/kibana#/discover/Steve-Slow-Train-Analysis-(2080s-and-2083s)?_g=(refreshInterval:(display:Off,pause:!f,section:0,value:0),time:(from:'2017-06-17T08:34:56-0600',mode:absolute,to:'2017-06-17T10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197" t="str">
        <f>IF(AA170&lt;VLOOKUP(AG170,Variables!$AC$3:$AD$8,2,FALSE),"Y","N")</f>
        <v>N</v>
      </c>
      <c r="X170" s="197">
        <f t="shared" si="73"/>
        <v>1</v>
      </c>
      <c r="Y170" s="197">
        <f t="shared" si="53"/>
        <v>5.8616999999999999</v>
      </c>
      <c r="Z170" s="197">
        <f t="shared" si="54"/>
        <v>7.22E-2</v>
      </c>
      <c r="AA170" s="197">
        <f t="shared" si="55"/>
        <v>5.7895000000000003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6"/>
        <v>1808</v>
      </c>
      <c r="AE170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70" s="74" t="str">
        <f t="shared" si="58"/>
        <v>"C:\Program Files (x86)\AstroGrep\AstroGrep.exe" /e /r /s /spath="%USERPROFILE%\AppData\Local\Temp\OnboardLogs" /stypes="app*4049*20170617*" /stext=" 15:.+((SYSTEM_STATE.+slice.+state.+changed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1808-17 --locoid 4049 --swversion DE.1.0.9.0 --startMP 300:58617 --initTime 2017-06-17T09:34:56 --startdatetime 2017-06-17T09:40:57 --delay 1 --endMP 204:722 --enddatetime 2017-06-17T09:53:54 --enforcementcount 0 &gt;&gt;C:\Users\stu\Documents\GitHub\eaglep3-reporting\EC\2017-06-17-refined-times.txt</v>
      </c>
      <c r="AI170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{"issue":{"subject":"","project_id":79,"tracker_id":40,"status_id":1,"priority_id":2,"assigned_to_id":23,"start_date":"2017-06-17","description":"","custom_fields":[{"id":1,"name":"Subdivision","value":"NW"},{"id":4,"name":"Milepost","value":"0.0722"},{"id":17,"name":"Train ID","value":"1808-17"},{"id":16,"name":"Locomotive ID","value":"4049"},{"id":130,"name":"Impact","value":""},{"id":150,"name":"Time of Event (Mountain Time)","value":"09:53:54"},{"id":151,"name":"Denver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2"/>
        <v>start /low /b %USERPROFILE%\Documents\GitHub\eaglep3\Utilities\DownloadLogsFromS3.py --loco 4049 --day 2017-06-17</v>
      </c>
      <c r="AN170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15:53:54"},{"id":29,"name":"Sharepoint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708</v>
      </c>
      <c r="B171" s="7">
        <v>4050</v>
      </c>
      <c r="C171" s="21" t="s">
        <v>202</v>
      </c>
      <c r="D171" s="21" t="s">
        <v>887</v>
      </c>
      <c r="E171" s="13">
        <v>42903.413541666669</v>
      </c>
      <c r="F171" s="13">
        <v>42903.431423611109</v>
      </c>
      <c r="G171" s="7">
        <v>1</v>
      </c>
      <c r="H171" s="21" t="s">
        <v>575</v>
      </c>
      <c r="I171" s="13">
        <v>42903.440601851849</v>
      </c>
      <c r="J171" s="7">
        <v>0</v>
      </c>
      <c r="K171" s="89" t="str">
        <f t="shared" si="49"/>
        <v>4049/4050</v>
      </c>
      <c r="L171" s="21" t="str">
        <f>VLOOKUP(A171,'Trips&amp;Operators'!$C$1:$G$99999,5,FALSE)</f>
        <v>YORK EDGAR</v>
      </c>
      <c r="M171" s="6">
        <f t="shared" si="50"/>
        <v>9.1782407398568466E-3</v>
      </c>
      <c r="N171" s="7">
        <f t="shared" si="70"/>
        <v>13.216666665393859</v>
      </c>
      <c r="O171" s="7"/>
      <c r="P171" s="7"/>
      <c r="Q171" s="22"/>
      <c r="R171" s="170"/>
      <c r="S171" s="213">
        <f t="shared" si="71"/>
        <v>1</v>
      </c>
      <c r="T171" s="195" t="str">
        <f t="shared" si="51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2"/>
        <v>https://d0f6bd738d7f1b3e5a7ca70fe4ff75f0.us-east-1.aws.found.io/app/kibana#/discover/Steve-Slow-Train-Analysis-(2080s-and-2083s)?_g=(refreshInterval:(display:Off,pause:!f,section:0,value:0),time:(from:'2017-06-17T08:55:30-0600',mode:absolute,to:'2017-06-17T11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197" t="str">
        <f>IF(AA171&lt;VLOOKUP(AG171,Variables!$AC$3:$AD$8,2,FALSE),"Y","N")</f>
        <v>N</v>
      </c>
      <c r="X171" s="197">
        <f t="shared" si="73"/>
        <v>1</v>
      </c>
      <c r="Y171" s="197">
        <f t="shared" si="53"/>
        <v>0.1018</v>
      </c>
      <c r="Z171" s="197">
        <f t="shared" si="54"/>
        <v>5.8935000000000004</v>
      </c>
      <c r="AA171" s="197">
        <f t="shared" si="55"/>
        <v>5.7917000000000005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6"/>
        <v>1809</v>
      </c>
      <c r="AE171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71" s="74" t="str">
        <f t="shared" si="58"/>
        <v>"C:\Program Files (x86)\AstroGrep\AstroGrep.exe" /e /r /s /spath="%USERPROFILE%\AppData\Local\Temp\OnboardLogs" /stypes="app*4050*20170617*" /stext=" 16:.+((SYSTEM_STATE.+slice.+state.+changed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1809-17 --locoid 4050 --swversion DE.1.0.9.0 --startMP 204:1018 --initTime 2017-06-17T09:55:30 --startdatetime 2017-06-17T10:21:15 --delay 1 --endMP 300:58935 --enddatetime 2017-06-17T10:34:28 --enforcementcount 0 &gt;&gt;C:\Users\stu\Documents\GitHub\eaglep3-reporting\EC\2017-06-17-refined-times.txt</v>
      </c>
      <c r="AI171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{"issue":{"subject":"","project_id":79,"tracker_id":40,"status_id":1,"priority_id":2,"assigned_to_id":23,"start_date":"2017-06-17","description":"","custom_fields":[{"id":1,"name":"Subdivision","value":"NW"},{"id":4,"name":"Milepost","value":"5.8935"},{"id":17,"name":"Train ID","value":"1809-17"},{"id":16,"name":"Locomotive ID","value":"4050"},{"id":130,"name":"Impact","value":""},{"id":150,"name":"Time of Event (Mountain Time)","value":"10:34:28"},{"id":151,"name":"Denver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2"/>
        <v>start /low /b %USERPROFILE%\Documents\GitHub\eaglep3\Utilities\DownloadLogsFromS3.py --loco 4050 --day 2017-06-17</v>
      </c>
      <c r="AN171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714</v>
      </c>
      <c r="B172" s="7">
        <v>4049</v>
      </c>
      <c r="C172" s="21" t="s">
        <v>202</v>
      </c>
      <c r="D172" s="21" t="s">
        <v>583</v>
      </c>
      <c r="E172" s="13">
        <v>42903.441469907404</v>
      </c>
      <c r="F172" s="13">
        <v>42903.445243055554</v>
      </c>
      <c r="G172" s="7">
        <v>0</v>
      </c>
      <c r="H172" s="21" t="s">
        <v>888</v>
      </c>
      <c r="I172" s="13">
        <v>42903.454884259256</v>
      </c>
      <c r="J172" s="7">
        <v>0</v>
      </c>
      <c r="K172" s="89" t="str">
        <f t="shared" si="49"/>
        <v>4049/4050</v>
      </c>
      <c r="L172" s="21" t="str">
        <f>VLOOKUP(A172,'Trips&amp;Operators'!$C$1:$G$99999,5,FALSE)</f>
        <v>YORK EDGAR</v>
      </c>
      <c r="M172" s="6">
        <f t="shared" si="50"/>
        <v>9.6412037019035779E-3</v>
      </c>
      <c r="N172" s="7">
        <f t="shared" si="70"/>
        <v>13.883333330741152</v>
      </c>
      <c r="O172" s="7"/>
      <c r="P172" s="7"/>
      <c r="Q172" s="22"/>
      <c r="R172" s="170"/>
      <c r="S172" s="213">
        <f t="shared" si="71"/>
        <v>1</v>
      </c>
      <c r="T172" s="195" t="str">
        <f t="shared" si="51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2"/>
        <v>https://d0f6bd738d7f1b3e5a7ca70fe4ff75f0.us-east-1.aws.found.io/app/kibana#/discover/Steve-Slow-Train-Analysis-(2080s-and-2083s)?_g=(refreshInterval:(display:Off,pause:!f,section:0,value:0),time:(from:'2017-06-17T09:35:43-0600',mode:absolute,to:'2017-06-17T11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197" t="str">
        <f>IF(AA172&lt;VLOOKUP(AG172,Variables!$AC$3:$AD$8,2,FALSE),"Y","N")</f>
        <v>N</v>
      </c>
      <c r="X172" s="197">
        <f t="shared" si="73"/>
        <v>1</v>
      </c>
      <c r="Y172" s="197">
        <f t="shared" si="53"/>
        <v>5.8620999999999999</v>
      </c>
      <c r="Z172" s="197">
        <f t="shared" si="54"/>
        <v>7.3800000000000004E-2</v>
      </c>
      <c r="AA172" s="197">
        <f t="shared" si="55"/>
        <v>5.7882999999999996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6"/>
        <v>1810</v>
      </c>
      <c r="AE172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72" s="74" t="str">
        <f t="shared" si="58"/>
        <v>"C:\Program Files (x86)\AstroGrep\AstroGrep.exe" /e /r /s /spath="%USERPROFILE%\AppData\Local\Temp\OnboardLogs" /stypes="app*4049*20170617*" /stext=" 16:.+((SYSTEM_STATE.+slice.+state.+changed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1810-17 --locoid 4049 --swversion DE.1.0.9.0 --startMP 300:58621 --initTime 2017-06-17T10:35:43 --startdatetime 2017-06-17T10:41:09 --delay 0 --endMP 204:738 --enddatetime 2017-06-17T10:55:02 --enforcementcount 0 &gt;&gt;C:\Users\stu\Documents\GitHub\eaglep3-reporting\EC\2017-06-17-refined-times.txt</v>
      </c>
      <c r="AI172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{"issue":{"subject":"","project_id":79,"tracker_id":40,"status_id":1,"priority_id":2,"assigned_to_id":23,"start_date":"2017-06-17","description":"","custom_fields":[{"id":1,"name":"Subdivision","value":"NW"},{"id":4,"name":"Milepost","value":"0.0738"},{"id":17,"name":"Train ID","value":"1810-17"},{"id":16,"name":"Locomotive ID","value":"4049"},{"id":130,"name":"Impact","value":""},{"id":150,"name":"Time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2"/>
        <v>start /low /b %USERPROFILE%\Documents\GitHub\eaglep3\Utilities\DownloadLogsFromS3.py --loco 4049 --day 2017-06-17</v>
      </c>
      <c r="AN172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16:55:02"},{"id":29,"name":"Sharepoint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612</v>
      </c>
      <c r="B173" s="7">
        <v>4050</v>
      </c>
      <c r="C173" s="21" t="s">
        <v>202</v>
      </c>
      <c r="D173" s="21" t="s">
        <v>889</v>
      </c>
      <c r="E173" s="13">
        <v>42903.456712962965</v>
      </c>
      <c r="F173" s="13">
        <v>42903.473090277781</v>
      </c>
      <c r="G173" s="7">
        <v>1</v>
      </c>
      <c r="H173" s="21" t="s">
        <v>579</v>
      </c>
      <c r="I173" s="13">
        <v>42903.48196759259</v>
      </c>
      <c r="J173" s="7">
        <v>0</v>
      </c>
      <c r="K173" s="89" t="str">
        <f t="shared" si="49"/>
        <v>4049/4050</v>
      </c>
      <c r="L173" s="21" t="str">
        <f>VLOOKUP(A173,'Trips&amp;Operators'!$C$1:$G$99999,5,FALSE)</f>
        <v>YORK EDGAR</v>
      </c>
      <c r="M173" s="6">
        <f t="shared" si="50"/>
        <v>8.8773148090695031E-3</v>
      </c>
      <c r="N173" s="7">
        <f t="shared" si="70"/>
        <v>12.783333325060084</v>
      </c>
      <c r="O173" s="7"/>
      <c r="P173" s="7"/>
      <c r="Q173" s="22"/>
      <c r="R173" s="170"/>
      <c r="S173" s="213">
        <f t="shared" si="71"/>
        <v>1</v>
      </c>
      <c r="T173" s="195" t="str">
        <f t="shared" si="51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2"/>
        <v>https://d0f6bd738d7f1b3e5a7ca70fe4ff75f0.us-east-1.aws.found.io/app/kibana#/discover/Steve-Slow-Train-Analysis-(2080s-and-2083s)?_g=(refreshInterval:(display:Off,pause:!f,section:0,value:0),time:(from:'2017-06-17T09:57:40-0600',mode:absolute,to:'2017-06-17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197" t="str">
        <f>IF(AA173&lt;VLOOKUP(AG173,Variables!$AC$3:$AD$8,2,FALSE),"Y","N")</f>
        <v>N</v>
      </c>
      <c r="X173" s="197">
        <f t="shared" si="73"/>
        <v>1</v>
      </c>
      <c r="Y173" s="197">
        <f t="shared" si="53"/>
        <v>0.1027</v>
      </c>
      <c r="Z173" s="197">
        <f t="shared" si="54"/>
        <v>5.8924000000000003</v>
      </c>
      <c r="AA173" s="197">
        <f t="shared" si="55"/>
        <v>5.7897000000000007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6"/>
        <v>1811</v>
      </c>
      <c r="AE173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73" s="74" t="str">
        <f t="shared" si="58"/>
        <v>"C:\Program Files (x86)\AstroGrep\AstroGrep.exe" /e /r /s /spath="%USERPROFILE%\AppData\Local\Temp\OnboardLogs" /stypes="app*4050*20170617*" /stext=" 17:.+((SYSTEM_STATE.+slice.+state.+changed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1811-17 --locoid 4050 --swversion DE.1.0.9.0 --startMP 204:1027 --initTime 2017-06-17T10:57:40 --startdatetime 2017-06-17T11:21:15 --delay 1 --endMP 300:58924 --enddatetime 2017-06-17T11:34:02 --enforcementcount 0 &gt;&gt;C:\Users\stu\Documents\GitHub\eaglep3-reporting\EC\2017-06-17-refined-times.txt</v>
      </c>
      <c r="AI173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{"issue":{"subject":"","project_id":79,"tracker_id":40,"status_id":1,"priority_id":2,"assigned_to_id":23,"start_date":"2017-06-17","description":"","custom_fields":[{"id":1,"name":"Subdivision","value":"NW"},{"id":4,"name":"Milepost","value":"5.8924"},{"id":17,"name":"Train ID","value":"1811-17"},{"id":16,"name":"Locomotive ID","value":"4050"},{"id":130,"name":"Impact","value":""},{"id":150,"name":"Time of Event (Mountain Time)","value":"11:34:02"},{"id":151,"name":"Denver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2"/>
        <v>start /low /b %USERPROFILE%\Documents\GitHub\eaglep3\Utilities\DownloadLogsFromS3.py --loco 4050 --day 2017-06-17</v>
      </c>
      <c r="AN173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721</v>
      </c>
      <c r="B174" s="7">
        <v>4049</v>
      </c>
      <c r="C174" s="21" t="s">
        <v>202</v>
      </c>
      <c r="D174" s="21" t="s">
        <v>581</v>
      </c>
      <c r="E174" s="13">
        <v>42903.482777777775</v>
      </c>
      <c r="F174" s="13">
        <v>42903.486527777779</v>
      </c>
      <c r="G174" s="7">
        <v>1</v>
      </c>
      <c r="H174" s="21" t="s">
        <v>888</v>
      </c>
      <c r="I174" s="13">
        <v>42903.499027777776</v>
      </c>
      <c r="J174" s="7">
        <v>0</v>
      </c>
      <c r="K174" s="89" t="str">
        <f t="shared" si="49"/>
        <v>4049/4050</v>
      </c>
      <c r="L174" s="21" t="str">
        <f>VLOOKUP(A174,'Trips&amp;Operators'!$C$1:$G$99999,5,FALSE)</f>
        <v>YORK EDGAR</v>
      </c>
      <c r="M174" s="6">
        <f t="shared" si="50"/>
        <v>1.2499999997089617E-2</v>
      </c>
      <c r="N174" s="7">
        <f t="shared" si="70"/>
        <v>17.999999995809048</v>
      </c>
      <c r="O174" s="7"/>
      <c r="P174" s="7"/>
      <c r="Q174" s="22"/>
      <c r="R174" s="170"/>
      <c r="S174" s="213">
        <f t="shared" si="71"/>
        <v>1</v>
      </c>
      <c r="T174" s="195" t="str">
        <f t="shared" si="51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2"/>
        <v>https://d0f6bd738d7f1b3e5a7ca70fe4ff75f0.us-east-1.aws.found.io/app/kibana#/discover/Steve-Slow-Train-Analysis-(2080s-and-2083s)?_g=(refreshInterval:(display:Off,pause:!f,section:0,value:0),time:(from:'2017-06-17T10:35:12-0600',mode:absolute,to:'2017-06-17T12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197" t="str">
        <f>IF(AA174&lt;VLOOKUP(AG174,Variables!$AC$3:$AD$8,2,FALSE),"Y","N")</f>
        <v>N</v>
      </c>
      <c r="X174" s="197">
        <f t="shared" si="73"/>
        <v>1</v>
      </c>
      <c r="Y174" s="197">
        <f t="shared" si="53"/>
        <v>5.8616999999999999</v>
      </c>
      <c r="Z174" s="197">
        <f t="shared" si="54"/>
        <v>7.3800000000000004E-2</v>
      </c>
      <c r="AA174" s="197">
        <f t="shared" si="55"/>
        <v>5.7878999999999996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6"/>
        <v>1812</v>
      </c>
      <c r="AE174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74" s="74" t="str">
        <f t="shared" si="58"/>
        <v>"C:\Program Files (x86)\AstroGrep\AstroGrep.exe" /e /r /s /spath="%USERPROFILE%\AppData\Local\Temp\OnboardLogs" /stypes="app*4049*20170617*" /stext=" 17:.+((SYSTEM_STATE.+slice.+state.+changed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1812-17 --locoid 4049 --swversion DE.1.0.9.0 --startMP 300:58617 --initTime 2017-06-17T11:35:12 --startdatetime 2017-06-17T11:40:36 --delay 1 --endMP 204:738 --enddatetime 2017-06-17T11:58:36 --enforcementcount 0 &gt;&gt;C:\Users\stu\Documents\GitHub\eaglep3-reporting\EC\2017-06-17-refined-times.txt</v>
      </c>
      <c r="AI174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{"issue":{"subject":"","project_id":79,"tracker_id":40,"status_id":1,"priority_id":2,"assigned_to_id":23,"start_date":"2017-06-17","description":"","custom_fields":[{"id":1,"name":"Subdivision","value":"NW"},{"id":4,"name":"Milepost","value":"0.0738"},{"id":17,"name":"Train ID","value":"1812-17"},{"id":16,"name":"Locomotive ID","value":"4049"},{"id":130,"name":"Impact","value":""},{"id":150,"name":"Time of Event (Mountain Time)","value":"11:58:36"},{"id":151,"name":"Denver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2"/>
        <v>start /low /b %USERPROFILE%\Documents\GitHub\eaglep3\Utilities\DownloadLogsFromS3.py --loco 4049 --day 2017-06-17</v>
      </c>
      <c r="AN174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17:58:36"},{"id":29,"name":"Sharepoint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614</v>
      </c>
      <c r="B175" s="7">
        <v>4050</v>
      </c>
      <c r="C175" s="21" t="s">
        <v>202</v>
      </c>
      <c r="D175" s="21" t="s">
        <v>572</v>
      </c>
      <c r="E175" s="13">
        <v>42903.501932870371</v>
      </c>
      <c r="F175" s="13">
        <v>42903.514756944445</v>
      </c>
      <c r="G175" s="7">
        <v>1</v>
      </c>
      <c r="H175" s="21" t="s">
        <v>890</v>
      </c>
      <c r="I175" s="13">
        <v>42903.523530092592</v>
      </c>
      <c r="J175" s="7">
        <v>0</v>
      </c>
      <c r="K175" s="89" t="str">
        <f t="shared" si="49"/>
        <v>4049/4050</v>
      </c>
      <c r="L175" s="21" t="str">
        <f>VLOOKUP(A175,'Trips&amp;Operators'!$C$1:$G$99999,5,FALSE)</f>
        <v>YORK EDGAR</v>
      </c>
      <c r="M175" s="6">
        <f t="shared" si="50"/>
        <v>8.7731481471564621E-3</v>
      </c>
      <c r="N175" s="7">
        <f t="shared" si="70"/>
        <v>12.633333331905305</v>
      </c>
      <c r="O175" s="7"/>
      <c r="P175" s="7"/>
      <c r="Q175" s="22"/>
      <c r="R175" s="170"/>
      <c r="S175" s="213">
        <f t="shared" si="71"/>
        <v>1</v>
      </c>
      <c r="T175" s="195" t="str">
        <f t="shared" si="51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2"/>
        <v>https://d0f6bd738d7f1b3e5a7ca70fe4ff75f0.us-east-1.aws.found.io/app/kibana#/discover/Steve-Slow-Train-Analysis-(2080s-and-2083s)?_g=(refreshInterval:(display:Off,pause:!f,section:0,value:0),time:(from:'2017-06-17T11:02:47-0600',mode:absolute,to:'2017-06-17T13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197" t="str">
        <f>IF(AA175&lt;VLOOKUP(AG175,Variables!$AC$3:$AD$8,2,FALSE),"Y","N")</f>
        <v>N</v>
      </c>
      <c r="X175" s="197">
        <f t="shared" si="73"/>
        <v>1</v>
      </c>
      <c r="Y175" s="197">
        <f t="shared" si="53"/>
        <v>0.10299999999999999</v>
      </c>
      <c r="Z175" s="197">
        <f t="shared" si="54"/>
        <v>5.8928000000000003</v>
      </c>
      <c r="AA175" s="197">
        <f t="shared" si="55"/>
        <v>5.7898000000000005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6"/>
        <v>1813</v>
      </c>
      <c r="AE175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75" s="74" t="str">
        <f t="shared" si="58"/>
        <v>"C:\Program Files (x86)\AstroGrep\AstroGrep.exe" /e /r /s /spath="%USERPROFILE%\AppData\Local\Temp\OnboardLogs" /stypes="app*4050*20170617*" /stext=" 18:.+((SYSTEM_STATE.+slice.+state.+changed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1813-17 --locoid 4050 --swversion DE.1.0.9.0 --startMP 204:1030 --initTime 2017-06-17T12:02:47 --startdatetime 2017-06-17T12:21:15 --delay 1 --endMP 300:58928 --enddatetime 2017-06-17T12:33:53 --enforcementcount 0 &gt;&gt;C:\Users\stu\Documents\GitHub\eaglep3-reporting\EC\2017-06-17-refined-times.txt</v>
      </c>
      <c r="AI175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{"issue":{"subject":"","project_id":79,"tracker_id":40,"status_id":1,"priority_id":2,"assigned_to_id":23,"start_date":"2017-06-17","description":"","custom_fields":[{"id":1,"name":"Subdivision","value":"NW"},{"id":4,"name":"Milepost","value":"5.8928"},{"id":17,"name":"Train ID","value":"1813-17"},{"id":16,"name":"Locomotive ID","value":"4050"},{"id":130,"name":"Impact","value":""},{"id":150,"name":"Time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2"/>
        <v>start /low /b %USERPROFILE%\Documents\GitHub\eaglep3\Utilities\DownloadLogsFromS3.py --loco 4050 --day 2017-06-17</v>
      </c>
      <c r="AN175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735</v>
      </c>
      <c r="B176" s="7">
        <v>4049</v>
      </c>
      <c r="C176" s="21" t="s">
        <v>202</v>
      </c>
      <c r="D176" s="21" t="s">
        <v>891</v>
      </c>
      <c r="E176" s="13">
        <v>42903.525219907409</v>
      </c>
      <c r="F176" s="13">
        <v>42903.528506944444</v>
      </c>
      <c r="G176" s="7">
        <v>1</v>
      </c>
      <c r="H176" s="21" t="s">
        <v>892</v>
      </c>
      <c r="I176" s="13">
        <v>42903.538101851853</v>
      </c>
      <c r="J176" s="7">
        <v>0</v>
      </c>
      <c r="K176" s="89" t="str">
        <f t="shared" si="49"/>
        <v>4049/4050</v>
      </c>
      <c r="L176" s="21" t="str">
        <f>VLOOKUP(A176,'Trips&amp;Operators'!$C$1:$G$99999,5,FALSE)</f>
        <v>YORK EDGAR</v>
      </c>
      <c r="M176" s="6">
        <f t="shared" si="50"/>
        <v>9.5949074093368836E-3</v>
      </c>
      <c r="N176" s="7">
        <f t="shared" si="70"/>
        <v>13.816666669445112</v>
      </c>
      <c r="O176" s="7"/>
      <c r="P176" s="7"/>
      <c r="Q176" s="22"/>
      <c r="R176" s="170"/>
      <c r="S176" s="213">
        <f t="shared" si="71"/>
        <v>1</v>
      </c>
      <c r="T176" s="195" t="str">
        <f t="shared" si="51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2"/>
        <v>https://d0f6bd738d7f1b3e5a7ca70fe4ff75f0.us-east-1.aws.found.io/app/kibana#/discover/Steve-Slow-Train-Analysis-(2080s-and-2083s)?_g=(refreshInterval:(display:Off,pause:!f,section:0,value:0),time:(from:'2017-06-17T11:36:19-0600',mode:absolute,to:'2017-06-17T13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197" t="str">
        <f>IF(AA176&lt;VLOOKUP(AG176,Variables!$AC$3:$AD$8,2,FALSE),"Y","N")</f>
        <v>N</v>
      </c>
      <c r="X176" s="197">
        <f t="shared" si="73"/>
        <v>1</v>
      </c>
      <c r="Y176" s="197">
        <f t="shared" si="53"/>
        <v>5.8611000000000004</v>
      </c>
      <c r="Z176" s="197">
        <f t="shared" si="54"/>
        <v>7.3400000000000007E-2</v>
      </c>
      <c r="AA176" s="197">
        <f t="shared" si="55"/>
        <v>5.7877000000000001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6"/>
        <v>1814</v>
      </c>
      <c r="AE176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76" s="74" t="str">
        <f t="shared" si="58"/>
        <v>"C:\Program Files (x86)\AstroGrep\AstroGrep.exe" /e /r /s /spath="%USERPROFILE%\AppData\Local\Temp\OnboardLogs" /stypes="app*4049*20170617*" /stext=" 18:.+((SYSTEM_STATE.+slice.+state.+changed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1814-17 --locoid 4049 --swversion DE.1.0.9.0 --startMP 300:58611 --initTime 2017-06-17T12:36:19 --startdatetime 2017-06-17T12:41:03 --delay 1 --endMP 204:734 --enddatetime 2017-06-17T12:54:52 --enforcementcount 0 &gt;&gt;C:\Users\stu\Documents\GitHub\eaglep3-reporting\EC\2017-06-17-refined-times.txt</v>
      </c>
      <c r="AI176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{"issue":{"subject":"","project_id":79,"tracker_id":40,"status_id":1,"priority_id":2,"assigned_to_id":23,"start_date":"2017-06-17","description":"","custom_fields":[{"id":1,"name":"Subdivision","value":"NW"},{"id":4,"name":"Milepost","value":"0.0734"},{"id":17,"name":"Train ID","value":"1814-17"},{"id":16,"name":"Locomotive ID","value":"4049"},{"id":130,"name":"Impact","value":""},{"id":150,"name":"Time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4049 --day 2017-06-17</v>
      </c>
      <c r="AN176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738</v>
      </c>
      <c r="B177" s="7">
        <v>4050</v>
      </c>
      <c r="C177" s="21" t="s">
        <v>202</v>
      </c>
      <c r="D177" s="21" t="s">
        <v>893</v>
      </c>
      <c r="E177" s="13">
        <v>42903.539351851854</v>
      </c>
      <c r="F177" s="13">
        <v>42903.55678240741</v>
      </c>
      <c r="G177" s="7">
        <v>1</v>
      </c>
      <c r="H177" s="21" t="s">
        <v>894</v>
      </c>
      <c r="I177" s="13">
        <v>42903.565567129626</v>
      </c>
      <c r="J177" s="7">
        <v>0</v>
      </c>
      <c r="K177" s="89" t="str">
        <f t="shared" si="49"/>
        <v>4049/4050</v>
      </c>
      <c r="L177" s="21" t="str">
        <f>VLOOKUP(A177,'Trips&amp;Operators'!$C$1:$G$99999,5,FALSE)</f>
        <v>YORK EDGAR</v>
      </c>
      <c r="M177" s="6">
        <f t="shared" si="50"/>
        <v>8.7847222166601568E-3</v>
      </c>
      <c r="N177" s="7">
        <f t="shared" si="70"/>
        <v>12.649999991990626</v>
      </c>
      <c r="O177" s="7"/>
      <c r="P177" s="7"/>
      <c r="Q177" s="22"/>
      <c r="R177" s="170"/>
      <c r="S177" s="213">
        <f t="shared" si="71"/>
        <v>1</v>
      </c>
      <c r="T177" s="195" t="str">
        <f t="shared" si="51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2"/>
        <v>https://d0f6bd738d7f1b3e5a7ca70fe4ff75f0.us-east-1.aws.found.io/app/kibana#/discover/Steve-Slow-Train-Analysis-(2080s-and-2083s)?_g=(refreshInterval:(display:Off,pause:!f,section:0,value:0),time:(from:'2017-06-17T11:56:40-0600',mode:absolute,to:'2017-06-17T14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197" t="str">
        <f>IF(AA177&lt;VLOOKUP(AG177,Variables!$AC$3:$AD$8,2,FALSE),"Y","N")</f>
        <v>N</v>
      </c>
      <c r="X177" s="197">
        <f t="shared" si="73"/>
        <v>1</v>
      </c>
      <c r="Y177" s="197">
        <f t="shared" si="53"/>
        <v>0.1021</v>
      </c>
      <c r="Z177" s="197">
        <f t="shared" si="54"/>
        <v>5.8920000000000003</v>
      </c>
      <c r="AA177" s="197">
        <f t="shared" si="55"/>
        <v>5.7899000000000003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6"/>
        <v>1815</v>
      </c>
      <c r="AE177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77" s="74" t="str">
        <f t="shared" si="58"/>
        <v>"C:\Program Files (x86)\AstroGrep\AstroGrep.exe" /e /r /s /spath="%USERPROFILE%\AppData\Local\Temp\OnboardLogs" /stypes="app*4050*20170617*" /stext=" 19:.+((SYSTEM_STATE.+slice.+state.+changed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1815-17 --locoid 4050 --swversion DE.1.0.9.0 --startMP 204:1021 --initTime 2017-06-17T12:56:40 --startdatetime 2017-06-17T13:21:46 --delay 1 --endMP 300:58920 --enddatetime 2017-06-17T13:34:25 --enforcementcount 0 &gt;&gt;C:\Users\stu\Documents\GitHub\eaglep3-reporting\EC\2017-06-17-refined-times.txt</v>
      </c>
      <c r="AI177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{"issue":{"subject":"","project_id":79,"tracker_id":40,"status_id":1,"priority_id":2,"assigned_to_id":23,"start_date":"2017-06-17","description":"","custom_fields":[{"id":1,"name":"Subdivision","value":"NW"},{"id":4,"name":"Milepost","value":"5.892"},{"id":17,"name":"Train ID","value":"1815-17"},{"id":16,"name":"Locomotive ID","value":"4050"},{"id":130,"name":"Impact","value":""},{"id":150,"name":"Time of Event (Mountain Time)","value":"13:34:25"},{"id":151,"name":"Denver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2"/>
        <v>start /low /b %USERPROFILE%\Documents\GitHub\eaglep3\Utilities\DownloadLogsFromS3.py --loco 4050 --day 2017-06-17</v>
      </c>
      <c r="AN177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744</v>
      </c>
      <c r="B178" s="7">
        <v>4049</v>
      </c>
      <c r="C178" s="21" t="s">
        <v>202</v>
      </c>
      <c r="D178" s="21" t="s">
        <v>578</v>
      </c>
      <c r="E178" s="13">
        <v>42903.566516203704</v>
      </c>
      <c r="F178" s="13">
        <v>42903.570104166669</v>
      </c>
      <c r="G178" s="7">
        <v>1</v>
      </c>
      <c r="H178" s="21" t="s">
        <v>895</v>
      </c>
      <c r="I178" s="13">
        <v>42903.579247685186</v>
      </c>
      <c r="J178" s="7">
        <v>0</v>
      </c>
      <c r="K178" s="89" t="str">
        <f t="shared" si="49"/>
        <v>4049/4050</v>
      </c>
      <c r="L178" s="21" t="str">
        <f>VLOOKUP(A178,'Trips&amp;Operators'!$C$1:$G$99999,5,FALSE)</f>
        <v>YORK EDGAR</v>
      </c>
      <c r="M178" s="6">
        <f t="shared" si="50"/>
        <v>9.1435185167938471E-3</v>
      </c>
      <c r="N178" s="7">
        <f t="shared" si="70"/>
        <v>13.16666666418314</v>
      </c>
      <c r="O178" s="7"/>
      <c r="P178" s="7"/>
      <c r="Q178" s="22"/>
      <c r="R178" s="170"/>
      <c r="S178" s="213">
        <f t="shared" si="71"/>
        <v>1</v>
      </c>
      <c r="T178" s="195" t="str">
        <f t="shared" si="51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2"/>
        <v>https://d0f6bd738d7f1b3e5a7ca70fe4ff75f0.us-east-1.aws.found.io/app/kibana#/discover/Steve-Slow-Train-Analysis-(2080s-and-2083s)?_g=(refreshInterval:(display:Off,pause:!f,section:0,value:0),time:(from:'2017-06-17T12:35:47-0600',mode:absolute,to:'2017-06-17T14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197" t="str">
        <f>IF(AA178&lt;VLOOKUP(AG178,Variables!$AC$3:$AD$8,2,FALSE),"Y","N")</f>
        <v>N</v>
      </c>
      <c r="X178" s="197">
        <f t="shared" si="73"/>
        <v>1</v>
      </c>
      <c r="Y178" s="197">
        <f t="shared" si="53"/>
        <v>5.8601999999999999</v>
      </c>
      <c r="Z178" s="197">
        <f t="shared" si="54"/>
        <v>7.3300000000000004E-2</v>
      </c>
      <c r="AA178" s="197">
        <f t="shared" si="55"/>
        <v>5.7869000000000002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6"/>
        <v>1816</v>
      </c>
      <c r="AE178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78" s="74" t="str">
        <f t="shared" si="58"/>
        <v>"C:\Program Files (x86)\AstroGrep\AstroGrep.exe" /e /r /s /spath="%USERPROFILE%\AppData\Local\Temp\OnboardLogs" /stypes="app*4049*20170617*" /stext=" 19:.+((SYSTEM_STATE.+slice.+state.+changed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1816-17 --locoid 4049 --swversion DE.1.0.9.0 --startMP 300:58602 --initTime 2017-06-17T13:35:47 --startdatetime 2017-06-17T13:40:57 --delay 1 --endMP 204:733 --enddatetime 2017-06-17T13:54:07 --enforcementcount 0 &gt;&gt;C:\Users\stu\Documents\GitHub\eaglep3-reporting\EC\2017-06-17-refined-times.txt</v>
      </c>
      <c r="AI178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{"issue":{"subject":"","project_id":79,"tracker_id":40,"status_id":1,"priority_id":2,"assigned_to_id":23,"start_date":"2017-06-17","description":"","custom_fields":[{"id":1,"name":"Subdivision","value":"NW"},{"id":4,"name":"Milepost","value":"0.0733"},{"id":17,"name":"Train ID","value":"1816-17"},{"id":16,"name":"Locomotive ID","value":"4049"},{"id":130,"name":"Impact","value":""},{"id":150,"name":"Time of Event (Mountain Time)","value":"13:54:07"},{"id":151,"name":"Denver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2"/>
        <v>start /low /b %USERPROFILE%\Documents\GitHub\eaglep3\Utilities\DownloadLogsFromS3.py --loco 4049 --day 2017-06-17</v>
      </c>
      <c r="AN178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19:54:07"},{"id":29,"name":"Sharepoint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750</v>
      </c>
      <c r="B179" s="7">
        <v>4050</v>
      </c>
      <c r="C179" s="21" t="s">
        <v>202</v>
      </c>
      <c r="D179" s="21" t="s">
        <v>896</v>
      </c>
      <c r="E179" s="13">
        <v>42903.585543981484</v>
      </c>
      <c r="F179" s="13">
        <v>42903.598090277781</v>
      </c>
      <c r="G179" s="7">
        <v>1</v>
      </c>
      <c r="H179" s="21" t="s">
        <v>897</v>
      </c>
      <c r="I179" s="13">
        <v>42903.607708333337</v>
      </c>
      <c r="J179" s="7">
        <v>0</v>
      </c>
      <c r="K179" s="89" t="str">
        <f t="shared" si="49"/>
        <v>4049/4050</v>
      </c>
      <c r="L179" s="21" t="str">
        <f>VLOOKUP(A179,'Trips&amp;Operators'!$C$1:$G$99999,5,FALSE)</f>
        <v>MCREYNOLDS KYLE</v>
      </c>
      <c r="M179" s="6">
        <f t="shared" si="50"/>
        <v>9.6180555556202307E-3</v>
      </c>
      <c r="N179" s="7">
        <f t="shared" si="70"/>
        <v>13.850000000093132</v>
      </c>
      <c r="O179" s="7"/>
      <c r="P179" s="7"/>
      <c r="Q179" s="22"/>
      <c r="R179" s="170"/>
      <c r="S179" s="213">
        <f t="shared" si="71"/>
        <v>1</v>
      </c>
      <c r="T179" s="195" t="str">
        <f t="shared" si="51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2"/>
        <v>https://d0f6bd738d7f1b3e5a7ca70fe4ff75f0.us-east-1.aws.found.io/app/kibana#/discover/Steve-Slow-Train-Analysis-(2080s-and-2083s)?_g=(refreshInterval:(display:Off,pause:!f,section:0,value:0),time:(from:'2017-06-17T13:03:11-0600',mode:absolute,to:'2017-06-17T15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197" t="str">
        <f>IF(AA179&lt;VLOOKUP(AG179,Variables!$AC$3:$AD$8,2,FALSE),"Y","N")</f>
        <v>N</v>
      </c>
      <c r="X179" s="197">
        <f t="shared" si="73"/>
        <v>1</v>
      </c>
      <c r="Y179" s="197">
        <f t="shared" si="53"/>
        <v>0.1037</v>
      </c>
      <c r="Z179" s="197">
        <f t="shared" si="54"/>
        <v>5.8949999999999996</v>
      </c>
      <c r="AA179" s="197">
        <f t="shared" si="55"/>
        <v>5.7912999999999997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6"/>
        <v>1817</v>
      </c>
      <c r="AE179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79" s="74" t="str">
        <f t="shared" si="58"/>
        <v>"C:\Program Files (x86)\AstroGrep\AstroGrep.exe" /e /r /s /spath="%USERPROFILE%\AppData\Local\Temp\OnboardLogs" /stypes="app*4050*20170617*" /stext=" 20:.+((SYSTEM_STATE.+slice.+state.+changed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1817-17 --locoid 4050 --swversion DE.1.0.9.0 --startMP 204:1037 --initTime 2017-06-17T14:03:11 --startdatetime 2017-06-17T14:21:15 --delay 1 --endMP 300:58950 --enddatetime 2017-06-17T14:35:06 --enforcementcount 0 &gt;&gt;C:\Users\stu\Documents\GitHub\eaglep3-reporting\EC\2017-06-17-refined-times.txt</v>
      </c>
      <c r="AI179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{"issue":{"subject":"","project_id":79,"tracker_id":40,"status_id":1,"priority_id":2,"assigned_to_id":23,"start_date":"2017-06-17","description":"","custom_fields":[{"id":1,"name":"Subdivision","value":"NW"},{"id":4,"name":"Milepost","value":"5.895"},{"id":17,"name":"Train ID","value":"1817-17"},{"id":16,"name":"Locomotive ID","value":"4050"},{"id":130,"name":"Impact","value":""},{"id":150,"name":"Time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2"/>
        <v>start /low /b %USERPROFILE%\Documents\GitHub\eaglep3\Utilities\DownloadLogsFromS3.py --loco 4050 --day 2017-06-17</v>
      </c>
      <c r="AN179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758</v>
      </c>
      <c r="B180" s="7">
        <v>4049</v>
      </c>
      <c r="C180" s="21" t="s">
        <v>202</v>
      </c>
      <c r="D180" s="21" t="s">
        <v>898</v>
      </c>
      <c r="E180" s="13">
        <v>42903.608761574076</v>
      </c>
      <c r="F180" s="13">
        <v>42903.610208333332</v>
      </c>
      <c r="G180" s="7">
        <v>1</v>
      </c>
      <c r="H180" s="21" t="s">
        <v>527</v>
      </c>
      <c r="I180" s="13">
        <v>42903.621527777781</v>
      </c>
      <c r="J180" s="7">
        <v>0</v>
      </c>
      <c r="K180" s="89" t="str">
        <f t="shared" si="49"/>
        <v>4049/4050</v>
      </c>
      <c r="L180" s="21" t="str">
        <f>VLOOKUP(A180,'Trips&amp;Operators'!$C$1:$G$99999,5,FALSE)</f>
        <v>MCREYNOLDS KYLE</v>
      </c>
      <c r="M180" s="6">
        <f t="shared" si="50"/>
        <v>1.131944444932742E-2</v>
      </c>
      <c r="N180" s="7">
        <f t="shared" si="70"/>
        <v>16.300000007031485</v>
      </c>
      <c r="O180" s="7"/>
      <c r="P180" s="7"/>
      <c r="Q180" s="22"/>
      <c r="R180" s="170"/>
      <c r="S180" s="213">
        <f t="shared" si="71"/>
        <v>1</v>
      </c>
      <c r="T180" s="195" t="str">
        <f t="shared" si="51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2"/>
        <v>https://d0f6bd738d7f1b3e5a7ca70fe4ff75f0.us-east-1.aws.found.io/app/kibana#/discover/Steve-Slow-Train-Analysis-(2080s-and-2083s)?_g=(refreshInterval:(display:Off,pause:!f,section:0,value:0),time:(from:'2017-06-17T13:36:37-0600',mode:absolute,to:'2017-06-17T15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197" t="str">
        <f>IF(AA180&lt;VLOOKUP(AG180,Variables!$AC$3:$AD$8,2,FALSE),"Y","N")</f>
        <v>N</v>
      </c>
      <c r="X180" s="197">
        <f t="shared" si="73"/>
        <v>1</v>
      </c>
      <c r="Y180" s="197">
        <f t="shared" si="53"/>
        <v>5.8628</v>
      </c>
      <c r="Z180" s="197">
        <f t="shared" si="54"/>
        <v>6.8199999999999997E-2</v>
      </c>
      <c r="AA180" s="197">
        <f t="shared" si="55"/>
        <v>5.7946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6"/>
        <v>1818</v>
      </c>
      <c r="AE180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80" s="74" t="str">
        <f t="shared" si="58"/>
        <v>"C:\Program Files (x86)\AstroGrep\AstroGrep.exe" /e /r /s /spath="%USERPROFILE%\AppData\Local\Temp\OnboardLogs" /stypes="app*4049*20170617*" /stext=" 20:.+((SYSTEM_STATE.+slice.+state.+changed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1818-17 --locoid 4049 --swversion DE.1.0.9.0 --startMP 300:58628 --initTime 2017-06-17T14:36:37 --startdatetime 2017-06-17T14:38:42 --delay 1 --endMP 204:682 --enddatetime 2017-06-17T14:55:00 --enforcementcount 0 &gt;&gt;C:\Users\stu\Documents\GitHub\eaglep3-reporting\EC\2017-06-17-refined-times.txt</v>
      </c>
      <c r="AI180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{"issue":{"subject":"","project_id":79,"tracker_id":40,"status_id":1,"priority_id":2,"assigned_to_id":23,"start_date":"2017-06-17","description":"","custom_fields":[{"id":1,"name":"Subdivision","value":"NW"},{"id":4,"name":"Milepost","value":"0.0682"},{"id":17,"name":"Train ID","value":"1818-17"},{"id":16,"name":"Locomotive ID","value":"4049"},{"id":130,"name":"Impact","value":""},{"id":150,"name":"Time of Event (Mountain Time)","value":"14:55:00"},{"id":151,"name":"Denver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2"/>
        <v>start /low /b %USERPROFILE%\Documents\GitHub\eaglep3\Utilities\DownloadLogsFromS3.py --loco 4049 --day 2017-06-17</v>
      </c>
      <c r="AN180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762</v>
      </c>
      <c r="B181" s="7">
        <v>4050</v>
      </c>
      <c r="C181" s="21" t="s">
        <v>202</v>
      </c>
      <c r="D181" s="21" t="s">
        <v>899</v>
      </c>
      <c r="E181" s="13">
        <v>42903.623483796298</v>
      </c>
      <c r="F181" s="13">
        <v>42903.639907407407</v>
      </c>
      <c r="G181" s="7">
        <v>1</v>
      </c>
      <c r="H181" s="21" t="s">
        <v>573</v>
      </c>
      <c r="I181" s="13">
        <v>42903.649953703702</v>
      </c>
      <c r="J181" s="7">
        <v>0</v>
      </c>
      <c r="K181" s="89" t="str">
        <f t="shared" si="49"/>
        <v>4049/4050</v>
      </c>
      <c r="L181" s="21" t="str">
        <f>VLOOKUP(A181,'Trips&amp;Operators'!$C$1:$G$99999,5,FALSE)</f>
        <v>MCREYNOLDS KYLE</v>
      </c>
      <c r="M181" s="6">
        <f t="shared" si="50"/>
        <v>1.0046296294603962E-2</v>
      </c>
      <c r="N181" s="7">
        <f t="shared" si="70"/>
        <v>14.466666664229706</v>
      </c>
      <c r="O181" s="7"/>
      <c r="P181" s="7"/>
      <c r="Q181" s="22"/>
      <c r="R181" s="170"/>
      <c r="S181" s="213">
        <f t="shared" si="71"/>
        <v>1</v>
      </c>
      <c r="T181" s="195" t="str">
        <f t="shared" si="51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2"/>
        <v>https://d0f6bd738d7f1b3e5a7ca70fe4ff75f0.us-east-1.aws.found.io/app/kibana#/discover/Steve-Slow-Train-Analysis-(2080s-and-2083s)?_g=(refreshInterval:(display:Off,pause:!f,section:0,value:0),time:(from:'2017-06-17T13:57:49-0600',mode:absolute,to:'2017-06-17T16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197" t="str">
        <f>IF(AA181&lt;VLOOKUP(AG181,Variables!$AC$3:$AD$8,2,FALSE),"Y","N")</f>
        <v>N</v>
      </c>
      <c r="X181" s="197">
        <f t="shared" si="73"/>
        <v>1</v>
      </c>
      <c r="Y181" s="197">
        <f t="shared" si="53"/>
        <v>9.8299999999999998E-2</v>
      </c>
      <c r="Z181" s="197">
        <f t="shared" si="54"/>
        <v>5.8936999999999999</v>
      </c>
      <c r="AA181" s="197">
        <f t="shared" si="55"/>
        <v>5.7953999999999999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6"/>
        <v>1819</v>
      </c>
      <c r="AE181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81" s="74" t="str">
        <f t="shared" si="58"/>
        <v>"C:\Program Files (x86)\AstroGrep\AstroGrep.exe" /e /r /s /spath="%USERPROFILE%\AppData\Local\Temp\OnboardLogs" /stypes="app*4050*20170617*" /stext=" 21:.+((SYSTEM_STATE.+slice.+state.+changed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1819-17 --locoid 4050 --swversion DE.1.0.9.0 --startMP 204:983 --initTime 2017-06-17T14:57:49 --startdatetime 2017-06-17T15:21:28 --delay 1 --endMP 300:58937 --enddatetime 2017-06-17T15:35:56 --enforcementcount 0 &gt;&gt;C:\Users\stu\Documents\GitHub\eaglep3-reporting\EC\2017-06-17-refined-times.txt</v>
      </c>
      <c r="AI181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{"issue":{"subject":"","project_id":79,"tracker_id":40,"status_id":1,"priority_id":2,"assigned_to_id":23,"start_date":"2017-06-17","description":"","custom_fields":[{"id":1,"name":"Subdivision","value":"NW"},{"id":4,"name":"Milepost","value":"5.8937"},{"id":17,"name":"Train ID","value":"1819-17"},{"id":16,"name":"Locomotive ID","value":"4050"},{"id":130,"name":"Impact","value":""},{"id":150,"name":"Time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2"/>
        <v>start /low /b %USERPROFILE%\Documents\GitHub\eaglep3\Utilities\DownloadLogsFromS3.py --loco 4050 --day 2017-06-17</v>
      </c>
      <c r="AN181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766</v>
      </c>
      <c r="B182" s="7">
        <v>4049</v>
      </c>
      <c r="C182" s="21" t="s">
        <v>202</v>
      </c>
      <c r="D182" s="21" t="s">
        <v>898</v>
      </c>
      <c r="E182" s="13">
        <v>42903.651608796295</v>
      </c>
      <c r="F182" s="13">
        <v>42903.653009259258</v>
      </c>
      <c r="G182" s="7">
        <v>1</v>
      </c>
      <c r="H182" s="21" t="s">
        <v>574</v>
      </c>
      <c r="I182" s="13">
        <v>42903.663344907407</v>
      </c>
      <c r="J182" s="7">
        <v>0</v>
      </c>
      <c r="K182" s="89" t="str">
        <f t="shared" si="49"/>
        <v>4049/4050</v>
      </c>
      <c r="L182" s="21" t="str">
        <f>VLOOKUP(A182,'Trips&amp;Operators'!$C$1:$G$99999,5,FALSE)</f>
        <v>MCREYNOLDS KYLE</v>
      </c>
      <c r="M182" s="6">
        <f t="shared" si="50"/>
        <v>1.0335648148611654E-2</v>
      </c>
      <c r="N182" s="7">
        <f t="shared" si="70"/>
        <v>14.883333334000781</v>
      </c>
      <c r="O182" s="7"/>
      <c r="P182" s="7"/>
      <c r="Q182" s="22"/>
      <c r="R182" s="170"/>
      <c r="S182" s="213">
        <f t="shared" si="71"/>
        <v>1</v>
      </c>
      <c r="T182" s="195" t="str">
        <f t="shared" si="51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2"/>
        <v>https://d0f6bd738d7f1b3e5a7ca70fe4ff75f0.us-east-1.aws.found.io/app/kibana#/discover/Steve-Slow-Train-Analysis-(2080s-and-2083s)?_g=(refreshInterval:(display:Off,pause:!f,section:0,value:0),time:(from:'2017-06-17T14:38:19-0600',mode:absolute,to:'2017-06-17T16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197" t="str">
        <f>IF(AA182&lt;VLOOKUP(AG182,Variables!$AC$3:$AD$8,2,FALSE),"Y","N")</f>
        <v>N</v>
      </c>
      <c r="X182" s="197">
        <f t="shared" si="73"/>
        <v>1</v>
      </c>
      <c r="Y182" s="197">
        <f t="shared" si="53"/>
        <v>5.8628</v>
      </c>
      <c r="Z182" s="197">
        <f t="shared" si="54"/>
        <v>6.7699999999999996E-2</v>
      </c>
      <c r="AA182" s="197">
        <f t="shared" si="55"/>
        <v>5.7950999999999997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6"/>
        <v>1820</v>
      </c>
      <c r="AE182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82" s="74" t="str">
        <f t="shared" si="58"/>
        <v>"C:\Program Files (x86)\AstroGrep\AstroGrep.exe" /e /r /s /spath="%USERPROFILE%\AppData\Local\Temp\OnboardLogs" /stypes="app*4049*20170617*" /stext=" 21:.+((SYSTEM_STATE.+slice.+state.+changed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1820-17 --locoid 4049 --swversion DE.1.0.9.0 --startMP 300:58628 --initTime 2017-06-17T15:38:19 --startdatetime 2017-06-17T15:40:20 --delay 1 --endMP 204:677 --enddatetime 2017-06-17T15:55:13 --enforcementcount 0 &gt;&gt;C:\Users\stu\Documents\GitHub\eaglep3-reporting\EC\2017-06-17-refined-times.txt</v>
      </c>
      <c r="AI182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{"issue":{"subject":"","project_id":79,"tracker_id":40,"status_id":1,"priority_id":2,"assigned_to_id":23,"start_date":"2017-06-17","description":"","custom_fields":[{"id":1,"name":"Subdivision","value":"NW"},{"id":4,"name":"Milepost","value":"0.0677"},{"id":17,"name":"Train ID","value":"1820-17"},{"id":16,"name":"Locomotive ID","value":"4049"},{"id":130,"name":"Impact","value":""},{"id":150,"name":"Time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2"/>
        <v>start /low /b %USERPROFILE%\Documents\GitHub\eaglep3\Utilities\DownloadLogsFromS3.py --loco 4049 --day 2017-06-17</v>
      </c>
      <c r="AN182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21:55:13"},{"id":29,"name":"Sharepoint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770</v>
      </c>
      <c r="B183" s="7">
        <v>4050</v>
      </c>
      <c r="C183" s="21" t="s">
        <v>202</v>
      </c>
      <c r="D183" s="21" t="s">
        <v>901</v>
      </c>
      <c r="E183" s="13">
        <v>42903.665011574078</v>
      </c>
      <c r="F183" s="13">
        <v>42903.681608796294</v>
      </c>
      <c r="G183" s="7">
        <v>1</v>
      </c>
      <c r="H183" s="21" t="s">
        <v>902</v>
      </c>
      <c r="I183" s="13">
        <v>42903.691863425927</v>
      </c>
      <c r="J183" s="7">
        <v>0</v>
      </c>
      <c r="K183" s="89" t="str">
        <f t="shared" si="49"/>
        <v>4049/4050</v>
      </c>
      <c r="L183" s="21" t="str">
        <f>VLOOKUP(A183,'Trips&amp;Operators'!$C$1:$G$99999,5,FALSE)</f>
        <v>MCREYNOLDS KYLE</v>
      </c>
      <c r="M183" s="6">
        <f t="shared" si="50"/>
        <v>1.025462963298196E-2</v>
      </c>
      <c r="N183" s="7">
        <f t="shared" si="70"/>
        <v>14.766666671494022</v>
      </c>
      <c r="O183" s="7"/>
      <c r="P183" s="7"/>
      <c r="Q183" s="22"/>
      <c r="R183" s="170"/>
      <c r="S183" s="213">
        <f t="shared" si="71"/>
        <v>1</v>
      </c>
      <c r="T183" s="195" t="str">
        <f t="shared" si="51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2"/>
        <v>https://d0f6bd738d7f1b3e5a7ca70fe4ff75f0.us-east-1.aws.found.io/app/kibana#/discover/Steve-Slow-Train-Analysis-(2080s-and-2083s)?_g=(refreshInterval:(display:Off,pause:!f,section:0,value:0),time:(from:'2017-06-17T14:57:37-0600',mode:absolute,to:'2017-06-17T17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197" t="str">
        <f>IF(AA183&lt;VLOOKUP(AG183,Variables!$AC$3:$AD$8,2,FALSE),"Y","N")</f>
        <v>N</v>
      </c>
      <c r="X183" s="197">
        <f t="shared" si="73"/>
        <v>1</v>
      </c>
      <c r="Y183" s="197">
        <f t="shared" si="53"/>
        <v>9.7900000000000001E-2</v>
      </c>
      <c r="Z183" s="197">
        <f t="shared" si="54"/>
        <v>5.8954000000000004</v>
      </c>
      <c r="AA183" s="197">
        <f t="shared" si="55"/>
        <v>5.7975000000000003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6"/>
        <v>1821</v>
      </c>
      <c r="AE183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83" s="74" t="str">
        <f t="shared" si="58"/>
        <v>"C:\Program Files (x86)\AstroGrep\AstroGrep.exe" /e /r /s /spath="%USERPROFILE%\AppData\Local\Temp\OnboardLogs" /stypes="app*4050*20170617*" /stext=" 22:.+((SYSTEM_STATE.+slice.+state.+changed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1821-17 --locoid 4050 --swversion DE.1.0.9.0 --startMP 204:979 --initTime 2017-06-17T15:57:37 --startdatetime 2017-06-17T16:21:31 --delay 1 --endMP 300:58954 --enddatetime 2017-06-17T16:36:17 --enforcementcount 0 &gt;&gt;C:\Users\stu\Documents\GitHub\eaglep3-reporting\EC\2017-06-17-refined-times.txt</v>
      </c>
      <c r="AI183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{"issue":{"subject":"","project_id":79,"tracker_id":40,"status_id":1,"priority_id":2,"assigned_to_id":23,"start_date":"2017-06-17","description":"","custom_fields":[{"id":1,"name":"Subdivision","value":"NW"},{"id":4,"name":"Milepost","value":"5.8954"},{"id":17,"name":"Train ID","value":"1821-17"},{"id":16,"name":"Locomotive ID","value":"4050"},{"id":130,"name":"Impact","value":""},{"id":150,"name":"Time of Event (Mountain Time)","value":"16:36:17"},{"id":151,"name":"Denver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2"/>
        <v>start /low /b %USERPROFILE%\Documents\GitHub\eaglep3\Utilities\DownloadLogsFromS3.py --loco 4050 --day 2017-06-17</v>
      </c>
      <c r="AN183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775</v>
      </c>
      <c r="B184" s="7">
        <v>4049</v>
      </c>
      <c r="C184" s="21" t="s">
        <v>202</v>
      </c>
      <c r="D184" s="21" t="s">
        <v>903</v>
      </c>
      <c r="E184" s="13">
        <v>42903.693368055552</v>
      </c>
      <c r="F184" s="13">
        <v>42903.695057870369</v>
      </c>
      <c r="G184" s="7">
        <v>1</v>
      </c>
      <c r="H184" s="21" t="s">
        <v>527</v>
      </c>
      <c r="I184" s="13">
        <v>42903.70484953704</v>
      </c>
      <c r="J184" s="7">
        <v>0</v>
      </c>
      <c r="K184" s="89" t="str">
        <f t="shared" si="49"/>
        <v>4049/4050</v>
      </c>
      <c r="L184" s="21" t="str">
        <f>VLOOKUP(A184,'Trips&amp;Operators'!$C$1:$G$99999,5,FALSE)</f>
        <v>MCREYNOLDS KYLE</v>
      </c>
      <c r="M184" s="6">
        <f t="shared" si="50"/>
        <v>9.7916666709352285E-3</v>
      </c>
      <c r="N184" s="7">
        <f t="shared" si="70"/>
        <v>14.100000006146729</v>
      </c>
      <c r="O184" s="7"/>
      <c r="P184" s="7"/>
      <c r="Q184" s="22"/>
      <c r="R184" s="170"/>
      <c r="S184" s="213">
        <f t="shared" si="71"/>
        <v>1</v>
      </c>
      <c r="T184" s="195" t="str">
        <f t="shared" si="51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2"/>
        <v>https://d0f6bd738d7f1b3e5a7ca70fe4ff75f0.us-east-1.aws.found.io/app/kibana#/discover/Steve-Slow-Train-Analysis-(2080s-and-2083s)?_g=(refreshInterval:(display:Off,pause:!f,section:0,value:0),time:(from:'2017-06-17T15:38:27-0600',mode:absolute,to:'2017-06-17T17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197" t="str">
        <f>IF(AA184&lt;VLOOKUP(AG184,Variables!$AC$3:$AD$8,2,FALSE),"Y","N")</f>
        <v>N</v>
      </c>
      <c r="X184" s="197">
        <f t="shared" si="73"/>
        <v>1</v>
      </c>
      <c r="Y184" s="197">
        <f t="shared" si="53"/>
        <v>5.8639999999999999</v>
      </c>
      <c r="Z184" s="197">
        <f t="shared" si="54"/>
        <v>6.8199999999999997E-2</v>
      </c>
      <c r="AA184" s="197">
        <f t="shared" si="55"/>
        <v>5.7957999999999998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6"/>
        <v>1822</v>
      </c>
      <c r="AE184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84" s="74" t="str">
        <f t="shared" si="58"/>
        <v>"C:\Program Files (x86)\AstroGrep\AstroGrep.exe" /e /r /s /spath="%USERPROFILE%\AppData\Local\Temp\OnboardLogs" /stypes="app*4049*20170617*" /stext=" 22:.+((SYSTEM_STATE.+slice.+state.+changed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1822-17 --locoid 4049 --swversion DE.1.0.9.0 --startMP 300:58640 --initTime 2017-06-17T16:38:27 --startdatetime 2017-06-17T16:40:53 --delay 1 --endMP 204:682 --enddatetime 2017-06-17T16:54:59 --enforcementcount 0 &gt;&gt;C:\Users\stu\Documents\GitHub\eaglep3-reporting\EC\2017-06-17-refined-times.txt</v>
      </c>
      <c r="AI184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{"issue":{"subject":"","project_id":79,"tracker_id":40,"status_id":1,"priority_id":2,"assigned_to_id":23,"start_date":"2017-06-17","description":"","custom_fields":[{"id":1,"name":"Subdivision","value":"NW"},{"id":4,"name":"Milepost","value":"0.0682"},{"id":17,"name":"Train ID","value":"1822-17"},{"id":16,"name":"Locomotive ID","value":"4049"},{"id":130,"name":"Impact","value":""},{"id":150,"name":"Time of Event (Mountain Time)","value":"16:54:59"},{"id":151,"name":"Denver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2"/>
        <v>start /low /b %USERPROFILE%\Documents\GitHub\eaglep3\Utilities\DownloadLogsFromS3.py --loco 4049 --day 2017-06-17</v>
      </c>
      <c r="AN184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778</v>
      </c>
      <c r="B185" s="7">
        <v>4050</v>
      </c>
      <c r="C185" s="21" t="s">
        <v>202</v>
      </c>
      <c r="D185" s="21" t="s">
        <v>904</v>
      </c>
      <c r="E185" s="13">
        <v>42903.709780092591</v>
      </c>
      <c r="F185" s="13">
        <v>42903.723240740743</v>
      </c>
      <c r="G185" s="7">
        <v>1</v>
      </c>
      <c r="H185" s="21" t="s">
        <v>582</v>
      </c>
      <c r="I185" s="13">
        <v>42903.733530092592</v>
      </c>
      <c r="J185" s="7">
        <v>0</v>
      </c>
      <c r="K185" s="89" t="str">
        <f t="shared" si="49"/>
        <v>4049/4050</v>
      </c>
      <c r="L185" s="21" t="str">
        <f>VLOOKUP(A185,'Trips&amp;Operators'!$C$1:$G$99999,5,FALSE)</f>
        <v>MCREYNOLDS KYLE</v>
      </c>
      <c r="M185" s="6">
        <f t="shared" si="50"/>
        <v>1.0289351848769002E-2</v>
      </c>
      <c r="N185" s="7">
        <f t="shared" si="70"/>
        <v>14.816666662227362</v>
      </c>
      <c r="O185" s="7"/>
      <c r="P185" s="7"/>
      <c r="Q185" s="22"/>
      <c r="R185" s="170"/>
      <c r="S185" s="213">
        <f t="shared" si="71"/>
        <v>1</v>
      </c>
      <c r="T185" s="195" t="str">
        <f t="shared" si="51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2"/>
        <v>https://d0f6bd738d7f1b3e5a7ca70fe4ff75f0.us-east-1.aws.found.io/app/kibana#/discover/Steve-Slow-Train-Analysis-(2080s-and-2083s)?_g=(refreshInterval:(display:Off,pause:!f,section:0,value:0),time:(from:'2017-06-17T16:02:05-0600',mode:absolute,to:'2017-06-17T18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197" t="str">
        <f>IF(AA185&lt;VLOOKUP(AG185,Variables!$AC$3:$AD$8,2,FALSE),"Y","N")</f>
        <v>N</v>
      </c>
      <c r="X185" s="197">
        <f t="shared" si="73"/>
        <v>1</v>
      </c>
      <c r="Y185" s="197">
        <f t="shared" si="53"/>
        <v>9.5500000000000002E-2</v>
      </c>
      <c r="Z185" s="197">
        <f t="shared" si="54"/>
        <v>5.8944000000000001</v>
      </c>
      <c r="AA185" s="197">
        <f t="shared" si="55"/>
        <v>5.7988999999999997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6"/>
        <v>1823</v>
      </c>
      <c r="AE185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85" s="74" t="str">
        <f t="shared" si="58"/>
        <v>"C:\Program Files (x86)\AstroGrep\AstroGrep.exe" /e /r /s /spath="%USERPROFILE%\AppData\Local\Temp\OnboardLogs" /stypes="app*4050*20170617*" /stext=" 23:.+((SYSTEM_STATE.+slice.+state.+changed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1823-17 --locoid 4050 --swversion DE.1.0.9.0 --startMP 204:955 --initTime 2017-06-17T17:02:05 --startdatetime 2017-06-17T17:21:28 --delay 1 --endMP 300:58944 --enddatetime 2017-06-17T17:36:17 --enforcementcount 0 &gt;&gt;C:\Users\stu\Documents\GitHub\eaglep3-reporting\EC\2017-06-17-refined-times.txt</v>
      </c>
      <c r="AI185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{"issue":{"subject":"","project_id":79,"tracker_id":40,"status_id":1,"priority_id":2,"assigned_to_id":23,"start_date":"2017-06-17","description":"","custom_fields":[{"id":1,"name":"Subdivision","value":"NW"},{"id":4,"name":"Milepost","value":"5.8944"},{"id":17,"name":"Train ID","value":"1823-17"},{"id":16,"name":"Locomotive ID","value":"4050"},{"id":130,"name":"Impact","value":""},{"id":150,"name":"Time of Event (Mountain Time)","value":"17:36:17"},{"id":151,"name":"Denver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2"/>
        <v>start /low /b %USERPROFILE%\Documents\GitHub\eaglep3\Utilities\DownloadLogsFromS3.py --loco 4050 --day 2017-06-17</v>
      </c>
      <c r="AN185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784</v>
      </c>
      <c r="B186" s="7">
        <v>4049</v>
      </c>
      <c r="C186" s="21" t="s">
        <v>202</v>
      </c>
      <c r="D186" s="21" t="s">
        <v>905</v>
      </c>
      <c r="E186" s="13">
        <v>42903.735532407409</v>
      </c>
      <c r="F186" s="13">
        <v>42903.736944444441</v>
      </c>
      <c r="G186" s="7">
        <v>1</v>
      </c>
      <c r="H186" s="21" t="s">
        <v>577</v>
      </c>
      <c r="I186" s="13">
        <v>42903.747152777774</v>
      </c>
      <c r="J186" s="7">
        <v>0</v>
      </c>
      <c r="K186" s="89" t="str">
        <f t="shared" si="49"/>
        <v>4049/4050</v>
      </c>
      <c r="L186" s="21" t="str">
        <f>VLOOKUP(A186,'Trips&amp;Operators'!$C$1:$G$99999,5,FALSE)</f>
        <v>MCREYNOLDS KYLE</v>
      </c>
      <c r="M186" s="6">
        <f t="shared" si="50"/>
        <v>1.0208333333139308E-2</v>
      </c>
      <c r="N186" s="7">
        <f t="shared" ref="N186:N220" si="74">24*60*SUM($M186:$M186)</f>
        <v>14.699999999720603</v>
      </c>
      <c r="O186" s="7"/>
      <c r="P186" s="7"/>
      <c r="Q186" s="22"/>
      <c r="R186" s="170"/>
      <c r="S186" s="213">
        <f t="shared" ref="S186:S220" si="75">SUM(U186:U186)/IF(AG186="EC",12,1)</f>
        <v>1</v>
      </c>
      <c r="T186" s="195" t="str">
        <f t="shared" si="51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2"/>
        <v>https://d0f6bd738d7f1b3e5a7ca70fe4ff75f0.us-east-1.aws.found.io/app/kibana#/discover/Steve-Slow-Train-Analysis-(2080s-and-2083s)?_g=(refreshInterval:(display:Off,pause:!f,section:0,value:0),time:(from:'2017-06-17T16:39:10-0600',mode:absolute,to:'2017-06-17T18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197" t="str">
        <f>IF(AA186&lt;VLOOKUP(AG186,Variables!$AC$3:$AD$8,2,FALSE),"Y","N")</f>
        <v>N</v>
      </c>
      <c r="X186" s="197">
        <f t="shared" si="73"/>
        <v>1</v>
      </c>
      <c r="Y186" s="197">
        <f t="shared" si="53"/>
        <v>5.8632</v>
      </c>
      <c r="Z186" s="197">
        <f t="shared" si="54"/>
        <v>6.6799999999999998E-2</v>
      </c>
      <c r="AA186" s="197">
        <f t="shared" si="55"/>
        <v>5.7964000000000002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6"/>
        <v>1824</v>
      </c>
      <c r="AE186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86" s="74" t="str">
        <f t="shared" si="58"/>
        <v>"C:\Program Files (x86)\AstroGrep\AstroGrep.exe" /e /r /s /spath="%USERPROFILE%\AppData\Local\Temp\OnboardLogs" /stypes="app*4049*20170617*" /stext=" 23:.+((SYSTEM_STATE.+slice.+state.+changed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1824-17 --locoid 4049 --swversion DE.1.0.9.0 --startMP 300:58632 --initTime 2017-06-17T17:39:10 --startdatetime 2017-06-17T17:41:12 --delay 1 --endMP 204:668 --enddatetime 2017-06-17T17:55:54 --enforcementcount 0 &gt;&gt;C:\Users\stu\Documents\GitHub\eaglep3-reporting\EC\2017-06-17-refined-times.txt</v>
      </c>
      <c r="AI186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{"issue":{"subject":"","project_id":79,"tracker_id":40,"status_id":1,"priority_id":2,"assigned_to_id":23,"start_date":"2017-06-17","description":"","custom_fields":[{"id":1,"name":"Subdivision","value":"NW"},{"id":4,"name":"Milepost","value":"0.0668"},{"id":17,"name":"Train ID","value":"1824-17"},{"id":16,"name":"Locomotive ID","value":"4049"},{"id":130,"name":"Impact","value":""},{"id":150,"name":"Time of Event (Mountain Time)","value":"17:55:54"},{"id":151,"name":"Denver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4049 --day 2017-06-17</v>
      </c>
      <c r="AN186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788</v>
      </c>
      <c r="B187" s="7">
        <v>4050</v>
      </c>
      <c r="C187" s="21" t="s">
        <v>202</v>
      </c>
      <c r="D187" s="21" t="s">
        <v>571</v>
      </c>
      <c r="E187" s="13">
        <v>42903.748541666668</v>
      </c>
      <c r="F187" s="13">
        <v>42903.764745370368</v>
      </c>
      <c r="G187" s="7">
        <v>0</v>
      </c>
      <c r="H187" s="21" t="s">
        <v>897</v>
      </c>
      <c r="I187" s="13">
        <v>42903.774409722224</v>
      </c>
      <c r="J187" s="7">
        <v>0</v>
      </c>
      <c r="K187" s="89" t="str">
        <f t="shared" si="49"/>
        <v>4049/4050</v>
      </c>
      <c r="L187" s="21" t="str">
        <f>VLOOKUP(A187,'Trips&amp;Operators'!$C$1:$G$99999,5,FALSE)</f>
        <v>MCREYNOLDS KYLE</v>
      </c>
      <c r="M187" s="6">
        <f t="shared" si="50"/>
        <v>9.6643518554628827E-3</v>
      </c>
      <c r="N187" s="7">
        <f t="shared" si="74"/>
        <v>13.916666671866551</v>
      </c>
      <c r="O187" s="7"/>
      <c r="P187" s="7"/>
      <c r="Q187" s="22"/>
      <c r="R187" s="170"/>
      <c r="S187" s="213">
        <f t="shared" si="75"/>
        <v>1</v>
      </c>
      <c r="T187" s="195" t="str">
        <f t="shared" si="51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2"/>
        <v>https://d0f6bd738d7f1b3e5a7ca70fe4ff75f0.us-east-1.aws.found.io/app/kibana#/discover/Steve-Slow-Train-Analysis-(2080s-and-2083s)?_g=(refreshInterval:(display:Off,pause:!f,section:0,value:0),time:(from:'2017-06-17T16:57:54-0600',mode:absolute,to:'2017-06-17T19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7" s="197" t="str">
        <f>IF(AA187&lt;VLOOKUP(AG187,Variables!$AC$3:$AD$8,2,FALSE),"Y","N")</f>
        <v>N</v>
      </c>
      <c r="X187" s="197">
        <f t="shared" si="73"/>
        <v>1</v>
      </c>
      <c r="Y187" s="197">
        <f t="shared" si="53"/>
        <v>9.74E-2</v>
      </c>
      <c r="Z187" s="197">
        <f t="shared" si="54"/>
        <v>5.8949999999999996</v>
      </c>
      <c r="AA187" s="197">
        <f t="shared" si="55"/>
        <v>5.7975999999999992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6"/>
        <v>1825</v>
      </c>
      <c r="AE187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87" s="74" t="str">
        <f t="shared" si="58"/>
        <v>"C:\Program Files (x86)\AstroGrep\AstroGrep.exe" /e /r /s /spath="%USERPROFILE%\AppData\Local\Temp\OnboardLogs" /stypes="app*4050*20170618*" /stext=" 00:.+((SYSTEM_STATE.+slice.+state.+changed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1825-17 --locoid 4050 --swversion DE.1.0.9.0 --startMP 204:974 --initTime 2017-06-17T17:57:54 --startdatetime 2017-06-17T18:21:14 --delay 0 --endMP 300:58950 --enddatetime 2017-06-17T18:35:09 --enforcementcount 0 &gt;&gt;C:\Users\stu\Documents\GitHub\eaglep3-reporting\EC\2017-06-17-refined-times.txt</v>
      </c>
      <c r="AI187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{"issue":{"subject":"","project_id":79,"tracker_id":40,"status_id":1,"priority_id":2,"assigned_to_id":23,"start_date":"2017-06-17","description":"","custom_fields":[{"id":1,"name":"Subdivision","value":"NW"},{"id":4,"name":"Milepost","value":"5.895"},{"id":17,"name":"Train ID","value":"1825-17"},{"id":16,"name":"Locomotive ID","value":"4050"},{"id":130,"name":"Impact","value":""},{"id":150,"name":"Time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2"/>
        <v>start /low /b %USERPROFILE%\Documents\GitHub\eaglep3\Utilities\DownloadLogsFromS3.py --loco 4050 --day 2017-06-17</v>
      </c>
      <c r="AN187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793</v>
      </c>
      <c r="B188" s="7">
        <v>4049</v>
      </c>
      <c r="C188" s="21" t="s">
        <v>202</v>
      </c>
      <c r="D188" s="21" t="s">
        <v>460</v>
      </c>
      <c r="E188" s="13">
        <v>42903.776261574072</v>
      </c>
      <c r="F188" s="13">
        <v>42903.777881944443</v>
      </c>
      <c r="G188" s="7">
        <v>1</v>
      </c>
      <c r="H188" s="21" t="s">
        <v>906</v>
      </c>
      <c r="I188" s="13">
        <v>42903.788703703707</v>
      </c>
      <c r="J188" s="7">
        <v>0</v>
      </c>
      <c r="K188" s="89" t="str">
        <f t="shared" si="49"/>
        <v>4049/4050</v>
      </c>
      <c r="L188" s="21" t="str">
        <f>VLOOKUP(A188,'Trips&amp;Operators'!$C$1:$G$99999,5,FALSE)</f>
        <v>MCREYNOLDS KYLE</v>
      </c>
      <c r="M188" s="6">
        <f t="shared" si="50"/>
        <v>1.082175926421769E-2</v>
      </c>
      <c r="N188" s="7">
        <f t="shared" si="74"/>
        <v>15.583333340473473</v>
      </c>
      <c r="O188" s="7"/>
      <c r="P188" s="7"/>
      <c r="Q188" s="22"/>
      <c r="R188" s="170"/>
      <c r="S188" s="213">
        <f t="shared" si="75"/>
        <v>1</v>
      </c>
      <c r="T188" s="195" t="str">
        <f t="shared" si="51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2"/>
        <v>https://d0f6bd738d7f1b3e5a7ca70fe4ff75f0.us-east-1.aws.found.io/app/kibana#/discover/Steve-Slow-Train-Analysis-(2080s-and-2083s)?_g=(refreshInterval:(display:Off,pause:!f,section:0,value:0),time:(from:'2017-06-17T17:37:49-0600',mode:absolute,to:'2017-06-17T19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8" s="197" t="str">
        <f>IF(AA188&lt;VLOOKUP(AG188,Variables!$AC$3:$AD$8,2,FALSE),"Y","N")</f>
        <v>N</v>
      </c>
      <c r="X188" s="197">
        <f t="shared" si="73"/>
        <v>1</v>
      </c>
      <c r="Y188" s="197">
        <f t="shared" si="53"/>
        <v>5.8635999999999999</v>
      </c>
      <c r="Z188" s="197">
        <f t="shared" si="54"/>
        <v>6.5000000000000002E-2</v>
      </c>
      <c r="AA188" s="197">
        <f t="shared" si="55"/>
        <v>5.7985999999999995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6"/>
        <v>1826</v>
      </c>
      <c r="AE188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88" s="74" t="str">
        <f t="shared" si="58"/>
        <v>"C:\Program Files (x86)\AstroGrep\AstroGrep.exe" /e /r /s /spath="%USERPROFILE%\AppData\Local\Temp\OnboardLogs" /stypes="app*4049*20170618*" /stext=" 00:.+((SYSTEM_STATE.+slice.+state.+changed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1826-17 --locoid 4049 --swversion DE.1.0.9.0 --startMP 300:58636 --initTime 2017-06-17T18:37:49 --startdatetime 2017-06-17T18:40:09 --delay 1 --endMP 204:650 --enddatetime 2017-06-17T18:55:44 --enforcementcount 0 &gt;&gt;C:\Users\stu\Documents\GitHub\eaglep3-reporting\EC\2017-06-17-refined-times.txt</v>
      </c>
      <c r="AI188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{"issue":{"subject":"","project_id":79,"tracker_id":40,"status_id":1,"priority_id":2,"assigned_to_id":23,"start_date":"2017-06-17","description":"","custom_fields":[{"id":1,"name":"Subdivision","value":"NW"},{"id":4,"name":"Milepost","value":"0.065"},{"id":17,"name":"Train ID","value":"1826-17"},{"id":16,"name":"Locomotive ID","value":"4049"},{"id":130,"name":"Impact","value":""},{"id":150,"name":"Time of Event (Mountain Time)","value":"18:55:44"},{"id":151,"name":"Denver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2"/>
        <v>start /low /b %USERPROFILE%\Documents\GitHub\eaglep3\Utilities\DownloadLogsFromS3.py --loco 4049 --day 2017-06-17</v>
      </c>
      <c r="AN188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629</v>
      </c>
      <c r="B189" s="7">
        <v>4050</v>
      </c>
      <c r="C189" s="21" t="s">
        <v>202</v>
      </c>
      <c r="D189" s="21" t="s">
        <v>571</v>
      </c>
      <c r="E189" s="13">
        <v>42903.793368055558</v>
      </c>
      <c r="F189" s="13">
        <v>42903.806423611109</v>
      </c>
      <c r="G189" s="7">
        <v>1</v>
      </c>
      <c r="H189" s="21" t="s">
        <v>907</v>
      </c>
      <c r="I189" s="13">
        <v>42903.815844907411</v>
      </c>
      <c r="J189" s="7">
        <v>0</v>
      </c>
      <c r="K189" s="89" t="str">
        <f t="shared" si="49"/>
        <v>4049/4050</v>
      </c>
      <c r="L189" s="21" t="str">
        <f>VLOOKUP(A189,'Trips&amp;Operators'!$C$1:$G$99999,5,FALSE)</f>
        <v>MCREYNOLDS KYLE</v>
      </c>
      <c r="M189" s="6">
        <f t="shared" si="50"/>
        <v>9.4212963012978435E-3</v>
      </c>
      <c r="N189" s="7">
        <f t="shared" si="74"/>
        <v>13.566666673868895</v>
      </c>
      <c r="O189" s="7"/>
      <c r="P189" s="7"/>
      <c r="Q189" s="22"/>
      <c r="R189" s="170"/>
      <c r="S189" s="213">
        <f t="shared" si="75"/>
        <v>1</v>
      </c>
      <c r="T189" s="195" t="str">
        <f t="shared" si="51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2"/>
        <v>https://d0f6bd738d7f1b3e5a7ca70fe4ff75f0.us-east-1.aws.found.io/app/kibana#/discover/Steve-Slow-Train-Analysis-(2080s-and-2083s)?_g=(refreshInterval:(display:Off,pause:!f,section:0,value:0),time:(from:'2017-06-17T18:02:27-0600',mode:absolute,to:'2017-06-17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9" s="197" t="str">
        <f>IF(AA189&lt;VLOOKUP(AG189,Variables!$AC$3:$AD$8,2,FALSE),"Y","N")</f>
        <v>N</v>
      </c>
      <c r="X189" s="197">
        <f t="shared" si="73"/>
        <v>1</v>
      </c>
      <c r="Y189" s="197">
        <f t="shared" si="53"/>
        <v>9.74E-2</v>
      </c>
      <c r="Z189" s="197">
        <f t="shared" si="54"/>
        <v>5.8178999999999998</v>
      </c>
      <c r="AA189" s="197">
        <f t="shared" si="55"/>
        <v>5.7204999999999995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6"/>
        <v>1827</v>
      </c>
      <c r="AE189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89" s="74" t="str">
        <f t="shared" si="58"/>
        <v>"C:\Program Files (x86)\AstroGrep\AstroGrep.exe" /e /r /s /spath="%USERPROFILE%\AppData\Local\Temp\OnboardLogs" /stypes="app*4050*20170618*" /stext=" 01:.+((SYSTEM_STATE.+slice.+state.+changed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1827-17 --locoid 4050 --swversion DE.1.0.9.0 --startMP 204:974 --initTime 2017-06-17T19:02:27 --startdatetime 2017-06-17T19:21:15 --delay 1 --endMP 300:58179 --enddatetime 2017-06-17T19:34:49 --enforcementcount 0 &gt;&gt;C:\Users\stu\Documents\GitHub\eaglep3-reporting\EC\2017-06-17-refined-times.txt</v>
      </c>
      <c r="AI189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{"issue":{"subject":"","project_id":79,"tracker_id":40,"status_id":1,"priority_id":2,"assigned_to_id":23,"start_date":"2017-06-17","description":"","custom_fields":[{"id":1,"name":"Subdivision","value":"NW"},{"id":4,"name":"Milepost","value":"5.8179"},{"id":17,"name":"Train ID","value":"1827-17"},{"id":16,"name":"Locomotive ID","value":"4050"},{"id":130,"name":"Impact","value":""},{"id":150,"name":"Time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2"/>
        <v>start /low /b %USERPROFILE%\Documents\GitHub\eaglep3\Utilities\DownloadLogsFromS3.py --loco 4050 --day 2017-06-17</v>
      </c>
      <c r="AN189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801</v>
      </c>
      <c r="B190" s="7">
        <v>4049</v>
      </c>
      <c r="C190" s="21" t="s">
        <v>202</v>
      </c>
      <c r="D190" s="21" t="s">
        <v>908</v>
      </c>
      <c r="E190" s="13">
        <v>42903.818391203706</v>
      </c>
      <c r="F190" s="13">
        <v>42903.8203125</v>
      </c>
      <c r="G190" s="7">
        <v>1</v>
      </c>
      <c r="H190" s="21" t="s">
        <v>577</v>
      </c>
      <c r="I190" s="13">
        <v>42903.830555555556</v>
      </c>
      <c r="J190" s="7">
        <v>0</v>
      </c>
      <c r="K190" s="89" t="str">
        <f t="shared" si="49"/>
        <v>4049/4050</v>
      </c>
      <c r="L190" s="21" t="str">
        <f>VLOOKUP(A190,'Trips&amp;Operators'!$C$1:$G$99999,5,FALSE)</f>
        <v>MCREYNOLDS KYLE</v>
      </c>
      <c r="M190" s="6">
        <f t="shared" si="50"/>
        <v>1.0243055556202307E-2</v>
      </c>
      <c r="N190" s="7">
        <f t="shared" si="74"/>
        <v>14.750000000931323</v>
      </c>
      <c r="O190" s="7"/>
      <c r="P190" s="7"/>
      <c r="Q190" s="22"/>
      <c r="R190" s="170"/>
      <c r="S190" s="213">
        <f t="shared" si="75"/>
        <v>1</v>
      </c>
      <c r="T190" s="195" t="str">
        <f t="shared" si="51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2"/>
        <v>https://d0f6bd738d7f1b3e5a7ca70fe4ff75f0.us-east-1.aws.found.io/app/kibana#/discover/Steve-Slow-Train-Analysis-(2080s-and-2083s)?_g=(refreshInterval:(display:Off,pause:!f,section:0,value:0),time:(from:'2017-06-17T18:38:29-0600',mode:absolute,to:'2017-06-17T20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0" s="197" t="str">
        <f>IF(AA190&lt;VLOOKUP(AG190,Variables!$AC$3:$AD$8,2,FALSE),"Y","N")</f>
        <v>N</v>
      </c>
      <c r="X190" s="197">
        <f t="shared" si="73"/>
        <v>1</v>
      </c>
      <c r="Y190" s="197">
        <f t="shared" si="53"/>
        <v>5.8655999999999997</v>
      </c>
      <c r="Z190" s="197">
        <f t="shared" si="54"/>
        <v>6.6799999999999998E-2</v>
      </c>
      <c r="AA190" s="197">
        <f t="shared" si="55"/>
        <v>5.7988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6"/>
        <v>1828</v>
      </c>
      <c r="AE190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90" s="74" t="str">
        <f t="shared" si="58"/>
        <v>"C:\Program Files (x86)\AstroGrep\AstroGrep.exe" /e /r /s /spath="%USERPROFILE%\AppData\Local\Temp\OnboardLogs" /stypes="app*4049*20170618*" /stext=" 01:.+((SYSTEM_STATE.+slice.+state.+changed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1828-17 --locoid 4049 --swversion DE.1.0.9.0 --startMP 300:58656 --initTime 2017-06-17T19:38:29 --startdatetime 2017-06-17T19:41:15 --delay 1 --endMP 204:668 --enddatetime 2017-06-17T19:56:00 --enforcementcount 0 &gt;&gt;C:\Users\stu\Documents\GitHub\eaglep3-reporting\EC\2017-06-17-refined-times.txt</v>
      </c>
      <c r="AI190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{"issue":{"subject":"","project_id":79,"tracker_id":40,"status_id":1,"priority_id":2,"assigned_to_id":23,"start_date":"2017-06-17","description":"","custom_fields":[{"id":1,"name":"Subdivision","value":"NW"},{"id":4,"name":"Milepost","value":"0.0668"},{"id":17,"name":"Train ID","value":"1828-17"},{"id":16,"name":"Locomotive ID","value":"4049"},{"id":130,"name":"Impact","value":""},{"id":150,"name":"Time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4049 --day 2017-06-17</v>
      </c>
      <c r="AN190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805</v>
      </c>
      <c r="B191" s="7">
        <v>4050</v>
      </c>
      <c r="C191" s="21" t="s">
        <v>202</v>
      </c>
      <c r="D191" s="21" t="s">
        <v>584</v>
      </c>
      <c r="E191" s="13">
        <v>42903.837743055556</v>
      </c>
      <c r="F191" s="13">
        <v>42903.84820601852</v>
      </c>
      <c r="G191" s="7">
        <v>1</v>
      </c>
      <c r="H191" s="21" t="s">
        <v>909</v>
      </c>
      <c r="I191" s="13">
        <v>42903.858668981484</v>
      </c>
      <c r="J191" s="7">
        <v>0</v>
      </c>
      <c r="K191" s="89" t="str">
        <f t="shared" si="49"/>
        <v>4049/4050</v>
      </c>
      <c r="L191" s="21" t="str">
        <f>VLOOKUP(A191,'Trips&amp;Operators'!$C$1:$G$99999,5,FALSE)</f>
        <v>MCREYNOLDS KYLE</v>
      </c>
      <c r="M191" s="6">
        <f t="shared" si="50"/>
        <v>1.0462962964083999E-2</v>
      </c>
      <c r="N191" s="7">
        <f t="shared" si="74"/>
        <v>15.066666668280959</v>
      </c>
      <c r="O191" s="7"/>
      <c r="P191" s="7"/>
      <c r="Q191" s="22"/>
      <c r="R191" s="170"/>
      <c r="S191" s="213">
        <f t="shared" si="75"/>
        <v>1</v>
      </c>
      <c r="T191" s="195" t="str">
        <f t="shared" si="51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2"/>
        <v>https://d0f6bd738d7f1b3e5a7ca70fe4ff75f0.us-east-1.aws.found.io/app/kibana#/discover/Steve-Slow-Train-Analysis-(2080s-and-2083s)?_g=(refreshInterval:(display:Off,pause:!f,section:0,value:0),time:(from:'2017-06-17T19:06:21-0600',mode:absolute,to:'2017-06-17T21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1" s="197" t="str">
        <f>IF(AA191&lt;VLOOKUP(AG191,Variables!$AC$3:$AD$8,2,FALSE),"Y","N")</f>
        <v>N</v>
      </c>
      <c r="X191" s="197">
        <f t="shared" si="73"/>
        <v>1</v>
      </c>
      <c r="Y191" s="197">
        <f t="shared" si="53"/>
        <v>9.5000000000000001E-2</v>
      </c>
      <c r="Z191" s="197">
        <f t="shared" si="54"/>
        <v>5.8945999999999996</v>
      </c>
      <c r="AA191" s="197">
        <f t="shared" si="55"/>
        <v>5.7995999999999999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6"/>
        <v>1829</v>
      </c>
      <c r="AE191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91" s="74" t="str">
        <f t="shared" si="58"/>
        <v>"C:\Program Files (x86)\AstroGrep\AstroGrep.exe" /e /r /s /spath="%USERPROFILE%\AppData\Local\Temp\OnboardLogs" /stypes="app*4050*20170618*" /stext=" 02:.+((SYSTEM_STATE.+slice.+state.+changed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1829-17 --locoid 4050 --swversion DE.1.0.9.0 --startMP 204:950 --initTime 2017-06-17T20:06:21 --startdatetime 2017-06-17T20:21:25 --delay 1 --endMP 300:58946 --enddatetime 2017-06-17T20:36:29 --enforcementcount 0 &gt;&gt;C:\Users\stu\Documents\GitHub\eaglep3-reporting\EC\2017-06-17-refined-times.txt</v>
      </c>
      <c r="AI191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{"issue":{"subject":"","project_id":79,"tracker_id":40,"status_id":1,"priority_id":2,"assigned_to_id":23,"start_date":"2017-06-17","description":"","custom_fields":[{"id":1,"name":"Subdivision","value":"NW"},{"id":4,"name":"Milepost","value":"5.8946"},{"id":17,"name":"Train ID","value":"1829-17"},{"id":16,"name":"Locomotive ID","value":"4050"},{"id":130,"name":"Impact","value":""},{"id":150,"name":"Time of Event (Mountain Time)","value":"20:36:29"},{"id":151,"name":"Denver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2"/>
        <v>start /low /b %USERPROFILE%\Documents\GitHub\eaglep3\Utilities\DownloadLogsFromS3.py --loco 4050 --day 2017-06-17</v>
      </c>
      <c r="AN191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808</v>
      </c>
      <c r="B192" s="7">
        <v>4049</v>
      </c>
      <c r="C192" s="21" t="s">
        <v>202</v>
      </c>
      <c r="D192" s="21" t="s">
        <v>912</v>
      </c>
      <c r="E192" s="13">
        <v>42903.860555555555</v>
      </c>
      <c r="F192" s="13">
        <v>42903.862013888887</v>
      </c>
      <c r="G192" s="7">
        <v>1</v>
      </c>
      <c r="H192" s="21" t="s">
        <v>913</v>
      </c>
      <c r="I192" s="13">
        <v>42903.871655092589</v>
      </c>
      <c r="J192" s="7">
        <v>0</v>
      </c>
      <c r="K192" s="89" t="str">
        <f t="shared" si="49"/>
        <v>4049/4050</v>
      </c>
      <c r="L192" s="21" t="str">
        <f>VLOOKUP(A192,'Trips&amp;Operators'!$C$1:$G$99999,5,FALSE)</f>
        <v>MCREYNOLDS KYLE</v>
      </c>
      <c r="M192" s="6">
        <f t="shared" si="50"/>
        <v>9.6412037019035779E-3</v>
      </c>
      <c r="N192" s="7">
        <f t="shared" si="74"/>
        <v>13.883333330741152</v>
      </c>
      <c r="O192" s="7"/>
      <c r="P192" s="7"/>
      <c r="Q192" s="22"/>
      <c r="R192" s="170"/>
      <c r="S192" s="213">
        <f t="shared" si="75"/>
        <v>1</v>
      </c>
      <c r="T192" s="195" t="str">
        <f t="shared" si="51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2"/>
        <v>https://d0f6bd738d7f1b3e5a7ca70fe4ff75f0.us-east-1.aws.found.io/app/kibana#/discover/Steve-Slow-Train-Analysis-(2080s-and-2083s)?_g=(refreshInterval:(display:Off,pause:!f,section:0,value:0),time:(from:'2017-06-17T19:39:12-0600',mode:absolute,to:'2017-06-17T21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2" s="197" t="str">
        <f>IF(AA192&lt;VLOOKUP(AG192,Variables!$AC$3:$AD$8,2,FALSE),"Y","N")</f>
        <v>N</v>
      </c>
      <c r="X192" s="197">
        <f t="shared" si="73"/>
        <v>1</v>
      </c>
      <c r="Y192" s="197">
        <f t="shared" si="53"/>
        <v>5.8634000000000004</v>
      </c>
      <c r="Z192" s="197">
        <f t="shared" si="54"/>
        <v>6.8000000000000005E-2</v>
      </c>
      <c r="AA192" s="197">
        <f t="shared" si="55"/>
        <v>5.7954000000000008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6"/>
        <v>1830</v>
      </c>
      <c r="AE192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92" s="74" t="str">
        <f t="shared" si="58"/>
        <v>"C:\Program Files (x86)\AstroGrep\AstroGrep.exe" /e /r /s /spath="%USERPROFILE%\AppData\Local\Temp\OnboardLogs" /stypes="app*4049*20170618*" /stext=" 02:.+((SYSTEM_STATE.+slice.+state.+changed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1830-17 --locoid 4049 --swversion DE.1.0.9.0 --startMP 300:58634 --initTime 2017-06-17T20:39:12 --startdatetime 2017-06-17T20:41:18 --delay 1 --endMP 204:680 --enddatetime 2017-06-17T20:55:11 --enforcementcount 0 &gt;&gt;C:\Users\stu\Documents\GitHub\eaglep3-reporting\EC\2017-06-17-refined-times.txt</v>
      </c>
      <c r="AI192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{"issue":{"subject":"","project_id":79,"tracker_id":40,"status_id":1,"priority_id":2,"assigned_to_id":23,"start_date":"2017-06-17","description":"","custom_fields":[{"id":1,"name":"Subdivision","value":"NW"},{"id":4,"name":"Milepost","value":"0.068"},{"id":17,"name":"Train ID","value":"1830-17"},{"id":16,"name":"Locomotive ID","value":"4049"},{"id":130,"name":"Impact","value":""},{"id":150,"name":"Time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2"/>
        <v>start /low /b %USERPROFILE%\Documents\GitHub\eaglep3\Utilities\DownloadLogsFromS3.py --loco 4049 --day 2017-06-17</v>
      </c>
      <c r="AN192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811</v>
      </c>
      <c r="B193" s="7">
        <v>4050</v>
      </c>
      <c r="C193" s="21" t="s">
        <v>202</v>
      </c>
      <c r="D193" s="21" t="s">
        <v>585</v>
      </c>
      <c r="E193" s="13">
        <v>42903.873472222222</v>
      </c>
      <c r="F193" s="13">
        <v>42903.889756944445</v>
      </c>
      <c r="G193" s="7">
        <v>1</v>
      </c>
      <c r="H193" s="21" t="s">
        <v>914</v>
      </c>
      <c r="I193" s="13">
        <v>42903.899583333332</v>
      </c>
      <c r="J193" s="7">
        <v>0</v>
      </c>
      <c r="K193" s="89" t="str">
        <f t="shared" si="49"/>
        <v>4049/4050</v>
      </c>
      <c r="L193" s="21" t="str">
        <f>VLOOKUP(A193,'Trips&amp;Operators'!$C$1:$G$99999,5,FALSE)</f>
        <v>MCREYNOLDS KYLE</v>
      </c>
      <c r="M193" s="6">
        <f t="shared" si="50"/>
        <v>9.8263888867222704E-3</v>
      </c>
      <c r="N193" s="7">
        <f t="shared" si="74"/>
        <v>14.149999996880069</v>
      </c>
      <c r="O193" s="7"/>
      <c r="P193" s="7"/>
      <c r="Q193" s="22"/>
      <c r="R193" s="170"/>
      <c r="S193" s="213">
        <f t="shared" si="75"/>
        <v>1</v>
      </c>
      <c r="T193" s="195" t="str">
        <f t="shared" si="51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2"/>
        <v>https://d0f6bd738d7f1b3e5a7ca70fe4ff75f0.us-east-1.aws.found.io/app/kibana#/discover/Steve-Slow-Train-Analysis-(2080s-and-2083s)?_g=(refreshInterval:(display:Off,pause:!f,section:0,value:0),time:(from:'2017-06-17T19:57:48-0600',mode:absolute,to:'2017-06-17T22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3" s="197" t="str">
        <f>IF(AA193&lt;VLOOKUP(AG193,Variables!$AC$3:$AD$8,2,FALSE),"Y","N")</f>
        <v>N</v>
      </c>
      <c r="X193" s="197">
        <f t="shared" si="73"/>
        <v>1</v>
      </c>
      <c r="Y193" s="197">
        <f t="shared" si="53"/>
        <v>9.6000000000000002E-2</v>
      </c>
      <c r="Z193" s="197">
        <f t="shared" si="54"/>
        <v>5.8963000000000001</v>
      </c>
      <c r="AA193" s="197">
        <f t="shared" si="55"/>
        <v>5.8003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6"/>
        <v>1831</v>
      </c>
      <c r="AE193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93" s="74" t="str">
        <f t="shared" si="58"/>
        <v>"C:\Program Files (x86)\AstroGrep\AstroGrep.exe" /e /r /s /spath="%USERPROFILE%\AppData\Local\Temp\OnboardLogs" /stypes="app*4050*20170618*" /stext=" 03:.+((SYSTEM_STATE.+slice.+state.+changed )|(ment ac)|(multiple cpu faults)|(system.+state.+changed )|(\[timeout)|(PRM\|1\|D)|(kpr)|(kdp)|(train st.+moving)|(\|lc)|(penalty))"</v>
      </c>
      <c r="AG193" s="209" t="str">
        <f t="shared" si="59"/>
        <v>NW</v>
      </c>
      <c r="AH193" s="78" t="str">
        <f t="shared" si="60"/>
        <v>"%USERPROFILE%\Documents\GitHub\eaglep3\Utilities\RefineRTDCRunTimes.py" --tripid 1831-17 --locoid 4050 --swversion DE.1.0.9.0 --startMP 204:960 --initTime 2017-06-17T20:57:48 --startdatetime 2017-06-17T21:21:15 --delay 1 --endMP 300:58963 --enddatetime 2017-06-17T21:35:24 --enforcementcount 0 &gt;&gt;C:\Users\stu\Documents\GitHub\eaglep3-reporting\EC\2017-06-17-refined-times.txt</v>
      </c>
      <c r="AI193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{"issue":{"subject":"","project_id":79,"tracker_id":40,"status_id":1,"priority_id":2,"assigned_to_id":23,"start_date":"2017-06-17","description":"","custom_fields":[{"id":1,"name":"Subdivision","value":"NW"},{"id":4,"name":"Milepost","value":"5.8963"},{"id":17,"name":"Train ID","value":"1831-17"},{"id":16,"name":"Locomotive ID","value":"4050"},{"id":130,"name":"Impact","value":""},{"id":150,"name":"Time of Event (Mountain Time)","value":"21:35:24"},{"id":151,"name":"Denver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2"/>
        <v>start /low /b %USERPROFILE%\Documents\GitHub\eaglep3\Utilities\DownloadLogsFromS3.py --loco 4050 --day 2017-06-17</v>
      </c>
      <c r="AN193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813</v>
      </c>
      <c r="B194" s="7">
        <v>4049</v>
      </c>
      <c r="C194" s="21" t="s">
        <v>202</v>
      </c>
      <c r="D194" s="21" t="s">
        <v>915</v>
      </c>
      <c r="E194" s="13">
        <v>42903.90148148148</v>
      </c>
      <c r="F194" s="13">
        <v>42903.90320601852</v>
      </c>
      <c r="G194" s="7">
        <v>1</v>
      </c>
      <c r="H194" s="21" t="s">
        <v>916</v>
      </c>
      <c r="I194" s="13">
        <v>42903.913298611114</v>
      </c>
      <c r="J194" s="7">
        <v>0</v>
      </c>
      <c r="K194" s="89" t="str">
        <f t="shared" si="49"/>
        <v>4049/4050</v>
      </c>
      <c r="L194" s="21" t="str">
        <f>VLOOKUP(A194,'Trips&amp;Operators'!$C$1:$G$99999,5,FALSE)</f>
        <v>MCREYNOLDS KYLE</v>
      </c>
      <c r="M194" s="6">
        <f t="shared" si="50"/>
        <v>1.0092592594446614E-2</v>
      </c>
      <c r="N194" s="7">
        <f t="shared" si="74"/>
        <v>14.533333336003125</v>
      </c>
      <c r="O194" s="7"/>
      <c r="P194" s="7"/>
      <c r="Q194" s="22"/>
      <c r="R194" s="170"/>
      <c r="S194" s="213">
        <f t="shared" si="75"/>
        <v>1</v>
      </c>
      <c r="T194" s="195" t="str">
        <f t="shared" si="51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2"/>
        <v>https://d0f6bd738d7f1b3e5a7ca70fe4ff75f0.us-east-1.aws.found.io/app/kibana#/discover/Steve-Slow-Train-Analysis-(2080s-and-2083s)?_g=(refreshInterval:(display:Off,pause:!f,section:0,value:0),time:(from:'2017-06-17T20:38:08-0600',mode:absolute,to:'2017-06-17T22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197" t="str">
        <f>IF(AA194&lt;VLOOKUP(AG194,Variables!$AC$3:$AD$8,2,FALSE),"Y","N")</f>
        <v>N</v>
      </c>
      <c r="X194" s="197">
        <f t="shared" si="73"/>
        <v>1</v>
      </c>
      <c r="Y194" s="197">
        <f t="shared" si="53"/>
        <v>5.8654999999999999</v>
      </c>
      <c r="Z194" s="197">
        <f t="shared" si="54"/>
        <v>6.7100000000000007E-2</v>
      </c>
      <c r="AA194" s="197">
        <f t="shared" si="55"/>
        <v>5.7984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6"/>
        <v>1832</v>
      </c>
      <c r="AE194" s="77" t="str">
        <f t="shared" si="57"/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AF194" s="74" t="str">
        <f t="shared" si="58"/>
        <v>"C:\Program Files (x86)\AstroGrep\AstroGrep.exe" /e /r /s /spath="%USERPROFILE%\AppData\Local\Temp\OnboardLogs" /stypes="app*4049*20170618*" /stext=" 03:.+((SYSTEM_STATE.+slice.+state.+changed )|(ment ac)|(multiple cpu faults)|(system.+state.+changed )|(\[timeout)|(PRM\|1\|D)|(kpr)|(kdp)|(train st.+moving)|(\|lc)|(penalty))"</v>
      </c>
      <c r="AG194" s="209" t="str">
        <f t="shared" si="59"/>
        <v>NW</v>
      </c>
      <c r="AH194" s="78" t="str">
        <f t="shared" si="60"/>
        <v>"%USERPROFILE%\Documents\GitHub\eaglep3\Utilities\RefineRTDCRunTimes.py" --tripid 1832-17 --locoid 4049 --swversion DE.1.0.9.0 --startMP 300:58655 --initTime 2017-06-17T21:38:08 --startdatetime 2017-06-17T21:40:37 --delay 1 --endMP 204:671 --enddatetime 2017-06-17T21:55:09 --enforcementcount 0 &gt;&gt;C:\Users\stu\Documents\GitHub\eaglep3-reporting\EC\2017-06-17-refined-times.txt</v>
      </c>
      <c r="AI194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{"issue":{"subject":"","project_id":79,"tracker_id":40,"status_id":1,"priority_id":2,"assigned_to_id":23,"start_date":"2017-06-17","description":"","custom_fields":[{"id":1,"name":"Subdivision","value":"NW"},{"id":4,"name":"Milepost","value":"0.0671"},{"id":17,"name":"Train ID","value":"1832-17"},{"id":16,"name":"Locomotive ID","value":"4049"},{"id":130,"name":"Impact","value":""},{"id":150,"name":"Time of Event (Mountain Time)","value":"21:55:09"},{"id":151,"name":"Denver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4049 --day 2017-06-17</v>
      </c>
      <c r="AN194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816</v>
      </c>
      <c r="B195" s="7">
        <v>4050</v>
      </c>
      <c r="C195" s="21" t="s">
        <v>202</v>
      </c>
      <c r="D195" s="21" t="s">
        <v>585</v>
      </c>
      <c r="E195" s="13">
        <v>42903.914942129632</v>
      </c>
      <c r="F195" s="13">
        <v>42903.931423611109</v>
      </c>
      <c r="G195" s="7">
        <v>1</v>
      </c>
      <c r="H195" s="21" t="s">
        <v>917</v>
      </c>
      <c r="I195" s="13">
        <v>42903.941562499997</v>
      </c>
      <c r="J195" s="7">
        <v>0</v>
      </c>
      <c r="K195" s="89" t="str">
        <f t="shared" si="49"/>
        <v>4049/4050</v>
      </c>
      <c r="L195" s="21" t="str">
        <f>VLOOKUP(A195,'Trips&amp;Operators'!$C$1:$G$99999,5,FALSE)</f>
        <v>MCREYNOLDS KYLE</v>
      </c>
      <c r="M195" s="6">
        <f t="shared" si="50"/>
        <v>1.0138888887013309E-2</v>
      </c>
      <c r="N195" s="7">
        <f t="shared" si="74"/>
        <v>14.599999997299165</v>
      </c>
      <c r="O195" s="7"/>
      <c r="P195" s="7"/>
      <c r="Q195" s="22"/>
      <c r="R195" s="170"/>
      <c r="S195" s="213">
        <f t="shared" si="75"/>
        <v>1</v>
      </c>
      <c r="T195" s="195" t="str">
        <f t="shared" si="51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2"/>
        <v>https://d0f6bd738d7f1b3e5a7ca70fe4ff75f0.us-east-1.aws.found.io/app/kibana#/discover/Steve-Slow-Train-Analysis-(2080s-and-2083s)?_g=(refreshInterval:(display:Off,pause:!f,section:0,value:0),time:(from:'2017-06-17T20:57:31-0600',mode:absolute,to:'2017-06-17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197" t="str">
        <f>IF(AA195&lt;VLOOKUP(AG195,Variables!$AC$3:$AD$8,2,FALSE),"Y","N")</f>
        <v>N</v>
      </c>
      <c r="X195" s="197">
        <f t="shared" si="73"/>
        <v>1</v>
      </c>
      <c r="Y195" s="197">
        <f t="shared" si="53"/>
        <v>9.6000000000000002E-2</v>
      </c>
      <c r="Z195" s="197">
        <f t="shared" si="54"/>
        <v>5.8943000000000003</v>
      </c>
      <c r="AA195" s="197">
        <f t="shared" si="55"/>
        <v>5.7983000000000002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6"/>
        <v>1833</v>
      </c>
      <c r="AE195" s="77" t="str">
        <f t="shared" si="57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195" s="74" t="str">
        <f t="shared" si="58"/>
        <v>"C:\Program Files (x86)\AstroGrep\AstroGrep.exe" /e /r /s /spath="%USERPROFILE%\AppData\Local\Temp\OnboardLogs" /stypes="app*4050*20170618*" /stext=" 04:.+((SYSTEM_STATE.+slice.+state.+changed )|(ment ac)|(multiple cpu faults)|(system.+state.+changed )|(\[timeout)|(PRM\|1\|D)|(kpr)|(kdp)|(train st.+moving)|(\|lc)|(penalty))"</v>
      </c>
      <c r="AG195" s="209" t="str">
        <f t="shared" si="59"/>
        <v>NW</v>
      </c>
      <c r="AH195" s="78" t="str">
        <f t="shared" si="60"/>
        <v>"%USERPROFILE%\Documents\GitHub\eaglep3\Utilities\RefineRTDCRunTimes.py" --tripid 1833-17 --locoid 4050 --swversion DE.1.0.9.0 --startMP 204:960 --initTime 2017-06-17T21:57:31 --startdatetime 2017-06-17T22:21:15 --delay 1 --endMP 300:58943 --enddatetime 2017-06-17T22:35:51 --enforcementcount 0 &gt;&gt;C:\Users\stu\Documents\GitHub\eaglep3-reporting\EC\2017-06-17-refined-times.txt</v>
      </c>
      <c r="AI195" s="96" t="str">
        <f t="shared" si="61"/>
        <v>echo {"issue":{"subject":"","project_id":79,"tracker_id":40,"status_id":1,"priority_id":2,"assigned_to_id":23,"start_date":"2017-06-17","description":"","custom_fields":[{"id":1,"name":"Subdivision","value":"NW"},{"id":4,"name":"Milepost","value":"5.8943"},{"id":17,"name":"Train ID","value":"1833-17"},{"id":16,"name":"Locomotive ID","value":"4050"},{"id":130,"name":"Impact","value":""},{"id":150,"name":"Time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2"/>
        <v>start /low /b %USERPROFILE%\Documents\GitHub\eaglep3\Utilities\DownloadLogsFromS3.py --loco 4050 --day 2017-06-17</v>
      </c>
      <c r="AN195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639</v>
      </c>
      <c r="B196" s="7">
        <v>4053</v>
      </c>
      <c r="C196" s="21" t="s">
        <v>202</v>
      </c>
      <c r="D196" s="21" t="s">
        <v>950</v>
      </c>
      <c r="E196" s="13">
        <v>42903.116909722223</v>
      </c>
      <c r="F196" s="13">
        <v>42903.12263888889</v>
      </c>
      <c r="G196" s="7">
        <v>8</v>
      </c>
      <c r="H196" s="21" t="s">
        <v>349</v>
      </c>
      <c r="I196" s="13">
        <v>42903.128692129627</v>
      </c>
      <c r="J196" s="7">
        <v>0</v>
      </c>
      <c r="K196" s="89" t="str">
        <f t="shared" si="49"/>
        <v>4053/4054</v>
      </c>
      <c r="L196" s="21" t="str">
        <f>VLOOKUP(A196,'Trips&amp;Operators'!$C$1:$G$99999,5,FALSE)</f>
        <v>MAELZER KURT</v>
      </c>
      <c r="M196" s="6">
        <f t="shared" si="50"/>
        <v>6.0532407369464636E-3</v>
      </c>
      <c r="N196" s="7">
        <f t="shared" si="74"/>
        <v>8.7166666612029076</v>
      </c>
      <c r="O196" s="7"/>
      <c r="P196" s="7"/>
      <c r="Q196" s="22"/>
      <c r="R196" s="170"/>
      <c r="S196" s="213">
        <f t="shared" si="75"/>
        <v>1</v>
      </c>
      <c r="T196" s="195" t="str">
        <f t="shared" si="51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2"/>
        <v>https://d0f6bd738d7f1b3e5a7ca70fe4ff75f0.us-east-1.aws.found.io/app/kibana#/discover/Steve-Slow-Train-Analysis-(2080s-and-2083s)?_g=(refreshInterval:(display:Off,pause:!f,section:0,value:0),time:(from:'2017-06-17T01:48:21-0600',mode:absolute,to:'2017-06-17T04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7" t="str">
        <f>IF(AA196&lt;VLOOKUP(AG196,Variables!$AC$3:$AD$8,2,FALSE),"Y","N")</f>
        <v>Y</v>
      </c>
      <c r="X196" s="197">
        <f t="shared" si="73"/>
        <v>-1533</v>
      </c>
      <c r="Y196" s="197">
        <f t="shared" si="53"/>
        <v>2.3071000000000002</v>
      </c>
      <c r="Z196" s="197">
        <f t="shared" si="54"/>
        <v>1.4999999999999999E-2</v>
      </c>
      <c r="AA196" s="197">
        <f t="shared" si="55"/>
        <v>2.2921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6"/>
        <v>300</v>
      </c>
      <c r="AE196" s="77" t="str">
        <f t="shared" si="57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196" s="74" t="str">
        <f t="shared" si="58"/>
        <v>"C:\Program Files (x86)\AstroGrep\AstroGrep.exe" /e /r /s /spath="%USERPROFILE%\AppData\Local\Temp\OnboardLogs" /stypes="app*4053*20170617*" /stext=" 09:.+((SYSTEM_STATE.+slice.+state.+changed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300-17 --locoid 4053 --swversion DE.1.0.9.0 --startMP 300:23071 --initTime 2017-06-17T02:48:21 --startdatetime 2017-06-17T02:56:36 --delay 8 --endMP 204:150 --enddatetime 2017-06-17T03:05:19 --enforcementcount 0 &gt;&gt;C:\Users\stu\Documents\GitHub\eaglep3-reporting\EC\2017-06-17-refined-times.txt</v>
      </c>
      <c r="AI196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{"issue":{"subject":"","project_id":79,"tracker_id":40,"status_id":1,"priority_id":2,"assigned_to_id":23,"start_date":"2017-06-17","description":"","custom_fields":[{"id":1,"name":"Subdivision","value":"Other"},{"id":4,"name":"Milepost","value":"0.015"},{"id":17,"name":"Train ID","value":"300-17"},{"id":16,"name":"Locomotive ID","value":"4053"},{"id":130,"name":"Impact","value":""},{"id":150,"name":"Time of Event (Mountain Time)","value":"03:05:19"},{"id":151,"name":"Denver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2"/>
        <v>start /low /b %USERPROFILE%\Documents\GitHub\eaglep3\Utilities\DownloadLogsFromS3.py --loco 4053 --day 2017-06-17</v>
      </c>
      <c r="AN196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794</v>
      </c>
      <c r="B197" s="7">
        <v>4004</v>
      </c>
      <c r="C197" s="21" t="s">
        <v>202</v>
      </c>
      <c r="D197" s="21" t="s">
        <v>352</v>
      </c>
      <c r="E197" s="13">
        <v>42903.777037037034</v>
      </c>
      <c r="F197" s="13">
        <v>42903.779016203705</v>
      </c>
      <c r="G197" s="7">
        <v>1</v>
      </c>
      <c r="H197" s="21" t="s">
        <v>951</v>
      </c>
      <c r="I197" s="13">
        <v>42903.78570601852</v>
      </c>
      <c r="J197" s="7">
        <v>0</v>
      </c>
      <c r="K197" s="89" t="str">
        <f t="shared" si="49"/>
        <v>4003/4004</v>
      </c>
      <c r="L197" s="21" t="str">
        <f>VLOOKUP(A197,'Trips&amp;Operators'!$C$1:$G$99999,5,FALSE)</f>
        <v>BRUDER RICHARD</v>
      </c>
      <c r="M197" s="6">
        <f t="shared" si="50"/>
        <v>6.6898148143081926E-3</v>
      </c>
      <c r="N197" s="7">
        <f t="shared" si="74"/>
        <v>9.6333333326037973</v>
      </c>
      <c r="O197" s="7"/>
      <c r="P197" s="7"/>
      <c r="Q197" s="22"/>
      <c r="R197" s="170"/>
      <c r="S197" s="213">
        <f t="shared" si="75"/>
        <v>1</v>
      </c>
      <c r="T197" s="195" t="str">
        <f t="shared" si="51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2"/>
        <v>https://d0f6bd738d7f1b3e5a7ca70fe4ff75f0.us-east-1.aws.found.io/app/kibana#/discover/Steve-Slow-Train-Analysis-(2080s-and-2083s)?_g=(refreshInterval:(display:Off,pause:!f,section:0,value:0),time:(from:'2017-06-17T17:38:56-0600',mode:absolute,to:'2017-06-17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7" s="197" t="str">
        <f>IF(AA197&lt;VLOOKUP(AG197,Variables!$AC$3:$AD$8,2,FALSE),"Y","N")</f>
        <v>Y</v>
      </c>
      <c r="X197" s="197">
        <f t="shared" si="73"/>
        <v>1</v>
      </c>
      <c r="Y197" s="197">
        <f t="shared" si="53"/>
        <v>4.6600000000000003E-2</v>
      </c>
      <c r="Z197" s="197">
        <f t="shared" si="54"/>
        <v>2.3287</v>
      </c>
      <c r="AA197" s="197">
        <f t="shared" si="55"/>
        <v>2.2820999999999998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6"/>
        <v>301</v>
      </c>
      <c r="AE197" s="77" t="str">
        <f t="shared" si="57"/>
        <v>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 &amp; 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</v>
      </c>
      <c r="AF197" s="74" t="str">
        <f t="shared" si="58"/>
        <v>"C:\Program Files (x86)\AstroGrep\AstroGrep.exe" /e /r /s /spath="%USERPROFILE%\AppData\Local\Temp\OnboardLogs" /stypes="app*4004*20170618*" /stext=" 00:.+((SYSTEM_STATE.+slice.+state.+changed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301-17 --locoid 4004 --swversion DE.1.0.9.0 --startMP 204:466 --initTime 2017-06-17T18:38:56 --startdatetime 2017-06-17T18:41:47 --delay 1 --endMP 300:23287 --enddatetime 2017-06-17T18:51:25 --enforcementcount 0 &gt;&gt;C:\Users\stu\Documents\GitHub\eaglep3-reporting\EC\2017-06-17-refined-times.txt</v>
      </c>
      <c r="AI197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{"issue":{"subject":"","project_id":79,"tracker_id":40,"status_id":1,"priority_id":2,"assigned_to_id":23,"start_date":"2017-06-17","description":"","custom_fields":[{"id":1,"name":"Subdivision","value":"Other"},{"id":4,"name":"Milepost","value":"2.3287"},{"id":17,"name":"Train ID","value":"301-17"},{"id":16,"name":"Locomotive ID","value":"4004"},{"id":130,"name":"Impact","value":""},{"id":150,"name":"Time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4004 --day 2017-06-17</v>
      </c>
      <c r="AN197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646</v>
      </c>
      <c r="B198" s="7">
        <v>4039</v>
      </c>
      <c r="C198" s="21" t="s">
        <v>202</v>
      </c>
      <c r="D198" s="21" t="s">
        <v>952</v>
      </c>
      <c r="E198" s="13">
        <v>42903.137858796297</v>
      </c>
      <c r="F198" s="13">
        <v>42903.142476851855</v>
      </c>
      <c r="G198" s="7">
        <v>6</v>
      </c>
      <c r="H198" s="21" t="s">
        <v>193</v>
      </c>
      <c r="I198" s="13">
        <v>42903.147916666669</v>
      </c>
      <c r="J198" s="7">
        <v>0</v>
      </c>
      <c r="K198" s="89" t="str">
        <f t="shared" si="49"/>
        <v>4039/4040</v>
      </c>
      <c r="L198" s="21" t="str">
        <f>VLOOKUP(A198,'Trips&amp;Operators'!$C$1:$G$99999,5,FALSE)</f>
        <v>WILLIAMS DONTE</v>
      </c>
      <c r="M198" s="6">
        <f t="shared" si="50"/>
        <v>5.4398148131440394E-3</v>
      </c>
      <c r="N198" s="7">
        <f t="shared" si="74"/>
        <v>7.8333333309274167</v>
      </c>
      <c r="O198" s="7"/>
      <c r="P198" s="7"/>
      <c r="Q198" s="22"/>
      <c r="R198" s="170"/>
      <c r="S198" s="213">
        <f t="shared" si="75"/>
        <v>1</v>
      </c>
      <c r="T198" s="195" t="str">
        <f t="shared" si="51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2"/>
        <v>https://d0f6bd738d7f1b3e5a7ca70fe4ff75f0.us-east-1.aws.found.io/app/kibana#/discover/Steve-Slow-Train-Analysis-(2080s-and-2083s)?_g=(refreshInterval:(display:Off,pause:!f,section:0,value:0),time:(from:'2017-06-17T02:18:31-0600',mode:absolute,to:'2017-06-17T04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197" t="str">
        <f>IF(AA198&lt;VLOOKUP(AG198,Variables!$AC$3:$AD$8,2,FALSE),"Y","N")</f>
        <v>Y</v>
      </c>
      <c r="X198" s="197">
        <f t="shared" si="73"/>
        <v>1</v>
      </c>
      <c r="Y198" s="197">
        <f t="shared" si="53"/>
        <v>2.2273999999999998</v>
      </c>
      <c r="Z198" s="197">
        <f t="shared" si="54"/>
        <v>1.52E-2</v>
      </c>
      <c r="AA198" s="197">
        <f t="shared" si="55"/>
        <v>2.2121999999999997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6"/>
        <v>302</v>
      </c>
      <c r="AE198" s="77" t="str">
        <f t="shared" si="57"/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AF198" s="74" t="str">
        <f t="shared" si="58"/>
        <v>"C:\Program Files (x86)\AstroGrep\AstroGrep.exe" /e /r /s /spath="%USERPROFILE%\AppData\Local\Temp\OnboardLogs" /stypes="app*4039*20170617*" /stext=" 09:.+((SYSTEM_STATE.+slice.+state.+changed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302-17 --locoid 4039 --swversion DE.1.0.9.0 --startMP 300:22274 --initTime 2017-06-17T03:18:31 --startdatetime 2017-06-17T03:25:10 --delay 6 --endMP 204:152 --enddatetime 2017-06-17T03:33:00 --enforcementcount 0 &gt;&gt;C:\Users\stu\Documents\GitHub\eaglep3-reporting\EC\2017-06-17-refined-times.txt</v>
      </c>
      <c r="AI198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{"issue":{"subject":"","project_id":79,"tracker_id":40,"status_id":1,"priority_id":2,"assigned_to_id":23,"start_date":"2017-06-17","description":"","custom_fields":[{"id":1,"name":"Subdivision","value":"Other"},{"id":4,"name":"Milepost","value":"0.0152"},{"id":17,"name":"Train ID","value":"302-17"},{"id":16,"name":"Locomotive ID","value":"4039"},{"id":130,"name":"Impact","value":""},{"id":150,"name":"Time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2"/>
        <v>start /low /b %USERPROFILE%\Documents\GitHub\eaglep3\Utilities\DownloadLogsFromS3.py --loco 4039 --day 2017-06-17</v>
      </c>
      <c r="AN198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798</v>
      </c>
      <c r="B199" s="7">
        <v>4020</v>
      </c>
      <c r="C199" s="21" t="s">
        <v>202</v>
      </c>
      <c r="D199" s="21" t="s">
        <v>198</v>
      </c>
      <c r="E199" s="13">
        <v>42903.797094907408</v>
      </c>
      <c r="F199" s="13">
        <v>42903.79859953704</v>
      </c>
      <c r="G199" s="7">
        <v>1</v>
      </c>
      <c r="H199" s="21" t="s">
        <v>568</v>
      </c>
      <c r="I199" s="13">
        <v>42903.805196759262</v>
      </c>
      <c r="J199" s="7">
        <v>0</v>
      </c>
      <c r="K199" s="89" t="str">
        <f t="shared" si="49"/>
        <v>4019/4020</v>
      </c>
      <c r="L199" s="21" t="str">
        <f>VLOOKUP(A199,'Trips&amp;Operators'!$C$1:$G$99999,5,FALSE)</f>
        <v>DELGADO DIANAH</v>
      </c>
      <c r="M199" s="6">
        <f t="shared" si="50"/>
        <v>6.5972222218988463E-3</v>
      </c>
      <c r="N199" s="7">
        <f t="shared" si="74"/>
        <v>9.4999999995343387</v>
      </c>
      <c r="O199" s="7"/>
      <c r="P199" s="7"/>
      <c r="Q199" s="22"/>
      <c r="R199" s="170"/>
      <c r="S199" s="213">
        <f t="shared" si="75"/>
        <v>1</v>
      </c>
      <c r="T199" s="195" t="str">
        <f t="shared" si="51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2"/>
        <v>https://d0f6bd738d7f1b3e5a7ca70fe4ff75f0.us-east-1.aws.found.io/app/kibana#/discover/Steve-Slow-Train-Analysis-(2080s-and-2083s)?_g=(refreshInterval:(display:Off,pause:!f,section:0,value:0),time:(from:'2017-06-17T18:07:49-0600',mode:absolute,to:'2017-06-17T20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97" t="str">
        <f>IF(AA199&lt;VLOOKUP(AG199,Variables!$AC$3:$AD$8,2,FALSE),"Y","N")</f>
        <v>Y</v>
      </c>
      <c r="X199" s="197">
        <f t="shared" si="73"/>
        <v>1</v>
      </c>
      <c r="Y199" s="197">
        <f t="shared" si="53"/>
        <v>4.5699999999999998E-2</v>
      </c>
      <c r="Z199" s="197">
        <f t="shared" si="54"/>
        <v>2.3302</v>
      </c>
      <c r="AA199" s="197">
        <f t="shared" si="55"/>
        <v>2.2845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6"/>
        <v>303</v>
      </c>
      <c r="AE199" s="77" t="str">
        <f t="shared" si="57"/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AF199" s="74" t="str">
        <f t="shared" si="58"/>
        <v>"C:\Program Files (x86)\AstroGrep\AstroGrep.exe" /e /r /s /spath="%USERPROFILE%\AppData\Local\Temp\OnboardLogs" /stypes="app*4020*20170618*" /stext=" 01:.+((SYSTEM_STATE.+slice.+state.+changed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303-17 --locoid 4020 --swversion DE.1.0.9.0 --startMP 204:457 --initTime 2017-06-17T19:07:49 --startdatetime 2017-06-17T19:09:59 --delay 1 --endMP 300:23302 --enddatetime 2017-06-17T19:19:29 --enforcementcount 0 &gt;&gt;C:\Users\stu\Documents\GitHub\eaglep3-reporting\EC\2017-06-17-refined-times.txt</v>
      </c>
      <c r="AI199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{"issue":{"subject":"","project_id":79,"tracker_id":40,"status_id":1,"priority_id":2,"assigned_to_id":23,"start_date":"2017-06-17","description":"","custom_fields":[{"id":1,"name":"Subdivision","value":"Other"},{"id":4,"name":"Milepost","value":"2.3302"},{"id":17,"name":"Train ID","value":"303-17"},{"id":16,"name":"Locomotive ID","value":"4020"},{"id":130,"name":"Impact","value":""},{"id":150,"name":"Time of Event (Mountain Time)","value":"19:19:29"},{"id":151,"name":"Denver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2"/>
        <v>start /low /b %USERPROFILE%\Documents\GitHub\eaglep3\Utilities\DownloadLogsFromS3.py --loco 4020 --day 2017-06-17</v>
      </c>
      <c r="AN199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649</v>
      </c>
      <c r="B200" s="7">
        <v>4045</v>
      </c>
      <c r="C200" s="21" t="s">
        <v>202</v>
      </c>
      <c r="D200" s="21" t="s">
        <v>953</v>
      </c>
      <c r="E200" s="13">
        <v>42903.158495370371</v>
      </c>
      <c r="F200" s="13">
        <v>42903.161909722221</v>
      </c>
      <c r="G200" s="7">
        <v>4</v>
      </c>
      <c r="H200" s="21" t="s">
        <v>420</v>
      </c>
      <c r="I200" s="13">
        <v>42903.168043981481</v>
      </c>
      <c r="J200" s="7">
        <v>0</v>
      </c>
      <c r="K200" s="89" t="str">
        <f t="shared" si="49"/>
        <v>4045/4046</v>
      </c>
      <c r="L200" s="21" t="str">
        <f>VLOOKUP(A200,'Trips&amp;Operators'!$C$1:$G$99999,5,FALSE)</f>
        <v>DAVIS WENDY</v>
      </c>
      <c r="M200" s="6">
        <f t="shared" si="50"/>
        <v>6.1342592598521151E-3</v>
      </c>
      <c r="N200" s="7">
        <f t="shared" si="74"/>
        <v>8.8333333341870457</v>
      </c>
      <c r="O200" s="7"/>
      <c r="P200" s="7"/>
      <c r="Q200" s="22"/>
      <c r="R200" s="170"/>
      <c r="S200" s="213">
        <f t="shared" si="75"/>
        <v>1</v>
      </c>
      <c r="T200" s="195" t="str">
        <f t="shared" si="51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2"/>
        <v>https://d0f6bd738d7f1b3e5a7ca70fe4ff75f0.us-east-1.aws.found.io/app/kibana#/discover/Steve-Slow-Train-Analysis-(2080s-and-2083s)?_g=(refreshInterval:(display:Off,pause:!f,section:0,value:0),time:(from:'2017-06-17T02:48:14-0600',mode:absolute,to:'2017-06-17T05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197" t="str">
        <f>IF(AA200&lt;VLOOKUP(AG200,Variables!$AC$3:$AD$8,2,FALSE),"Y","N")</f>
        <v>Y</v>
      </c>
      <c r="X200" s="197">
        <f t="shared" si="73"/>
        <v>1</v>
      </c>
      <c r="Y200" s="197">
        <f t="shared" si="53"/>
        <v>2.3451</v>
      </c>
      <c r="Z200" s="197">
        <f t="shared" si="54"/>
        <v>1.4500000000000001E-2</v>
      </c>
      <c r="AA200" s="197">
        <f t="shared" si="55"/>
        <v>2.3306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6"/>
        <v>304</v>
      </c>
      <c r="AE200" s="77" t="str">
        <f t="shared" si="57"/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AF200" s="74" t="str">
        <f t="shared" si="58"/>
        <v>"C:\Program Files (x86)\AstroGrep\AstroGrep.exe" /e /r /s /spath="%USERPROFILE%\AppData\Local\Temp\OnboardLogs" /stypes="app*4045*20170617*" /stext=" 10:.+((SYSTEM_STATE.+slice.+state.+changed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304-17 --locoid 4045 --swversion DE.1.0.9.0 --startMP 300:23451 --initTime 2017-06-17T03:48:14 --startdatetime 2017-06-17T03:53:09 --delay 4 --endMP 204:145 --enddatetime 2017-06-17T04:01:59 --enforcementcount 0 &gt;&gt;C:\Users\stu\Documents\GitHub\eaglep3-reporting\EC\2017-06-17-refined-times.txt</v>
      </c>
      <c r="AI200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{"issue":{"subject":"","project_id":79,"tracker_id":40,"status_id":1,"priority_id":2,"assigned_to_id":23,"start_date":"2017-06-17","description":"","custom_fields":[{"id":1,"name":"Subdivision","value":"Other"},{"id":4,"name":"Milepost","value":"0.0145"},{"id":17,"name":"Train ID","value":"304-17"},{"id":16,"name":"Locomotive ID","value":"4045"},{"id":130,"name":"Impact","value":""},{"id":150,"name":"Time of Event (Mountain Time)","value":"04:01:59"},{"id":151,"name":"Denver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2"/>
        <v>start /low /b %USERPROFILE%\Documents\GitHub\eaglep3\Utilities\DownloadLogsFromS3.py --loco 4045 --day 2017-06-17</v>
      </c>
      <c r="AN200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10:01:59"},{"id":29,"name":"Sharepoint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802</v>
      </c>
      <c r="B201" s="7">
        <v>4054</v>
      </c>
      <c r="C201" s="21" t="s">
        <v>202</v>
      </c>
      <c r="D201" s="21" t="s">
        <v>444</v>
      </c>
      <c r="E201" s="13">
        <v>42903.818784722222</v>
      </c>
      <c r="F201" s="13">
        <v>42903.820231481484</v>
      </c>
      <c r="G201" s="7">
        <v>1</v>
      </c>
      <c r="H201" s="21" t="s">
        <v>569</v>
      </c>
      <c r="I201" s="13">
        <v>42903.829641203702</v>
      </c>
      <c r="J201" s="7">
        <v>0</v>
      </c>
      <c r="K201" s="89" t="str">
        <f t="shared" si="49"/>
        <v>4053/4054</v>
      </c>
      <c r="L201" s="21" t="str">
        <f>VLOOKUP(A201,'Trips&amp;Operators'!$C$1:$G$99999,5,FALSE)</f>
        <v>HOLCOMB KAMDEN</v>
      </c>
      <c r="M201" s="6">
        <f t="shared" si="50"/>
        <v>9.4097222172422335E-3</v>
      </c>
      <c r="N201" s="7">
        <f t="shared" si="74"/>
        <v>13.549999992828816</v>
      </c>
      <c r="O201" s="7"/>
      <c r="P201" s="7"/>
      <c r="Q201" s="22"/>
      <c r="R201" s="170"/>
      <c r="S201" s="213">
        <f t="shared" si="75"/>
        <v>1</v>
      </c>
      <c r="T201" s="195" t="str">
        <f t="shared" si="51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2"/>
        <v>https://d0f6bd738d7f1b3e5a7ca70fe4ff75f0.us-east-1.aws.found.io/app/kibana#/discover/Steve-Slow-Train-Analysis-(2080s-and-2083s)?_g=(refreshInterval:(display:Off,pause:!f,section:0,value:0),time:(from:'2017-06-17T18:39:03-0600',mode:absolute,to:'2017-06-17T20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197" t="str">
        <f>IF(AA201&lt;VLOOKUP(AG201,Variables!$AC$3:$AD$8,2,FALSE),"Y","N")</f>
        <v>Y</v>
      </c>
      <c r="X201" s="197">
        <f t="shared" ref="X201:X220" si="76">VALUE(LEFT(AD201,4))-VALUE(LEFT(AD200,4))</f>
        <v>1</v>
      </c>
      <c r="Y201" s="197">
        <f t="shared" si="53"/>
        <v>4.4400000000000002E-2</v>
      </c>
      <c r="Z201" s="197">
        <f t="shared" si="54"/>
        <v>2.3300999999999998</v>
      </c>
      <c r="AA201" s="197">
        <f t="shared" si="55"/>
        <v>2.2856999999999998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6"/>
        <v>305</v>
      </c>
      <c r="AE201" s="77" t="str">
        <f t="shared" si="57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201" s="74" t="str">
        <f t="shared" si="58"/>
        <v>"C:\Program Files (x86)\AstroGrep\AstroGrep.exe" /e /r /s /spath="%USERPROFILE%\AppData\Local\Temp\OnboardLogs" /stypes="app*4054*20170618*" /stext=" 01:.+((SYSTEM_STATE.+slice.+state.+changed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305-17 --locoid 4054 --swversion DE.1.0.9.0 --startMP 204:444 --initTime 2017-06-17T19:39:03 --startdatetime 2017-06-17T19:41:08 --delay 1 --endMP 300:23301 --enddatetime 2017-06-17T19:54:41 --enforcementcount 0 &gt;&gt;C:\Users\stu\Documents\GitHub\eaglep3-reporting\EC\2017-06-17-refined-times.txt</v>
      </c>
      <c r="AI201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{"issue":{"subject":"","project_id":79,"tracker_id":40,"status_id":1,"priority_id":2,"assigned_to_id":23,"start_date":"2017-06-17","description":"","custom_fields":[{"id":1,"name":"Subdivision","value":"Other"},{"id":4,"name":"Milepost","value":"2.3301"},{"id":17,"name":"Train ID","value":"305-17"},{"id":16,"name":"Locomotive ID","value":"4054"},{"id":130,"name":"Impact","value":""},{"id":150,"name":"Time of Event (Mountain Time)","value":"19:54:41"},{"id":151,"name":"Denver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2"/>
        <v>start /low /b %USERPROFILE%\Documents\GitHub\eaglep3\Utilities\DownloadLogsFromS3.py --loco 4054 --day 2017-06-17</v>
      </c>
      <c r="AN201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01:54:41"},{"id":29,"name":"Sharepoint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650</v>
      </c>
      <c r="B202" s="7">
        <v>4023</v>
      </c>
      <c r="C202" s="21" t="s">
        <v>202</v>
      </c>
      <c r="D202" s="21" t="s">
        <v>954</v>
      </c>
      <c r="E202" s="13">
        <v>42903.167372685188</v>
      </c>
      <c r="F202" s="13">
        <v>42903.172233796293</v>
      </c>
      <c r="G202" s="7">
        <v>6</v>
      </c>
      <c r="H202" s="21" t="s">
        <v>193</v>
      </c>
      <c r="I202" s="13">
        <v>42903.179699074077</v>
      </c>
      <c r="J202" s="7">
        <v>0</v>
      </c>
      <c r="K202" s="89" t="str">
        <f t="shared" si="49"/>
        <v>4023/4024</v>
      </c>
      <c r="L202" s="21" t="str">
        <f>VLOOKUP(A202,'Trips&amp;Operators'!$C$1:$G$99999,5,FALSE)</f>
        <v>GEBRETEKLE DAGNEW</v>
      </c>
      <c r="M202" s="6">
        <f t="shared" si="50"/>
        <v>7.4652777839219198E-3</v>
      </c>
      <c r="N202" s="7">
        <f t="shared" si="74"/>
        <v>10.750000008847564</v>
      </c>
      <c r="O202" s="7"/>
      <c r="P202" s="7"/>
      <c r="Q202" s="22"/>
      <c r="R202" s="170"/>
      <c r="S202" s="213">
        <f t="shared" si="75"/>
        <v>1</v>
      </c>
      <c r="T202" s="195" t="str">
        <f t="shared" si="51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2"/>
        <v>https://d0f6bd738d7f1b3e5a7ca70fe4ff75f0.us-east-1.aws.found.io/app/kibana#/discover/Steve-Slow-Train-Analysis-(2080s-and-2083s)?_g=(refreshInterval:(display:Off,pause:!f,section:0,value:0),time:(from:'2017-06-17T03:01:01-0600',mode:absolute,to:'2017-06-17T05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197" t="str">
        <f>IF(AA202&lt;VLOOKUP(AG202,Variables!$AC$3:$AD$8,2,FALSE),"Y","N")</f>
        <v>Y</v>
      </c>
      <c r="X202" s="197">
        <f t="shared" si="76"/>
        <v>1</v>
      </c>
      <c r="Y202" s="197">
        <f t="shared" si="53"/>
        <v>2.3717999999999999</v>
      </c>
      <c r="Z202" s="197">
        <f t="shared" si="54"/>
        <v>1.52E-2</v>
      </c>
      <c r="AA202" s="197">
        <f t="shared" si="55"/>
        <v>2.3565999999999998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6"/>
        <v>306</v>
      </c>
      <c r="AE202" s="77" t="str">
        <f t="shared" si="57"/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AF202" s="74" t="str">
        <f t="shared" si="58"/>
        <v>"C:\Program Files (x86)\AstroGrep\AstroGrep.exe" /e /r /s /spath="%USERPROFILE%\AppData\Local\Temp\OnboardLogs" /stypes="app*4023*20170617*" /stext=" 10:.+((SYSTEM_STATE.+slice.+state.+changed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306-17 --locoid 4023 --swversion DE.1.0.9.0 --startMP 300:23718 --initTime 2017-06-17T04:01:01 --startdatetime 2017-06-17T04:08:01 --delay 6 --endMP 204:152 --enddatetime 2017-06-17T04:18:46 --enforcementcount 0 &gt;&gt;C:\Users\stu\Documents\GitHub\eaglep3-reporting\EC\2017-06-17-refined-times.txt</v>
      </c>
      <c r="AI202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{"issue":{"subject":"","project_id":79,"tracker_id":40,"status_id":1,"priority_id":2,"assigned_to_id":23,"start_date":"2017-06-17","description":"","custom_fields":[{"id":1,"name":"Subdivision","value":"Other"},{"id":4,"name":"Milepost","value":"0.0152"},{"id":17,"name":"Train ID","value":"306-17"},{"id":16,"name":"Locomotive ID","value":"4023"},{"id":130,"name":"Impact","value":""},{"id":150,"name":"Time of Event (Mountain Time)","value":"04:18:46"},{"id":151,"name":"Denver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2"/>
        <v>start /low /b %USERPROFILE%\Documents\GitHub\eaglep3\Utilities\DownloadLogsFromS3.py --loco 4023 --day 2017-06-17</v>
      </c>
      <c r="AN202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828</v>
      </c>
      <c r="B203" s="7">
        <v>4040</v>
      </c>
      <c r="C203" s="21" t="s">
        <v>202</v>
      </c>
      <c r="D203" s="21" t="s">
        <v>343</v>
      </c>
      <c r="E203" s="13">
        <v>42904.047048611108</v>
      </c>
      <c r="F203" s="13">
        <v>42904.049895833334</v>
      </c>
      <c r="G203" s="7">
        <v>1</v>
      </c>
      <c r="H203" s="21" t="s">
        <v>525</v>
      </c>
      <c r="I203" s="13">
        <v>42904.060543981483</v>
      </c>
      <c r="J203" s="7">
        <v>0</v>
      </c>
      <c r="K203" s="89" t="str">
        <f t="shared" si="49"/>
        <v>4039/4040</v>
      </c>
      <c r="L203" s="21" t="str">
        <f>VLOOKUP(A203,'Trips&amp;Operators'!$C$1:$G$99999,5,FALSE)</f>
        <v>YANG JAN</v>
      </c>
      <c r="M203" s="6">
        <f t="shared" si="50"/>
        <v>1.0648148148902692E-2</v>
      </c>
      <c r="N203" s="7">
        <f t="shared" si="74"/>
        <v>15.333333334419876</v>
      </c>
      <c r="O203" s="7"/>
      <c r="P203" s="7"/>
      <c r="Q203" s="22"/>
      <c r="R203" s="170"/>
      <c r="S203" s="213">
        <f t="shared" si="75"/>
        <v>1</v>
      </c>
      <c r="T203" s="195" t="str">
        <f t="shared" si="51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2"/>
        <v>https://d0f6bd738d7f1b3e5a7ca70fe4ff75f0.us-east-1.aws.found.io/app/kibana#/discover/Steve-Slow-Train-Analysis-(2080s-and-2083s)?_g=(refreshInterval:(display:Off,pause:!f,section:0,value:0),time:(from:'2017-06-18T00:07:45-0600',mode:absolute,to:'2017-06-18T02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197" t="str">
        <f>IF(AA203&lt;VLOOKUP(AG203,Variables!$AC$3:$AD$8,2,FALSE),"Y","N")</f>
        <v>Y</v>
      </c>
      <c r="X203" s="197">
        <f t="shared" si="76"/>
        <v>1</v>
      </c>
      <c r="Y203" s="197">
        <f t="shared" si="53"/>
        <v>4.4900000000000002E-2</v>
      </c>
      <c r="Z203" s="197">
        <f t="shared" si="54"/>
        <v>2.3304</v>
      </c>
      <c r="AA203" s="197">
        <f t="shared" si="55"/>
        <v>2.2854999999999999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6"/>
        <v>307</v>
      </c>
      <c r="AE203" s="77" t="str">
        <f t="shared" si="57"/>
        <v>aws s3 cp s3://rtdc.mdm.uploadarchive.raw/RTDC4040/ "%USERPROFILE%\AppData\Local\Temp\OnboardLogs"\RTDC4040\2017-06-18 --exclude "*" --recursive --include "*20170618*" &amp; "%USERPROFILE%\Documents\GitHub\mrs-test-scripts\Headless Mode &amp; Sideloading\WalkAndUnGZ.bat" "%USERPROFILE%\AppData\Local\Temp\OnboardLogs"\RTDC4040\2017-06-18 &amp; aws s3 cp s3://rtdc.mdm.uploadarchive.raw/RTDC4040/ "%USERPROFILE%\AppData\Local\Temp\OnboardLogs"\RTDC4040\2017-06-19 --exclude "*" --recursive --include "*20170619*" &amp; "%USERPROFILE%\Documents\GitHub\mrs-test-scripts\Headless Mode &amp; Sideloading\WalkAndUnGZ.bat" "%USERPROFILE%\AppData\Local\Temp\OnboardLogs"\RTDC4040\2017-06-19</v>
      </c>
      <c r="AF203" s="74" t="str">
        <f t="shared" si="58"/>
        <v>"C:\Program Files (x86)\AstroGrep\AstroGrep.exe" /e /r /s /spath="%USERPROFILE%\AppData\Local\Temp\OnboardLogs" /stypes="app*4040*20170618*" /stext=" 07:.+((SYSTEM_STATE.+slice.+state.+changed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si="60"/>
        <v>"%USERPROFILE%\Documents\GitHub\eaglep3\Utilities\RefineRTDCRunTimes.py" --tripid 307-17 --locoid 4040 --swversion DE.1.0.9.0 --startMP 204:449 --initTime 2017-06-18T01:07:45 --startdatetime 2017-06-18T01:11:51 --delay 1 --endMP 300:23304 --enddatetime 2017-06-18T01:27:11 --enforcementcount 0 &gt;&gt;C:\Users\stu\Documents\GitHub\eaglep3-reporting\EC\2017-06-17-refined-times.txt</v>
      </c>
      <c r="AI203" s="96" t="str">
        <f t="shared" si="61"/>
        <v>echo {"issue":{"subject":"","project_id":79,"tracker_id":40,"status_id":1,"priority_id":2,"assigned_to_id":23,"start_date":"2017-06-18","description":"","custom_fields":[{"id":1,"name":"Subdivision","value":"Other"},{"id":4,"name":"Milepost","value":"2.3304"},{"id":17,"name":"Train ID","value":"307-17"},{"id":16,"name":"Locomotive ID","value":"4040"},{"id":130,"name":"Impact","value":""},{"id":150,"name":"Time of Event (Mountain Time)","value":"01:27:11"},{"id":151,"name":"Denver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2"/>
        <v>start /low /b %USERPROFILE%\Documents\GitHub\eaglep3\Utilities\DownloadLogsFromS3.py --loco 4040 --day 2017-06-18</v>
      </c>
      <c r="AN203" s="151" t="str">
        <f t="shared" si="63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653</v>
      </c>
      <c r="B204" s="7">
        <v>4003</v>
      </c>
      <c r="C204" s="21" t="s">
        <v>202</v>
      </c>
      <c r="D204" s="21" t="s">
        <v>955</v>
      </c>
      <c r="E204" s="13">
        <v>42903.180428240739</v>
      </c>
      <c r="F204" s="13">
        <v>42903.184814814813</v>
      </c>
      <c r="G204" s="7">
        <v>6</v>
      </c>
      <c r="H204" s="21" t="s">
        <v>396</v>
      </c>
      <c r="I204" s="13">
        <v>42903.191724537035</v>
      </c>
      <c r="J204" s="7">
        <v>0</v>
      </c>
      <c r="K204" s="89" t="str">
        <f t="shared" si="49"/>
        <v>4003/4004</v>
      </c>
      <c r="L204" s="21" t="str">
        <f>VLOOKUP(A204,'Trips&amp;Operators'!$C$1:$G$99999,5,FALSE)</f>
        <v>LALONDE GREGORY</v>
      </c>
      <c r="M204" s="6">
        <f t="shared" si="50"/>
        <v>6.9097222221898846E-3</v>
      </c>
      <c r="N204" s="7">
        <f t="shared" si="74"/>
        <v>9.9499999999534339</v>
      </c>
      <c r="O204" s="7"/>
      <c r="P204" s="7"/>
      <c r="Q204" s="22"/>
      <c r="R204" s="170"/>
      <c r="S204" s="213">
        <f t="shared" si="75"/>
        <v>1</v>
      </c>
      <c r="T204" s="195" t="str">
        <f t="shared" si="51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2"/>
        <v>https://d0f6bd738d7f1b3e5a7ca70fe4ff75f0.us-east-1.aws.found.io/app/kibana#/discover/Steve-Slow-Train-Analysis-(2080s-and-2083s)?_g=(refreshInterval:(display:Off,pause:!f,section:0,value:0),time:(from:'2017-06-17T03:19:49-0600',mode:absolute,to:'2017-06-17T05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4" s="197" t="str">
        <f>IF(AA204&lt;VLOOKUP(AG204,Variables!$AC$3:$AD$8,2,FALSE),"Y","N")</f>
        <v>Y</v>
      </c>
      <c r="X204" s="197">
        <f t="shared" si="76"/>
        <v>1</v>
      </c>
      <c r="Y204" s="197">
        <f t="shared" si="53"/>
        <v>2.343</v>
      </c>
      <c r="Z204" s="197">
        <f t="shared" si="54"/>
        <v>1.54E-2</v>
      </c>
      <c r="AA204" s="197">
        <f t="shared" si="55"/>
        <v>2.3275999999999999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6"/>
        <v>308</v>
      </c>
      <c r="AE204" s="77" t="str">
        <f t="shared" si="57"/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AF204" s="74" t="str">
        <f t="shared" si="58"/>
        <v>"C:\Program Files (x86)\AstroGrep\AstroGrep.exe" /e /r /s /spath="%USERPROFILE%\AppData\Local\Temp\OnboardLogs" /stypes="app*4003*20170617*" /stext=" 10:.+((SYSTEM_STATE.+slice.+state.+changed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si="60"/>
        <v>"%USERPROFILE%\Documents\GitHub\eaglep3\Utilities\RefineRTDCRunTimes.py" --tripid 308-17 --locoid 4003 --swversion DE.1.0.9.0 --startMP 300:23430 --initTime 2017-06-17T04:19:49 --startdatetime 2017-06-17T04:26:08 --delay 6 --endMP 204:154 --enddatetime 2017-06-17T04:36:05 --enforcementcount 0 &gt;&gt;C:\Users\stu\Documents\GitHub\eaglep3-reporting\EC\2017-06-17-refined-times.txt</v>
      </c>
      <c r="AI204" s="96" t="str">
        <f t="shared" si="61"/>
        <v>echo {"issue":{"subject":"","project_id":79,"tracker_id":40,"status_id":1,"priority_id":2,"assigned_to_id":23,"start_date":"2017-06-17","description":"","custom_fields":[{"id":1,"name":"Subdivision","value":"Other"},{"id":4,"name":"Milepost","value":"0.0154"},{"id":17,"name":"Train ID","value":"308-17"},{"id":16,"name":"Locomotive ID","value":"4003"},{"id":130,"name":"Impact","value":""},{"id":150,"name":"Time of Event (Mountain Time)","value":"04:36:05"},{"id":151,"name":"Denver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62"/>
        <v>start /low /b %USERPROFILE%\Documents\GitHub\eaglep3\Utilities\DownloadLogsFromS3.py --loco 4003 --day 2017-06-17</v>
      </c>
      <c r="AN204" s="151" t="str">
        <f t="shared" si="63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830</v>
      </c>
      <c r="B205" s="7">
        <v>4046</v>
      </c>
      <c r="C205" s="21" t="s">
        <v>202</v>
      </c>
      <c r="D205" s="21" t="s">
        <v>343</v>
      </c>
      <c r="E205" s="13">
        <v>42904.068564814814</v>
      </c>
      <c r="F205" s="13">
        <v>42904.070810185185</v>
      </c>
      <c r="G205" s="7">
        <v>1</v>
      </c>
      <c r="H205" s="21" t="s">
        <v>525</v>
      </c>
      <c r="I205" s="13">
        <v>42904.07744212963</v>
      </c>
      <c r="J205" s="7">
        <v>0</v>
      </c>
      <c r="K205" s="89" t="str">
        <f t="shared" ref="K205:K220" si="77">IF(ISEVEN(B205),(B205-1)&amp;"/"&amp;B205,B205&amp;"/"&amp;(B205+1))</f>
        <v>4045/4046</v>
      </c>
      <c r="L205" s="21" t="str">
        <f>VLOOKUP(A205,'Trips&amp;Operators'!$C$1:$G$99999,5,FALSE)</f>
        <v>PERKINS DARREN</v>
      </c>
      <c r="M205" s="6">
        <f t="shared" ref="M205:M220" si="78">I205-F205</f>
        <v>6.6319444449618459E-3</v>
      </c>
      <c r="N205" s="7">
        <f t="shared" si="74"/>
        <v>9.5500000007450581</v>
      </c>
      <c r="O205" s="7"/>
      <c r="P205" s="7"/>
      <c r="Q205" s="22"/>
      <c r="R205" s="170"/>
      <c r="S205" s="213">
        <f t="shared" si="75"/>
        <v>1</v>
      </c>
      <c r="T205" s="195" t="str">
        <f t="shared" ref="T205:T220" si="79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0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-18T00:38:44-0600',mode:absolute,to:'2017-06-18T02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197" t="str">
        <f>IF(AA205&lt;VLOOKUP(AG205,Variables!$AC$3:$AD$8,2,FALSE),"Y","N")</f>
        <v>Y</v>
      </c>
      <c r="X205" s="197">
        <f t="shared" si="76"/>
        <v>1</v>
      </c>
      <c r="Y205" s="197">
        <f t="shared" ref="Y205:Y220" si="81">RIGHT(D205,LEN(D205)-4)/10000</f>
        <v>4.4900000000000002E-2</v>
      </c>
      <c r="Z205" s="197">
        <f t="shared" ref="Z205:Z220" si="82">RIGHT(H205,LEN(H205)-4)/10000</f>
        <v>2.3304</v>
      </c>
      <c r="AA205" s="197">
        <f t="shared" ref="AA205:AA220" si="83">ABS(Z205-Y205)</f>
        <v>2.2854999999999999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0" si="84">VALUE(LEFT(A205,LEN(A205)-3))</f>
        <v>309</v>
      </c>
      <c r="AE205" s="77" t="str">
        <f t="shared" ref="AE205:AE220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 &amp; aws s3 cp s3://rtdc.mdm.uploadarchive.raw/RTDC4046/ "%USERPROFILE%\AppData\Local\Temp\OnboardLogs"\RTDC4046\2017-06-19 --exclude "*" --recursive --include "*20170619*" &amp; "%USERPROFILE%\Documents\GitHub\mrs-test-scripts\Headless Mode &amp; Sideloading\WalkAndUnGZ.bat" "%USERPROFILE%\AppData\Local\Temp\OnboardLogs"\RTDC4046\2017-06-19</v>
      </c>
      <c r="AF205" s="74" t="str">
        <f t="shared" ref="AF205:AF220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/stypes="app*4046*20170618*" /stext=" 07:.+((SYSTEM_STATE.+slice.+state.+changed )|(ment ac)|(multiple cpu faults)|(system.+state.+changed )|(\[timeout)|(PRM\|1\|D)|(kpr)|(kdp)|(train st.+moving)|(\|lc)|(penalty))"</v>
      </c>
      <c r="AG205" s="209" t="str">
        <f t="shared" ref="AG205:AG220" si="87">DetSubdiv(A205)</f>
        <v>Other</v>
      </c>
      <c r="AH205" s="78" t="str">
        <f t="shared" ref="AH205:AH220" si="8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309-17 --locoid 4046 --swversion DE.1.0.9.0 --startMP 204:449 --initTime 2017-06-18T01:38:44 --startdatetime 2017-06-18T01:41:58 --delay 1 --endMP 300:23304 --enddatetime 2017-06-18T01:51:31 --enforcementcount 0 &gt;&gt;C:\Users\stu\Documents\GitHub\eaglep3-reporting\EC\2017-06-17-refined-times.txt</v>
      </c>
      <c r="AI205" s="96" t="str">
        <f t="shared" ref="AI205:AI220" si="8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{"issue":{"subject":"","project_id":79,"tracker_id":40,"status_id":1,"priority_id":2,"assigned_to_id":23,"start_date":"2017-06-18","description":"","custom_fields":[{"id":1,"name":"Subdivision","value":"Other"},{"id":4,"name":"Milepost","value":"2.3304"},{"id":17,"name":"Train ID","value":"309-17"},{"id":16,"name":"Locomotive ID","value":"4046"},{"id":130,"name":"Impact","value":""},{"id":150,"name":"Time of Event (Mountain Time)","value":"01:51:31"},{"id":151,"name":"Denver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20" si="90">"start /low /b "&amp;dls3logs&amp;" --loco "&amp;B205&amp;" --day "&amp;TEXT(F205,"YYYY-MM-DD")</f>
        <v>start /low /b %USERPROFILE%\Documents\GitHub\eaglep3\Utilities\DownloadLogsFromS3.py --loco 4046 --day 2017-06-18</v>
      </c>
      <c r="AN205" s="151" t="str">
        <f t="shared" ref="AN205:AN220" si="91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07:51:31"},{"id":29,"name":"Sharepoint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659</v>
      </c>
      <c r="B206" s="7">
        <v>4019</v>
      </c>
      <c r="C206" s="21" t="s">
        <v>202</v>
      </c>
      <c r="D206" s="21" t="s">
        <v>956</v>
      </c>
      <c r="E206" s="13">
        <v>42903.196620370371</v>
      </c>
      <c r="F206" s="13">
        <v>42903.20003472222</v>
      </c>
      <c r="G206" s="7">
        <v>4</v>
      </c>
      <c r="H206" s="21" t="s">
        <v>349</v>
      </c>
      <c r="I206" s="13">
        <v>42903.206435185188</v>
      </c>
      <c r="J206" s="7">
        <v>0</v>
      </c>
      <c r="K206" s="89" t="str">
        <f t="shared" si="77"/>
        <v>4019/4020</v>
      </c>
      <c r="L206" s="21" t="str">
        <f>VLOOKUP(A206,'Trips&amp;Operators'!$C$1:$G$99999,5,FALSE)</f>
        <v>DAVIDSON DAVID</v>
      </c>
      <c r="M206" s="6">
        <f t="shared" si="78"/>
        <v>6.4004629675764591E-3</v>
      </c>
      <c r="N206" s="7">
        <f t="shared" si="74"/>
        <v>9.216666673310101</v>
      </c>
      <c r="O206" s="7"/>
      <c r="P206" s="7"/>
      <c r="Q206" s="22"/>
      <c r="R206" s="170"/>
      <c r="S206" s="213">
        <f t="shared" si="75"/>
        <v>1</v>
      </c>
      <c r="T206" s="195" t="str">
        <f t="shared" si="79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-06-17T03:43:08-0600',mode:absolute,to:'2017-06-17T05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97" t="str">
        <f>IF(AA206&lt;VLOOKUP(AG206,Variables!$AC$3:$AD$8,2,FALSE),"Y","N")</f>
        <v>Y</v>
      </c>
      <c r="X206" s="197">
        <f t="shared" si="76"/>
        <v>1</v>
      </c>
      <c r="Y206" s="197">
        <f t="shared" si="81"/>
        <v>2.3578000000000001</v>
      </c>
      <c r="Z206" s="197">
        <f t="shared" si="82"/>
        <v>1.4999999999999999E-2</v>
      </c>
      <c r="AA206" s="197">
        <f t="shared" si="83"/>
        <v>2.3428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310</v>
      </c>
      <c r="AE206" s="77" t="str">
        <f t="shared" si="85"/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AF206" s="74" t="str">
        <f t="shared" si="86"/>
        <v>"C:\Program Files (x86)\AstroGrep\AstroGrep.exe" /e /r /s /spath="%USERPROFILE%\AppData\Local\Temp\OnboardLogs" /stypes="app*4019*20170617*" /stext=" 10:.+((SYSTEM_STATE.+slice.+state.+changed )|(ment ac)|(multiple cpu faults)|(system.+state.+changed )|(\[timeout)|(PRM\|1\|D)|(kpr)|(kdp)|(train st.+moving)|(\|lc)|(penalty))"</v>
      </c>
      <c r="AG206" s="209" t="str">
        <f t="shared" si="87"/>
        <v>Other</v>
      </c>
      <c r="AH206" s="78" t="str">
        <f t="shared" si="88"/>
        <v>"%USERPROFILE%\Documents\GitHub\eaglep3\Utilities\RefineRTDCRunTimes.py" --tripid 310-17 --locoid 4019 --swversion DE.1.0.9.0 --startMP 300:23578 --initTime 2017-06-17T04:43:08 --startdatetime 2017-06-17T04:48:03 --delay 4 --endMP 204:150 --enddatetime 2017-06-17T04:57:16 --enforcementcount 0 &gt;&gt;C:\Users\stu\Documents\GitHub\eaglep3-reporting\EC\2017-06-17-refined-times.txt</v>
      </c>
      <c r="AI206" s="96" t="str">
        <f t="shared" si="89"/>
        <v>echo {"issue":{"subject":"","project_id":79,"tracker_id":40,"status_id":1,"priority_id":2,"assigned_to_id":23,"start_date":"2017-06-17","description":"","custom_fields":[{"id":1,"name":"Subdivision","value":"Other"},{"id":4,"name":"Milepost","value":"0.015"},{"id":17,"name":"Train ID","value":"310-17"},{"id":16,"name":"Locomotive ID","value":"4019"},{"id":130,"name":"Impact","value":""},{"id":150,"name":"Time of Event (Mountain Time)","value":"04:57:16"},{"id":151,"name":"Denver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0"/>
        <v>start /low /b %USERPROFILE%\Documents\GitHub\eaglep3\Utilities\DownloadLogsFromS3.py --loco 4019 --day 2017-06-17</v>
      </c>
      <c r="AN206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10:57:16"},{"id":29,"name":"Sharepoint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409</v>
      </c>
      <c r="B207" s="7">
        <v>4028</v>
      </c>
      <c r="C207" s="21" t="s">
        <v>202</v>
      </c>
      <c r="D207" s="21" t="s">
        <v>355</v>
      </c>
      <c r="E207" s="13">
        <v>42903.089548611111</v>
      </c>
      <c r="F207" s="13">
        <v>42903.091527777775</v>
      </c>
      <c r="G207" s="7">
        <v>1</v>
      </c>
      <c r="H207" s="21" t="s">
        <v>354</v>
      </c>
      <c r="I207" s="13">
        <v>42903.101481481484</v>
      </c>
      <c r="J207" s="7">
        <v>0</v>
      </c>
      <c r="K207" s="89" t="str">
        <f t="shared" si="77"/>
        <v>4027/4028</v>
      </c>
      <c r="L207" s="21" t="str">
        <f>VLOOKUP(A207,'Trips&amp;Operators'!$C$1:$G$99999,5,FALSE)</f>
        <v>FORTUNATO FRANK</v>
      </c>
      <c r="M207" s="6">
        <f t="shared" si="78"/>
        <v>9.9537037094705738E-3</v>
      </c>
      <c r="N207" s="7">
        <f t="shared" si="74"/>
        <v>14.333333341637626</v>
      </c>
      <c r="O207" s="7"/>
      <c r="P207" s="7"/>
      <c r="Q207" s="22"/>
      <c r="R207" s="170"/>
      <c r="S207" s="213">
        <f t="shared" si="75"/>
        <v>1</v>
      </c>
      <c r="T207" s="195" t="str">
        <f t="shared" si="79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-06-17T01:08:57-0600',mode:absolute,to:'2017-06-17T03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7" s="197" t="str">
        <f>IF(AA207&lt;VLOOKUP(AG207,Variables!$AC$3:$AD$8,2,FALSE),"Y","N")</f>
        <v>Y</v>
      </c>
      <c r="X207" s="197">
        <f t="shared" si="76"/>
        <v>1</v>
      </c>
      <c r="Y207" s="197">
        <f t="shared" si="81"/>
        <v>4.53E-2</v>
      </c>
      <c r="Z207" s="197">
        <f t="shared" si="82"/>
        <v>2.3346</v>
      </c>
      <c r="AA207" s="197">
        <f t="shared" si="83"/>
        <v>2.2892999999999999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311</v>
      </c>
      <c r="AE207" s="77" t="str">
        <f t="shared" si="85"/>
        <v>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 &amp; 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</v>
      </c>
      <c r="AF207" s="74" t="str">
        <f t="shared" si="86"/>
        <v>"C:\Program Files (x86)\AstroGrep\AstroGrep.exe" /e /r /s /spath="%USERPROFILE%\AppData\Local\Temp\OnboardLogs" /stypes="app*4028*20170617*" /stext=" 08:.+((SYSTEM_STATE.+slice.+state.+changed )|(ment ac)|(multiple cpu faults)|(system.+state.+changed )|(\[timeout)|(PRM\|1\|D)|(kpr)|(kdp)|(train st.+moving)|(\|lc)|(penalty))"</v>
      </c>
      <c r="AG207" s="209" t="str">
        <f t="shared" si="87"/>
        <v>Other</v>
      </c>
      <c r="AH207" s="78" t="str">
        <f t="shared" si="88"/>
        <v>"%USERPROFILE%\Documents\GitHub\eaglep3\Utilities\RefineRTDCRunTimes.py" --tripid 311-16 --locoid 4028 --swversion DE.1.0.9.0 --startMP 204:453 --initTime 2017-06-17T02:08:57 --startdatetime 2017-06-17T02:11:48 --delay 1 --endMP 300:23346 --enddatetime 2017-06-17T02:26:08 --enforcementcount 0 &gt;&gt;C:\Users\stu\Documents\GitHub\eaglep3-reporting\EC\2017-06-17-refined-times.txt</v>
      </c>
      <c r="AI207" s="96" t="str">
        <f t="shared" si="89"/>
        <v>echo {"issue":{"subject":"","project_id":79,"tracker_id":40,"status_id":1,"priority_id":2,"assigned_to_id":23,"start_date":"2017-06-17","description":"","custom_fields":[{"id":1,"name":"Subdivision","value":"Other"},{"id":4,"name":"Milepost","value":"2.3346"},{"id":17,"name":"Train ID","value":"311-16"},{"id":16,"name":"Locomotive ID","value":"4028"},{"id":130,"name":"Impact","value":""},{"id":150,"name":"Time of Event (Mountain Time)","value":"02:26:08"},{"id":151,"name":"Denver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0"/>
        <v>start /low /b %USERPROFILE%\Documents\GitHub\eaglep3\Utilities\DownloadLogsFromS3.py --loco 4028 --day 2017-06-17</v>
      </c>
      <c r="AN207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08:26:08"},{"id":29,"name":"Sharepoint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832</v>
      </c>
      <c r="B208" s="7">
        <v>4024</v>
      </c>
      <c r="C208" s="21" t="s">
        <v>202</v>
      </c>
      <c r="D208" s="21" t="s">
        <v>355</v>
      </c>
      <c r="E208" s="13">
        <v>42904.089490740742</v>
      </c>
      <c r="F208" s="13">
        <v>42904.090891203705</v>
      </c>
      <c r="G208" s="7">
        <v>1</v>
      </c>
      <c r="H208" s="21" t="s">
        <v>354</v>
      </c>
      <c r="I208" s="13">
        <v>42904.099560185183</v>
      </c>
      <c r="J208" s="7">
        <v>0</v>
      </c>
      <c r="K208" s="89" t="str">
        <f t="shared" si="77"/>
        <v>4023/4024</v>
      </c>
      <c r="L208" s="21" t="str">
        <f>VLOOKUP(A208,'Trips&amp;Operators'!$C$1:$G$99999,5,FALSE)</f>
        <v>FORTUNATO FRANK</v>
      </c>
      <c r="M208" s="6">
        <f t="shared" si="78"/>
        <v>8.6689814779674634E-3</v>
      </c>
      <c r="N208" s="7">
        <f t="shared" si="74"/>
        <v>12.483333328273147</v>
      </c>
      <c r="O208" s="7"/>
      <c r="P208" s="7"/>
      <c r="Q208" s="22"/>
      <c r="R208" s="170"/>
      <c r="S208" s="213">
        <f t="shared" si="75"/>
        <v>1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-06-18T01:08:52-0600',mode:absolute,to:'2017-06-18T03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197" t="str">
        <f>IF(AA208&lt;VLOOKUP(AG208,Variables!$AC$3:$AD$8,2,FALSE),"Y","N")</f>
        <v>Y</v>
      </c>
      <c r="X208" s="197">
        <f t="shared" si="76"/>
        <v>0</v>
      </c>
      <c r="Y208" s="197">
        <f t="shared" si="81"/>
        <v>4.53E-2</v>
      </c>
      <c r="Z208" s="197">
        <f t="shared" si="82"/>
        <v>2.3346</v>
      </c>
      <c r="AA208" s="197">
        <f t="shared" si="83"/>
        <v>2.2892999999999999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311</v>
      </c>
      <c r="AE208" s="77" t="str">
        <f t="shared" si="85"/>
        <v>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 &amp; 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</v>
      </c>
      <c r="AF208" s="74" t="str">
        <f t="shared" si="86"/>
        <v>"C:\Program Files (x86)\AstroGrep\AstroGrep.exe" /e /r /s /spath="%USERPROFILE%\AppData\Local\Temp\OnboardLogs" /stypes="app*4024*20170618*" /stext=" 08:.+((SYSTEM_STATE.+slice.+state.+changed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88"/>
        <v>"%USERPROFILE%\Documents\GitHub\eaglep3\Utilities\RefineRTDCRunTimes.py" --tripid 311-17 --locoid 4024 --swversion DE.1.0.9.0 --startMP 204:453 --initTime 2017-06-18T02:08:52 --startdatetime 2017-06-18T02:10:53 --delay 1 --endMP 300:23346 --enddatetime 2017-06-18T02:23:22 --enforcementcount 0 &gt;&gt;C:\Users\stu\Documents\GitHub\eaglep3-reporting\EC\2017-06-17-refined-times.txt</v>
      </c>
      <c r="AI208" s="96" t="str">
        <f t="shared" si="89"/>
        <v>echo {"issue":{"subject":"","project_id":79,"tracker_id":40,"status_id":1,"priority_id":2,"assigned_to_id":23,"start_date":"2017-06-18","description":"","custom_fields":[{"id":1,"name":"Subdivision","value":"Other"},{"id":4,"name":"Milepost","value":"2.3346"},{"id":17,"name":"Train ID","value":"311-17"},{"id":16,"name":"Locomotive ID","value":"4024"},{"id":130,"name":"Impact","value":""},{"id":150,"name":"Time of Event (Mountain Time)","value":"02:23:22"},{"id":151,"name":"Denver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0"/>
        <v>start /low /b %USERPROFILE%\Documents\GitHub\eaglep3\Utilities\DownloadLogsFromS3.py --loco 4024 --day 2017-06-18</v>
      </c>
      <c r="AN208" s="151" t="str">
        <f t="shared" si="9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666</v>
      </c>
      <c r="B209" s="7">
        <v>4013</v>
      </c>
      <c r="C209" s="21" t="s">
        <v>202</v>
      </c>
      <c r="D209" s="21" t="s">
        <v>957</v>
      </c>
      <c r="E209" s="13">
        <v>42903.216631944444</v>
      </c>
      <c r="F209" s="13">
        <v>42903.221354166664</v>
      </c>
      <c r="G209" s="7">
        <v>6</v>
      </c>
      <c r="H209" s="21" t="s">
        <v>958</v>
      </c>
      <c r="I209" s="13">
        <v>42903.227824074071</v>
      </c>
      <c r="J209" s="7">
        <v>0</v>
      </c>
      <c r="K209" s="89" t="str">
        <f t="shared" si="77"/>
        <v>4013/4014</v>
      </c>
      <c r="L209" s="21" t="str">
        <f>VLOOKUP(A209,'Trips&amp;Operators'!$C$1:$G$99999,5,FALSE)</f>
        <v>GUZMAN DANNY</v>
      </c>
      <c r="M209" s="6">
        <f t="shared" si="78"/>
        <v>6.4699074064265005E-3</v>
      </c>
      <c r="N209" s="7">
        <f t="shared" si="74"/>
        <v>9.3166666652541608</v>
      </c>
      <c r="O209" s="7"/>
      <c r="P209" s="7"/>
      <c r="Q209" s="22"/>
      <c r="R209" s="170"/>
      <c r="S209" s="213">
        <f t="shared" si="75"/>
        <v>1</v>
      </c>
      <c r="T209" s="195" t="str">
        <f t="shared" si="79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-06-17T04:11:57-0600',mode:absolute,to:'2017-06-17T06:28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197" t="str">
        <f>IF(AA209&lt;VLOOKUP(AG209,Variables!$AC$3:$AD$8,2,FALSE),"Y","N")</f>
        <v>Y</v>
      </c>
      <c r="X209" s="197">
        <f t="shared" si="76"/>
        <v>1</v>
      </c>
      <c r="Y209" s="197">
        <f t="shared" si="81"/>
        <v>2.3597000000000001</v>
      </c>
      <c r="Z209" s="197">
        <f t="shared" si="82"/>
        <v>1.1599999999999999E-2</v>
      </c>
      <c r="AA209" s="197">
        <f t="shared" si="83"/>
        <v>2.3481000000000001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312</v>
      </c>
      <c r="AE209" s="77" t="str">
        <f t="shared" si="85"/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AF209" s="74" t="str">
        <f t="shared" si="86"/>
        <v>"C:\Program Files (x86)\AstroGrep\AstroGrep.exe" /e /r /s /spath="%USERPROFILE%\AppData\Local\Temp\OnboardLogs" /stypes="app*4013*20170617*" /stext=" 11:.+((SYSTEM_STATE.+slice.+state.+changed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88"/>
        <v>"%USERPROFILE%\Documents\GitHub\eaglep3\Utilities\RefineRTDCRunTimes.py" --tripid 312-17 --locoid 4013 --swversion DE.1.0.9.0 --startMP 300:23597 --initTime 2017-06-17T05:11:57 --startdatetime 2017-06-17T05:18:45 --delay 6 --endMP 204:116 --enddatetime 2017-06-17T05:28:04 --enforcementcount 0 &gt;&gt;C:\Users\stu\Documents\GitHub\eaglep3-reporting\EC\2017-06-17-refined-times.txt</v>
      </c>
      <c r="AI209" s="96" t="str">
        <f t="shared" si="89"/>
        <v>echo {"issue":{"subject":"","project_id":79,"tracker_id":40,"status_id":1,"priority_id":2,"assigned_to_id":23,"start_date":"2017-06-17","description":"","custom_fields":[{"id":1,"name":"Subdivision","value":"Other"},{"id":4,"name":"Milepost","value":"0.0116"},{"id":17,"name":"Train ID","value":"312-17"},{"id":16,"name":"Locomotive ID","value":"4013"},{"id":130,"name":"Impact","value":""},{"id":150,"name":"Time of Event (Mountain Time)","value":"05:28:04"},{"id":151,"name":"Denver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0"/>
        <v>start /low /b %USERPROFILE%\Documents\GitHub\eaglep3\Utilities\DownloadLogsFromS3.py --loco 4013 --day 2017-06-17</v>
      </c>
      <c r="AN209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11:28:04"},{"id":29,"name":"Sharepoint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410</v>
      </c>
      <c r="B210" s="7">
        <v>4030</v>
      </c>
      <c r="C210" s="21" t="s">
        <v>202</v>
      </c>
      <c r="D210" s="21" t="s">
        <v>521</v>
      </c>
      <c r="E210" s="13">
        <v>42903.110127314816</v>
      </c>
      <c r="F210" s="13">
        <v>42903.112696759257</v>
      </c>
      <c r="G210" s="7">
        <v>1</v>
      </c>
      <c r="H210" s="21" t="s">
        <v>354</v>
      </c>
      <c r="I210" s="13">
        <v>42903.126064814816</v>
      </c>
      <c r="J210" s="7">
        <v>0</v>
      </c>
      <c r="K210" s="89" t="str">
        <f t="shared" si="77"/>
        <v>4029/4030</v>
      </c>
      <c r="L210" s="21" t="str">
        <f>VLOOKUP(A210,'Trips&amp;Operators'!$C$1:$G$99999,5,FALSE)</f>
        <v>LAMAR NEKESHA</v>
      </c>
      <c r="M210" s="6">
        <f t="shared" si="78"/>
        <v>1.336805555911269E-2</v>
      </c>
      <c r="N210" s="7">
        <f t="shared" si="74"/>
        <v>19.250000005122274</v>
      </c>
      <c r="O210" s="7"/>
      <c r="P210" s="7"/>
      <c r="Q210" s="22"/>
      <c r="R210" s="170"/>
      <c r="S210" s="213">
        <f t="shared" si="75"/>
        <v>1</v>
      </c>
      <c r="T210" s="195" t="str">
        <f t="shared" si="7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-06-17T01:38:35-0600',mode:absolute,to:'2017-06-17T04:01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97" t="str">
        <f>IF(AA210&lt;VLOOKUP(AG210,Variables!$AC$3:$AD$8,2,FALSE),"Y","N")</f>
        <v>Y</v>
      </c>
      <c r="X210" s="197">
        <f t="shared" si="76"/>
        <v>1</v>
      </c>
      <c r="Y210" s="197">
        <f t="shared" si="81"/>
        <v>4.6399999999999997E-2</v>
      </c>
      <c r="Z210" s="197">
        <f t="shared" si="82"/>
        <v>2.3346</v>
      </c>
      <c r="AA210" s="197">
        <f t="shared" si="83"/>
        <v>2.2881999999999998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313</v>
      </c>
      <c r="AE210" s="77" t="str">
        <f t="shared" si="85"/>
        <v>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 &amp; aws s3 cp s3://rtdc.mdm.uploadarchive.raw/RTDC4030/ "%USERPROFILE%\AppData\Local\Temp\OnboardLogs"\RTDC4030\2017-06-18 --exclude "*" --recursive --include "*20170618*" &amp; "%USERPROFILE%\Documents\GitHub\mrs-test-scripts\Headless Mode &amp; Sideloading\WalkAndUnGZ.bat" "%USERPROFILE%\AppData\Local\Temp\OnboardLogs"\RTDC4030\2017-06-18</v>
      </c>
      <c r="AF210" s="74" t="str">
        <f t="shared" si="86"/>
        <v>"C:\Program Files (x86)\AstroGrep\AstroGrep.exe" /e /r /s /spath="%USERPROFILE%\AppData\Local\Temp\OnboardLogs" /stypes="app*4030*20170617*" /stext=" 09:.+((SYSTEM_STATE.+slice.+state.+changed )|(ment ac)|(multiple cpu faults)|(system.+state.+changed )|(\[timeout)|(PRM\|1\|D)|(kpr)|(kdp)|(train st.+moving)|(\|lc)|(penalty))"</v>
      </c>
      <c r="AG210" s="209" t="str">
        <f t="shared" si="87"/>
        <v>Other</v>
      </c>
      <c r="AH210" s="78" t="str">
        <f t="shared" si="88"/>
        <v>"%USERPROFILE%\Documents\GitHub\eaglep3\Utilities\RefineRTDCRunTimes.py" --tripid 313-16 --locoid 4030 --swversion DE.1.0.9.0 --startMP 204:464 --initTime 2017-06-17T02:38:35 --startdatetime 2017-06-17T02:42:17 --delay 1 --endMP 300:23346 --enddatetime 2017-06-17T03:01:32 --enforcementcount 0 &gt;&gt;C:\Users\stu\Documents\GitHub\eaglep3-reporting\EC\2017-06-17-refined-times.txt</v>
      </c>
      <c r="AI210" s="96" t="str">
        <f t="shared" si="89"/>
        <v>echo {"issue":{"subject":"","project_id":79,"tracker_id":40,"status_id":1,"priority_id":2,"assigned_to_id":23,"start_date":"2017-06-17","description":"","custom_fields":[{"id":1,"name":"Subdivision","value":"Other"},{"id":4,"name":"Milepost","value":"2.3346"},{"id":17,"name":"Train ID","value":"313-16"},{"id":16,"name":"Locomotive ID","value":"4030"},{"id":130,"name":"Impact","value":""},{"id":150,"name":"Time of Event (Mountain Time)","value":"03:01:32"},{"id":151,"name":"Denver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90"/>
        <v>start /low /b %USERPROFILE%\Documents\GitHub\eaglep3\Utilities\DownloadLogsFromS3.py --loco 4030 --day 2017-06-17</v>
      </c>
      <c r="AN210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09:01:32"},{"id":29,"name":"Sharepoint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667</v>
      </c>
      <c r="B211" s="7">
        <v>4050</v>
      </c>
      <c r="C211" s="21" t="s">
        <v>202</v>
      </c>
      <c r="D211" s="21" t="s">
        <v>921</v>
      </c>
      <c r="E211" s="13">
        <v>42903.223229166666</v>
      </c>
      <c r="F211" s="13">
        <v>42903.227152777778</v>
      </c>
      <c r="G211" s="7">
        <v>5</v>
      </c>
      <c r="H211" s="21" t="s">
        <v>573</v>
      </c>
      <c r="I211" s="13">
        <v>42903.23228009259</v>
      </c>
      <c r="J211" s="7">
        <v>0</v>
      </c>
      <c r="K211" s="89" t="str">
        <f t="shared" si="77"/>
        <v>4049/4050</v>
      </c>
      <c r="L211" s="21" t="str">
        <f>VLOOKUP(A211,'Trips&amp;Operators'!$C$1:$G$99999,5,FALSE)</f>
        <v>YORK EDGAR</v>
      </c>
      <c r="M211" s="6">
        <f t="shared" si="78"/>
        <v>5.1273148128530011E-3</v>
      </c>
      <c r="N211" s="7">
        <f t="shared" si="74"/>
        <v>7.3833333305083215</v>
      </c>
      <c r="O211" s="7"/>
      <c r="P211" s="7"/>
      <c r="Q211" s="22"/>
      <c r="R211" s="170"/>
      <c r="S211" s="213">
        <f t="shared" si="75"/>
        <v>0</v>
      </c>
      <c r="T211" s="195" t="str">
        <f t="shared" si="79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-06-17T04:21:27-0600',mode:absolute,to:'2017-06-17T06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197" t="str">
        <f>IF(AA211&lt;VLOOKUP(AG211,Variables!$AC$3:$AD$8,2,FALSE),"Y","N")</f>
        <v>Y</v>
      </c>
      <c r="X211" s="197">
        <f t="shared" si="76"/>
        <v>1588</v>
      </c>
      <c r="Y211" s="197">
        <f t="shared" si="81"/>
        <v>3.0108000000000001</v>
      </c>
      <c r="Z211" s="197">
        <f t="shared" si="82"/>
        <v>5.8936999999999999</v>
      </c>
      <c r="AA211" s="197">
        <f t="shared" si="83"/>
        <v>2.8828999999999998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1901</v>
      </c>
      <c r="AE211" s="77" t="str">
        <f t="shared" si="85"/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AF211" s="74" t="str">
        <f t="shared" si="86"/>
        <v>"C:\Program Files (x86)\AstroGrep\AstroGrep.exe" /e /r /s /spath="%USERPROFILE%\AppData\Local\Temp\OnboardLogs" /stypes="app*4050*20170617*" /stext=" 11:.+((SYSTEM_STATE.+slice.+state.+changed )|(ment ac)|(multiple cpu faults)|(system.+state.+changed )|(\[timeout)|(PRM\|1\|D)|(kpr)|(kdp)|(train st.+moving)|(\|lc)|(penalty))"</v>
      </c>
      <c r="AG211" s="209" t="str">
        <f t="shared" si="87"/>
        <v>Other</v>
      </c>
      <c r="AH211" s="78" t="str">
        <f t="shared" si="88"/>
        <v>"%USERPROFILE%\Documents\GitHub\eaglep3\Utilities\RefineRTDCRunTimes.py" --tripid 1901-17 --locoid 4050 --swversion DE.1.0.9.0 --startMP 300:30108 --initTime 2017-06-17T05:21:27 --startdatetime 2017-06-17T05:27:06 --delay 5 --endMP 300:58937 --enddatetime 2017-06-17T05:34:29 --enforcementcount 0 &gt;&gt;C:\Users\stu\Documents\GitHub\eaglep3-reporting\EC\2017-06-17-refined-times.txt</v>
      </c>
      <c r="AI211" s="96" t="str">
        <f t="shared" si="89"/>
        <v>echo {"issue":{"subject":"","project_id":79,"tracker_id":40,"status_id":1,"priority_id":2,"assigned_to_id":23,"start_date":"2017-06-17","description":"","custom_fields":[{"id":1,"name":"Subdivision","value":"Other"},{"id":4,"name":"Milepost","value":"5.8937"},{"id":17,"name":"Train ID","value":"1901-17"},{"id":16,"name":"Locomotive ID","value":"4050"},{"id":130,"name":"Impact","value":""},{"id":150,"name":"Time of Event (Mountain Time)","value":"05:34:29"},{"id":151,"name":"Denver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0"/>
        <v>start /low /b %USERPROFILE%\Documents\GitHub\eaglep3\Utilities\DownloadLogsFromS3.py --loco 4050 --day 2017-06-17</v>
      </c>
      <c r="AN211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643</v>
      </c>
      <c r="B212" s="7">
        <v>4054</v>
      </c>
      <c r="C212" s="21" t="s">
        <v>202</v>
      </c>
      <c r="D212" s="21" t="s">
        <v>518</v>
      </c>
      <c r="E212" s="13">
        <v>42903.13653935185</v>
      </c>
      <c r="F212" s="13">
        <v>42903.13821759259</v>
      </c>
      <c r="G212" s="7">
        <v>1</v>
      </c>
      <c r="H212" s="21" t="s">
        <v>959</v>
      </c>
      <c r="I212" s="13">
        <v>42903.139131944445</v>
      </c>
      <c r="J212" s="7">
        <v>0</v>
      </c>
      <c r="K212" s="89" t="str">
        <f t="shared" si="77"/>
        <v>4053/4054</v>
      </c>
      <c r="L212" s="21" t="str">
        <f>VLOOKUP(A212,'Trips&amp;Operators'!$C$1:$G$99999,5,FALSE)</f>
        <v>GRASTON MATHEU</v>
      </c>
      <c r="M212" s="6">
        <f t="shared" si="78"/>
        <v>9.1435185458976775E-4</v>
      </c>
      <c r="N212" s="7">
        <f t="shared" si="74"/>
        <v>1.3166666706092656</v>
      </c>
      <c r="O212" s="7"/>
      <c r="P212" s="7"/>
      <c r="Q212" s="22"/>
      <c r="R212" s="170"/>
      <c r="S212" s="213">
        <f t="shared" si="75"/>
        <v>0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-06-17T02:16:37-0600',mode:absolute,to:'2017-06-17T04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97" t="str">
        <f>IF(AA212&lt;VLOOKUP(AG212,Variables!$AC$3:$AD$8,2,FALSE),"Y","N")</f>
        <v>Y</v>
      </c>
      <c r="X212" s="197">
        <f t="shared" si="76"/>
        <v>-1850</v>
      </c>
      <c r="Y212" s="197">
        <f t="shared" si="81"/>
        <v>4.5499999999999999E-2</v>
      </c>
      <c r="Z212" s="197">
        <f t="shared" si="82"/>
        <v>0.34970000000000001</v>
      </c>
      <c r="AA212" s="197">
        <f t="shared" si="83"/>
        <v>0.30420000000000003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51</v>
      </c>
      <c r="AE212" s="77" t="str">
        <f t="shared" si="85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212" s="74" t="str">
        <f t="shared" si="86"/>
        <v>"C:\Program Files (x86)\AstroGrep\AstroGrep.exe" /e /r /s /spath="%USERPROFILE%\AppData\Local\Temp\OnboardLogs" /stypes="app*4054*20170617*" /stext=" 09:.+((SYSTEM_STATE.+slice.+state.+changed )|(ment ac)|(multiple cpu faults)|(system.+state.+changed )|(\[timeout)|(PRM\|1\|D)|(kpr)|(kdp)|(train st.+moving)|(\|lc)|(penalty))"</v>
      </c>
      <c r="AG212" s="209" t="str">
        <f t="shared" si="87"/>
        <v>Shuttle/Test</v>
      </c>
      <c r="AH212" s="78" t="str">
        <f t="shared" si="88"/>
        <v>"%USERPROFILE%\Documents\GitHub\eaglep3\Utilities\RefineRTDCRunTimes.py" --tripid 51-17 --locoid 4054 --swversion DE.1.0.9.0 --startMP 204:455 --initTime 2017-06-17T03:16:37 --startdatetime 2017-06-17T03:19:02 --delay 1 --endMP 204:3497 --enddatetime 2017-06-17T03:20:21 --enforcementcount 0 &gt;&gt;C:\Users\stu\Documents\GitHub\eaglep3-reporting\EC\2017-06-17-refined-times.txt</v>
      </c>
      <c r="AI212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0.3497"},{"id":17,"name":"Train ID","value":"51-17"},{"id":16,"name":"Locomotive ID","value":"4054"},{"id":130,"name":"Impact","value":""},{"id":150,"name":"Time of Event (Mountain Time)","value":"03:20:21"},{"id":151,"name":"Denver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0"/>
        <v>start /low /b %USERPROFILE%\Documents\GitHub\eaglep3\Utilities\DownloadLogsFromS3.py --loco 4054 --day 2017-06-17</v>
      </c>
      <c r="AN212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647</v>
      </c>
      <c r="B213" s="7">
        <v>4053</v>
      </c>
      <c r="C213" s="21" t="s">
        <v>202</v>
      </c>
      <c r="D213" s="21" t="s">
        <v>960</v>
      </c>
      <c r="E213" s="13">
        <v>42903.140046296299</v>
      </c>
      <c r="F213" s="13">
        <v>42903.141365740739</v>
      </c>
      <c r="G213" s="7">
        <v>1</v>
      </c>
      <c r="H213" s="21" t="s">
        <v>570</v>
      </c>
      <c r="I213" s="13">
        <v>42903.142372685186</v>
      </c>
      <c r="J213" s="7">
        <v>0</v>
      </c>
      <c r="K213" s="89" t="str">
        <f t="shared" si="77"/>
        <v>4053/4054</v>
      </c>
      <c r="L213" s="21" t="str">
        <f>VLOOKUP(A213,'Trips&amp;Operators'!$C$1:$G$99999,5,FALSE)</f>
        <v>GRASTON MATHEU</v>
      </c>
      <c r="M213" s="6">
        <f t="shared" si="78"/>
        <v>1.006944446999114E-3</v>
      </c>
      <c r="N213" s="7">
        <f t="shared" si="74"/>
        <v>1.4500000036787242</v>
      </c>
      <c r="O213" s="7"/>
      <c r="P213" s="7"/>
      <c r="Q213" s="22"/>
      <c r="R213" s="170"/>
      <c r="S213" s="213">
        <f t="shared" si="75"/>
        <v>0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-06-17T02:21:40-0600',mode:absolute,to:'2017-06-17T04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3" s="197" t="str">
        <f>IF(AA213&lt;VLOOKUP(AG213,Variables!$AC$3:$AD$8,2,FALSE),"Y","N")</f>
        <v>Y</v>
      </c>
      <c r="X213" s="197">
        <f t="shared" si="76"/>
        <v>1</v>
      </c>
      <c r="Y213" s="197">
        <f t="shared" si="81"/>
        <v>0.31730000000000003</v>
      </c>
      <c r="Z213" s="197">
        <f t="shared" si="82"/>
        <v>0.11600000000000001</v>
      </c>
      <c r="AA213" s="197">
        <f t="shared" si="83"/>
        <v>0.20130000000000003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52</v>
      </c>
      <c r="AE213" s="77" t="str">
        <f t="shared" si="85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213" s="74" t="str">
        <f t="shared" si="86"/>
        <v>"C:\Program Files (x86)\AstroGrep\AstroGrep.exe" /e /r /s /spath="%USERPROFILE%\AppData\Local\Temp\OnboardLogs" /stypes="app*4053*20170617*" /stext=" 09:.+((SYSTEM_STATE.+slice.+state.+changed )|(ment ac)|(multiple cpu faults)|(system.+state.+changed )|(\[timeout)|(PRM\|1\|D)|(kpr)|(kdp)|(train st.+moving)|(\|lc)|(penalty))"</v>
      </c>
      <c r="AG213" s="209" t="str">
        <f t="shared" si="87"/>
        <v>Shuttle/Test</v>
      </c>
      <c r="AH213" s="78" t="str">
        <f t="shared" si="88"/>
        <v>"%USERPROFILE%\Documents\GitHub\eaglep3\Utilities\RefineRTDCRunTimes.py" --tripid 52-17 --locoid 4053 --swversion DE.1.0.9.0 --startMP 204:3173 --initTime 2017-06-17T03:21:40 --startdatetime 2017-06-17T03:23:34 --delay 1 --endMP 204:1160 --enddatetime 2017-06-17T03:25:01 --enforcementcount 0 &gt;&gt;C:\Users\stu\Documents\GitHub\eaglep3-reporting\EC\2017-06-17-refined-times.txt</v>
      </c>
      <c r="AI213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0.116"},{"id":17,"name":"Train ID","value":"52-17"},{"id":16,"name":"Locomotive ID","value":"4053"},{"id":130,"name":"Impact","value":""},{"id":150,"name":"Time of Event (Mountain Time)","value":"03:25:01"},{"id":151,"name":"Denver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0"/>
        <v>start /low /b %USERPROFILE%\Documents\GitHub\eaglep3\Utilities\DownloadLogsFromS3.py --loco 4053 --day 2017-06-17</v>
      </c>
      <c r="AN213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729</v>
      </c>
      <c r="B214" s="7">
        <v>4053</v>
      </c>
      <c r="C214" s="21" t="s">
        <v>202</v>
      </c>
      <c r="D214" s="21" t="s">
        <v>961</v>
      </c>
      <c r="E214" s="13">
        <v>42903.520127314812</v>
      </c>
      <c r="F214" s="13">
        <v>42903.521631944444</v>
      </c>
      <c r="G214" s="7">
        <v>1</v>
      </c>
      <c r="H214" s="21" t="s">
        <v>349</v>
      </c>
      <c r="I214" s="13">
        <v>42903.523125</v>
      </c>
      <c r="J214" s="7">
        <v>0</v>
      </c>
      <c r="K214" s="89" t="str">
        <f t="shared" si="77"/>
        <v>4053/4054</v>
      </c>
      <c r="L214" s="21" t="str">
        <f>VLOOKUP(A214,'Trips&amp;Operators'!$C$1:$G$99999,5,FALSE)</f>
        <v>ARVIDSON DANIEL</v>
      </c>
      <c r="M214" s="6">
        <f t="shared" si="78"/>
        <v>1.4930555553291924E-3</v>
      </c>
      <c r="N214" s="7">
        <f t="shared" si="74"/>
        <v>2.1499999996740371</v>
      </c>
      <c r="O214" s="7"/>
      <c r="P214" s="7"/>
      <c r="Q214" s="22"/>
      <c r="R214" s="170"/>
      <c r="S214" s="213">
        <f t="shared" si="75"/>
        <v>0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-06-17T11:28:59-0600',mode:absolute,to:'2017-06-17T13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197" t="str">
        <f>IF(AA214&lt;VLOOKUP(AG214,Variables!$AC$3:$AD$8,2,FALSE),"Y","N")</f>
        <v>Y</v>
      </c>
      <c r="X214" s="197">
        <f t="shared" si="76"/>
        <v>1</v>
      </c>
      <c r="Y214" s="197">
        <f t="shared" si="81"/>
        <v>0.33629999999999999</v>
      </c>
      <c r="Z214" s="197">
        <f t="shared" si="82"/>
        <v>1.4999999999999999E-2</v>
      </c>
      <c r="AA214" s="197">
        <f t="shared" si="83"/>
        <v>0.32129999999999997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53</v>
      </c>
      <c r="AE214" s="77" t="str">
        <f t="shared" si="85"/>
        <v>aws s3 cp s3://rtdc.mdm.uploadarchive.raw/RTDC4053/ "%USERPROFILE%\AppData\Local\Temp\OnboardLogs"\RTDC4053\2017-06-17 --exclude "*" --recursive --include "*20170617*" &amp; "%USERPROFILE%\Documents\GitHub\mrs-test-scripts\Headless Mode &amp; Sideloading\WalkAndUnGZ.bat" "%USERPROFILE%\AppData\Local\Temp\OnboardLogs"\RTDC4053\2017-06-17 &amp; aws s3 cp s3://rtdc.mdm.uploadarchive.raw/RTDC4053/ "%USERPROFILE%\AppData\Local\Temp\OnboardLogs"\RTDC4053\2017-06-18 --exclude "*" --recursive --include "*20170618*" &amp; "%USERPROFILE%\Documents\GitHub\mrs-test-scripts\Headless Mode &amp; Sideloading\WalkAndUnGZ.bat" "%USERPROFILE%\AppData\Local\Temp\OnboardLogs"\RTDC4053\2017-06-18</v>
      </c>
      <c r="AF214" s="74" t="str">
        <f t="shared" si="86"/>
        <v>"C:\Program Files (x86)\AstroGrep\AstroGrep.exe" /e /r /s /spath="%USERPROFILE%\AppData\Local\Temp\OnboardLogs" /stypes="app*4053*20170617*" /stext=" 18:.+((SYSTEM_STATE.+slice.+state.+changed )|(ment ac)|(multiple cpu faults)|(system.+state.+changed )|(\[timeout)|(PRM\|1\|D)|(kpr)|(kdp)|(train st.+moving)|(\|lc)|(penalty))"</v>
      </c>
      <c r="AG214" s="209" t="str">
        <f t="shared" si="87"/>
        <v>Shuttle/Test</v>
      </c>
      <c r="AH214" s="78" t="str">
        <f t="shared" si="88"/>
        <v>"%USERPROFILE%\Documents\GitHub\eaglep3\Utilities\RefineRTDCRunTimes.py" --tripid 53-17 --locoid 4053 --swversion DE.1.0.9.0 --startMP 204:3363 --initTime 2017-06-17T12:28:59 --startdatetime 2017-06-17T12:31:09 --delay 1 --endMP 204:150 --enddatetime 2017-06-17T12:33:18 --enforcementcount 0 &gt;&gt;C:\Users\stu\Documents\GitHub\eaglep3-reporting\EC\2017-06-17-refined-times.txt</v>
      </c>
      <c r="AI214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0.015"},{"id":17,"name":"Train ID","value":"53-17"},{"id":16,"name":"Locomotive ID","value":"4053"},{"id":130,"name":"Impact","value":""},{"id":150,"name":"Time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0"/>
        <v>start /low /b %USERPROFILE%\Documents\GitHub\eaglep3\Utilities\DownloadLogsFromS3.py --loco 4053 --day 2017-06-17</v>
      </c>
      <c r="AN214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729</v>
      </c>
      <c r="B215" s="7">
        <v>4054</v>
      </c>
      <c r="C215" s="21" t="s">
        <v>202</v>
      </c>
      <c r="D215" s="21" t="s">
        <v>962</v>
      </c>
      <c r="E215" s="13">
        <v>42903.516250000001</v>
      </c>
      <c r="F215" s="13">
        <v>42903.521631944444</v>
      </c>
      <c r="G215" s="7">
        <v>2</v>
      </c>
      <c r="H215" s="21" t="s">
        <v>963</v>
      </c>
      <c r="I215" s="13">
        <v>42903.523125</v>
      </c>
      <c r="J215" s="7">
        <v>0</v>
      </c>
      <c r="K215" s="89" t="str">
        <f t="shared" si="77"/>
        <v>4053/4054</v>
      </c>
      <c r="L215" s="21" t="str">
        <f>VLOOKUP(A215,'Trips&amp;Operators'!$C$1:$G$99999,5,FALSE)</f>
        <v>ARVIDSON DANIEL</v>
      </c>
      <c r="M215" s="6">
        <f t="shared" si="78"/>
        <v>1.4930555553291924E-3</v>
      </c>
      <c r="N215" s="7">
        <f t="shared" si="74"/>
        <v>2.1499999996740371</v>
      </c>
      <c r="O215" s="7"/>
      <c r="P215" s="7"/>
      <c r="Q215" s="22"/>
      <c r="R215" s="170"/>
      <c r="S215" s="213">
        <f t="shared" si="75"/>
        <v>0</v>
      </c>
      <c r="T215" s="195" t="str">
        <f t="shared" si="79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-06-17T11:23:24-0600',mode:absolute,to:'2017-06-17T13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7" t="str">
        <f>IF(AA215&lt;VLOOKUP(AG215,Variables!$AC$3:$AD$8,2,FALSE),"Y","N")</f>
        <v>Y</v>
      </c>
      <c r="X215" s="197">
        <f t="shared" si="76"/>
        <v>0</v>
      </c>
      <c r="Y215" s="197">
        <f t="shared" si="81"/>
        <v>0.14749999999999999</v>
      </c>
      <c r="Z215" s="197">
        <f t="shared" si="82"/>
        <v>0.36749999999999999</v>
      </c>
      <c r="AA215" s="197">
        <f t="shared" si="83"/>
        <v>0.22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53</v>
      </c>
      <c r="AE215" s="77" t="str">
        <f t="shared" si="85"/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AF215" s="74" t="str">
        <f t="shared" si="86"/>
        <v>"C:\Program Files (x86)\AstroGrep\AstroGrep.exe" /e /r /s /spath="%USERPROFILE%\AppData\Local\Temp\OnboardLogs" /stypes="app*4054*20170617*" /stext=" 18:.+((SYSTEM_STATE.+slice.+state.+changed )|(ment ac)|(multiple cpu faults)|(system.+state.+changed )|(\[timeout)|(PRM\|1\|D)|(kpr)|(kdp)|(train st.+moving)|(\|lc)|(penalty))"</v>
      </c>
      <c r="AG215" s="209" t="str">
        <f t="shared" si="87"/>
        <v>Shuttle/Test</v>
      </c>
      <c r="AH215" s="78" t="str">
        <f t="shared" si="88"/>
        <v>"%USERPROFILE%\Documents\GitHub\eaglep3\Utilities\RefineRTDCRunTimes.py" --tripid 53-17 --locoid 4054 --swversion DE.1.0.9.0 --startMP 204:1475 --initTime 2017-06-17T12:23:24 --startdatetime 2017-06-17T12:31:09 --delay 2 --endMP 204:3675 --enddatetime 2017-06-17T12:33:18 --enforcementcount 0 &gt;&gt;C:\Users\stu\Documents\GitHub\eaglep3-reporting\EC\2017-06-17-refined-times.txt</v>
      </c>
      <c r="AI215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0.3675"},{"id":17,"name":"Train ID","value":"53-17"},{"id":16,"name":"Locomotive ID","value":"4054"},{"id":130,"name":"Impact","value":""},{"id":150,"name":"Time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0"/>
        <v>start /low /b %USERPROFILE%\Documents\GitHub\eaglep3\Utilities\DownloadLogsFromS3.py --loco 4054 --day 2017-06-17</v>
      </c>
      <c r="AN215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18:33:18"},{"id":29,"name":"Sharepoint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619</v>
      </c>
      <c r="B216" s="7">
        <v>4042</v>
      </c>
      <c r="C216" s="21" t="s">
        <v>202</v>
      </c>
      <c r="D216" s="21" t="s">
        <v>964</v>
      </c>
      <c r="E216" s="13">
        <v>42903.704884259256</v>
      </c>
      <c r="F216" s="13">
        <v>42903.715439814812</v>
      </c>
      <c r="G216" s="7">
        <v>1</v>
      </c>
      <c r="H216" s="21" t="s">
        <v>965</v>
      </c>
      <c r="I216" s="13">
        <v>42903.715578703705</v>
      </c>
      <c r="J216" s="7">
        <v>0</v>
      </c>
      <c r="K216" s="89" t="str">
        <f t="shared" si="77"/>
        <v>4041/4042</v>
      </c>
      <c r="L216" s="21" t="str">
        <f>VLOOKUP(A216,'Trips&amp;Operators'!$C$1:$G$99999,5,FALSE)</f>
        <v>ARVIDSON DANIEL</v>
      </c>
      <c r="M216" s="6">
        <f t="shared" si="78"/>
        <v>1.3888889225199819E-4</v>
      </c>
      <c r="N216" s="7">
        <f t="shared" si="74"/>
        <v>0.20000000484287739</v>
      </c>
      <c r="O216" s="7"/>
      <c r="P216" s="7"/>
      <c r="Q216" s="22"/>
      <c r="R216" s="170"/>
      <c r="S216" s="213">
        <f t="shared" si="75"/>
        <v>0</v>
      </c>
      <c r="T216" s="195" t="str">
        <f t="shared" si="79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-06-17T15:55:02-0600',mode:absolute,to:'2017-06-17T18:10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97" t="str">
        <f>IF(AA216&lt;VLOOKUP(AG216,Variables!$AC$3:$AD$8,2,FALSE),"Y","N")</f>
        <v>Y</v>
      </c>
      <c r="X216" s="197">
        <f t="shared" si="76"/>
        <v>1</v>
      </c>
      <c r="Y216" s="197">
        <f t="shared" si="81"/>
        <v>0.1469</v>
      </c>
      <c r="Z216" s="197">
        <f t="shared" si="82"/>
        <v>2.3178999999999998</v>
      </c>
      <c r="AA216" s="197">
        <f t="shared" si="83"/>
        <v>2.1709999999999998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54</v>
      </c>
      <c r="AE216" s="77" t="str">
        <f t="shared" si="85"/>
        <v>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 &amp; 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</v>
      </c>
      <c r="AF216" s="74" t="str">
        <f t="shared" si="86"/>
        <v>"C:\Program Files (x86)\AstroGrep\AstroGrep.exe" /e /r /s /spath="%USERPROFILE%\AppData\Local\Temp\OnboardLogs" /stypes="app*4042*20170617*" /stext=" 23:.+((SYSTEM_STATE.+slice.+state.+changed )|(ment ac)|(multiple cpu faults)|(system.+state.+changed )|(\[timeout)|(PRM\|1\|D)|(kpr)|(kdp)|(train st.+moving)|(\|lc)|(penalty))"</v>
      </c>
      <c r="AG216" s="209" t="str">
        <f t="shared" si="87"/>
        <v>Shuttle/Test</v>
      </c>
      <c r="AH216" s="78" t="str">
        <f t="shared" si="88"/>
        <v>"%USERPROFILE%\Documents\GitHub\eaglep3\Utilities\RefineRTDCRunTimes.py" --tripid 54-17 --locoid 4042 --swversion DE.1.0.9.0 --startMP 204:1469 --initTime 2017-06-17T16:55:02 --startdatetime 2017-06-17T17:10:14 --delay 1 --endMP 300:23179 --enddatetime 2017-06-17T17:10:26 --enforcementcount 0 &gt;&gt;C:\Users\stu\Documents\GitHub\eaglep3-reporting\EC\2017-06-17-refined-times.txt</v>
      </c>
      <c r="AI216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2.3179"},{"id":17,"name":"Train ID","value":"54-17"},{"id":16,"name":"Locomotive ID","value":"4042"},{"id":130,"name":"Impact","value":""},{"id":150,"name":"Time of Event (Mountain Time)","value":"17:10:26"},{"id":151,"name":"Denver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0"/>
        <v>start /low /b %USERPROFILE%\Documents\GitHub\eaglep3\Utilities\DownloadLogsFromS3.py --loco 4042 --day 2017-06-17</v>
      </c>
      <c r="AN216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747</v>
      </c>
      <c r="B217" s="7">
        <v>4014</v>
      </c>
      <c r="C217" s="21" t="s">
        <v>202</v>
      </c>
      <c r="D217" s="21" t="s">
        <v>966</v>
      </c>
      <c r="E217" s="13">
        <v>42903.574178240742</v>
      </c>
      <c r="F217" s="13">
        <v>42903.579918981479</v>
      </c>
      <c r="G217" s="7">
        <v>1</v>
      </c>
      <c r="H217" s="21" t="s">
        <v>967</v>
      </c>
      <c r="I217" s="13">
        <v>42903.585520833331</v>
      </c>
      <c r="J217" s="7">
        <v>0</v>
      </c>
      <c r="K217" s="89" t="str">
        <f t="shared" si="77"/>
        <v>4013/4014</v>
      </c>
      <c r="L217" s="21" t="str">
        <f>VLOOKUP(A217,'Trips&amp;Operators'!$C$1:$G$99999,5,FALSE)</f>
        <v>ARVIDSON DANIEL</v>
      </c>
      <c r="M217" s="6">
        <f t="shared" si="78"/>
        <v>5.6018518516793847E-3</v>
      </c>
      <c r="N217" s="7">
        <f t="shared" si="74"/>
        <v>8.066666666418314</v>
      </c>
      <c r="O217" s="7"/>
      <c r="P217" s="7"/>
      <c r="Q217" s="22"/>
      <c r="R217" s="170"/>
      <c r="S217" s="213">
        <f t="shared" si="75"/>
        <v>1</v>
      </c>
      <c r="T217" s="195" t="str">
        <f t="shared" si="79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-06-17T12:46:49-0600',mode:absolute,to:'2017-06-17T15:03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97" t="str">
        <f>IF(AA217&lt;VLOOKUP(AG217,Variables!$AC$3:$AD$8,2,FALSE),"Y","N")</f>
        <v>Y</v>
      </c>
      <c r="X217" s="197">
        <f t="shared" si="76"/>
        <v>1</v>
      </c>
      <c r="Y217" s="197">
        <f t="shared" si="81"/>
        <v>0.14860000000000001</v>
      </c>
      <c r="Z217" s="197">
        <f t="shared" si="82"/>
        <v>2.4068000000000001</v>
      </c>
      <c r="AA217" s="197">
        <f t="shared" si="83"/>
        <v>2.2582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4"/>
        <v>55</v>
      </c>
      <c r="AE217" s="77" t="str">
        <f t="shared" si="85"/>
        <v>aws s3 cp s3://rtdc.mdm.uploadarchive.raw/RTDC4014/ "%USERPROFILE%\AppData\Local\Temp\OnboardLogs"\RTDC4014\2017-06-17 --exclude "*" --recursive --include "*20170617*" &amp; "%USERPROFILE%\Documents\GitHub\mrs-test-scripts\Headless Mode &amp; Sideloading\WalkAndUnGZ.bat" "%USERPROFILE%\AppData\Local\Temp\OnboardLogs"\RTDC4014\2017-06-17 &amp; aws s3 cp s3://rtdc.mdm.uploadarchive.raw/RTDC4014/ "%USERPROFILE%\AppData\Local\Temp\OnboardLogs"\RTDC4014\2017-06-18 --exclude "*" --recursive --include "*20170618*" &amp; "%USERPROFILE%\Documents\GitHub\mrs-test-scripts\Headless Mode &amp; Sideloading\WalkAndUnGZ.bat" "%USERPROFILE%\AppData\Local\Temp\OnboardLogs"\RTDC4014\2017-06-18</v>
      </c>
      <c r="AF217" s="74" t="str">
        <f t="shared" si="86"/>
        <v>"C:\Program Files (x86)\AstroGrep\AstroGrep.exe" /e /r /s /spath="%USERPROFILE%\AppData\Local\Temp\OnboardLogs" /stypes="app*4014*20170617*" /stext=" 20:.+((SYSTEM_STATE.+slice.+state.+changed )|(ment ac)|(multiple cpu faults)|(system.+state.+changed )|(\[timeout)|(PRM\|1\|D)|(kpr)|(kdp)|(train st.+moving)|(\|lc)|(penalty))"</v>
      </c>
      <c r="AG217" s="209" t="str">
        <f t="shared" si="87"/>
        <v>Shuttle/Test</v>
      </c>
      <c r="AH217" s="78" t="str">
        <f t="shared" si="88"/>
        <v>"%USERPROFILE%\Documents\GitHub\eaglep3\Utilities\RefineRTDCRunTimes.py" --tripid 55-17 --locoid 4014 --swversion DE.1.0.9.0 --startMP 204:1486 --initTime 2017-06-17T13:46:49 --startdatetime 2017-06-17T13:55:05 --delay 1 --endMP 300:24068 --enddatetime 2017-06-17T14:03:09 --enforcementcount 0 &gt;&gt;C:\Users\stu\Documents\GitHub\eaglep3-reporting\EC\2017-06-17-refined-times.txt</v>
      </c>
      <c r="AI217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2.4068"},{"id":17,"name":"Train ID","value":"55-17"},{"id":16,"name":"Locomotive ID","value":"4014"},{"id":130,"name":"Impact","value":""},{"id":150,"name":"Time of Event (Mountain Time)","value":"14:03:09"},{"id":151,"name":"Denver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0"/>
        <v>start /low /b %USERPROFILE%\Documents\GitHub\eaglep3\Utilities\DownloadLogsFromS3.py --loco 4014 --day 2017-06-17</v>
      </c>
      <c r="AN217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780</v>
      </c>
      <c r="B218" s="7">
        <v>4058</v>
      </c>
      <c r="C218" s="21" t="s">
        <v>202</v>
      </c>
      <c r="D218" s="21" t="s">
        <v>968</v>
      </c>
      <c r="E218" s="13">
        <v>42903.719629629632</v>
      </c>
      <c r="F218" s="13">
        <v>42903.738009259258</v>
      </c>
      <c r="G218" s="7">
        <v>1</v>
      </c>
      <c r="H218" s="21" t="s">
        <v>354</v>
      </c>
      <c r="I218" s="13">
        <v>42903.745324074072</v>
      </c>
      <c r="J218" s="7">
        <v>0</v>
      </c>
      <c r="K218" s="89" t="str">
        <f t="shared" si="77"/>
        <v>4057/4058</v>
      </c>
      <c r="L218" s="21" t="str">
        <f>VLOOKUP(A218,'Trips&amp;Operators'!$C$1:$G$99999,5,FALSE)</f>
        <v>BROWN JACOB</v>
      </c>
      <c r="M218" s="6">
        <f t="shared" si="78"/>
        <v>7.3148148148902692E-3</v>
      </c>
      <c r="N218" s="7">
        <f t="shared" si="74"/>
        <v>10.533333333441988</v>
      </c>
      <c r="O218" s="7"/>
      <c r="P218" s="7"/>
      <c r="Q218" s="22"/>
      <c r="R218" s="170"/>
      <c r="S218" s="213">
        <f t="shared" si="75"/>
        <v>0</v>
      </c>
      <c r="T218" s="195" t="str">
        <f t="shared" si="79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-06-17T16:16:16-0600',mode:absolute,to:'2017-06-17T18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8" s="197" t="str">
        <f>IF(AA218&lt;VLOOKUP(AG218,Variables!$AC$3:$AD$8,2,FALSE),"Y","N")</f>
        <v>Y</v>
      </c>
      <c r="X218" s="197">
        <f t="shared" si="76"/>
        <v>1</v>
      </c>
      <c r="Y218" s="197">
        <f t="shared" si="81"/>
        <v>0.115</v>
      </c>
      <c r="Z218" s="197">
        <f t="shared" si="82"/>
        <v>2.3346</v>
      </c>
      <c r="AA218" s="197">
        <f t="shared" si="83"/>
        <v>2.2195999999999998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4"/>
        <v>56</v>
      </c>
      <c r="AE218" s="77" t="str">
        <f t="shared" si="85"/>
        <v>aws s3 cp s3://rtdc.mdm.uploadarchive.raw/RTDC4058/ "%USERPROFILE%\AppData\Local\Temp\OnboardLogs"\RTDC4058\2017-06-17 --exclude "*" --recursive --include "*20170617*" &amp; "%USERPROFILE%\Documents\GitHub\mrs-test-scripts\Headless Mode &amp; Sideloading\WalkAndUnGZ.bat" "%USERPROFILE%\AppData\Local\Temp\OnboardLogs"\RTDC4058\2017-06-17 &amp; aws s3 cp s3://rtdc.mdm.uploadarchive.raw/RTDC4058/ "%USERPROFILE%\AppData\Local\Temp\OnboardLogs"\RTDC4058\2017-06-18 --exclude "*" --recursive --include "*20170618*" &amp; "%USERPROFILE%\Documents\GitHub\mrs-test-scripts\Headless Mode &amp; Sideloading\WalkAndUnGZ.bat" "%USERPROFILE%\AppData\Local\Temp\OnboardLogs"\RTDC4058\2017-06-18</v>
      </c>
      <c r="AF218" s="74" t="str">
        <f t="shared" si="86"/>
        <v>"C:\Program Files (x86)\AstroGrep\AstroGrep.exe" /e /r /s /spath="%USERPROFILE%\AppData\Local\Temp\OnboardLogs" /stypes="app*4058*20170617*" /stext=" 23:.+((SYSTEM_STATE.+slice.+state.+changed )|(ment ac)|(multiple cpu faults)|(system.+state.+changed )|(\[timeout)|(PRM\|1\|D)|(kpr)|(kdp)|(train st.+moving)|(\|lc)|(penalty))"</v>
      </c>
      <c r="AG218" s="209" t="str">
        <f t="shared" si="87"/>
        <v>Shuttle/Test</v>
      </c>
      <c r="AH218" s="78" t="str">
        <f t="shared" si="88"/>
        <v>"%USERPROFILE%\Documents\GitHub\eaglep3\Utilities\RefineRTDCRunTimes.py" --tripid 56-17 --locoid 4058 --swversion DE.1.0.9.0 --startMP 204:1150 --initTime 2017-06-17T17:16:16 --startdatetime 2017-06-17T17:42:44 --delay 1 --endMP 300:23346 --enddatetime 2017-06-17T17:53:16 --enforcementcount 0 &gt;&gt;C:\Users\stu\Documents\GitHub\eaglep3-reporting\EC\2017-06-17-refined-times.txt</v>
      </c>
      <c r="AI218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2.3346"},{"id":17,"name":"Train ID","value":"56-17"},{"id":16,"name":"Locomotive ID","value":"4058"},{"id":130,"name":"Impact","value":""},{"id":150,"name":"Time of Event (Mountain Time)","value":"17:53:16"},{"id":151,"name":"Denver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0"/>
        <v>start /low /b %USERPROFILE%\Documents\GitHub\eaglep3\Utilities\DownloadLogsFromS3.py --loco 4058 --day 2017-06-17</v>
      </c>
      <c r="AN218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23:53:16"},{"id":29,"name":"Sharepoint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757</v>
      </c>
      <c r="B219" s="7">
        <v>4041</v>
      </c>
      <c r="C219" s="21" t="s">
        <v>202</v>
      </c>
      <c r="D219" s="21" t="s">
        <v>969</v>
      </c>
      <c r="E219" s="13">
        <v>42903.607037037036</v>
      </c>
      <c r="F219" s="13">
        <v>42903.610833333332</v>
      </c>
      <c r="G219" s="7">
        <v>5</v>
      </c>
      <c r="H219" s="21" t="s">
        <v>968</v>
      </c>
      <c r="I219" s="13">
        <v>42903.616944444446</v>
      </c>
      <c r="J219" s="7">
        <v>0</v>
      </c>
      <c r="K219" s="89" t="str">
        <f t="shared" si="77"/>
        <v>4041/4042</v>
      </c>
      <c r="L219" s="21" t="str">
        <f>VLOOKUP(A219,'Trips&amp;Operators'!$C$1:$G$99999,5,FALSE)</f>
        <v>ARVIDSON DANIEL</v>
      </c>
      <c r="M219" s="6">
        <f t="shared" si="78"/>
        <v>6.1111111135687679E-3</v>
      </c>
      <c r="N219" s="7">
        <f t="shared" si="74"/>
        <v>8.8000000035390258</v>
      </c>
      <c r="O219" s="7"/>
      <c r="P219" s="7"/>
      <c r="Q219" s="22"/>
      <c r="R219" s="170"/>
      <c r="S219" s="213">
        <f t="shared" si="75"/>
        <v>1</v>
      </c>
      <c r="T219" s="195" t="str">
        <f t="shared" si="79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-06-17T13:34:08-0600',mode:absolute,to:'2017-06-17T15:48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197" t="str">
        <f>IF(AA219&lt;VLOOKUP(AG219,Variables!$AC$3:$AD$8,2,FALSE),"Y","N")</f>
        <v>Y</v>
      </c>
      <c r="X219" s="197">
        <f t="shared" si="76"/>
        <v>12</v>
      </c>
      <c r="Y219" s="197">
        <f t="shared" si="81"/>
        <v>2.3159999999999998</v>
      </c>
      <c r="Z219" s="197">
        <f t="shared" si="82"/>
        <v>0.115</v>
      </c>
      <c r="AA219" s="197">
        <f t="shared" si="83"/>
        <v>2.2009999999999996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4"/>
        <v>68</v>
      </c>
      <c r="AE219" s="77" t="str">
        <f t="shared" si="85"/>
        <v>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 &amp; 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</v>
      </c>
      <c r="AF219" s="74" t="str">
        <f t="shared" si="86"/>
        <v>"C:\Program Files (x86)\AstroGrep\AstroGrep.exe" /e /r /s /spath="%USERPROFILE%\AppData\Local\Temp\OnboardLogs" /stypes="app*4041*20170617*" /stext=" 20:.+((SYSTEM_STATE.+slice.+state.+changed )|(ment ac)|(multiple cpu faults)|(system.+state.+changed )|(\[timeout)|(PRM\|1\|D)|(kpr)|(kdp)|(train st.+moving)|(\|lc)|(penalty))"</v>
      </c>
      <c r="AG219" s="209" t="str">
        <f t="shared" si="87"/>
        <v>Shuttle/Test</v>
      </c>
      <c r="AH219" s="78" t="str">
        <f t="shared" si="88"/>
        <v>"%USERPROFILE%\Documents\GitHub\eaglep3\Utilities\RefineRTDCRunTimes.py" --tripid 68-17 --locoid 4041 --swversion DE.1.0.9.0 --startMP 300:23160 --initTime 2017-06-17T14:34:08 --startdatetime 2017-06-17T14:39:36 --delay 5 --endMP 204:1150 --enddatetime 2017-06-17T14:48:24 --enforcementcount 0 &gt;&gt;C:\Users\stu\Documents\GitHub\eaglep3-reporting\EC\2017-06-17-refined-times.txt</v>
      </c>
      <c r="AI219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0.115"},{"id":17,"name":"Train ID","value":"68-17"},{"id":16,"name":"Locomotive ID","value":"4041"},{"id":130,"name":"Impact","value":""},{"id":150,"name":"Time of Event (Mountain Time)","value":"14:48:24"},{"id":151,"name":"Denver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0"/>
        <v>start /low /b %USERPROFILE%\Documents\GitHub\eaglep3\Utilities\DownloadLogsFromS3.py --loco 4041 --day 2017-06-17</v>
      </c>
      <c r="AN219" s="151" t="str">
        <f t="shared" si="91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20:48:24"},{"id":29,"name":"Sharepoint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786</v>
      </c>
      <c r="B220" s="7">
        <v>4043</v>
      </c>
      <c r="C220" s="21" t="s">
        <v>202</v>
      </c>
      <c r="D220" s="21" t="s">
        <v>970</v>
      </c>
      <c r="E220" s="13">
        <v>42903.741307870368</v>
      </c>
      <c r="F220" s="13">
        <v>42903.745289351849</v>
      </c>
      <c r="G220" s="7">
        <v>5</v>
      </c>
      <c r="H220" s="21" t="s">
        <v>971</v>
      </c>
      <c r="I220" s="13">
        <v>42903.757731481484</v>
      </c>
      <c r="J220" s="7">
        <v>0</v>
      </c>
      <c r="K220" s="89" t="str">
        <f t="shared" si="77"/>
        <v>4043/4044</v>
      </c>
      <c r="L220" s="21" t="str">
        <f>VLOOKUP(A220,'Trips&amp;Operators'!$C$1:$G$99999,5,FALSE)</f>
        <v>BIRENBAUM THOMAS</v>
      </c>
      <c r="M220" s="6">
        <f t="shared" si="78"/>
        <v>1.2442129635019228E-2</v>
      </c>
      <c r="N220" s="7">
        <f t="shared" si="74"/>
        <v>17.916666674427688</v>
      </c>
      <c r="O220" s="7"/>
      <c r="P220" s="7"/>
      <c r="Q220" s="22"/>
      <c r="R220" s="170"/>
      <c r="S220" s="213">
        <f t="shared" si="75"/>
        <v>1</v>
      </c>
      <c r="T220" s="195" t="str">
        <f t="shared" si="79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-06-17T16:47:29-0600',mode:absolute,to:'2017-06-17T19:11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197" t="str">
        <f>IF(AA220&lt;VLOOKUP(AG220,Variables!$AC$3:$AD$8,2,FALSE),"Y","N")</f>
        <v>Y</v>
      </c>
      <c r="X220" s="197">
        <f t="shared" si="76"/>
        <v>2</v>
      </c>
      <c r="Y220" s="197">
        <f t="shared" si="81"/>
        <v>2.3288000000000002</v>
      </c>
      <c r="Z220" s="197">
        <f t="shared" si="82"/>
        <v>0.2208</v>
      </c>
      <c r="AA220" s="197">
        <f t="shared" si="83"/>
        <v>2.1080000000000001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4"/>
        <v>70</v>
      </c>
      <c r="AE220" s="77" t="str">
        <f t="shared" si="85"/>
        <v>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 &amp; aws s3 cp s3://rtdc.mdm.uploadarchive.raw/RTDC4043/ "%USERPROFILE%\AppData\Local\Temp\OnboardLogs"\RTDC4043\2017-06-18 --exclude "*" --recursive --include "*20170618*" &amp; "%USERPROFILE%\Documents\GitHub\mrs-test-scripts\Headless Mode &amp; Sideloading\WalkAndUnGZ.bat" "%USERPROFILE%\AppData\Local\Temp\OnboardLogs"\RTDC4043\2017-06-18</v>
      </c>
      <c r="AF220" s="74" t="str">
        <f t="shared" si="86"/>
        <v>"C:\Program Files (x86)\AstroGrep\AstroGrep.exe" /e /r /s /spath="%USERPROFILE%\AppData\Local\Temp\OnboardLogs" /stypes="app*4043*20170618*" /stext=" 00:.+((SYSTEM_STATE.+slice.+state.+changed )|(ment ac)|(multiple cpu faults)|(system.+state.+changed )|(\[timeout)|(PRM\|1\|D)|(kpr)|(kdp)|(train st.+moving)|(\|lc)|(penalty))"</v>
      </c>
      <c r="AG220" s="209" t="str">
        <f t="shared" si="87"/>
        <v>Shuttle/Test</v>
      </c>
      <c r="AH220" s="78" t="str">
        <f t="shared" si="88"/>
        <v>"%USERPROFILE%\Documents\GitHub\eaglep3\Utilities\RefineRTDCRunTimes.py" --tripid 70-17 --locoid 4043 --swversion DE.1.0.9.0 --startMP 300:23288 --initTime 2017-06-17T17:47:29 --startdatetime 2017-06-17T17:53:13 --delay 5 --endMP 204:2208 --enddatetime 2017-06-17T18:11:08 --enforcementcount 0 &gt;&gt;C:\Users\stu\Documents\GitHub\eaglep3-reporting\EC\2017-06-17-refined-times.txt</v>
      </c>
      <c r="AI220" s="96" t="str">
        <f t="shared" si="89"/>
        <v>echo {"issue":{"subject":"","project_id":79,"tracker_id":40,"status_id":1,"priority_id":2,"assigned_to_id":23,"start_date":"2017-06-17","description":"","custom_fields":[{"id":1,"name":"Subdivision","value":"Shuttle/Test"},{"id":4,"name":"Milepost","value":"0.2208"},{"id":17,"name":"Train ID","value":"70-17"},{"id":16,"name":"Locomotive ID","value":"4043"},{"id":130,"name":"Impact","value":""},{"id":150,"name":"Time of Event (Mountain Time)","value":"18:11:08"},{"id":151,"name":"Denver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0"/>
        <v>start /low /b %USERPROFILE%\Documents\GitHub\eaglep3\Utilities\DownloadLogsFromS3.py --loco 4043 --day 2017-06-17</v>
      </c>
      <c r="AN220" s="151" t="str">
        <f t="shared" si="9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00:11:08"},{"id":29,"name":"Sharepoint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4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</sheetData>
  <autoFilter ref="A12:AG279">
    <sortState ref="A13:AG280">
      <sortCondition ref="AG13:AG221"/>
      <sortCondition ref="AD13:AD221"/>
    </sortState>
  </autoFilter>
  <sortState ref="A13:AN233">
    <sortCondition ref="AG13:AG233"/>
    <sortCondition ref="AD13:AD233"/>
  </sortState>
  <mergeCells count="1">
    <mergeCell ref="A11:P11"/>
  </mergeCells>
  <conditionalFormatting sqref="W11:W12 W283:X1048576 W13:X220">
    <cfRule type="cellIs" dxfId="10" priority="415" operator="equal">
      <formula>"Y"</formula>
    </cfRule>
  </conditionalFormatting>
  <conditionalFormatting sqref="X283:X1048576 X13:X220">
    <cfRule type="cellIs" dxfId="9" priority="398" operator="greaterThan">
      <formula>1</formula>
    </cfRule>
  </conditionalFormatting>
  <conditionalFormatting sqref="X283:X1048576 X12:X220">
    <cfRule type="cellIs" dxfId="8" priority="395" operator="equal">
      <formula>0</formula>
    </cfRule>
  </conditionalFormatting>
  <conditionalFormatting sqref="A13:S22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7" t="str">
        <f>"Eagle P3 Braking Events - "&amp;TEXT(Variables!$A$2,"YYYY-mm-dd")</f>
        <v>Eagle P3 Braking Events - 2017-06-17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535</v>
      </c>
      <c r="X6" s="208" t="s">
        <v>528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42903.979988425926</v>
      </c>
      <c r="B7" s="30" t="s">
        <v>447</v>
      </c>
      <c r="C7" s="30" t="s">
        <v>631</v>
      </c>
      <c r="D7" s="30" t="s">
        <v>96</v>
      </c>
      <c r="E7" s="30" t="s">
        <v>187</v>
      </c>
      <c r="F7" s="42">
        <v>0</v>
      </c>
      <c r="G7" s="42">
        <v>114</v>
      </c>
      <c r="H7" s="42">
        <v>27349</v>
      </c>
      <c r="I7" s="42">
        <v>27278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-38.015999999999998</v>
      </c>
      <c r="N7" s="133" t="str">
        <f>VLOOKUP(C7,'Trips&amp;Operators'!$C$1:$G$99999,5,FALSE)</f>
        <v>PERKINS DARREN</v>
      </c>
      <c r="O7" s="203" t="s">
        <v>180</v>
      </c>
      <c r="P7" s="134" t="s">
        <v>397</v>
      </c>
      <c r="Q7" s="30"/>
      <c r="R7" s="81" t="str">
        <f>VLOOKUP(C7,'Train Runs'!$A$13:$AE$9938,31,0)</f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S7" s="84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-06-17T21:49:43-0600',mode:absolute,to:'2017-06-18T00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/stypes="*4045*201706180*" /stext=" 05:.+((SYSTEM_STATE.+slice.+state.+changed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4045</v>
      </c>
      <c r="V7" s="31">
        <f t="shared" ref="V7:V38" si="3">A7-utc_offset/24</f>
        <v>42904.229988425926</v>
      </c>
      <c r="W7" s="45" t="str">
        <f t="shared" ref="W7:W38" si="4">DetSubdiv(C7)</f>
        <v>EC</v>
      </c>
      <c r="X7" s="22">
        <f t="shared" ref="X7:X38" si="5">VALUE(LEFT(C7,LEN(C7)-3))</f>
        <v>234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arrival","project_id":79,"tracker_id":40,"status_id":1,"priority_id":2,"assigned_to_id":23,"start_date":"2017-06-17","description":"","custom_fields":[{"id":1,"name":"Subdivision","value":"EC"},{"id":4,"name":"Milepost","value":"2.735"},{"id":17,"name":"Train ID","value":"234-17"},{"id":16,"name":"Locomotive ID","value":"4045"},{"id":130,"name":"Impact","value":""},{"id":150,"name":"Time of Event (Mountain Time)","value":"23:31:11"},{"id":151,"name":"Denver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/cygdrive/c/Users/stu/AppData/Local/Temp/OnboardLogs/RTDC4045 --include="*4045*201706180*"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"%USERPROFILE%\AppData\Local\Temp\OnboardLogs"\RTDC4045\*4045*201706180* &gt;&gt; 2017-06-17-SliceDisagreementCheck.txt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4045 --day 2017-06-18</v>
      </c>
    </row>
    <row r="8" spans="1:32" s="1" customFormat="1" x14ac:dyDescent="0.25">
      <c r="A8" s="31">
        <v>42903.716192129628</v>
      </c>
      <c r="B8" s="30" t="s">
        <v>422</v>
      </c>
      <c r="C8" s="30" t="s">
        <v>620</v>
      </c>
      <c r="D8" s="30" t="s">
        <v>49</v>
      </c>
      <c r="E8" s="30" t="s">
        <v>187</v>
      </c>
      <c r="F8" s="42">
        <v>0</v>
      </c>
      <c r="G8" s="42">
        <v>204</v>
      </c>
      <c r="H8" s="42">
        <v>31023</v>
      </c>
      <c r="I8" s="42">
        <v>30840</v>
      </c>
      <c r="J8" s="30" t="s">
        <v>188</v>
      </c>
      <c r="K8" s="42">
        <v>30970</v>
      </c>
      <c r="L8" s="131" t="s">
        <v>51</v>
      </c>
      <c r="M8" s="132">
        <f t="shared" si="0"/>
        <v>-68.64</v>
      </c>
      <c r="N8" s="133" t="str">
        <f>VLOOKUP(C8,'Trips&amp;Operators'!$C$1:$G$99999,5,FALSE)</f>
        <v>DELGADO DIANAH</v>
      </c>
      <c r="O8" s="203" t="s">
        <v>180</v>
      </c>
      <c r="P8" s="134" t="s">
        <v>397</v>
      </c>
      <c r="Q8" s="30"/>
      <c r="R8" s="81" t="str">
        <f>VLOOKUP(C8,'Train Runs'!$A$13:$AE$9938,31,0)</f>
        <v>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 &amp; aws s3 cp s3://rtdc.mdm.uploadarchive.raw/RTDC4019/ "%USERPROFILE%\AppData\Local\Temp\OnboardLogs"\RTDC4019\2017-06-18 --exclude "*" --recursive --include "*20170618*" &amp; "%USERPROFILE%\Documents\GitHub\mrs-test-scripts\Headless Mode &amp; Sideloading\WalkAndUnGZ.bat" "%USERPROFILE%\AppData\Local\Temp\OnboardLogs"\RTDC4019\2017-06-18</v>
      </c>
      <c r="S8" s="84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-06-17T15:32:22-0600',mode:absolute,to:'2017-06-17T18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86" t="str">
        <f t="shared" si="1"/>
        <v>"C:\Program Files (x86)\AstroGrep\AstroGrep.exe" /e /r /s /spath="%USERPROFILE%\AppData\Local\Temp\OnboardLogs" /stypes="*4019*201706172*"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4019</v>
      </c>
      <c r="V8" s="31">
        <f t="shared" si="3"/>
        <v>42903.966192129628</v>
      </c>
      <c r="W8" s="45" t="str">
        <f t="shared" si="4"/>
        <v>EC</v>
      </c>
      <c r="X8" s="22">
        <f t="shared" si="5"/>
        <v>198</v>
      </c>
      <c r="Y8" s="96" t="str">
        <f t="shared" si="6"/>
        <v>echo {"issue":{"subject":"Early arrival","project_id":79,"tracker_id":40,"status_id":1,"priority_id":2,"assigned_to_id":23,"start_date":"2017-06-17","description":"","custom_fields":[{"id":1,"name":"Subdivision","value":"EC"},{"id":4,"name":"Milepost","value":"3.097"},{"id":17,"name":"Train ID","value":"198-17"},{"id":16,"name":"Locomotive ID","value":"4019"},{"id":130,"name":"Impact","value":""},{"id":150,"name":"Time of Event (Mountain Time)","value":"17:11:19"},{"id":151,"name":"Denver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/cygdrive/c/Users/stu/AppData/Local/Temp/OnboardLogs/RTDC4019 --include="*4019*201706172*"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"%USERPROFILE%\AppData\Local\Temp\OnboardLogs"\RTDC4019\*4019*201706172* &gt;&gt; 2017-06-17-SliceDisagreementCheck.txt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4019 --day 2017-06-17</v>
      </c>
    </row>
    <row r="9" spans="1:32" s="1" customFormat="1" x14ac:dyDescent="0.25">
      <c r="A9" s="31">
        <v>42903.759120370371</v>
      </c>
      <c r="B9" s="30" t="s">
        <v>401</v>
      </c>
      <c r="C9" s="30" t="s">
        <v>627</v>
      </c>
      <c r="D9" s="30" t="s">
        <v>49</v>
      </c>
      <c r="E9" s="30" t="s">
        <v>187</v>
      </c>
      <c r="F9" s="42">
        <v>0</v>
      </c>
      <c r="G9" s="42">
        <v>483</v>
      </c>
      <c r="H9" s="42">
        <v>58221</v>
      </c>
      <c r="I9" s="42">
        <v>59556</v>
      </c>
      <c r="J9" s="30" t="s">
        <v>188</v>
      </c>
      <c r="K9" s="42">
        <v>58783</v>
      </c>
      <c r="L9" s="131" t="s">
        <v>50</v>
      </c>
      <c r="M9" s="132">
        <f t="shared" si="0"/>
        <v>-408.14400000000001</v>
      </c>
      <c r="N9" s="133" t="str">
        <f>VLOOKUP(C9,'Trips&amp;Operators'!$C$1:$G$99999,5,FALSE)</f>
        <v>HOLCOMB KAMDEN</v>
      </c>
      <c r="O9" s="203" t="s">
        <v>180</v>
      </c>
      <c r="P9" s="134" t="s">
        <v>397</v>
      </c>
      <c r="Q9" s="30"/>
      <c r="R9" s="81" t="str">
        <f>VLOOKUP(C9,'Train Runs'!$A$13:$AE$9938,31,0)</f>
        <v>aws s3 cp s3://rtdc.mdm.uploadarchive.raw/RTDC4054/ "%USERPROFILE%\AppData\Local\Temp\OnboardLogs"\RTDC4054\2017-06-17 --exclude "*" --recursive --include "*20170617*" &amp; "%USERPROFILE%\Documents\GitHub\mrs-test-scripts\Headless Mode &amp; Sideloading\WalkAndUnGZ.bat" "%USERPROFILE%\AppData\Local\Temp\OnboardLogs"\RTDC4054\2017-06-17 &amp; aws s3 cp s3://rtdc.mdm.uploadarchive.raw/RTDC4054/ "%USERPROFILE%\AppData\Local\Temp\OnboardLogs"\RTDC4054\2017-06-18 --exclude "*" --recursive --include "*20170618*" &amp; "%USERPROFILE%\Documents\GitHub\mrs-test-scripts\Headless Mode &amp; Sideloading\WalkAndUnGZ.bat" "%USERPROFILE%\AppData\Local\Temp\OnboardLogs"\RTDC4054\2017-06-18</v>
      </c>
      <c r="S9" s="84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-06-17T16:54:39-0600',mode:absolute,to:'2017-06-17T19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9" s="86" t="str">
        <f t="shared" si="1"/>
        <v>"C:\Program Files (x86)\AstroGrep\AstroGrep.exe" /e /r /s /spath="%USERPROFILE%\AppData\Local\Temp\OnboardLogs" /stypes="*4054*201706180*"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4054</v>
      </c>
      <c r="V9" s="31">
        <f t="shared" si="3"/>
        <v>42904.009120370371</v>
      </c>
      <c r="W9" s="45" t="str">
        <f t="shared" si="4"/>
        <v>EC</v>
      </c>
      <c r="X9" s="22">
        <f t="shared" si="5"/>
        <v>215</v>
      </c>
      <c r="Y9" s="96" t="str">
        <f t="shared" si="6"/>
        <v>echo {"issue":{"subject":"Early arrival","project_id":79,"tracker_id":40,"status_id":1,"priority_id":2,"assigned_to_id":23,"start_date":"2017-06-17","description":"","custom_fields":[{"id":1,"name":"Subdivision","value":"EC"},{"id":4,"name":"Milepost","value":"5.8783"},{"id":17,"name":"Train ID","value":"215-17"},{"id":16,"name":"Locomotive ID","value":"4054"},{"id":130,"name":"Impact","value":""},{"id":150,"name":"Time of Event (Mountain Time)","value":"18:13:08"},{"id":151,"name":"Denver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/cygdrive/c/Users/stu/AppData/Local/Temp/OnboardLogs/RTDC4054 --include="*4054*201706180*"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"%USERPROFILE%\AppData\Local\Temp\OnboardLogs"\RTDC4054\*4054*201706180* &gt;&gt; 2017-06-17-SliceDisagreementCheck.txt</v>
      </c>
      <c r="AE9" s="145" t="str">
        <f t="shared" si="9"/>
        <v>start /low /b %USERPROFILE%\Documents\GitHub\eaglep3\Utilities\DownloadLogsFromS3.py --loco 4054 --day 2017-06-18</v>
      </c>
    </row>
    <row r="10" spans="1:32" s="1" customFormat="1" x14ac:dyDescent="0.25">
      <c r="A10" s="31">
        <v>42903.269826388889</v>
      </c>
      <c r="B10" s="30" t="s">
        <v>481</v>
      </c>
      <c r="C10" s="30" t="s">
        <v>605</v>
      </c>
      <c r="D10" s="30" t="s">
        <v>49</v>
      </c>
      <c r="E10" s="30" t="s">
        <v>187</v>
      </c>
      <c r="F10" s="42">
        <v>430</v>
      </c>
      <c r="G10" s="42">
        <v>495</v>
      </c>
      <c r="H10" s="42">
        <v>62062</v>
      </c>
      <c r="I10" s="42">
        <v>63660</v>
      </c>
      <c r="J10" s="30" t="s">
        <v>188</v>
      </c>
      <c r="K10" s="42">
        <v>63069</v>
      </c>
      <c r="L10" s="131" t="s">
        <v>50</v>
      </c>
      <c r="M10" s="132">
        <f t="shared" si="0"/>
        <v>-312.048</v>
      </c>
      <c r="N10" s="133" t="str">
        <f>VLOOKUP(C10,'Trips&amp;Operators'!$C$1:$G$99999,5,FALSE)</f>
        <v>GEBRETEKLE DAGNEW</v>
      </c>
      <c r="O10" s="203" t="s">
        <v>180</v>
      </c>
      <c r="P10" s="134" t="s">
        <v>397</v>
      </c>
      <c r="Q10" s="30"/>
      <c r="R10" s="81" t="str">
        <f>VLOOKUP(C10,'Train Runs'!$A$13:$AE$9938,31,0)</f>
        <v>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 &amp; 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</v>
      </c>
      <c r="S10" s="84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-06-17T05:07:51-0600',mode:absolute,to:'2017-06-17T07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 t="shared" si="1"/>
        <v>"C:\Program Files (x86)\AstroGrep\AstroGrep.exe" /e /r /s /spath="%USERPROFILE%\AppData\Local\Temp\OnboardLogs" /stypes="*4024*201706171*"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42903.519826388889</v>
      </c>
      <c r="W10" s="45" t="str">
        <f t="shared" si="4"/>
        <v>EC</v>
      </c>
      <c r="X10" s="22">
        <f t="shared" si="5"/>
        <v>121</v>
      </c>
      <c r="Y10" s="96" t="str">
        <f t="shared" si="6"/>
        <v>echo {"issue":{"subject":"Early arrival","project_id":79,"tracker_id":40,"status_id":1,"priority_id":2,"assigned_to_id":23,"start_date":"2017-06-17","description":"","custom_fields":[{"id":1,"name":"Subdivision","value":"EC"},{"id":4,"name":"Milepost","value":"6.3069"},{"id":17,"name":"Train ID","value":"121-17"},{"id":16,"name":"Locomotive ID","value":"4024"},{"id":130,"name":"Impact","value":""},{"id":150,"name":"Time of Event (Mountain Time)","value":"06:28:33"},{"id":151,"name":"Denver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/cygdrive/c/Users/stu/AppData/Local/Temp/OnboardLogs/RTDC4024 --include="*4024*201706171*"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"%USERPROFILE%\AppData\Local\Temp\OnboardLogs"\RTDC4024\*4024*201706171* &gt;&gt; 2017-06-17-SliceDisagreementCheck.txt</v>
      </c>
      <c r="AE10" s="145" t="str">
        <f t="shared" si="9"/>
        <v>start /low /b %USERPROFILE%\Documents\GitHub\eaglep3\Utilities\DownloadLogsFromS3.py --loco 4024 --day 2017-06-17</v>
      </c>
    </row>
    <row r="11" spans="1:32" s="1" customFormat="1" x14ac:dyDescent="0.25">
      <c r="A11" s="31">
        <v>42903.608703703707</v>
      </c>
      <c r="B11" s="30" t="s">
        <v>482</v>
      </c>
      <c r="C11" s="30" t="s">
        <v>616</v>
      </c>
      <c r="D11" s="30" t="s">
        <v>96</v>
      </c>
      <c r="E11" s="30" t="s">
        <v>187</v>
      </c>
      <c r="F11" s="42">
        <v>0</v>
      </c>
      <c r="G11" s="42">
        <v>114</v>
      </c>
      <c r="H11" s="42">
        <v>63293</v>
      </c>
      <c r="I11" s="42">
        <v>63237</v>
      </c>
      <c r="J11" s="30" t="s">
        <v>188</v>
      </c>
      <c r="K11" s="42">
        <v>63309</v>
      </c>
      <c r="L11" s="131" t="s">
        <v>51</v>
      </c>
      <c r="M11" s="132">
        <f t="shared" si="0"/>
        <v>-38.015999999999998</v>
      </c>
      <c r="N11" s="133" t="str">
        <f>VLOOKUP(C11,'Trips&amp;Operators'!$C$1:$G$99999,5,FALSE)</f>
        <v>BRANDNER MELINDA</v>
      </c>
      <c r="O11" s="203" t="s">
        <v>180</v>
      </c>
      <c r="P11" s="134" t="s">
        <v>397</v>
      </c>
      <c r="Q11" s="30"/>
      <c r="R11" s="81" t="str">
        <f>VLOOKUP(C11,'Train Runs'!$A$13:$AE$9938,31,0)</f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S11" s="84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-06-17T13:02:14-0600',mode:absolute,to:'2017-06-17T15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1" s="86" t="str">
        <f t="shared" si="1"/>
        <v>"C:\Program Files (x86)\AstroGrep\AstroGrep.exe" /e /r /s /spath="%USERPROFILE%\AppData\Local\Temp\OnboardLogs" /stypes="*4023*201706172*"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4023</v>
      </c>
      <c r="V11" s="31">
        <f t="shared" si="3"/>
        <v>42903.858703703707</v>
      </c>
      <c r="W11" s="45" t="str">
        <f t="shared" si="4"/>
        <v>EC</v>
      </c>
      <c r="X11" s="22">
        <f t="shared" si="5"/>
        <v>178</v>
      </c>
      <c r="Y11" s="96" t="str">
        <f t="shared" si="6"/>
        <v>echo {"issue":{"subject":"Early arrival","project_id":79,"tracker_id":40,"status_id":1,"priority_id":2,"assigned_to_id":23,"start_date":"2017-06-17","description":"","custom_fields":[{"id":1,"name":"Subdivision","value":"EC"},{"id":4,"name":"Milepost","value":"6.3309"},{"id":17,"name":"Train ID","value":"178-17"},{"id":16,"name":"Locomotive ID","value":"4023"},{"id":130,"name":"Impact","value":""},{"id":150,"name":"Time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/cygdrive/c/Users/stu/AppData/Local/Temp/OnboardLogs/RTDC4023 --include="*4023*201706172*"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"%USERPROFILE%\AppData\Local\Temp\OnboardLogs"\RTDC4023\*4023*201706172* &gt;&gt; 2017-06-17-SliceDisagreementCheck.txt</v>
      </c>
      <c r="AE11" s="145" t="str">
        <f t="shared" si="9"/>
        <v>start /low /b %USERPROFILE%\Documents\GitHub\eaglep3\Utilities\DownloadLogsFromS3.py --loco 4023 --day 2017-06-17</v>
      </c>
    </row>
    <row r="12" spans="1:32" s="1" customFormat="1" x14ac:dyDescent="0.25">
      <c r="A12" s="31">
        <v>42903.525821759256</v>
      </c>
      <c r="B12" s="30" t="s">
        <v>424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293</v>
      </c>
      <c r="H12" s="42">
        <v>107506</v>
      </c>
      <c r="I12" s="42">
        <v>108068</v>
      </c>
      <c r="J12" s="30" t="s">
        <v>188</v>
      </c>
      <c r="K12" s="42">
        <v>108954</v>
      </c>
      <c r="L12" s="131" t="s">
        <v>50</v>
      </c>
      <c r="M12" s="132">
        <f t="shared" si="0"/>
        <v>467.80799999999999</v>
      </c>
      <c r="N12" s="133" t="str">
        <f>VLOOKUP(C12,'Trips&amp;Operators'!$C$1:$G$99999,5,FALSE)</f>
        <v>DELGADO DIANAH</v>
      </c>
      <c r="O12" s="203" t="s">
        <v>180</v>
      </c>
      <c r="P12" s="134" t="s">
        <v>998</v>
      </c>
      <c r="Q12" s="30"/>
      <c r="R12" s="81" t="str">
        <f>VLOOKUP(C12,'Train Runs'!$A$13:$AE$9938,31,0)</f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S12" s="84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-06-17T11:12:49-0600',mode:absolute,to:'2017-06-17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6" t="str">
        <f t="shared" si="1"/>
        <v>"C:\Program Files (x86)\AstroGrep\AstroGrep.exe" /e /r /s /spath="%USERPROFILE%\AppData\Local\Temp\OnboardLogs" /stypes="*4020*201706171*"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4020</v>
      </c>
      <c r="V12" s="31">
        <f t="shared" si="3"/>
        <v>42903.775821759256</v>
      </c>
      <c r="W12" s="45" t="str">
        <f t="shared" si="4"/>
        <v>EC</v>
      </c>
      <c r="X12" s="22">
        <f t="shared" si="5"/>
        <v>169</v>
      </c>
      <c r="Y12" s="96" t="str">
        <f t="shared" si="6"/>
        <v>echo {"issue":{"subject":"Form C","project_id":79,"tracker_id":40,"status_id":1,"priority_id":2,"assigned_to_id":23,"start_date":"2017-06-17","description":"","custom_fields":[{"id":1,"name":"Subdivision","value":"EC"},{"id":4,"name":"Milepost","value":"10.8954"},{"id":17,"name":"Train ID","value":"169-17"},{"id":16,"name":"Locomotive ID","value":"4020"},{"id":130,"name":"Impact","value":""},{"id":150,"name":"Time of Event (Mountain Time)","value":"12:37:11"},{"id":151,"name":"Denver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/cygdrive/c/Users/stu/AppData/Local/Temp/OnboardLogs/RTDC4020 --include="*4020*201706171*"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"%USERPROFILE%\AppData\Local\Temp\OnboardLogs"\RTDC4020\*4020*201706171* &gt;&gt; 2017-06-17-SliceDisagreementCheck.txt</v>
      </c>
      <c r="AE12" s="145" t="str">
        <f t="shared" si="9"/>
        <v>start /low /b %USERPROFILE%\Documents\GitHub\eaglep3\Utilities\DownloadLogsFromS3.py --loco 4020 --day 2017-06-17</v>
      </c>
    </row>
    <row r="13" spans="1:32" s="1" customFormat="1" x14ac:dyDescent="0.25">
      <c r="A13" s="31">
        <v>42903.52621527778</v>
      </c>
      <c r="B13" s="30" t="s">
        <v>424</v>
      </c>
      <c r="C13" s="30" t="s">
        <v>615</v>
      </c>
      <c r="D13" s="30" t="s">
        <v>49</v>
      </c>
      <c r="E13" s="30" t="s">
        <v>187</v>
      </c>
      <c r="F13" s="42">
        <v>30</v>
      </c>
      <c r="G13" s="42">
        <v>101</v>
      </c>
      <c r="H13" s="42">
        <v>108221</v>
      </c>
      <c r="I13" s="42">
        <v>108278</v>
      </c>
      <c r="J13" s="30" t="s">
        <v>188</v>
      </c>
      <c r="K13" s="42">
        <v>108954</v>
      </c>
      <c r="L13" s="131" t="s">
        <v>50</v>
      </c>
      <c r="M13" s="132">
        <f t="shared" si="0"/>
        <v>356.92799999999994</v>
      </c>
      <c r="N13" s="133" t="str">
        <f>VLOOKUP(C13,'Trips&amp;Operators'!$C$1:$G$99999,5,FALSE)</f>
        <v>DELGADO DIANAH</v>
      </c>
      <c r="O13" s="203" t="s">
        <v>180</v>
      </c>
      <c r="P13" s="134" t="s">
        <v>397</v>
      </c>
      <c r="Q13" s="30"/>
      <c r="R13" s="81" t="str">
        <f>VLOOKUP(C13,'Train Runs'!$A$13:$AE$9938,31,0)</f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S13" s="84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-06-17T11:12:49-0600',mode:absolute,to:'2017-06-17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86" t="str">
        <f t="shared" si="1"/>
        <v>"C:\Program Files (x86)\AstroGrep\AstroGrep.exe" /e /r /s /spath="%USERPROFILE%\AppData\Local\Temp\OnboardLogs" /stypes="*4020*201706171*"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4020</v>
      </c>
      <c r="V13" s="31">
        <f t="shared" si="3"/>
        <v>42903.77621527778</v>
      </c>
      <c r="W13" s="45" t="str">
        <f t="shared" si="4"/>
        <v>EC</v>
      </c>
      <c r="X13" s="22">
        <f t="shared" si="5"/>
        <v>169</v>
      </c>
      <c r="Y13" s="96" t="str">
        <f t="shared" si="6"/>
        <v>echo {"issue":{"subject":"Early arrival","project_id":79,"tracker_id":40,"status_id":1,"priority_id":2,"assigned_to_id":23,"start_date":"2017-06-17","description":"","custom_fields":[{"id":1,"name":"Subdivision","value":"EC"},{"id":4,"name":"Milepost","value":"10.8954"},{"id":17,"name":"Train ID","value":"169-17"},{"id":16,"name":"Locomotive ID","value":"4020"},{"id":130,"name":"Impact","value":""},{"id":150,"name":"Time of Event (Mountain Time)","value":"12:37:45"},{"id":151,"name":"Denver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/cygdrive/c/Users/stu/AppData/Local/Temp/OnboardLogs/RTDC4020 --include="*4020*201706171*"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"%USERPROFILE%\AppData\Local\Temp\OnboardLogs"\RTDC4020\*4020*201706171* &gt;&gt; 2017-06-17-SliceDisagreementCheck.txt</v>
      </c>
      <c r="AE13" s="145" t="str">
        <f t="shared" si="9"/>
        <v>start /low /b %USERPROFILE%\Documents\GitHub\eaglep3\Utilities\DownloadLogsFromS3.py --loco 4020 --day 2017-06-17</v>
      </c>
    </row>
    <row r="14" spans="1:32" x14ac:dyDescent="0.25">
      <c r="A14" s="31">
        <v>42903.302164351851</v>
      </c>
      <c r="B14" s="30" t="s">
        <v>369</v>
      </c>
      <c r="C14" s="30" t="s">
        <v>607</v>
      </c>
      <c r="D14" s="30" t="s">
        <v>49</v>
      </c>
      <c r="E14" s="30" t="s">
        <v>200</v>
      </c>
      <c r="F14" s="42">
        <v>300</v>
      </c>
      <c r="G14" s="42">
        <v>399</v>
      </c>
      <c r="H14" s="42">
        <v>23246</v>
      </c>
      <c r="I14" s="42">
        <v>22186</v>
      </c>
      <c r="J14" s="30" t="s">
        <v>201</v>
      </c>
      <c r="K14" s="42">
        <v>21848</v>
      </c>
      <c r="L14" s="131" t="s">
        <v>51</v>
      </c>
      <c r="M14" s="132">
        <f t="shared" si="0"/>
        <v>178.46399999999997</v>
      </c>
      <c r="N14" s="133" t="str">
        <f>VLOOKUP(C14,'Trips&amp;Operators'!$C$1:$G$99999,5,FALSE)</f>
        <v>CHANDLER KELVIN</v>
      </c>
      <c r="O14" s="203" t="s">
        <v>180</v>
      </c>
      <c r="P14" s="134"/>
      <c r="Q14" s="30"/>
      <c r="R14" s="81" t="str">
        <f>VLOOKUP(C14,'Train Runs'!$A$13:$AE$9938,31,0)</f>
        <v>aws s3 cp s3://rtdc.mdm.uploadarchive.raw/RTDC4013/ "%USERPROFILE%\AppData\Local\Temp\OnboardLogs"\RTDC4013\2017-06-17 --exclude "*" --recursive --include "*20170617*" &amp; "%USERPROFILE%\Documents\GitHub\mrs-test-scripts\Headless Mode &amp; Sideloading\WalkAndUnGZ.bat" "%USERPROFILE%\AppData\Local\Temp\OnboardLogs"\RTDC4013\2017-06-17 &amp; aws s3 cp s3://rtdc.mdm.uploadarchive.raw/RTDC4013/ "%USERPROFILE%\AppData\Local\Temp\OnboardLogs"\RTDC4013\2017-06-18 --exclude "*" --recursive --include "*20170618*" &amp; "%USERPROFILE%\Documents\GitHub\mrs-test-scripts\Headless Mode &amp; Sideloading\WalkAndUnGZ.bat" "%USERPROFILE%\AppData\Local\Temp\OnboardLogs"\RTDC4013\2017-06-18</v>
      </c>
      <c r="S14" s="84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-06-17T05:38:28-0600',mode:absolute,to:'2017-06-17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86" t="str">
        <f t="shared" si="1"/>
        <v>"C:\Program Files (x86)\AstroGrep\AstroGrep.exe" /e /r /s /spath="%USERPROFILE%\AppData\Local\Temp\OnboardLogs" /stypes="*4013*201706171*"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4013</v>
      </c>
      <c r="V14" s="31">
        <f t="shared" si="3"/>
        <v>42903.552164351851</v>
      </c>
      <c r="W14" s="45" t="str">
        <f t="shared" si="4"/>
        <v>EC</v>
      </c>
      <c r="X14" s="22">
        <f t="shared" si="5"/>
        <v>118</v>
      </c>
      <c r="Y14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{"issue":{"subject":"","project_id":79,"tracker_id":40,"status_id":1,"priority_id":2,"assigned_to_id":23,"start_date":"2017-06-17","description":"","custom_fields":[{"id":1,"name":"Subdivision","value":"EC"},{"id":4,"name":"Milepost","value":"2.1848"},{"id":17,"name":"Train ID","value":"118-17"},{"id":16,"name":"Locomotive ID","value":"4013"},{"id":130,"name":"Impact","value":""},{"id":150,"name":"Time of Event (Mountain Time)","value":"07:15:07"},{"id":151,"name":"Denver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/cygdrive/c/Users/stu/AppData/Local/Temp/OnboardLogs/RTDC4013 --include="*4013*201706171*"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"%USERPROFILE%\AppData\Local\Temp\OnboardLogs"\RTDC4013\*4013*201706171* &gt;&gt; 2017-06-17-SliceDisagreementCheck.txt</v>
      </c>
      <c r="AE14" s="145" t="str">
        <f t="shared" si="9"/>
        <v>start /low /b %USERPROFILE%\Documents\GitHub\eaglep3\Utilities\DownloadLogsFromS3.py --loco 4013 --day 2017-06-17</v>
      </c>
      <c r="AF14" s="1"/>
    </row>
    <row r="15" spans="1:32" x14ac:dyDescent="0.25">
      <c r="A15" s="31">
        <v>42903.671863425923</v>
      </c>
      <c r="B15" s="30" t="s">
        <v>424</v>
      </c>
      <c r="C15" s="30" t="s">
        <v>618</v>
      </c>
      <c r="D15" s="30" t="s">
        <v>49</v>
      </c>
      <c r="E15" s="30" t="s">
        <v>200</v>
      </c>
      <c r="F15" s="42">
        <v>400</v>
      </c>
      <c r="G15" s="42">
        <v>676</v>
      </c>
      <c r="H15" s="42">
        <v>113927</v>
      </c>
      <c r="I15" s="42">
        <v>116529</v>
      </c>
      <c r="J15" s="30" t="s">
        <v>201</v>
      </c>
      <c r="K15" s="42">
        <v>116838</v>
      </c>
      <c r="L15" s="131" t="s">
        <v>50</v>
      </c>
      <c r="M15" s="132">
        <f t="shared" si="0"/>
        <v>163.15199999999999</v>
      </c>
      <c r="N15" s="133" t="str">
        <f>VLOOKUP(C15,'Trips&amp;Operators'!$C$1:$G$99999,5,FALSE)</f>
        <v>DELGADO DIANAH</v>
      </c>
      <c r="O15" s="203" t="s">
        <v>180</v>
      </c>
      <c r="P15" s="134"/>
      <c r="Q15" s="30"/>
      <c r="R15" s="81" t="str">
        <f>VLOOKUP(C15,'Train Runs'!$A$13:$AE$9938,31,0)</f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S15" s="84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-06-17T14:40:57-0600',mode:absolute,to:'2017-06-17T17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5" s="86" t="str">
        <f t="shared" si="1"/>
        <v>"C:\Program Files (x86)\AstroGrep\AstroGrep.exe" /e /r /s /spath="%USERPROFILE%\AppData\Local\Temp\OnboardLogs" /stypes="*4020*201706172*"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4020</v>
      </c>
      <c r="V15" s="31">
        <f t="shared" si="3"/>
        <v>42903.921863425923</v>
      </c>
      <c r="W15" s="45" t="str">
        <f t="shared" si="4"/>
        <v>EC</v>
      </c>
      <c r="X15" s="22">
        <f t="shared" si="5"/>
        <v>197</v>
      </c>
      <c r="Y15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{"issue":{"subject":"","project_id":79,"tracker_id":40,"status_id":1,"priority_id":2,"assigned_to_id":23,"start_date":"2017-06-17","description":"","custom_fields":[{"id":1,"name":"Subdivision","value":"EC"},{"id":4,"name":"Milepost","value":"11.6838"},{"id":17,"name":"Train ID","value":"197-17"},{"id":16,"name":"Locomotive ID","value":"4020"},{"id":130,"name":"Impact","value":""},{"id":150,"name":"Time of Event (Mountain Time)","value":"16:07:29"},{"id":151,"name":"Denver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/cygdrive/c/Users/stu/AppData/Local/Temp/OnboardLogs/RTDC4020 --include="*4020*201706172*"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"%USERPROFILE%\AppData\Local\Temp\OnboardLogs"\RTDC4020\*4020*201706172* &gt;&gt; 2017-06-17-SliceDisagreementCheck.txt</v>
      </c>
      <c r="AE15" s="145" t="str">
        <f t="shared" si="9"/>
        <v>start /low /b %USERPROFILE%\Documents\GitHub\eaglep3\Utilities\DownloadLogsFromS3.py --loco 4020 --day 2017-06-17</v>
      </c>
      <c r="AF15" s="1"/>
    </row>
    <row r="16" spans="1:32" x14ac:dyDescent="0.25">
      <c r="A16" s="31">
        <v>42903.718032407407</v>
      </c>
      <c r="B16" s="30" t="s">
        <v>370</v>
      </c>
      <c r="C16" s="30" t="s">
        <v>623</v>
      </c>
      <c r="D16" s="30" t="s">
        <v>49</v>
      </c>
      <c r="E16" s="30" t="s">
        <v>200</v>
      </c>
      <c r="F16" s="42">
        <v>400</v>
      </c>
      <c r="G16" s="42">
        <v>462</v>
      </c>
      <c r="H16" s="42">
        <v>120566</v>
      </c>
      <c r="I16" s="42">
        <v>119222</v>
      </c>
      <c r="J16" s="30" t="s">
        <v>201</v>
      </c>
      <c r="K16" s="42">
        <v>119716</v>
      </c>
      <c r="L16" s="131" t="s">
        <v>51</v>
      </c>
      <c r="M16" s="132">
        <f t="shared" si="0"/>
        <v>-260.83199999999999</v>
      </c>
      <c r="N16" s="133" t="str">
        <f>VLOOKUP(C16,'Trips&amp;Operators'!$C$1:$G$99999,5,FALSE)</f>
        <v>STEWART MICHAEL</v>
      </c>
      <c r="O16" s="203" t="s">
        <v>180</v>
      </c>
      <c r="P16" s="134"/>
      <c r="Q16" s="30"/>
      <c r="R16" s="81" t="str">
        <f>VLOOKUP(C16,'Train Runs'!$A$13:$AE$9938,31,0)</f>
        <v>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 &amp; 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</v>
      </c>
      <c r="S16" s="84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-06-17T15:53:41-0600',mode:absolute,to:'2017-06-17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/stypes="*4039*201706172*"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42903.968032407407</v>
      </c>
      <c r="W16" s="45" t="str">
        <f t="shared" si="4"/>
        <v>EC</v>
      </c>
      <c r="X16" s="22">
        <f t="shared" si="5"/>
        <v>200</v>
      </c>
      <c r="Y16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{"issue":{"subject":"","project_id":79,"tracker_id":40,"status_id":1,"priority_id":2,"assigned_to_id":23,"start_date":"2017-06-17","description":"","custom_fields":[{"id":1,"name":"Subdivision","value":"EC"},{"id":4,"name":"Milepost","value":"11.9716"},{"id":17,"name":"Train ID","value":"200-17"},{"id":16,"name":"Locomotive ID","value":"4039"},{"id":130,"name":"Impact","value":""},{"id":150,"name":"Time of Event (Mountain Time)","value":"17:13:58"},{"id":151,"name":"Denver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/cygdrive/c/Users/stu/AppData/Local/Temp/OnboardLogs/RTDC4039 --include="*4039*201706172*"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"%USERPROFILE%\AppData\Local\Temp\OnboardLogs"\RTDC4039\*4039*201706172* &gt;&gt; 2017-06-17-SliceDisagreementCheck.txt</v>
      </c>
      <c r="AE16" s="145" t="str">
        <f t="shared" si="9"/>
        <v>start /low /b %USERPROFILE%\Documents\GitHub\eaglep3\Utilities\DownloadLogsFromS3.py --loco 4039 --day 2017-06-17</v>
      </c>
      <c r="AF16" s="1"/>
    </row>
    <row r="17" spans="1:32" x14ac:dyDescent="0.25">
      <c r="A17" s="31">
        <v>42903.462071759262</v>
      </c>
      <c r="B17" s="30" t="s">
        <v>503</v>
      </c>
      <c r="C17" s="30" t="s">
        <v>610</v>
      </c>
      <c r="D17" s="30" t="s">
        <v>96</v>
      </c>
      <c r="E17" s="30" t="s">
        <v>200</v>
      </c>
      <c r="F17" s="42">
        <v>700</v>
      </c>
      <c r="G17" s="42">
        <v>751</v>
      </c>
      <c r="H17" s="42">
        <v>179969</v>
      </c>
      <c r="I17" s="42">
        <v>176564</v>
      </c>
      <c r="J17" s="30" t="s">
        <v>201</v>
      </c>
      <c r="K17" s="42">
        <v>183829</v>
      </c>
      <c r="L17" s="131" t="s">
        <v>51</v>
      </c>
      <c r="M17" s="132">
        <f t="shared" si="0"/>
        <v>-3835.92</v>
      </c>
      <c r="N17" s="133" t="str">
        <f>VLOOKUP(C17,'Trips&amp;Operators'!$C$1:$G$99999,5,FALSE)</f>
        <v>LALONDE GREGORY</v>
      </c>
      <c r="O17" s="203" t="s">
        <v>180</v>
      </c>
      <c r="P17" s="134"/>
      <c r="Q17" s="30"/>
      <c r="R17" s="81" t="str">
        <f>VLOOKUP(C17,'Train Runs'!$A$13:$AE$9938,31,0)</f>
        <v>aws s3 cp s3://rtdc.mdm.uploadarchive.raw/RTDC4003/ "%USERPROFILE%\AppData\Local\Temp\OnboardLogs"\RTDC4003\2017-06-17 --exclude "*" --recursive --include "*20170617*" &amp; "%USERPROFILE%\Documents\GitHub\mrs-test-scripts\Headless Mode &amp; Sideloading\WalkAndUnGZ.bat" "%USERPROFILE%\AppData\Local\Temp\OnboardLogs"\RTDC4003\2017-06-17 &amp; 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</v>
      </c>
      <c r="S17" s="84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-06-17T09:39:33-0600',mode:absolute,to:'2017-06-17T12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/stypes="*4003*201706171*"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42903.712071759262</v>
      </c>
      <c r="W17" s="45" t="str">
        <f t="shared" si="4"/>
        <v>EC</v>
      </c>
      <c r="X17" s="22">
        <f t="shared" si="5"/>
        <v>152</v>
      </c>
      <c r="Y17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{"issue":{"subject":"","project_id":79,"tracker_id":40,"status_id":1,"priority_id":2,"assigned_to_id":23,"start_date":"2017-06-17","description":"","custom_fields":[{"id":1,"name":"Subdivision","value":"EC"},{"id":4,"name":"Milepost","value":"18.3829"},{"id":17,"name":"Train ID","value":"152-17"},{"id":16,"name":"Locomotive ID","value":"4003"},{"id":130,"name":"Impact","value":""},{"id":150,"name":"Time of Event (Mountain Time)","value":"11:05:23"},{"id":151,"name":"Denver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/cygdrive/c/Users/stu/AppData/Local/Temp/OnboardLogs/RTDC4003 --include="*4003*201706171*"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"%USERPROFILE%\AppData\Local\Temp\OnboardLogs"\RTDC4003\*4003*201706171* &gt;&gt; 2017-06-17-SliceDisagreementCheck.txt</v>
      </c>
      <c r="AE17" s="145" t="str">
        <f t="shared" si="9"/>
        <v>start /low /b %USERPROFILE%\Documents\GitHub\eaglep3\Utilities\DownloadLogsFromS3.py --loco 4003 --day 2017-06-17</v>
      </c>
      <c r="AF17" s="1"/>
    </row>
    <row r="18" spans="1:32" x14ac:dyDescent="0.25">
      <c r="A18" s="31">
        <v>42903.962407407409</v>
      </c>
      <c r="B18" s="30" t="s">
        <v>447</v>
      </c>
      <c r="C18" s="30" t="s">
        <v>631</v>
      </c>
      <c r="D18" s="30" t="s">
        <v>96</v>
      </c>
      <c r="E18" s="30" t="s">
        <v>200</v>
      </c>
      <c r="F18" s="42">
        <v>600</v>
      </c>
      <c r="G18" s="42">
        <v>651</v>
      </c>
      <c r="H18" s="42">
        <v>184081</v>
      </c>
      <c r="I18" s="42">
        <v>181112</v>
      </c>
      <c r="J18" s="30" t="s">
        <v>201</v>
      </c>
      <c r="K18" s="42">
        <v>190834</v>
      </c>
      <c r="L18" s="131" t="s">
        <v>51</v>
      </c>
      <c r="M18" s="132">
        <f t="shared" si="0"/>
        <v>-5133.2160000000003</v>
      </c>
      <c r="N18" s="133" t="str">
        <f>VLOOKUP(C18,'Trips&amp;Operators'!$C$1:$G$99999,5,FALSE)</f>
        <v>PERKINS DARREN</v>
      </c>
      <c r="O18" s="203" t="s">
        <v>180</v>
      </c>
      <c r="P18" s="134"/>
      <c r="Q18" s="30"/>
      <c r="R18" s="81" t="str">
        <f>VLOOKUP(C18,'Train Runs'!$A$13:$AE$9938,31,0)</f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S18" s="84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-06-17T21:49:43-0600',mode:absolute,to:'2017-06-18T00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86" t="str">
        <f t="shared" si="1"/>
        <v>"C:\Program Files (x86)\AstroGrep\AstroGrep.exe" /e /r /s /spath="%USERPROFILE%\AppData\Local\Temp\OnboardLogs" /stypes="*4045*201706180*"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4045</v>
      </c>
      <c r="V18" s="31">
        <f t="shared" si="3"/>
        <v>42904.212407407409</v>
      </c>
      <c r="W18" s="45" t="str">
        <f t="shared" si="4"/>
        <v>EC</v>
      </c>
      <c r="X18" s="22">
        <f t="shared" si="5"/>
        <v>234</v>
      </c>
      <c r="Y18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{"issue":{"subject":"","project_id":79,"tracker_id":40,"status_id":1,"priority_id":2,"assigned_to_id":23,"start_date":"2017-06-17","description":"","custom_fields":[{"id":1,"name":"Subdivision","value":"EC"},{"id":4,"name":"Milepost","value":"19.0834"},{"id":17,"name":"Train ID","value":"234-17"},{"id":16,"name":"Locomotive ID","value":"4045"},{"id":130,"name":"Impact","value":""},{"id":150,"name":"Time of Event (Mountain Time)","value":"23:05:52"},{"id":151,"name":"Denver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/cygdrive/c/Users/stu/AppData/Local/Temp/OnboardLogs/RTDC4045 --include="*4045*201706180*"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"%USERPROFILE%\AppData\Local\Temp\OnboardLogs"\RTDC4045\*4045*201706180* &gt;&gt; 2017-06-17-SliceDisagreementCheck.txt</v>
      </c>
      <c r="AE18" s="145" t="str">
        <f t="shared" si="9"/>
        <v>start /low /b %USERPROFILE%\Documents\GitHub\eaglep3\Utilities\DownloadLogsFromS3.py --loco 4045 --day 2017-06-18</v>
      </c>
      <c r="AF18" s="1"/>
    </row>
    <row r="19" spans="1:32" x14ac:dyDescent="0.25">
      <c r="A19" s="31">
        <v>42903.963055555556</v>
      </c>
      <c r="B19" s="30" t="s">
        <v>480</v>
      </c>
      <c r="C19" s="30" t="s">
        <v>632</v>
      </c>
      <c r="D19" s="30" t="s">
        <v>96</v>
      </c>
      <c r="E19" s="30" t="s">
        <v>362</v>
      </c>
      <c r="F19" s="42">
        <v>0</v>
      </c>
      <c r="G19" s="42">
        <v>37</v>
      </c>
      <c r="H19" s="42">
        <v>1746</v>
      </c>
      <c r="I19" s="42">
        <v>1799</v>
      </c>
      <c r="J19" s="30" t="s">
        <v>363</v>
      </c>
      <c r="K19" s="42">
        <v>1692</v>
      </c>
      <c r="L19" s="131" t="s">
        <v>50</v>
      </c>
      <c r="M19" s="132">
        <f t="shared" si="0"/>
        <v>-56.496000000000002</v>
      </c>
      <c r="N19" s="133" t="str">
        <f>VLOOKUP(C19,'Trips&amp;Operators'!$C$1:$G$99999,5,FALSE)</f>
        <v>LAMAR NEKESHA</v>
      </c>
      <c r="O19" s="203" t="s">
        <v>180</v>
      </c>
      <c r="P19" s="134" t="s">
        <v>995</v>
      </c>
      <c r="Q19" s="30"/>
      <c r="R19" s="81" t="str">
        <f>VLOOKUP(C19,'Train Runs'!$A$13:$AE$9938,31,0)</f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S19" s="84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-06-17T22:04:56-0600',mode:absolute,to:'2017-06-18T00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 t="shared" si="1"/>
        <v>"C:\Program Files (x86)\AstroGrep\AstroGrep.exe" /e /r /s /spath="%USERPROFILE%\AppData\Local\Temp\OnboardLogs" /stypes="*4032*201706180*"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42904.213055555556</v>
      </c>
      <c r="W19" s="45" t="str">
        <f t="shared" si="4"/>
        <v>EC</v>
      </c>
      <c r="X19" s="22">
        <f t="shared" si="5"/>
        <v>237</v>
      </c>
      <c r="Y19" s="96" t="str">
        <f t="shared" si="6"/>
        <v>echo {"issue":{"subject":"Selected wrong track","project_id":79,"tracker_id":40,"status_id":1,"priority_id":2,"assigned_to_id":23,"start_date":"2017-06-17","description":"","custom_fields":[{"id":1,"name":"Subdivision","value":"EC"},{"id":4,"name":"Milepost","value":"0.1692"},{"id":17,"name":"Train ID","value":"237-17"},{"id":16,"name":"Locomotive ID","value":"4032"},{"id":130,"name":"Impact","value":""},{"id":150,"name":"Time of Event (Mountain Time)","value":"23:06:48"},{"id":151,"name":"Denver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/cygdrive/c/Users/stu/AppData/Local/Temp/OnboardLogs/RTDC4032 --include="*4032*201706180*"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"%USERPROFILE%\AppData\Local\Temp\OnboardLogs"\RTDC4032\*4032*201706180* &gt;&gt; 2017-06-17-SliceDisagreementCheck.txt</v>
      </c>
      <c r="AE19" s="145" t="str">
        <f t="shared" si="9"/>
        <v>start /low /b %USERPROFILE%\Documents\GitHub\eaglep3\Utilities\DownloadLogsFromS3.py --loco 4032 --day 2017-06-18</v>
      </c>
      <c r="AF19" s="1"/>
    </row>
    <row r="20" spans="1:32" x14ac:dyDescent="0.25">
      <c r="A20" s="31">
        <v>42903.471875000003</v>
      </c>
      <c r="B20" s="30" t="s">
        <v>446</v>
      </c>
      <c r="C20" s="30" t="s">
        <v>611</v>
      </c>
      <c r="D20" s="30" t="s">
        <v>96</v>
      </c>
      <c r="E20" s="30" t="s">
        <v>362</v>
      </c>
      <c r="F20" s="42">
        <v>200</v>
      </c>
      <c r="G20" s="42">
        <v>331</v>
      </c>
      <c r="H20" s="42">
        <v>7871</v>
      </c>
      <c r="I20" s="42">
        <v>8708</v>
      </c>
      <c r="J20" s="30" t="s">
        <v>363</v>
      </c>
      <c r="K20" s="42">
        <v>2789</v>
      </c>
      <c r="L20" s="131" t="s">
        <v>50</v>
      </c>
      <c r="M20" s="132">
        <f t="shared" si="0"/>
        <v>-3125.232</v>
      </c>
      <c r="N20" s="133" t="str">
        <f>VLOOKUP(C20,'Trips&amp;Operators'!$C$1:$G$99999,5,FALSE)</f>
        <v>DAVIS MICHAEL</v>
      </c>
      <c r="O20" s="203" t="s">
        <v>180</v>
      </c>
      <c r="P20" s="134" t="s">
        <v>997</v>
      </c>
      <c r="Q20" s="30"/>
      <c r="R20" s="81" t="str">
        <f>VLOOKUP(C20,'Train Runs'!$A$13:$AE$9938,31,0)</f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S20" s="84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-06-17T10:12:59-0600',mode:absolute,to:'2017-06-17T13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86" t="str">
        <f t="shared" si="1"/>
        <v>"C:\Program Files (x86)\AstroGrep\AstroGrep.exe" /e /r /s /spath="%USERPROFILE%\AppData\Local\Temp\OnboardLogs" /stypes="*4046*201706171*"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4046</v>
      </c>
      <c r="V20" s="31">
        <f t="shared" si="3"/>
        <v>42903.721875000003</v>
      </c>
      <c r="W20" s="45" t="str">
        <f t="shared" si="4"/>
        <v>EC</v>
      </c>
      <c r="X20" s="22">
        <f t="shared" si="5"/>
        <v>161</v>
      </c>
      <c r="Y20" s="96" t="str">
        <f t="shared" si="6"/>
        <v>echo {"issue":{"subject":"Overspeed","project_id":79,"tracker_id":40,"status_id":1,"priority_id":2,"assigned_to_id":23,"start_date":"2017-06-17","description":"","custom_fields":[{"id":1,"name":"Subdivision","value":"EC"},{"id":4,"name":"Milepost","value":"0.2789"},{"id":17,"name":"Train ID","value":"161-17"},{"id":16,"name":"Locomotive ID","value":"4046"},{"id":130,"name":"Impact","value":""},{"id":150,"name":"Time of Event (Mountain Time)","value":"11:19:30"},{"id":151,"name":"Denver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/cygdrive/c/Users/stu/AppData/Local/Temp/OnboardLogs/RTDC4046 --include="*4046*201706171*"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"%USERPROFILE%\AppData\Local\Temp\OnboardLogs"\RTDC4046\*4046*201706171* &gt;&gt; 2017-06-17-SliceDisagreementCheck.txt</v>
      </c>
      <c r="AE20" s="145" t="str">
        <f t="shared" si="9"/>
        <v>start /low /b %USERPROFILE%\Documents\GitHub\eaglep3\Utilities\DownloadLogsFromS3.py --loco 4046 --day 2017-06-17</v>
      </c>
      <c r="AF20" s="1"/>
    </row>
    <row r="21" spans="1:32" x14ac:dyDescent="0.25">
      <c r="A21" s="31">
        <v>42903.472824074073</v>
      </c>
      <c r="B21" s="30" t="s">
        <v>446</v>
      </c>
      <c r="C21" s="30" t="s">
        <v>611</v>
      </c>
      <c r="D21" s="30" t="s">
        <v>96</v>
      </c>
      <c r="E21" s="30" t="s">
        <v>362</v>
      </c>
      <c r="F21" s="42">
        <v>200</v>
      </c>
      <c r="G21" s="42">
        <v>256</v>
      </c>
      <c r="H21" s="42">
        <v>9665</v>
      </c>
      <c r="I21" s="42">
        <v>10115</v>
      </c>
      <c r="J21" s="30" t="s">
        <v>363</v>
      </c>
      <c r="K21" s="42">
        <v>2789</v>
      </c>
      <c r="L21" s="131" t="s">
        <v>50</v>
      </c>
      <c r="M21" s="132">
        <f t="shared" si="0"/>
        <v>-3868.1280000000002</v>
      </c>
      <c r="N21" s="133" t="str">
        <f>VLOOKUP(C21,'Trips&amp;Operators'!$C$1:$G$99999,5,FALSE)</f>
        <v>DAVIS MICHAEL</v>
      </c>
      <c r="O21" s="203" t="s">
        <v>180</v>
      </c>
      <c r="P21" s="134" t="s">
        <v>997</v>
      </c>
      <c r="Q21" s="30"/>
      <c r="R21" s="81" t="str">
        <f>VLOOKUP(C21,'Train Runs'!$A$13:$AE$9938,31,0)</f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S21" s="84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-06-17T10:12:59-0600',mode:absolute,to:'2017-06-17T13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86" t="str">
        <f t="shared" si="1"/>
        <v>"C:\Program Files (x86)\AstroGrep\AstroGrep.exe" /e /r /s /spath="%USERPROFILE%\AppData\Local\Temp\OnboardLogs" /stypes="*4046*201706171*"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4046</v>
      </c>
      <c r="V21" s="31">
        <f t="shared" si="3"/>
        <v>42903.722824074073</v>
      </c>
      <c r="W21" s="45" t="str">
        <f t="shared" si="4"/>
        <v>EC</v>
      </c>
      <c r="X21" s="22">
        <f t="shared" si="5"/>
        <v>161</v>
      </c>
      <c r="Y21" s="96" t="str">
        <f t="shared" si="6"/>
        <v>echo {"issue":{"subject":"Overspeed","project_id":79,"tracker_id":40,"status_id":1,"priority_id":2,"assigned_to_id":23,"start_date":"2017-06-17","description":"","custom_fields":[{"id":1,"name":"Subdivision","value":"EC"},{"id":4,"name":"Milepost","value":"0.2789"},{"id":17,"name":"Train ID","value":"161-17"},{"id":16,"name":"Locomotive ID","value":"4046"},{"id":130,"name":"Impact","value":""},{"id":150,"name":"Time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/cygdrive/c/Users/stu/AppData/Local/Temp/OnboardLogs/RTDC4046 --include="*4046*201706171*"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"%USERPROFILE%\AppData\Local\Temp\OnboardLogs"\RTDC4046\*4046*201706171* &gt;&gt; 2017-06-17-SliceDisagreementCheck.txt</v>
      </c>
      <c r="AE21" s="145" t="str">
        <f t="shared" si="9"/>
        <v>start /low /b %USERPROFILE%\Documents\GitHub\eaglep3\Utilities\DownloadLogsFromS3.py --loco 4046 --day 2017-06-17</v>
      </c>
      <c r="AF21" s="1"/>
    </row>
    <row r="22" spans="1:32" x14ac:dyDescent="0.25">
      <c r="A22" s="31">
        <v>42903.968611111108</v>
      </c>
      <c r="B22" s="30" t="s">
        <v>480</v>
      </c>
      <c r="C22" s="30" t="s">
        <v>632</v>
      </c>
      <c r="D22" s="30" t="s">
        <v>96</v>
      </c>
      <c r="E22" s="30" t="s">
        <v>362</v>
      </c>
      <c r="F22" s="42">
        <v>200</v>
      </c>
      <c r="G22" s="42">
        <v>250</v>
      </c>
      <c r="H22" s="42">
        <v>20369</v>
      </c>
      <c r="I22" s="42">
        <v>20863</v>
      </c>
      <c r="J22" s="30" t="s">
        <v>363</v>
      </c>
      <c r="K22" s="42">
        <v>10800</v>
      </c>
      <c r="L22" s="131" t="s">
        <v>50</v>
      </c>
      <c r="M22" s="132">
        <f t="shared" si="0"/>
        <v>-5313.2640000000001</v>
      </c>
      <c r="N22" s="133" t="str">
        <f>VLOOKUP(C22,'Trips&amp;Operators'!$C$1:$G$99999,5,FALSE)</f>
        <v>LAMAR NEKESHA</v>
      </c>
      <c r="O22" s="203" t="s">
        <v>180</v>
      </c>
      <c r="P22" s="134" t="s">
        <v>997</v>
      </c>
      <c r="Q22" s="30"/>
      <c r="R22" s="81" t="str">
        <f>VLOOKUP(C22,'Train Runs'!$A$13:$AE$9938,31,0)</f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S22" s="84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-06-17T22:04:56-0600',mode:absolute,to:'2017-06-18T00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6" t="str">
        <f t="shared" si="1"/>
        <v>"C:\Program Files (x86)\AstroGrep\AstroGrep.exe" /e /r /s /spath="%USERPROFILE%\AppData\Local\Temp\OnboardLogs" /stypes="*4032*201706180*" /stext=" 05:.+((SYSTEM_STATE.+slice.+state.+changed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42904.218611111108</v>
      </c>
      <c r="W22" s="45" t="str">
        <f t="shared" si="4"/>
        <v>EC</v>
      </c>
      <c r="X22" s="22">
        <f t="shared" si="5"/>
        <v>237</v>
      </c>
      <c r="Y22" s="96" t="str">
        <f t="shared" si="6"/>
        <v>echo {"issue":{"subject":"Overspeed","project_id":79,"tracker_id":40,"status_id":1,"priority_id":2,"assigned_to_id":23,"start_date":"2017-06-17","description":"","custom_fields":[{"id":1,"name":"Subdivision","value":"EC"},{"id":4,"name":"Milepost","value":"1.08"},{"id":17,"name":"Train ID","value":"237-17"},{"id":16,"name":"Locomotive ID","value":"4032"},{"id":130,"name":"Impact","value":""},{"id":150,"name":"Time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/cygdrive/c/Users/stu/AppData/Local/Temp/OnboardLogs/RTDC4032 --include="*4032*201706180*"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"%USERPROFILE%\AppData\Local\Temp\OnboardLogs"\RTDC4032\*4032*201706180* &gt;&gt; 2017-06-17-SliceDisagreementCheck.txt</v>
      </c>
      <c r="AE22" s="145" t="str">
        <f t="shared" si="9"/>
        <v>start /low /b %USERPROFILE%\Documents\GitHub\eaglep3\Utilities\DownloadLogsFromS3.py --loco 4032 --day 2017-06-18</v>
      </c>
      <c r="AF22" s="1"/>
    </row>
    <row r="23" spans="1:32" x14ac:dyDescent="0.25">
      <c r="A23" s="31">
        <v>42903.667280092595</v>
      </c>
      <c r="B23" s="30" t="s">
        <v>480</v>
      </c>
      <c r="C23" s="30" t="s">
        <v>617</v>
      </c>
      <c r="D23" s="30" t="s">
        <v>49</v>
      </c>
      <c r="E23" s="30" t="s">
        <v>362</v>
      </c>
      <c r="F23" s="42">
        <v>0</v>
      </c>
      <c r="G23" s="42">
        <v>709</v>
      </c>
      <c r="H23" s="42">
        <v>170389</v>
      </c>
      <c r="I23" s="42">
        <v>173757</v>
      </c>
      <c r="J23" s="30" t="s">
        <v>363</v>
      </c>
      <c r="K23" s="42">
        <v>175383</v>
      </c>
      <c r="L23" s="131" t="s">
        <v>50</v>
      </c>
      <c r="M23" s="132">
        <f t="shared" si="0"/>
        <v>858.52800000000002</v>
      </c>
      <c r="N23" s="133" t="str">
        <f>VLOOKUP(C23,'Trips&amp;Operators'!$C$1:$G$99999,5,FALSE)</f>
        <v>SULLIVAN BRANDON</v>
      </c>
      <c r="O23" s="203" t="s">
        <v>411</v>
      </c>
      <c r="P23" s="134" t="s">
        <v>412</v>
      </c>
      <c r="Q23" s="30"/>
      <c r="R23" s="81" t="str">
        <f>VLOOKUP(C23,'Train Runs'!$A$13:$AE$9938,31,0)</f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S23" s="84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-06-17T14:23:22-0600',mode:absolute,to:'2017-06-17T17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6" t="str">
        <f t="shared" si="1"/>
        <v>"C:\Program Files (x86)\AstroGrep\AstroGrep.exe" /e /r /s /spath="%USERPROFILE%\AppData\Local\Temp\OnboardLogs" /stypes="*4032*201706172*"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42903.917280092595</v>
      </c>
      <c r="W23" s="45" t="str">
        <f t="shared" si="4"/>
        <v>EC</v>
      </c>
      <c r="X23" s="22">
        <f t="shared" si="5"/>
        <v>195</v>
      </c>
      <c r="Y23" s="96" t="str">
        <f t="shared" si="6"/>
        <v>echo {"issue":{"subject":"Wi-MAX data drop","project_id":79,"tracker_id":40,"status_id":1,"priority_id":2,"assigned_to_id":23,"start_date":"2017-06-17","description":"","custom_fields":[{"id":1,"name":"Subdivision","value":"EC"},{"id":4,"name":"Milepost","value":"17.5383"},{"id":17,"name":"Train ID","value":"195-17"},{"id":16,"name":"Locomotive ID","value":"4032"},{"id":130,"name":"Impact","value":""},{"id":150,"name":"Time of Event (Mountain Time)","value":"16:00:53"},{"id":151,"name":"Denver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/cygdrive/c/Users/stu/AppData/Local/Temp/OnboardLogs/RTDC4032 --include="*4032*201706172*"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"%USERPROFILE%\AppData\Local\Temp\OnboardLogs"\RTDC4032\*4032*201706172* &gt;&gt; 2017-06-17-SliceDisagreementCheck.txt</v>
      </c>
      <c r="AE23" s="145" t="str">
        <f t="shared" si="9"/>
        <v>start /low /b %USERPROFILE%\Documents\GitHub\eaglep3\Utilities\DownloadLogsFromS3.py --loco 4032 --day 2017-06-17</v>
      </c>
      <c r="AF23" s="1"/>
    </row>
    <row r="24" spans="1:32" x14ac:dyDescent="0.25">
      <c r="A24" s="31">
        <v>42903.397997685184</v>
      </c>
      <c r="B24" s="30" t="s">
        <v>479</v>
      </c>
      <c r="C24" s="30" t="s">
        <v>609</v>
      </c>
      <c r="D24" s="30" t="s">
        <v>49</v>
      </c>
      <c r="E24" s="30" t="s">
        <v>362</v>
      </c>
      <c r="F24" s="42">
        <v>0</v>
      </c>
      <c r="G24" s="42">
        <v>579</v>
      </c>
      <c r="H24" s="42">
        <v>199583</v>
      </c>
      <c r="I24" s="42">
        <v>197209</v>
      </c>
      <c r="J24" s="30" t="s">
        <v>363</v>
      </c>
      <c r="K24" s="42">
        <v>198256</v>
      </c>
      <c r="L24" s="131" t="s">
        <v>51</v>
      </c>
      <c r="M24" s="132">
        <f t="shared" si="0"/>
        <v>-552.81600000000003</v>
      </c>
      <c r="N24" s="133" t="str">
        <f>VLOOKUP(C24,'Trips&amp;Operators'!$C$1:$G$99999,5,FALSE)</f>
        <v>MAELZER KURT</v>
      </c>
      <c r="O24" s="203" t="s">
        <v>411</v>
      </c>
      <c r="P24" s="134" t="s">
        <v>412</v>
      </c>
      <c r="Q24" s="30"/>
      <c r="R24" s="81" t="str">
        <f>VLOOKUP(C24,'Train Runs'!$A$13:$AE$9938,31,0)</f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S24" s="84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-06-17T08:14:28-0600',mode:absolute,to:'2017-06-17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/stypes="*4031*201706171*"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42903.647997685184</v>
      </c>
      <c r="W24" s="45" t="str">
        <f t="shared" si="4"/>
        <v>EC</v>
      </c>
      <c r="X24" s="22">
        <f t="shared" si="5"/>
        <v>140</v>
      </c>
      <c r="Y24" s="96" t="str">
        <f t="shared" si="6"/>
        <v>echo {"issue":{"subject":"Wi-MAX data drop","project_id":79,"tracker_id":40,"status_id":1,"priority_id":2,"assigned_to_id":23,"start_date":"2017-06-17","description":"","custom_fields":[{"id":1,"name":"Subdivision","value":"EC"},{"id":4,"name":"Milepost","value":"19.8256"},{"id":17,"name":"Train ID","value":"140-17"},{"id":16,"name":"Locomotive ID","value":"4031"},{"id":130,"name":"Impact","value":""},{"id":150,"name":"Time of Event (Mountain Time)","value":"09:33:07"},{"id":151,"name":"Denver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/cygdrive/c/Users/stu/AppData/Local/Temp/OnboardLogs/RTDC4031 --include="*4031*201706171*"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"%USERPROFILE%\AppData\Local\Temp\OnboardLogs"\RTDC4031\*4031*201706171* &gt;&gt; 2017-06-17-SliceDisagreementCheck.txt</v>
      </c>
      <c r="AE24" s="145" t="str">
        <f t="shared" si="9"/>
        <v>start /low /b %USERPROFILE%\Documents\GitHub\eaglep3\Utilities\DownloadLogsFromS3.py --loco 4031 --day 2017-06-17</v>
      </c>
      <c r="AF24" s="1"/>
    </row>
    <row r="25" spans="1:32" x14ac:dyDescent="0.25">
      <c r="A25" s="31">
        <v>42903.38962962963</v>
      </c>
      <c r="B25" s="30" t="s">
        <v>447</v>
      </c>
      <c r="C25" s="30" t="s">
        <v>608</v>
      </c>
      <c r="D25" s="30" t="s">
        <v>49</v>
      </c>
      <c r="E25" s="30" t="s">
        <v>181</v>
      </c>
      <c r="F25" s="42">
        <v>0</v>
      </c>
      <c r="G25" s="42">
        <v>62</v>
      </c>
      <c r="H25" s="42">
        <v>229</v>
      </c>
      <c r="I25" s="42">
        <v>170</v>
      </c>
      <c r="J25" s="30" t="s">
        <v>182</v>
      </c>
      <c r="K25" s="42">
        <v>1</v>
      </c>
      <c r="L25" s="131" t="s">
        <v>51</v>
      </c>
      <c r="M25" s="132">
        <f t="shared" si="0"/>
        <v>89.231999999999985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Runs'!$A$13:$AE$9938,31,0)</f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S25" s="84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-06-17T07:38:06-0600',mode:absolute,to:'2017-06-17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86" t="str">
        <f t="shared" si="1"/>
        <v>"C:\Program Files (x86)\AstroGrep\AstroGrep.exe" /e /r /s /spath="%USERPROFILE%\AppData\Local\Temp\OnboardLogs" /stypes="*4045*201706171*"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4045</v>
      </c>
      <c r="V25" s="31">
        <f t="shared" si="3"/>
        <v>42903.63962962963</v>
      </c>
      <c r="W25" s="45" t="str">
        <f t="shared" si="4"/>
        <v>EC</v>
      </c>
      <c r="X25" s="22">
        <f t="shared" si="5"/>
        <v>134</v>
      </c>
      <c r="Y25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{"issue":{"subject":"","project_id":79,"tracker_id":40,"status_id":1,"priority_id":2,"assigned_to_id":23,"start_date":"2017-06-17","description":"","custom_fields":[{"id":1,"name":"Subdivision","value":"EC"},{"id":4,"name":"Milepost","value":"0.0001"},{"id":17,"name":"Train ID","value":"134-17"},{"id":16,"name":"Locomotive ID","value":"4045"},{"id":130,"name":"Impact","value":""},{"id":150,"name":"Time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/cygdrive/c/Users/stu/AppData/Local/Temp/OnboardLogs/RTDC4045 --include="*4045*201706171*"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"%USERPROFILE%\AppData\Local\Temp\OnboardLogs"\RTDC4045\*4045*201706171* &gt;&gt; 2017-06-17-SliceDisagreementCheck.txt</v>
      </c>
      <c r="AE25" s="145" t="str">
        <f t="shared" si="9"/>
        <v>start /low /b %USERPROFILE%\Documents\GitHub\eaglep3\Utilities\DownloadLogsFromS3.py --loco 4045 --day 2017-06-17</v>
      </c>
      <c r="AF25" s="1"/>
    </row>
    <row r="26" spans="1:32" x14ac:dyDescent="0.25">
      <c r="A26" s="31">
        <v>42903.497523148151</v>
      </c>
      <c r="B26" s="30" t="s">
        <v>479</v>
      </c>
      <c r="C26" s="30" t="s">
        <v>613</v>
      </c>
      <c r="D26" s="30" t="s">
        <v>49</v>
      </c>
      <c r="E26" s="30" t="s">
        <v>181</v>
      </c>
      <c r="F26" s="42">
        <v>0</v>
      </c>
      <c r="G26" s="42">
        <v>45</v>
      </c>
      <c r="H26" s="42">
        <v>160</v>
      </c>
      <c r="I26" s="42">
        <v>129</v>
      </c>
      <c r="J26" s="30" t="s">
        <v>182</v>
      </c>
      <c r="K26" s="42">
        <v>1</v>
      </c>
      <c r="L26" s="131" t="s">
        <v>51</v>
      </c>
      <c r="M26" s="132">
        <f t="shared" si="0"/>
        <v>67.584000000000003</v>
      </c>
      <c r="N26" s="133" t="str">
        <f>VLOOKUP(C26,'Trips&amp;Operators'!$C$1:$G$99999,5,FALSE)</f>
        <v>SULLIVAN BRANDON</v>
      </c>
      <c r="O26" s="203" t="s">
        <v>180</v>
      </c>
      <c r="P26" s="134"/>
      <c r="Q26" s="30"/>
      <c r="R26" s="81" t="str">
        <f>VLOOKUP(C26,'Train Runs'!$A$13:$AE$9938,31,0)</f>
        <v>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 &amp; aws s3 cp s3://rtdc.mdm.uploadarchive.raw/RTDC4031/ "%USERPROFILE%\AppData\Local\Temp\OnboardLogs"\RTDC4031\2017-06-18 --exclude "*" --recursive --include "*20170618*" &amp; "%USERPROFILE%\Documents\GitHub\mrs-test-scripts\Headless Mode &amp; Sideloading\WalkAndUnGZ.bat" "%USERPROFILE%\AppData\Local\Temp\OnboardLogs"\RTDC4031\2017-06-18</v>
      </c>
      <c r="S26" s="84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-06-17T10:02:31-0600',mode:absolute,to:'2017-06-17T12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/stypes="*4031*201706171*" /stext=" 17:.+((SYSTEM_STATE.+slice.+state.+changed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42903.747523148151</v>
      </c>
      <c r="W26" s="45" t="str">
        <f t="shared" si="4"/>
        <v>EC</v>
      </c>
      <c r="X26" s="22">
        <f t="shared" si="5"/>
        <v>154</v>
      </c>
      <c r="Y26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{"issue":{"subject":"","project_id":79,"tracker_id":40,"status_id":1,"priority_id":2,"assigned_to_id":23,"start_date":"2017-06-17","description":"","custom_fields":[{"id":1,"name":"Subdivision","value":"EC"},{"id":4,"name":"Milepost","value":"0.0001"},{"id":17,"name":"Train ID","value":"154-17"},{"id":16,"name":"Locomotive ID","value":"4031"},{"id":130,"name":"Impact","value":""},{"id":150,"name":"Time of Event (Mountain Time)","value":"11:56:26"},{"id":151,"name":"Denver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/cygdrive/c/Users/stu/AppData/Local/Temp/OnboardLogs/RTDC4031 --include="*4031*201706171*"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"%USERPROFILE%\AppData\Local\Temp\OnboardLogs"\RTDC4031\*4031*201706171* &gt;&gt; 2017-06-17-SliceDisagreementCheck.txt</v>
      </c>
      <c r="AE26" s="145" t="str">
        <f t="shared" si="9"/>
        <v>start /low /b %USERPROFILE%\Documents\GitHub\eaglep3\Utilities\DownloadLogsFromS3.py --loco 4031 --day 2017-06-17</v>
      </c>
      <c r="AF26" s="1"/>
    </row>
    <row r="27" spans="1:32" x14ac:dyDescent="0.25">
      <c r="A27" s="31">
        <v>42903.75613425926</v>
      </c>
      <c r="B27" s="30" t="s">
        <v>447</v>
      </c>
      <c r="C27" s="30" t="s">
        <v>626</v>
      </c>
      <c r="D27" s="30" t="s">
        <v>49</v>
      </c>
      <c r="E27" s="30" t="s">
        <v>181</v>
      </c>
      <c r="F27" s="42">
        <v>0</v>
      </c>
      <c r="G27" s="42">
        <v>81</v>
      </c>
      <c r="H27" s="42">
        <v>300</v>
      </c>
      <c r="I27" s="42">
        <v>218</v>
      </c>
      <c r="J27" s="30" t="s">
        <v>182</v>
      </c>
      <c r="K27" s="42">
        <v>1</v>
      </c>
      <c r="L27" s="131" t="s">
        <v>51</v>
      </c>
      <c r="M27" s="132">
        <f t="shared" si="0"/>
        <v>114.57599999999999</v>
      </c>
      <c r="N27" s="133" t="str">
        <f>VLOOKUP(C27,'Trips&amp;Operators'!$C$1:$G$99999,5,FALSE)</f>
        <v>DAVIS MICHAEL</v>
      </c>
      <c r="O27" s="203" t="s">
        <v>180</v>
      </c>
      <c r="P27" s="134"/>
      <c r="Q27" s="30"/>
      <c r="R27" s="81" t="str">
        <f>VLOOKUP(C27,'Train Runs'!$A$13:$AE$9938,31,0)</f>
        <v>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 &amp; aws s3 cp s3://rtdc.mdm.uploadarchive.raw/RTDC4045/ "%USERPROFILE%\AppData\Local\Temp\OnboardLogs"\RTDC4045\2017-06-18 --exclude "*" --recursive --include "*20170618*" &amp; "%USERPROFILE%\Documents\GitHub\mrs-test-scripts\Headless Mode &amp; Sideloading\WalkAndUnGZ.bat" "%USERPROFILE%\AppData\Local\Temp\OnboardLogs"\RTDC4045\2017-06-18</v>
      </c>
      <c r="S27" s="84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-06-17T16:23:56-0600',mode:absolute,to:'2017-06-17T19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86" t="str">
        <f t="shared" si="1"/>
        <v>"C:\Program Files (x86)\AstroGrep\AstroGrep.exe" /e /r /s /spath="%USERPROFILE%\AppData\Local\Temp\OnboardLogs" /stypes="*4045*201706180*"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4045</v>
      </c>
      <c r="V27" s="31">
        <f t="shared" si="3"/>
        <v>42904.00613425926</v>
      </c>
      <c r="W27" s="45" t="str">
        <f t="shared" si="4"/>
        <v>EC</v>
      </c>
      <c r="X27" s="22">
        <f t="shared" si="5"/>
        <v>204</v>
      </c>
      <c r="Y27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{"issue":{"subject":"","project_id":79,"tracker_id":40,"status_id":1,"priority_id":2,"assigned_to_id":23,"start_date":"2017-06-17","description":"","custom_fields":[{"id":1,"name":"Subdivision","value":"EC"},{"id":4,"name":"Milepost","value":"0.0001"},{"id":17,"name":"Train ID","value":"204-17"},{"id":16,"name":"Locomotive ID","value":"4045"},{"id":130,"name":"Impact","value":""},{"id":150,"name":"Time of Event (Mountain Time)","value":"18:08:50"},{"id":151,"name":"Denver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/cygdrive/c/Users/stu/AppData/Local/Temp/OnboardLogs/RTDC4045 --include="*4045*201706180*"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"%USERPROFILE%\AppData\Local\Temp\OnboardLogs"\RTDC4045\*4045*201706180* &gt;&gt; 2017-06-17-SliceDisagreementCheck.txt</v>
      </c>
      <c r="AE27" s="145" t="str">
        <f t="shared" si="9"/>
        <v>start /low /b %USERPROFILE%\Documents\GitHub\eaglep3\Utilities\DownloadLogsFromS3.py --loco 4045 --day 2017-06-18</v>
      </c>
      <c r="AF27" s="1"/>
    </row>
    <row r="28" spans="1:32" x14ac:dyDescent="0.25">
      <c r="A28" s="31">
        <v>42903.920902777776</v>
      </c>
      <c r="B28" s="30" t="s">
        <v>482</v>
      </c>
      <c r="C28" s="30" t="s">
        <v>630</v>
      </c>
      <c r="D28" s="30" t="s">
        <v>49</v>
      </c>
      <c r="E28" s="30" t="s">
        <v>181</v>
      </c>
      <c r="F28" s="42">
        <v>0</v>
      </c>
      <c r="G28" s="42">
        <v>49</v>
      </c>
      <c r="H28" s="42">
        <v>161</v>
      </c>
      <c r="I28" s="42">
        <v>118</v>
      </c>
      <c r="J28" s="30" t="s">
        <v>182</v>
      </c>
      <c r="K28" s="42">
        <v>1</v>
      </c>
      <c r="L28" s="131" t="s">
        <v>51</v>
      </c>
      <c r="M28" s="132">
        <f t="shared" si="0"/>
        <v>61.776000000000003</v>
      </c>
      <c r="N28" s="133" t="str">
        <f>VLOOKUP(C28,'Trips&amp;Operators'!$C$1:$G$99999,5,FALSE)</f>
        <v>FORTUNATO FRANK</v>
      </c>
      <c r="O28" s="203" t="s">
        <v>180</v>
      </c>
      <c r="P28" s="134"/>
      <c r="Q28" s="30"/>
      <c r="R28" s="81" t="str">
        <f>VLOOKUP(C28,'Train Runs'!$A$13:$AE$9938,31,0)</f>
        <v>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 &amp; aws s3 cp s3://rtdc.mdm.uploadarchive.raw/RTDC4023/ "%USERPROFILE%\AppData\Local\Temp\OnboardLogs"\RTDC4023\2017-06-18 --exclude "*" --recursive --include "*20170618*" &amp; "%USERPROFILE%\Documents\GitHub\mrs-test-scripts\Headless Mode &amp; Sideloading\WalkAndUnGZ.bat" "%USERPROFILE%\AppData\Local\Temp\OnboardLogs"\RTDC4023\2017-06-18</v>
      </c>
      <c r="S28" s="84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-06-17T20:09:28-0600',mode:absolute,to:'2017-06-17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8" s="86" t="str">
        <f t="shared" si="1"/>
        <v>"C:\Program Files (x86)\AstroGrep\AstroGrep.exe" /e /r /s /spath="%USERPROFILE%\AppData\Local\Temp\OnboardLogs" /stypes="*4023*201706180*" /stext=" 04:.+((SYSTEM_STATE.+slice.+state.+changed )|(ment ac)|(multiple cpu faults)|(system.+state.+changed )|(\[timeout)|(PRM\|1\|D)|(kpr)|(kdp)|(train st.+moving)|(\|lc)|(penalty))"</v>
      </c>
      <c r="U28" s="9" t="str">
        <f t="shared" si="2"/>
        <v>4023</v>
      </c>
      <c r="V28" s="31">
        <f t="shared" si="3"/>
        <v>42904.170902777776</v>
      </c>
      <c r="W28" s="45" t="str">
        <f t="shared" si="4"/>
        <v>EC</v>
      </c>
      <c r="X28" s="22">
        <f t="shared" si="5"/>
        <v>228</v>
      </c>
      <c r="Y28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{"issue":{"subject":"","project_id":79,"tracker_id":40,"status_id":1,"priority_id":2,"assigned_to_id":23,"start_date":"2017-06-17","description":"","custom_fields":[{"id":1,"name":"Subdivision","value":"EC"},{"id":4,"name":"Milepost","value":"0.0001"},{"id":17,"name":"Train ID","value":"228-17"},{"id":16,"name":"Locomotive ID","value":"4023"},{"id":130,"name":"Impact","value":""},{"id":150,"name":"Time of Event (Mountain Time)","value":"22:06:06"},{"id":151,"name":"Denver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/cygdrive/c/Users/stu/AppData/Local/Temp/OnboardLogs/RTDC4023 --include="*4023*201706180*"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"%USERPROFILE%\AppData\Local\Temp\OnboardLogs"\RTDC4023\*4023*201706180* &gt;&gt; 2017-06-17-SliceDisagreementCheck.txt</v>
      </c>
      <c r="AE28" s="145" t="str">
        <f t="shared" si="9"/>
        <v>start /low /b %USERPROFILE%\Documents\GitHub\eaglep3\Utilities\DownloadLogsFromS3.py --loco 4023 --day 2017-06-18</v>
      </c>
      <c r="AF28" s="1"/>
    </row>
    <row r="29" spans="1:32" x14ac:dyDescent="0.25">
      <c r="A29" s="31">
        <v>42903.745405092595</v>
      </c>
      <c r="B29" s="30" t="s">
        <v>480</v>
      </c>
      <c r="C29" s="30" t="s">
        <v>624</v>
      </c>
      <c r="D29" s="30" t="s">
        <v>49</v>
      </c>
      <c r="E29" s="30" t="s">
        <v>181</v>
      </c>
      <c r="F29" s="42">
        <v>0</v>
      </c>
      <c r="G29" s="42">
        <v>44</v>
      </c>
      <c r="H29" s="42">
        <v>233331</v>
      </c>
      <c r="I29" s="42">
        <v>233359</v>
      </c>
      <c r="J29" s="30" t="s">
        <v>182</v>
      </c>
      <c r="K29" s="42">
        <v>233491</v>
      </c>
      <c r="L29" s="131" t="s">
        <v>50</v>
      </c>
      <c r="M29" s="132">
        <f t="shared" si="0"/>
        <v>69.695999999999998</v>
      </c>
      <c r="N29" s="133" t="str">
        <f>VLOOKUP(C29,'Trips&amp;Operators'!$C$1:$G$99999,5,FALSE)</f>
        <v>SULLIVAN BRANDON</v>
      </c>
      <c r="O29" s="203" t="s">
        <v>180</v>
      </c>
      <c r="P29" s="134"/>
      <c r="Q29" s="30"/>
      <c r="R29" s="81" t="str">
        <f>VLOOKUP(C29,'Train Runs'!$A$13:$AE$9938,31,0)</f>
        <v>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 &amp; 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</v>
      </c>
      <c r="S29" s="84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-06-17T16:08:41-0600',mode:absolute,to:'2017-06-17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9" s="86" t="str">
        <f t="shared" si="1"/>
        <v>"C:\Program Files (x86)\AstroGrep\AstroGrep.exe" /e /r /s /spath="%USERPROFILE%\AppData\Local\Temp\OnboardLogs" /stypes="*4032*201706172*"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4032</v>
      </c>
      <c r="V29" s="31">
        <f t="shared" si="3"/>
        <v>42903.995405092595</v>
      </c>
      <c r="W29" s="45" t="str">
        <f t="shared" si="4"/>
        <v>EC</v>
      </c>
      <c r="X29" s="22">
        <f t="shared" si="5"/>
        <v>209</v>
      </c>
      <c r="Y29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{"issue":{"subject":"","project_id":79,"tracker_id":40,"status_id":1,"priority_id":2,"assigned_to_id":23,"start_date":"2017-06-17","description":"","custom_fields":[{"id":1,"name":"Subdivision","value":"EC"},{"id":4,"name":"Milepost","value":"23.3491"},{"id":17,"name":"Train ID","value":"209-17"},{"id":16,"name":"Locomotive ID","value":"4032"},{"id":130,"name":"Impact","value":""},{"id":150,"name":"Time of Event (Mountain Time)","value":"17:53:23"},{"id":151,"name":"Denver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/cygdrive/c/Users/stu/AppData/Local/Temp/OnboardLogs/RTDC4032 --include="*4032*201706172*"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"%USERPROFILE%\AppData\Local\Temp\OnboardLogs"\RTDC4032\*4032*201706172* &gt;&gt; 2017-06-17-SliceDisagreementCheck.txt</v>
      </c>
      <c r="AE29" s="145" t="str">
        <f t="shared" si="9"/>
        <v>start /low /b %USERPROFILE%\Documents\GitHub\eaglep3\Utilities\DownloadLogsFromS3.py --loco 4032 --day 2017-06-17</v>
      </c>
      <c r="AF29" s="1"/>
    </row>
    <row r="30" spans="1:32" x14ac:dyDescent="0.25">
      <c r="A30" s="31">
        <v>42903.754513888889</v>
      </c>
      <c r="B30" s="30" t="s">
        <v>424</v>
      </c>
      <c r="C30" s="30" t="s">
        <v>625</v>
      </c>
      <c r="D30" s="30" t="s">
        <v>49</v>
      </c>
      <c r="E30" s="30" t="s">
        <v>181</v>
      </c>
      <c r="F30" s="42">
        <v>0</v>
      </c>
      <c r="G30" s="42">
        <v>26</v>
      </c>
      <c r="H30" s="42">
        <v>233407</v>
      </c>
      <c r="I30" s="42">
        <v>233422</v>
      </c>
      <c r="J30" s="30" t="s">
        <v>182</v>
      </c>
      <c r="K30" s="42">
        <v>233491</v>
      </c>
      <c r="L30" s="131" t="s">
        <v>50</v>
      </c>
      <c r="M30" s="132">
        <f t="shared" si="0"/>
        <v>36.432000000000002</v>
      </c>
      <c r="N30" s="133" t="str">
        <f>VLOOKUP(C30,'Trips&amp;Operators'!$C$1:$G$99999,5,FALSE)</f>
        <v>DELGADO DIANAH</v>
      </c>
      <c r="O30" s="203" t="s">
        <v>180</v>
      </c>
      <c r="P30" s="134"/>
      <c r="Q30" s="30"/>
      <c r="R30" s="81" t="str">
        <f>VLOOKUP(C30,'Train Runs'!$A$13:$AE$9938,31,0)</f>
        <v>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 &amp; aws s3 cp s3://rtdc.mdm.uploadarchive.raw/RTDC4020/ "%USERPROFILE%\AppData\Local\Temp\OnboardLogs"\RTDC4020\2017-06-18 --exclude "*" --recursive --include "*20170618*" &amp; "%USERPROFILE%\Documents\GitHub\mrs-test-scripts\Headless Mode &amp; Sideloading\WalkAndUnGZ.bat" "%USERPROFILE%\AppData\Local\Temp\OnboardLogs"\RTDC4020\2017-06-18</v>
      </c>
      <c r="S30" s="84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-06-17T16:25:27-0600',mode:absolute,to:'2017-06-17T19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86" t="str">
        <f t="shared" si="1"/>
        <v>"C:\Program Files (x86)\AstroGrep\AstroGrep.exe" /e /r /s /spath="%USERPROFILE%\AppData\Local\Temp\OnboardLogs" /stypes="*4020*201706180*"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4020</v>
      </c>
      <c r="V30" s="31">
        <f t="shared" si="3"/>
        <v>42904.004513888889</v>
      </c>
      <c r="W30" s="45" t="str">
        <f t="shared" si="4"/>
        <v>EC</v>
      </c>
      <c r="X30" s="22">
        <f t="shared" si="5"/>
        <v>211</v>
      </c>
      <c r="Y30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{"issue":{"subject":"","project_id":79,"tracker_id":40,"status_id":1,"priority_id":2,"assigned_to_id":23,"start_date":"2017-06-17","description":"","custom_fields":[{"id":1,"name":"Subdivision","value":"EC"},{"id":4,"name":"Milepost","value":"23.3491"},{"id":17,"name":"Train ID","value":"211-17"},{"id":16,"name":"Locomotive ID","value":"4020"},{"id":130,"name":"Impact","value":""},{"id":150,"name":"Time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/cygdrive/c/Users/stu/AppData/Local/Temp/OnboardLogs/RTDC4020 --include="*4020*201706180*"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"%USERPROFILE%\AppData\Local\Temp\OnboardLogs"\RTDC4020\*4020*201706180* &gt;&gt; 2017-06-17-SliceDisagreementCheck.txt</v>
      </c>
      <c r="AE30" s="145" t="str">
        <f t="shared" si="9"/>
        <v>start /low /b %USERPROFILE%\Documents\GitHub\eaglep3\Utilities\DownloadLogsFromS3.py --loco 4020 --day 2017-06-18</v>
      </c>
      <c r="AF30" s="1"/>
    </row>
    <row r="31" spans="1:32" x14ac:dyDescent="0.25">
      <c r="A31" s="31">
        <v>42903.785856481481</v>
      </c>
      <c r="B31" s="30" t="s">
        <v>446</v>
      </c>
      <c r="C31" s="30" t="s">
        <v>628</v>
      </c>
      <c r="D31" s="30" t="s">
        <v>49</v>
      </c>
      <c r="E31" s="30" t="s">
        <v>181</v>
      </c>
      <c r="F31" s="42">
        <v>0</v>
      </c>
      <c r="G31" s="42">
        <v>116</v>
      </c>
      <c r="H31" s="42">
        <v>233151</v>
      </c>
      <c r="I31" s="42">
        <v>233263</v>
      </c>
      <c r="J31" s="30" t="s">
        <v>182</v>
      </c>
      <c r="K31" s="42">
        <v>233491</v>
      </c>
      <c r="L31" s="131" t="s">
        <v>50</v>
      </c>
      <c r="M31" s="132">
        <f t="shared" si="0"/>
        <v>120.384</v>
      </c>
      <c r="N31" s="133" t="str">
        <f>VLOOKUP(C31,'Trips&amp;Operators'!$C$1:$G$99999,5,FALSE)</f>
        <v>PERKINS DARREN</v>
      </c>
      <c r="O31" s="203" t="s">
        <v>180</v>
      </c>
      <c r="P31" s="134"/>
      <c r="Q31" s="30"/>
      <c r="R31" s="81" t="str">
        <f>VLOOKUP(C31,'Train Runs'!$A$13:$AE$9938,31,0)</f>
        <v>aws s3 cp s3://rtdc.mdm.uploadarchive.raw/RTDC4046/ "%USERPROFILE%\AppData\Local\Temp\OnboardLogs"\RTDC4046\2017-06-17 --exclude "*" --recursive --include "*20170617*" &amp; "%USERPROFILE%\Documents\GitHub\mrs-test-scripts\Headless Mode &amp; Sideloading\WalkAndUnGZ.bat" "%USERPROFILE%\AppData\Local\Temp\OnboardLogs"\RTDC4046\2017-06-17 &amp; aws s3 cp s3://rtdc.mdm.uploadarchive.raw/RTDC4046/ "%USERPROFILE%\AppData\Local\Temp\OnboardLogs"\RTDC4046\2017-06-18 --exclude "*" --recursive --include "*20170618*" &amp; "%USERPROFILE%\Documents\GitHub\mrs-test-scripts\Headless Mode &amp; Sideloading\WalkAndUnGZ.bat" "%USERPROFILE%\AppData\Local\Temp\OnboardLogs"\RTDC4046\2017-06-18</v>
      </c>
      <c r="S31" s="84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-06-17T17:11:51-0600',mode:absolute,to:'2017-06-17T19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1" s="86" t="str">
        <f t="shared" si="1"/>
        <v>"C:\Program Files (x86)\AstroGrep\AstroGrep.exe" /e /r /s /spath="%USERPROFILE%\AppData\Local\Temp\OnboardLogs" /stypes="*4046*201706180*"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4046</v>
      </c>
      <c r="V31" s="31">
        <f t="shared" si="3"/>
        <v>42904.035856481481</v>
      </c>
      <c r="W31" s="45" t="str">
        <f t="shared" si="4"/>
        <v>EC</v>
      </c>
      <c r="X31" s="22">
        <f t="shared" si="5"/>
        <v>217</v>
      </c>
      <c r="Y31" s="96" t="str">
        <f t="shared" si="6"/>
        <v>echo {"issue":{"subject":"","project_id":79,"tracker_id":40,"status_id":1,"priority_id":2,"assigned_to_id":23,"start_date":"2017-06-17","description":"","custom_fields":[{"id":1,"name":"Subdivision","value":"EC"},{"id":4,"name":"Milepost","value":"23.3491"},{"id":17,"name":"Train ID","value":"217-17"},{"id":16,"name":"Locomotive ID","value":"4046"},{"id":130,"name":"Impact","value":""},{"id":150,"name":"Time of Event (Mountain Time)","value":"18:51:38"},{"id":151,"name":"Denver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/cygdrive/c/Users/stu/AppData/Local/Temp/OnboardLogs/RTDC4046 --include="*4046*201706180*"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"%USERPROFILE%\AppData\Local\Temp\OnboardLogs"\RTDC4046\*4046*201706180* &gt;&gt; 2017-06-17-SliceDisagreementCheck.txt</v>
      </c>
      <c r="AE31" s="145" t="str">
        <f t="shared" si="9"/>
        <v>start /low /b %USERPROFILE%\Documents\GitHub\eaglep3\Utilities\DownloadLogsFromS3.py --loco 4046 --day 2017-06-18</v>
      </c>
      <c r="AF31" s="1"/>
    </row>
    <row r="32" spans="1:32" s="20" customFormat="1" x14ac:dyDescent="0.25">
      <c r="A32" s="31">
        <v>42903.271122685182</v>
      </c>
      <c r="B32" s="30" t="s">
        <v>399</v>
      </c>
      <c r="C32" s="30" t="s">
        <v>606</v>
      </c>
      <c r="D32" s="30" t="s">
        <v>96</v>
      </c>
      <c r="E32" s="30" t="s">
        <v>200</v>
      </c>
      <c r="F32" s="42">
        <v>400</v>
      </c>
      <c r="G32" s="42">
        <v>450</v>
      </c>
      <c r="H32" s="42">
        <v>49392</v>
      </c>
      <c r="I32" s="42">
        <v>50561</v>
      </c>
      <c r="J32" s="30" t="s">
        <v>201</v>
      </c>
      <c r="K32" s="42">
        <v>47810</v>
      </c>
      <c r="L32" s="131" t="s">
        <v>50</v>
      </c>
      <c r="M32" s="132">
        <f t="shared" si="0"/>
        <v>-1452.528</v>
      </c>
      <c r="N32" s="133" t="str">
        <f>VLOOKUP(C32,'Trips&amp;Operators'!$C$1:$G$99999,5,FALSE)</f>
        <v>YORK EDGAR</v>
      </c>
      <c r="O32" s="203" t="s">
        <v>180</v>
      </c>
      <c r="P32" s="134"/>
      <c r="Q32" s="30"/>
      <c r="R32" s="81" t="str">
        <f>VLOOKUP(C32,'Train Runs'!$A$13:$AE$9938,31,0)</f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S32" s="84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-06-17T04:56:01-0600',mode:absolute,to:'2017-06-17T07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2" s="86" t="str">
        <f t="shared" si="1"/>
        <v>"C:\Program Files (x86)\AstroGrep\AstroGrep.exe" /e /r /s /spath="%USERPROFILE%\AppData\Local\Temp\OnboardLogs" /stypes="*4050*201706171*"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4050</v>
      </c>
      <c r="V32" s="31">
        <f t="shared" si="3"/>
        <v>42903.521122685182</v>
      </c>
      <c r="W32" s="45" t="str">
        <f t="shared" si="4"/>
        <v>NW</v>
      </c>
      <c r="X32" s="22">
        <f t="shared" si="5"/>
        <v>1801</v>
      </c>
      <c r="Y32" s="96" t="str">
        <f t="shared" si="6"/>
        <v>echo {"issue":{"subject":"","project_id":79,"tracker_id":40,"status_id":1,"priority_id":2,"assigned_to_id":23,"start_date":"2017-06-17","description":"","custom_fields":[{"id":1,"name":"Subdivision","value":"NW"},{"id":4,"name":"Milepost","value":"4.781"},{"id":17,"name":"Train ID","value":"1801-17"},{"id":16,"name":"Locomotive ID","value":"4050"},{"id":130,"name":"Impact","value":""},{"id":150,"name":"Time of Event (Mountain Time)","value":"06:30:25"},{"id":151,"name":"Denver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/cygdrive/c/Users/stu/AppData/Local/Temp/OnboardLogs/RTDC4050 --include="*4050*201706171*"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"%USERPROFILE%\AppData\Local\Temp\OnboardLogs"\RTDC4050\*4050*201706171* &gt;&gt; 2017-06-17-SliceDisagreementCheck.txt</v>
      </c>
      <c r="AE32" s="145" t="str">
        <f t="shared" si="9"/>
        <v>start /low /b %USERPROFILE%\Documents\GitHub\eaglep3\Utilities\DownloadLogsFromS3.py --loco 4050 --day 2017-06-17</v>
      </c>
      <c r="AF32" s="1"/>
    </row>
    <row r="33" spans="1:32" x14ac:dyDescent="0.25">
      <c r="A33" s="31">
        <v>42903.246365740742</v>
      </c>
      <c r="B33" s="30" t="s">
        <v>398</v>
      </c>
      <c r="C33" s="30" t="s">
        <v>604</v>
      </c>
      <c r="D33" s="30" t="s">
        <v>49</v>
      </c>
      <c r="E33" s="30" t="s">
        <v>181</v>
      </c>
      <c r="F33" s="42">
        <v>0</v>
      </c>
      <c r="G33" s="42">
        <v>47</v>
      </c>
      <c r="H33" s="42">
        <v>738</v>
      </c>
      <c r="I33" s="42">
        <v>705</v>
      </c>
      <c r="J33" s="30" t="s">
        <v>182</v>
      </c>
      <c r="K33" s="42">
        <v>575</v>
      </c>
      <c r="L33" s="131" t="s">
        <v>51</v>
      </c>
      <c r="M33" s="132">
        <f t="shared" si="0"/>
        <v>68.64</v>
      </c>
      <c r="N33" s="133" t="str">
        <f>VLOOKUP(C33,'Trips&amp;Operators'!$C$1:$G$99999,5,FALSE)</f>
        <v>YORK EDGAR</v>
      </c>
      <c r="O33" s="203" t="s">
        <v>180</v>
      </c>
      <c r="P33" s="134"/>
      <c r="Q33" s="30"/>
      <c r="R33" s="81" t="str">
        <f>VLOOKUP(C33,'Train Runs'!$A$13:$AE$9938,31,0)</f>
        <v>aws s3 cp s3://rtdc.mdm.uploadarchive.raw/RTDC4049/ "%USERPROFILE%\AppData\Local\Temp\OnboardLogs"\RTDC4049\2017-06-17 --exclude "*" --recursive --include "*20170617*" &amp; "%USERPROFILE%\Documents\GitHub\mrs-test-scripts\Headless Mode &amp; Sideloading\WalkAndUnGZ.bat" "%USERPROFILE%\AppData\Local\Temp\OnboardLogs"\RTDC4049\2017-06-17 &amp; aws s3 cp s3://rtdc.mdm.uploadarchive.raw/RTDC4049/ "%USERPROFILE%\AppData\Local\Temp\OnboardLogs"\RTDC4049\2017-06-18 --exclude "*" --recursive --include "*20170618*" &amp; "%USERPROFILE%\Documents\GitHub\mrs-test-scripts\Headless Mode &amp; Sideloading\WalkAndUnGZ.bat" "%USERPROFILE%\AppData\Local\Temp\OnboardLogs"\RTDC4049\2017-06-18</v>
      </c>
      <c r="S33" s="84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-06-17T04:35:47-0600',mode:absolute,to:'2017-06-17T06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3" s="86" t="str">
        <f t="shared" si="1"/>
        <v>"C:\Program Files (x86)\AstroGrep\AstroGrep.exe" /e /r /s /spath="%USERPROFILE%\AppData\Local\Temp\OnboardLogs" /stypes="*4049*201706171*"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4049</v>
      </c>
      <c r="V33" s="31">
        <f t="shared" si="3"/>
        <v>42903.496365740742</v>
      </c>
      <c r="W33" s="45" t="str">
        <f t="shared" si="4"/>
        <v>NW</v>
      </c>
      <c r="X33" s="22">
        <f t="shared" si="5"/>
        <v>1800</v>
      </c>
      <c r="Y33" s="96" t="str">
        <f t="shared" si="6"/>
        <v>echo {"issue":{"subject":"","project_id":79,"tracker_id":40,"status_id":1,"priority_id":2,"assigned_to_id":23,"start_date":"2017-06-17","description":"","custom_fields":[{"id":1,"name":"Subdivision","value":"NW"},{"id":4,"name":"Milepost","value":"0.0575"},{"id":17,"name":"Train ID","value":"1800-17"},{"id":16,"name":"Locomotive ID","value":"4049"},{"id":130,"name":"Impact","value":""},{"id":150,"name":"Time of Event (Mountain Time)","value":"05:54:46"},{"id":151,"name":"Denver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/cygdrive/c/Users/stu/AppData/Local/Temp/OnboardLogs/RTDC4049 --include="*4049*201706171*"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"%USERPROFILE%\AppData\Local\Temp\OnboardLogs"\RTDC4049\*4049*201706171* &gt;&gt; 2017-06-17-SliceDisagreementCheck.txt</v>
      </c>
      <c r="AE33" s="145" t="str">
        <f t="shared" si="9"/>
        <v>start /low /b %USERPROFILE%\Documents\GitHub\eaglep3\Utilities\DownloadLogsFromS3.py --loco 4049 --day 2017-06-17</v>
      </c>
      <c r="AF33" s="1"/>
    </row>
    <row r="34" spans="1:32" x14ac:dyDescent="0.25">
      <c r="A34" s="31">
        <v>42903.48196759259</v>
      </c>
      <c r="B34" s="30" t="s">
        <v>399</v>
      </c>
      <c r="C34" s="30" t="s">
        <v>612</v>
      </c>
      <c r="D34" s="30" t="s">
        <v>49</v>
      </c>
      <c r="E34" s="30" t="s">
        <v>181</v>
      </c>
      <c r="F34" s="42">
        <v>0</v>
      </c>
      <c r="G34" s="42">
        <v>46</v>
      </c>
      <c r="H34" s="42">
        <v>58918</v>
      </c>
      <c r="I34" s="42">
        <v>58956</v>
      </c>
      <c r="J34" s="30" t="s">
        <v>182</v>
      </c>
      <c r="K34" s="42">
        <v>59048</v>
      </c>
      <c r="L34" s="131" t="s">
        <v>50</v>
      </c>
      <c r="M34" s="132">
        <f t="shared" si="0"/>
        <v>48.576000000000001</v>
      </c>
      <c r="N34" s="133" t="str">
        <f>VLOOKUP(C34,'Trips&amp;Operators'!$C$1:$G$99999,5,FALSE)</f>
        <v>YORK EDGAR</v>
      </c>
      <c r="O34" s="203" t="s">
        <v>180</v>
      </c>
      <c r="P34" s="134"/>
      <c r="Q34" s="30"/>
      <c r="R34" s="81" t="str">
        <f>VLOOKUP(C34,'Train Runs'!$A$13:$AE$9938,31,0)</f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S34" s="84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-06-17T09:57:40-0600',mode:absolute,to:'2017-06-17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86" t="str">
        <f t="shared" si="1"/>
        <v>"C:\Program Files (x86)\AstroGrep\AstroGrep.exe" /e /r /s /spath="%USERPROFILE%\AppData\Local\Temp\OnboardLogs" /stypes="*4050*201706171*" /stext=" 17:.+((SYSTEM_STATE.+slice.+state.+changed )|(ment ac)|(multiple cpu faults)|(system.+state.+changed )|(\[timeout)|(PRM\|1\|D)|(kpr)|(kdp)|(train st.+moving)|(\|lc)|(penalty))"</v>
      </c>
      <c r="U34" s="9" t="str">
        <f t="shared" si="2"/>
        <v>4050</v>
      </c>
      <c r="V34" s="31">
        <f t="shared" si="3"/>
        <v>42903.73196759259</v>
      </c>
      <c r="W34" s="45" t="str">
        <f t="shared" si="4"/>
        <v>NW</v>
      </c>
      <c r="X34" s="22">
        <f t="shared" si="5"/>
        <v>1811</v>
      </c>
      <c r="Y34" s="96" t="str">
        <f t="shared" si="6"/>
        <v>echo {"issue":{"subject":"","project_id":79,"tracker_id":40,"status_id":1,"priority_id":2,"assigned_to_id":23,"start_date":"2017-06-17","description":"","custom_fields":[{"id":1,"name":"Subdivision","value":"NW"},{"id":4,"name":"Milepost","value":"5.9048"},{"id":17,"name":"Train ID","value":"1811-17"},{"id":16,"name":"Locomotive ID","value":"4050"},{"id":130,"name":"Impact","value":""},{"id":150,"name":"Time of Event (Mountain Time)","value":"11:34:02"},{"id":151,"name":"Denver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/cygdrive/c/Users/stu/AppData/Local/Temp/OnboardLogs/RTDC4050 --include="*4050*201706171*"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"%USERPROFILE%\AppData\Local\Temp\OnboardLogs"\RTDC4050\*4050*201706171* &gt;&gt; 2017-06-17-SliceDisagreementCheck.txt</v>
      </c>
      <c r="AE34" s="145" t="str">
        <f t="shared" si="9"/>
        <v>start /low /b %USERPROFILE%\Documents\GitHub\eaglep3\Utilities\DownloadLogsFromS3.py --loco 4050 --day 2017-06-17</v>
      </c>
      <c r="AF34" s="1"/>
    </row>
    <row r="35" spans="1:32" x14ac:dyDescent="0.25">
      <c r="A35" s="31">
        <v>42903.523530092592</v>
      </c>
      <c r="B35" s="30" t="s">
        <v>399</v>
      </c>
      <c r="C35" s="30" t="s">
        <v>614</v>
      </c>
      <c r="D35" s="30" t="s">
        <v>49</v>
      </c>
      <c r="E35" s="30" t="s">
        <v>181</v>
      </c>
      <c r="F35" s="42">
        <v>0</v>
      </c>
      <c r="G35" s="42">
        <v>48</v>
      </c>
      <c r="H35" s="42">
        <v>58918</v>
      </c>
      <c r="I35" s="42">
        <v>58961</v>
      </c>
      <c r="J35" s="30" t="s">
        <v>182</v>
      </c>
      <c r="K35" s="42">
        <v>59048</v>
      </c>
      <c r="L35" s="131" t="s">
        <v>50</v>
      </c>
      <c r="M35" s="132">
        <f t="shared" si="0"/>
        <v>45.936</v>
      </c>
      <c r="N35" s="133" t="str">
        <f>VLOOKUP(C35,'Trips&amp;Operators'!$C$1:$G$99999,5,FALSE)</f>
        <v>YORK EDGAR</v>
      </c>
      <c r="O35" s="203" t="s">
        <v>180</v>
      </c>
      <c r="P35" s="134"/>
      <c r="Q35" s="30"/>
      <c r="R35" s="81" t="str">
        <f>VLOOKUP(C35,'Train Runs'!$A$13:$AE$9938,31,0)</f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S35" s="84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-06-17T11:02:47-0600',mode:absolute,to:'2017-06-17T13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6" t="str">
        <f t="shared" si="1"/>
        <v>"C:\Program Files (x86)\AstroGrep\AstroGrep.exe" /e /r /s /spath="%USERPROFILE%\AppData\Local\Temp\OnboardLogs" /stypes="*4050*201706171*" /stext=" 18:.+((SYSTEM_STATE.+slice.+state.+changed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42903.773530092592</v>
      </c>
      <c r="W35" s="45" t="str">
        <f t="shared" si="4"/>
        <v>NW</v>
      </c>
      <c r="X35" s="22">
        <f t="shared" si="5"/>
        <v>1813</v>
      </c>
      <c r="Y35" s="96" t="str">
        <f t="shared" si="6"/>
        <v>echo {"issue":{"subject":"","project_id":79,"tracker_id":40,"status_id":1,"priority_id":2,"assigned_to_id":23,"start_date":"2017-06-17","description":"","custom_fields":[{"id":1,"name":"Subdivision","value":"NW"},{"id":4,"name":"Milepost","value":"5.9048"},{"id":17,"name":"Train ID","value":"1813-17"},{"id":16,"name":"Locomotive ID","value":"4050"},{"id":130,"name":"Impact","value":""},{"id":150,"name":"Time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/cygdrive/c/Users/stu/AppData/Local/Temp/OnboardLogs/RTDC4050 --include="*4050*201706171*"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"%USERPROFILE%\AppData\Local\Temp\OnboardLogs"\RTDC4050\*4050*201706171* &gt;&gt; 2017-06-17-SliceDisagreementCheck.txt</v>
      </c>
      <c r="AE35" s="145" t="str">
        <f t="shared" si="9"/>
        <v>start /low /b %USERPROFILE%\Documents\GitHub\eaglep3\Utilities\DownloadLogsFromS3.py --loco 4050 --day 2017-06-17</v>
      </c>
      <c r="AF35" s="1"/>
    </row>
    <row r="36" spans="1:32" x14ac:dyDescent="0.25">
      <c r="A36" s="31">
        <v>42903.815844907411</v>
      </c>
      <c r="B36" s="30" t="s">
        <v>399</v>
      </c>
      <c r="C36" s="30" t="s">
        <v>629</v>
      </c>
      <c r="D36" s="30" t="s">
        <v>49</v>
      </c>
      <c r="E36" s="30" t="s">
        <v>181</v>
      </c>
      <c r="F36" s="42">
        <v>0</v>
      </c>
      <c r="G36" s="42">
        <v>161</v>
      </c>
      <c r="H36" s="42">
        <v>57981</v>
      </c>
      <c r="I36" s="42">
        <v>58212</v>
      </c>
      <c r="J36" s="30" t="s">
        <v>182</v>
      </c>
      <c r="K36" s="42">
        <v>59048</v>
      </c>
      <c r="L36" s="131" t="s">
        <v>50</v>
      </c>
      <c r="M36" s="132">
        <f t="shared" si="0"/>
        <v>441.40800000000002</v>
      </c>
      <c r="N36" s="133" t="str">
        <f>VLOOKUP(C36,'Trips&amp;Operators'!$C$1:$G$99999,5,FALSE)</f>
        <v>MCREYNOLDS KYLE</v>
      </c>
      <c r="O36" s="203" t="s">
        <v>180</v>
      </c>
      <c r="P36" s="134"/>
      <c r="Q36" s="30"/>
      <c r="R36" s="81" t="str">
        <f>VLOOKUP(C36,'Train Runs'!$A$13:$AE$9938,31,0)</f>
        <v>aws s3 cp s3://rtdc.mdm.uploadarchive.raw/RTDC4050/ "%USERPROFILE%\AppData\Local\Temp\OnboardLogs"\RTDC4050\2017-06-17 --exclude "*" --recursive --include "*20170617*" &amp; "%USERPROFILE%\Documents\GitHub\mrs-test-scripts\Headless Mode &amp; Sideloading\WalkAndUnGZ.bat" "%USERPROFILE%\AppData\Local\Temp\OnboardLogs"\RTDC4050\2017-06-17 &amp; aws s3 cp s3://rtdc.mdm.uploadarchive.raw/RTDC4050/ "%USERPROFILE%\AppData\Local\Temp\OnboardLogs"\RTDC4050\2017-06-18 --exclude "*" --recursive --include "*20170618*" &amp; "%USERPROFILE%\Documents\GitHub\mrs-test-scripts\Headless Mode &amp; Sideloading\WalkAndUnGZ.bat" "%USERPROFILE%\AppData\Local\Temp\OnboardLogs"\RTDC4050\2017-06-18</v>
      </c>
      <c r="S36" s="84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-06-17T18:02:27-0600',mode:absolute,to:'2017-06-17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6" t="str">
        <f t="shared" si="1"/>
        <v>"C:\Program Files (x86)\AstroGrep\AstroGrep.exe" /e /r /s /spath="%USERPROFILE%\AppData\Local\Temp\OnboardLogs" /stypes="*4050*201706180*"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42904.065844907411</v>
      </c>
      <c r="W36" s="45" t="str">
        <f t="shared" si="4"/>
        <v>NW</v>
      </c>
      <c r="X36" s="22">
        <f t="shared" si="5"/>
        <v>1827</v>
      </c>
      <c r="Y36" s="96" t="str">
        <f t="shared" si="6"/>
        <v>echo {"issue":{"subject":"","project_id":79,"tracker_id":40,"status_id":1,"priority_id":2,"assigned_to_id":23,"start_date":"2017-06-17","description":"","custom_fields":[{"id":1,"name":"Subdivision","value":"NW"},{"id":4,"name":"Milepost","value":"5.9048"},{"id":17,"name":"Train ID","value":"1827-17"},{"id":16,"name":"Locomotive ID","value":"4050"},{"id":130,"name":"Impact","value":""},{"id":150,"name":"Time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/cygdrive/c/Users/stu/AppData/Local/Temp/OnboardLogs/RTDC4050 --include="*4050*201706180*"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"%USERPROFILE%\AppData\Local\Temp\OnboardLogs"\RTDC4050\*4050*201706180* &gt;&gt; 2017-06-17-SliceDisagreementCheck.txt</v>
      </c>
      <c r="AE36" s="145" t="str">
        <f t="shared" si="9"/>
        <v>start /low /b %USERPROFILE%\Documents\GitHub\eaglep3\Utilities\DownloadLogsFromS3.py --loco 4050 --day 2017-06-18</v>
      </c>
      <c r="AF36" s="1"/>
    </row>
    <row r="37" spans="1:32" x14ac:dyDescent="0.25">
      <c r="A37" s="31">
        <v>42903.715578703705</v>
      </c>
      <c r="B37" s="30" t="s">
        <v>358</v>
      </c>
      <c r="C37" s="30" t="s">
        <v>619</v>
      </c>
      <c r="D37" s="30" t="s">
        <v>96</v>
      </c>
      <c r="E37" s="30" t="s">
        <v>362</v>
      </c>
      <c r="F37" s="42">
        <v>0</v>
      </c>
      <c r="G37" s="42">
        <v>56</v>
      </c>
      <c r="H37" s="42">
        <v>1747</v>
      </c>
      <c r="I37" s="42">
        <v>1823</v>
      </c>
      <c r="J37" s="30" t="s">
        <v>363</v>
      </c>
      <c r="K37" s="42">
        <v>1692</v>
      </c>
      <c r="L37" s="131" t="s">
        <v>50</v>
      </c>
      <c r="M37" s="132">
        <f t="shared" si="0"/>
        <v>-69.168000000000006</v>
      </c>
      <c r="N37" s="133" t="str">
        <f>VLOOKUP(C37,'Trips&amp;Operators'!$C$1:$G$99999,5,FALSE)</f>
        <v>ARVIDSON DANIEL</v>
      </c>
      <c r="O37" s="203" t="s">
        <v>180</v>
      </c>
      <c r="P37" s="134"/>
      <c r="Q37" s="30"/>
      <c r="R37" s="81" t="str">
        <f>VLOOKUP(C37,'Train Runs'!$A$13:$AE$9938,31,0)</f>
        <v>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 &amp; 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</v>
      </c>
      <c r="S37" s="84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-06-17T15:55:02-0600',mode:absolute,to:'2017-06-17T18:10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 t="shared" si="1"/>
        <v>"C:\Program Files (x86)\AstroGrep\AstroGrep.exe" /e /r /s /spath="%USERPROFILE%\AppData\Local\Temp\OnboardLogs" /stypes="*4042*201706172*"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4042</v>
      </c>
      <c r="V37" s="31">
        <f t="shared" si="3"/>
        <v>42903.965578703705</v>
      </c>
      <c r="W37" s="45" t="str">
        <f t="shared" si="4"/>
        <v>Shuttle/Test</v>
      </c>
      <c r="X37" s="22">
        <f t="shared" si="5"/>
        <v>54</v>
      </c>
      <c r="Y37" s="96" t="str">
        <f t="shared" si="6"/>
        <v>echo {"issue":{"subject":"","project_id":79,"tracker_id":40,"status_id":1,"priority_id":2,"assigned_to_id":23,"start_date":"2017-06-17","description":"","custom_fields":[{"id":1,"name":"Subdivision","value":"Shuttle/Test"},{"id":4,"name":"Milepost","value":"0.1692"},{"id":17,"name":"Train ID","value":"54-17"},{"id":16,"name":"Locomotive ID","value":"4042"},{"id":130,"name":"Impact","value":""},{"id":150,"name":"Time of Event (Mountain Time)","value":"17:10:26"},{"id":151,"name":"Denver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/cygdrive/c/Users/stu/AppData/Local/Temp/OnboardLogs/RTDC4042 --include="*4042*201706172*"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"%USERPROFILE%\AppData\Local\Temp\OnboardLogs"\RTDC4042\*4042*201706172* &gt;&gt; 2017-06-17-SliceDisagreementCheck.txt</v>
      </c>
      <c r="AE37" s="145" t="str">
        <f t="shared" si="9"/>
        <v>start /low /b %USERPROFILE%\Documents\GitHub\eaglep3\Utilities\DownloadLogsFromS3.py --loco 4042 --day 2017-06-17</v>
      </c>
      <c r="AF37" s="1"/>
    </row>
    <row r="38" spans="1:32" x14ac:dyDescent="0.25">
      <c r="A38" s="31">
        <v>42903.716331018521</v>
      </c>
      <c r="B38" s="30" t="s">
        <v>358</v>
      </c>
      <c r="C38" s="30" t="s">
        <v>619</v>
      </c>
      <c r="D38" s="30" t="s">
        <v>96</v>
      </c>
      <c r="E38" s="30" t="s">
        <v>621</v>
      </c>
      <c r="F38" s="42">
        <v>0</v>
      </c>
      <c r="G38" s="42">
        <v>37</v>
      </c>
      <c r="H38" s="42">
        <v>1973</v>
      </c>
      <c r="I38" s="42">
        <v>1992</v>
      </c>
      <c r="J38" s="30" t="s">
        <v>622</v>
      </c>
      <c r="K38" s="42">
        <v>1692</v>
      </c>
      <c r="L38" s="131" t="s">
        <v>50</v>
      </c>
      <c r="M38" s="132">
        <f t="shared" si="0"/>
        <v>-158.4</v>
      </c>
      <c r="N38" s="133" t="str">
        <f>VLOOKUP(C38,'Trips&amp;Operators'!$C$1:$G$99999,5,FALSE)</f>
        <v>ARVIDSON DANIEL</v>
      </c>
      <c r="O38" s="203" t="s">
        <v>180</v>
      </c>
      <c r="P38" s="134"/>
      <c r="Q38" s="30"/>
      <c r="R38" s="81" t="str">
        <f>VLOOKUP(C38,'Train Runs'!$A$13:$AE$9938,31,0)</f>
        <v>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 &amp; 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</v>
      </c>
      <c r="S38" s="84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-06-17T15:55:02-0600',mode:absolute,to:'2017-06-17T18:10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 t="shared" si="1"/>
        <v>"C:\Program Files (x86)\AstroGrep\AstroGrep.exe" /e /r /s /spath="%USERPROFILE%\AppData\Local\Temp\OnboardLogs" /stypes="*4042*201706172*"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4042</v>
      </c>
      <c r="V38" s="31">
        <f t="shared" si="3"/>
        <v>42903.966331018521</v>
      </c>
      <c r="W38" s="45" t="str">
        <f t="shared" si="4"/>
        <v>Shuttle/Test</v>
      </c>
      <c r="X38" s="22">
        <f t="shared" si="5"/>
        <v>54</v>
      </c>
      <c r="Y38" s="96" t="str">
        <f t="shared" si="6"/>
        <v>echo {"issue":{"subject":"","project_id":79,"tracker_id":40,"status_id":1,"priority_id":2,"assigned_to_id":23,"start_date":"2017-06-17","description":"","custom_fields":[{"id":1,"name":"Subdivision","value":"Shuttle/Test"},{"id":4,"name":"Milepost","value":"0.1692"},{"id":17,"name":"Train ID","value":"54-17"},{"id":16,"name":"Locomotive ID","value":"4042"},{"id":130,"name":"Impact","value":""},{"id":150,"name":"Time of Event (Mountain Time)","value":"17:11:31"},{"id":151,"name":"Denver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/cygdrive/c/Users/stu/AppData/Local/Temp/OnboardLogs/RTDC4042 --include="*4042*201706172*"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"%USERPROFILE%\AppData\Local\Temp\OnboardLogs"\RTDC4042\*4042*201706172* &gt;&gt; 2017-06-17-SliceDisagreementCheck.txt</v>
      </c>
      <c r="AE38" s="145" t="str">
        <f t="shared" si="9"/>
        <v>start /low /b %USERPROFILE%\Documents\GitHub\eaglep3\Utilities\DownloadLogsFromS3.py --loco 4042 --day 2017-06-17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38"/>
      <sortCondition ref="E7:E38"/>
      <sortCondition ref="K7:K38"/>
      <sortCondition ref="F7:F3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8" t="str">
        <f>"Trips that did not appear in PTC Data "&amp;TEXT(Variables!$A$2,"YYYY-mm-dd")</f>
        <v>Trips that did not appear in PTC Data 2017-06-17</v>
      </c>
      <c r="C1" s="218"/>
      <c r="D1" s="218"/>
      <c r="E1" s="218"/>
      <c r="F1" s="218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-17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Runs'!$A$13:$A$99935,1,FALSE)</f>
        <v>#N/A</v>
      </c>
    </row>
    <row r="4" spans="1:10" x14ac:dyDescent="0.25">
      <c r="A4" s="195"/>
      <c r="B4" s="42" t="str">
        <f>A4&amp;"-"&amp;IF(DAY(Variables!$A$2)&lt;10,0,"")&amp;DAY(Variables!$A$2)</f>
        <v>-17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Runs'!$A$13:$A$99935,1,FALSE)</f>
        <v>#N/A</v>
      </c>
    </row>
    <row r="5" spans="1:10" x14ac:dyDescent="0.25">
      <c r="A5" s="195"/>
      <c r="B5" s="42" t="str">
        <f>A5&amp;"-"&amp;IF(DAY(Variables!$A$2)&lt;10,0,"")&amp;DAY(Variables!$A$2)</f>
        <v>-17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Runs'!$A$13:$A$99935,1,FALSE)</f>
        <v>#N/A</v>
      </c>
    </row>
    <row r="6" spans="1:10" x14ac:dyDescent="0.25">
      <c r="A6" s="195"/>
      <c r="B6" s="42" t="str">
        <f>A6&amp;"-"&amp;IF(DAY(Variables!$A$2)&lt;10,0,"")&amp;DAY(Variables!$A$2)</f>
        <v>-17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Runs'!$A$13:$A$99935,1,FALSE)</f>
        <v>#N/A</v>
      </c>
    </row>
    <row r="7" spans="1:10" x14ac:dyDescent="0.25">
      <c r="A7" s="195"/>
      <c r="B7" s="42" t="str">
        <f>A7&amp;"-"&amp;IF(DAY(Variables!$A$2)&lt;10,0,"")&amp;DAY(Variables!$A$2)</f>
        <v>-17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Runs'!$A$13:$A$99935,1,FALSE)</f>
        <v>#N/A</v>
      </c>
    </row>
    <row r="8" spans="1:10" x14ac:dyDescent="0.25">
      <c r="A8" s="195"/>
      <c r="B8" s="42" t="str">
        <f>A8&amp;"-"&amp;IF(DAY(Variables!$A$2)&lt;10,0,"")&amp;DAY(Variables!$A$2)</f>
        <v>-17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Runs'!$A$13:$A$99935,1,FALSE)</f>
        <v>#N/A</v>
      </c>
    </row>
    <row r="9" spans="1:10" x14ac:dyDescent="0.25">
      <c r="A9" s="195"/>
      <c r="B9" s="42" t="str">
        <f>A9&amp;"-"&amp;IF(DAY(Variables!$A$2)&lt;10,0,"")&amp;DAY(Variables!$A$2)</f>
        <v>-17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Runs'!$A$13:$A$99935,1,FALSE)</f>
        <v>#N/A</v>
      </c>
    </row>
    <row r="10" spans="1:10" x14ac:dyDescent="0.25">
      <c r="A10" s="195"/>
      <c r="B10" s="42" t="str">
        <f>A10&amp;"-"&amp;IF(DAY(Variables!$A$2)&lt;10,0,"")&amp;DAY(Variables!$A$2)</f>
        <v>-17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Runs'!$A$13:$A$99935,1,FALSE)</f>
        <v>#N/A</v>
      </c>
    </row>
    <row r="11" spans="1:10" x14ac:dyDescent="0.25">
      <c r="A11" s="195"/>
      <c r="B11" s="42" t="str">
        <f>A11&amp;"-"&amp;IF(DAY(Variables!$A$2)&lt;10,0,"")&amp;DAY(Variables!$A$2)</f>
        <v>-17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Runs'!$A$13:$A$99935,1,FALSE)</f>
        <v>#N/A</v>
      </c>
    </row>
    <row r="12" spans="1:10" x14ac:dyDescent="0.25">
      <c r="A12" s="195"/>
      <c r="B12" s="42" t="str">
        <f>A12&amp;"-"&amp;IF(DAY(Variables!$A$2)&lt;10,0,"")&amp;DAY(Variables!$A$2)</f>
        <v>-17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Runs'!$A$13:$A$99935,1,FALSE)</f>
        <v>#N/A</v>
      </c>
    </row>
    <row r="13" spans="1:10" x14ac:dyDescent="0.25">
      <c r="A13" s="195"/>
      <c r="B13" s="42" t="str">
        <f>A13&amp;"-"&amp;IF(DAY(Variables!$A$2)&lt;10,0,"")&amp;DAY(Variables!$A$2)</f>
        <v>-17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Runs'!$A$13:$A$99935,1,FALSE)</f>
        <v>#N/A</v>
      </c>
    </row>
    <row r="14" spans="1:10" x14ac:dyDescent="0.25">
      <c r="A14" s="195"/>
      <c r="B14" s="42" t="str">
        <f>A14&amp;"-"&amp;IF(DAY(Variables!$A$2)&lt;10,0,"")&amp;DAY(Variables!$A$2)</f>
        <v>-17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Runs'!$A$13:$A$99935,1,FALSE)</f>
        <v>#N/A</v>
      </c>
    </row>
    <row r="15" spans="1:10" x14ac:dyDescent="0.25">
      <c r="A15" s="195"/>
      <c r="B15" s="42" t="str">
        <f>A15&amp;"-"&amp;IF(DAY(Variables!$A$2)&lt;10,0,"")&amp;DAY(Variables!$A$2)</f>
        <v>-17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Runs'!$A$13:$A$99935,1,FALSE)</f>
        <v>#N/A</v>
      </c>
    </row>
    <row r="16" spans="1:10" x14ac:dyDescent="0.25">
      <c r="A16" s="195"/>
      <c r="B16" s="42" t="str">
        <f>A16&amp;"-"&amp;IF(DAY(Variables!$A$2)&lt;10,0,"")&amp;DAY(Variables!$A$2)</f>
        <v>-17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Runs'!$A$13:$A$99935,1,FALSE)</f>
        <v>#N/A</v>
      </c>
    </row>
    <row r="17" spans="1:10" x14ac:dyDescent="0.25">
      <c r="A17" s="195"/>
      <c r="B17" s="42" t="str">
        <f>A17&amp;"-"&amp;IF(DAY(Variables!$A$2)&lt;10,0,"")&amp;DAY(Variables!$A$2)</f>
        <v>-17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Runs'!$A$13:$A$99935,1,FALSE)</f>
        <v>#N/A</v>
      </c>
    </row>
    <row r="18" spans="1:10" x14ac:dyDescent="0.25">
      <c r="A18" s="195"/>
      <c r="B18" s="42" t="str">
        <f>A18&amp;"-"&amp;IF(DAY(Variables!$A$2)&lt;10,0,"")&amp;DAY(Variables!$A$2)</f>
        <v>-17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Runs'!$A$13:$A$99935,1,FALSE)</f>
        <v>#N/A</v>
      </c>
    </row>
    <row r="19" spans="1:10" x14ac:dyDescent="0.25">
      <c r="A19" s="195"/>
      <c r="B19" s="42" t="str">
        <f>A19&amp;"-"&amp;IF(DAY(Variables!$A$2)&lt;10,0,"")&amp;DAY(Variables!$A$2)</f>
        <v>-17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Runs'!$A$13:$A$99935,1,FALSE)</f>
        <v>#N/A</v>
      </c>
    </row>
    <row r="20" spans="1:10" x14ac:dyDescent="0.25">
      <c r="A20" s="195"/>
      <c r="B20" s="42" t="str">
        <f>A20&amp;"-"&amp;IF(DAY(Variables!$A$2)&lt;10,0,"")&amp;DAY(Variables!$A$2)</f>
        <v>-17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Runs'!$A$13:$A$99935,1,FALSE)</f>
        <v>#N/A</v>
      </c>
    </row>
    <row r="21" spans="1:10" x14ac:dyDescent="0.25">
      <c r="A21" s="195"/>
      <c r="B21" s="42" t="str">
        <f>A21&amp;"-"&amp;IF(DAY(Variables!$A$2)&lt;10,0,"")&amp;DAY(Variables!$A$2)</f>
        <v>-17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Runs'!$A$13:$A$99935,1,FALSE)</f>
        <v>#N/A</v>
      </c>
    </row>
    <row r="22" spans="1:10" x14ac:dyDescent="0.25">
      <c r="A22" s="195"/>
      <c r="B22" s="42" t="str">
        <f>A22&amp;"-"&amp;IF(DAY(Variables!$A$2)&lt;10,0,"")&amp;DAY(Variables!$A$2)</f>
        <v>-17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Runs'!$A$13:$A$99935,1,FALSE)</f>
        <v>#N/A</v>
      </c>
    </row>
    <row r="23" spans="1:10" x14ac:dyDescent="0.25">
      <c r="A23" s="195"/>
      <c r="B23" s="42" t="str">
        <f>A23&amp;"-"&amp;IF(DAY(Variables!$A$2)&lt;10,0,"")&amp;DAY(Variables!$A$2)</f>
        <v>-17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Runs'!$A$13:$A$99935,1,FALSE)</f>
        <v>#N/A</v>
      </c>
    </row>
    <row r="24" spans="1:10" x14ac:dyDescent="0.25">
      <c r="A24" s="195"/>
      <c r="B24" s="42" t="str">
        <f>A24&amp;"-"&amp;IF(DAY(Variables!$A$2)&lt;10,0,"")&amp;DAY(Variables!$A$2)</f>
        <v>-17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Runs'!$A$13:$A$99935,1,FALSE)</f>
        <v>#N/A</v>
      </c>
    </row>
    <row r="25" spans="1:10" x14ac:dyDescent="0.25">
      <c r="A25" s="195"/>
      <c r="B25" s="42" t="str">
        <f>A25&amp;"-"&amp;IF(DAY(Variables!$A$2)&lt;10,0,"")&amp;DAY(Variables!$A$2)</f>
        <v>-17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Runs'!$A$13:$A$99935,1,FALSE)</f>
        <v>#N/A</v>
      </c>
    </row>
    <row r="26" spans="1:10" x14ac:dyDescent="0.25">
      <c r="A26" s="195"/>
      <c r="B26" s="42" t="str">
        <f>A26&amp;"-"&amp;IF(DAY(Variables!$A$2)&lt;10,0,"")&amp;DAY(Variables!$A$2)</f>
        <v>-17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Runs'!$A$13:$A$99935,1,FALSE)</f>
        <v>#N/A</v>
      </c>
    </row>
    <row r="27" spans="1:10" x14ac:dyDescent="0.25">
      <c r="A27" s="195"/>
      <c r="B27" s="42" t="str">
        <f>A27&amp;"-"&amp;IF(DAY(Variables!$A$2)&lt;10,0,"")&amp;DAY(Variables!$A$2)</f>
        <v>-17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Runs'!$A$13:$A$99935,1,FALSE)</f>
        <v>#N/A</v>
      </c>
    </row>
    <row r="28" spans="1:10" x14ac:dyDescent="0.25">
      <c r="A28" s="195"/>
      <c r="B28" s="42" t="str">
        <f>A28&amp;"-"&amp;IF(DAY(Variables!$A$2)&lt;10,0,"")&amp;DAY(Variables!$A$2)</f>
        <v>-17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Runs'!$A$13:$A$99935,1,FALSE)</f>
        <v>#N/A</v>
      </c>
    </row>
    <row r="29" spans="1:10" x14ac:dyDescent="0.25">
      <c r="A29" s="195"/>
      <c r="B29" s="42" t="str">
        <f>A29&amp;"-"&amp;IF(DAY(Variables!$A$2)&lt;10,0,"")&amp;DAY(Variables!$A$2)</f>
        <v>-17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Runs'!$A$13:$A$99935,1,FALSE)</f>
        <v>#N/A</v>
      </c>
    </row>
    <row r="30" spans="1:10" x14ac:dyDescent="0.25">
      <c r="A30" s="195"/>
      <c r="B30" s="42" t="str">
        <f>A30&amp;"-"&amp;IF(DAY(Variables!$A$2)&lt;10,0,"")&amp;DAY(Variables!$A$2)</f>
        <v>-17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Runs'!$A$13:$A$99935,1,FALSE)</f>
        <v>#N/A</v>
      </c>
    </row>
    <row r="31" spans="1:10" x14ac:dyDescent="0.25">
      <c r="A31" s="195"/>
      <c r="B31" s="42" t="str">
        <f>A31&amp;"-"&amp;IF(DAY(Variables!$A$2)&lt;10,0,"")&amp;DAY(Variables!$A$2)</f>
        <v>-17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Runs'!$A$13:$A$99935,1,FALSE)</f>
        <v>#N/A</v>
      </c>
    </row>
    <row r="32" spans="1:10" x14ac:dyDescent="0.25">
      <c r="A32" s="195"/>
      <c r="B32" s="42" t="str">
        <f>A32&amp;"-"&amp;IF(DAY(Variables!$A$2)&lt;10,0,"")&amp;DAY(Variables!$A$2)</f>
        <v>-17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Runs'!$A$13:$A$99935,1,FALSE)</f>
        <v>#N/A</v>
      </c>
    </row>
    <row r="33" spans="1:10" x14ac:dyDescent="0.25">
      <c r="A33" s="195"/>
      <c r="B33" s="42" t="str">
        <f>A33&amp;"-"&amp;IF(DAY(Variables!$A$2)&lt;10,0,"")&amp;DAY(Variables!$A$2)</f>
        <v>-17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Runs'!$A$13:$A$99935,1,FALSE)</f>
        <v>#N/A</v>
      </c>
    </row>
    <row r="34" spans="1:10" x14ac:dyDescent="0.25">
      <c r="A34" s="195"/>
      <c r="B34" s="42" t="str">
        <f>A34&amp;"-"&amp;IF(DAY(Variables!$A$2)&lt;10,0,"")&amp;DAY(Variables!$A$2)</f>
        <v>-17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Runs'!$A$13:$A$99935,1,FALSE)</f>
        <v>#N/A</v>
      </c>
    </row>
    <row r="35" spans="1:10" x14ac:dyDescent="0.25">
      <c r="A35" s="195"/>
      <c r="B35" s="42" t="str">
        <f>A35&amp;"-"&amp;IF(DAY(Variables!$A$2)&lt;10,0,"")&amp;DAY(Variables!$A$2)</f>
        <v>-17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Runs'!$A$13:$A$99935,1,FALSE)</f>
        <v>#N/A</v>
      </c>
    </row>
    <row r="36" spans="1:10" x14ac:dyDescent="0.25">
      <c r="A36" s="195"/>
      <c r="B36" s="42" t="str">
        <f>A36&amp;"-"&amp;IF(DAY(Variables!$A$2)&lt;10,0,"")&amp;DAY(Variables!$A$2)</f>
        <v>-17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Runs'!$A$13:$A$99935,1,FALSE)</f>
        <v>#N/A</v>
      </c>
    </row>
    <row r="37" spans="1:10" x14ac:dyDescent="0.25">
      <c r="A37" s="195"/>
      <c r="B37" s="42" t="str">
        <f>A37&amp;"-"&amp;IF(DAY(Variables!$A$2)&lt;10,0,"")&amp;DAY(Variables!$A$2)</f>
        <v>-17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Runs'!$A$13:$A$99935,1,FALSE)</f>
        <v>#N/A</v>
      </c>
    </row>
    <row r="38" spans="1:10" x14ac:dyDescent="0.25">
      <c r="A38" s="195"/>
      <c r="B38" s="42" t="str">
        <f>A38&amp;"-"&amp;IF(DAY(Variables!$A$2)&lt;10,0,"")&amp;DAY(Variables!$A$2)</f>
        <v>-17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Runs'!$A$13:$A$99935,1,FALSE)</f>
        <v>#N/A</v>
      </c>
    </row>
    <row r="39" spans="1:10" x14ac:dyDescent="0.25">
      <c r="A39" s="195"/>
      <c r="B39" s="42" t="str">
        <f>A39&amp;"-"&amp;IF(DAY(Variables!$A$2)&lt;10,0,"")&amp;DAY(Variables!$A$2)</f>
        <v>-17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Runs'!$A$13:$A$99935,1,FALSE)</f>
        <v>#N/A</v>
      </c>
    </row>
    <row r="40" spans="1:10" x14ac:dyDescent="0.25">
      <c r="A40" s="195"/>
      <c r="B40" s="42" t="str">
        <f>A40&amp;"-"&amp;IF(DAY(Variables!$A$2)&lt;10,0,"")&amp;DAY(Variables!$A$2)</f>
        <v>-17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Runs'!$A$13:$A$99935,1,FALSE)</f>
        <v>#N/A</v>
      </c>
    </row>
    <row r="41" spans="1:10" x14ac:dyDescent="0.25">
      <c r="A41" s="195"/>
      <c r="B41" s="42" t="str">
        <f>A41&amp;"-"&amp;IF(DAY(Variables!$A$2)&lt;10,0,"")&amp;DAY(Variables!$A$2)</f>
        <v>-17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Runs'!$A$13:$A$99935,1,FALSE)</f>
        <v>#N/A</v>
      </c>
    </row>
    <row r="42" spans="1:10" x14ac:dyDescent="0.25">
      <c r="A42" s="195"/>
      <c r="B42" s="42" t="str">
        <f>A42&amp;"-"&amp;IF(DAY(Variables!$A$2)&lt;10,0,"")&amp;DAY(Variables!$A$2)</f>
        <v>-17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Runs'!$A$13:$A$99935,1,FALSE)</f>
        <v>#N/A</v>
      </c>
    </row>
    <row r="43" spans="1:10" x14ac:dyDescent="0.25">
      <c r="A43" s="195"/>
      <c r="B43" s="42" t="str">
        <f>A43&amp;"-"&amp;IF(DAY(Variables!$A$2)&lt;10,0,"")&amp;DAY(Variables!$A$2)</f>
        <v>-17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Runs'!$A$13:$A$99935,1,FALSE)</f>
        <v>#N/A</v>
      </c>
    </row>
    <row r="44" spans="1:10" x14ac:dyDescent="0.25">
      <c r="A44" s="195"/>
      <c r="B44" s="42" t="str">
        <f>A44&amp;"-"&amp;IF(DAY(Variables!$A$2)&lt;10,0,"")&amp;DAY(Variables!$A$2)</f>
        <v>-17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Runs'!$A$13:$A$99935,1,FALSE)</f>
        <v>#N/A</v>
      </c>
    </row>
    <row r="45" spans="1:10" x14ac:dyDescent="0.25">
      <c r="A45" s="195"/>
      <c r="B45" s="42" t="str">
        <f>A45&amp;"-"&amp;IF(DAY(Variables!$A$2)&lt;10,0,"")&amp;DAY(Variables!$A$2)</f>
        <v>-17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Runs'!$A$13:$A$99935,1,FALSE)</f>
        <v>#N/A</v>
      </c>
    </row>
    <row r="46" spans="1:10" x14ac:dyDescent="0.25">
      <c r="A46" s="195"/>
      <c r="B46" s="42" t="str">
        <f>A46&amp;"-"&amp;IF(DAY(Variables!$A$2)&lt;10,0,"")&amp;DAY(Variables!$A$2)</f>
        <v>-17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Runs'!$A$13:$A$99935,1,FALSE)</f>
        <v>#N/A</v>
      </c>
    </row>
    <row r="47" spans="1:10" x14ac:dyDescent="0.25">
      <c r="A47" s="195"/>
      <c r="B47" s="42" t="str">
        <f>A47&amp;"-"&amp;IF(DAY(Variables!$A$2)&lt;10,0,"")&amp;DAY(Variables!$A$2)</f>
        <v>-17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Runs'!$A$13:$A$99935,1,FALSE)</f>
        <v>#N/A</v>
      </c>
    </row>
    <row r="48" spans="1:10" x14ac:dyDescent="0.25">
      <c r="A48" s="195"/>
      <c r="B48" s="42" t="str">
        <f>A48&amp;"-"&amp;IF(DAY(Variables!$A$2)&lt;10,0,"")&amp;DAY(Variables!$A$2)</f>
        <v>-17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Runs'!$A$13:$A$99935,1,FALSE)</f>
        <v>#N/A</v>
      </c>
    </row>
    <row r="49" spans="1:10" x14ac:dyDescent="0.25">
      <c r="A49" s="195"/>
      <c r="B49" s="42" t="str">
        <f>A49&amp;"-"&amp;IF(DAY(Variables!$A$2)&lt;10,0,"")&amp;DAY(Variables!$A$2)</f>
        <v>-17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Runs'!$A$13:$A$99935,1,FALSE)</f>
        <v>#N/A</v>
      </c>
    </row>
    <row r="50" spans="1:10" x14ac:dyDescent="0.25">
      <c r="A50" s="195"/>
      <c r="B50" s="42" t="str">
        <f>A50&amp;"-"&amp;IF(DAY(Variables!$A$2)&lt;10,0,"")&amp;DAY(Variables!$A$2)</f>
        <v>-17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Runs'!$A$13:$A$99935,1,FALSE)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42903.031550925924</v>
      </c>
      <c r="B2" s="20" t="s">
        <v>448</v>
      </c>
      <c r="C2" s="20" t="s">
        <v>633</v>
      </c>
      <c r="D2" s="138">
        <v>2620000</v>
      </c>
      <c r="E2" s="20" t="s">
        <v>545</v>
      </c>
      <c r="F2" s="20" t="s">
        <v>546</v>
      </c>
      <c r="G2" s="8" t="str">
        <f>E2&amp;" "&amp;F2</f>
        <v>PERKINS DARREN</v>
      </c>
    </row>
    <row r="3" spans="1:7" x14ac:dyDescent="0.25">
      <c r="A3" s="8">
        <v>42903.035486111112</v>
      </c>
      <c r="B3" s="20" t="s">
        <v>467</v>
      </c>
      <c r="C3" s="20" t="s">
        <v>634</v>
      </c>
      <c r="D3" s="138">
        <v>3090000</v>
      </c>
      <c r="E3" s="20" t="s">
        <v>376</v>
      </c>
      <c r="F3" s="20" t="s">
        <v>377</v>
      </c>
      <c r="G3" s="8" t="str">
        <f t="shared" ref="G3:G66" si="0">E3&amp;" "&amp;F3</f>
        <v>LAMAR NEKESHA</v>
      </c>
    </row>
    <row r="4" spans="1:7" x14ac:dyDescent="0.25">
      <c r="A4" s="8">
        <v>42903.047812500001</v>
      </c>
      <c r="B4" s="20" t="s">
        <v>635</v>
      </c>
      <c r="C4" s="20" t="s">
        <v>636</v>
      </c>
      <c r="D4" s="138">
        <v>1540000</v>
      </c>
      <c r="E4" s="20" t="s">
        <v>473</v>
      </c>
      <c r="F4" s="20" t="s">
        <v>474</v>
      </c>
      <c r="G4" s="8" t="str">
        <f t="shared" si="0"/>
        <v>HELVIE ADAM</v>
      </c>
    </row>
    <row r="5" spans="1:7" x14ac:dyDescent="0.25">
      <c r="A5" s="8">
        <v>42903.049212962964</v>
      </c>
      <c r="B5" s="20" t="s">
        <v>340</v>
      </c>
      <c r="C5" s="20" t="s">
        <v>408</v>
      </c>
      <c r="D5" s="138">
        <v>3000000</v>
      </c>
      <c r="E5" s="20" t="s">
        <v>426</v>
      </c>
      <c r="F5" s="20" t="s">
        <v>427</v>
      </c>
      <c r="G5" s="8" t="str">
        <f t="shared" si="0"/>
        <v>FORTUNATO FRANK</v>
      </c>
    </row>
    <row r="6" spans="1:7" x14ac:dyDescent="0.25">
      <c r="A6" s="8">
        <v>42903.070509259262</v>
      </c>
      <c r="B6" s="20" t="s">
        <v>449</v>
      </c>
      <c r="C6" s="20" t="s">
        <v>407</v>
      </c>
      <c r="D6" s="138">
        <v>2620000</v>
      </c>
      <c r="E6" s="20" t="s">
        <v>545</v>
      </c>
      <c r="F6" s="20" t="s">
        <v>546</v>
      </c>
      <c r="G6" s="8" t="str">
        <f t="shared" si="0"/>
        <v>PERKINS DARREN</v>
      </c>
    </row>
    <row r="7" spans="1:7" x14ac:dyDescent="0.25">
      <c r="A7" s="8">
        <v>42903.076041666667</v>
      </c>
      <c r="B7" s="20" t="s">
        <v>637</v>
      </c>
      <c r="C7" s="20" t="s">
        <v>638</v>
      </c>
      <c r="D7" s="138">
        <v>3090000</v>
      </c>
      <c r="E7" s="20" t="s">
        <v>376</v>
      </c>
      <c r="F7" s="20" t="s">
        <v>377</v>
      </c>
      <c r="G7" s="8" t="str">
        <f t="shared" si="0"/>
        <v>LAMAR NEKESHA</v>
      </c>
    </row>
    <row r="8" spans="1:7" x14ac:dyDescent="0.25">
      <c r="A8" s="8">
        <v>42903.089837962965</v>
      </c>
      <c r="B8" s="20" t="s">
        <v>339</v>
      </c>
      <c r="C8" s="20" t="s">
        <v>409</v>
      </c>
      <c r="D8" s="138">
        <v>3000000</v>
      </c>
      <c r="E8" s="20" t="s">
        <v>426</v>
      </c>
      <c r="F8" s="20" t="s">
        <v>427</v>
      </c>
      <c r="G8" s="8" t="str">
        <f t="shared" si="0"/>
        <v>FORTUNATO FRANK</v>
      </c>
    </row>
    <row r="9" spans="1:7" ht="15.75" thickBot="1" x14ac:dyDescent="0.3">
      <c r="A9" s="24">
        <v>42903.110474537039</v>
      </c>
      <c r="B9" s="20" t="s">
        <v>467</v>
      </c>
      <c r="C9" s="20" t="s">
        <v>410</v>
      </c>
      <c r="D9" s="138">
        <v>3090000</v>
      </c>
      <c r="E9" s="20" t="s">
        <v>376</v>
      </c>
      <c r="F9" s="20" t="s">
        <v>377</v>
      </c>
      <c r="G9" s="8" t="str">
        <f t="shared" si="0"/>
        <v>LAMAR NEKESHA</v>
      </c>
    </row>
    <row r="10" spans="1:7" x14ac:dyDescent="0.25">
      <c r="A10" s="8">
        <v>42903.116006944445</v>
      </c>
      <c r="B10" s="20" t="s">
        <v>538</v>
      </c>
      <c r="C10" s="20" t="s">
        <v>639</v>
      </c>
      <c r="D10" s="138">
        <v>2010000</v>
      </c>
      <c r="E10" s="20" t="s">
        <v>640</v>
      </c>
      <c r="F10" s="20" t="s">
        <v>641</v>
      </c>
      <c r="G10" s="8" t="str">
        <f t="shared" si="0"/>
        <v>MAELZER KURT</v>
      </c>
    </row>
    <row r="11" spans="1:7" x14ac:dyDescent="0.25">
      <c r="A11" s="8">
        <v>42903.117175925923</v>
      </c>
      <c r="B11" s="20" t="s">
        <v>538</v>
      </c>
      <c r="C11" s="20" t="s">
        <v>639</v>
      </c>
      <c r="D11" s="138">
        <v>2010000</v>
      </c>
      <c r="E11" s="20" t="s">
        <v>640</v>
      </c>
      <c r="F11" s="20" t="s">
        <v>641</v>
      </c>
      <c r="G11" s="8" t="str">
        <f t="shared" si="0"/>
        <v>MAELZER KURT</v>
      </c>
    </row>
    <row r="12" spans="1:7" x14ac:dyDescent="0.25">
      <c r="A12" s="8">
        <v>42903.132418981484</v>
      </c>
      <c r="B12" s="20" t="s">
        <v>480</v>
      </c>
      <c r="C12" s="20" t="s">
        <v>642</v>
      </c>
      <c r="D12" s="138">
        <v>2010000</v>
      </c>
      <c r="E12" s="20" t="s">
        <v>640</v>
      </c>
      <c r="F12" s="20" t="s">
        <v>641</v>
      </c>
      <c r="G12" s="8" t="str">
        <f t="shared" si="0"/>
        <v>MAELZER KURT</v>
      </c>
    </row>
    <row r="13" spans="1:7" x14ac:dyDescent="0.25">
      <c r="A13" s="8">
        <v>42903.13689814815</v>
      </c>
      <c r="B13" s="20" t="s">
        <v>401</v>
      </c>
      <c r="C13" s="20" t="s">
        <v>643</v>
      </c>
      <c r="D13" s="138">
        <v>1240000</v>
      </c>
      <c r="E13" s="20" t="s">
        <v>644</v>
      </c>
      <c r="F13" s="20" t="s">
        <v>645</v>
      </c>
      <c r="G13" s="8" t="str">
        <f t="shared" si="0"/>
        <v>GRASTON MATHEU</v>
      </c>
    </row>
    <row r="14" spans="1:7" x14ac:dyDescent="0.25">
      <c r="A14" s="8">
        <v>42903.138483796298</v>
      </c>
      <c r="B14" s="20" t="s">
        <v>370</v>
      </c>
      <c r="C14" s="20" t="s">
        <v>646</v>
      </c>
      <c r="D14" s="138">
        <v>3040000</v>
      </c>
      <c r="E14" s="20" t="s">
        <v>383</v>
      </c>
      <c r="F14" s="20" t="s">
        <v>384</v>
      </c>
      <c r="G14" s="8" t="str">
        <f t="shared" si="0"/>
        <v>WILLIAMS DONTE</v>
      </c>
    </row>
    <row r="15" spans="1:7" x14ac:dyDescent="0.25">
      <c r="A15" s="8">
        <v>42903.140381944446</v>
      </c>
      <c r="B15" s="20" t="s">
        <v>538</v>
      </c>
      <c r="C15" s="20" t="s">
        <v>647</v>
      </c>
      <c r="D15" s="138">
        <v>1240000</v>
      </c>
      <c r="E15" s="20" t="s">
        <v>644</v>
      </c>
      <c r="F15" s="20" t="s">
        <v>645</v>
      </c>
      <c r="G15" s="8" t="str">
        <f t="shared" si="0"/>
        <v>GRASTON MATHEU</v>
      </c>
    </row>
    <row r="16" spans="1:7" x14ac:dyDescent="0.25">
      <c r="A16" s="8">
        <v>42903.15148148148</v>
      </c>
      <c r="B16" s="20" t="s">
        <v>373</v>
      </c>
      <c r="C16" s="20" t="s">
        <v>648</v>
      </c>
      <c r="D16" s="138">
        <v>3040000</v>
      </c>
      <c r="E16" s="20" t="s">
        <v>383</v>
      </c>
      <c r="F16" s="20" t="s">
        <v>384</v>
      </c>
      <c r="G16" s="8" t="str">
        <f t="shared" si="0"/>
        <v>WILLIAMS DONTE</v>
      </c>
    </row>
    <row r="17" spans="1:7" x14ac:dyDescent="0.25">
      <c r="A17" s="8">
        <v>42903.159131944441</v>
      </c>
      <c r="B17" s="20" t="s">
        <v>447</v>
      </c>
      <c r="C17" s="20" t="s">
        <v>649</v>
      </c>
      <c r="D17" s="138">
        <v>1990000</v>
      </c>
      <c r="E17" s="20" t="s">
        <v>415</v>
      </c>
      <c r="F17" s="20" t="s">
        <v>504</v>
      </c>
      <c r="G17" s="8" t="str">
        <f t="shared" si="0"/>
        <v>DAVIS WENDY</v>
      </c>
    </row>
    <row r="18" spans="1:7" x14ac:dyDescent="0.25">
      <c r="A18" s="8">
        <v>42903.16783564815</v>
      </c>
      <c r="B18" s="20" t="s">
        <v>482</v>
      </c>
      <c r="C18" s="20" t="s">
        <v>650</v>
      </c>
      <c r="D18" s="138">
        <v>1100000</v>
      </c>
      <c r="E18" s="20" t="s">
        <v>506</v>
      </c>
      <c r="F18" s="20" t="s">
        <v>507</v>
      </c>
      <c r="G18" s="8" t="str">
        <f t="shared" si="0"/>
        <v>GEBRETEKLE DAGNEW</v>
      </c>
    </row>
    <row r="19" spans="1:7" x14ac:dyDescent="0.25">
      <c r="A19" s="8">
        <v>42903.168113425927</v>
      </c>
      <c r="B19" s="20" t="s">
        <v>479</v>
      </c>
      <c r="C19" s="20" t="s">
        <v>651</v>
      </c>
      <c r="D19" s="138">
        <v>2010000</v>
      </c>
      <c r="E19" s="20" t="s">
        <v>640</v>
      </c>
      <c r="F19" s="20" t="s">
        <v>641</v>
      </c>
      <c r="G19" s="8" t="str">
        <f t="shared" si="0"/>
        <v>MAELZER KURT</v>
      </c>
    </row>
    <row r="20" spans="1:7" x14ac:dyDescent="0.25">
      <c r="A20" s="8">
        <v>42903.171435185184</v>
      </c>
      <c r="B20" s="20" t="s">
        <v>446</v>
      </c>
      <c r="C20" s="20" t="s">
        <v>652</v>
      </c>
      <c r="D20" s="138">
        <v>1990000</v>
      </c>
      <c r="E20" s="20" t="s">
        <v>415</v>
      </c>
      <c r="F20" s="20" t="s">
        <v>504</v>
      </c>
      <c r="G20" s="8" t="str">
        <f t="shared" si="0"/>
        <v>DAVIS WENDY</v>
      </c>
    </row>
    <row r="21" spans="1:7" x14ac:dyDescent="0.25">
      <c r="A21" s="8">
        <v>42903.180856481478</v>
      </c>
      <c r="B21" s="20" t="s">
        <v>503</v>
      </c>
      <c r="C21" s="20" t="s">
        <v>653</v>
      </c>
      <c r="D21" s="138">
        <v>2530000</v>
      </c>
      <c r="E21" s="20" t="s">
        <v>654</v>
      </c>
      <c r="F21" s="20" t="s">
        <v>655</v>
      </c>
      <c r="G21" s="8" t="str">
        <f t="shared" si="0"/>
        <v>LALONDE GREGORY</v>
      </c>
    </row>
    <row r="22" spans="1:7" x14ac:dyDescent="0.25">
      <c r="A22" s="26">
        <v>42903.182858796295</v>
      </c>
      <c r="B22" s="20" t="s">
        <v>481</v>
      </c>
      <c r="C22" s="20" t="s">
        <v>656</v>
      </c>
      <c r="D22" s="138">
        <v>1100000</v>
      </c>
      <c r="E22" s="20" t="s">
        <v>506</v>
      </c>
      <c r="F22" s="20" t="s">
        <v>507</v>
      </c>
      <c r="G22" s="8" t="str">
        <f t="shared" si="0"/>
        <v>GEBRETEKLE DAGNEW</v>
      </c>
    </row>
    <row r="23" spans="1:7" x14ac:dyDescent="0.25">
      <c r="A23" s="8">
        <v>42903.186643518522</v>
      </c>
      <c r="B23" s="20" t="s">
        <v>370</v>
      </c>
      <c r="C23" s="20" t="s">
        <v>657</v>
      </c>
      <c r="D23" s="138">
        <v>3040000</v>
      </c>
      <c r="E23" s="20" t="s">
        <v>383</v>
      </c>
      <c r="F23" s="20" t="s">
        <v>384</v>
      </c>
      <c r="G23" s="8" t="str">
        <f t="shared" si="0"/>
        <v>WILLIAMS DONTE</v>
      </c>
    </row>
    <row r="24" spans="1:7" x14ac:dyDescent="0.25">
      <c r="A24" s="8">
        <v>42903.196168981478</v>
      </c>
      <c r="B24" s="20" t="s">
        <v>505</v>
      </c>
      <c r="C24" s="20" t="s">
        <v>658</v>
      </c>
      <c r="D24" s="138">
        <v>2530000</v>
      </c>
      <c r="E24" s="20" t="s">
        <v>654</v>
      </c>
      <c r="F24" s="20" t="s">
        <v>655</v>
      </c>
      <c r="G24" s="8" t="str">
        <f t="shared" si="0"/>
        <v>LALONDE GREGORY</v>
      </c>
    </row>
    <row r="25" spans="1:7" x14ac:dyDescent="0.25">
      <c r="A25" s="8">
        <v>42903.197731481479</v>
      </c>
      <c r="B25" s="20" t="s">
        <v>422</v>
      </c>
      <c r="C25" s="20" t="s">
        <v>659</v>
      </c>
      <c r="D25" s="138">
        <v>2600000</v>
      </c>
      <c r="E25" s="20" t="s">
        <v>660</v>
      </c>
      <c r="F25" s="20" t="s">
        <v>661</v>
      </c>
      <c r="G25" s="8" t="str">
        <f t="shared" si="0"/>
        <v>DAVIDSON DAVID</v>
      </c>
    </row>
    <row r="26" spans="1:7" x14ac:dyDescent="0.25">
      <c r="A26" s="8">
        <v>42903.204583333332</v>
      </c>
      <c r="B26" s="20" t="s">
        <v>480</v>
      </c>
      <c r="C26" s="20" t="s">
        <v>662</v>
      </c>
      <c r="D26" s="138">
        <v>2010000</v>
      </c>
      <c r="E26" s="20" t="s">
        <v>640</v>
      </c>
      <c r="F26" s="20" t="s">
        <v>641</v>
      </c>
      <c r="G26" s="8" t="str">
        <f t="shared" si="0"/>
        <v>MAELZER KURT</v>
      </c>
    </row>
    <row r="27" spans="1:7" x14ac:dyDescent="0.25">
      <c r="A27" s="8">
        <v>42903.209502314814</v>
      </c>
      <c r="B27" s="20" t="s">
        <v>424</v>
      </c>
      <c r="C27" s="20" t="s">
        <v>663</v>
      </c>
      <c r="D27" s="138">
        <v>2600000</v>
      </c>
      <c r="E27" s="20" t="s">
        <v>660</v>
      </c>
      <c r="F27" s="20" t="s">
        <v>661</v>
      </c>
      <c r="G27" s="8" t="str">
        <f t="shared" si="0"/>
        <v>DAVIDSON DAVID</v>
      </c>
    </row>
    <row r="28" spans="1:7" x14ac:dyDescent="0.25">
      <c r="A28" s="8">
        <v>42903.213912037034</v>
      </c>
      <c r="B28" s="20" t="s">
        <v>482</v>
      </c>
      <c r="C28" s="20" t="s">
        <v>664</v>
      </c>
      <c r="D28" s="138">
        <v>1100000</v>
      </c>
      <c r="E28" s="20" t="s">
        <v>506</v>
      </c>
      <c r="F28" s="20" t="s">
        <v>507</v>
      </c>
      <c r="G28" s="8" t="str">
        <f t="shared" si="0"/>
        <v>GEBRETEKLE DAGNEW</v>
      </c>
    </row>
    <row r="29" spans="1:7" x14ac:dyDescent="0.25">
      <c r="A29" s="8">
        <v>42903.214363425926</v>
      </c>
      <c r="B29" s="20" t="s">
        <v>447</v>
      </c>
      <c r="C29" s="20" t="s">
        <v>665</v>
      </c>
      <c r="D29" s="138">
        <v>1990000</v>
      </c>
      <c r="E29" s="20" t="s">
        <v>415</v>
      </c>
      <c r="F29" s="20" t="s">
        <v>504</v>
      </c>
      <c r="G29" s="8" t="str">
        <f t="shared" si="0"/>
        <v>DAVIS WENDY</v>
      </c>
    </row>
    <row r="30" spans="1:7" x14ac:dyDescent="0.25">
      <c r="A30" s="8">
        <v>42903.217615740738</v>
      </c>
      <c r="B30" s="20" t="s">
        <v>369</v>
      </c>
      <c r="C30" s="20" t="s">
        <v>666</v>
      </c>
      <c r="D30" s="138">
        <v>2970000</v>
      </c>
      <c r="E30" s="20" t="s">
        <v>380</v>
      </c>
      <c r="F30" s="20" t="s">
        <v>381</v>
      </c>
      <c r="G30" s="8" t="str">
        <f t="shared" si="0"/>
        <v>GUZMAN DANNY</v>
      </c>
    </row>
    <row r="31" spans="1:7" x14ac:dyDescent="0.25">
      <c r="A31" s="8">
        <v>42903.22388888889</v>
      </c>
      <c r="B31" s="20" t="s">
        <v>399</v>
      </c>
      <c r="C31" s="20" t="s">
        <v>667</v>
      </c>
      <c r="D31" s="138">
        <v>1830000</v>
      </c>
      <c r="E31" s="20" t="s">
        <v>543</v>
      </c>
      <c r="F31" s="20" t="s">
        <v>544</v>
      </c>
      <c r="G31" s="8" t="str">
        <f t="shared" si="0"/>
        <v>YORK EDGAR</v>
      </c>
    </row>
    <row r="32" spans="1:7" x14ac:dyDescent="0.25">
      <c r="A32" s="8">
        <v>42903.225335648145</v>
      </c>
      <c r="B32" s="20" t="s">
        <v>503</v>
      </c>
      <c r="C32" s="20" t="s">
        <v>668</v>
      </c>
      <c r="D32" s="138">
        <v>2530000</v>
      </c>
      <c r="E32" s="20" t="s">
        <v>654</v>
      </c>
      <c r="F32" s="20" t="s">
        <v>655</v>
      </c>
      <c r="G32" s="8" t="str">
        <f t="shared" si="0"/>
        <v>LALONDE GREGORY</v>
      </c>
    </row>
    <row r="33" spans="1:7" x14ac:dyDescent="0.25">
      <c r="A33" s="8">
        <v>42903.227395833332</v>
      </c>
      <c r="B33" s="20" t="s">
        <v>373</v>
      </c>
      <c r="C33" s="20" t="s">
        <v>669</v>
      </c>
      <c r="D33" s="138">
        <v>3040000</v>
      </c>
      <c r="E33" s="20" t="s">
        <v>383</v>
      </c>
      <c r="F33" s="20" t="s">
        <v>384</v>
      </c>
      <c r="G33" s="8" t="str">
        <f t="shared" si="0"/>
        <v>WILLIAMS DONTE</v>
      </c>
    </row>
    <row r="34" spans="1:7" x14ac:dyDescent="0.25">
      <c r="A34" s="8">
        <v>42903.231562499997</v>
      </c>
      <c r="B34" s="20" t="s">
        <v>375</v>
      </c>
      <c r="C34" s="20" t="s">
        <v>670</v>
      </c>
      <c r="D34" s="138">
        <v>2970000</v>
      </c>
      <c r="E34" s="20" t="s">
        <v>380</v>
      </c>
      <c r="F34" s="20" t="s">
        <v>381</v>
      </c>
      <c r="G34" s="8" t="str">
        <f t="shared" si="0"/>
        <v>GUZMAN DANNY</v>
      </c>
    </row>
    <row r="35" spans="1:7" x14ac:dyDescent="0.25">
      <c r="A35" s="8">
        <v>42903.233576388891</v>
      </c>
      <c r="B35" s="20" t="s">
        <v>398</v>
      </c>
      <c r="C35" s="20" t="s">
        <v>604</v>
      </c>
      <c r="D35" s="138">
        <v>1830000</v>
      </c>
      <c r="E35" s="20" t="s">
        <v>543</v>
      </c>
      <c r="F35" s="20" t="s">
        <v>544</v>
      </c>
      <c r="G35" s="8" t="str">
        <f t="shared" si="0"/>
        <v>YORK EDGAR</v>
      </c>
    </row>
    <row r="36" spans="1:7" x14ac:dyDescent="0.25">
      <c r="A36" s="8">
        <v>42903.235578703701</v>
      </c>
      <c r="B36" s="20" t="s">
        <v>375</v>
      </c>
      <c r="C36" s="20" t="s">
        <v>670</v>
      </c>
      <c r="D36" s="138">
        <v>1800000</v>
      </c>
      <c r="E36" s="20" t="s">
        <v>378</v>
      </c>
      <c r="F36" s="20" t="s">
        <v>379</v>
      </c>
      <c r="G36" s="8" t="str">
        <f t="shared" si="0"/>
        <v>CHANDLER KELVIN</v>
      </c>
    </row>
    <row r="37" spans="1:7" x14ac:dyDescent="0.25">
      <c r="A37" s="8">
        <v>42903.242986111109</v>
      </c>
      <c r="B37" s="20" t="s">
        <v>479</v>
      </c>
      <c r="C37" s="20" t="s">
        <v>671</v>
      </c>
      <c r="D37" s="138">
        <v>2010000</v>
      </c>
      <c r="E37" s="20" t="s">
        <v>640</v>
      </c>
      <c r="F37" s="20" t="s">
        <v>641</v>
      </c>
      <c r="G37" s="8" t="str">
        <f t="shared" si="0"/>
        <v>MAELZER KURT</v>
      </c>
    </row>
    <row r="38" spans="1:7" x14ac:dyDescent="0.25">
      <c r="A38" s="8">
        <v>42903.245578703703</v>
      </c>
      <c r="B38" s="20" t="s">
        <v>446</v>
      </c>
      <c r="C38" s="20" t="s">
        <v>672</v>
      </c>
      <c r="D38" s="138">
        <v>1990000</v>
      </c>
      <c r="E38" s="20" t="s">
        <v>415</v>
      </c>
      <c r="F38" s="20" t="s">
        <v>504</v>
      </c>
      <c r="G38" s="8" t="str">
        <f t="shared" si="0"/>
        <v>DAVIS WENDY</v>
      </c>
    </row>
    <row r="39" spans="1:7" x14ac:dyDescent="0.25">
      <c r="A39" s="8">
        <v>42903.248078703706</v>
      </c>
      <c r="B39" s="20" t="s">
        <v>422</v>
      </c>
      <c r="C39" s="20" t="s">
        <v>673</v>
      </c>
      <c r="D39" s="138">
        <v>2600000</v>
      </c>
      <c r="E39" s="20" t="s">
        <v>660</v>
      </c>
      <c r="F39" s="20" t="s">
        <v>661</v>
      </c>
      <c r="G39" s="8" t="str">
        <f t="shared" si="0"/>
        <v>DAVIDSON DAVID</v>
      </c>
    </row>
    <row r="40" spans="1:7" x14ac:dyDescent="0.25">
      <c r="A40" s="8">
        <v>42903.249814814815</v>
      </c>
      <c r="B40" s="25" t="s">
        <v>399</v>
      </c>
      <c r="C40" s="20" t="s">
        <v>606</v>
      </c>
      <c r="D40" s="138">
        <v>1830000</v>
      </c>
      <c r="E40" s="20" t="s">
        <v>543</v>
      </c>
      <c r="F40" s="20" t="s">
        <v>544</v>
      </c>
      <c r="G40" s="8" t="str">
        <f t="shared" si="0"/>
        <v>YORK EDGAR</v>
      </c>
    </row>
    <row r="41" spans="1:7" x14ac:dyDescent="0.25">
      <c r="A41" s="8">
        <v>42903.25582175926</v>
      </c>
      <c r="B41" s="20" t="s">
        <v>481</v>
      </c>
      <c r="C41" s="20" t="s">
        <v>605</v>
      </c>
      <c r="D41" s="138">
        <v>1100000</v>
      </c>
      <c r="E41" s="20" t="s">
        <v>506</v>
      </c>
      <c r="F41" s="20" t="s">
        <v>507</v>
      </c>
      <c r="G41" s="8" t="str">
        <f t="shared" si="0"/>
        <v>GEBRETEKLE DAGNEW</v>
      </c>
    </row>
    <row r="42" spans="1:7" x14ac:dyDescent="0.25">
      <c r="A42" s="8">
        <v>42903.258634259262</v>
      </c>
      <c r="B42" s="20" t="s">
        <v>370</v>
      </c>
      <c r="C42" s="20" t="s">
        <v>674</v>
      </c>
      <c r="D42" s="138">
        <v>3040000</v>
      </c>
      <c r="E42" s="20" t="s">
        <v>383</v>
      </c>
      <c r="F42" s="20" t="s">
        <v>384</v>
      </c>
      <c r="G42" s="8" t="str">
        <f t="shared" si="0"/>
        <v>WILLIAMS DONTE</v>
      </c>
    </row>
    <row r="43" spans="1:7" x14ac:dyDescent="0.25">
      <c r="A43" s="8">
        <v>42903.265439814815</v>
      </c>
      <c r="B43" s="20" t="s">
        <v>505</v>
      </c>
      <c r="C43" s="20" t="s">
        <v>675</v>
      </c>
      <c r="D43" s="138">
        <v>2530000</v>
      </c>
      <c r="E43" s="20" t="s">
        <v>654</v>
      </c>
      <c r="F43" s="20" t="s">
        <v>655</v>
      </c>
      <c r="G43" s="8" t="str">
        <f t="shared" si="0"/>
        <v>LALONDE GREGORY</v>
      </c>
    </row>
    <row r="44" spans="1:7" x14ac:dyDescent="0.25">
      <c r="A44" s="8">
        <v>42903.275300925925</v>
      </c>
      <c r="B44" s="20" t="s">
        <v>398</v>
      </c>
      <c r="C44" s="20" t="s">
        <v>676</v>
      </c>
      <c r="D44" s="138">
        <v>1830000</v>
      </c>
      <c r="E44" s="20" t="s">
        <v>543</v>
      </c>
      <c r="F44" s="20" t="s">
        <v>544</v>
      </c>
      <c r="G44" s="8" t="str">
        <f t="shared" si="0"/>
        <v>YORK EDGAR</v>
      </c>
    </row>
    <row r="45" spans="1:7" x14ac:dyDescent="0.25">
      <c r="A45" s="8">
        <v>42903.277256944442</v>
      </c>
      <c r="B45" s="20" t="s">
        <v>369</v>
      </c>
      <c r="C45" s="20" t="s">
        <v>607</v>
      </c>
      <c r="D45" s="138">
        <v>1800000</v>
      </c>
      <c r="E45" s="20" t="s">
        <v>378</v>
      </c>
      <c r="F45" s="20" t="s">
        <v>379</v>
      </c>
      <c r="G45" s="8" t="str">
        <f t="shared" si="0"/>
        <v>CHANDLER KELVIN</v>
      </c>
    </row>
    <row r="46" spans="1:7" x14ac:dyDescent="0.25">
      <c r="A46" s="8">
        <v>42903.279664351852</v>
      </c>
      <c r="B46" s="20" t="s">
        <v>480</v>
      </c>
      <c r="C46" s="20" t="s">
        <v>677</v>
      </c>
      <c r="D46" s="138">
        <v>2010000</v>
      </c>
      <c r="E46" s="20" t="s">
        <v>640</v>
      </c>
      <c r="F46" s="20" t="s">
        <v>641</v>
      </c>
      <c r="G46" s="8" t="str">
        <f t="shared" si="0"/>
        <v>MAELZER KURT</v>
      </c>
    </row>
    <row r="47" spans="1:7" x14ac:dyDescent="0.25">
      <c r="A47" s="8">
        <v>42903.286909722221</v>
      </c>
      <c r="B47" s="20" t="s">
        <v>447</v>
      </c>
      <c r="C47" s="20" t="s">
        <v>678</v>
      </c>
      <c r="D47" s="138">
        <v>1990000</v>
      </c>
      <c r="E47" s="20" t="s">
        <v>415</v>
      </c>
      <c r="F47" s="20" t="s">
        <v>504</v>
      </c>
      <c r="G47" s="8" t="str">
        <f t="shared" si="0"/>
        <v>DAVIS WENDY</v>
      </c>
    </row>
    <row r="48" spans="1:7" x14ac:dyDescent="0.25">
      <c r="A48" s="8">
        <v>42903.287349537037</v>
      </c>
      <c r="B48" s="20" t="s">
        <v>424</v>
      </c>
      <c r="C48" s="20" t="s">
        <v>679</v>
      </c>
      <c r="D48" s="138">
        <v>2600000</v>
      </c>
      <c r="E48" s="20" t="s">
        <v>660</v>
      </c>
      <c r="F48" s="20" t="s">
        <v>661</v>
      </c>
      <c r="G48" s="8" t="str">
        <f t="shared" si="0"/>
        <v>DAVIDSON DAVID</v>
      </c>
    </row>
    <row r="49" spans="1:7" x14ac:dyDescent="0.25">
      <c r="A49" s="8">
        <v>42903.287777777776</v>
      </c>
      <c r="B49" s="20" t="s">
        <v>482</v>
      </c>
      <c r="C49" s="20" t="s">
        <v>680</v>
      </c>
      <c r="D49" s="138">
        <v>1100000</v>
      </c>
      <c r="E49" s="20" t="s">
        <v>506</v>
      </c>
      <c r="F49" s="20" t="s">
        <v>507</v>
      </c>
      <c r="G49" s="8" t="str">
        <f t="shared" si="0"/>
        <v>GEBRETEKLE DAGNEW</v>
      </c>
    </row>
    <row r="50" spans="1:7" x14ac:dyDescent="0.25">
      <c r="A50" s="8">
        <v>42903.288854166669</v>
      </c>
      <c r="B50" s="20" t="s">
        <v>399</v>
      </c>
      <c r="C50" s="20" t="s">
        <v>681</v>
      </c>
      <c r="D50" s="138">
        <v>1830000</v>
      </c>
      <c r="E50" s="20" t="s">
        <v>543</v>
      </c>
      <c r="F50" s="20" t="s">
        <v>544</v>
      </c>
      <c r="G50" s="8" t="str">
        <f t="shared" si="0"/>
        <v>YORK EDGAR</v>
      </c>
    </row>
    <row r="51" spans="1:7" x14ac:dyDescent="0.25">
      <c r="A51" s="8">
        <v>42903.297002314815</v>
      </c>
      <c r="B51" s="20" t="s">
        <v>503</v>
      </c>
      <c r="C51" s="20" t="s">
        <v>682</v>
      </c>
      <c r="D51" s="138">
        <v>2530000</v>
      </c>
      <c r="E51" s="20" t="s">
        <v>654</v>
      </c>
      <c r="F51" s="20" t="s">
        <v>655</v>
      </c>
      <c r="G51" s="8" t="str">
        <f t="shared" si="0"/>
        <v>LALONDE GREGORY</v>
      </c>
    </row>
    <row r="52" spans="1:7" x14ac:dyDescent="0.25">
      <c r="A52" s="8">
        <v>42903.299201388887</v>
      </c>
      <c r="B52" s="20" t="s">
        <v>373</v>
      </c>
      <c r="C52" s="20" t="s">
        <v>683</v>
      </c>
      <c r="D52" s="138">
        <v>3040000</v>
      </c>
      <c r="E52" s="20" t="s">
        <v>383</v>
      </c>
      <c r="F52" s="20" t="s">
        <v>384</v>
      </c>
      <c r="G52" s="8" t="str">
        <f t="shared" si="0"/>
        <v>WILLIAMS DONTE</v>
      </c>
    </row>
    <row r="53" spans="1:7" x14ac:dyDescent="0.25">
      <c r="A53" s="8">
        <v>42903.309479166666</v>
      </c>
      <c r="B53" s="20" t="s">
        <v>375</v>
      </c>
      <c r="C53" s="20" t="s">
        <v>684</v>
      </c>
      <c r="D53" s="138">
        <v>2970000</v>
      </c>
      <c r="E53" s="20" t="s">
        <v>380</v>
      </c>
      <c r="F53" s="20" t="s">
        <v>381</v>
      </c>
      <c r="G53" s="8" t="str">
        <f t="shared" si="0"/>
        <v>GUZMAN DANNY</v>
      </c>
    </row>
    <row r="54" spans="1:7" x14ac:dyDescent="0.25">
      <c r="A54" s="8">
        <v>42903.314675925925</v>
      </c>
      <c r="B54" s="20" t="s">
        <v>479</v>
      </c>
      <c r="C54" s="20" t="s">
        <v>685</v>
      </c>
      <c r="D54" s="138">
        <v>2010000</v>
      </c>
      <c r="E54" s="20" t="s">
        <v>640</v>
      </c>
      <c r="F54" s="20" t="s">
        <v>641</v>
      </c>
      <c r="G54" s="8" t="str">
        <f t="shared" si="0"/>
        <v>MAELZER KURT</v>
      </c>
    </row>
    <row r="55" spans="1:7" x14ac:dyDescent="0.25">
      <c r="A55" s="8">
        <v>42903.316319444442</v>
      </c>
      <c r="B55" s="20" t="s">
        <v>398</v>
      </c>
      <c r="C55" s="20" t="s">
        <v>686</v>
      </c>
      <c r="D55" s="138">
        <v>1830000</v>
      </c>
      <c r="E55" s="20" t="s">
        <v>543</v>
      </c>
      <c r="F55" s="20" t="s">
        <v>544</v>
      </c>
      <c r="G55" s="8" t="str">
        <f t="shared" si="0"/>
        <v>YORK EDGAR</v>
      </c>
    </row>
    <row r="56" spans="1:7" x14ac:dyDescent="0.25">
      <c r="A56" s="8">
        <v>42903.318854166668</v>
      </c>
      <c r="B56" s="20" t="s">
        <v>446</v>
      </c>
      <c r="C56" s="20" t="s">
        <v>687</v>
      </c>
      <c r="D56" s="138">
        <v>1990000</v>
      </c>
      <c r="E56" s="20" t="s">
        <v>415</v>
      </c>
      <c r="F56" s="20" t="s">
        <v>504</v>
      </c>
      <c r="G56" s="8" t="str">
        <f t="shared" si="0"/>
        <v>DAVIS WENDY</v>
      </c>
    </row>
    <row r="57" spans="1:7" x14ac:dyDescent="0.25">
      <c r="A57" s="8">
        <v>42903.319803240738</v>
      </c>
      <c r="B57" s="20" t="s">
        <v>422</v>
      </c>
      <c r="C57" s="20" t="s">
        <v>688</v>
      </c>
      <c r="D57" s="138">
        <v>2600000</v>
      </c>
      <c r="E57" s="20" t="s">
        <v>660</v>
      </c>
      <c r="F57" s="20" t="s">
        <v>661</v>
      </c>
      <c r="G57" s="8" t="str">
        <f t="shared" si="0"/>
        <v>DAVIDSON DAVID</v>
      </c>
    </row>
    <row r="58" spans="1:7" x14ac:dyDescent="0.25">
      <c r="A58" s="8">
        <v>42903.328842592593</v>
      </c>
      <c r="B58" s="20" t="s">
        <v>481</v>
      </c>
      <c r="C58" s="20" t="s">
        <v>689</v>
      </c>
      <c r="D58" s="138">
        <v>1100000</v>
      </c>
      <c r="E58" s="20" t="s">
        <v>506</v>
      </c>
      <c r="F58" s="20" t="s">
        <v>507</v>
      </c>
      <c r="G58" s="8" t="str">
        <f t="shared" si="0"/>
        <v>GEBRETEKLE DAGNEW</v>
      </c>
    </row>
    <row r="59" spans="1:7" x14ac:dyDescent="0.25">
      <c r="A59" s="8">
        <v>42903.330729166664</v>
      </c>
      <c r="B59" s="20" t="s">
        <v>399</v>
      </c>
      <c r="C59" s="20" t="s">
        <v>690</v>
      </c>
      <c r="D59" s="138">
        <v>1830000</v>
      </c>
      <c r="E59" s="20" t="s">
        <v>543</v>
      </c>
      <c r="F59" s="20" t="s">
        <v>544</v>
      </c>
      <c r="G59" s="8" t="str">
        <f t="shared" si="0"/>
        <v>YORK EDGAR</v>
      </c>
    </row>
    <row r="60" spans="1:7" x14ac:dyDescent="0.25">
      <c r="A60" s="8">
        <v>42903.332928240743</v>
      </c>
      <c r="B60" s="20" t="s">
        <v>370</v>
      </c>
      <c r="C60" s="20" t="s">
        <v>691</v>
      </c>
      <c r="D60" s="138">
        <v>3040000</v>
      </c>
      <c r="E60" s="20" t="s">
        <v>383</v>
      </c>
      <c r="F60" s="20" t="s">
        <v>384</v>
      </c>
      <c r="G60" s="8" t="str">
        <f t="shared" si="0"/>
        <v>WILLIAMS DONTE</v>
      </c>
    </row>
    <row r="61" spans="1:7" x14ac:dyDescent="0.25">
      <c r="A61" s="8">
        <v>42903.338379629633</v>
      </c>
      <c r="B61" s="20" t="s">
        <v>505</v>
      </c>
      <c r="C61" s="20" t="s">
        <v>692</v>
      </c>
      <c r="D61" s="138">
        <v>2530000</v>
      </c>
      <c r="E61" s="20" t="s">
        <v>654</v>
      </c>
      <c r="F61" s="20" t="s">
        <v>655</v>
      </c>
      <c r="G61" s="8" t="str">
        <f t="shared" si="0"/>
        <v>LALONDE GREGORY</v>
      </c>
    </row>
    <row r="62" spans="1:7" x14ac:dyDescent="0.25">
      <c r="A62" s="8">
        <v>42903.340810185182</v>
      </c>
      <c r="B62" s="20" t="s">
        <v>369</v>
      </c>
      <c r="C62" s="20" t="s">
        <v>693</v>
      </c>
      <c r="D62" s="138">
        <v>2970000</v>
      </c>
      <c r="E62" s="20" t="s">
        <v>380</v>
      </c>
      <c r="F62" s="20" t="s">
        <v>381</v>
      </c>
      <c r="G62" s="8" t="str">
        <f t="shared" si="0"/>
        <v>GUZMAN DANNY</v>
      </c>
    </row>
    <row r="63" spans="1:7" x14ac:dyDescent="0.25">
      <c r="A63" s="8">
        <v>42903.351631944446</v>
      </c>
      <c r="B63" s="20" t="s">
        <v>480</v>
      </c>
      <c r="C63" s="20" t="s">
        <v>694</v>
      </c>
      <c r="D63" s="138">
        <v>2010000</v>
      </c>
      <c r="E63" s="20" t="s">
        <v>640</v>
      </c>
      <c r="F63" s="20" t="s">
        <v>641</v>
      </c>
      <c r="G63" s="8" t="str">
        <f t="shared" si="0"/>
        <v>MAELZER KURT</v>
      </c>
    </row>
    <row r="64" spans="1:7" x14ac:dyDescent="0.25">
      <c r="A64" s="26">
        <v>42903.358402777776</v>
      </c>
      <c r="B64" s="20" t="s">
        <v>398</v>
      </c>
      <c r="C64" s="20" t="s">
        <v>695</v>
      </c>
      <c r="D64" s="138">
        <v>1830000</v>
      </c>
      <c r="E64" s="20" t="s">
        <v>543</v>
      </c>
      <c r="F64" s="20" t="s">
        <v>544</v>
      </c>
      <c r="G64" s="8" t="str">
        <f t="shared" si="0"/>
        <v>YORK EDGAR</v>
      </c>
    </row>
    <row r="65" spans="1:7" x14ac:dyDescent="0.25">
      <c r="A65" s="8">
        <v>42903.359386574077</v>
      </c>
      <c r="B65" s="20" t="s">
        <v>482</v>
      </c>
      <c r="C65" s="20" t="s">
        <v>696</v>
      </c>
      <c r="D65" s="138">
        <v>1100000</v>
      </c>
      <c r="E65" s="20" t="s">
        <v>506</v>
      </c>
      <c r="F65" s="20" t="s">
        <v>507</v>
      </c>
      <c r="G65" s="8" t="str">
        <f t="shared" si="0"/>
        <v>GEBRETEKLE DAGNEW</v>
      </c>
    </row>
    <row r="66" spans="1:7" x14ac:dyDescent="0.25">
      <c r="A66" s="8">
        <v>42903.360115740739</v>
      </c>
      <c r="B66" s="20" t="s">
        <v>447</v>
      </c>
      <c r="C66" s="20" t="s">
        <v>608</v>
      </c>
      <c r="D66" s="138">
        <v>1990000</v>
      </c>
      <c r="E66" s="20" t="s">
        <v>415</v>
      </c>
      <c r="F66" s="20" t="s">
        <v>504</v>
      </c>
      <c r="G66" s="8" t="str">
        <f t="shared" si="0"/>
        <v>DAVIS WENDY</v>
      </c>
    </row>
    <row r="67" spans="1:7" x14ac:dyDescent="0.25">
      <c r="A67" s="8">
        <v>42903.361122685186</v>
      </c>
      <c r="B67" s="20" t="s">
        <v>424</v>
      </c>
      <c r="C67" s="20" t="s">
        <v>697</v>
      </c>
      <c r="D67" s="138">
        <v>2600000</v>
      </c>
      <c r="E67" s="20" t="s">
        <v>660</v>
      </c>
      <c r="F67" s="20" t="s">
        <v>661</v>
      </c>
      <c r="G67" s="8" t="str">
        <f t="shared" ref="G67:G130" si="1">E67&amp;" "&amp;F67</f>
        <v>DAVIDSON DAVID</v>
      </c>
    </row>
    <row r="68" spans="1:7" x14ac:dyDescent="0.25">
      <c r="A68" s="8">
        <v>42903.37023148148</v>
      </c>
      <c r="B68" s="20" t="s">
        <v>503</v>
      </c>
      <c r="C68" s="20" t="s">
        <v>698</v>
      </c>
      <c r="D68" s="138">
        <v>2530000</v>
      </c>
      <c r="E68" s="20" t="s">
        <v>654</v>
      </c>
      <c r="F68" s="20" t="s">
        <v>655</v>
      </c>
      <c r="G68" s="8" t="str">
        <f t="shared" si="1"/>
        <v>LALONDE GREGORY</v>
      </c>
    </row>
    <row r="69" spans="1:7" x14ac:dyDescent="0.25">
      <c r="A69" s="8">
        <v>42903.372141203705</v>
      </c>
      <c r="B69" s="20" t="s">
        <v>373</v>
      </c>
      <c r="C69" s="20" t="s">
        <v>699</v>
      </c>
      <c r="D69" s="138">
        <v>3040000</v>
      </c>
      <c r="E69" s="20" t="s">
        <v>383</v>
      </c>
      <c r="F69" s="20" t="s">
        <v>384</v>
      </c>
      <c r="G69" s="8" t="str">
        <f t="shared" si="1"/>
        <v>WILLIAMS DONTE</v>
      </c>
    </row>
    <row r="70" spans="1:7" x14ac:dyDescent="0.25">
      <c r="A70" s="8">
        <v>42903.37228009259</v>
      </c>
      <c r="B70" s="20" t="s">
        <v>399</v>
      </c>
      <c r="C70" s="20" t="s">
        <v>700</v>
      </c>
      <c r="D70" s="138">
        <v>1830000</v>
      </c>
      <c r="E70" s="20" t="s">
        <v>543</v>
      </c>
      <c r="F70" s="20" t="s">
        <v>544</v>
      </c>
      <c r="G70" s="8" t="str">
        <f t="shared" si="1"/>
        <v>YORK EDGAR</v>
      </c>
    </row>
    <row r="71" spans="1:7" x14ac:dyDescent="0.25">
      <c r="A71" s="8">
        <v>42903.381458333337</v>
      </c>
      <c r="B71" s="20" t="s">
        <v>375</v>
      </c>
      <c r="C71" s="20" t="s">
        <v>701</v>
      </c>
      <c r="D71" s="138">
        <v>2970000</v>
      </c>
      <c r="E71" s="20" t="s">
        <v>380</v>
      </c>
      <c r="F71" s="20" t="s">
        <v>381</v>
      </c>
      <c r="G71" s="8" t="str">
        <f t="shared" si="1"/>
        <v>GUZMAN DANNY</v>
      </c>
    </row>
    <row r="72" spans="1:7" x14ac:dyDescent="0.25">
      <c r="A72" s="8">
        <v>42903.385312500002</v>
      </c>
      <c r="B72" s="20" t="s">
        <v>479</v>
      </c>
      <c r="C72" s="20" t="s">
        <v>609</v>
      </c>
      <c r="D72" s="138">
        <v>2010000</v>
      </c>
      <c r="E72" s="20" t="s">
        <v>640</v>
      </c>
      <c r="F72" s="20" t="s">
        <v>641</v>
      </c>
      <c r="G72" s="8" t="str">
        <f t="shared" si="1"/>
        <v>MAELZER KURT</v>
      </c>
    </row>
    <row r="73" spans="1:7" x14ac:dyDescent="0.25">
      <c r="A73" s="8">
        <v>42903.392465277779</v>
      </c>
      <c r="B73" s="20" t="s">
        <v>446</v>
      </c>
      <c r="C73" s="20" t="s">
        <v>702</v>
      </c>
      <c r="D73" s="138">
        <v>1990000</v>
      </c>
      <c r="E73" s="20" t="s">
        <v>415</v>
      </c>
      <c r="F73" s="20" t="s">
        <v>504</v>
      </c>
      <c r="G73" s="8" t="str">
        <f t="shared" si="1"/>
        <v>DAVIS WENDY</v>
      </c>
    </row>
    <row r="74" spans="1:7" x14ac:dyDescent="0.25">
      <c r="A74" s="8">
        <v>42903.399583333332</v>
      </c>
      <c r="B74" s="20" t="s">
        <v>398</v>
      </c>
      <c r="C74" s="20" t="s">
        <v>703</v>
      </c>
      <c r="D74" s="138">
        <v>1830000</v>
      </c>
      <c r="E74" s="20" t="s">
        <v>543</v>
      </c>
      <c r="F74" s="20" t="s">
        <v>544</v>
      </c>
      <c r="G74" s="8" t="str">
        <f t="shared" si="1"/>
        <v>YORK EDGAR</v>
      </c>
    </row>
    <row r="75" spans="1:7" x14ac:dyDescent="0.25">
      <c r="A75" s="8">
        <v>42903.400405092594</v>
      </c>
      <c r="B75" s="20" t="s">
        <v>422</v>
      </c>
      <c r="C75" s="20" t="s">
        <v>704</v>
      </c>
      <c r="D75" s="138">
        <v>2600000</v>
      </c>
      <c r="E75" s="20" t="s">
        <v>660</v>
      </c>
      <c r="F75" s="20" t="s">
        <v>661</v>
      </c>
      <c r="G75" s="8" t="str">
        <f t="shared" si="1"/>
        <v>DAVIDSON DAVID</v>
      </c>
    </row>
    <row r="76" spans="1:7" x14ac:dyDescent="0.25">
      <c r="A76" s="8">
        <v>42903.402314814812</v>
      </c>
      <c r="B76" s="20" t="s">
        <v>481</v>
      </c>
      <c r="C76" s="20" t="s">
        <v>705</v>
      </c>
      <c r="D76" s="138">
        <v>1100000</v>
      </c>
      <c r="E76" s="20" t="s">
        <v>506</v>
      </c>
      <c r="F76" s="20" t="s">
        <v>507</v>
      </c>
      <c r="G76" s="8" t="str">
        <f t="shared" si="1"/>
        <v>GEBRETEKLE DAGNEW</v>
      </c>
    </row>
    <row r="77" spans="1:7" x14ac:dyDescent="0.25">
      <c r="A77" s="8">
        <v>42903.403877314813</v>
      </c>
      <c r="B77" s="20" t="s">
        <v>370</v>
      </c>
      <c r="C77" s="20" t="s">
        <v>706</v>
      </c>
      <c r="D77" s="138">
        <v>3040000</v>
      </c>
      <c r="E77" s="20" t="s">
        <v>383</v>
      </c>
      <c r="F77" s="20" t="s">
        <v>384</v>
      </c>
      <c r="G77" s="8" t="str">
        <f t="shared" si="1"/>
        <v>WILLIAMS DONTE</v>
      </c>
    </row>
    <row r="78" spans="1:7" x14ac:dyDescent="0.25">
      <c r="A78" s="8">
        <v>42903.411261574074</v>
      </c>
      <c r="B78" s="20" t="s">
        <v>505</v>
      </c>
      <c r="C78" s="20" t="s">
        <v>707</v>
      </c>
      <c r="D78" s="138">
        <v>2530000</v>
      </c>
      <c r="E78" s="20" t="s">
        <v>654</v>
      </c>
      <c r="F78" s="20" t="s">
        <v>655</v>
      </c>
      <c r="G78" s="8" t="str">
        <f t="shared" si="1"/>
        <v>LALONDE GREGORY</v>
      </c>
    </row>
    <row r="79" spans="1:7" x14ac:dyDescent="0.25">
      <c r="A79" s="8">
        <v>42903.413946759261</v>
      </c>
      <c r="B79" s="20" t="s">
        <v>399</v>
      </c>
      <c r="C79" s="20" t="s">
        <v>708</v>
      </c>
      <c r="D79" s="138">
        <v>1830000</v>
      </c>
      <c r="E79" s="20" t="s">
        <v>543</v>
      </c>
      <c r="F79" s="20" t="s">
        <v>544</v>
      </c>
      <c r="G79" s="8" t="str">
        <f t="shared" si="1"/>
        <v>YORK EDGAR</v>
      </c>
    </row>
    <row r="80" spans="1:7" x14ac:dyDescent="0.25">
      <c r="A80" s="8">
        <v>42903.4141087963</v>
      </c>
      <c r="B80" s="20" t="s">
        <v>369</v>
      </c>
      <c r="C80" s="20" t="s">
        <v>709</v>
      </c>
      <c r="D80" s="138">
        <v>2970000</v>
      </c>
      <c r="E80" s="20" t="s">
        <v>380</v>
      </c>
      <c r="F80" s="20" t="s">
        <v>381</v>
      </c>
      <c r="G80" s="8" t="str">
        <f t="shared" si="1"/>
        <v>GUZMAN DANNY</v>
      </c>
    </row>
    <row r="81" spans="1:7" x14ac:dyDescent="0.25">
      <c r="A81" s="8">
        <v>42903.425162037034</v>
      </c>
      <c r="B81" s="20" t="s">
        <v>480</v>
      </c>
      <c r="C81" s="20" t="s">
        <v>710</v>
      </c>
      <c r="D81" s="138">
        <v>3010000</v>
      </c>
      <c r="E81" s="20" t="s">
        <v>394</v>
      </c>
      <c r="F81" s="20" t="s">
        <v>395</v>
      </c>
      <c r="G81" s="8" t="str">
        <f t="shared" si="1"/>
        <v>SULLIVAN BRANDON</v>
      </c>
    </row>
    <row r="82" spans="1:7" x14ac:dyDescent="0.25">
      <c r="A82" s="8">
        <v>42903.430393518516</v>
      </c>
      <c r="B82" s="20" t="s">
        <v>447</v>
      </c>
      <c r="C82" s="20" t="s">
        <v>711</v>
      </c>
      <c r="D82" s="138">
        <v>1990000</v>
      </c>
      <c r="E82" s="20" t="s">
        <v>415</v>
      </c>
      <c r="F82" s="20" t="s">
        <v>504</v>
      </c>
      <c r="G82" s="8" t="str">
        <f t="shared" si="1"/>
        <v>DAVIS WENDY</v>
      </c>
    </row>
    <row r="83" spans="1:7" x14ac:dyDescent="0.25">
      <c r="A83" s="8">
        <v>42903.435196759259</v>
      </c>
      <c r="B83" s="20" t="s">
        <v>482</v>
      </c>
      <c r="C83" s="20" t="s">
        <v>712</v>
      </c>
      <c r="D83" s="138">
        <v>1100000</v>
      </c>
      <c r="E83" s="20" t="s">
        <v>506</v>
      </c>
      <c r="F83" s="20" t="s">
        <v>507</v>
      </c>
      <c r="G83" s="8" t="str">
        <f t="shared" si="1"/>
        <v>GEBRETEKLE DAGNEW</v>
      </c>
    </row>
    <row r="84" spans="1:7" x14ac:dyDescent="0.25">
      <c r="A84" s="8">
        <v>42903.435474537036</v>
      </c>
      <c r="B84" s="20" t="s">
        <v>424</v>
      </c>
      <c r="C84" s="20" t="s">
        <v>713</v>
      </c>
      <c r="D84" s="138">
        <v>2600000</v>
      </c>
      <c r="E84" s="20" t="s">
        <v>660</v>
      </c>
      <c r="F84" s="20" t="s">
        <v>661</v>
      </c>
      <c r="G84" s="8" t="str">
        <f t="shared" si="1"/>
        <v>DAVIDSON DAVID</v>
      </c>
    </row>
    <row r="85" spans="1:7" x14ac:dyDescent="0.25">
      <c r="A85" s="8">
        <v>42903.441724537035</v>
      </c>
      <c r="B85" s="20" t="s">
        <v>398</v>
      </c>
      <c r="C85" s="20" t="s">
        <v>714</v>
      </c>
      <c r="D85" s="138">
        <v>1830000</v>
      </c>
      <c r="E85" s="20" t="s">
        <v>543</v>
      </c>
      <c r="F85" s="20" t="s">
        <v>544</v>
      </c>
      <c r="G85" s="8" t="str">
        <f t="shared" si="1"/>
        <v>YORK EDGAR</v>
      </c>
    </row>
    <row r="86" spans="1:7" x14ac:dyDescent="0.25">
      <c r="A86" s="8">
        <v>42903.444340277776</v>
      </c>
      <c r="B86" s="20" t="s">
        <v>503</v>
      </c>
      <c r="C86" s="20" t="s">
        <v>610</v>
      </c>
      <c r="D86" s="138">
        <v>2530000</v>
      </c>
      <c r="E86" s="20" t="s">
        <v>654</v>
      </c>
      <c r="F86" s="20" t="s">
        <v>655</v>
      </c>
      <c r="G86" s="8" t="str">
        <f t="shared" si="1"/>
        <v>LALONDE GREGORY</v>
      </c>
    </row>
    <row r="87" spans="1:7" x14ac:dyDescent="0.25">
      <c r="A87" s="8">
        <v>42903.450092592589</v>
      </c>
      <c r="B87" s="20" t="s">
        <v>373</v>
      </c>
      <c r="C87" s="20" t="s">
        <v>715</v>
      </c>
      <c r="D87" s="138">
        <v>880000</v>
      </c>
      <c r="E87" s="20" t="s">
        <v>485</v>
      </c>
      <c r="F87" s="20" t="s">
        <v>192</v>
      </c>
      <c r="G87" s="8" t="str">
        <f t="shared" si="1"/>
        <v>STEWART MICHAEL</v>
      </c>
    </row>
    <row r="88" spans="1:7" x14ac:dyDescent="0.25">
      <c r="A88" s="8">
        <v>42903.45621527778</v>
      </c>
      <c r="B88" s="20" t="s">
        <v>375</v>
      </c>
      <c r="C88" s="20" t="s">
        <v>716</v>
      </c>
      <c r="D88" s="138">
        <v>2970000</v>
      </c>
      <c r="E88" s="20" t="s">
        <v>380</v>
      </c>
      <c r="F88" s="20" t="s">
        <v>381</v>
      </c>
      <c r="G88" s="8" t="str">
        <f t="shared" si="1"/>
        <v>GUZMAN DANNY</v>
      </c>
    </row>
    <row r="89" spans="1:7" x14ac:dyDescent="0.25">
      <c r="A89" s="8">
        <v>42903.456979166665</v>
      </c>
      <c r="B89" s="20" t="s">
        <v>399</v>
      </c>
      <c r="C89" s="20" t="s">
        <v>612</v>
      </c>
      <c r="D89" s="138">
        <v>1830000</v>
      </c>
      <c r="E89" s="20" t="s">
        <v>543</v>
      </c>
      <c r="F89" s="20" t="s">
        <v>544</v>
      </c>
      <c r="G89" s="8" t="str">
        <f t="shared" si="1"/>
        <v>YORK EDGAR</v>
      </c>
    </row>
    <row r="90" spans="1:7" x14ac:dyDescent="0.25">
      <c r="A90" s="8">
        <v>42903.460578703707</v>
      </c>
      <c r="B90" s="20" t="s">
        <v>479</v>
      </c>
      <c r="C90" s="20" t="s">
        <v>613</v>
      </c>
      <c r="D90" s="138">
        <v>3010000</v>
      </c>
      <c r="E90" s="20" t="s">
        <v>394</v>
      </c>
      <c r="F90" s="20" t="s">
        <v>395</v>
      </c>
      <c r="G90" s="8" t="str">
        <f t="shared" si="1"/>
        <v>SULLIVAN BRANDON</v>
      </c>
    </row>
    <row r="91" spans="1:7" x14ac:dyDescent="0.25">
      <c r="A91" s="8">
        <v>42903.466331018521</v>
      </c>
      <c r="B91" s="20" t="s">
        <v>422</v>
      </c>
      <c r="C91" s="20" t="s">
        <v>717</v>
      </c>
      <c r="D91" s="138">
        <v>2600000</v>
      </c>
      <c r="E91" s="20" t="s">
        <v>660</v>
      </c>
      <c r="F91" s="20" t="s">
        <v>661</v>
      </c>
      <c r="G91" s="8" t="str">
        <f t="shared" si="1"/>
        <v>DAVIDSON DAVID</v>
      </c>
    </row>
    <row r="92" spans="1:7" x14ac:dyDescent="0.25">
      <c r="A92" s="8">
        <v>42903.468043981484</v>
      </c>
      <c r="B92" s="20" t="s">
        <v>446</v>
      </c>
      <c r="C92" s="20" t="s">
        <v>611</v>
      </c>
      <c r="D92" s="138">
        <v>920000</v>
      </c>
      <c r="E92" s="20" t="s">
        <v>415</v>
      </c>
      <c r="F92" s="20" t="s">
        <v>192</v>
      </c>
      <c r="G92" s="8" t="str">
        <f t="shared" si="1"/>
        <v>DAVIS MICHAEL</v>
      </c>
    </row>
    <row r="93" spans="1:7" x14ac:dyDescent="0.25">
      <c r="A93" s="8">
        <v>42903.470960648148</v>
      </c>
      <c r="B93" s="20" t="s">
        <v>446</v>
      </c>
      <c r="C93" s="20" t="s">
        <v>611</v>
      </c>
      <c r="D93" s="138">
        <v>920000</v>
      </c>
      <c r="E93" s="20" t="s">
        <v>415</v>
      </c>
      <c r="F93" s="20" t="s">
        <v>192</v>
      </c>
      <c r="G93" s="8" t="str">
        <f t="shared" si="1"/>
        <v>DAVIS MICHAEL</v>
      </c>
    </row>
    <row r="94" spans="1:7" x14ac:dyDescent="0.25">
      <c r="A94" s="8">
        <v>42903.477465277778</v>
      </c>
      <c r="B94" s="20" t="s">
        <v>481</v>
      </c>
      <c r="C94" s="20" t="s">
        <v>718</v>
      </c>
      <c r="D94" s="138">
        <v>2360000</v>
      </c>
      <c r="E94" s="20" t="s">
        <v>719</v>
      </c>
      <c r="F94" s="20" t="s">
        <v>720</v>
      </c>
      <c r="G94" s="8" t="str">
        <f t="shared" si="1"/>
        <v>BRANDNER MELINDA</v>
      </c>
    </row>
    <row r="95" spans="1:7" x14ac:dyDescent="0.25">
      <c r="A95" s="8">
        <v>42903.483078703706</v>
      </c>
      <c r="B95" s="20" t="s">
        <v>398</v>
      </c>
      <c r="C95" s="20" t="s">
        <v>721</v>
      </c>
      <c r="D95" s="138">
        <v>1830000</v>
      </c>
      <c r="E95" s="20" t="s">
        <v>543</v>
      </c>
      <c r="F95" s="20" t="s">
        <v>544</v>
      </c>
      <c r="G95" s="8" t="str">
        <f t="shared" si="1"/>
        <v>YORK EDGAR</v>
      </c>
    </row>
    <row r="96" spans="1:7" x14ac:dyDescent="0.25">
      <c r="A96" s="8">
        <v>42903.486724537041</v>
      </c>
      <c r="B96" s="20" t="s">
        <v>370</v>
      </c>
      <c r="C96" s="20" t="s">
        <v>722</v>
      </c>
      <c r="D96" s="138">
        <v>880000</v>
      </c>
      <c r="E96" s="20" t="s">
        <v>485</v>
      </c>
      <c r="F96" s="20" t="s">
        <v>192</v>
      </c>
      <c r="G96" s="8" t="str">
        <f t="shared" si="1"/>
        <v>STEWART MICHAEL</v>
      </c>
    </row>
    <row r="97" spans="1:7" x14ac:dyDescent="0.25">
      <c r="A97" s="8">
        <v>42903.487939814811</v>
      </c>
      <c r="B97" s="20" t="s">
        <v>505</v>
      </c>
      <c r="C97" s="20" t="s">
        <v>723</v>
      </c>
      <c r="D97" s="138">
        <v>1770000</v>
      </c>
      <c r="E97" s="20" t="s">
        <v>724</v>
      </c>
      <c r="F97" s="20" t="s">
        <v>725</v>
      </c>
      <c r="G97" s="8" t="str">
        <f t="shared" si="1"/>
        <v>BRUDER RICHARD</v>
      </c>
    </row>
    <row r="98" spans="1:7" x14ac:dyDescent="0.25">
      <c r="A98" s="8">
        <v>42903.488136574073</v>
      </c>
      <c r="B98" s="20" t="s">
        <v>369</v>
      </c>
      <c r="C98" s="20" t="s">
        <v>726</v>
      </c>
      <c r="D98" s="138">
        <v>2970000</v>
      </c>
      <c r="E98" s="20" t="s">
        <v>380</v>
      </c>
      <c r="F98" s="20" t="s">
        <v>381</v>
      </c>
      <c r="G98" s="8" t="str">
        <f t="shared" si="1"/>
        <v>GUZMAN DANNY</v>
      </c>
    </row>
    <row r="99" spans="1:7" x14ac:dyDescent="0.25">
      <c r="A99" s="8">
        <v>42903.49900462963</v>
      </c>
      <c r="B99" s="20" t="s">
        <v>480</v>
      </c>
      <c r="C99" s="20" t="s">
        <v>727</v>
      </c>
      <c r="D99" s="138">
        <v>3010000</v>
      </c>
      <c r="E99" s="20" t="s">
        <v>394</v>
      </c>
      <c r="F99" s="20" t="s">
        <v>395</v>
      </c>
      <c r="G99" s="8" t="str">
        <f t="shared" si="1"/>
        <v>SULLIVAN BRANDON</v>
      </c>
    </row>
    <row r="100" spans="1:7" x14ac:dyDescent="0.25">
      <c r="A100" s="8">
        <v>42903.502546296295</v>
      </c>
      <c r="B100" s="20" t="s">
        <v>399</v>
      </c>
      <c r="C100" s="20" t="s">
        <v>614</v>
      </c>
      <c r="D100" s="138">
        <v>1830000</v>
      </c>
      <c r="E100" s="20" t="s">
        <v>543</v>
      </c>
      <c r="F100" s="20" t="s">
        <v>544</v>
      </c>
      <c r="G100" s="8" t="str">
        <f t="shared" si="1"/>
        <v>YORK EDGAR</v>
      </c>
    </row>
    <row r="101" spans="1:7" x14ac:dyDescent="0.25">
      <c r="A101" s="8">
        <v>42903.506840277776</v>
      </c>
      <c r="B101" s="20" t="s">
        <v>447</v>
      </c>
      <c r="C101" s="20" t="s">
        <v>728</v>
      </c>
      <c r="D101" s="138">
        <v>920000</v>
      </c>
      <c r="E101" s="20" t="s">
        <v>415</v>
      </c>
      <c r="F101" s="20" t="s">
        <v>192</v>
      </c>
      <c r="G101" s="8" t="str">
        <f t="shared" si="1"/>
        <v>DAVIS MICHAEL</v>
      </c>
    </row>
    <row r="102" spans="1:7" x14ac:dyDescent="0.25">
      <c r="A102" s="8">
        <v>42903.509305555555</v>
      </c>
      <c r="B102" s="20" t="s">
        <v>424</v>
      </c>
      <c r="C102" s="20" t="s">
        <v>615</v>
      </c>
      <c r="D102" s="138">
        <v>2370000</v>
      </c>
      <c r="E102" s="20" t="s">
        <v>508</v>
      </c>
      <c r="F102" s="20" t="s">
        <v>509</v>
      </c>
      <c r="G102" s="8" t="str">
        <f t="shared" si="1"/>
        <v>DELGADO DIANAH</v>
      </c>
    </row>
    <row r="103" spans="1:7" x14ac:dyDescent="0.25">
      <c r="A103" s="8">
        <v>42903.517268518517</v>
      </c>
      <c r="B103" s="20" t="s">
        <v>401</v>
      </c>
      <c r="C103" s="20" t="s">
        <v>729</v>
      </c>
      <c r="D103" s="138">
        <v>2260000</v>
      </c>
      <c r="E103" s="20" t="s">
        <v>730</v>
      </c>
      <c r="F103" s="20" t="s">
        <v>731</v>
      </c>
      <c r="G103" s="8" t="str">
        <f t="shared" si="1"/>
        <v>ARVIDSON DANIEL</v>
      </c>
    </row>
    <row r="104" spans="1:7" x14ac:dyDescent="0.25">
      <c r="A104" s="8">
        <v>42903.518518518518</v>
      </c>
      <c r="B104" s="20" t="s">
        <v>482</v>
      </c>
      <c r="C104" s="20" t="s">
        <v>732</v>
      </c>
      <c r="D104" s="138">
        <v>2360000</v>
      </c>
      <c r="E104" s="20" t="s">
        <v>719</v>
      </c>
      <c r="F104" s="20" t="s">
        <v>720</v>
      </c>
      <c r="G104" s="8" t="str">
        <f t="shared" si="1"/>
        <v>BRANDNER MELINDA</v>
      </c>
    </row>
    <row r="105" spans="1:7" x14ac:dyDescent="0.25">
      <c r="A105" s="8">
        <v>42903.518854166665</v>
      </c>
      <c r="B105" s="20" t="s">
        <v>373</v>
      </c>
      <c r="C105" s="20" t="s">
        <v>733</v>
      </c>
      <c r="D105" s="138">
        <v>880000</v>
      </c>
      <c r="E105" s="20" t="s">
        <v>485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42903.520555555559</v>
      </c>
      <c r="B106" s="20" t="s">
        <v>538</v>
      </c>
      <c r="C106" s="20" t="s">
        <v>729</v>
      </c>
      <c r="D106" s="138">
        <v>2260000</v>
      </c>
      <c r="E106" s="20" t="s">
        <v>730</v>
      </c>
      <c r="F106" s="20" t="s">
        <v>731</v>
      </c>
      <c r="G106" s="8" t="str">
        <f t="shared" si="1"/>
        <v>ARVIDSON DANIEL</v>
      </c>
    </row>
    <row r="107" spans="1:7" x14ac:dyDescent="0.25">
      <c r="A107" s="8">
        <v>42903.525405092594</v>
      </c>
      <c r="B107" s="20" t="s">
        <v>503</v>
      </c>
      <c r="C107" s="20" t="s">
        <v>734</v>
      </c>
      <c r="D107" s="138">
        <v>1770000</v>
      </c>
      <c r="E107" s="20" t="s">
        <v>724</v>
      </c>
      <c r="F107" s="20" t="s">
        <v>725</v>
      </c>
      <c r="G107" s="8" t="str">
        <f t="shared" si="1"/>
        <v>BRUDER RICHARD</v>
      </c>
    </row>
    <row r="108" spans="1:7" x14ac:dyDescent="0.25">
      <c r="A108" s="8">
        <v>42903.525543981479</v>
      </c>
      <c r="B108" s="20" t="s">
        <v>398</v>
      </c>
      <c r="C108" s="20" t="s">
        <v>735</v>
      </c>
      <c r="D108" s="138">
        <v>1830000</v>
      </c>
      <c r="E108" s="20" t="s">
        <v>543</v>
      </c>
      <c r="F108" s="20" t="s">
        <v>544</v>
      </c>
      <c r="G108" s="8" t="str">
        <f t="shared" si="1"/>
        <v>YORK EDGAR</v>
      </c>
    </row>
    <row r="109" spans="1:7" x14ac:dyDescent="0.25">
      <c r="A109" s="8">
        <v>42903.528217592589</v>
      </c>
      <c r="B109" s="20" t="s">
        <v>401</v>
      </c>
      <c r="C109" s="20" t="s">
        <v>736</v>
      </c>
      <c r="D109" s="138">
        <v>2420000</v>
      </c>
      <c r="E109" s="20" t="s">
        <v>510</v>
      </c>
      <c r="F109" s="20" t="s">
        <v>511</v>
      </c>
      <c r="G109" s="8" t="str">
        <f t="shared" si="1"/>
        <v>HOLCOMB KAMDEN</v>
      </c>
    </row>
    <row r="110" spans="1:7" x14ac:dyDescent="0.25">
      <c r="A110" s="8">
        <v>42903.533541666664</v>
      </c>
      <c r="B110" s="20" t="s">
        <v>479</v>
      </c>
      <c r="C110" s="20" t="s">
        <v>737</v>
      </c>
      <c r="D110" s="138">
        <v>3010000</v>
      </c>
      <c r="E110" s="20" t="s">
        <v>394</v>
      </c>
      <c r="F110" s="20" t="s">
        <v>395</v>
      </c>
      <c r="G110" s="8" t="str">
        <f t="shared" si="1"/>
        <v>SULLIVAN BRANDON</v>
      </c>
    </row>
    <row r="111" spans="1:7" x14ac:dyDescent="0.25">
      <c r="A111" s="8">
        <v>42903.539861111109</v>
      </c>
      <c r="B111" s="20" t="s">
        <v>399</v>
      </c>
      <c r="C111" s="20" t="s">
        <v>738</v>
      </c>
      <c r="D111" s="138">
        <v>1830000</v>
      </c>
      <c r="E111" s="20" t="s">
        <v>543</v>
      </c>
      <c r="F111" s="20" t="s">
        <v>544</v>
      </c>
      <c r="G111" s="8" t="str">
        <f t="shared" si="1"/>
        <v>YORK EDGAR</v>
      </c>
    </row>
    <row r="112" spans="1:7" x14ac:dyDescent="0.25">
      <c r="A112" s="8">
        <v>42903.540324074071</v>
      </c>
      <c r="B112" s="20" t="s">
        <v>446</v>
      </c>
      <c r="C112" s="20" t="s">
        <v>739</v>
      </c>
      <c r="D112" s="138">
        <v>920000</v>
      </c>
      <c r="E112" s="20" t="s">
        <v>415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42903.547673611109</v>
      </c>
      <c r="B113" s="20" t="s">
        <v>422</v>
      </c>
      <c r="C113" s="20" t="s">
        <v>740</v>
      </c>
      <c r="D113" s="138">
        <v>2370000</v>
      </c>
      <c r="E113" s="20" t="s">
        <v>508</v>
      </c>
      <c r="F113" s="20" t="s">
        <v>509</v>
      </c>
      <c r="G113" s="8" t="str">
        <f t="shared" si="1"/>
        <v>DELGADO DIANAH</v>
      </c>
    </row>
    <row r="114" spans="1:7" x14ac:dyDescent="0.25">
      <c r="A114" s="8">
        <v>42903.550740740742</v>
      </c>
      <c r="B114" s="20" t="s">
        <v>481</v>
      </c>
      <c r="C114" s="20" t="s">
        <v>741</v>
      </c>
      <c r="D114" s="138">
        <v>2360000</v>
      </c>
      <c r="E114" s="20" t="s">
        <v>719</v>
      </c>
      <c r="F114" s="20" t="s">
        <v>720</v>
      </c>
      <c r="G114" s="8" t="str">
        <f t="shared" si="1"/>
        <v>BRANDNER MELINDA</v>
      </c>
    </row>
    <row r="115" spans="1:7" x14ac:dyDescent="0.25">
      <c r="A115" s="8">
        <v>42903.558437500003</v>
      </c>
      <c r="B115" s="20" t="s">
        <v>370</v>
      </c>
      <c r="C115" s="20" t="s">
        <v>742</v>
      </c>
      <c r="D115" s="138">
        <v>880000</v>
      </c>
      <c r="E115" s="20" t="s">
        <v>485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42903.560243055559</v>
      </c>
      <c r="B116" s="20" t="s">
        <v>505</v>
      </c>
      <c r="C116" s="20" t="s">
        <v>743</v>
      </c>
      <c r="D116" s="138">
        <v>1770000</v>
      </c>
      <c r="E116" s="20" t="s">
        <v>724</v>
      </c>
      <c r="F116" s="20" t="s">
        <v>725</v>
      </c>
      <c r="G116" s="8" t="str">
        <f t="shared" si="1"/>
        <v>BRUDER RICHARD</v>
      </c>
    </row>
    <row r="117" spans="1:7" x14ac:dyDescent="0.25">
      <c r="A117" s="8">
        <v>42903.566874999997</v>
      </c>
      <c r="B117" s="20" t="s">
        <v>398</v>
      </c>
      <c r="C117" s="20" t="s">
        <v>744</v>
      </c>
      <c r="D117" s="138">
        <v>1830000</v>
      </c>
      <c r="E117" s="20" t="s">
        <v>543</v>
      </c>
      <c r="F117" s="20" t="s">
        <v>544</v>
      </c>
      <c r="G117" s="8" t="str">
        <f t="shared" si="1"/>
        <v>YORK EDGAR</v>
      </c>
    </row>
    <row r="118" spans="1:7" x14ac:dyDescent="0.25">
      <c r="A118" s="8">
        <v>42903.568576388891</v>
      </c>
      <c r="B118" s="20" t="s">
        <v>538</v>
      </c>
      <c r="C118" s="20" t="s">
        <v>745</v>
      </c>
      <c r="D118" s="138">
        <v>2420000</v>
      </c>
      <c r="E118" s="20" t="s">
        <v>510</v>
      </c>
      <c r="F118" s="20" t="s">
        <v>511</v>
      </c>
      <c r="G118" s="8" t="str">
        <f t="shared" si="1"/>
        <v>HOLCOMB KAMDEN</v>
      </c>
    </row>
    <row r="119" spans="1:7" x14ac:dyDescent="0.25">
      <c r="A119" s="8">
        <v>42903.569363425922</v>
      </c>
      <c r="B119" s="20" t="s">
        <v>480</v>
      </c>
      <c r="C119" s="20" t="s">
        <v>746</v>
      </c>
      <c r="D119" s="138">
        <v>3010000</v>
      </c>
      <c r="E119" s="20" t="s">
        <v>394</v>
      </c>
      <c r="F119" s="20" t="s">
        <v>395</v>
      </c>
      <c r="G119" s="8" t="str">
        <f t="shared" si="1"/>
        <v>SULLIVAN BRANDON</v>
      </c>
    </row>
    <row r="120" spans="1:7" x14ac:dyDescent="0.25">
      <c r="A120" s="8">
        <v>42903.574907407405</v>
      </c>
      <c r="B120" s="20" t="s">
        <v>375</v>
      </c>
      <c r="C120" s="20" t="s">
        <v>747</v>
      </c>
      <c r="D120" s="138">
        <v>2260000</v>
      </c>
      <c r="E120" s="20" t="s">
        <v>730</v>
      </c>
      <c r="F120" s="20" t="s">
        <v>731</v>
      </c>
      <c r="G120" s="8" t="str">
        <f t="shared" si="1"/>
        <v>ARVIDSON DANIEL</v>
      </c>
    </row>
    <row r="121" spans="1:7" x14ac:dyDescent="0.25">
      <c r="A121" s="8">
        <v>42903.579525462963</v>
      </c>
      <c r="B121" s="20" t="s">
        <v>447</v>
      </c>
      <c r="C121" s="20" t="s">
        <v>748</v>
      </c>
      <c r="D121" s="138">
        <v>920000</v>
      </c>
      <c r="E121" s="20" t="s">
        <v>415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42903.57984953704</v>
      </c>
      <c r="B122" s="25" t="s">
        <v>424</v>
      </c>
      <c r="C122" s="20" t="s">
        <v>749</v>
      </c>
      <c r="D122" s="138">
        <v>2370000</v>
      </c>
      <c r="E122" s="20" t="s">
        <v>508</v>
      </c>
      <c r="F122" s="20" t="s">
        <v>509</v>
      </c>
      <c r="G122" s="8" t="str">
        <f t="shared" si="1"/>
        <v>DELGADO DIANAH</v>
      </c>
    </row>
    <row r="123" spans="1:7" x14ac:dyDescent="0.25">
      <c r="A123" s="8">
        <v>42903.585381944446</v>
      </c>
      <c r="B123" s="20" t="s">
        <v>482</v>
      </c>
      <c r="C123" s="20" t="s">
        <v>616</v>
      </c>
      <c r="D123" s="138">
        <v>2360000</v>
      </c>
      <c r="E123" s="20" t="s">
        <v>719</v>
      </c>
      <c r="F123" s="20" t="s">
        <v>720</v>
      </c>
      <c r="G123" s="8" t="str">
        <f t="shared" si="1"/>
        <v>BRANDNER MELINDA</v>
      </c>
    </row>
    <row r="124" spans="1:7" x14ac:dyDescent="0.25">
      <c r="A124" s="8">
        <v>42903.586134259262</v>
      </c>
      <c r="B124" s="20" t="s">
        <v>399</v>
      </c>
      <c r="C124" s="20" t="s">
        <v>750</v>
      </c>
      <c r="D124" s="138">
        <v>2540000</v>
      </c>
      <c r="E124" s="20" t="s">
        <v>751</v>
      </c>
      <c r="F124" s="20" t="s">
        <v>752</v>
      </c>
      <c r="G124" s="8" t="str">
        <f t="shared" si="1"/>
        <v>MCREYNOLDS KYLE</v>
      </c>
    </row>
    <row r="125" spans="1:7" x14ac:dyDescent="0.25">
      <c r="A125" s="8">
        <v>42903.593101851853</v>
      </c>
      <c r="B125" s="20" t="s">
        <v>373</v>
      </c>
      <c r="C125" s="20" t="s">
        <v>753</v>
      </c>
      <c r="D125" s="138">
        <v>880000</v>
      </c>
      <c r="E125" s="20" t="s">
        <v>485</v>
      </c>
      <c r="F125" s="20" t="s">
        <v>192</v>
      </c>
      <c r="G125" s="8" t="str">
        <f t="shared" si="1"/>
        <v>STEWART MICHAEL</v>
      </c>
    </row>
    <row r="126" spans="1:7" x14ac:dyDescent="0.25">
      <c r="A126" s="8">
        <v>42903.59814814815</v>
      </c>
      <c r="B126" s="20" t="s">
        <v>503</v>
      </c>
      <c r="C126" s="20" t="s">
        <v>754</v>
      </c>
      <c r="D126" s="138">
        <v>1770000</v>
      </c>
      <c r="E126" s="20" t="s">
        <v>724</v>
      </c>
      <c r="F126" s="20" t="s">
        <v>725</v>
      </c>
      <c r="G126" s="8" t="str">
        <f t="shared" si="1"/>
        <v>BRUDER RICHARD</v>
      </c>
    </row>
    <row r="127" spans="1:7" x14ac:dyDescent="0.25">
      <c r="A127" s="8">
        <v>42903.601736111108</v>
      </c>
      <c r="B127" s="20" t="s">
        <v>401</v>
      </c>
      <c r="C127" s="20" t="s">
        <v>755</v>
      </c>
      <c r="D127" s="138">
        <v>2420000</v>
      </c>
      <c r="E127" s="20" t="s">
        <v>510</v>
      </c>
      <c r="F127" s="20" t="s">
        <v>511</v>
      </c>
      <c r="G127" s="8" t="str">
        <f t="shared" si="1"/>
        <v>HOLCOMB KAMDEN</v>
      </c>
    </row>
    <row r="128" spans="1:7" x14ac:dyDescent="0.25">
      <c r="A128" s="8">
        <v>42903.605509259258</v>
      </c>
      <c r="B128" s="20" t="s">
        <v>479</v>
      </c>
      <c r="C128" s="20" t="s">
        <v>756</v>
      </c>
      <c r="D128" s="138">
        <v>3010000</v>
      </c>
      <c r="E128" s="20" t="s">
        <v>394</v>
      </c>
      <c r="F128" s="20" t="s">
        <v>395</v>
      </c>
      <c r="G128" s="8" t="str">
        <f t="shared" si="1"/>
        <v>SULLIVAN BRANDON</v>
      </c>
    </row>
    <row r="129" spans="1:7" x14ac:dyDescent="0.25">
      <c r="A129" s="8">
        <v>42903.607581018521</v>
      </c>
      <c r="B129" s="20" t="s">
        <v>537</v>
      </c>
      <c r="C129" s="20" t="s">
        <v>757</v>
      </c>
      <c r="D129" s="138">
        <v>2260000</v>
      </c>
      <c r="E129" s="20" t="s">
        <v>730</v>
      </c>
      <c r="F129" s="20" t="s">
        <v>731</v>
      </c>
      <c r="G129" s="8" t="str">
        <f t="shared" si="1"/>
        <v>ARVIDSON DANIEL</v>
      </c>
    </row>
    <row r="130" spans="1:7" x14ac:dyDescent="0.25">
      <c r="A130" s="8">
        <v>42903.609236111108</v>
      </c>
      <c r="B130" s="20" t="s">
        <v>398</v>
      </c>
      <c r="C130" s="20" t="s">
        <v>758</v>
      </c>
      <c r="D130" s="138">
        <v>2540000</v>
      </c>
      <c r="E130" s="20" t="s">
        <v>751</v>
      </c>
      <c r="F130" s="20" t="s">
        <v>752</v>
      </c>
      <c r="G130" s="8" t="str">
        <f t="shared" si="1"/>
        <v>MCREYNOLDS KYLE</v>
      </c>
    </row>
    <row r="131" spans="1:7" x14ac:dyDescent="0.25">
      <c r="A131" s="8">
        <v>42903.612557870372</v>
      </c>
      <c r="B131" s="20" t="s">
        <v>446</v>
      </c>
      <c r="C131" s="20" t="s">
        <v>759</v>
      </c>
      <c r="D131" s="138">
        <v>920000</v>
      </c>
      <c r="E131" s="20" t="s">
        <v>415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42903.618993055556</v>
      </c>
      <c r="B132" s="20" t="s">
        <v>422</v>
      </c>
      <c r="C132" s="20" t="s">
        <v>760</v>
      </c>
      <c r="D132" s="138">
        <v>2370000</v>
      </c>
      <c r="E132" s="20" t="s">
        <v>508</v>
      </c>
      <c r="F132" s="20" t="s">
        <v>509</v>
      </c>
      <c r="G132" s="8" t="str">
        <f t="shared" si="2"/>
        <v>DELGADO DIANAH</v>
      </c>
    </row>
    <row r="133" spans="1:7" x14ac:dyDescent="0.25">
      <c r="A133" s="8">
        <v>42903.622164351851</v>
      </c>
      <c r="B133" s="20" t="s">
        <v>481</v>
      </c>
      <c r="C133" s="20" t="s">
        <v>761</v>
      </c>
      <c r="D133" s="138">
        <v>2360000</v>
      </c>
      <c r="E133" s="20" t="s">
        <v>719</v>
      </c>
      <c r="F133" s="20" t="s">
        <v>720</v>
      </c>
      <c r="G133" s="8" t="str">
        <f t="shared" si="2"/>
        <v>BRANDNER MELINDA</v>
      </c>
    </row>
    <row r="134" spans="1:7" x14ac:dyDescent="0.25">
      <c r="A134" s="8">
        <v>42903.623831018522</v>
      </c>
      <c r="B134" s="20" t="s">
        <v>399</v>
      </c>
      <c r="C134" s="20" t="s">
        <v>762</v>
      </c>
      <c r="D134" s="138">
        <v>2540000</v>
      </c>
      <c r="E134" s="20" t="s">
        <v>751</v>
      </c>
      <c r="F134" s="20" t="s">
        <v>752</v>
      </c>
      <c r="G134" s="8" t="str">
        <f t="shared" si="2"/>
        <v>MCREYNOLDS KYLE</v>
      </c>
    </row>
    <row r="135" spans="1:7" x14ac:dyDescent="0.25">
      <c r="A135" s="8">
        <v>42903.631215277775</v>
      </c>
      <c r="B135" s="20" t="s">
        <v>370</v>
      </c>
      <c r="C135" s="20" t="s">
        <v>753</v>
      </c>
      <c r="D135" s="138">
        <v>880000</v>
      </c>
      <c r="E135" s="20" t="s">
        <v>485</v>
      </c>
      <c r="F135" s="20" t="s">
        <v>192</v>
      </c>
      <c r="G135" s="8" t="str">
        <f t="shared" si="2"/>
        <v>STEWART MICHAEL</v>
      </c>
    </row>
    <row r="136" spans="1:7" x14ac:dyDescent="0.25">
      <c r="A136" s="8">
        <v>42903.63177083333</v>
      </c>
      <c r="B136" s="20" t="s">
        <v>370</v>
      </c>
      <c r="C136" s="20" t="s">
        <v>763</v>
      </c>
      <c r="D136" s="138">
        <v>880000</v>
      </c>
      <c r="E136" s="20" t="s">
        <v>485</v>
      </c>
      <c r="F136" s="20" t="s">
        <v>192</v>
      </c>
      <c r="G136" s="8" t="str">
        <f t="shared" si="2"/>
        <v>STEWART MICHAEL</v>
      </c>
    </row>
    <row r="137" spans="1:7" x14ac:dyDescent="0.25">
      <c r="A137" s="8">
        <v>42903.632523148146</v>
      </c>
      <c r="B137" s="20" t="s">
        <v>505</v>
      </c>
      <c r="C137" s="20" t="s">
        <v>764</v>
      </c>
      <c r="D137" s="138">
        <v>1770000</v>
      </c>
      <c r="E137" s="20" t="s">
        <v>724</v>
      </c>
      <c r="F137" s="20" t="s">
        <v>725</v>
      </c>
      <c r="G137" s="8" t="str">
        <f t="shared" si="2"/>
        <v>BRUDER RICHARD</v>
      </c>
    </row>
    <row r="138" spans="1:7" x14ac:dyDescent="0.25">
      <c r="A138" s="8">
        <v>42903.640775462962</v>
      </c>
      <c r="B138" s="20" t="s">
        <v>538</v>
      </c>
      <c r="C138" s="20" t="s">
        <v>765</v>
      </c>
      <c r="D138" s="138">
        <v>2420000</v>
      </c>
      <c r="E138" s="20" t="s">
        <v>510</v>
      </c>
      <c r="F138" s="20" t="s">
        <v>511</v>
      </c>
      <c r="G138" s="8" t="str">
        <f t="shared" si="2"/>
        <v>HOLCOMB KAMDEN</v>
      </c>
    </row>
    <row r="139" spans="1:7" x14ac:dyDescent="0.25">
      <c r="A139" s="8">
        <v>42903.641562500001</v>
      </c>
      <c r="B139" s="20" t="s">
        <v>480</v>
      </c>
      <c r="C139" s="20" t="s">
        <v>617</v>
      </c>
      <c r="D139" s="138">
        <v>3010000</v>
      </c>
      <c r="E139" s="20" t="s">
        <v>394</v>
      </c>
      <c r="F139" s="20" t="s">
        <v>395</v>
      </c>
      <c r="G139" s="8" t="str">
        <f t="shared" si="2"/>
        <v>SULLIVAN BRANDON</v>
      </c>
    </row>
    <row r="140" spans="1:7" x14ac:dyDescent="0.25">
      <c r="A140" s="8">
        <v>42903.651990740742</v>
      </c>
      <c r="B140" s="20" t="s">
        <v>398</v>
      </c>
      <c r="C140" s="20" t="s">
        <v>766</v>
      </c>
      <c r="D140" s="138">
        <v>2540000</v>
      </c>
      <c r="E140" s="20" t="s">
        <v>751</v>
      </c>
      <c r="F140" s="20" t="s">
        <v>752</v>
      </c>
      <c r="G140" s="8" t="str">
        <f t="shared" si="2"/>
        <v>MCREYNOLDS KYLE</v>
      </c>
    </row>
    <row r="141" spans="1:7" x14ac:dyDescent="0.25">
      <c r="A141" s="8">
        <v>42903.652256944442</v>
      </c>
      <c r="B141" s="20" t="s">
        <v>447</v>
      </c>
      <c r="C141" s="20" t="s">
        <v>767</v>
      </c>
      <c r="D141" s="138">
        <v>920000</v>
      </c>
      <c r="E141" s="20" t="s">
        <v>415</v>
      </c>
      <c r="F141" s="20" t="s">
        <v>192</v>
      </c>
      <c r="G141" s="8" t="str">
        <f t="shared" si="2"/>
        <v>DAVIS MICHAEL</v>
      </c>
    </row>
    <row r="142" spans="1:7" x14ac:dyDescent="0.25">
      <c r="A142" s="8">
        <v>42903.653726851851</v>
      </c>
      <c r="B142" s="20" t="s">
        <v>424</v>
      </c>
      <c r="C142" s="20" t="s">
        <v>618</v>
      </c>
      <c r="D142" s="138">
        <v>2370000</v>
      </c>
      <c r="E142" s="20" t="s">
        <v>508</v>
      </c>
      <c r="F142" s="20" t="s">
        <v>509</v>
      </c>
      <c r="G142" s="8" t="str">
        <f t="shared" si="2"/>
        <v>DELGADO DIANAH</v>
      </c>
    </row>
    <row r="143" spans="1:7" x14ac:dyDescent="0.25">
      <c r="A143" s="8">
        <v>42903.662280092591</v>
      </c>
      <c r="B143" s="20" t="s">
        <v>482</v>
      </c>
      <c r="C143" s="20" t="s">
        <v>768</v>
      </c>
      <c r="D143" s="138">
        <v>2360000</v>
      </c>
      <c r="E143" s="20" t="s">
        <v>719</v>
      </c>
      <c r="F143" s="20" t="s">
        <v>720</v>
      </c>
      <c r="G143" s="8" t="str">
        <f t="shared" si="2"/>
        <v>BRANDNER MELINDA</v>
      </c>
    </row>
    <row r="144" spans="1:7" x14ac:dyDescent="0.25">
      <c r="A144" s="8">
        <v>42903.664236111108</v>
      </c>
      <c r="B144" s="20" t="s">
        <v>373</v>
      </c>
      <c r="C144" s="20" t="s">
        <v>769</v>
      </c>
      <c r="D144" s="138">
        <v>880000</v>
      </c>
      <c r="E144" s="20" t="s">
        <v>485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42903.665706018517</v>
      </c>
      <c r="B145" s="20" t="s">
        <v>399</v>
      </c>
      <c r="C145" s="20" t="s">
        <v>770</v>
      </c>
      <c r="D145" s="138">
        <v>2540000</v>
      </c>
      <c r="E145" s="20" t="s">
        <v>751</v>
      </c>
      <c r="F145" s="20" t="s">
        <v>752</v>
      </c>
      <c r="G145" s="8" t="str">
        <f t="shared" si="2"/>
        <v>MCREYNOLDS KYLE</v>
      </c>
    </row>
    <row r="146" spans="1:7" x14ac:dyDescent="0.25">
      <c r="A146" s="8">
        <v>42903.671331018515</v>
      </c>
      <c r="B146" s="20" t="s">
        <v>503</v>
      </c>
      <c r="C146" s="20" t="s">
        <v>771</v>
      </c>
      <c r="D146" s="138">
        <v>1770000</v>
      </c>
      <c r="E146" s="20" t="s">
        <v>724</v>
      </c>
      <c r="F146" s="20" t="s">
        <v>725</v>
      </c>
      <c r="G146" s="8" t="str">
        <f t="shared" si="2"/>
        <v>BRUDER RICHARD</v>
      </c>
    </row>
    <row r="147" spans="1:7" x14ac:dyDescent="0.25">
      <c r="A147" s="8">
        <v>42903.674189814818</v>
      </c>
      <c r="B147" s="20" t="s">
        <v>401</v>
      </c>
      <c r="C147" s="20" t="s">
        <v>772</v>
      </c>
      <c r="D147" s="138">
        <v>2420000</v>
      </c>
      <c r="E147" s="20" t="s">
        <v>510</v>
      </c>
      <c r="F147" s="20" t="s">
        <v>511</v>
      </c>
      <c r="G147" s="8" t="str">
        <f t="shared" si="2"/>
        <v>HOLCOMB KAMDEN</v>
      </c>
    </row>
    <row r="148" spans="1:7" x14ac:dyDescent="0.25">
      <c r="A148" s="8">
        <v>42903.680532407408</v>
      </c>
      <c r="B148" s="20" t="s">
        <v>479</v>
      </c>
      <c r="C148" s="20" t="s">
        <v>773</v>
      </c>
      <c r="D148" s="138">
        <v>3010000</v>
      </c>
      <c r="E148" s="20" t="s">
        <v>394</v>
      </c>
      <c r="F148" s="20" t="s">
        <v>395</v>
      </c>
      <c r="G148" s="8" t="str">
        <f t="shared" si="2"/>
        <v>SULLIVAN BRANDON</v>
      </c>
    </row>
    <row r="149" spans="1:7" x14ac:dyDescent="0.25">
      <c r="A149" s="8">
        <v>42903.685358796298</v>
      </c>
      <c r="B149" s="20" t="s">
        <v>446</v>
      </c>
      <c r="C149" s="20" t="s">
        <v>774</v>
      </c>
      <c r="D149" s="138">
        <v>920000</v>
      </c>
      <c r="E149" s="20" t="s">
        <v>415</v>
      </c>
      <c r="F149" s="20" t="s">
        <v>192</v>
      </c>
      <c r="G149" s="8" t="str">
        <f t="shared" si="2"/>
        <v>DAVIS MICHAEL</v>
      </c>
    </row>
    <row r="150" spans="1:7" x14ac:dyDescent="0.25">
      <c r="A150" s="8">
        <v>42903.690266203703</v>
      </c>
      <c r="B150" s="20" t="s">
        <v>422</v>
      </c>
      <c r="C150" s="20" t="s">
        <v>620</v>
      </c>
      <c r="D150" s="138">
        <v>2370000</v>
      </c>
      <c r="E150" s="20" t="s">
        <v>508</v>
      </c>
      <c r="F150" s="20" t="s">
        <v>509</v>
      </c>
      <c r="G150" s="8" t="str">
        <f t="shared" si="2"/>
        <v>DELGADO DIANAH</v>
      </c>
    </row>
    <row r="151" spans="1:7" x14ac:dyDescent="0.25">
      <c r="A151" s="8">
        <v>42903.693784722222</v>
      </c>
      <c r="B151" s="20" t="s">
        <v>398</v>
      </c>
      <c r="C151" s="20" t="s">
        <v>775</v>
      </c>
      <c r="D151" s="138">
        <v>2540000</v>
      </c>
      <c r="E151" s="20" t="s">
        <v>751</v>
      </c>
      <c r="F151" s="20" t="s">
        <v>752</v>
      </c>
      <c r="G151" s="8" t="str">
        <f t="shared" si="2"/>
        <v>MCREYNOLDS KYLE</v>
      </c>
    </row>
    <row r="152" spans="1:7" x14ac:dyDescent="0.25">
      <c r="A152" s="8">
        <v>42903.695740740739</v>
      </c>
      <c r="B152" s="20" t="s">
        <v>481</v>
      </c>
      <c r="C152" s="20" t="s">
        <v>776</v>
      </c>
      <c r="D152" s="138">
        <v>2360000</v>
      </c>
      <c r="E152" s="20" t="s">
        <v>719</v>
      </c>
      <c r="F152" s="20" t="s">
        <v>720</v>
      </c>
      <c r="G152" s="8" t="str">
        <f t="shared" si="2"/>
        <v>BRANDNER MELINDA</v>
      </c>
    </row>
    <row r="153" spans="1:7" x14ac:dyDescent="0.25">
      <c r="A153" s="8">
        <v>42903.704675925925</v>
      </c>
      <c r="B153" s="20" t="s">
        <v>370</v>
      </c>
      <c r="C153" s="20" t="s">
        <v>623</v>
      </c>
      <c r="D153" s="138">
        <v>880000</v>
      </c>
      <c r="E153" s="20" t="s">
        <v>485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42903.704687500001</v>
      </c>
      <c r="B154" s="20" t="s">
        <v>505</v>
      </c>
      <c r="C154" s="20" t="s">
        <v>777</v>
      </c>
      <c r="D154" s="138">
        <v>1770000</v>
      </c>
      <c r="E154" s="20" t="s">
        <v>724</v>
      </c>
      <c r="F154" s="20" t="s">
        <v>725</v>
      </c>
      <c r="G154" s="8" t="str">
        <f t="shared" si="2"/>
        <v>BRUDER RICHARD</v>
      </c>
    </row>
    <row r="155" spans="1:7" x14ac:dyDescent="0.25">
      <c r="A155" s="8">
        <v>42903.705347222225</v>
      </c>
      <c r="B155" s="20" t="s">
        <v>358</v>
      </c>
      <c r="C155" s="20" t="s">
        <v>619</v>
      </c>
      <c r="D155" s="138">
        <v>2260000</v>
      </c>
      <c r="E155" s="20" t="s">
        <v>730</v>
      </c>
      <c r="F155" s="20" t="s">
        <v>731</v>
      </c>
      <c r="G155" s="8" t="str">
        <f t="shared" si="2"/>
        <v>ARVIDSON DANIEL</v>
      </c>
    </row>
    <row r="156" spans="1:7" x14ac:dyDescent="0.25">
      <c r="A156" s="8">
        <v>42903.710219907407</v>
      </c>
      <c r="B156" s="20" t="s">
        <v>399</v>
      </c>
      <c r="C156" s="20" t="s">
        <v>778</v>
      </c>
      <c r="D156" s="138">
        <v>2540000</v>
      </c>
      <c r="E156" s="20" t="s">
        <v>751</v>
      </c>
      <c r="F156" s="20" t="s">
        <v>752</v>
      </c>
      <c r="G156" s="8" t="str">
        <f t="shared" si="2"/>
        <v>MCREYNOLDS KYLE</v>
      </c>
    </row>
    <row r="157" spans="1:7" x14ac:dyDescent="0.25">
      <c r="A157" s="8">
        <v>42903.714398148149</v>
      </c>
      <c r="B157" s="20" t="s">
        <v>538</v>
      </c>
      <c r="C157" s="20" t="s">
        <v>779</v>
      </c>
      <c r="D157" s="138">
        <v>2420000</v>
      </c>
      <c r="E157" s="20" t="s">
        <v>510</v>
      </c>
      <c r="F157" s="20" t="s">
        <v>511</v>
      </c>
      <c r="G157" s="8" t="str">
        <f t="shared" si="2"/>
        <v>HOLCOMB KAMDEN</v>
      </c>
    </row>
    <row r="158" spans="1:7" x14ac:dyDescent="0.25">
      <c r="A158" s="8">
        <v>42903.714791666665</v>
      </c>
      <c r="B158" s="20" t="s">
        <v>480</v>
      </c>
      <c r="C158" s="20" t="s">
        <v>624</v>
      </c>
      <c r="D158" s="138">
        <v>3010000</v>
      </c>
      <c r="E158" s="20" t="s">
        <v>394</v>
      </c>
      <c r="F158" s="20" t="s">
        <v>395</v>
      </c>
      <c r="G158" s="8" t="str">
        <f t="shared" si="2"/>
        <v>SULLIVAN BRANDON</v>
      </c>
    </row>
    <row r="159" spans="1:7" x14ac:dyDescent="0.25">
      <c r="A159" s="8">
        <v>42903.720046296294</v>
      </c>
      <c r="B159" s="20" t="s">
        <v>536</v>
      </c>
      <c r="C159" s="20" t="s">
        <v>780</v>
      </c>
      <c r="D159" s="138">
        <v>2270000</v>
      </c>
      <c r="E159" s="20" t="s">
        <v>781</v>
      </c>
      <c r="F159" s="20" t="s">
        <v>782</v>
      </c>
      <c r="G159" s="8" t="str">
        <f t="shared" si="2"/>
        <v>BROWN JACOB</v>
      </c>
    </row>
    <row r="160" spans="1:7" x14ac:dyDescent="0.25">
      <c r="A160" s="8">
        <v>42903.725370370368</v>
      </c>
      <c r="B160" s="20" t="s">
        <v>447</v>
      </c>
      <c r="C160" s="20" t="s">
        <v>626</v>
      </c>
      <c r="D160" s="138">
        <v>920000</v>
      </c>
      <c r="E160" s="20" t="s">
        <v>415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42903.726331018515</v>
      </c>
      <c r="B161" s="20" t="s">
        <v>424</v>
      </c>
      <c r="C161" s="20" t="s">
        <v>625</v>
      </c>
      <c r="D161" s="138">
        <v>2370000</v>
      </c>
      <c r="E161" s="20" t="s">
        <v>508</v>
      </c>
      <c r="F161" s="20" t="s">
        <v>509</v>
      </c>
      <c r="G161" s="8" t="str">
        <f t="shared" si="2"/>
        <v>DELGADO DIANAH</v>
      </c>
    </row>
    <row r="162" spans="1:7" x14ac:dyDescent="0.25">
      <c r="A162" s="8">
        <v>42903.735821759263</v>
      </c>
      <c r="B162" s="20" t="s">
        <v>482</v>
      </c>
      <c r="C162" s="20" t="s">
        <v>783</v>
      </c>
      <c r="D162" s="138">
        <v>2360000</v>
      </c>
      <c r="E162" s="20" t="s">
        <v>719</v>
      </c>
      <c r="F162" s="20" t="s">
        <v>720</v>
      </c>
      <c r="G162" s="8" t="str">
        <f t="shared" si="2"/>
        <v>BRANDNER MELINDA</v>
      </c>
    </row>
    <row r="163" spans="1:7" x14ac:dyDescent="0.25">
      <c r="A163" s="8">
        <v>42903.735925925925</v>
      </c>
      <c r="B163" s="20" t="s">
        <v>398</v>
      </c>
      <c r="C163" s="20" t="s">
        <v>784</v>
      </c>
      <c r="D163" s="138">
        <v>2540000</v>
      </c>
      <c r="E163" s="20" t="s">
        <v>751</v>
      </c>
      <c r="F163" s="20" t="s">
        <v>752</v>
      </c>
      <c r="G163" s="8" t="str">
        <f t="shared" si="2"/>
        <v>MCREYNOLDS KYLE</v>
      </c>
    </row>
    <row r="164" spans="1:7" x14ac:dyDescent="0.25">
      <c r="A164" s="8">
        <v>42903.737881944442</v>
      </c>
      <c r="B164" s="20" t="s">
        <v>373</v>
      </c>
      <c r="C164" s="20" t="s">
        <v>785</v>
      </c>
      <c r="D164" s="138">
        <v>2730000</v>
      </c>
      <c r="E164" s="20" t="s">
        <v>539</v>
      </c>
      <c r="F164" s="20" t="s">
        <v>540</v>
      </c>
      <c r="G164" s="8" t="str">
        <f t="shared" si="2"/>
        <v>YANG JAN</v>
      </c>
    </row>
    <row r="165" spans="1:7" x14ac:dyDescent="0.25">
      <c r="A165" s="8">
        <v>42903.741759259261</v>
      </c>
      <c r="B165" s="20" t="s">
        <v>421</v>
      </c>
      <c r="C165" s="20" t="s">
        <v>786</v>
      </c>
      <c r="D165" s="138">
        <v>3030000</v>
      </c>
      <c r="E165" s="20" t="s">
        <v>382</v>
      </c>
      <c r="F165" s="20" t="s">
        <v>367</v>
      </c>
      <c r="G165" s="8" t="str">
        <f t="shared" si="2"/>
        <v>BIRENBAUM THOMAS</v>
      </c>
    </row>
    <row r="166" spans="1:7" x14ac:dyDescent="0.25">
      <c r="A166" s="8">
        <v>42903.743773148148</v>
      </c>
      <c r="B166" s="20" t="s">
        <v>503</v>
      </c>
      <c r="C166" s="20" t="s">
        <v>787</v>
      </c>
      <c r="D166" s="138">
        <v>1770000</v>
      </c>
      <c r="E166" s="20" t="s">
        <v>724</v>
      </c>
      <c r="F166" s="20" t="s">
        <v>725</v>
      </c>
      <c r="G166" s="8" t="str">
        <f t="shared" si="2"/>
        <v>BRUDER RICHARD</v>
      </c>
    </row>
    <row r="167" spans="1:7" x14ac:dyDescent="0.25">
      <c r="A167" s="8">
        <v>42903.746747685182</v>
      </c>
      <c r="B167" s="20" t="s">
        <v>401</v>
      </c>
      <c r="C167" s="20" t="s">
        <v>627</v>
      </c>
      <c r="D167" s="138">
        <v>2420000</v>
      </c>
      <c r="E167" s="20" t="s">
        <v>510</v>
      </c>
      <c r="F167" s="20" t="s">
        <v>511</v>
      </c>
      <c r="G167" s="8" t="str">
        <f t="shared" si="2"/>
        <v>HOLCOMB KAMDEN</v>
      </c>
    </row>
    <row r="168" spans="1:7" x14ac:dyDescent="0.25">
      <c r="A168" s="8">
        <v>42903.748842592591</v>
      </c>
      <c r="B168" s="20" t="s">
        <v>399</v>
      </c>
      <c r="C168" s="20" t="s">
        <v>788</v>
      </c>
      <c r="D168" s="138">
        <v>2540000</v>
      </c>
      <c r="E168" s="20" t="s">
        <v>751</v>
      </c>
      <c r="F168" s="20" t="s">
        <v>752</v>
      </c>
      <c r="G168" s="8" t="str">
        <f t="shared" si="2"/>
        <v>MCREYNOLDS KYLE</v>
      </c>
    </row>
    <row r="169" spans="1:7" x14ac:dyDescent="0.25">
      <c r="A169" s="8">
        <v>42903.75136574074</v>
      </c>
      <c r="B169" s="20" t="s">
        <v>479</v>
      </c>
      <c r="C169" s="20" t="s">
        <v>789</v>
      </c>
      <c r="D169" s="138">
        <v>3010000</v>
      </c>
      <c r="E169" s="20" t="s">
        <v>394</v>
      </c>
      <c r="F169" s="20" t="s">
        <v>395</v>
      </c>
      <c r="G169" s="8" t="str">
        <f t="shared" si="2"/>
        <v>SULLIVAN BRANDON</v>
      </c>
    </row>
    <row r="170" spans="1:7" x14ac:dyDescent="0.25">
      <c r="A170" s="8">
        <v>42903.759039351855</v>
      </c>
      <c r="B170" s="20" t="s">
        <v>446</v>
      </c>
      <c r="C170" s="20" t="s">
        <v>628</v>
      </c>
      <c r="D170" s="138">
        <v>2620000</v>
      </c>
      <c r="E170" s="20" t="s">
        <v>545</v>
      </c>
      <c r="F170" s="20" t="s">
        <v>546</v>
      </c>
      <c r="G170" s="8" t="str">
        <f t="shared" si="2"/>
        <v>PERKINS DARREN</v>
      </c>
    </row>
    <row r="171" spans="1:7" x14ac:dyDescent="0.25">
      <c r="A171" s="8">
        <v>42903.764224537037</v>
      </c>
      <c r="B171" s="20" t="s">
        <v>422</v>
      </c>
      <c r="C171" s="20" t="s">
        <v>790</v>
      </c>
      <c r="D171" s="138">
        <v>2370000</v>
      </c>
      <c r="E171" s="20" t="s">
        <v>508</v>
      </c>
      <c r="F171" s="20" t="s">
        <v>509</v>
      </c>
      <c r="G171" s="8" t="str">
        <f t="shared" si="2"/>
        <v>DELGADO DIANAH</v>
      </c>
    </row>
    <row r="172" spans="1:7" x14ac:dyDescent="0.25">
      <c r="A172" s="8">
        <v>42903.768611111111</v>
      </c>
      <c r="B172" s="20" t="s">
        <v>481</v>
      </c>
      <c r="C172" s="20" t="s">
        <v>791</v>
      </c>
      <c r="D172" s="138">
        <v>3000000</v>
      </c>
      <c r="E172" s="20" t="s">
        <v>426</v>
      </c>
      <c r="F172" s="20" t="s">
        <v>427</v>
      </c>
      <c r="G172" s="8" t="str">
        <f t="shared" si="2"/>
        <v>FORTUNATO FRANK</v>
      </c>
    </row>
    <row r="173" spans="1:7" x14ac:dyDescent="0.25">
      <c r="A173" s="8">
        <v>42903.7737037037</v>
      </c>
      <c r="B173" s="20" t="s">
        <v>370</v>
      </c>
      <c r="C173" s="20" t="s">
        <v>792</v>
      </c>
      <c r="D173" s="138">
        <v>2730000</v>
      </c>
      <c r="E173" s="20" t="s">
        <v>539</v>
      </c>
      <c r="F173" s="20" t="s">
        <v>540</v>
      </c>
      <c r="G173" s="8" t="str">
        <f t="shared" si="2"/>
        <v>YANG JAN</v>
      </c>
    </row>
    <row r="174" spans="1:7" x14ac:dyDescent="0.25">
      <c r="A174" s="8">
        <v>42903.776701388888</v>
      </c>
      <c r="B174" s="20" t="s">
        <v>398</v>
      </c>
      <c r="C174" s="20" t="s">
        <v>793</v>
      </c>
      <c r="D174" s="138">
        <v>2540000</v>
      </c>
      <c r="E174" s="20" t="s">
        <v>751</v>
      </c>
      <c r="F174" s="20" t="s">
        <v>752</v>
      </c>
      <c r="G174" s="8" t="str">
        <f t="shared" si="2"/>
        <v>MCREYNOLDS KYLE</v>
      </c>
    </row>
    <row r="175" spans="1:7" x14ac:dyDescent="0.25">
      <c r="A175" s="8">
        <v>42903.777407407404</v>
      </c>
      <c r="B175" s="20" t="s">
        <v>505</v>
      </c>
      <c r="C175" s="20" t="s">
        <v>794</v>
      </c>
      <c r="D175" s="138">
        <v>1770000</v>
      </c>
      <c r="E175" s="20" t="s">
        <v>724</v>
      </c>
      <c r="F175" s="20" t="s">
        <v>725</v>
      </c>
      <c r="G175" s="8" t="str">
        <f t="shared" si="2"/>
        <v>BRUDER RICHARD</v>
      </c>
    </row>
    <row r="176" spans="1:7" x14ac:dyDescent="0.25">
      <c r="A176" s="8">
        <v>42903.78707175926</v>
      </c>
      <c r="B176" s="20" t="s">
        <v>538</v>
      </c>
      <c r="C176" s="20" t="s">
        <v>795</v>
      </c>
      <c r="D176" s="138">
        <v>2420000</v>
      </c>
      <c r="E176" s="20" t="s">
        <v>510</v>
      </c>
      <c r="F176" s="20" t="s">
        <v>511</v>
      </c>
      <c r="G176" s="8" t="str">
        <f t="shared" si="2"/>
        <v>HOLCOMB KAMDEN</v>
      </c>
    </row>
    <row r="177" spans="1:7" x14ac:dyDescent="0.25">
      <c r="A177" s="8">
        <v>42903.788993055554</v>
      </c>
      <c r="B177" s="20" t="s">
        <v>480</v>
      </c>
      <c r="C177" s="20" t="s">
        <v>796</v>
      </c>
      <c r="D177" s="138">
        <v>3090000</v>
      </c>
      <c r="E177" s="20" t="s">
        <v>376</v>
      </c>
      <c r="F177" s="20" t="s">
        <v>377</v>
      </c>
      <c r="G177" s="8" t="str">
        <f t="shared" si="2"/>
        <v>LAMAR NEKESHA</v>
      </c>
    </row>
    <row r="178" spans="1:7" x14ac:dyDescent="0.25">
      <c r="A178" s="8">
        <v>42903.79347222222</v>
      </c>
      <c r="B178" s="20" t="s">
        <v>447</v>
      </c>
      <c r="C178" s="20" t="s">
        <v>797</v>
      </c>
      <c r="D178" s="138">
        <v>2620000</v>
      </c>
      <c r="E178" s="20" t="s">
        <v>545</v>
      </c>
      <c r="F178" s="20" t="s">
        <v>546</v>
      </c>
      <c r="G178" s="8" t="str">
        <f t="shared" si="2"/>
        <v>PERKINS DARREN</v>
      </c>
    </row>
    <row r="179" spans="1:7" x14ac:dyDescent="0.25">
      <c r="A179" s="8">
        <v>42903.793703703705</v>
      </c>
      <c r="B179" s="20" t="s">
        <v>399</v>
      </c>
      <c r="C179" s="20" t="s">
        <v>629</v>
      </c>
      <c r="D179" s="138">
        <v>2540000</v>
      </c>
      <c r="E179" s="20" t="s">
        <v>751</v>
      </c>
      <c r="F179" s="20" t="s">
        <v>752</v>
      </c>
      <c r="G179" s="8" t="str">
        <f t="shared" si="2"/>
        <v>MCREYNOLDS KYLE</v>
      </c>
    </row>
    <row r="180" spans="1:7" x14ac:dyDescent="0.25">
      <c r="A180" s="8">
        <v>42903.797511574077</v>
      </c>
      <c r="B180" s="20" t="s">
        <v>424</v>
      </c>
      <c r="C180" s="20" t="s">
        <v>798</v>
      </c>
      <c r="D180" s="138">
        <v>2370000</v>
      </c>
      <c r="E180" s="20" t="s">
        <v>508</v>
      </c>
      <c r="F180" s="20" t="s">
        <v>509</v>
      </c>
      <c r="G180" s="8" t="str">
        <f t="shared" si="2"/>
        <v>DELGADO DIANAH</v>
      </c>
    </row>
    <row r="181" spans="1:7" x14ac:dyDescent="0.25">
      <c r="A181" s="8">
        <v>42903.807581018518</v>
      </c>
      <c r="B181" s="20" t="s">
        <v>482</v>
      </c>
      <c r="C181" s="20" t="s">
        <v>799</v>
      </c>
      <c r="D181" s="138">
        <v>3000000</v>
      </c>
      <c r="E181" s="20" t="s">
        <v>426</v>
      </c>
      <c r="F181" s="20" t="s">
        <v>427</v>
      </c>
      <c r="G181" s="8" t="str">
        <f t="shared" si="2"/>
        <v>FORTUNATO FRANK</v>
      </c>
    </row>
    <row r="182" spans="1:7" x14ac:dyDescent="0.25">
      <c r="A182" s="8">
        <v>42903.808703703704</v>
      </c>
      <c r="B182" s="20" t="s">
        <v>373</v>
      </c>
      <c r="C182" s="20" t="s">
        <v>800</v>
      </c>
      <c r="D182" s="138">
        <v>3030000</v>
      </c>
      <c r="E182" s="20" t="s">
        <v>382</v>
      </c>
      <c r="F182" s="20" t="s">
        <v>367</v>
      </c>
      <c r="G182" s="8" t="str">
        <f t="shared" si="2"/>
        <v>BIRENBAUM THOMAS</v>
      </c>
    </row>
    <row r="183" spans="1:7" x14ac:dyDescent="0.25">
      <c r="A183" s="8">
        <v>42903.818784722222</v>
      </c>
      <c r="B183" s="20" t="s">
        <v>398</v>
      </c>
      <c r="C183" s="20" t="s">
        <v>801</v>
      </c>
      <c r="D183" s="138">
        <v>2540000</v>
      </c>
      <c r="E183" s="20" t="s">
        <v>751</v>
      </c>
      <c r="F183" s="20" t="s">
        <v>752</v>
      </c>
      <c r="G183" s="8" t="str">
        <f t="shared" si="2"/>
        <v>MCREYNOLDS KYLE</v>
      </c>
    </row>
    <row r="184" spans="1:7" x14ac:dyDescent="0.25">
      <c r="A184" s="8">
        <v>42903.819108796299</v>
      </c>
      <c r="B184" s="20" t="s">
        <v>401</v>
      </c>
      <c r="C184" s="20" t="s">
        <v>802</v>
      </c>
      <c r="D184" s="138">
        <v>2420000</v>
      </c>
      <c r="E184" s="20" t="s">
        <v>510</v>
      </c>
      <c r="F184" s="20" t="s">
        <v>511</v>
      </c>
      <c r="G184" s="8" t="str">
        <f t="shared" si="2"/>
        <v>HOLCOMB KAMDEN</v>
      </c>
    </row>
    <row r="185" spans="1:7" x14ac:dyDescent="0.25">
      <c r="A185" s="8">
        <v>42903.828020833331</v>
      </c>
      <c r="B185" s="20" t="s">
        <v>479</v>
      </c>
      <c r="C185" s="20" t="s">
        <v>803</v>
      </c>
      <c r="D185" s="138">
        <v>3090000</v>
      </c>
      <c r="E185" s="20" t="s">
        <v>376</v>
      </c>
      <c r="F185" s="20" t="s">
        <v>377</v>
      </c>
      <c r="G185" s="8" t="str">
        <f t="shared" si="2"/>
        <v>LAMAR NEKESHA</v>
      </c>
    </row>
    <row r="186" spans="1:7" x14ac:dyDescent="0.25">
      <c r="A186" s="8">
        <v>42903.828750000001</v>
      </c>
      <c r="B186" s="20" t="s">
        <v>446</v>
      </c>
      <c r="C186" s="20" t="s">
        <v>804</v>
      </c>
      <c r="D186" s="138">
        <v>2620000</v>
      </c>
      <c r="E186" s="20" t="s">
        <v>545</v>
      </c>
      <c r="F186" s="20" t="s">
        <v>546</v>
      </c>
      <c r="G186" s="8" t="str">
        <f t="shared" si="2"/>
        <v>PERKINS DARREN</v>
      </c>
    </row>
    <row r="187" spans="1:7" x14ac:dyDescent="0.25">
      <c r="A187" s="8">
        <v>42903.838206018518</v>
      </c>
      <c r="B187" s="20" t="s">
        <v>399</v>
      </c>
      <c r="C187" s="20" t="s">
        <v>805</v>
      </c>
      <c r="D187" s="138">
        <v>2540000</v>
      </c>
      <c r="E187" s="20" t="s">
        <v>751</v>
      </c>
      <c r="F187" s="20" t="s">
        <v>752</v>
      </c>
      <c r="G187" s="8" t="str">
        <f t="shared" si="2"/>
        <v>MCREYNOLDS KYLE</v>
      </c>
    </row>
    <row r="188" spans="1:7" x14ac:dyDescent="0.25">
      <c r="A188" s="8">
        <v>42903.845057870371</v>
      </c>
      <c r="B188" s="20" t="s">
        <v>481</v>
      </c>
      <c r="C188" s="20" t="s">
        <v>806</v>
      </c>
      <c r="D188" s="138">
        <v>3000000</v>
      </c>
      <c r="E188" s="20" t="s">
        <v>426</v>
      </c>
      <c r="F188" s="20" t="s">
        <v>427</v>
      </c>
      <c r="G188" s="8" t="str">
        <f t="shared" si="2"/>
        <v>FORTUNATO FRANK</v>
      </c>
    </row>
    <row r="189" spans="1:7" x14ac:dyDescent="0.25">
      <c r="A189" s="8">
        <v>42903.848611111112</v>
      </c>
      <c r="B189" s="20" t="s">
        <v>370</v>
      </c>
      <c r="C189" s="20" t="s">
        <v>807</v>
      </c>
      <c r="D189" s="138">
        <v>3030000</v>
      </c>
      <c r="E189" s="20" t="s">
        <v>382</v>
      </c>
      <c r="F189" s="20" t="s">
        <v>367</v>
      </c>
      <c r="G189" s="8" t="str">
        <f t="shared" si="2"/>
        <v>BIRENBAUM THOMAS</v>
      </c>
    </row>
    <row r="190" spans="1:7" x14ac:dyDescent="0.25">
      <c r="A190" s="8">
        <v>42903.860879629632</v>
      </c>
      <c r="B190" s="20" t="s">
        <v>398</v>
      </c>
      <c r="C190" s="20" t="s">
        <v>808</v>
      </c>
      <c r="D190" s="138">
        <v>2540000</v>
      </c>
      <c r="E190" s="20" t="s">
        <v>751</v>
      </c>
      <c r="F190" s="20" t="s">
        <v>752</v>
      </c>
      <c r="G190" s="8" t="str">
        <f t="shared" si="2"/>
        <v>MCREYNOLDS KYLE</v>
      </c>
    </row>
    <row r="191" spans="1:7" x14ac:dyDescent="0.25">
      <c r="A191" s="8">
        <v>42903.865497685183</v>
      </c>
      <c r="B191" s="20" t="s">
        <v>447</v>
      </c>
      <c r="C191" s="20" t="s">
        <v>809</v>
      </c>
      <c r="D191" s="138">
        <v>2620000</v>
      </c>
      <c r="E191" s="20" t="s">
        <v>545</v>
      </c>
      <c r="F191" s="20" t="s">
        <v>546</v>
      </c>
      <c r="G191" s="8" t="str">
        <f t="shared" si="2"/>
        <v>PERKINS DARREN</v>
      </c>
    </row>
    <row r="192" spans="1:7" x14ac:dyDescent="0.25">
      <c r="A192" s="8">
        <v>42903.872164351851</v>
      </c>
      <c r="B192" s="20" t="s">
        <v>480</v>
      </c>
      <c r="C192" s="20" t="s">
        <v>810</v>
      </c>
      <c r="D192" s="138">
        <v>3090000</v>
      </c>
      <c r="E192" s="20" t="s">
        <v>376</v>
      </c>
      <c r="F192" s="20" t="s">
        <v>377</v>
      </c>
      <c r="G192" s="8" t="str">
        <f t="shared" si="2"/>
        <v>LAMAR NEKESHA</v>
      </c>
    </row>
    <row r="193" spans="1:7" x14ac:dyDescent="0.25">
      <c r="A193" s="8">
        <v>42903.874062499999</v>
      </c>
      <c r="B193" s="20" t="s">
        <v>399</v>
      </c>
      <c r="C193" s="20" t="s">
        <v>811</v>
      </c>
      <c r="D193" s="138">
        <v>2540000</v>
      </c>
      <c r="E193" s="20" t="s">
        <v>751</v>
      </c>
      <c r="F193" s="20" t="s">
        <v>752</v>
      </c>
      <c r="G193" s="8" t="str">
        <f t="shared" si="2"/>
        <v>MCREYNOLDS KYLE</v>
      </c>
    </row>
    <row r="194" spans="1:7" x14ac:dyDescent="0.25">
      <c r="A194" s="8">
        <v>42903.881111111114</v>
      </c>
      <c r="B194" s="20" t="s">
        <v>373</v>
      </c>
      <c r="C194" s="20" t="s">
        <v>812</v>
      </c>
      <c r="D194" s="138">
        <v>2730000</v>
      </c>
      <c r="E194" s="20" t="s">
        <v>539</v>
      </c>
      <c r="F194" s="20" t="s">
        <v>540</v>
      </c>
      <c r="G194" s="8" t="str">
        <f t="shared" si="2"/>
        <v>YANG JAN</v>
      </c>
    </row>
    <row r="195" spans="1:7" x14ac:dyDescent="0.25">
      <c r="A195" s="8">
        <v>42903.881921296299</v>
      </c>
      <c r="B195" s="20" t="s">
        <v>482</v>
      </c>
      <c r="C195" s="20" t="s">
        <v>630</v>
      </c>
      <c r="D195" s="138">
        <v>3000000</v>
      </c>
      <c r="E195" s="20" t="s">
        <v>426</v>
      </c>
      <c r="F195" s="20" t="s">
        <v>427</v>
      </c>
      <c r="G195" s="8" t="str">
        <f t="shared" ref="G195:G258" si="3">E195&amp;" "&amp;F195</f>
        <v>FORTUNATO FRANK</v>
      </c>
    </row>
    <row r="196" spans="1:7" x14ac:dyDescent="0.25">
      <c r="A196" s="8">
        <v>42903.901932870373</v>
      </c>
      <c r="B196" s="20" t="s">
        <v>398</v>
      </c>
      <c r="C196" s="20" t="s">
        <v>813</v>
      </c>
      <c r="D196" s="138">
        <v>2540000</v>
      </c>
      <c r="E196" s="20" t="s">
        <v>751</v>
      </c>
      <c r="F196" s="20" t="s">
        <v>752</v>
      </c>
      <c r="G196" s="8" t="str">
        <f t="shared" si="3"/>
        <v>MCREYNOLDS KYLE</v>
      </c>
    </row>
    <row r="197" spans="1:7" x14ac:dyDescent="0.25">
      <c r="A197" s="8">
        <v>42903.91033564815</v>
      </c>
      <c r="B197" s="20" t="s">
        <v>446</v>
      </c>
      <c r="C197" s="20" t="s">
        <v>814</v>
      </c>
      <c r="D197" s="138">
        <v>2620000</v>
      </c>
      <c r="E197" s="20" t="s">
        <v>545</v>
      </c>
      <c r="F197" s="20" t="s">
        <v>546</v>
      </c>
      <c r="G197" s="8" t="str">
        <f t="shared" si="3"/>
        <v>PERKINS DARREN</v>
      </c>
    </row>
    <row r="198" spans="1:7" x14ac:dyDescent="0.25">
      <c r="A198" s="8">
        <v>42903.911828703705</v>
      </c>
      <c r="B198" s="20" t="s">
        <v>479</v>
      </c>
      <c r="C198" s="20" t="s">
        <v>815</v>
      </c>
      <c r="D198" s="138">
        <v>3090000</v>
      </c>
      <c r="E198" s="20" t="s">
        <v>376</v>
      </c>
      <c r="F198" s="20" t="s">
        <v>377</v>
      </c>
      <c r="G198" s="8" t="str">
        <f t="shared" si="3"/>
        <v>LAMAR NEKESHA</v>
      </c>
    </row>
    <row r="199" spans="1:7" x14ac:dyDescent="0.25">
      <c r="A199" s="8">
        <v>42903.915312500001</v>
      </c>
      <c r="B199" s="20" t="s">
        <v>399</v>
      </c>
      <c r="C199" s="20" t="s">
        <v>816</v>
      </c>
      <c r="D199" s="138">
        <v>2540000</v>
      </c>
      <c r="E199" s="20" t="s">
        <v>751</v>
      </c>
      <c r="F199" s="20" t="s">
        <v>752</v>
      </c>
      <c r="G199" s="8" t="str">
        <f t="shared" si="3"/>
        <v>MCREYNOLDS KYLE</v>
      </c>
    </row>
    <row r="200" spans="1:7" x14ac:dyDescent="0.25">
      <c r="A200" s="8">
        <v>42903.927268518521</v>
      </c>
      <c r="B200" s="20" t="s">
        <v>481</v>
      </c>
      <c r="C200" s="20" t="s">
        <v>817</v>
      </c>
      <c r="D200" s="138">
        <v>3130000</v>
      </c>
      <c r="E200" s="20" t="s">
        <v>385</v>
      </c>
      <c r="F200" s="20" t="s">
        <v>386</v>
      </c>
      <c r="G200" s="8" t="str">
        <f t="shared" si="3"/>
        <v>ZEWDU DEREJE</v>
      </c>
    </row>
    <row r="201" spans="1:7" x14ac:dyDescent="0.25">
      <c r="A201" s="8">
        <v>42903.930474537039</v>
      </c>
      <c r="B201" s="20" t="s">
        <v>370</v>
      </c>
      <c r="C201" s="20" t="s">
        <v>818</v>
      </c>
      <c r="D201" s="138">
        <v>2730000</v>
      </c>
      <c r="E201" s="20" t="s">
        <v>539</v>
      </c>
      <c r="F201" s="20" t="s">
        <v>540</v>
      </c>
      <c r="G201" s="8" t="str">
        <f t="shared" si="3"/>
        <v>YANG JAN</v>
      </c>
    </row>
    <row r="202" spans="1:7" x14ac:dyDescent="0.25">
      <c r="A202" s="26">
        <v>42903.932337962964</v>
      </c>
      <c r="B202" s="20" t="s">
        <v>479</v>
      </c>
      <c r="C202" s="20" t="s">
        <v>815</v>
      </c>
      <c r="D202" s="138">
        <v>3090000</v>
      </c>
      <c r="E202" s="20" t="s">
        <v>376</v>
      </c>
      <c r="F202" s="20" t="s">
        <v>377</v>
      </c>
      <c r="G202" s="8" t="str">
        <f t="shared" si="3"/>
        <v>LAMAR NEKESHA</v>
      </c>
    </row>
    <row r="203" spans="1:7" x14ac:dyDescent="0.25">
      <c r="A203" s="8">
        <v>42903.934212962966</v>
      </c>
      <c r="B203" s="20" t="s">
        <v>479</v>
      </c>
      <c r="C203" s="20" t="s">
        <v>815</v>
      </c>
      <c r="D203" s="138">
        <v>3090000</v>
      </c>
      <c r="E203" s="20" t="s">
        <v>376</v>
      </c>
      <c r="F203" s="20" t="s">
        <v>377</v>
      </c>
      <c r="G203" s="8" t="str">
        <f t="shared" si="3"/>
        <v>LAMAR NEKESHA</v>
      </c>
    </row>
    <row r="204" spans="1:7" x14ac:dyDescent="0.25">
      <c r="A204" s="8">
        <v>42903.935115740744</v>
      </c>
      <c r="B204" s="20" t="s">
        <v>370</v>
      </c>
      <c r="C204" s="20" t="s">
        <v>818</v>
      </c>
      <c r="D204" s="138">
        <v>2730000</v>
      </c>
      <c r="E204" s="20" t="s">
        <v>539</v>
      </c>
      <c r="F204" s="20" t="s">
        <v>540</v>
      </c>
      <c r="G204" s="8" t="str">
        <f t="shared" si="3"/>
        <v>YANG JAN</v>
      </c>
    </row>
    <row r="205" spans="1:7" x14ac:dyDescent="0.25">
      <c r="A205" s="8">
        <v>42903.943703703706</v>
      </c>
      <c r="B205" s="20" t="s">
        <v>398</v>
      </c>
      <c r="C205" s="20" t="s">
        <v>819</v>
      </c>
      <c r="D205" s="138">
        <v>2540000</v>
      </c>
      <c r="E205" s="20" t="s">
        <v>751</v>
      </c>
      <c r="F205" s="20" t="s">
        <v>752</v>
      </c>
      <c r="G205" s="8" t="str">
        <f t="shared" si="3"/>
        <v>MCREYNOLDS KYLE</v>
      </c>
    </row>
    <row r="206" spans="1:7" x14ac:dyDescent="0.25">
      <c r="A206" s="8">
        <v>42903.951585648145</v>
      </c>
      <c r="B206" s="20" t="s">
        <v>447</v>
      </c>
      <c r="C206" s="20" t="s">
        <v>631</v>
      </c>
      <c r="D206" s="138">
        <v>2620000</v>
      </c>
      <c r="E206" s="20" t="s">
        <v>545</v>
      </c>
      <c r="F206" s="20" t="s">
        <v>546</v>
      </c>
      <c r="G206" s="8" t="str">
        <f t="shared" si="3"/>
        <v>PERKINS DARREN</v>
      </c>
    </row>
    <row r="207" spans="1:7" x14ac:dyDescent="0.25">
      <c r="A207" s="8">
        <v>42903.954710648148</v>
      </c>
      <c r="B207" s="20" t="s">
        <v>480</v>
      </c>
      <c r="C207" s="20" t="s">
        <v>632</v>
      </c>
      <c r="D207" s="138">
        <v>3090000</v>
      </c>
      <c r="E207" s="20" t="s">
        <v>376</v>
      </c>
      <c r="F207" s="20" t="s">
        <v>377</v>
      </c>
      <c r="G207" s="8" t="str">
        <f t="shared" si="3"/>
        <v>LAMAR NEKESHA</v>
      </c>
    </row>
    <row r="208" spans="1:7" x14ac:dyDescent="0.25">
      <c r="A208" s="8">
        <v>42903.962118055555</v>
      </c>
      <c r="B208" s="20" t="s">
        <v>480</v>
      </c>
      <c r="C208" s="20" t="s">
        <v>632</v>
      </c>
      <c r="D208" s="138">
        <v>3090000</v>
      </c>
      <c r="E208" s="20" t="s">
        <v>376</v>
      </c>
      <c r="F208" s="20" t="s">
        <v>377</v>
      </c>
      <c r="G208" s="8" t="str">
        <f t="shared" si="3"/>
        <v>LAMAR NEKESHA</v>
      </c>
    </row>
    <row r="209" spans="1:7" x14ac:dyDescent="0.25">
      <c r="A209" s="8">
        <v>42903.96665509259</v>
      </c>
      <c r="B209" s="20" t="s">
        <v>480</v>
      </c>
      <c r="C209" s="20" t="s">
        <v>632</v>
      </c>
      <c r="D209" s="138">
        <v>3090000</v>
      </c>
      <c r="E209" s="20" t="s">
        <v>376</v>
      </c>
      <c r="F209" s="20" t="s">
        <v>377</v>
      </c>
      <c r="G209" s="8" t="str">
        <f t="shared" si="3"/>
        <v>LAMAR NEKESHA</v>
      </c>
    </row>
    <row r="210" spans="1:7" x14ac:dyDescent="0.25">
      <c r="A210" s="8">
        <v>42903.967430555553</v>
      </c>
      <c r="B210" s="20" t="s">
        <v>480</v>
      </c>
      <c r="C210" s="20" t="s">
        <v>632</v>
      </c>
      <c r="D210" s="138">
        <v>3090000</v>
      </c>
      <c r="E210" s="20" t="s">
        <v>376</v>
      </c>
      <c r="F210" s="20" t="s">
        <v>377</v>
      </c>
      <c r="G210" s="8" t="str">
        <f t="shared" si="3"/>
        <v>LAMAR NEKESHA</v>
      </c>
    </row>
    <row r="211" spans="1:7" x14ac:dyDescent="0.25">
      <c r="A211" s="8">
        <v>42903.973703703705</v>
      </c>
      <c r="B211" s="20" t="s">
        <v>482</v>
      </c>
      <c r="C211" s="20" t="s">
        <v>820</v>
      </c>
      <c r="D211" s="138">
        <v>3130000</v>
      </c>
      <c r="E211" s="20" t="s">
        <v>385</v>
      </c>
      <c r="F211" s="20" t="s">
        <v>386</v>
      </c>
      <c r="G211" s="8" t="str">
        <f t="shared" si="3"/>
        <v>ZEWDU DEREJE</v>
      </c>
    </row>
    <row r="212" spans="1:7" x14ac:dyDescent="0.25">
      <c r="A212" s="8">
        <v>42903.977986111109</v>
      </c>
      <c r="B212" s="20" t="s">
        <v>373</v>
      </c>
      <c r="C212" s="20" t="s">
        <v>821</v>
      </c>
      <c r="D212" s="138">
        <v>2730000</v>
      </c>
      <c r="E212" s="20" t="s">
        <v>539</v>
      </c>
      <c r="F212" s="20" t="s">
        <v>540</v>
      </c>
      <c r="G212" s="8" t="str">
        <f t="shared" si="3"/>
        <v>YANG JAN</v>
      </c>
    </row>
    <row r="213" spans="1:7" x14ac:dyDescent="0.25">
      <c r="A213" s="8">
        <v>42903.994444444441</v>
      </c>
      <c r="B213" s="20" t="s">
        <v>446</v>
      </c>
      <c r="C213" s="20" t="s">
        <v>822</v>
      </c>
      <c r="D213" s="138">
        <v>2620000</v>
      </c>
      <c r="E213" s="20" t="s">
        <v>545</v>
      </c>
      <c r="F213" s="20" t="s">
        <v>546</v>
      </c>
      <c r="G213" s="8" t="str">
        <f t="shared" si="3"/>
        <v>PERKINS DARREN</v>
      </c>
    </row>
    <row r="214" spans="1:7" x14ac:dyDescent="0.25">
      <c r="A214" s="8">
        <v>42903.994884259257</v>
      </c>
      <c r="B214" s="20" t="s">
        <v>479</v>
      </c>
      <c r="C214" s="20" t="s">
        <v>823</v>
      </c>
      <c r="D214" s="138">
        <v>3090000</v>
      </c>
      <c r="E214" s="20" t="s">
        <v>376</v>
      </c>
      <c r="F214" s="20" t="s">
        <v>377</v>
      </c>
      <c r="G214" s="8" t="str">
        <f t="shared" si="3"/>
        <v>LAMAR NEKESHA</v>
      </c>
    </row>
    <row r="215" spans="1:7" x14ac:dyDescent="0.25">
      <c r="A215" s="8">
        <v>42903.996412037035</v>
      </c>
      <c r="B215" s="20" t="s">
        <v>479</v>
      </c>
      <c r="C215" s="20" t="s">
        <v>823</v>
      </c>
      <c r="D215" s="138">
        <v>3090000</v>
      </c>
      <c r="E215" s="20" t="s">
        <v>376</v>
      </c>
      <c r="F215" s="20" t="s">
        <v>377</v>
      </c>
      <c r="G215" s="8" t="str">
        <f t="shared" si="3"/>
        <v>LAMAR NEKESHA</v>
      </c>
    </row>
    <row r="216" spans="1:7" x14ac:dyDescent="0.25">
      <c r="A216" s="8">
        <v>42903.997581018521</v>
      </c>
      <c r="B216" s="20" t="s">
        <v>479</v>
      </c>
      <c r="C216" s="20" t="s">
        <v>823</v>
      </c>
      <c r="D216" s="138">
        <v>3090000</v>
      </c>
      <c r="E216" s="20" t="s">
        <v>376</v>
      </c>
      <c r="F216" s="20" t="s">
        <v>377</v>
      </c>
      <c r="G216" s="8" t="str">
        <f t="shared" si="3"/>
        <v>LAMAR NEKESHA</v>
      </c>
    </row>
    <row r="217" spans="1:7" x14ac:dyDescent="0.25">
      <c r="A217" s="8">
        <v>42904.006168981483</v>
      </c>
      <c r="B217" s="20" t="s">
        <v>481</v>
      </c>
      <c r="C217" s="20" t="s">
        <v>824</v>
      </c>
      <c r="D217" s="138">
        <v>3000000</v>
      </c>
      <c r="E217" s="20" t="s">
        <v>426</v>
      </c>
      <c r="F217" s="20" t="s">
        <v>427</v>
      </c>
      <c r="G217" s="8" t="str">
        <f t="shared" si="3"/>
        <v>FORTUNATO FRANK</v>
      </c>
    </row>
    <row r="218" spans="1:7" x14ac:dyDescent="0.25">
      <c r="A218" s="8">
        <v>42904.013923611114</v>
      </c>
      <c r="B218" s="20" t="s">
        <v>370</v>
      </c>
      <c r="C218" s="20" t="s">
        <v>825</v>
      </c>
      <c r="D218" s="138">
        <v>2730000</v>
      </c>
      <c r="E218" s="20" t="s">
        <v>539</v>
      </c>
      <c r="F218" s="20" t="s">
        <v>540</v>
      </c>
      <c r="G218" s="8" t="str">
        <f t="shared" si="3"/>
        <v>YANG JAN</v>
      </c>
    </row>
    <row r="219" spans="1:7" x14ac:dyDescent="0.25">
      <c r="A219" s="8">
        <v>42904.028599537036</v>
      </c>
      <c r="B219" s="20" t="s">
        <v>425</v>
      </c>
      <c r="C219" s="20" t="s">
        <v>826</v>
      </c>
      <c r="D219" s="138">
        <v>3090000</v>
      </c>
      <c r="E219" s="20" t="s">
        <v>376</v>
      </c>
      <c r="F219" s="20" t="s">
        <v>377</v>
      </c>
      <c r="G219" s="8" t="str">
        <f t="shared" si="3"/>
        <v>LAMAR NEKESHA</v>
      </c>
    </row>
    <row r="220" spans="1:7" x14ac:dyDescent="0.25">
      <c r="A220" s="8">
        <v>42904.03361111111</v>
      </c>
      <c r="B220" s="20" t="s">
        <v>447</v>
      </c>
      <c r="C220" s="20" t="s">
        <v>827</v>
      </c>
      <c r="D220" s="138">
        <v>2620000</v>
      </c>
      <c r="E220" s="20" t="s">
        <v>545</v>
      </c>
      <c r="F220" s="20" t="s">
        <v>546</v>
      </c>
      <c r="G220" s="8" t="str">
        <f t="shared" si="3"/>
        <v>PERKINS DARREN</v>
      </c>
    </row>
    <row r="221" spans="1:7" x14ac:dyDescent="0.25">
      <c r="A221" s="8">
        <v>42904.047581018516</v>
      </c>
      <c r="B221" s="20" t="s">
        <v>373</v>
      </c>
      <c r="C221" s="20" t="s">
        <v>828</v>
      </c>
      <c r="D221" s="138">
        <v>2730000</v>
      </c>
      <c r="E221" s="20" t="s">
        <v>539</v>
      </c>
      <c r="F221" s="20" t="s">
        <v>540</v>
      </c>
      <c r="G221" s="8" t="str">
        <f t="shared" si="3"/>
        <v>YANG JAN</v>
      </c>
    </row>
    <row r="222" spans="1:7" x14ac:dyDescent="0.25">
      <c r="A222" s="8">
        <v>42904.049270833333</v>
      </c>
      <c r="B222" s="20" t="s">
        <v>482</v>
      </c>
      <c r="C222" s="20" t="s">
        <v>829</v>
      </c>
      <c r="D222" s="138">
        <v>3000000</v>
      </c>
      <c r="E222" s="20" t="s">
        <v>426</v>
      </c>
      <c r="F222" s="20" t="s">
        <v>427</v>
      </c>
      <c r="G222" s="8" t="str">
        <f t="shared" si="3"/>
        <v>FORTUNATO FRANK</v>
      </c>
    </row>
    <row r="223" spans="1:7" x14ac:dyDescent="0.25">
      <c r="A223" s="8">
        <v>42904.06894675926</v>
      </c>
      <c r="B223" s="20" t="s">
        <v>446</v>
      </c>
      <c r="C223" s="20" t="s">
        <v>830</v>
      </c>
      <c r="D223" s="138">
        <v>2620000</v>
      </c>
      <c r="E223" s="20" t="s">
        <v>545</v>
      </c>
      <c r="F223" s="20" t="s">
        <v>546</v>
      </c>
      <c r="G223" s="8" t="str">
        <f t="shared" si="3"/>
        <v>PERKINS DARREN</v>
      </c>
    </row>
    <row r="224" spans="1:7" x14ac:dyDescent="0.25">
      <c r="A224" s="8">
        <v>42904.077696759261</v>
      </c>
      <c r="B224" t="s">
        <v>421</v>
      </c>
      <c r="C224" t="s">
        <v>831</v>
      </c>
      <c r="D224" s="138">
        <v>3090000</v>
      </c>
      <c r="E224" t="s">
        <v>376</v>
      </c>
      <c r="F224" s="20" t="s">
        <v>377</v>
      </c>
      <c r="G224" s="8" t="str">
        <f t="shared" si="3"/>
        <v>LAMAR NEKESHA</v>
      </c>
    </row>
    <row r="225" spans="1:7" x14ac:dyDescent="0.25">
      <c r="A225" s="8">
        <v>42904.090011574073</v>
      </c>
      <c r="B225" t="s">
        <v>481</v>
      </c>
      <c r="C225" t="s">
        <v>832</v>
      </c>
      <c r="D225" s="138">
        <v>3000000</v>
      </c>
      <c r="E225" t="s">
        <v>426</v>
      </c>
      <c r="F225" s="20" t="s">
        <v>427</v>
      </c>
      <c r="G225" s="8" t="str">
        <f t="shared" si="3"/>
        <v>FORTUNATO FRANK</v>
      </c>
    </row>
    <row r="226" spans="1:7" x14ac:dyDescent="0.25">
      <c r="A226" s="8">
        <v>42904.111770833333</v>
      </c>
      <c r="B226" t="s">
        <v>425</v>
      </c>
      <c r="C226" t="s">
        <v>833</v>
      </c>
      <c r="D226" s="138">
        <v>3090000</v>
      </c>
      <c r="E226" t="s">
        <v>376</v>
      </c>
      <c r="F226" s="20" t="s">
        <v>377</v>
      </c>
      <c r="G226" s="8" t="str">
        <f t="shared" si="3"/>
        <v>LAMAR NEKESHA</v>
      </c>
    </row>
    <row r="227" spans="1:7" x14ac:dyDescent="0.25">
      <c r="A227" s="8">
        <v>42904.112488425926</v>
      </c>
      <c r="B227" t="s">
        <v>425</v>
      </c>
      <c r="C227" t="s">
        <v>833</v>
      </c>
      <c r="D227" s="138">
        <v>3090000</v>
      </c>
      <c r="E227" t="s">
        <v>376</v>
      </c>
      <c r="F227" s="20" t="s">
        <v>377</v>
      </c>
      <c r="G227" s="8" t="str">
        <f t="shared" si="3"/>
        <v>LAMAR NEKESHA</v>
      </c>
    </row>
    <row r="228" spans="1:7" x14ac:dyDescent="0.25">
      <c r="A228" s="8">
        <v>42904.113310185188</v>
      </c>
      <c r="B228" t="s">
        <v>425</v>
      </c>
      <c r="C228" t="s">
        <v>833</v>
      </c>
      <c r="D228" s="138">
        <v>3090000</v>
      </c>
      <c r="E228" t="s">
        <v>376</v>
      </c>
      <c r="F228" s="20" t="s">
        <v>377</v>
      </c>
      <c r="G228" s="8" t="str">
        <f t="shared" si="3"/>
        <v>LAMAR NEKESHA</v>
      </c>
    </row>
    <row r="229" spans="1:7" x14ac:dyDescent="0.25">
      <c r="A229" s="8">
        <v>42904.114108796297</v>
      </c>
      <c r="B229" t="s">
        <v>425</v>
      </c>
      <c r="C229" t="s">
        <v>833</v>
      </c>
      <c r="D229" s="138">
        <v>3090000</v>
      </c>
      <c r="E229" t="s">
        <v>376</v>
      </c>
      <c r="F229" s="20" t="s">
        <v>377</v>
      </c>
      <c r="G229" s="8" t="str">
        <f t="shared" si="3"/>
        <v>LAMAR NEKESHA</v>
      </c>
    </row>
    <row r="230" spans="1:7" x14ac:dyDescent="0.25">
      <c r="A230" s="8">
        <v>42901.966504629629</v>
      </c>
      <c r="B230" t="s">
        <v>479</v>
      </c>
      <c r="C230" t="s">
        <v>547</v>
      </c>
      <c r="D230" s="138">
        <v>3000000</v>
      </c>
      <c r="E230" t="s">
        <v>426</v>
      </c>
      <c r="F230" s="20" t="s">
        <v>427</v>
      </c>
      <c r="G230" s="8" t="str">
        <f t="shared" si="3"/>
        <v>FORTUNATO FRANK</v>
      </c>
    </row>
    <row r="231" spans="1:7" x14ac:dyDescent="0.25">
      <c r="A231" s="8">
        <v>42901.991805555554</v>
      </c>
      <c r="B231" t="s">
        <v>538</v>
      </c>
      <c r="C231" t="s">
        <v>587</v>
      </c>
      <c r="D231" s="138">
        <v>3130000</v>
      </c>
      <c r="E231" t="s">
        <v>385</v>
      </c>
      <c r="F231" s="20" t="s">
        <v>386</v>
      </c>
      <c r="G231" s="8" t="str">
        <f t="shared" si="3"/>
        <v>ZEWDU DEREJE</v>
      </c>
    </row>
    <row r="232" spans="1:7" x14ac:dyDescent="0.25">
      <c r="A232" s="8">
        <v>42901.992928240739</v>
      </c>
      <c r="B232" t="s">
        <v>373</v>
      </c>
      <c r="C232" t="s">
        <v>589</v>
      </c>
      <c r="D232" s="138">
        <v>2620000</v>
      </c>
      <c r="E232" t="s">
        <v>545</v>
      </c>
      <c r="F232" s="20" t="s">
        <v>546</v>
      </c>
      <c r="G232" s="8" t="str">
        <f t="shared" si="3"/>
        <v>PERKINS DARREN</v>
      </c>
    </row>
    <row r="233" spans="1:7" x14ac:dyDescent="0.25">
      <c r="A233" s="8">
        <v>42902.006111111114</v>
      </c>
      <c r="B233" t="s">
        <v>480</v>
      </c>
      <c r="C233" t="s">
        <v>591</v>
      </c>
      <c r="D233" s="138">
        <v>3000000</v>
      </c>
      <c r="E233" t="s">
        <v>426</v>
      </c>
      <c r="F233" s="20" t="s">
        <v>427</v>
      </c>
      <c r="G233" s="8" t="str">
        <f t="shared" si="3"/>
        <v>FORTUNATO FRANK</v>
      </c>
    </row>
    <row r="234" spans="1:7" x14ac:dyDescent="0.25">
      <c r="A234" s="8">
        <v>42902.013460648152</v>
      </c>
      <c r="B234" t="s">
        <v>447</v>
      </c>
      <c r="C234" t="s">
        <v>588</v>
      </c>
      <c r="D234" s="138">
        <v>2230000</v>
      </c>
      <c r="E234" t="s">
        <v>342</v>
      </c>
      <c r="F234" s="20" t="s">
        <v>192</v>
      </c>
      <c r="G234" s="8" t="str">
        <f t="shared" si="3"/>
        <v>SMITH MICHAEL</v>
      </c>
    </row>
    <row r="235" spans="1:7" x14ac:dyDescent="0.25">
      <c r="A235" s="8">
        <v>42902.027928240743</v>
      </c>
      <c r="B235" t="s">
        <v>401</v>
      </c>
      <c r="C235" t="s">
        <v>593</v>
      </c>
      <c r="D235" s="138">
        <v>3090000</v>
      </c>
      <c r="E235" t="s">
        <v>376</v>
      </c>
      <c r="F235" s="20" t="s">
        <v>377</v>
      </c>
      <c r="G235" s="8" t="str">
        <f t="shared" si="3"/>
        <v>LAMAR NEKESHA</v>
      </c>
    </row>
    <row r="236" spans="1:7" x14ac:dyDescent="0.25">
      <c r="A236" s="8">
        <v>42902.032777777778</v>
      </c>
      <c r="B236" t="s">
        <v>370</v>
      </c>
      <c r="C236" t="s">
        <v>590</v>
      </c>
      <c r="D236" s="138">
        <v>2620000</v>
      </c>
      <c r="E236" t="s">
        <v>545</v>
      </c>
      <c r="F236" s="20" t="s">
        <v>546</v>
      </c>
      <c r="G236" s="8" t="str">
        <f t="shared" si="3"/>
        <v>PERKINS DARREN</v>
      </c>
    </row>
    <row r="237" spans="1:7" x14ac:dyDescent="0.25">
      <c r="A237" s="8">
        <v>42902.048391203702</v>
      </c>
      <c r="B237" t="s">
        <v>479</v>
      </c>
      <c r="C237" t="s">
        <v>592</v>
      </c>
      <c r="D237" s="138">
        <v>3000000</v>
      </c>
      <c r="E237" t="s">
        <v>426</v>
      </c>
      <c r="F237" s="20" t="s">
        <v>427</v>
      </c>
      <c r="G237" s="8" t="str">
        <f t="shared" si="3"/>
        <v>FORTUNATO FRANK</v>
      </c>
    </row>
    <row r="238" spans="1:7" x14ac:dyDescent="0.25">
      <c r="A238" s="8">
        <v>42902.049259259256</v>
      </c>
      <c r="B238" t="s">
        <v>446</v>
      </c>
      <c r="C238" t="s">
        <v>594</v>
      </c>
      <c r="D238" s="138">
        <v>2230000</v>
      </c>
      <c r="E238" t="s">
        <v>342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42902.050671296296</v>
      </c>
      <c r="B239" t="s">
        <v>446</v>
      </c>
      <c r="C239" t="s">
        <v>594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42902.068773148145</v>
      </c>
      <c r="B240" t="s">
        <v>373</v>
      </c>
      <c r="C240" t="s">
        <v>595</v>
      </c>
      <c r="D240" s="138">
        <v>2620000</v>
      </c>
      <c r="E240" t="s">
        <v>545</v>
      </c>
      <c r="F240" s="20" t="s">
        <v>546</v>
      </c>
      <c r="G240" s="8" t="str">
        <f t="shared" si="3"/>
        <v>PERKINS DARREN</v>
      </c>
    </row>
    <row r="241" spans="1:7" x14ac:dyDescent="0.25">
      <c r="A241" s="8">
        <v>42902.069409722222</v>
      </c>
      <c r="B241" t="s">
        <v>373</v>
      </c>
      <c r="C241" t="s">
        <v>595</v>
      </c>
      <c r="D241" s="138">
        <v>2620000</v>
      </c>
      <c r="E241" t="s">
        <v>545</v>
      </c>
      <c r="F241" s="20" t="s">
        <v>546</v>
      </c>
      <c r="G241" s="8" t="str">
        <f t="shared" si="3"/>
        <v>PERKINS DARREN</v>
      </c>
    </row>
    <row r="242" spans="1:7" x14ac:dyDescent="0.25">
      <c r="A242" s="8">
        <v>42902.070057870369</v>
      </c>
      <c r="B242" t="s">
        <v>373</v>
      </c>
      <c r="C242" t="s">
        <v>595</v>
      </c>
      <c r="D242" s="138">
        <v>2620000</v>
      </c>
      <c r="E242" t="s">
        <v>545</v>
      </c>
      <c r="F242" s="20" t="s">
        <v>546</v>
      </c>
      <c r="G242" s="8" t="str">
        <f t="shared" si="3"/>
        <v>PERKINS DARREN</v>
      </c>
    </row>
    <row r="243" spans="1:7" x14ac:dyDescent="0.25">
      <c r="A243" s="8">
        <v>42902.07136574074</v>
      </c>
      <c r="B243" t="s">
        <v>373</v>
      </c>
      <c r="C243" t="s">
        <v>595</v>
      </c>
      <c r="D243" s="138">
        <v>2620000</v>
      </c>
      <c r="E243" t="s">
        <v>545</v>
      </c>
      <c r="F243" s="20" t="s">
        <v>546</v>
      </c>
      <c r="G243" s="8" t="str">
        <f t="shared" si="3"/>
        <v>PERKINS DARREN</v>
      </c>
    </row>
    <row r="244" spans="1:7" x14ac:dyDescent="0.25">
      <c r="A244" s="8">
        <v>42902.089062500003</v>
      </c>
      <c r="B244" t="s">
        <v>480</v>
      </c>
      <c r="C244" t="s">
        <v>596</v>
      </c>
      <c r="D244" s="138">
        <v>3000000</v>
      </c>
      <c r="E244" t="s">
        <v>426</v>
      </c>
      <c r="F244" s="20" t="s">
        <v>427</v>
      </c>
      <c r="G244" s="8" t="str">
        <f t="shared" si="3"/>
        <v>FORTUNATO FRANK</v>
      </c>
    </row>
    <row r="245" spans="1:7" x14ac:dyDescent="0.25">
      <c r="A245" s="8">
        <v>42902.115844907406</v>
      </c>
      <c r="B245" t="s">
        <v>421</v>
      </c>
      <c r="C245" t="s">
        <v>597</v>
      </c>
      <c r="D245" s="138">
        <v>1110000</v>
      </c>
      <c r="E245" t="s">
        <v>470</v>
      </c>
      <c r="F245" s="20" t="s">
        <v>471</v>
      </c>
      <c r="G245" s="8" t="str">
        <f t="shared" si="3"/>
        <v>STARKS ANGELINA</v>
      </c>
    </row>
    <row r="246" spans="1:7" x14ac:dyDescent="0.25">
      <c r="A246" s="8">
        <v>42902.116840277777</v>
      </c>
      <c r="B246" t="s">
        <v>421</v>
      </c>
      <c r="C246" t="s">
        <v>597</v>
      </c>
      <c r="D246" s="138">
        <v>1110000</v>
      </c>
      <c r="E246" t="s">
        <v>470</v>
      </c>
      <c r="F246" s="20" t="s">
        <v>471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421</v>
      </c>
      <c r="C247" t="s">
        <v>597</v>
      </c>
      <c r="D247" s="138">
        <v>1110000</v>
      </c>
      <c r="E247" t="s">
        <v>470</v>
      </c>
      <c r="F247" s="20" t="s">
        <v>471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425</v>
      </c>
      <c r="C248" t="s">
        <v>598</v>
      </c>
      <c r="D248" s="138">
        <v>1090000</v>
      </c>
      <c r="E248" t="s">
        <v>484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467</v>
      </c>
      <c r="C249" t="s">
        <v>599</v>
      </c>
      <c r="D249" s="138">
        <v>1110000</v>
      </c>
      <c r="E249" t="s">
        <v>470</v>
      </c>
      <c r="F249" s="20" t="s">
        <v>471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421</v>
      </c>
      <c r="C250" t="s">
        <v>600</v>
      </c>
      <c r="D250" s="138">
        <v>1090000</v>
      </c>
      <c r="E250" t="s">
        <v>484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502</v>
      </c>
      <c r="C251" t="s">
        <v>601</v>
      </c>
      <c r="D251" s="138">
        <v>900000</v>
      </c>
      <c r="E251" t="s">
        <v>541</v>
      </c>
      <c r="F251" s="20" t="s">
        <v>542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425</v>
      </c>
      <c r="C252" t="s">
        <v>602</v>
      </c>
      <c r="D252" s="138">
        <v>1090000</v>
      </c>
      <c r="E252" t="s">
        <v>484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448</v>
      </c>
      <c r="C253" t="s">
        <v>603</v>
      </c>
      <c r="D253" s="138">
        <v>940000</v>
      </c>
      <c r="E253" t="s">
        <v>468</v>
      </c>
      <c r="F253" s="20" t="s">
        <v>469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466</v>
      </c>
      <c r="C254" t="s">
        <v>486</v>
      </c>
      <c r="D254" s="138">
        <v>3000000</v>
      </c>
      <c r="E254" t="s">
        <v>426</v>
      </c>
      <c r="F254" s="20" t="s">
        <v>427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479</v>
      </c>
      <c r="C255" t="s">
        <v>483</v>
      </c>
      <c r="D255" s="138">
        <v>2090000</v>
      </c>
      <c r="E255" t="s">
        <v>462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442</v>
      </c>
      <c r="C256" t="s">
        <v>487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446</v>
      </c>
      <c r="C257" t="s">
        <v>488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480</v>
      </c>
      <c r="C258" t="s">
        <v>489</v>
      </c>
      <c r="D258" s="138">
        <v>2090000</v>
      </c>
      <c r="E258" t="s">
        <v>462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472</v>
      </c>
      <c r="C259" t="s">
        <v>490</v>
      </c>
      <c r="D259" s="138">
        <v>3000000</v>
      </c>
      <c r="E259" t="s">
        <v>426</v>
      </c>
      <c r="F259" s="20" t="s">
        <v>427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480</v>
      </c>
      <c r="C260" t="s">
        <v>489</v>
      </c>
      <c r="D260" s="138">
        <v>2090000</v>
      </c>
      <c r="E260" t="s">
        <v>462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480</v>
      </c>
      <c r="C261" t="s">
        <v>489</v>
      </c>
      <c r="D261" s="138">
        <v>2090000</v>
      </c>
      <c r="E261" t="s">
        <v>462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480</v>
      </c>
      <c r="C262" t="s">
        <v>489</v>
      </c>
      <c r="D262" s="138">
        <v>2090000</v>
      </c>
      <c r="E262" t="s">
        <v>462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447</v>
      </c>
      <c r="C263" t="s">
        <v>491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443</v>
      </c>
      <c r="C264" t="s">
        <v>492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443</v>
      </c>
      <c r="C265" t="s">
        <v>492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466</v>
      </c>
      <c r="C266" t="s">
        <v>493</v>
      </c>
      <c r="D266" s="138">
        <v>3000000</v>
      </c>
      <c r="E266" t="s">
        <v>426</v>
      </c>
      <c r="F266" s="20" t="s">
        <v>427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446</v>
      </c>
      <c r="C267" t="s">
        <v>494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423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429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425</v>
      </c>
      <c r="C270" t="s">
        <v>430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431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422</v>
      </c>
      <c r="C272" t="s">
        <v>432</v>
      </c>
      <c r="D272" s="138">
        <v>3000000</v>
      </c>
      <c r="E272" t="s">
        <v>426</v>
      </c>
      <c r="F272" s="20" t="s">
        <v>427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428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433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421</v>
      </c>
      <c r="C275" t="s">
        <v>434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424</v>
      </c>
      <c r="C276" t="s">
        <v>435</v>
      </c>
      <c r="D276" s="138">
        <v>3000000</v>
      </c>
      <c r="E276" t="s">
        <v>426</v>
      </c>
      <c r="F276" s="20" t="s">
        <v>427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425</v>
      </c>
      <c r="C277" t="s">
        <v>436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834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512</v>
      </c>
      <c r="P1" s="171" t="s">
        <v>156</v>
      </c>
      <c r="Q1" s="171" t="s">
        <v>163</v>
      </c>
      <c r="R1" s="171" t="s">
        <v>513</v>
      </c>
      <c r="S1" s="216" t="s">
        <v>160</v>
      </c>
    </row>
    <row r="2" spans="1:19" x14ac:dyDescent="0.25">
      <c r="A2" s="172">
        <v>71.58</v>
      </c>
      <c r="B2" s="172">
        <v>0.53</v>
      </c>
      <c r="C2" s="172">
        <v>36.4</v>
      </c>
      <c r="D2" s="8">
        <v>42903</v>
      </c>
      <c r="E2" s="172">
        <v>0.24</v>
      </c>
      <c r="F2" s="172" t="s">
        <v>551</v>
      </c>
      <c r="G2" s="172">
        <v>297.33</v>
      </c>
      <c r="H2" s="172">
        <v>0</v>
      </c>
      <c r="I2" s="172">
        <v>0</v>
      </c>
      <c r="J2" s="172"/>
      <c r="K2" s="172">
        <v>1004.49</v>
      </c>
      <c r="L2" s="172" t="s">
        <v>549</v>
      </c>
      <c r="M2" s="172">
        <v>75.41</v>
      </c>
      <c r="N2" s="172">
        <v>1497679200</v>
      </c>
      <c r="O2" s="172">
        <v>0</v>
      </c>
      <c r="P2" s="172">
        <v>10</v>
      </c>
      <c r="Q2" s="172">
        <v>213</v>
      </c>
      <c r="R2" s="172">
        <v>7.03</v>
      </c>
      <c r="S2" s="189">
        <v>6.34</v>
      </c>
    </row>
    <row r="3" spans="1:19" x14ac:dyDescent="0.25">
      <c r="A3" s="172">
        <v>69.73</v>
      </c>
      <c r="B3" s="172">
        <v>0.32</v>
      </c>
      <c r="C3" s="172">
        <v>36.26</v>
      </c>
      <c r="D3" s="8">
        <v>42903.041666666664</v>
      </c>
      <c r="E3" s="172">
        <v>0.26</v>
      </c>
      <c r="F3" s="172" t="s">
        <v>551</v>
      </c>
      <c r="G3" s="172">
        <v>297.55</v>
      </c>
      <c r="H3" s="172">
        <v>0</v>
      </c>
      <c r="I3" s="172">
        <v>0</v>
      </c>
      <c r="J3" s="172"/>
      <c r="K3" s="172">
        <v>1004.58</v>
      </c>
      <c r="L3" s="172" t="s">
        <v>549</v>
      </c>
      <c r="M3" s="172">
        <v>73.510000000000005</v>
      </c>
      <c r="N3" s="172">
        <v>1497682800</v>
      </c>
      <c r="O3" s="172">
        <v>0</v>
      </c>
      <c r="P3" s="172">
        <v>10</v>
      </c>
      <c r="Q3" s="172">
        <v>211</v>
      </c>
      <c r="R3" s="172">
        <v>6.97</v>
      </c>
      <c r="S3" s="189">
        <v>6.1</v>
      </c>
    </row>
    <row r="4" spans="1:19" x14ac:dyDescent="0.25">
      <c r="A4" s="172">
        <v>68.06</v>
      </c>
      <c r="B4" s="172">
        <v>0.28000000000000003</v>
      </c>
      <c r="C4" s="172">
        <v>35.9</v>
      </c>
      <c r="D4" s="8">
        <v>42903.083333333336</v>
      </c>
      <c r="E4" s="172">
        <v>0.27</v>
      </c>
      <c r="F4" s="172" t="s">
        <v>551</v>
      </c>
      <c r="G4" s="172">
        <v>298.10000000000002</v>
      </c>
      <c r="H4" s="172">
        <v>0</v>
      </c>
      <c r="I4" s="172">
        <v>0</v>
      </c>
      <c r="J4" s="172"/>
      <c r="K4" s="172">
        <v>1004.68</v>
      </c>
      <c r="L4" s="172" t="s">
        <v>549</v>
      </c>
      <c r="M4" s="172">
        <v>72.150000000000006</v>
      </c>
      <c r="N4" s="172">
        <v>1497686400</v>
      </c>
      <c r="O4" s="172">
        <v>0</v>
      </c>
      <c r="P4" s="172">
        <v>10</v>
      </c>
      <c r="Q4" s="172">
        <v>236</v>
      </c>
      <c r="R4" s="172">
        <v>7.34</v>
      </c>
      <c r="S4" s="189">
        <v>6.51</v>
      </c>
    </row>
    <row r="5" spans="1:19" x14ac:dyDescent="0.25">
      <c r="A5" s="172">
        <v>67.06</v>
      </c>
      <c r="B5" s="172">
        <v>0.28000000000000003</v>
      </c>
      <c r="C5" s="172">
        <v>36.19</v>
      </c>
      <c r="D5" s="8">
        <v>42903.125</v>
      </c>
      <c r="E5" s="172">
        <v>0.28000000000000003</v>
      </c>
      <c r="F5" s="172" t="s">
        <v>551</v>
      </c>
      <c r="G5" s="172">
        <v>298.43</v>
      </c>
      <c r="H5" s="172">
        <v>0</v>
      </c>
      <c r="I5" s="172">
        <v>0</v>
      </c>
      <c r="J5" s="172"/>
      <c r="K5" s="172">
        <v>1005.22</v>
      </c>
      <c r="L5" s="172" t="s">
        <v>549</v>
      </c>
      <c r="M5" s="172">
        <v>70.84</v>
      </c>
      <c r="N5" s="172">
        <v>1497690000</v>
      </c>
      <c r="O5" s="172">
        <v>0</v>
      </c>
      <c r="P5" s="172">
        <v>10</v>
      </c>
      <c r="Q5" s="172">
        <v>237</v>
      </c>
      <c r="R5" s="172">
        <v>8.17</v>
      </c>
      <c r="S5" s="189">
        <v>5.86</v>
      </c>
    </row>
    <row r="6" spans="1:19" x14ac:dyDescent="0.25">
      <c r="A6" s="172">
        <v>65.41</v>
      </c>
      <c r="B6" s="172">
        <v>0.48</v>
      </c>
      <c r="C6" s="172">
        <v>36.049999999999997</v>
      </c>
      <c r="D6" s="8">
        <v>42903.166666666664</v>
      </c>
      <c r="E6" s="172">
        <v>0.3</v>
      </c>
      <c r="F6" s="172" t="s">
        <v>551</v>
      </c>
      <c r="G6" s="172">
        <v>298.43</v>
      </c>
      <c r="H6" s="172">
        <v>0</v>
      </c>
      <c r="I6" s="172">
        <v>0</v>
      </c>
      <c r="J6" s="172"/>
      <c r="K6" s="172">
        <v>1005.33</v>
      </c>
      <c r="L6" s="172" t="s">
        <v>549</v>
      </c>
      <c r="M6" s="172">
        <v>69.16</v>
      </c>
      <c r="N6" s="172">
        <v>1497693600</v>
      </c>
      <c r="O6" s="172">
        <v>0</v>
      </c>
      <c r="P6" s="172">
        <v>10</v>
      </c>
      <c r="Q6" s="172">
        <v>230</v>
      </c>
      <c r="R6" s="172">
        <v>7.25</v>
      </c>
      <c r="S6" s="189">
        <v>5.68</v>
      </c>
    </row>
    <row r="7" spans="1:19" x14ac:dyDescent="0.25">
      <c r="A7" s="172">
        <v>64.19</v>
      </c>
      <c r="B7" s="172">
        <v>0.5</v>
      </c>
      <c r="C7" s="172">
        <v>35.85</v>
      </c>
      <c r="D7" s="8">
        <v>42903.208333333336</v>
      </c>
      <c r="E7" s="172">
        <v>0.3</v>
      </c>
      <c r="F7" s="172" t="s">
        <v>551</v>
      </c>
      <c r="G7" s="172">
        <v>298.44</v>
      </c>
      <c r="H7" s="172">
        <v>0</v>
      </c>
      <c r="I7" s="172">
        <v>0</v>
      </c>
      <c r="J7" s="172"/>
      <c r="K7" s="172">
        <v>1005.24</v>
      </c>
      <c r="L7" s="172" t="s">
        <v>549</v>
      </c>
      <c r="M7" s="172">
        <v>68.150000000000006</v>
      </c>
      <c r="N7" s="172">
        <v>1497697200</v>
      </c>
      <c r="O7" s="172">
        <v>0</v>
      </c>
      <c r="P7" s="172">
        <v>10</v>
      </c>
      <c r="Q7" s="172">
        <v>255</v>
      </c>
      <c r="R7" s="172">
        <v>6.3</v>
      </c>
      <c r="S7" s="189">
        <v>5.95</v>
      </c>
    </row>
    <row r="8" spans="1:19" x14ac:dyDescent="0.25">
      <c r="A8" s="172">
        <v>68.16</v>
      </c>
      <c r="B8" s="172">
        <v>0.43</v>
      </c>
      <c r="C8" s="172">
        <v>37.36</v>
      </c>
      <c r="D8" s="8">
        <v>42903.25</v>
      </c>
      <c r="E8" s="172">
        <v>0.28999999999999998</v>
      </c>
      <c r="F8" s="172" t="s">
        <v>548</v>
      </c>
      <c r="G8" s="172">
        <v>299.44</v>
      </c>
      <c r="H8" s="172">
        <v>0</v>
      </c>
      <c r="I8" s="172">
        <v>0</v>
      </c>
      <c r="J8" s="172"/>
      <c r="K8" s="172">
        <v>1004.71</v>
      </c>
      <c r="L8" s="172" t="s">
        <v>549</v>
      </c>
      <c r="M8" s="172">
        <v>71.28</v>
      </c>
      <c r="N8" s="172">
        <v>1497700800</v>
      </c>
      <c r="O8" s="172">
        <v>0</v>
      </c>
      <c r="P8" s="172">
        <v>10</v>
      </c>
      <c r="Q8" s="172">
        <v>215</v>
      </c>
      <c r="R8" s="172">
        <v>4.97</v>
      </c>
      <c r="S8" s="189">
        <v>4.8899999999999997</v>
      </c>
    </row>
    <row r="9" spans="1:19" x14ac:dyDescent="0.25">
      <c r="A9" s="172">
        <v>71.7</v>
      </c>
      <c r="B9" s="172">
        <v>0.66</v>
      </c>
      <c r="C9" s="172">
        <v>38.380000000000003</v>
      </c>
      <c r="D9" s="8">
        <v>42903.291666666664</v>
      </c>
      <c r="E9" s="172">
        <v>0.27</v>
      </c>
      <c r="F9" s="172" t="s">
        <v>548</v>
      </c>
      <c r="G9" s="172">
        <v>299.33</v>
      </c>
      <c r="H9" s="172">
        <v>0</v>
      </c>
      <c r="I9" s="172">
        <v>0</v>
      </c>
      <c r="J9" s="172"/>
      <c r="K9" s="172">
        <v>1004.72</v>
      </c>
      <c r="L9" s="172" t="s">
        <v>550</v>
      </c>
      <c r="M9" s="172">
        <v>74.3</v>
      </c>
      <c r="N9" s="172">
        <v>1497704400</v>
      </c>
      <c r="O9" s="172">
        <v>0</v>
      </c>
      <c r="P9" s="172">
        <v>10</v>
      </c>
      <c r="Q9" s="172">
        <v>196</v>
      </c>
      <c r="R9" s="172">
        <v>5.39</v>
      </c>
      <c r="S9" s="189">
        <v>4.34</v>
      </c>
    </row>
    <row r="10" spans="1:19" x14ac:dyDescent="0.25">
      <c r="A10" s="172">
        <v>76.510000000000005</v>
      </c>
      <c r="B10" s="172">
        <v>0.62</v>
      </c>
      <c r="C10" s="172">
        <v>39.700000000000003</v>
      </c>
      <c r="D10" s="8">
        <v>42903.333333333336</v>
      </c>
      <c r="E10" s="172">
        <v>0.25</v>
      </c>
      <c r="F10" s="172" t="s">
        <v>548</v>
      </c>
      <c r="G10" s="172">
        <v>299.01</v>
      </c>
      <c r="H10" s="172">
        <v>0</v>
      </c>
      <c r="I10" s="172">
        <v>0</v>
      </c>
      <c r="J10" s="172"/>
      <c r="K10" s="172">
        <v>1004.87</v>
      </c>
      <c r="L10" s="172" t="s">
        <v>550</v>
      </c>
      <c r="M10" s="172">
        <v>78.78</v>
      </c>
      <c r="N10" s="172">
        <v>1497708000</v>
      </c>
      <c r="O10" s="172">
        <v>1</v>
      </c>
      <c r="P10" s="172">
        <v>10</v>
      </c>
      <c r="Q10" s="172">
        <v>31</v>
      </c>
      <c r="R10" s="172">
        <v>5.91</v>
      </c>
      <c r="S10" s="189">
        <v>4.33</v>
      </c>
    </row>
    <row r="11" spans="1:19" x14ac:dyDescent="0.25">
      <c r="A11" s="172">
        <v>81.36</v>
      </c>
      <c r="B11" s="172">
        <v>0.56999999999999995</v>
      </c>
      <c r="C11" s="172">
        <v>41.46</v>
      </c>
      <c r="D11" s="8">
        <v>42903.375</v>
      </c>
      <c r="E11" s="172">
        <v>0.23</v>
      </c>
      <c r="F11" s="172" t="s">
        <v>548</v>
      </c>
      <c r="G11" s="172">
        <v>298.77999999999997</v>
      </c>
      <c r="H11" s="172">
        <v>0</v>
      </c>
      <c r="I11" s="172">
        <v>0</v>
      </c>
      <c r="J11" s="172"/>
      <c r="K11" s="172">
        <v>1005.14</v>
      </c>
      <c r="L11" s="172" t="s">
        <v>549</v>
      </c>
      <c r="M11" s="172">
        <v>83.02</v>
      </c>
      <c r="N11" s="172">
        <v>1497711600</v>
      </c>
      <c r="O11" s="172">
        <v>2</v>
      </c>
      <c r="P11" s="172">
        <v>10</v>
      </c>
      <c r="Q11" s="172">
        <v>346</v>
      </c>
      <c r="R11" s="172">
        <v>8.15</v>
      </c>
      <c r="S11" s="189">
        <v>3.88</v>
      </c>
    </row>
    <row r="12" spans="1:19" x14ac:dyDescent="0.25">
      <c r="A12" s="172">
        <v>83.31</v>
      </c>
      <c r="B12" s="172">
        <v>0.56999999999999995</v>
      </c>
      <c r="C12" s="172">
        <v>41.9</v>
      </c>
      <c r="D12" s="8">
        <v>42903.416666666664</v>
      </c>
      <c r="E12" s="172">
        <v>0.22</v>
      </c>
      <c r="F12" s="172" t="s">
        <v>548</v>
      </c>
      <c r="G12" s="172">
        <v>298.77999999999997</v>
      </c>
      <c r="H12" s="172">
        <v>0</v>
      </c>
      <c r="I12" s="172">
        <v>0</v>
      </c>
      <c r="J12" s="172"/>
      <c r="K12" s="172">
        <v>1004.55</v>
      </c>
      <c r="L12" s="172" t="s">
        <v>549</v>
      </c>
      <c r="M12" s="172">
        <v>85.48</v>
      </c>
      <c r="N12" s="172">
        <v>1497715200</v>
      </c>
      <c r="O12" s="172">
        <v>4</v>
      </c>
      <c r="P12" s="172">
        <v>10</v>
      </c>
      <c r="Q12" s="172">
        <v>334</v>
      </c>
      <c r="R12" s="172">
        <v>12.84</v>
      </c>
      <c r="S12" s="189">
        <v>5.16</v>
      </c>
    </row>
    <row r="13" spans="1:19" x14ac:dyDescent="0.25">
      <c r="A13" s="172">
        <v>84.72</v>
      </c>
      <c r="B13" s="172">
        <v>0.59</v>
      </c>
      <c r="C13" s="172">
        <v>41.34</v>
      </c>
      <c r="D13" s="8">
        <v>42903.458333333336</v>
      </c>
      <c r="E13" s="172">
        <v>0.2</v>
      </c>
      <c r="F13" s="172" t="s">
        <v>548</v>
      </c>
      <c r="G13" s="172">
        <v>298.77999999999997</v>
      </c>
      <c r="H13" s="172">
        <v>0</v>
      </c>
      <c r="I13" s="172">
        <v>0</v>
      </c>
      <c r="J13" s="172"/>
      <c r="K13" s="172">
        <v>1003.64</v>
      </c>
      <c r="L13" s="172" t="s">
        <v>549</v>
      </c>
      <c r="M13" s="172">
        <v>87.36</v>
      </c>
      <c r="N13" s="172">
        <v>1497718800</v>
      </c>
      <c r="O13" s="172">
        <v>6</v>
      </c>
      <c r="P13" s="172">
        <v>10</v>
      </c>
      <c r="Q13" s="172">
        <v>325</v>
      </c>
      <c r="R13" s="172">
        <v>17.71</v>
      </c>
      <c r="S13" s="189">
        <v>6.07</v>
      </c>
    </row>
    <row r="14" spans="1:19" x14ac:dyDescent="0.25">
      <c r="A14" s="172">
        <v>86.5</v>
      </c>
      <c r="B14" s="172">
        <v>0.56999999999999995</v>
      </c>
      <c r="C14" s="172">
        <v>42.85</v>
      </c>
      <c r="D14" s="8">
        <v>42903.5</v>
      </c>
      <c r="E14" s="172">
        <v>0.2</v>
      </c>
      <c r="F14" s="172" t="s">
        <v>548</v>
      </c>
      <c r="G14" s="172">
        <v>301.74</v>
      </c>
      <c r="H14" s="172">
        <v>0</v>
      </c>
      <c r="I14" s="172">
        <v>0</v>
      </c>
      <c r="J14" s="172"/>
      <c r="K14" s="172">
        <v>1003.29</v>
      </c>
      <c r="L14" s="172" t="s">
        <v>549</v>
      </c>
      <c r="M14" s="172">
        <v>88.53</v>
      </c>
      <c r="N14" s="172">
        <v>1497722400</v>
      </c>
      <c r="O14" s="172">
        <v>8</v>
      </c>
      <c r="P14" s="172">
        <v>10</v>
      </c>
      <c r="Q14" s="172">
        <v>33</v>
      </c>
      <c r="R14" s="172">
        <v>10.039999999999999</v>
      </c>
      <c r="S14" s="189">
        <v>5.36</v>
      </c>
    </row>
    <row r="15" spans="1:19" x14ac:dyDescent="0.25">
      <c r="A15" s="172">
        <v>87.17</v>
      </c>
      <c r="B15" s="172">
        <v>0.56999999999999995</v>
      </c>
      <c r="C15" s="172">
        <v>43.13</v>
      </c>
      <c r="D15" s="8">
        <v>42903.541666666664</v>
      </c>
      <c r="E15" s="172">
        <v>0.2</v>
      </c>
      <c r="F15" s="172" t="s">
        <v>548</v>
      </c>
      <c r="G15" s="172">
        <v>301.41000000000003</v>
      </c>
      <c r="H15" s="172">
        <v>0</v>
      </c>
      <c r="I15" s="172">
        <v>0</v>
      </c>
      <c r="J15" s="172"/>
      <c r="K15" s="172">
        <v>1002.94</v>
      </c>
      <c r="L15" s="172" t="s">
        <v>549</v>
      </c>
      <c r="M15" s="172">
        <v>89.81</v>
      </c>
      <c r="N15" s="172">
        <v>1497726000</v>
      </c>
      <c r="O15" s="172">
        <v>9</v>
      </c>
      <c r="P15" s="172">
        <v>10</v>
      </c>
      <c r="Q15" s="172">
        <v>29</v>
      </c>
      <c r="R15" s="172">
        <v>10</v>
      </c>
      <c r="S15" s="189">
        <v>6.7</v>
      </c>
    </row>
    <row r="16" spans="1:19" x14ac:dyDescent="0.25">
      <c r="A16" s="172">
        <v>87.46</v>
      </c>
      <c r="B16" s="172">
        <v>0.54</v>
      </c>
      <c r="C16" s="172">
        <v>43.5</v>
      </c>
      <c r="D16" s="8">
        <v>42903.583333333336</v>
      </c>
      <c r="E16" s="172">
        <v>0.2</v>
      </c>
      <c r="F16" s="172" t="s">
        <v>548</v>
      </c>
      <c r="G16" s="172">
        <v>300.43</v>
      </c>
      <c r="H16" s="172">
        <v>3.8999999999999998E-3</v>
      </c>
      <c r="I16" s="172">
        <v>0.01</v>
      </c>
      <c r="J16" s="172" t="s">
        <v>835</v>
      </c>
      <c r="K16" s="172">
        <v>1002.76</v>
      </c>
      <c r="L16" s="172" t="s">
        <v>549</v>
      </c>
      <c r="M16" s="172">
        <v>90.58</v>
      </c>
      <c r="N16" s="172">
        <v>1497729600</v>
      </c>
      <c r="O16" s="172">
        <v>9</v>
      </c>
      <c r="P16" s="172">
        <v>10</v>
      </c>
      <c r="Q16" s="172">
        <v>20</v>
      </c>
      <c r="R16" s="172">
        <v>9.56</v>
      </c>
      <c r="S16" s="189">
        <v>7.76</v>
      </c>
    </row>
    <row r="17" spans="1:19" x14ac:dyDescent="0.25">
      <c r="A17" s="172">
        <v>84.59</v>
      </c>
      <c r="B17" s="172">
        <v>0.51</v>
      </c>
      <c r="C17" s="172">
        <v>44.14</v>
      </c>
      <c r="D17" s="8">
        <v>42903.625</v>
      </c>
      <c r="E17" s="172">
        <v>0.22</v>
      </c>
      <c r="F17" s="172" t="s">
        <v>835</v>
      </c>
      <c r="G17" s="172">
        <v>299.55</v>
      </c>
      <c r="H17" s="172">
        <v>6.0000000000000001E-3</v>
      </c>
      <c r="I17" s="172">
        <v>0.01</v>
      </c>
      <c r="J17" s="172" t="s">
        <v>835</v>
      </c>
      <c r="K17" s="172">
        <v>1003.49</v>
      </c>
      <c r="L17" s="172" t="s">
        <v>836</v>
      </c>
      <c r="M17" s="172">
        <v>88.38</v>
      </c>
      <c r="N17" s="172">
        <v>1497733200</v>
      </c>
      <c r="O17" s="172">
        <v>7</v>
      </c>
      <c r="P17" s="172">
        <v>10</v>
      </c>
      <c r="Q17" s="172">
        <v>33</v>
      </c>
      <c r="R17" s="172">
        <v>11.54</v>
      </c>
      <c r="S17" s="189">
        <v>9.0299999999999994</v>
      </c>
    </row>
    <row r="18" spans="1:19" x14ac:dyDescent="0.25">
      <c r="A18" s="172">
        <v>80.63</v>
      </c>
      <c r="B18" s="172">
        <v>0.57999999999999996</v>
      </c>
      <c r="C18" s="172">
        <v>46.44</v>
      </c>
      <c r="D18" s="8">
        <v>42903.666666666664</v>
      </c>
      <c r="E18" s="172">
        <v>0.26</v>
      </c>
      <c r="F18" s="172" t="s">
        <v>835</v>
      </c>
      <c r="G18" s="172">
        <v>299.45</v>
      </c>
      <c r="H18" s="172">
        <v>7.6E-3</v>
      </c>
      <c r="I18" s="172">
        <v>0.02</v>
      </c>
      <c r="J18" s="172" t="s">
        <v>835</v>
      </c>
      <c r="K18" s="172">
        <v>1004.36</v>
      </c>
      <c r="L18" s="172" t="s">
        <v>836</v>
      </c>
      <c r="M18" s="172">
        <v>85.28</v>
      </c>
      <c r="N18" s="172">
        <v>1497736800</v>
      </c>
      <c r="O18" s="172">
        <v>4</v>
      </c>
      <c r="P18" s="172">
        <v>10</v>
      </c>
      <c r="Q18" s="172">
        <v>33</v>
      </c>
      <c r="R18" s="172">
        <v>15.57</v>
      </c>
      <c r="S18" s="189">
        <v>11.05</v>
      </c>
    </row>
    <row r="19" spans="1:19" x14ac:dyDescent="0.25">
      <c r="A19" s="172">
        <v>75.81</v>
      </c>
      <c r="B19" s="172">
        <v>0.63</v>
      </c>
      <c r="C19" s="172">
        <v>48.89</v>
      </c>
      <c r="D19" s="8">
        <v>42903.708333333336</v>
      </c>
      <c r="E19" s="172">
        <v>0.33</v>
      </c>
      <c r="F19" s="172" t="s">
        <v>835</v>
      </c>
      <c r="G19" s="172">
        <v>299.67</v>
      </c>
      <c r="H19" s="172">
        <v>8.5000000000000006E-3</v>
      </c>
      <c r="I19" s="172">
        <v>0.04</v>
      </c>
      <c r="J19" s="172" t="s">
        <v>835</v>
      </c>
      <c r="K19" s="172">
        <v>1005.46</v>
      </c>
      <c r="L19" s="172" t="s">
        <v>836</v>
      </c>
      <c r="M19" s="172">
        <v>80.77</v>
      </c>
      <c r="N19" s="172">
        <v>1497740400</v>
      </c>
      <c r="O19" s="172">
        <v>2</v>
      </c>
      <c r="P19" s="172">
        <v>10</v>
      </c>
      <c r="Q19" s="172">
        <v>33</v>
      </c>
      <c r="R19" s="172">
        <v>18.48</v>
      </c>
      <c r="S19" s="189">
        <v>12.02</v>
      </c>
    </row>
    <row r="20" spans="1:19" x14ac:dyDescent="0.25">
      <c r="A20" s="172">
        <v>70.64</v>
      </c>
      <c r="B20" s="172">
        <v>0.4</v>
      </c>
      <c r="C20" s="172">
        <v>51.62</v>
      </c>
      <c r="D20" s="8">
        <v>42903.75</v>
      </c>
      <c r="E20" s="172">
        <v>0.43</v>
      </c>
      <c r="F20" s="172" t="s">
        <v>548</v>
      </c>
      <c r="G20" s="172">
        <v>302.3</v>
      </c>
      <c r="H20" s="172">
        <v>0</v>
      </c>
      <c r="I20" s="172">
        <v>0</v>
      </c>
      <c r="J20" s="172"/>
      <c r="K20" s="172">
        <v>1007.48</v>
      </c>
      <c r="L20" s="172" t="s">
        <v>549</v>
      </c>
      <c r="M20" s="172">
        <v>75.86</v>
      </c>
      <c r="N20" s="172">
        <v>1497744000</v>
      </c>
      <c r="O20" s="172">
        <v>1</v>
      </c>
      <c r="P20" s="172">
        <v>10</v>
      </c>
      <c r="Q20" s="172">
        <v>41</v>
      </c>
      <c r="R20" s="172">
        <v>14.67</v>
      </c>
      <c r="S20" s="189">
        <v>13</v>
      </c>
    </row>
    <row r="21" spans="1:19" x14ac:dyDescent="0.25">
      <c r="A21" s="172">
        <v>68.52</v>
      </c>
      <c r="B21" s="172">
        <v>0.54</v>
      </c>
      <c r="C21" s="172">
        <v>51.54</v>
      </c>
      <c r="D21" s="8">
        <v>42903.791666666664</v>
      </c>
      <c r="E21" s="172">
        <v>0.47</v>
      </c>
      <c r="F21" s="172" t="s">
        <v>548</v>
      </c>
      <c r="G21" s="172">
        <v>302.52</v>
      </c>
      <c r="H21" s="172">
        <v>3.0999999999999999E-3</v>
      </c>
      <c r="I21" s="172">
        <v>0.01</v>
      </c>
      <c r="J21" s="172" t="s">
        <v>835</v>
      </c>
      <c r="K21" s="172">
        <v>1009.11</v>
      </c>
      <c r="L21" s="172" t="s">
        <v>549</v>
      </c>
      <c r="M21" s="172">
        <v>72.84</v>
      </c>
      <c r="N21" s="172">
        <v>1497747600</v>
      </c>
      <c r="O21" s="172">
        <v>0</v>
      </c>
      <c r="P21" s="172">
        <v>10</v>
      </c>
      <c r="Q21" s="172">
        <v>39</v>
      </c>
      <c r="R21" s="172">
        <v>11.72</v>
      </c>
      <c r="S21" s="189">
        <v>11.03</v>
      </c>
    </row>
    <row r="22" spans="1:19" x14ac:dyDescent="0.25">
      <c r="A22" s="172">
        <v>66.94</v>
      </c>
      <c r="B22" s="172">
        <v>0.63</v>
      </c>
      <c r="C22" s="172">
        <v>50.5</v>
      </c>
      <c r="D22" s="8">
        <v>42903.833333333336</v>
      </c>
      <c r="E22" s="172">
        <v>0.49</v>
      </c>
      <c r="F22" s="172" t="s">
        <v>548</v>
      </c>
      <c r="G22" s="172">
        <v>302.19</v>
      </c>
      <c r="H22" s="172">
        <v>4.7000000000000002E-3</v>
      </c>
      <c r="I22" s="172">
        <v>0.02</v>
      </c>
      <c r="J22" s="172" t="s">
        <v>835</v>
      </c>
      <c r="K22" s="172">
        <v>1010.68</v>
      </c>
      <c r="L22" s="172" t="s">
        <v>550</v>
      </c>
      <c r="M22" s="172">
        <v>70.31</v>
      </c>
      <c r="N22" s="172">
        <v>1497751200</v>
      </c>
      <c r="O22" s="172">
        <v>0</v>
      </c>
      <c r="P22" s="172">
        <v>10</v>
      </c>
      <c r="Q22" s="172">
        <v>42</v>
      </c>
      <c r="R22" s="172">
        <v>11.21</v>
      </c>
      <c r="S22" s="189">
        <v>8.69</v>
      </c>
    </row>
    <row r="23" spans="1:19" x14ac:dyDescent="0.25">
      <c r="A23" s="172">
        <v>65.349999999999994</v>
      </c>
      <c r="B23" s="172">
        <v>0.69</v>
      </c>
      <c r="C23" s="172">
        <v>48.67</v>
      </c>
      <c r="D23" s="8">
        <v>42903.875</v>
      </c>
      <c r="E23" s="172">
        <v>0.5</v>
      </c>
      <c r="F23" s="172" t="s">
        <v>835</v>
      </c>
      <c r="G23" s="172">
        <v>301.75</v>
      </c>
      <c r="H23" s="172">
        <v>8.0999999999999996E-3</v>
      </c>
      <c r="I23" s="172">
        <v>0.06</v>
      </c>
      <c r="J23" s="172" t="s">
        <v>835</v>
      </c>
      <c r="K23" s="172">
        <v>1012.21</v>
      </c>
      <c r="L23" s="172" t="s">
        <v>836</v>
      </c>
      <c r="M23" s="172">
        <v>67.87</v>
      </c>
      <c r="N23" s="172">
        <v>1497754800</v>
      </c>
      <c r="O23" s="172">
        <v>0</v>
      </c>
      <c r="P23" s="172">
        <v>10</v>
      </c>
      <c r="Q23" s="172">
        <v>41</v>
      </c>
      <c r="R23" s="172">
        <v>9.82</v>
      </c>
      <c r="S23" s="189">
        <v>6.31</v>
      </c>
    </row>
    <row r="24" spans="1:19" x14ac:dyDescent="0.25">
      <c r="A24" s="172">
        <v>64.2</v>
      </c>
      <c r="B24" s="172">
        <v>0.67</v>
      </c>
      <c r="C24" s="172">
        <v>47.78</v>
      </c>
      <c r="D24" s="8">
        <v>42903.916666666664</v>
      </c>
      <c r="E24" s="172">
        <v>0.51</v>
      </c>
      <c r="F24" s="172" t="s">
        <v>835</v>
      </c>
      <c r="G24" s="172">
        <v>300.98</v>
      </c>
      <c r="H24" s="172">
        <v>8.3999999999999995E-3</v>
      </c>
      <c r="I24" s="172">
        <v>7.0000000000000007E-2</v>
      </c>
      <c r="J24" s="172" t="s">
        <v>835</v>
      </c>
      <c r="K24" s="172">
        <v>1012.97</v>
      </c>
      <c r="L24" s="172" t="s">
        <v>836</v>
      </c>
      <c r="M24" s="172">
        <v>66.34</v>
      </c>
      <c r="N24" s="172">
        <v>1497758400</v>
      </c>
      <c r="O24" s="172">
        <v>0</v>
      </c>
      <c r="P24" s="172">
        <v>10</v>
      </c>
      <c r="Q24" s="172">
        <v>51</v>
      </c>
      <c r="R24" s="172">
        <v>8.11</v>
      </c>
      <c r="S24" s="189">
        <v>5.18</v>
      </c>
    </row>
    <row r="25" spans="1:19" x14ac:dyDescent="0.25">
      <c r="A25" s="172">
        <v>63.34</v>
      </c>
      <c r="B25" s="172">
        <v>0.62</v>
      </c>
      <c r="C25" s="172">
        <v>46.59</v>
      </c>
      <c r="D25" s="8">
        <v>42903.958333333336</v>
      </c>
      <c r="E25" s="172">
        <v>0.51</v>
      </c>
      <c r="F25" s="172" t="s">
        <v>551</v>
      </c>
      <c r="G25" s="172">
        <v>299.88</v>
      </c>
      <c r="H25" s="172">
        <v>4.8999999999999998E-3</v>
      </c>
      <c r="I25" s="172">
        <v>0.02</v>
      </c>
      <c r="J25" s="172" t="s">
        <v>835</v>
      </c>
      <c r="K25" s="172">
        <v>1013.33</v>
      </c>
      <c r="L25" s="172" t="s">
        <v>550</v>
      </c>
      <c r="M25" s="172">
        <v>65.17</v>
      </c>
      <c r="N25" s="172">
        <v>1497762000</v>
      </c>
      <c r="O25" s="172">
        <v>0</v>
      </c>
      <c r="P25" s="172">
        <v>10</v>
      </c>
      <c r="Q25" s="172">
        <v>66</v>
      </c>
      <c r="R25" s="172">
        <v>6.22</v>
      </c>
      <c r="S25" s="189">
        <v>4.17</v>
      </c>
    </row>
    <row r="26" spans="1:19" x14ac:dyDescent="0.25">
      <c r="A26" s="172">
        <v>62.58</v>
      </c>
      <c r="B26" s="172">
        <v>0.68</v>
      </c>
      <c r="C26" s="172">
        <v>45.94</v>
      </c>
      <c r="D26" s="8">
        <v>42904</v>
      </c>
      <c r="E26" s="172">
        <v>0.52</v>
      </c>
      <c r="F26" s="172" t="s">
        <v>551</v>
      </c>
      <c r="G26" s="172">
        <v>299.11</v>
      </c>
      <c r="H26" s="172">
        <v>2.8E-3</v>
      </c>
      <c r="I26" s="172">
        <v>0.01</v>
      </c>
      <c r="J26" s="172" t="s">
        <v>835</v>
      </c>
      <c r="K26" s="172">
        <v>1013.84</v>
      </c>
      <c r="L26" s="172" t="s">
        <v>550</v>
      </c>
      <c r="M26" s="172">
        <v>63.99</v>
      </c>
      <c r="N26" s="172">
        <v>1497765600</v>
      </c>
      <c r="O26" s="172">
        <v>0</v>
      </c>
      <c r="P26" s="172">
        <v>10</v>
      </c>
      <c r="Q26" s="172">
        <v>67</v>
      </c>
      <c r="R26" s="172">
        <v>5.23</v>
      </c>
      <c r="S26" s="189">
        <v>3.1</v>
      </c>
    </row>
    <row r="27" spans="1:19" x14ac:dyDescent="0.25">
      <c r="A27" s="172">
        <v>62.1</v>
      </c>
      <c r="B27" s="172">
        <v>0.64</v>
      </c>
      <c r="C27" s="172">
        <v>45.57</v>
      </c>
      <c r="D27" s="8">
        <v>42904.041666666664</v>
      </c>
      <c r="E27" s="172">
        <v>0.52</v>
      </c>
      <c r="F27" s="172" t="s">
        <v>551</v>
      </c>
      <c r="G27" s="172">
        <v>298.79000000000002</v>
      </c>
      <c r="H27" s="172">
        <v>0</v>
      </c>
      <c r="I27" s="172">
        <v>0</v>
      </c>
      <c r="J27" s="172"/>
      <c r="K27" s="172">
        <v>1014.33</v>
      </c>
      <c r="L27" s="172" t="s">
        <v>550</v>
      </c>
      <c r="M27" s="172">
        <v>63.52</v>
      </c>
      <c r="N27" s="172">
        <v>1497769200</v>
      </c>
      <c r="O27" s="172">
        <v>0</v>
      </c>
      <c r="P27" s="172">
        <v>10</v>
      </c>
      <c r="Q27" s="172">
        <v>79</v>
      </c>
      <c r="R27" s="172">
        <v>5.67</v>
      </c>
      <c r="S27" s="189">
        <v>2.98</v>
      </c>
    </row>
    <row r="28" spans="1:19" x14ac:dyDescent="0.25">
      <c r="A28" s="172">
        <v>61.86</v>
      </c>
      <c r="B28" s="172">
        <v>0.61</v>
      </c>
      <c r="C28" s="172">
        <v>44.87</v>
      </c>
      <c r="D28" s="8">
        <v>42904.083333333336</v>
      </c>
      <c r="E28" s="172">
        <v>0.51</v>
      </c>
      <c r="F28" s="172" t="s">
        <v>551</v>
      </c>
      <c r="G28" s="172">
        <v>298.79000000000002</v>
      </c>
      <c r="H28" s="172">
        <v>0</v>
      </c>
      <c r="I28" s="172">
        <v>0</v>
      </c>
      <c r="J28" s="172"/>
      <c r="K28" s="172">
        <v>1015.1</v>
      </c>
      <c r="L28" s="172" t="s">
        <v>550</v>
      </c>
      <c r="M28" s="172">
        <v>63.12</v>
      </c>
      <c r="N28" s="172">
        <v>1497772800</v>
      </c>
      <c r="O28" s="172">
        <v>0</v>
      </c>
      <c r="P28" s="172">
        <v>10</v>
      </c>
      <c r="Q28" s="172">
        <v>103</v>
      </c>
      <c r="R28" s="172">
        <v>4.88</v>
      </c>
      <c r="S28" s="189">
        <v>2.4700000000000002</v>
      </c>
    </row>
    <row r="29" spans="1:19" x14ac:dyDescent="0.25">
      <c r="A29" s="172">
        <v>61.18</v>
      </c>
      <c r="B29" s="172">
        <v>0.47</v>
      </c>
      <c r="C29" s="172">
        <v>44.15</v>
      </c>
      <c r="D29" s="8">
        <v>42904.125</v>
      </c>
      <c r="E29" s="172">
        <v>0.51</v>
      </c>
      <c r="F29" s="172" t="s">
        <v>551</v>
      </c>
      <c r="G29" s="172">
        <v>299.35000000000002</v>
      </c>
      <c r="H29" s="172">
        <v>0</v>
      </c>
      <c r="I29" s="172">
        <v>0</v>
      </c>
      <c r="J29" s="172"/>
      <c r="K29" s="172">
        <v>1015.46</v>
      </c>
      <c r="L29" s="172" t="s">
        <v>549</v>
      </c>
      <c r="M29" s="172">
        <v>62.7</v>
      </c>
      <c r="N29" s="172">
        <v>1497776400</v>
      </c>
      <c r="O29" s="172">
        <v>0</v>
      </c>
      <c r="P29" s="172">
        <v>10</v>
      </c>
      <c r="Q29" s="172">
        <v>129</v>
      </c>
      <c r="R29" s="172">
        <v>4.3</v>
      </c>
      <c r="S29" s="189">
        <v>2.73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529</v>
      </c>
      <c r="AE2" s="56" t="s">
        <v>532</v>
      </c>
      <c r="AF2" s="56" t="s">
        <v>533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530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531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534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146</v>
      </c>
      <c r="M25" s="154" t="b">
        <v>1</v>
      </c>
    </row>
    <row r="26" spans="3:24" x14ac:dyDescent="0.25">
      <c r="C26" t="s">
        <v>980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C:\Users\stu\Documents\GitHub\eaglep3-reporting\EC\2017-06-17-refined-times.txt</v>
      </c>
    </row>
    <row r="27" spans="3:24" x14ac:dyDescent="0.25">
      <c r="C27" t="s">
        <v>981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C:\Users\stu\Documents\GitHub\eaglep3-reporting\EC\2017-06-17-Enforcements.txt</v>
      </c>
    </row>
    <row r="28" spans="3:24" x14ac:dyDescent="0.25">
      <c r="C28" t="s">
        <v>982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C:\Users\stu\Documents\GitHub\eaglep3-reporting\EC\2017-06-17-Runs-refined.txt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C:\Users\stu\Documents\GitHub\eaglep3-reporting\EC\2017-06-17-Trips.txt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C:\Users\stu\Documents\GitHub\eaglep3-reporting\EC\2017-06-17-Weather.txt</v>
      </c>
    </row>
    <row r="31" spans="3:24" x14ac:dyDescent="0.25">
      <c r="C31" t="s">
        <v>985</v>
      </c>
      <c r="J31" s="140" t="s">
        <v>196</v>
      </c>
      <c r="M31" s="154" t="s">
        <v>197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  <row r="39" spans="3:3" x14ac:dyDescent="0.25">
      <c r="C39" t="s">
        <v>993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2017-06-19T15:59:07Z</dcterms:modified>
</cp:coreProperties>
</file>