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Enforcements!$A$6:$V$67</definedName>
    <definedName name="_xlnm._FilterDatabase" localSheetId="2" hidden="1">'Missing Trips'!$A$2:$H$2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Runs'!$A$12:$J$48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3" i="1" l="1"/>
  <c r="X204" i="1"/>
  <c r="X205" i="1"/>
  <c r="X206" i="1"/>
  <c r="X207" i="1"/>
  <c r="X208" i="1"/>
  <c r="X209" i="1"/>
  <c r="X210" i="1"/>
  <c r="K204" i="1"/>
  <c r="L204" i="1"/>
  <c r="M204" i="1"/>
  <c r="V204" i="1"/>
  <c r="Y204" i="1"/>
  <c r="Z204" i="1"/>
  <c r="AA204" i="1" s="1"/>
  <c r="AB204" i="1"/>
  <c r="AC204" i="1"/>
  <c r="AD204" i="1"/>
  <c r="T204" i="1" s="1"/>
  <c r="AE204" i="1"/>
  <c r="AF204" i="1"/>
  <c r="AG204" i="1"/>
  <c r="AH204" i="1"/>
  <c r="V201" i="1"/>
  <c r="V197" i="1"/>
  <c r="V189" i="1"/>
  <c r="K171" i="1"/>
  <c r="L171" i="1"/>
  <c r="M171" i="1"/>
  <c r="P171" i="1" s="1"/>
  <c r="V171" i="1"/>
  <c r="Z171" i="1"/>
  <c r="AA171" i="1" s="1"/>
  <c r="AB171" i="1"/>
  <c r="AC171" i="1"/>
  <c r="AD171" i="1"/>
  <c r="AG171" i="1" s="1"/>
  <c r="AE171" i="1"/>
  <c r="AF171" i="1"/>
  <c r="AH171" i="1"/>
  <c r="Y141" i="1"/>
  <c r="Y142" i="1"/>
  <c r="AA142" i="1" s="1"/>
  <c r="Y143" i="1"/>
  <c r="Y144" i="1"/>
  <c r="Y145" i="1"/>
  <c r="Y146" i="1"/>
  <c r="Y147" i="1"/>
  <c r="K16" i="1"/>
  <c r="L16" i="1"/>
  <c r="M16" i="1"/>
  <c r="P16" i="1" s="1"/>
  <c r="V16" i="1"/>
  <c r="Y16" i="1"/>
  <c r="AA16" i="1" s="1"/>
  <c r="AB16" i="1"/>
  <c r="AC16" i="1"/>
  <c r="AD16" i="1"/>
  <c r="T16" i="1" s="1"/>
  <c r="AE16" i="1"/>
  <c r="AF16" i="1"/>
  <c r="AH16" i="1"/>
  <c r="L22" i="3"/>
  <c r="S22" i="3"/>
  <c r="R22" i="3" s="1"/>
  <c r="T22" i="3"/>
  <c r="U22" i="3"/>
  <c r="V22" i="3"/>
  <c r="L46" i="3"/>
  <c r="S46" i="3"/>
  <c r="R46" i="3" s="1"/>
  <c r="T46" i="3"/>
  <c r="U46" i="3"/>
  <c r="V46" i="3"/>
  <c r="L20" i="3"/>
  <c r="S20" i="3"/>
  <c r="R20" i="3" s="1"/>
  <c r="T20" i="3"/>
  <c r="U20" i="3"/>
  <c r="V20" i="3"/>
  <c r="L25" i="3"/>
  <c r="S25" i="3"/>
  <c r="R25" i="3" s="1"/>
  <c r="T25" i="3"/>
  <c r="U25" i="3"/>
  <c r="V25" i="3"/>
  <c r="L47" i="3"/>
  <c r="S47" i="3"/>
  <c r="R47" i="3" s="1"/>
  <c r="T47" i="3"/>
  <c r="U47" i="3"/>
  <c r="V47" i="3"/>
  <c r="L27" i="3"/>
  <c r="S27" i="3"/>
  <c r="R27" i="3" s="1"/>
  <c r="T27" i="3"/>
  <c r="U27" i="3"/>
  <c r="V27" i="3"/>
  <c r="L53" i="3"/>
  <c r="S53" i="3"/>
  <c r="R53" i="3" s="1"/>
  <c r="T53" i="3"/>
  <c r="U53" i="3"/>
  <c r="V53" i="3"/>
  <c r="L28" i="3"/>
  <c r="S28" i="3"/>
  <c r="R28" i="3" s="1"/>
  <c r="T28" i="3"/>
  <c r="U28" i="3"/>
  <c r="V28" i="3"/>
  <c r="L13" i="3"/>
  <c r="S13" i="3"/>
  <c r="R13" i="3" s="1"/>
  <c r="T13" i="3"/>
  <c r="U13" i="3"/>
  <c r="V13" i="3"/>
  <c r="L29" i="3"/>
  <c r="S29" i="3"/>
  <c r="R29" i="3" s="1"/>
  <c r="T29" i="3"/>
  <c r="U29" i="3"/>
  <c r="V29" i="3"/>
  <c r="L7" i="3"/>
  <c r="S7" i="3"/>
  <c r="R7" i="3" s="1"/>
  <c r="T7" i="3"/>
  <c r="U7" i="3"/>
  <c r="V7" i="3"/>
  <c r="L39" i="3"/>
  <c r="S39" i="3"/>
  <c r="R39" i="3" s="1"/>
  <c r="T39" i="3"/>
  <c r="U39" i="3"/>
  <c r="V39" i="3"/>
  <c r="L45" i="3"/>
  <c r="S45" i="3"/>
  <c r="R45" i="3" s="1"/>
  <c r="T45" i="3"/>
  <c r="U45" i="3"/>
  <c r="V45" i="3"/>
  <c r="L54" i="3"/>
  <c r="S54" i="3"/>
  <c r="R54" i="3" s="1"/>
  <c r="T54" i="3"/>
  <c r="U54" i="3"/>
  <c r="V54" i="3"/>
  <c r="L52" i="3"/>
  <c r="S52" i="3"/>
  <c r="R52" i="3" s="1"/>
  <c r="T52" i="3"/>
  <c r="U52" i="3"/>
  <c r="V52" i="3"/>
  <c r="L48" i="3"/>
  <c r="S48" i="3"/>
  <c r="R48" i="3" s="1"/>
  <c r="T48" i="3"/>
  <c r="U48" i="3"/>
  <c r="V48" i="3"/>
  <c r="L50" i="3"/>
  <c r="S50" i="3"/>
  <c r="R50" i="3" s="1"/>
  <c r="T50" i="3"/>
  <c r="U50" i="3"/>
  <c r="V50" i="3"/>
  <c r="L30" i="3"/>
  <c r="S30" i="3"/>
  <c r="R30" i="3" s="1"/>
  <c r="T30" i="3"/>
  <c r="U30" i="3"/>
  <c r="V30" i="3"/>
  <c r="L9" i="3"/>
  <c r="S9" i="3"/>
  <c r="R9" i="3" s="1"/>
  <c r="T9" i="3"/>
  <c r="U9" i="3"/>
  <c r="V9" i="3"/>
  <c r="L55" i="3"/>
  <c r="S55" i="3"/>
  <c r="R55" i="3" s="1"/>
  <c r="T55" i="3"/>
  <c r="U55" i="3"/>
  <c r="V55" i="3"/>
  <c r="L14" i="3"/>
  <c r="S14" i="3"/>
  <c r="R14" i="3" s="1"/>
  <c r="T14" i="3"/>
  <c r="U14" i="3"/>
  <c r="V14" i="3"/>
  <c r="L15" i="3"/>
  <c r="S15" i="3"/>
  <c r="R15" i="3" s="1"/>
  <c r="T15" i="3"/>
  <c r="U15" i="3"/>
  <c r="V15" i="3"/>
  <c r="L18" i="3"/>
  <c r="S18" i="3"/>
  <c r="R18" i="3" s="1"/>
  <c r="T18" i="3"/>
  <c r="U18" i="3"/>
  <c r="V18" i="3"/>
  <c r="L49" i="3"/>
  <c r="S49" i="3"/>
  <c r="R49" i="3" s="1"/>
  <c r="T49" i="3"/>
  <c r="U49" i="3"/>
  <c r="V49" i="3"/>
  <c r="L32" i="3"/>
  <c r="S32" i="3"/>
  <c r="R32" i="3" s="1"/>
  <c r="T32" i="3"/>
  <c r="U32" i="3"/>
  <c r="V32" i="3"/>
  <c r="L31" i="3"/>
  <c r="S31" i="3"/>
  <c r="R31" i="3" s="1"/>
  <c r="T31" i="3"/>
  <c r="U31" i="3"/>
  <c r="V31" i="3"/>
  <c r="L40" i="3"/>
  <c r="S40" i="3"/>
  <c r="R40" i="3" s="1"/>
  <c r="T40" i="3"/>
  <c r="U40" i="3"/>
  <c r="V40" i="3"/>
  <c r="L19" i="3"/>
  <c r="S19" i="3"/>
  <c r="R19" i="3" s="1"/>
  <c r="T19" i="3"/>
  <c r="U19" i="3"/>
  <c r="V19" i="3"/>
  <c r="L23" i="3"/>
  <c r="S23" i="3"/>
  <c r="R23" i="3" s="1"/>
  <c r="T23" i="3"/>
  <c r="U23" i="3"/>
  <c r="V23" i="3"/>
  <c r="L41" i="3"/>
  <c r="S41" i="3"/>
  <c r="R41" i="3" s="1"/>
  <c r="T41" i="3"/>
  <c r="U41" i="3"/>
  <c r="V41" i="3"/>
  <c r="L56" i="3"/>
  <c r="S56" i="3"/>
  <c r="R56" i="3" s="1"/>
  <c r="T56" i="3"/>
  <c r="U56" i="3"/>
  <c r="V56" i="3"/>
  <c r="L43" i="3"/>
  <c r="S43" i="3"/>
  <c r="R43" i="3" s="1"/>
  <c r="T43" i="3"/>
  <c r="U43" i="3"/>
  <c r="V43" i="3"/>
  <c r="L33" i="3"/>
  <c r="S33" i="3"/>
  <c r="R33" i="3" s="1"/>
  <c r="T33" i="3"/>
  <c r="U33" i="3"/>
  <c r="V33" i="3"/>
  <c r="L51" i="3"/>
  <c r="S51" i="3"/>
  <c r="R51" i="3" s="1"/>
  <c r="T51" i="3"/>
  <c r="U51" i="3"/>
  <c r="V51" i="3"/>
  <c r="L42" i="3"/>
  <c r="S42" i="3"/>
  <c r="R42" i="3" s="1"/>
  <c r="T42" i="3"/>
  <c r="U42" i="3"/>
  <c r="V42" i="3"/>
  <c r="L10" i="3"/>
  <c r="S10" i="3"/>
  <c r="R10" i="3" s="1"/>
  <c r="T10" i="3"/>
  <c r="U10" i="3"/>
  <c r="V10" i="3"/>
  <c r="L34" i="3"/>
  <c r="S34" i="3"/>
  <c r="R34" i="3" s="1"/>
  <c r="T34" i="3"/>
  <c r="U34" i="3"/>
  <c r="V34" i="3"/>
  <c r="L11" i="3"/>
  <c r="S11" i="3"/>
  <c r="R11" i="3" s="1"/>
  <c r="T11" i="3"/>
  <c r="U11" i="3"/>
  <c r="V11" i="3"/>
  <c r="L12" i="3"/>
  <c r="S12" i="3"/>
  <c r="R12" i="3" s="1"/>
  <c r="T12" i="3"/>
  <c r="U12" i="3"/>
  <c r="V12" i="3"/>
  <c r="L8" i="3"/>
  <c r="S8" i="3"/>
  <c r="R8" i="3" s="1"/>
  <c r="T8" i="3"/>
  <c r="U8" i="3"/>
  <c r="V8" i="3"/>
  <c r="L16" i="3"/>
  <c r="S16" i="3"/>
  <c r="R16" i="3" s="1"/>
  <c r="T16" i="3"/>
  <c r="U16" i="3"/>
  <c r="V16" i="3"/>
  <c r="L35" i="3"/>
  <c r="S35" i="3"/>
  <c r="R35" i="3" s="1"/>
  <c r="T35" i="3"/>
  <c r="U35" i="3"/>
  <c r="V35" i="3"/>
  <c r="L24" i="3"/>
  <c r="S24" i="3"/>
  <c r="R24" i="3" s="1"/>
  <c r="T24" i="3"/>
  <c r="U24" i="3"/>
  <c r="V24" i="3"/>
  <c r="L36" i="3"/>
  <c r="S36" i="3"/>
  <c r="R36" i="3" s="1"/>
  <c r="T36" i="3"/>
  <c r="U36" i="3"/>
  <c r="V36" i="3"/>
  <c r="L57" i="3"/>
  <c r="S57" i="3"/>
  <c r="R57" i="3" s="1"/>
  <c r="T57" i="3"/>
  <c r="U57" i="3"/>
  <c r="V57" i="3"/>
  <c r="L17" i="3"/>
  <c r="S17" i="3"/>
  <c r="R17" i="3" s="1"/>
  <c r="T17" i="3"/>
  <c r="U17" i="3"/>
  <c r="V17" i="3"/>
  <c r="L44" i="3"/>
  <c r="S44" i="3"/>
  <c r="R44" i="3" s="1"/>
  <c r="T44" i="3"/>
  <c r="U44" i="3"/>
  <c r="V44" i="3"/>
  <c r="L37" i="3"/>
  <c r="S37" i="3"/>
  <c r="R37" i="3" s="1"/>
  <c r="T37" i="3"/>
  <c r="U37" i="3"/>
  <c r="V37" i="3"/>
  <c r="L21" i="3"/>
  <c r="S21" i="3"/>
  <c r="R21" i="3" s="1"/>
  <c r="T21" i="3"/>
  <c r="U21" i="3"/>
  <c r="V21" i="3"/>
  <c r="L38" i="3"/>
  <c r="S38" i="3"/>
  <c r="R38" i="3" s="1"/>
  <c r="T38" i="3"/>
  <c r="U38" i="3"/>
  <c r="V38" i="3"/>
  <c r="K15" i="1"/>
  <c r="L15" i="1"/>
  <c r="M15" i="1"/>
  <c r="N15" i="1" s="1"/>
  <c r="V15" i="1"/>
  <c r="Y15" i="1"/>
  <c r="Z15" i="1"/>
  <c r="AA15" i="1" s="1"/>
  <c r="AB15" i="1"/>
  <c r="AC15" i="1"/>
  <c r="AD15" i="1"/>
  <c r="AG15" i="1" s="1"/>
  <c r="AE15" i="1"/>
  <c r="AF15" i="1"/>
  <c r="AH15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Q25" i="3" s="1"/>
  <c r="Y20" i="1"/>
  <c r="Z20" i="1"/>
  <c r="AB20" i="1"/>
  <c r="AC20" i="1"/>
  <c r="AD20" i="1"/>
  <c r="AG20" i="1" s="1"/>
  <c r="AE20" i="1"/>
  <c r="P25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Q27" i="3" s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Q28" i="3" s="1"/>
  <c r="Y24" i="1"/>
  <c r="Z24" i="1"/>
  <c r="AB24" i="1"/>
  <c r="AC24" i="1"/>
  <c r="AD24" i="1"/>
  <c r="AG24" i="1" s="1"/>
  <c r="AE24" i="1"/>
  <c r="P28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Q29" i="3" s="1"/>
  <c r="Y26" i="1"/>
  <c r="Z26" i="1"/>
  <c r="AB26" i="1"/>
  <c r="AC26" i="1"/>
  <c r="AD26" i="1"/>
  <c r="AE26" i="1"/>
  <c r="P29" i="3" s="1"/>
  <c r="AF26" i="1"/>
  <c r="AG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P29" i="1" s="1"/>
  <c r="V29" i="1"/>
  <c r="Q20" i="3" s="1"/>
  <c r="Y29" i="1"/>
  <c r="Z29" i="1"/>
  <c r="AB29" i="1"/>
  <c r="AC29" i="1"/>
  <c r="AD29" i="1"/>
  <c r="AE29" i="1"/>
  <c r="P20" i="3" s="1"/>
  <c r="AF29" i="1"/>
  <c r="AH29" i="1"/>
  <c r="K30" i="1"/>
  <c r="L30" i="1"/>
  <c r="M30" i="1"/>
  <c r="N30" i="1" s="1"/>
  <c r="V30" i="1"/>
  <c r="Q13" i="3" s="1"/>
  <c r="Y30" i="1"/>
  <c r="Z30" i="1"/>
  <c r="AB30" i="1"/>
  <c r="AC30" i="1"/>
  <c r="AD30" i="1"/>
  <c r="AG30" i="1" s="1"/>
  <c r="AE30" i="1"/>
  <c r="P13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Q39" i="3" s="1"/>
  <c r="Y33" i="1"/>
  <c r="Z33" i="1"/>
  <c r="AB33" i="1"/>
  <c r="AC33" i="1"/>
  <c r="AD33" i="1"/>
  <c r="AG33" i="1" s="1"/>
  <c r="AE33" i="1"/>
  <c r="P39" i="3" s="1"/>
  <c r="AF33" i="1"/>
  <c r="AH33" i="1"/>
  <c r="K34" i="1"/>
  <c r="L34" i="1"/>
  <c r="M34" i="1"/>
  <c r="N34" i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Q7" i="3" s="1"/>
  <c r="Y35" i="1"/>
  <c r="Z35" i="1"/>
  <c r="AB35" i="1"/>
  <c r="AC35" i="1"/>
  <c r="AD35" i="1"/>
  <c r="AG35" i="1" s="1"/>
  <c r="AE35" i="1"/>
  <c r="P7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Q30" i="3" s="1"/>
  <c r="Y38" i="1"/>
  <c r="Z38" i="1"/>
  <c r="AB38" i="1"/>
  <c r="AC38" i="1"/>
  <c r="AD38" i="1"/>
  <c r="AG38" i="1" s="1"/>
  <c r="AE38" i="1"/>
  <c r="P30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G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Q9" i="3" s="1"/>
  <c r="Y55" i="1"/>
  <c r="Z55" i="1"/>
  <c r="AA55" i="1" s="1"/>
  <c r="AB55" i="1"/>
  <c r="AC55" i="1"/>
  <c r="AD55" i="1"/>
  <c r="AG55" i="1" s="1"/>
  <c r="AE55" i="1"/>
  <c r="P9" i="3" s="1"/>
  <c r="AF55" i="1"/>
  <c r="AH55" i="1"/>
  <c r="K56" i="1"/>
  <c r="L56" i="1"/>
  <c r="M56" i="1"/>
  <c r="N56" i="1"/>
  <c r="V56" i="1"/>
  <c r="Y56" i="1"/>
  <c r="AA56" i="1" s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/>
  <c r="V60" i="1"/>
  <c r="Y60" i="1"/>
  <c r="Z60" i="1"/>
  <c r="AA60" i="1" s="1"/>
  <c r="W60" i="1" s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P15" i="3" s="1"/>
  <c r="AF67" i="1"/>
  <c r="AH67" i="1"/>
  <c r="K68" i="1"/>
  <c r="L68" i="1"/>
  <c r="M68" i="1"/>
  <c r="N68" i="1" s="1"/>
  <c r="V68" i="1"/>
  <c r="Q18" i="3" s="1"/>
  <c r="Y68" i="1"/>
  <c r="Z68" i="1"/>
  <c r="AB68" i="1"/>
  <c r="AC68" i="1"/>
  <c r="AD68" i="1"/>
  <c r="AG68" i="1" s="1"/>
  <c r="AE68" i="1"/>
  <c r="P18" i="3" s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AA72" i="1" s="1"/>
  <c r="W72" i="1" s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Q31" i="3" s="1"/>
  <c r="Y78" i="1"/>
  <c r="Z78" i="1"/>
  <c r="AB78" i="1"/>
  <c r="AC78" i="1"/>
  <c r="AD78" i="1"/>
  <c r="AG78" i="1" s="1"/>
  <c r="AE78" i="1"/>
  <c r="P31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/>
  <c r="V84" i="1"/>
  <c r="Q19" i="3" s="1"/>
  <c r="Y84" i="1"/>
  <c r="Z84" i="1"/>
  <c r="AB84" i="1"/>
  <c r="AC84" i="1"/>
  <c r="AD84" i="1"/>
  <c r="AE84" i="1"/>
  <c r="P19" i="3" s="1"/>
  <c r="AF84" i="1"/>
  <c r="AH84" i="1"/>
  <c r="K85" i="1"/>
  <c r="L85" i="1"/>
  <c r="M85" i="1"/>
  <c r="N85" i="1" s="1"/>
  <c r="T85" i="1"/>
  <c r="V85" i="1"/>
  <c r="Q40" i="3" s="1"/>
  <c r="Y85" i="1"/>
  <c r="Z85" i="1"/>
  <c r="AB85" i="1"/>
  <c r="AC85" i="1"/>
  <c r="AD85" i="1"/>
  <c r="AG85" i="1" s="1"/>
  <c r="AE85" i="1"/>
  <c r="P40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Q32" i="3" s="1"/>
  <c r="Y87" i="1"/>
  <c r="Z87" i="1"/>
  <c r="AA87" i="1" s="1"/>
  <c r="W87" i="1" s="1"/>
  <c r="AB87" i="1"/>
  <c r="AC87" i="1"/>
  <c r="AD87" i="1"/>
  <c r="AG87" i="1" s="1"/>
  <c r="AE87" i="1"/>
  <c r="P32" i="3" s="1"/>
  <c r="AF87" i="1"/>
  <c r="AH87" i="1"/>
  <c r="K88" i="1"/>
  <c r="L88" i="1"/>
  <c r="M88" i="1"/>
  <c r="N88" i="1" s="1"/>
  <c r="V88" i="1"/>
  <c r="Q23" i="3" s="1"/>
  <c r="Y88" i="1"/>
  <c r="AA88" i="1" s="1"/>
  <c r="Z88" i="1"/>
  <c r="AB88" i="1"/>
  <c r="AC88" i="1"/>
  <c r="AD88" i="1"/>
  <c r="AG88" i="1" s="1"/>
  <c r="AE88" i="1"/>
  <c r="P23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Q41" i="3" s="1"/>
  <c r="Y91" i="1"/>
  <c r="Z91" i="1"/>
  <c r="AB91" i="1"/>
  <c r="AC91" i="1"/>
  <c r="AD91" i="1"/>
  <c r="AG91" i="1" s="1"/>
  <c r="AE91" i="1"/>
  <c r="P41" i="3" s="1"/>
  <c r="AF91" i="1"/>
  <c r="AH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A93" i="1" s="1"/>
  <c r="W93" i="1" s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Q33" i="3" s="1"/>
  <c r="Y94" i="1"/>
  <c r="Z94" i="1"/>
  <c r="AB94" i="1"/>
  <c r="AC94" i="1"/>
  <c r="AD94" i="1"/>
  <c r="T94" i="1" s="1"/>
  <c r="AE94" i="1"/>
  <c r="P33" i="3" s="1"/>
  <c r="AF94" i="1"/>
  <c r="AH94" i="1"/>
  <c r="K95" i="1"/>
  <c r="L95" i="1"/>
  <c r="M95" i="1"/>
  <c r="N95" i="1" s="1"/>
  <c r="V95" i="1"/>
  <c r="Q43" i="3" s="1"/>
  <c r="Y95" i="1"/>
  <c r="Z95" i="1"/>
  <c r="AA95" i="1" s="1"/>
  <c r="W95" i="1" s="1"/>
  <c r="AB95" i="1"/>
  <c r="AC95" i="1"/>
  <c r="AD95" i="1"/>
  <c r="AG95" i="1" s="1"/>
  <c r="AE95" i="1"/>
  <c r="P43" i="3" s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Q34" i="3" s="1"/>
  <c r="Y100" i="1"/>
  <c r="Z100" i="1"/>
  <c r="AB100" i="1"/>
  <c r="AC100" i="1"/>
  <c r="AD100" i="1"/>
  <c r="X100" i="1" s="1"/>
  <c r="AE100" i="1"/>
  <c r="P34" i="3" s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Q10" i="3" s="1"/>
  <c r="Y102" i="1"/>
  <c r="Z102" i="1"/>
  <c r="AB102" i="1"/>
  <c r="AC102" i="1"/>
  <c r="AD102" i="1"/>
  <c r="T102" i="1" s="1"/>
  <c r="AE102" i="1"/>
  <c r="P10" i="3" s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P11" i="3" s="1"/>
  <c r="AF113" i="1"/>
  <c r="AH113" i="1"/>
  <c r="K114" i="1"/>
  <c r="L114" i="1"/>
  <c r="M114" i="1"/>
  <c r="N114" i="1" s="1"/>
  <c r="V114" i="1"/>
  <c r="Q35" i="3" s="1"/>
  <c r="Y114" i="1"/>
  <c r="Z114" i="1"/>
  <c r="AB114" i="1"/>
  <c r="AC114" i="1"/>
  <c r="AD114" i="1"/>
  <c r="AG114" i="1" s="1"/>
  <c r="AE114" i="1"/>
  <c r="P35" i="3" s="1"/>
  <c r="AF114" i="1"/>
  <c r="AH114" i="1"/>
  <c r="K115" i="1"/>
  <c r="L115" i="1"/>
  <c r="M115" i="1"/>
  <c r="N115" i="1" s="1"/>
  <c r="V115" i="1"/>
  <c r="Q16" i="3" s="1"/>
  <c r="Y115" i="1"/>
  <c r="Z115" i="1"/>
  <c r="AA115" i="1" s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Q36" i="3" s="1"/>
  <c r="Y116" i="1"/>
  <c r="Z116" i="1"/>
  <c r="AB116" i="1"/>
  <c r="AC116" i="1"/>
  <c r="AD116" i="1"/>
  <c r="AG116" i="1" s="1"/>
  <c r="AE116" i="1"/>
  <c r="P36" i="3" s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Q24" i="3" s="1"/>
  <c r="Y120" i="1"/>
  <c r="Z120" i="1"/>
  <c r="AB120" i="1"/>
  <c r="AC120" i="1"/>
  <c r="AD120" i="1"/>
  <c r="AG120" i="1" s="1"/>
  <c r="AE120" i="1"/>
  <c r="P24" i="3" s="1"/>
  <c r="AF120" i="1"/>
  <c r="AH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G124" i="1"/>
  <c r="AH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Q17" i="3" s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A131" i="1" s="1"/>
  <c r="W131" i="1" s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A136" i="1" s="1"/>
  <c r="W136" i="1" s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A139" i="1" s="1"/>
  <c r="W139" i="1" s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K141" i="1"/>
  <c r="L141" i="1"/>
  <c r="M141" i="1"/>
  <c r="N141" i="1" s="1"/>
  <c r="V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Q21" i="3" s="1"/>
  <c r="AB142" i="1"/>
  <c r="AC142" i="1"/>
  <c r="AD142" i="1"/>
  <c r="AG142" i="1" s="1"/>
  <c r="AE142" i="1"/>
  <c r="P21" i="3" s="1"/>
  <c r="AF142" i="1"/>
  <c r="AH142" i="1"/>
  <c r="K143" i="1"/>
  <c r="L143" i="1"/>
  <c r="M143" i="1"/>
  <c r="N143" i="1" s="1"/>
  <c r="V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Z145" i="1"/>
  <c r="AA145" i="1" s="1"/>
  <c r="AB145" i="1"/>
  <c r="AC145" i="1"/>
  <c r="AD145" i="1"/>
  <c r="X145" i="1" s="1"/>
  <c r="AE145" i="1"/>
  <c r="AF145" i="1"/>
  <c r="AH145" i="1"/>
  <c r="K146" i="1"/>
  <c r="L146" i="1"/>
  <c r="M146" i="1"/>
  <c r="N146" i="1" s="1"/>
  <c r="V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Q38" i="3" s="1"/>
  <c r="Y154" i="1"/>
  <c r="Z154" i="1"/>
  <c r="AB154" i="1"/>
  <c r="AC154" i="1"/>
  <c r="AD154" i="1"/>
  <c r="AE154" i="1"/>
  <c r="P38" i="3" s="1"/>
  <c r="AF154" i="1"/>
  <c r="AH154" i="1"/>
  <c r="K155" i="1"/>
  <c r="L155" i="1"/>
  <c r="M155" i="1"/>
  <c r="N155" i="1"/>
  <c r="V155" i="1"/>
  <c r="Y155" i="1"/>
  <c r="Z155" i="1"/>
  <c r="AB155" i="1"/>
  <c r="AC155" i="1"/>
  <c r="AD155" i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T157" i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K161" i="1"/>
  <c r="L161" i="1"/>
  <c r="M161" i="1"/>
  <c r="N161" i="1" s="1"/>
  <c r="V161" i="1"/>
  <c r="Q53" i="3" s="1"/>
  <c r="X161" i="1"/>
  <c r="Y161" i="1"/>
  <c r="Z161" i="1"/>
  <c r="AB161" i="1"/>
  <c r="AC161" i="1"/>
  <c r="AD161" i="1"/>
  <c r="AG161" i="1" s="1"/>
  <c r="AE161" i="1"/>
  <c r="P53" i="3" s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64" i="1"/>
  <c r="K165" i="1"/>
  <c r="L165" i="1"/>
  <c r="M165" i="1"/>
  <c r="P165" i="1" s="1"/>
  <c r="V165" i="1"/>
  <c r="X165" i="1"/>
  <c r="Y165" i="1"/>
  <c r="Z165" i="1"/>
  <c r="AB165" i="1"/>
  <c r="AC165" i="1"/>
  <c r="AD165" i="1"/>
  <c r="AG165" i="1" s="1"/>
  <c r="AE165" i="1"/>
  <c r="AF165" i="1"/>
  <c r="AH165" i="1"/>
  <c r="K166" i="1"/>
  <c r="L166" i="1"/>
  <c r="M166" i="1"/>
  <c r="N166" i="1" s="1"/>
  <c r="V166" i="1"/>
  <c r="Q52" i="3" s="1"/>
  <c r="Y166" i="1"/>
  <c r="Z166" i="1"/>
  <c r="AB166" i="1"/>
  <c r="AC166" i="1"/>
  <c r="AD166" i="1"/>
  <c r="AG166" i="1" s="1"/>
  <c r="AE166" i="1"/>
  <c r="P52" i="3" s="1"/>
  <c r="AF166" i="1"/>
  <c r="AH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N168" i="1"/>
  <c r="V168" i="1"/>
  <c r="Q50" i="3" s="1"/>
  <c r="Y168" i="1"/>
  <c r="Z168" i="1"/>
  <c r="AB168" i="1"/>
  <c r="AC168" i="1"/>
  <c r="AD168" i="1"/>
  <c r="AG168" i="1" s="1"/>
  <c r="AE168" i="1"/>
  <c r="AF168" i="1"/>
  <c r="AH168" i="1"/>
  <c r="K169" i="1"/>
  <c r="L169" i="1"/>
  <c r="M169" i="1"/>
  <c r="N169" i="1" s="1"/>
  <c r="V169" i="1"/>
  <c r="X169" i="1"/>
  <c r="Y169" i="1"/>
  <c r="Z169" i="1"/>
  <c r="AB169" i="1"/>
  <c r="AC169" i="1"/>
  <c r="AD169" i="1"/>
  <c r="AG169" i="1" s="1"/>
  <c r="AE169" i="1"/>
  <c r="AF169" i="1"/>
  <c r="AH169" i="1"/>
  <c r="K170" i="1"/>
  <c r="L170" i="1"/>
  <c r="M170" i="1"/>
  <c r="N170" i="1" s="1"/>
  <c r="V170" i="1"/>
  <c r="Y170" i="1"/>
  <c r="Z170" i="1"/>
  <c r="AB170" i="1"/>
  <c r="AC170" i="1"/>
  <c r="AD170" i="1"/>
  <c r="X171" i="1" s="1"/>
  <c r="AE170" i="1"/>
  <c r="AF170" i="1"/>
  <c r="AH17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73" i="1"/>
  <c r="K174" i="1"/>
  <c r="L174" i="1"/>
  <c r="M174" i="1"/>
  <c r="N174" i="1" s="1"/>
  <c r="V174" i="1"/>
  <c r="Q55" i="3" s="1"/>
  <c r="Y174" i="1"/>
  <c r="Z174" i="1"/>
  <c r="AB174" i="1"/>
  <c r="AC174" i="1"/>
  <c r="AD174" i="1"/>
  <c r="T174" i="1" s="1"/>
  <c r="AE174" i="1"/>
  <c r="P55" i="3" s="1"/>
  <c r="AF174" i="1"/>
  <c r="AH174" i="1"/>
  <c r="K175" i="1"/>
  <c r="L175" i="1"/>
  <c r="M175" i="1"/>
  <c r="P175" i="1" s="1"/>
  <c r="V175" i="1"/>
  <c r="Y175" i="1"/>
  <c r="Z175" i="1"/>
  <c r="AB175" i="1"/>
  <c r="AC175" i="1"/>
  <c r="AD175" i="1"/>
  <c r="AG175" i="1" s="1"/>
  <c r="AE175" i="1"/>
  <c r="AF175" i="1"/>
  <c r="AH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77" i="1"/>
  <c r="K178" i="1"/>
  <c r="L178" i="1"/>
  <c r="M178" i="1"/>
  <c r="N178" i="1" s="1"/>
  <c r="V178" i="1"/>
  <c r="Q49" i="3" s="1"/>
  <c r="Y178" i="1"/>
  <c r="Z178" i="1"/>
  <c r="AB178" i="1"/>
  <c r="AC178" i="1"/>
  <c r="AD178" i="1"/>
  <c r="T178" i="1" s="1"/>
  <c r="AE178" i="1"/>
  <c r="P49" i="3" s="1"/>
  <c r="AF178" i="1"/>
  <c r="AH178" i="1"/>
  <c r="K179" i="1"/>
  <c r="L179" i="1"/>
  <c r="M179" i="1"/>
  <c r="N179" i="1"/>
  <c r="V179" i="1"/>
  <c r="Y179" i="1"/>
  <c r="Z179" i="1"/>
  <c r="AB179" i="1"/>
  <c r="AC179" i="1"/>
  <c r="AD179" i="1"/>
  <c r="AG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80" i="1"/>
  <c r="K181" i="1"/>
  <c r="L181" i="1"/>
  <c r="M181" i="1"/>
  <c r="N181" i="1" s="1"/>
  <c r="V181" i="1"/>
  <c r="Y181" i="1"/>
  <c r="Z181" i="1"/>
  <c r="AA181" i="1" s="1"/>
  <c r="W181" i="1" s="1"/>
  <c r="AB181" i="1"/>
  <c r="AC181" i="1"/>
  <c r="AD181" i="1"/>
  <c r="AG181" i="1" s="1"/>
  <c r="AE181" i="1"/>
  <c r="AF181" i="1"/>
  <c r="AH181" i="1"/>
  <c r="K182" i="1"/>
  <c r="L182" i="1"/>
  <c r="M182" i="1"/>
  <c r="N182" i="1" s="1"/>
  <c r="V182" i="1"/>
  <c r="Q56" i="3" s="1"/>
  <c r="Y182" i="1"/>
  <c r="Z182" i="1"/>
  <c r="AB182" i="1"/>
  <c r="AC182" i="1"/>
  <c r="AD182" i="1"/>
  <c r="T182" i="1" s="1"/>
  <c r="AE182" i="1"/>
  <c r="P56" i="3" s="1"/>
  <c r="AF182" i="1"/>
  <c r="AH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83" i="1"/>
  <c r="K184" i="1"/>
  <c r="L184" i="1"/>
  <c r="M184" i="1"/>
  <c r="N184" i="1" s="1"/>
  <c r="V184" i="1"/>
  <c r="Q51" i="3" s="1"/>
  <c r="Y184" i="1"/>
  <c r="Z184" i="1"/>
  <c r="AB184" i="1"/>
  <c r="AC184" i="1"/>
  <c r="AD184" i="1"/>
  <c r="AE184" i="1"/>
  <c r="P51" i="3" s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87" i="1"/>
  <c r="K188" i="1"/>
  <c r="L188" i="1"/>
  <c r="M188" i="1"/>
  <c r="N188" i="1" s="1"/>
  <c r="V188" i="1"/>
  <c r="X188" i="1"/>
  <c r="Y188" i="1"/>
  <c r="Z188" i="1"/>
  <c r="AB188" i="1"/>
  <c r="AC188" i="1"/>
  <c r="AD188" i="1"/>
  <c r="AG188" i="1" s="1"/>
  <c r="AE188" i="1"/>
  <c r="AF188" i="1"/>
  <c r="AH188" i="1"/>
  <c r="K189" i="1"/>
  <c r="L189" i="1"/>
  <c r="M189" i="1"/>
  <c r="P189" i="1" s="1"/>
  <c r="Y189" i="1"/>
  <c r="Z189" i="1"/>
  <c r="AA189" i="1" s="1"/>
  <c r="W189" i="1" s="1"/>
  <c r="AB189" i="1"/>
  <c r="AC189" i="1"/>
  <c r="AD189" i="1"/>
  <c r="AG189" i="1" s="1"/>
  <c r="AE189" i="1"/>
  <c r="AF189" i="1"/>
  <c r="AH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0" i="1"/>
  <c r="K191" i="1"/>
  <c r="L191" i="1"/>
  <c r="M191" i="1"/>
  <c r="N191" i="1" s="1"/>
  <c r="T191" i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6" i="1"/>
  <c r="K197" i="1"/>
  <c r="L197" i="1"/>
  <c r="M197" i="1"/>
  <c r="P197" i="1" s="1"/>
  <c r="Y197" i="1"/>
  <c r="Z197" i="1"/>
  <c r="AB197" i="1"/>
  <c r="AC197" i="1"/>
  <c r="AD197" i="1"/>
  <c r="AG197" i="1" s="1"/>
  <c r="AE197" i="1"/>
  <c r="AF197" i="1"/>
  <c r="AH197" i="1"/>
  <c r="K198" i="1"/>
  <c r="L198" i="1"/>
  <c r="M198" i="1"/>
  <c r="N198" i="1" s="1"/>
  <c r="V198" i="1"/>
  <c r="Q57" i="3" s="1"/>
  <c r="Y198" i="1"/>
  <c r="Z198" i="1"/>
  <c r="AA198" i="1" s="1"/>
  <c r="W198" i="1" s="1"/>
  <c r="AB198" i="1"/>
  <c r="AC198" i="1"/>
  <c r="AD198" i="1"/>
  <c r="AG198" i="1" s="1"/>
  <c r="AE198" i="1"/>
  <c r="P57" i="3" s="1"/>
  <c r="AF198" i="1"/>
  <c r="AH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0" i="1"/>
  <c r="K201" i="1"/>
  <c r="L201" i="1"/>
  <c r="M201" i="1"/>
  <c r="P201" i="1" s="1"/>
  <c r="Y201" i="1"/>
  <c r="Z201" i="1"/>
  <c r="AB201" i="1"/>
  <c r="AC201" i="1"/>
  <c r="AD201" i="1"/>
  <c r="T201" i="1" s="1"/>
  <c r="AE201" i="1"/>
  <c r="AF201" i="1"/>
  <c r="AH201" i="1"/>
  <c r="K202" i="1"/>
  <c r="L202" i="1"/>
  <c r="M202" i="1"/>
  <c r="N202" i="1" s="1"/>
  <c r="T202" i="1"/>
  <c r="V202" i="1"/>
  <c r="Y202" i="1"/>
  <c r="Z202" i="1"/>
  <c r="AB202" i="1"/>
  <c r="AC202" i="1"/>
  <c r="AD202" i="1"/>
  <c r="AG202" i="1" s="1"/>
  <c r="AE202" i="1"/>
  <c r="AF202" i="1"/>
  <c r="AH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K207" i="1"/>
  <c r="L207" i="1"/>
  <c r="M207" i="1"/>
  <c r="N207" i="1" s="1"/>
  <c r="V207" i="1"/>
  <c r="Q44" i="3" s="1"/>
  <c r="Y207" i="1"/>
  <c r="Z207" i="1"/>
  <c r="AA207" i="1" s="1"/>
  <c r="W207" i="1" s="1"/>
  <c r="AB207" i="1"/>
  <c r="AC207" i="1"/>
  <c r="AD207" i="1"/>
  <c r="AG207" i="1" s="1"/>
  <c r="AE207" i="1"/>
  <c r="P44" i="3" s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213" i="1"/>
  <c r="K214" i="1"/>
  <c r="L214" i="1"/>
  <c r="M214" i="1"/>
  <c r="N214" i="1" s="1"/>
  <c r="V214" i="1"/>
  <c r="Q42" i="3" s="1"/>
  <c r="Y214" i="1"/>
  <c r="Z214" i="1"/>
  <c r="AB214" i="1"/>
  <c r="AC214" i="1"/>
  <c r="AD214" i="1"/>
  <c r="AG214" i="1" s="1"/>
  <c r="AE214" i="1"/>
  <c r="P42" i="3" s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218" i="1"/>
  <c r="K219" i="1"/>
  <c r="L219" i="1"/>
  <c r="M219" i="1"/>
  <c r="N219" i="1" s="1"/>
  <c r="V219" i="1"/>
  <c r="X219" i="1"/>
  <c r="Y219" i="1"/>
  <c r="Z219" i="1"/>
  <c r="AB219" i="1"/>
  <c r="AC219" i="1"/>
  <c r="AD219" i="1"/>
  <c r="AG219" i="1" s="1"/>
  <c r="AE219" i="1"/>
  <c r="AF219" i="1"/>
  <c r="AH219" i="1"/>
  <c r="K220" i="1"/>
  <c r="L220" i="1"/>
  <c r="M220" i="1"/>
  <c r="N220" i="1" s="1"/>
  <c r="V220" i="1"/>
  <c r="Y220" i="1"/>
  <c r="Z220" i="1"/>
  <c r="AA220" i="1" s="1"/>
  <c r="W220" i="1" s="1"/>
  <c r="AB220" i="1"/>
  <c r="AC220" i="1"/>
  <c r="AD220" i="1"/>
  <c r="AG220" i="1" s="1"/>
  <c r="AE220" i="1"/>
  <c r="AF220" i="1"/>
  <c r="AH220" i="1"/>
  <c r="K221" i="1"/>
  <c r="L221" i="1"/>
  <c r="M221" i="1"/>
  <c r="N221" i="1" s="1"/>
  <c r="T221" i="1"/>
  <c r="V221" i="1"/>
  <c r="Y221" i="1"/>
  <c r="Z221" i="1"/>
  <c r="AB221" i="1"/>
  <c r="AC221" i="1"/>
  <c r="AD221" i="1"/>
  <c r="AE221" i="1"/>
  <c r="AF221" i="1"/>
  <c r="AH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3" i="1"/>
  <c r="K224" i="1"/>
  <c r="L224" i="1"/>
  <c r="M224" i="1"/>
  <c r="N224" i="1" s="1"/>
  <c r="V224" i="1"/>
  <c r="Y224" i="1"/>
  <c r="Z224" i="1"/>
  <c r="AA224" i="1" s="1"/>
  <c r="W224" i="1" s="1"/>
  <c r="AB224" i="1"/>
  <c r="AC224" i="1"/>
  <c r="AD224" i="1"/>
  <c r="AG224" i="1" s="1"/>
  <c r="AE224" i="1"/>
  <c r="AF224" i="1"/>
  <c r="AH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K14" i="1"/>
  <c r="K13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W204" i="1" l="1"/>
  <c r="U204" i="1"/>
  <c r="S204" i="1" s="1"/>
  <c r="AG228" i="1"/>
  <c r="W16" i="1"/>
  <c r="X147" i="1"/>
  <c r="X143" i="1"/>
  <c r="X141" i="1"/>
  <c r="X172" i="1"/>
  <c r="AA195" i="1"/>
  <c r="X167" i="1"/>
  <c r="AA140" i="1"/>
  <c r="AA85" i="1"/>
  <c r="W85" i="1" s="1"/>
  <c r="T79" i="1"/>
  <c r="T65" i="1"/>
  <c r="U65" i="1" s="1"/>
  <c r="S65" i="1" s="1"/>
  <c r="X20" i="1"/>
  <c r="AA144" i="1"/>
  <c r="W144" i="1" s="1"/>
  <c r="W142" i="1"/>
  <c r="T189" i="1"/>
  <c r="U189" i="1" s="1"/>
  <c r="S189" i="1" s="1"/>
  <c r="AA221" i="1"/>
  <c r="AA200" i="1"/>
  <c r="X198" i="1"/>
  <c r="AA188" i="1"/>
  <c r="W188" i="1" s="1"/>
  <c r="AA161" i="1"/>
  <c r="W161" i="1" s="1"/>
  <c r="T144" i="1"/>
  <c r="AA134" i="1"/>
  <c r="W134" i="1" s="1"/>
  <c r="AA132" i="1"/>
  <c r="W132" i="1" s="1"/>
  <c r="AA109" i="1"/>
  <c r="AA108" i="1"/>
  <c r="AA99" i="1"/>
  <c r="W99" i="1" s="1"/>
  <c r="AA91" i="1"/>
  <c r="W91" i="1" s="1"/>
  <c r="AA90" i="1"/>
  <c r="W90" i="1" s="1"/>
  <c r="T87" i="1"/>
  <c r="AA83" i="1"/>
  <c r="W83" i="1" s="1"/>
  <c r="AA81" i="1"/>
  <c r="AA66" i="1"/>
  <c r="W66" i="1" s="1"/>
  <c r="X60" i="1"/>
  <c r="AA57" i="1"/>
  <c r="AA38" i="1"/>
  <c r="W38" i="1" s="1"/>
  <c r="AA37" i="1"/>
  <c r="W37" i="1" s="1"/>
  <c r="AA36" i="1"/>
  <c r="X17" i="1"/>
  <c r="AG16" i="1"/>
  <c r="U16" i="1" s="1"/>
  <c r="S16" i="1" s="1"/>
  <c r="X16" i="1"/>
  <c r="X146" i="1"/>
  <c r="X144" i="1"/>
  <c r="X142" i="1"/>
  <c r="X174" i="1"/>
  <c r="T197" i="1"/>
  <c r="U197" i="1" s="1"/>
  <c r="S197" i="1" s="1"/>
  <c r="AA215" i="1"/>
  <c r="W215" i="1" s="1"/>
  <c r="AA214" i="1"/>
  <c r="W214" i="1" s="1"/>
  <c r="AA212" i="1"/>
  <c r="W212" i="1" s="1"/>
  <c r="AA209" i="1"/>
  <c r="W209" i="1" s="1"/>
  <c r="AA154" i="1"/>
  <c r="AA153" i="1"/>
  <c r="W153" i="1" s="1"/>
  <c r="AA130" i="1"/>
  <c r="W130" i="1" s="1"/>
  <c r="AA77" i="1"/>
  <c r="W77" i="1" s="1"/>
  <c r="W56" i="1"/>
  <c r="AA54" i="1"/>
  <c r="X173" i="1"/>
  <c r="W171" i="1"/>
  <c r="T171" i="1"/>
  <c r="U171" i="1" s="1"/>
  <c r="S171" i="1" s="1"/>
  <c r="W88" i="1"/>
  <c r="T199" i="1"/>
  <c r="U199" i="1" s="1"/>
  <c r="S199" i="1" s="1"/>
  <c r="T156" i="1"/>
  <c r="AA50" i="1"/>
  <c r="X18" i="1"/>
  <c r="T224" i="1"/>
  <c r="U224" i="1" s="1"/>
  <c r="S224" i="1" s="1"/>
  <c r="AA217" i="1"/>
  <c r="AA216" i="1"/>
  <c r="T181" i="1"/>
  <c r="AA167" i="1"/>
  <c r="W167" i="1" s="1"/>
  <c r="AA160" i="1"/>
  <c r="AA157" i="1"/>
  <c r="AA156" i="1"/>
  <c r="W156" i="1" s="1"/>
  <c r="AA143" i="1"/>
  <c r="T138" i="1"/>
  <c r="X131" i="1"/>
  <c r="AA129" i="1"/>
  <c r="W129" i="1" s="1"/>
  <c r="AA118" i="1"/>
  <c r="W118" i="1" s="1"/>
  <c r="AA107" i="1"/>
  <c r="T100" i="1"/>
  <c r="AA94" i="1"/>
  <c r="AA79" i="1"/>
  <c r="W79" i="1" s="1"/>
  <c r="AA78" i="1"/>
  <c r="W78" i="1" s="1"/>
  <c r="T77" i="1"/>
  <c r="U77" i="1" s="1"/>
  <c r="S77" i="1" s="1"/>
  <c r="AA75" i="1"/>
  <c r="W75" i="1" s="1"/>
  <c r="X72" i="1"/>
  <c r="AA68" i="1"/>
  <c r="W68" i="1" s="1"/>
  <c r="AA65" i="1"/>
  <c r="W65" i="1" s="1"/>
  <c r="AA64" i="1"/>
  <c r="AA63" i="1"/>
  <c r="W63" i="1" s="1"/>
  <c r="X148" i="1"/>
  <c r="X139" i="1"/>
  <c r="AA202" i="1"/>
  <c r="W202" i="1" s="1"/>
  <c r="AA197" i="1"/>
  <c r="W197" i="1" s="1"/>
  <c r="X190" i="1"/>
  <c r="AA185" i="1"/>
  <c r="AA180" i="1"/>
  <c r="AA179" i="1"/>
  <c r="W179" i="1" s="1"/>
  <c r="AA169" i="1"/>
  <c r="X163" i="1"/>
  <c r="AA159" i="1"/>
  <c r="AA158" i="1"/>
  <c r="W158" i="1" s="1"/>
  <c r="X151" i="1"/>
  <c r="AA150" i="1"/>
  <c r="W150" i="1" s="1"/>
  <c r="AA138" i="1"/>
  <c r="W138" i="1" s="1"/>
  <c r="AA137" i="1"/>
  <c r="W137" i="1" s="1"/>
  <c r="AA127" i="1"/>
  <c r="W127" i="1" s="1"/>
  <c r="AA126" i="1"/>
  <c r="W126" i="1" s="1"/>
  <c r="AA125" i="1"/>
  <c r="AA113" i="1"/>
  <c r="W113" i="1" s="1"/>
  <c r="AA112" i="1"/>
  <c r="AG100" i="1"/>
  <c r="T99" i="1"/>
  <c r="U99" i="1" s="1"/>
  <c r="S99" i="1" s="1"/>
  <c r="AA97" i="1"/>
  <c r="W97" i="1" s="1"/>
  <c r="AA96" i="1"/>
  <c r="X88" i="1"/>
  <c r="X68" i="1"/>
  <c r="AA67" i="1"/>
  <c r="W67" i="1" s="1"/>
  <c r="AA29" i="1"/>
  <c r="AA27" i="1"/>
  <c r="X19" i="1"/>
  <c r="X138" i="1"/>
  <c r="AG160" i="1"/>
  <c r="T160" i="1"/>
  <c r="AA225" i="1"/>
  <c r="X225" i="1"/>
  <c r="X200" i="1"/>
  <c r="AG185" i="1"/>
  <c r="T185" i="1"/>
  <c r="AG145" i="1"/>
  <c r="W145" i="1" s="1"/>
  <c r="AG187" i="1"/>
  <c r="T187" i="1"/>
  <c r="T229" i="1"/>
  <c r="U229" i="1" s="1"/>
  <c r="S229" i="1" s="1"/>
  <c r="AG229" i="1"/>
  <c r="AG225" i="1"/>
  <c r="U225" i="1" s="1"/>
  <c r="S225" i="1" s="1"/>
  <c r="X217" i="1"/>
  <c r="AG216" i="1"/>
  <c r="U216" i="1" s="1"/>
  <c r="S216" i="1" s="1"/>
  <c r="T216" i="1"/>
  <c r="AA222" i="1"/>
  <c r="T212" i="1"/>
  <c r="U212" i="1" s="1"/>
  <c r="S212" i="1" s="1"/>
  <c r="AG203" i="1"/>
  <c r="T203" i="1"/>
  <c r="AA203" i="1"/>
  <c r="AA193" i="1"/>
  <c r="W193" i="1" s="1"/>
  <c r="AG192" i="1"/>
  <c r="X192" i="1"/>
  <c r="AA192" i="1"/>
  <c r="AA190" i="1"/>
  <c r="W190" i="1" s="1"/>
  <c r="AA187" i="1"/>
  <c r="AA182" i="1"/>
  <c r="W160" i="1"/>
  <c r="AG140" i="1"/>
  <c r="W140" i="1" s="1"/>
  <c r="W54" i="1"/>
  <c r="AG222" i="1"/>
  <c r="T222" i="1"/>
  <c r="W217" i="1"/>
  <c r="AG208" i="1"/>
  <c r="U208" i="1" s="1"/>
  <c r="S208" i="1" s="1"/>
  <c r="T208" i="1"/>
  <c r="AA208" i="1"/>
  <c r="W200" i="1"/>
  <c r="AA168" i="1"/>
  <c r="W168" i="1" s="1"/>
  <c r="AA166" i="1"/>
  <c r="W166" i="1" s="1"/>
  <c r="AA164" i="1"/>
  <c r="W164" i="1" s="1"/>
  <c r="AA162" i="1"/>
  <c r="W162" i="1" s="1"/>
  <c r="AA149" i="1"/>
  <c r="W149" i="1" s="1"/>
  <c r="AA228" i="1"/>
  <c r="AA227" i="1"/>
  <c r="X226" i="1"/>
  <c r="AA223" i="1"/>
  <c r="W223" i="1" s="1"/>
  <c r="AA218" i="1"/>
  <c r="AA206" i="1"/>
  <c r="W206" i="1" s="1"/>
  <c r="AA199" i="1"/>
  <c r="W199" i="1" s="1"/>
  <c r="AA191" i="1"/>
  <c r="W191" i="1" s="1"/>
  <c r="AA186" i="1"/>
  <c r="AA184" i="1"/>
  <c r="AA178" i="1"/>
  <c r="X149" i="1"/>
  <c r="AA148" i="1"/>
  <c r="W148" i="1" s="1"/>
  <c r="X133" i="1"/>
  <c r="AA119" i="1"/>
  <c r="W119" i="1" s="1"/>
  <c r="AG105" i="1"/>
  <c r="AA102" i="1"/>
  <c r="X82" i="1"/>
  <c r="AA80" i="1"/>
  <c r="W80" i="1" s="1"/>
  <c r="T71" i="1"/>
  <c r="U71" i="1" s="1"/>
  <c r="S71" i="1" s="1"/>
  <c r="AA53" i="1"/>
  <c r="W53" i="1" s="1"/>
  <c r="AA52" i="1"/>
  <c r="W52" i="1" s="1"/>
  <c r="AA41" i="1"/>
  <c r="W41" i="1" s="1"/>
  <c r="AA34" i="1"/>
  <c r="W34" i="1" s="1"/>
  <c r="AA22" i="1"/>
  <c r="W22" i="1" s="1"/>
  <c r="AA21" i="1"/>
  <c r="AA205" i="1"/>
  <c r="W195" i="1"/>
  <c r="AA183" i="1"/>
  <c r="W183" i="1" s="1"/>
  <c r="W169" i="1"/>
  <c r="AA165" i="1"/>
  <c r="W165" i="1" s="1"/>
  <c r="AA163" i="1"/>
  <c r="W163" i="1" s="1"/>
  <c r="T162" i="1"/>
  <c r="AA155" i="1"/>
  <c r="AA151" i="1"/>
  <c r="W151" i="1" s="1"/>
  <c r="AA147" i="1"/>
  <c r="W147" i="1" s="1"/>
  <c r="AA146" i="1"/>
  <c r="W146" i="1" s="1"/>
  <c r="AA141" i="1"/>
  <c r="W141" i="1" s="1"/>
  <c r="AA135" i="1"/>
  <c r="W135" i="1" s="1"/>
  <c r="T130" i="1"/>
  <c r="U130" i="1" s="1"/>
  <c r="S130" i="1" s="1"/>
  <c r="AA128" i="1"/>
  <c r="W128" i="1" s="1"/>
  <c r="AA124" i="1"/>
  <c r="AA117" i="1"/>
  <c r="W117" i="1" s="1"/>
  <c r="AA114" i="1"/>
  <c r="W114" i="1" s="1"/>
  <c r="AA106" i="1"/>
  <c r="AG102" i="1"/>
  <c r="U102" i="1" s="1"/>
  <c r="S102" i="1" s="1"/>
  <c r="AA98" i="1"/>
  <c r="W98" i="1" s="1"/>
  <c r="AA92" i="1"/>
  <c r="T90" i="1"/>
  <c r="AA86" i="1"/>
  <c r="W86" i="1" s="1"/>
  <c r="AA84" i="1"/>
  <c r="X80" i="1"/>
  <c r="AA71" i="1"/>
  <c r="W71" i="1" s="1"/>
  <c r="X66" i="1"/>
  <c r="AA46" i="1"/>
  <c r="W46" i="1" s="1"/>
  <c r="AA45" i="1"/>
  <c r="W45" i="1" s="1"/>
  <c r="AA44" i="1"/>
  <c r="AA19" i="1"/>
  <c r="AA18" i="1"/>
  <c r="W18" i="1" s="1"/>
  <c r="W121" i="1"/>
  <c r="Q22" i="3"/>
  <c r="AA133" i="1"/>
  <c r="W133" i="1" s="1"/>
  <c r="AG107" i="1"/>
  <c r="U107" i="1" s="1"/>
  <c r="S107" i="1" s="1"/>
  <c r="AA105" i="1"/>
  <c r="AA104" i="1"/>
  <c r="X86" i="1"/>
  <c r="X74" i="1"/>
  <c r="AA49" i="1"/>
  <c r="AA42" i="1"/>
  <c r="AA31" i="1"/>
  <c r="W31" i="1" s="1"/>
  <c r="AG201" i="1"/>
  <c r="U201" i="1" s="1"/>
  <c r="S201" i="1" s="1"/>
  <c r="AG196" i="1"/>
  <c r="T196" i="1"/>
  <c r="AG184" i="1"/>
  <c r="X184" i="1"/>
  <c r="AG180" i="1"/>
  <c r="X180" i="1"/>
  <c r="AG170" i="1"/>
  <c r="T170" i="1"/>
  <c r="Q46" i="3"/>
  <c r="Q47" i="3"/>
  <c r="AG155" i="1"/>
  <c r="X155" i="1"/>
  <c r="AA226" i="1"/>
  <c r="T215" i="1"/>
  <c r="U215" i="1" s="1"/>
  <c r="S215" i="1" s="1"/>
  <c r="AA229" i="1"/>
  <c r="W229" i="1" s="1"/>
  <c r="AG226" i="1"/>
  <c r="U226" i="1" s="1"/>
  <c r="S226" i="1" s="1"/>
  <c r="X223" i="1"/>
  <c r="AG221" i="1"/>
  <c r="X221" i="1"/>
  <c r="X211" i="1"/>
  <c r="T207" i="1"/>
  <c r="U207" i="1" s="1"/>
  <c r="S207" i="1" s="1"/>
  <c r="X196" i="1"/>
  <c r="AA176" i="1"/>
  <c r="AA174" i="1"/>
  <c r="AA172" i="1"/>
  <c r="P46" i="3"/>
  <c r="P47" i="3"/>
  <c r="AG159" i="1"/>
  <c r="X159" i="1"/>
  <c r="AG227" i="1"/>
  <c r="AA14" i="1"/>
  <c r="AA219" i="1"/>
  <c r="W219" i="1" s="1"/>
  <c r="T219" i="1"/>
  <c r="U219" i="1" s="1"/>
  <c r="S219" i="1" s="1"/>
  <c r="AG218" i="1"/>
  <c r="T218" i="1"/>
  <c r="X215" i="1"/>
  <c r="T214" i="1"/>
  <c r="U214" i="1" s="1"/>
  <c r="S214" i="1" s="1"/>
  <c r="AG213" i="1"/>
  <c r="U213" i="1" s="1"/>
  <c r="S213" i="1" s="1"/>
  <c r="X213" i="1"/>
  <c r="AA210" i="1"/>
  <c r="X202" i="1"/>
  <c r="AA194" i="1"/>
  <c r="AG186" i="1"/>
  <c r="X186" i="1"/>
  <c r="T183" i="1"/>
  <c r="U183" i="1" s="1"/>
  <c r="S183" i="1" s="1"/>
  <c r="AG182" i="1"/>
  <c r="W182" i="1" s="1"/>
  <c r="X182" i="1"/>
  <c r="T179" i="1"/>
  <c r="U179" i="1" s="1"/>
  <c r="S179" i="1" s="1"/>
  <c r="AG178" i="1"/>
  <c r="X178" i="1"/>
  <c r="T177" i="1"/>
  <c r="U177" i="1" s="1"/>
  <c r="S177" i="1" s="1"/>
  <c r="AG176" i="1"/>
  <c r="U176" i="1" s="1"/>
  <c r="S176" i="1" s="1"/>
  <c r="X176" i="1"/>
  <c r="T175" i="1"/>
  <c r="U175" i="1" s="1"/>
  <c r="S175" i="1" s="1"/>
  <c r="AG174" i="1"/>
  <c r="T173" i="1"/>
  <c r="U173" i="1" s="1"/>
  <c r="S173" i="1" s="1"/>
  <c r="AG172" i="1"/>
  <c r="U172" i="1" s="1"/>
  <c r="S172" i="1" s="1"/>
  <c r="T155" i="1"/>
  <c r="AG154" i="1"/>
  <c r="T154" i="1"/>
  <c r="AG143" i="1"/>
  <c r="T223" i="1"/>
  <c r="U223" i="1" s="1"/>
  <c r="S223" i="1" s="1"/>
  <c r="T220" i="1"/>
  <c r="U220" i="1" s="1"/>
  <c r="S220" i="1" s="1"/>
  <c r="AA211" i="1"/>
  <c r="W211" i="1" s="1"/>
  <c r="T211" i="1"/>
  <c r="AG210" i="1"/>
  <c r="T210" i="1"/>
  <c r="U210" i="1" s="1"/>
  <c r="S210" i="1" s="1"/>
  <c r="T206" i="1"/>
  <c r="AG205" i="1"/>
  <c r="U205" i="1" s="1"/>
  <c r="S205" i="1" s="1"/>
  <c r="AA201" i="1"/>
  <c r="W201" i="1" s="1"/>
  <c r="AG194" i="1"/>
  <c r="X194" i="1"/>
  <c r="T184" i="1"/>
  <c r="T180" i="1"/>
  <c r="AA177" i="1"/>
  <c r="W177" i="1" s="1"/>
  <c r="AA175" i="1"/>
  <c r="W175" i="1" s="1"/>
  <c r="AA173" i="1"/>
  <c r="W173" i="1" s="1"/>
  <c r="AA170" i="1"/>
  <c r="T158" i="1"/>
  <c r="AG157" i="1"/>
  <c r="X157" i="1"/>
  <c r="AA152" i="1"/>
  <c r="W152" i="1" s="1"/>
  <c r="W115" i="1"/>
  <c r="T137" i="1"/>
  <c r="U137" i="1" s="1"/>
  <c r="S137" i="1" s="1"/>
  <c r="P17" i="3"/>
  <c r="P37" i="3"/>
  <c r="T129" i="1"/>
  <c r="U129" i="1" s="1"/>
  <c r="S129" i="1" s="1"/>
  <c r="P16" i="3"/>
  <c r="P8" i="3"/>
  <c r="T98" i="1"/>
  <c r="U98" i="1" s="1"/>
  <c r="S98" i="1" s="1"/>
  <c r="AG89" i="1"/>
  <c r="T89" i="1"/>
  <c r="AG84" i="1"/>
  <c r="X84" i="1"/>
  <c r="AA40" i="1"/>
  <c r="W40" i="1" s="1"/>
  <c r="T198" i="1"/>
  <c r="U198" i="1" s="1"/>
  <c r="S198" i="1" s="1"/>
  <c r="T190" i="1"/>
  <c r="U190" i="1" s="1"/>
  <c r="S190" i="1" s="1"/>
  <c r="T188" i="1"/>
  <c r="P50" i="3"/>
  <c r="P48" i="3"/>
  <c r="P54" i="3"/>
  <c r="P45" i="3"/>
  <c r="Q54" i="3"/>
  <c r="Q45" i="3"/>
  <c r="T161" i="1"/>
  <c r="U161" i="1" s="1"/>
  <c r="S161" i="1" s="1"/>
  <c r="X153" i="1"/>
  <c r="T146" i="1"/>
  <c r="T145" i="1"/>
  <c r="U145" i="1" s="1"/>
  <c r="S145" i="1" s="1"/>
  <c r="T139" i="1"/>
  <c r="U139" i="1" s="1"/>
  <c r="S139" i="1" s="1"/>
  <c r="X135" i="1"/>
  <c r="T132" i="1"/>
  <c r="U132" i="1" s="1"/>
  <c r="S132" i="1" s="1"/>
  <c r="T131" i="1"/>
  <c r="X127" i="1"/>
  <c r="AA120" i="1"/>
  <c r="W120" i="1" s="1"/>
  <c r="AG106" i="1"/>
  <c r="U106" i="1" s="1"/>
  <c r="S106" i="1" s="1"/>
  <c r="AG104" i="1"/>
  <c r="U104" i="1" s="1"/>
  <c r="S104" i="1" s="1"/>
  <c r="AA103" i="1"/>
  <c r="AA101" i="1"/>
  <c r="T95" i="1"/>
  <c r="U95" i="1" s="1"/>
  <c r="S95" i="1" s="1"/>
  <c r="AG94" i="1"/>
  <c r="X94" i="1"/>
  <c r="T91" i="1"/>
  <c r="U91" i="1" s="1"/>
  <c r="S91" i="1" s="1"/>
  <c r="AA82" i="1"/>
  <c r="W82" i="1" s="1"/>
  <c r="T82" i="1"/>
  <c r="U82" i="1" s="1"/>
  <c r="S82" i="1" s="1"/>
  <c r="AG81" i="1"/>
  <c r="W81" i="1" s="1"/>
  <c r="T81" i="1"/>
  <c r="X78" i="1"/>
  <c r="AG76" i="1"/>
  <c r="W76" i="1" s="1"/>
  <c r="X76" i="1"/>
  <c r="AA73" i="1"/>
  <c r="AG61" i="1"/>
  <c r="W61" i="1" s="1"/>
  <c r="T61" i="1"/>
  <c r="W44" i="1"/>
  <c r="Q37" i="3"/>
  <c r="Q8" i="3"/>
  <c r="Q48" i="3"/>
  <c r="T217" i="1"/>
  <c r="U217" i="1" s="1"/>
  <c r="S217" i="1" s="1"/>
  <c r="T209" i="1"/>
  <c r="U209" i="1" s="1"/>
  <c r="S209" i="1" s="1"/>
  <c r="T200" i="1"/>
  <c r="U200" i="1" s="1"/>
  <c r="S200" i="1" s="1"/>
  <c r="AA196" i="1"/>
  <c r="T193" i="1"/>
  <c r="U193" i="1" s="1"/>
  <c r="S193" i="1" s="1"/>
  <c r="T192" i="1"/>
  <c r="T169" i="1"/>
  <c r="T168" i="1"/>
  <c r="U168" i="1" s="1"/>
  <c r="S168" i="1" s="1"/>
  <c r="T167" i="1"/>
  <c r="U167" i="1" s="1"/>
  <c r="S167" i="1" s="1"/>
  <c r="T166" i="1"/>
  <c r="U166" i="1" s="1"/>
  <c r="S166" i="1" s="1"/>
  <c r="T165" i="1"/>
  <c r="T164" i="1"/>
  <c r="U164" i="1" s="1"/>
  <c r="S164" i="1" s="1"/>
  <c r="T163" i="1"/>
  <c r="U163" i="1" s="1"/>
  <c r="S163" i="1" s="1"/>
  <c r="T152" i="1"/>
  <c r="U152" i="1" s="1"/>
  <c r="S152" i="1" s="1"/>
  <c r="T151" i="1"/>
  <c r="T150" i="1"/>
  <c r="U150" i="1" s="1"/>
  <c r="S150" i="1" s="1"/>
  <c r="T149" i="1"/>
  <c r="U149" i="1" s="1"/>
  <c r="S149" i="1" s="1"/>
  <c r="T148" i="1"/>
  <c r="U148" i="1" s="1"/>
  <c r="S148" i="1" s="1"/>
  <c r="T147" i="1"/>
  <c r="U147" i="1" s="1"/>
  <c r="S147" i="1" s="1"/>
  <c r="T141" i="1"/>
  <c r="U141" i="1" s="1"/>
  <c r="S141" i="1" s="1"/>
  <c r="T140" i="1"/>
  <c r="X137" i="1"/>
  <c r="T134" i="1"/>
  <c r="U134" i="1" s="1"/>
  <c r="S134" i="1" s="1"/>
  <c r="T133" i="1"/>
  <c r="U133" i="1" s="1"/>
  <c r="S133" i="1" s="1"/>
  <c r="X129" i="1"/>
  <c r="AA122" i="1"/>
  <c r="W122" i="1" s="1"/>
  <c r="AA116" i="1"/>
  <c r="W116" i="1" s="1"/>
  <c r="Q12" i="3"/>
  <c r="Q11" i="3"/>
  <c r="AA111" i="1"/>
  <c r="AG103" i="1"/>
  <c r="U103" i="1" s="1"/>
  <c r="S103" i="1" s="1"/>
  <c r="AG101" i="1"/>
  <c r="U101" i="1" s="1"/>
  <c r="S101" i="1" s="1"/>
  <c r="AA100" i="1"/>
  <c r="X98" i="1"/>
  <c r="X90" i="1"/>
  <c r="T86" i="1"/>
  <c r="U86" i="1" s="1"/>
  <c r="S86" i="1" s="1"/>
  <c r="T83" i="1"/>
  <c r="U83" i="1" s="1"/>
  <c r="S83" i="1" s="1"/>
  <c r="AA74" i="1"/>
  <c r="W74" i="1" s="1"/>
  <c r="T74" i="1"/>
  <c r="U74" i="1" s="1"/>
  <c r="S74" i="1" s="1"/>
  <c r="AG73" i="1"/>
  <c r="T73" i="1"/>
  <c r="AA69" i="1"/>
  <c r="AG64" i="1"/>
  <c r="X64" i="1"/>
  <c r="AA62" i="1"/>
  <c r="W49" i="1"/>
  <c r="AA48" i="1"/>
  <c r="W48" i="1" s="1"/>
  <c r="AA33" i="1"/>
  <c r="W33" i="1" s="1"/>
  <c r="P27" i="3"/>
  <c r="P22" i="3"/>
  <c r="T153" i="1"/>
  <c r="U153" i="1" s="1"/>
  <c r="S153" i="1" s="1"/>
  <c r="T142" i="1"/>
  <c r="U142" i="1" s="1"/>
  <c r="T136" i="1"/>
  <c r="U136" i="1" s="1"/>
  <c r="S136" i="1" s="1"/>
  <c r="T135" i="1"/>
  <c r="U135" i="1" s="1"/>
  <c r="S135" i="1" s="1"/>
  <c r="T128" i="1"/>
  <c r="U128" i="1" s="1"/>
  <c r="S128" i="1" s="1"/>
  <c r="T127" i="1"/>
  <c r="U127" i="1" s="1"/>
  <c r="S127" i="1" s="1"/>
  <c r="W124" i="1"/>
  <c r="AA110" i="1"/>
  <c r="T97" i="1"/>
  <c r="U97" i="1" s="1"/>
  <c r="S97" i="1" s="1"/>
  <c r="AG96" i="1"/>
  <c r="U96" i="1" s="1"/>
  <c r="S96" i="1" s="1"/>
  <c r="X96" i="1"/>
  <c r="T93" i="1"/>
  <c r="U93" i="1" s="1"/>
  <c r="S93" i="1" s="1"/>
  <c r="AG92" i="1"/>
  <c r="U92" i="1" s="1"/>
  <c r="S92" i="1" s="1"/>
  <c r="X92" i="1"/>
  <c r="AA89" i="1"/>
  <c r="T84" i="1"/>
  <c r="T78" i="1"/>
  <c r="U78" i="1" s="1"/>
  <c r="S78" i="1" s="1"/>
  <c r="T75" i="1"/>
  <c r="U75" i="1" s="1"/>
  <c r="S75" i="1" s="1"/>
  <c r="AG69" i="1"/>
  <c r="X69" i="1"/>
  <c r="Q15" i="3"/>
  <c r="Q14" i="3"/>
  <c r="T63" i="1"/>
  <c r="U63" i="1" s="1"/>
  <c r="S63" i="1" s="1"/>
  <c r="AG62" i="1"/>
  <c r="U62" i="1" s="1"/>
  <c r="S62" i="1" s="1"/>
  <c r="X62" i="1"/>
  <c r="AA59" i="1"/>
  <c r="W59" i="1" s="1"/>
  <c r="AA58" i="1"/>
  <c r="W36" i="1"/>
  <c r="P12" i="3"/>
  <c r="AA30" i="1"/>
  <c r="W30" i="1" s="1"/>
  <c r="T88" i="1"/>
  <c r="U88" i="1" s="1"/>
  <c r="S88" i="1" s="1"/>
  <c r="T80" i="1"/>
  <c r="U80" i="1" s="1"/>
  <c r="S80" i="1" s="1"/>
  <c r="T72" i="1"/>
  <c r="U72" i="1" s="1"/>
  <c r="S72" i="1" s="1"/>
  <c r="T67" i="1"/>
  <c r="U67" i="1" s="1"/>
  <c r="S67" i="1" s="1"/>
  <c r="T66" i="1"/>
  <c r="U66" i="1" s="1"/>
  <c r="S66" i="1" s="1"/>
  <c r="AA51" i="1"/>
  <c r="W51" i="1" s="1"/>
  <c r="AA47" i="1"/>
  <c r="W47" i="1" s="1"/>
  <c r="AA43" i="1"/>
  <c r="W43" i="1" s="1"/>
  <c r="AA39" i="1"/>
  <c r="W39" i="1" s="1"/>
  <c r="AA35" i="1"/>
  <c r="W35" i="1" s="1"/>
  <c r="AA32" i="1"/>
  <c r="W32" i="1" s="1"/>
  <c r="AA26" i="1"/>
  <c r="W26" i="1" s="1"/>
  <c r="AA23" i="1"/>
  <c r="W23" i="1" s="1"/>
  <c r="AA17" i="1"/>
  <c r="P14" i="3"/>
  <c r="AA70" i="1"/>
  <c r="T68" i="1"/>
  <c r="U68" i="1" s="1"/>
  <c r="S68" i="1" s="1"/>
  <c r="T60" i="1"/>
  <c r="U60" i="1" s="1"/>
  <c r="S60" i="1" s="1"/>
  <c r="W50" i="1"/>
  <c r="W42" i="1"/>
  <c r="AA28" i="1"/>
  <c r="W28" i="1" s="1"/>
  <c r="AA25" i="1"/>
  <c r="U227" i="1"/>
  <c r="S227" i="1" s="1"/>
  <c r="X224" i="1"/>
  <c r="X222" i="1"/>
  <c r="X220" i="1"/>
  <c r="X218" i="1"/>
  <c r="X216" i="1"/>
  <c r="X214" i="1"/>
  <c r="X212" i="1"/>
  <c r="U211" i="1"/>
  <c r="S211" i="1" s="1"/>
  <c r="U202" i="1"/>
  <c r="S202" i="1" s="1"/>
  <c r="X201" i="1"/>
  <c r="X199" i="1"/>
  <c r="X197" i="1"/>
  <c r="X195" i="1"/>
  <c r="X229" i="1"/>
  <c r="X228" i="1"/>
  <c r="X227" i="1"/>
  <c r="U218" i="1"/>
  <c r="S218" i="1" s="1"/>
  <c r="U206" i="1"/>
  <c r="S206" i="1" s="1"/>
  <c r="U228" i="1"/>
  <c r="S228" i="1" s="1"/>
  <c r="T195" i="1"/>
  <c r="U195" i="1" s="1"/>
  <c r="S195" i="1" s="1"/>
  <c r="T194" i="1"/>
  <c r="U194" i="1" s="1"/>
  <c r="S194" i="1" s="1"/>
  <c r="U191" i="1"/>
  <c r="U181" i="1"/>
  <c r="S181" i="1" s="1"/>
  <c r="U162" i="1"/>
  <c r="S162" i="1" s="1"/>
  <c r="U158" i="1"/>
  <c r="S158" i="1" s="1"/>
  <c r="U156" i="1"/>
  <c r="S156" i="1" s="1"/>
  <c r="U146" i="1"/>
  <c r="S146" i="1" s="1"/>
  <c r="U144" i="1"/>
  <c r="S144" i="1" s="1"/>
  <c r="U138" i="1"/>
  <c r="S138" i="1" s="1"/>
  <c r="T126" i="1"/>
  <c r="U126" i="1" s="1"/>
  <c r="S126" i="1" s="1"/>
  <c r="X193" i="1"/>
  <c r="X191" i="1"/>
  <c r="S191" i="1"/>
  <c r="X189" i="1"/>
  <c r="U188" i="1"/>
  <c r="S188" i="1" s="1"/>
  <c r="X187" i="1"/>
  <c r="U186" i="1"/>
  <c r="S186" i="1" s="1"/>
  <c r="X185" i="1"/>
  <c r="X183" i="1"/>
  <c r="X181" i="1"/>
  <c r="X179" i="1"/>
  <c r="X177" i="1"/>
  <c r="X175" i="1"/>
  <c r="U174" i="1"/>
  <c r="S174" i="1" s="1"/>
  <c r="X170" i="1"/>
  <c r="U169" i="1"/>
  <c r="S169" i="1" s="1"/>
  <c r="X168" i="1"/>
  <c r="X166" i="1"/>
  <c r="U165" i="1"/>
  <c r="S165" i="1" s="1"/>
  <c r="X164" i="1"/>
  <c r="X162" i="1"/>
  <c r="X160" i="1"/>
  <c r="X158" i="1"/>
  <c r="X156" i="1"/>
  <c r="X154" i="1"/>
  <c r="X152" i="1"/>
  <c r="U151" i="1"/>
  <c r="S151" i="1" s="1"/>
  <c r="X150" i="1"/>
  <c r="U143" i="1"/>
  <c r="S143" i="1" s="1"/>
  <c r="X136" i="1"/>
  <c r="X134" i="1"/>
  <c r="X132" i="1"/>
  <c r="U131" i="1"/>
  <c r="S131" i="1" s="1"/>
  <c r="X130" i="1"/>
  <c r="X128" i="1"/>
  <c r="X126" i="1"/>
  <c r="T125" i="1"/>
  <c r="AG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X111" i="1"/>
  <c r="T109" i="1"/>
  <c r="X109" i="1"/>
  <c r="AG111" i="1"/>
  <c r="AG109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X112" i="1"/>
  <c r="T110" i="1"/>
  <c r="X110" i="1"/>
  <c r="T108" i="1"/>
  <c r="X108" i="1"/>
  <c r="AG112" i="1"/>
  <c r="AG110" i="1"/>
  <c r="AG108" i="1"/>
  <c r="X107" i="1"/>
  <c r="X106" i="1"/>
  <c r="X105" i="1"/>
  <c r="X104" i="1"/>
  <c r="X103" i="1"/>
  <c r="X102" i="1"/>
  <c r="X101" i="1"/>
  <c r="U87" i="1"/>
  <c r="S87" i="1" s="1"/>
  <c r="U85" i="1"/>
  <c r="S85" i="1" s="1"/>
  <c r="U79" i="1"/>
  <c r="X70" i="1"/>
  <c r="X71" i="1"/>
  <c r="T69" i="1"/>
  <c r="X99" i="1"/>
  <c r="X97" i="1"/>
  <c r="X95" i="1"/>
  <c r="X93" i="1"/>
  <c r="X91" i="1"/>
  <c r="U90" i="1"/>
  <c r="S90" i="1" s="1"/>
  <c r="X89" i="1"/>
  <c r="X87" i="1"/>
  <c r="X85" i="1"/>
  <c r="X83" i="1"/>
  <c r="X81" i="1"/>
  <c r="X79" i="1"/>
  <c r="S79" i="1"/>
  <c r="X77" i="1"/>
  <c r="X75" i="1"/>
  <c r="X73" i="1"/>
  <c r="W70" i="1"/>
  <c r="T70" i="1"/>
  <c r="U70" i="1" s="1"/>
  <c r="S70" i="1" s="1"/>
  <c r="T59" i="1"/>
  <c r="U59" i="1" s="1"/>
  <c r="S59" i="1" s="1"/>
  <c r="X67" i="1"/>
  <c r="X65" i="1"/>
  <c r="X63" i="1"/>
  <c r="X61" i="1"/>
  <c r="X59" i="1"/>
  <c r="T58" i="1"/>
  <c r="AG58" i="1"/>
  <c r="W57" i="1"/>
  <c r="T57" i="1"/>
  <c r="U57" i="1" s="1"/>
  <c r="S57" i="1" s="1"/>
  <c r="X57" i="1"/>
  <c r="W55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7" i="1"/>
  <c r="U27" i="1" s="1"/>
  <c r="S27" i="1" s="1"/>
  <c r="X27" i="1"/>
  <c r="AA24" i="1"/>
  <c r="W24" i="1" s="1"/>
  <c r="T23" i="1"/>
  <c r="U23" i="1" s="1"/>
  <c r="S23" i="1" s="1"/>
  <c r="X23" i="1"/>
  <c r="AA20" i="1"/>
  <c r="W20" i="1" s="1"/>
  <c r="T19" i="1"/>
  <c r="U19" i="1" s="1"/>
  <c r="S19" i="1" s="1"/>
  <c r="W15" i="1"/>
  <c r="T28" i="1"/>
  <c r="U28" i="1" s="1"/>
  <c r="S28" i="1" s="1"/>
  <c r="X28" i="1"/>
  <c r="T24" i="1"/>
  <c r="U24" i="1" s="1"/>
  <c r="S24" i="1" s="1"/>
  <c r="X24" i="1"/>
  <c r="T20" i="1"/>
  <c r="U20" i="1" s="1"/>
  <c r="S20" i="1" s="1"/>
  <c r="T15" i="1"/>
  <c r="U15" i="1" s="1"/>
  <c r="S15" i="1" s="1"/>
  <c r="X15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X29" i="1"/>
  <c r="T25" i="1"/>
  <c r="X25" i="1"/>
  <c r="T21" i="1"/>
  <c r="X21" i="1"/>
  <c r="T17" i="1"/>
  <c r="AG29" i="1"/>
  <c r="W27" i="1"/>
  <c r="T26" i="1"/>
  <c r="U26" i="1" s="1"/>
  <c r="S26" i="1" s="1"/>
  <c r="X26" i="1"/>
  <c r="AG25" i="1"/>
  <c r="T22" i="1"/>
  <c r="U22" i="1" s="1"/>
  <c r="S22" i="1" s="1"/>
  <c r="X22" i="1"/>
  <c r="AG21" i="1"/>
  <c r="W21" i="1" s="1"/>
  <c r="W19" i="1"/>
  <c r="T18" i="1"/>
  <c r="U18" i="1" s="1"/>
  <c r="S18" i="1" s="1"/>
  <c r="AG17" i="1"/>
  <c r="AG14" i="1"/>
  <c r="L26" i="3"/>
  <c r="S26" i="3"/>
  <c r="R26" i="3" s="1"/>
  <c r="T26" i="3"/>
  <c r="U26" i="3"/>
  <c r="V26" i="3"/>
  <c r="P26" i="3"/>
  <c r="U203" i="1" l="1"/>
  <c r="S203" i="1" s="1"/>
  <c r="U73" i="1"/>
  <c r="S73" i="1" s="1"/>
  <c r="W100" i="1"/>
  <c r="W154" i="1"/>
  <c r="W155" i="1"/>
  <c r="W64" i="1"/>
  <c r="W221" i="1"/>
  <c r="W192" i="1"/>
  <c r="W203" i="1"/>
  <c r="W25" i="1"/>
  <c r="U192" i="1"/>
  <c r="S192" i="1" s="1"/>
  <c r="W228" i="1"/>
  <c r="W159" i="1"/>
  <c r="U185" i="1"/>
  <c r="S185" i="1" s="1"/>
  <c r="W111" i="1"/>
  <c r="U160" i="1"/>
  <c r="S160" i="1" s="1"/>
  <c r="U155" i="1"/>
  <c r="S155" i="1" s="1"/>
  <c r="W205" i="1"/>
  <c r="W94" i="1"/>
  <c r="W170" i="1"/>
  <c r="W180" i="1"/>
  <c r="W102" i="1"/>
  <c r="U100" i="1"/>
  <c r="S100" i="1" s="1"/>
  <c r="U64" i="1"/>
  <c r="S64" i="1" s="1"/>
  <c r="U89" i="1"/>
  <c r="S89" i="1" s="1"/>
  <c r="W178" i="1"/>
  <c r="W69" i="1"/>
  <c r="W143" i="1"/>
  <c r="W185" i="1"/>
  <c r="W157" i="1"/>
  <c r="W105" i="1"/>
  <c r="U221" i="1"/>
  <c r="S221" i="1" s="1"/>
  <c r="W216" i="1"/>
  <c r="U81" i="1"/>
  <c r="S81" i="1" s="1"/>
  <c r="W89" i="1"/>
  <c r="U187" i="1"/>
  <c r="S187" i="1" s="1"/>
  <c r="U159" i="1"/>
  <c r="S159" i="1" s="1"/>
  <c r="W17" i="1"/>
  <c r="U140" i="1"/>
  <c r="S140" i="1" s="1"/>
  <c r="U157" i="1"/>
  <c r="S157" i="1" s="1"/>
  <c r="U180" i="1"/>
  <c r="S180" i="1" s="1"/>
  <c r="W107" i="1"/>
  <c r="W196" i="1"/>
  <c r="U170" i="1"/>
  <c r="S170" i="1" s="1"/>
  <c r="W187" i="1"/>
  <c r="W225" i="1"/>
  <c r="U178" i="1"/>
  <c r="S178" i="1" s="1"/>
  <c r="W106" i="1"/>
  <c r="U196" i="1"/>
  <c r="S196" i="1" s="1"/>
  <c r="U94" i="1"/>
  <c r="S94" i="1" s="1"/>
  <c r="U105" i="1"/>
  <c r="S105" i="1" s="1"/>
  <c r="S142" i="1"/>
  <c r="W186" i="1"/>
  <c r="U222" i="1"/>
  <c r="S222" i="1" s="1"/>
  <c r="U61" i="1"/>
  <c r="S61" i="1" s="1"/>
  <c r="U76" i="1"/>
  <c r="S76" i="1" s="1"/>
  <c r="U69" i="1"/>
  <c r="S69" i="1" s="1"/>
  <c r="W96" i="1"/>
  <c r="W222" i="1"/>
  <c r="W92" i="1"/>
  <c r="W194" i="1"/>
  <c r="W218" i="1"/>
  <c r="W84" i="1"/>
  <c r="W104" i="1"/>
  <c r="W227" i="1"/>
  <c r="W184" i="1"/>
  <c r="W208" i="1"/>
  <c r="W101" i="1"/>
  <c r="W172" i="1"/>
  <c r="U184" i="1"/>
  <c r="S184" i="1" s="1"/>
  <c r="U154" i="1"/>
  <c r="S154" i="1" s="1"/>
  <c r="W103" i="1"/>
  <c r="W174" i="1"/>
  <c r="W213" i="1"/>
  <c r="W73" i="1"/>
  <c r="W14" i="1"/>
  <c r="U84" i="1"/>
  <c r="S84" i="1" s="1"/>
  <c r="U182" i="1"/>
  <c r="S182" i="1" s="1"/>
  <c r="W62" i="1"/>
  <c r="W210" i="1"/>
  <c r="W176" i="1"/>
  <c r="W226" i="1"/>
  <c r="U29" i="1"/>
  <c r="S29" i="1" s="1"/>
  <c r="W29" i="1"/>
  <c r="U108" i="1"/>
  <c r="S108" i="1" s="1"/>
  <c r="U109" i="1"/>
  <c r="S109" i="1" s="1"/>
  <c r="U17" i="1"/>
  <c r="S17" i="1" s="1"/>
  <c r="U58" i="1"/>
  <c r="S58" i="1" s="1"/>
  <c r="W58" i="1"/>
  <c r="U110" i="1"/>
  <c r="S110" i="1" s="1"/>
  <c r="U111" i="1"/>
  <c r="S111" i="1" s="1"/>
  <c r="W110" i="1"/>
  <c r="U125" i="1"/>
  <c r="S125" i="1" s="1"/>
  <c r="W125" i="1"/>
  <c r="W108" i="1"/>
  <c r="U21" i="1"/>
  <c r="S21" i="1" s="1"/>
  <c r="U112" i="1"/>
  <c r="S112" i="1" s="1"/>
  <c r="W112" i="1"/>
  <c r="U25" i="1"/>
  <c r="S25" i="1" s="1"/>
  <c r="W109" i="1"/>
  <c r="U14" i="1"/>
  <c r="S14" i="1" s="1"/>
  <c r="Q26" i="3"/>
  <c r="AH13" i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V13" i="1" l="1"/>
  <c r="AF13" i="1" l="1"/>
  <c r="AE13" i="1" l="1"/>
  <c r="M18" i="5" l="1"/>
  <c r="AD13" i="1" l="1"/>
  <c r="X14" i="1" s="1"/>
  <c r="X13" i="1" l="1"/>
  <c r="AG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<sst xmlns="http://schemas.openxmlformats.org/spreadsheetml/2006/main" count="2139" uniqueCount="679">
  <si>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</si>
  <si>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</si>
  <si>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</si>
  <si>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</si>
  <si>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</si>
  <si>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</si>
  <si>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</si>
  <si>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</si>
  <si>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</si>
  <si>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</si>
  <si>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</si>
  <si>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</si>
  <si>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</si>
  <si>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</si>
  <si>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</si>
  <si>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</si>
  <si>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</si>
  <si>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</si>
  <si>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</si>
  <si>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</si>
  <si>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</si>
  <si>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</si>
  <si>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</si>
  <si>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</si>
  <si>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</si>
  <si>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</si>
  <si>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</si>
  <si>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</si>
  <si>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</si>
  <si>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</si>
  <si>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</si>
  <si>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</si>
  <si>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</si>
  <si>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</si>
  <si>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</si>
  <si>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</si>
  <si>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</si>
  <si>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</si>
  <si>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</si>
  <si>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</si>
  <si>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</si>
  <si>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</si>
  <si>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</si>
  <si>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</si>
  <si>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</si>
  <si>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</si>
  <si>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</si>
  <si>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</si>
  <si>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</si>
  <si>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</si>
  <si>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</si>
  <si>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</si>
  <si>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</si>
  <si>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</si>
  <si>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</si>
  <si>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</si>
  <si>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</si>
  <si>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</si>
  <si>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</si>
  <si>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</si>
  <si>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</si>
  <si>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</si>
  <si>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</si>
  <si>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</si>
  <si>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</si>
  <si>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</si>
  <si>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</si>
  <si>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</si>
  <si>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</si>
  <si>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</si>
  <si>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</si>
  <si>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</si>
  <si>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</si>
  <si>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</si>
  <si>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</si>
  <si>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</si>
  <si>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</si>
  <si>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</si>
  <si>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</si>
  <si>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</si>
  <si>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</si>
  <si>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</si>
  <si>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</si>
  <si>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</si>
  <si>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</si>
  <si>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</si>
  <si>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</si>
  <si>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</si>
  <si>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</si>
  <si>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</si>
  <si>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</si>
  <si>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</si>
  <si>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</si>
  <si>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</si>
  <si>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rtdc.l.rtdc.4026:itc</t>
  </si>
  <si>
    <t>rtdc.l.rtdc.4013:itc</t>
  </si>
  <si>
    <t>rtdc.l.rtdc.4025:itc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</si>
  <si>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</si>
  <si>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</si>
  <si>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</si>
  <si>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</si>
  <si>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</si>
  <si>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</si>
  <si>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</si>
  <si>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</si>
  <si>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</si>
  <si>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</si>
  <si>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</si>
  <si>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</si>
  <si>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</si>
  <si>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</si>
  <si>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</si>
  <si>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</si>
  <si>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</si>
  <si>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</si>
  <si>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</si>
  <si>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</si>
  <si>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</si>
  <si>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</si>
  <si>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</si>
  <si>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204:233293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</si>
  <si>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</si>
  <si>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</si>
  <si>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</si>
  <si>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</si>
  <si>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</si>
  <si>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</si>
  <si>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</si>
  <si>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</si>
  <si>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</si>
  <si>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</si>
  <si>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</si>
  <si>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</si>
  <si>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</si>
  <si>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</si>
  <si>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</si>
  <si>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</si>
  <si>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</si>
  <si>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</si>
  <si>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</si>
  <si>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</si>
  <si>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</si>
  <si>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</si>
  <si>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</si>
  <si>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204:471</t>
  </si>
  <si>
    <t>204:232989</t>
  </si>
  <si>
    <t>204:147</t>
  </si>
  <si>
    <t>204:161</t>
  </si>
  <si>
    <t>204:453</t>
  </si>
  <si>
    <t>204:233289</t>
  </si>
  <si>
    <t>204:232969</t>
  </si>
  <si>
    <t>204:232994</t>
  </si>
  <si>
    <t>204:449</t>
  </si>
  <si>
    <t>204:149</t>
  </si>
  <si>
    <t>204:145</t>
  </si>
  <si>
    <t>204:141</t>
  </si>
  <si>
    <t>204:233286</t>
  </si>
  <si>
    <t>204:232996</t>
  </si>
  <si>
    <t>204:233299</t>
  </si>
  <si>
    <t>204:233312</t>
  </si>
  <si>
    <t>204:136</t>
  </si>
  <si>
    <t>204:232959</t>
  </si>
  <si>
    <t>204:488</t>
  </si>
  <si>
    <t>-</t>
  </si>
  <si>
    <t>OUN</t>
  </si>
  <si>
    <t>STURGEON</t>
  </si>
  <si>
    <t>SWANSON</t>
  </si>
  <si>
    <t>HELVIE</t>
  </si>
  <si>
    <t>HAITHCOX</t>
  </si>
  <si>
    <t>ISHMAEL</t>
  </si>
  <si>
    <t>204:169</t>
  </si>
  <si>
    <t>204:232983</t>
  </si>
  <si>
    <t>204:469</t>
  </si>
  <si>
    <t>204:437</t>
  </si>
  <si>
    <t>204:458</t>
  </si>
  <si>
    <t>204:139</t>
  </si>
  <si>
    <t>204:493</t>
  </si>
  <si>
    <t>204:233298</t>
  </si>
  <si>
    <t>204:232978</t>
  </si>
  <si>
    <t>204:232980</t>
  </si>
  <si>
    <t>204:467</t>
  </si>
  <si>
    <t>204:233306</t>
  </si>
  <si>
    <t>204:489</t>
  </si>
  <si>
    <t>ROCHA</t>
  </si>
  <si>
    <t>BRANNON</t>
  </si>
  <si>
    <t>LEVIN</t>
  </si>
  <si>
    <t>ROBINSON</t>
  </si>
  <si>
    <t>Wi-MAX outage</t>
  </si>
  <si>
    <t>Did not initialize</t>
  </si>
  <si>
    <t>204:163</t>
  </si>
  <si>
    <t>204:232990</t>
  </si>
  <si>
    <t>204:457</t>
  </si>
  <si>
    <t>204:447</t>
  </si>
  <si>
    <t>204:233310</t>
  </si>
  <si>
    <t>204:233314</t>
  </si>
  <si>
    <t>204:233319</t>
  </si>
  <si>
    <t>204:138</t>
  </si>
  <si>
    <t>204:233021</t>
  </si>
  <si>
    <t>204:233320</t>
  </si>
  <si>
    <t>204:497</t>
  </si>
  <si>
    <t>204:233282</t>
  </si>
  <si>
    <t>204:969</t>
  </si>
  <si>
    <t>300:58615</t>
  </si>
  <si>
    <t>300:58645</t>
  </si>
  <si>
    <t>MAELZER</t>
  </si>
  <si>
    <t>STAMBAUGH</t>
  </si>
  <si>
    <t>rtdc.l.rtdc.4037:itc</t>
  </si>
  <si>
    <t>MOSES</t>
  </si>
  <si>
    <t xml:space="preserve">baselines for EC: </t>
  </si>
  <si>
    <t>baselines for NWES:</t>
  </si>
  <si>
    <t>M - F = 47 trips</t>
  </si>
  <si>
    <t>Sat - Sun = 33 Trips</t>
  </si>
  <si>
    <t>204:233300</t>
  </si>
  <si>
    <t>204:172</t>
  </si>
  <si>
    <t>204:232973</t>
  </si>
  <si>
    <t>204:232991</t>
  </si>
  <si>
    <t>204:755</t>
  </si>
  <si>
    <t>204:233301</t>
  </si>
  <si>
    <t>204:233302</t>
  </si>
  <si>
    <t>204:233280</t>
  </si>
  <si>
    <t>204:466</t>
  </si>
  <si>
    <t>204:232975</t>
  </si>
  <si>
    <t>204:160</t>
  </si>
  <si>
    <t>204:233323</t>
  </si>
  <si>
    <t>204:232986</t>
  </si>
  <si>
    <t>204:1184</t>
  </si>
  <si>
    <t>204:442</t>
  </si>
  <si>
    <t>204:165</t>
  </si>
  <si>
    <t>204:444</t>
  </si>
  <si>
    <t>204:517</t>
  </si>
  <si>
    <t>204:233360</t>
  </si>
  <si>
    <t>204:221</t>
  </si>
  <si>
    <t>242-11</t>
  </si>
  <si>
    <t>244-11</t>
  </si>
  <si>
    <t>311-11</t>
  </si>
  <si>
    <t>315-11</t>
  </si>
  <si>
    <t>300:23308</t>
  </si>
  <si>
    <t>300:58641</t>
  </si>
  <si>
    <t>204:838</t>
  </si>
  <si>
    <t>300:58944</t>
  </si>
  <si>
    <t>300:58632</t>
  </si>
  <si>
    <t>204:1139</t>
  </si>
  <si>
    <t>300:58628</t>
  </si>
  <si>
    <t>300:58624</t>
  </si>
  <si>
    <t>300:58961</t>
  </si>
  <si>
    <t>300:58619</t>
  </si>
  <si>
    <t>rtdc.l.rtdc.4028:itc</t>
  </si>
  <si>
    <t>rtdc.l.rtdc.4042:itc</t>
  </si>
  <si>
    <t>rtdc.l.rtdc.4021:itc</t>
  </si>
  <si>
    <t>rtdc.l.rtdc.4041:itc</t>
  </si>
  <si>
    <t>rtdc.l.rtdc.4004:itc</t>
  </si>
  <si>
    <t>MALAVE</t>
  </si>
  <si>
    <t>STRICKLAND</t>
  </si>
  <si>
    <t>SANTIZO</t>
  </si>
  <si>
    <t>YORK</t>
  </si>
  <si>
    <t>rtdc.l.rtdc.4038:itc</t>
  </si>
  <si>
    <t>rtdc.l.rtdc.4003:itc</t>
  </si>
  <si>
    <t>SHOOK</t>
  </si>
  <si>
    <t>313-11</t>
  </si>
  <si>
    <t>Onboard in-route failure</t>
  </si>
  <si>
    <t>Overspeed</t>
  </si>
  <si>
    <t>101-12</t>
  </si>
  <si>
    <t>204:712</t>
  </si>
  <si>
    <t>204:233343</t>
  </si>
  <si>
    <t>102-12</t>
  </si>
  <si>
    <t>204:232681</t>
  </si>
  <si>
    <t>103-12</t>
  </si>
  <si>
    <t>204:752</t>
  </si>
  <si>
    <t>204:233346</t>
  </si>
  <si>
    <t>105-12</t>
  </si>
  <si>
    <t>204:817</t>
  </si>
  <si>
    <t>106-12</t>
  </si>
  <si>
    <t>204:232639</t>
  </si>
  <si>
    <t>107-12</t>
  </si>
  <si>
    <t>108-12</t>
  </si>
  <si>
    <t>204:232987</t>
  </si>
  <si>
    <t>109-12</t>
  </si>
  <si>
    <t>110-12</t>
  </si>
  <si>
    <t>111-12</t>
  </si>
  <si>
    <t>204:715</t>
  </si>
  <si>
    <t>112-12</t>
  </si>
  <si>
    <t>204:232985</t>
  </si>
  <si>
    <t>204:198</t>
  </si>
  <si>
    <t>113-12</t>
  </si>
  <si>
    <t>204:424</t>
  </si>
  <si>
    <t>114-12</t>
  </si>
  <si>
    <t>115-12</t>
  </si>
  <si>
    <t>116-12</t>
  </si>
  <si>
    <t>204:233008</t>
  </si>
  <si>
    <t>204:150</t>
  </si>
  <si>
    <t>117-12</t>
  </si>
  <si>
    <t>204:19148</t>
  </si>
  <si>
    <t>118-12</t>
  </si>
  <si>
    <t>204:233001</t>
  </si>
  <si>
    <t>204:156</t>
  </si>
  <si>
    <t>119-12</t>
  </si>
  <si>
    <t>204:233297</t>
  </si>
  <si>
    <t>120-12</t>
  </si>
  <si>
    <t>121-12</t>
  </si>
  <si>
    <t>204:233170</t>
  </si>
  <si>
    <t>122-12</t>
  </si>
  <si>
    <t>204:232856</t>
  </si>
  <si>
    <t>123-12</t>
  </si>
  <si>
    <t>204:233283</t>
  </si>
  <si>
    <t>124-12</t>
  </si>
  <si>
    <t>204:232981</t>
  </si>
  <si>
    <t>125-12</t>
  </si>
  <si>
    <t>204:233318</t>
  </si>
  <si>
    <t>126-12</t>
  </si>
  <si>
    <t>204:233007</t>
  </si>
  <si>
    <t>204:256</t>
  </si>
  <si>
    <t>127-12</t>
  </si>
  <si>
    <t>204:451</t>
  </si>
  <si>
    <t>128-12</t>
  </si>
  <si>
    <t>129-12</t>
  </si>
  <si>
    <t>204:233291</t>
  </si>
  <si>
    <t>130-12</t>
  </si>
  <si>
    <t>204:154</t>
  </si>
  <si>
    <t>131-12</t>
  </si>
  <si>
    <t>132-12</t>
  </si>
  <si>
    <t>133-12</t>
  </si>
  <si>
    <t>204:233303</t>
  </si>
  <si>
    <t>134-12</t>
  </si>
  <si>
    <t>204:232961</t>
  </si>
  <si>
    <t>135-12</t>
  </si>
  <si>
    <t>136-12</t>
  </si>
  <si>
    <t>137-12</t>
  </si>
  <si>
    <t>138-12</t>
  </si>
  <si>
    <t>204:232963</t>
  </si>
  <si>
    <t>139-12</t>
  </si>
  <si>
    <t>204:580</t>
  </si>
  <si>
    <t>204:233304</t>
  </si>
  <si>
    <t>140-12</t>
  </si>
  <si>
    <t>141-12</t>
  </si>
  <si>
    <t>142-12</t>
  </si>
  <si>
    <t>143-12</t>
  </si>
  <si>
    <t>144-12</t>
  </si>
  <si>
    <t>204:233000</t>
  </si>
  <si>
    <t>145-12</t>
  </si>
  <si>
    <t>146-12</t>
  </si>
  <si>
    <t>147-12</t>
  </si>
  <si>
    <t>204:233287</t>
  </si>
  <si>
    <t>148-12</t>
  </si>
  <si>
    <t>204:183</t>
  </si>
  <si>
    <t>149-12</t>
  </si>
  <si>
    <t>150-12</t>
  </si>
  <si>
    <t>151-12</t>
  </si>
  <si>
    <t>152-12</t>
  </si>
  <si>
    <t>153-12</t>
  </si>
  <si>
    <t>154-12</t>
  </si>
  <si>
    <t>155-12</t>
  </si>
  <si>
    <t>204:233334</t>
  </si>
  <si>
    <t>156-12</t>
  </si>
  <si>
    <t>157-12</t>
  </si>
  <si>
    <t>204:233311</t>
  </si>
  <si>
    <t>158-12</t>
  </si>
  <si>
    <t>159-12</t>
  </si>
  <si>
    <t>160-12</t>
  </si>
  <si>
    <t>161-12</t>
  </si>
  <si>
    <t>204:473</t>
  </si>
  <si>
    <t>162-12</t>
  </si>
  <si>
    <t>163-12</t>
  </si>
  <si>
    <t>164-12</t>
  </si>
  <si>
    <t>204:233006</t>
  </si>
  <si>
    <t>165-12</t>
  </si>
  <si>
    <t>166-12</t>
  </si>
  <si>
    <t>204:232965</t>
  </si>
  <si>
    <t>167-12</t>
  </si>
  <si>
    <t>204:1516</t>
  </si>
  <si>
    <t>168-12</t>
  </si>
  <si>
    <t>169-12</t>
  </si>
  <si>
    <t>204:233372</t>
  </si>
  <si>
    <t>170-12</t>
  </si>
  <si>
    <t>204:233032</t>
  </si>
  <si>
    <t>171-12</t>
  </si>
  <si>
    <t>172-12</t>
  </si>
  <si>
    <t>173-12</t>
  </si>
  <si>
    <t>204:233268</t>
  </si>
  <si>
    <t>174-12</t>
  </si>
  <si>
    <t>175-12</t>
  </si>
  <si>
    <t>176-12</t>
  </si>
  <si>
    <t>177-12</t>
  </si>
  <si>
    <t>178-12</t>
  </si>
  <si>
    <t>204:245</t>
  </si>
  <si>
    <t>179-12</t>
  </si>
  <si>
    <t>180-12</t>
  </si>
  <si>
    <t>181-12</t>
  </si>
  <si>
    <t>182-12</t>
  </si>
  <si>
    <t>204:225</t>
  </si>
  <si>
    <t>183-12</t>
  </si>
  <si>
    <t>184-12</t>
  </si>
  <si>
    <t>185-12</t>
  </si>
  <si>
    <t>204:477</t>
  </si>
  <si>
    <t>204:233326</t>
  </si>
  <si>
    <t>186-12</t>
  </si>
  <si>
    <t>187-12</t>
  </si>
  <si>
    <t>188-12</t>
  </si>
  <si>
    <t>204:232976</t>
  </si>
  <si>
    <t>204:196</t>
  </si>
  <si>
    <t>189-12</t>
  </si>
  <si>
    <t>190-12</t>
  </si>
  <si>
    <t>191-12</t>
  </si>
  <si>
    <t>204:537</t>
  </si>
  <si>
    <t>192-12</t>
  </si>
  <si>
    <t>204:233002</t>
  </si>
  <si>
    <t>193-12</t>
  </si>
  <si>
    <t>204:233328</t>
  </si>
  <si>
    <t>194-12</t>
  </si>
  <si>
    <t>195-12</t>
  </si>
  <si>
    <t>204:233329</t>
  </si>
  <si>
    <t>196-12</t>
  </si>
  <si>
    <t>197-12</t>
  </si>
  <si>
    <t>198-12</t>
  </si>
  <si>
    <t>204:233013</t>
  </si>
  <si>
    <t>199-12</t>
  </si>
  <si>
    <t>204:233317</t>
  </si>
  <si>
    <t>200-12</t>
  </si>
  <si>
    <t>204:130</t>
  </si>
  <si>
    <t>201-12</t>
  </si>
  <si>
    <t>204:484</t>
  </si>
  <si>
    <t>202-12</t>
  </si>
  <si>
    <t>204:231</t>
  </si>
  <si>
    <t>203-12</t>
  </si>
  <si>
    <t>204-12</t>
  </si>
  <si>
    <t>205-12</t>
  </si>
  <si>
    <t>206-12</t>
  </si>
  <si>
    <t>207-12</t>
  </si>
  <si>
    <t>208-12</t>
  </si>
  <si>
    <t>209-12</t>
  </si>
  <si>
    <t>210-12</t>
  </si>
  <si>
    <t>204:118</t>
  </si>
  <si>
    <t>211-12</t>
  </si>
  <si>
    <t>204:233368</t>
  </si>
  <si>
    <t>212-12</t>
  </si>
  <si>
    <t>204:233045</t>
  </si>
  <si>
    <t>204:1205</t>
  </si>
  <si>
    <t>213-12</t>
  </si>
  <si>
    <t>204:435</t>
  </si>
  <si>
    <t>214-12</t>
  </si>
  <si>
    <t>215-12</t>
  </si>
  <si>
    <t>204:546</t>
  </si>
  <si>
    <t>216-12</t>
  </si>
  <si>
    <t>204:233010</t>
  </si>
  <si>
    <t>217-12</t>
  </si>
  <si>
    <t>218-12</t>
  </si>
  <si>
    <t>204:233015</t>
  </si>
  <si>
    <t>204:285</t>
  </si>
  <si>
    <t>219-12</t>
  </si>
  <si>
    <t>204:233251</t>
  </si>
  <si>
    <t>220-12</t>
  </si>
  <si>
    <t>204:232970</t>
  </si>
  <si>
    <t>221-12</t>
  </si>
  <si>
    <t>222-12</t>
  </si>
  <si>
    <t>223-12</t>
  </si>
  <si>
    <t>204:438</t>
  </si>
  <si>
    <t>204:233276</t>
  </si>
  <si>
    <t>224-12</t>
  </si>
  <si>
    <t>204:232960</t>
  </si>
  <si>
    <t>225-12</t>
  </si>
  <si>
    <t>204:622</t>
  </si>
  <si>
    <t>226-12</t>
  </si>
  <si>
    <t>227-12</t>
  </si>
  <si>
    <t>228-12</t>
  </si>
  <si>
    <t>229-12</t>
  </si>
  <si>
    <t>230-12</t>
  </si>
  <si>
    <t>204:233005</t>
  </si>
  <si>
    <t>204:61707</t>
  </si>
  <si>
    <t>231-12</t>
  </si>
  <si>
    <t>204:233344</t>
  </si>
  <si>
    <t>232-12</t>
  </si>
  <si>
    <t>233-12</t>
  </si>
  <si>
    <t>204:233309</t>
  </si>
  <si>
    <t>234-12</t>
  </si>
  <si>
    <t>204:233003</t>
  </si>
  <si>
    <t>235-12</t>
  </si>
  <si>
    <t>204:233285</t>
  </si>
  <si>
    <t>236-12</t>
  </si>
  <si>
    <t>237-12</t>
  </si>
  <si>
    <t>238-12</t>
  </si>
  <si>
    <t>239-12</t>
  </si>
  <si>
    <t>204:478</t>
  </si>
  <si>
    <t>204:233325</t>
  </si>
  <si>
    <t>240-12</t>
  </si>
  <si>
    <t>204:233025</t>
  </si>
  <si>
    <t>241-12</t>
  </si>
  <si>
    <t>242-12</t>
  </si>
  <si>
    <t>243-12</t>
  </si>
  <si>
    <t>244-12</t>
  </si>
  <si>
    <t>204:232957</t>
  </si>
  <si>
    <t>245-12</t>
  </si>
  <si>
    <t>246-12</t>
  </si>
  <si>
    <t>303-12</t>
  </si>
  <si>
    <t>300:23312</t>
  </si>
  <si>
    <t>305-12</t>
  </si>
  <si>
    <t>204:1484</t>
  </si>
  <si>
    <t>204:1917</t>
  </si>
  <si>
    <t>307-12</t>
  </si>
  <si>
    <t>300:23306</t>
  </si>
  <si>
    <t>309-12</t>
  </si>
  <si>
    <t>300:23024</t>
  </si>
  <si>
    <t>311-12</t>
  </si>
  <si>
    <t>300:23304</t>
  </si>
  <si>
    <t>315-12</t>
  </si>
  <si>
    <t>300:23346</t>
  </si>
  <si>
    <t>62-12</t>
  </si>
  <si>
    <t>300:23678</t>
  </si>
  <si>
    <t>63-12</t>
  </si>
  <si>
    <t>204:708</t>
  </si>
  <si>
    <t>300:23297</t>
  </si>
  <si>
    <t>64-12</t>
  </si>
  <si>
    <t>300:23811</t>
  </si>
  <si>
    <t>204:915</t>
  </si>
  <si>
    <t>300:30631</t>
  </si>
  <si>
    <t>204:906</t>
  </si>
  <si>
    <t>300:30794</t>
  </si>
  <si>
    <t>204:1196</t>
  </si>
  <si>
    <t>300:30801</t>
  </si>
  <si>
    <t>204:1200</t>
  </si>
  <si>
    <t>300:31127</t>
  </si>
  <si>
    <t>204:1208</t>
  </si>
  <si>
    <t>300:31068</t>
  </si>
  <si>
    <t>204:1222</t>
  </si>
  <si>
    <t>300:31114</t>
  </si>
  <si>
    <t>204:1502</t>
  </si>
  <si>
    <t>300:24083</t>
  </si>
  <si>
    <t>68-12</t>
  </si>
  <si>
    <t>300:23703</t>
  </si>
  <si>
    <t>204:403</t>
  </si>
  <si>
    <t>69-12</t>
  </si>
  <si>
    <t>204:337</t>
  </si>
  <si>
    <t>300:24227</t>
  </si>
  <si>
    <t>70-12</t>
  </si>
  <si>
    <t>300:23088</t>
  </si>
  <si>
    <t>204:124</t>
  </si>
  <si>
    <t>800-12</t>
  </si>
  <si>
    <t>300:58653</t>
  </si>
  <si>
    <t>204:687</t>
  </si>
  <si>
    <t>801-12</t>
  </si>
  <si>
    <t>204:1006</t>
  </si>
  <si>
    <t>300:58946</t>
  </si>
  <si>
    <t>802-12</t>
  </si>
  <si>
    <t>300:58640</t>
  </si>
  <si>
    <t>204:726</t>
  </si>
  <si>
    <t>803-12</t>
  </si>
  <si>
    <t>204:735</t>
  </si>
  <si>
    <t>300:58935</t>
  </si>
  <si>
    <t>804-12</t>
  </si>
  <si>
    <t>204:811</t>
  </si>
  <si>
    <t>805-12</t>
  </si>
  <si>
    <t>204:1023</t>
  </si>
  <si>
    <t>300:58864</t>
  </si>
  <si>
    <t>806-12</t>
  </si>
  <si>
    <t>300:58551</t>
  </si>
  <si>
    <t>300:57358</t>
  </si>
  <si>
    <t>807-12</t>
  </si>
  <si>
    <t>204:1102</t>
  </si>
  <si>
    <t>808-12</t>
  </si>
  <si>
    <t>204:820</t>
  </si>
  <si>
    <t>809-12</t>
  </si>
  <si>
    <t>204:990</t>
  </si>
  <si>
    <t>810-12</t>
  </si>
  <si>
    <t>300:58658</t>
  </si>
  <si>
    <t>204:775</t>
  </si>
  <si>
    <t>811-12</t>
  </si>
  <si>
    <t>204:1116</t>
  </si>
  <si>
    <t>300:58960</t>
  </si>
  <si>
    <t>813-12</t>
  </si>
  <si>
    <t>300:58948</t>
  </si>
  <si>
    <t>814-12</t>
  </si>
  <si>
    <t>204:797</t>
  </si>
  <si>
    <t>815-12</t>
  </si>
  <si>
    <t>204:1097</t>
  </si>
  <si>
    <t>300:58943</t>
  </si>
  <si>
    <t>816-12</t>
  </si>
  <si>
    <t>300:20047</t>
  </si>
  <si>
    <t>817-12</t>
  </si>
  <si>
    <t>204:1044</t>
  </si>
  <si>
    <t>300:58958</t>
  </si>
  <si>
    <t>818-12</t>
  </si>
  <si>
    <t>819-12</t>
  </si>
  <si>
    <t>820-12</t>
  </si>
  <si>
    <t>204:773</t>
  </si>
  <si>
    <t>821-12</t>
  </si>
  <si>
    <t>204:1074</t>
  </si>
  <si>
    <t>300:58950</t>
  </si>
  <si>
    <t>822-12</t>
  </si>
  <si>
    <t>204:834</t>
  </si>
  <si>
    <t>823-12</t>
  </si>
  <si>
    <t>300:58918</t>
  </si>
  <si>
    <t>824-12</t>
  </si>
  <si>
    <t>300:58600</t>
  </si>
  <si>
    <t>204:808</t>
  </si>
  <si>
    <t>825-12</t>
  </si>
  <si>
    <t>826-12</t>
  </si>
  <si>
    <t>300:58606</t>
  </si>
  <si>
    <t>204:880</t>
  </si>
  <si>
    <t>827-12</t>
  </si>
  <si>
    <t>204:448</t>
  </si>
  <si>
    <t>828-12</t>
  </si>
  <si>
    <t>204:724</t>
  </si>
  <si>
    <t>829-12</t>
  </si>
  <si>
    <t>204:1133</t>
  </si>
  <si>
    <t>300:58928</t>
  </si>
  <si>
    <t>830-12</t>
  </si>
  <si>
    <t>831-12</t>
  </si>
  <si>
    <t>204:1002</t>
  </si>
  <si>
    <t>832-12</t>
  </si>
  <si>
    <t>300:58626</t>
  </si>
  <si>
    <t>204:731</t>
  </si>
  <si>
    <t>833-12</t>
  </si>
  <si>
    <t>204:1144</t>
  </si>
  <si>
    <t>834-12</t>
  </si>
  <si>
    <t>300:58611</t>
  </si>
  <si>
    <t>204:853</t>
  </si>
  <si>
    <t>835-12</t>
  </si>
  <si>
    <t>204:1021</t>
  </si>
  <si>
    <t>836-12</t>
  </si>
  <si>
    <t>204:719</t>
  </si>
  <si>
    <t>837-12</t>
  </si>
  <si>
    <t>204:1151</t>
  </si>
  <si>
    <t>300:58912</t>
  </si>
  <si>
    <t>838-12</t>
  </si>
  <si>
    <t>300:58594</t>
  </si>
  <si>
    <t>300:57348</t>
  </si>
  <si>
    <t>839-12</t>
  </si>
  <si>
    <t>204:1014</t>
  </si>
  <si>
    <t>300:58916</t>
  </si>
  <si>
    <t>840-12</t>
  </si>
  <si>
    <t>204:930</t>
  </si>
  <si>
    <t>841-12</t>
  </si>
  <si>
    <t>204:1111</t>
  </si>
  <si>
    <t>300:58933</t>
  </si>
  <si>
    <t>842-12</t>
  </si>
  <si>
    <t>300:58576</t>
  </si>
  <si>
    <t>300:57363</t>
  </si>
  <si>
    <t>843-12</t>
  </si>
  <si>
    <t>204:1226</t>
  </si>
  <si>
    <t>300:58907</t>
  </si>
  <si>
    <t>844-12</t>
  </si>
  <si>
    <t>204:727</t>
  </si>
  <si>
    <t>847-12</t>
  </si>
  <si>
    <t>300:58926</t>
  </si>
  <si>
    <t>903-12</t>
  </si>
  <si>
    <t>204:1046</t>
  </si>
  <si>
    <t>300:25446</t>
  </si>
  <si>
    <t>904-12</t>
  </si>
  <si>
    <t>300:25461</t>
  </si>
  <si>
    <t>204:131</t>
  </si>
  <si>
    <t>906-12</t>
  </si>
  <si>
    <t>300:28767</t>
  </si>
  <si>
    <t>908-12</t>
  </si>
  <si>
    <t>300:21913</t>
  </si>
  <si>
    <t>rtdc.l.rtdc.4008:itc</t>
  </si>
  <si>
    <t>rtdc.l.rtdc.4020:itc</t>
  </si>
  <si>
    <t>SWITCH UNKNOWN</t>
  </si>
  <si>
    <t>Track device (7)</t>
  </si>
  <si>
    <t>rtdc.l.rtdc.4019:itc</t>
  </si>
  <si>
    <t>rtdc.l.rtdc.4007:itc</t>
  </si>
  <si>
    <t>rtdc.l.rtdc.4018:itc</t>
  </si>
  <si>
    <t>DAVIS</t>
  </si>
  <si>
    <t>104-12</t>
  </si>
  <si>
    <t>901-12</t>
  </si>
  <si>
    <t>SPECTOR</t>
  </si>
  <si>
    <t>812-12</t>
  </si>
  <si>
    <t>STEWART</t>
  </si>
  <si>
    <t>MAYBERRY</t>
  </si>
  <si>
    <t>GRASTON</t>
  </si>
  <si>
    <t>NELSON</t>
  </si>
  <si>
    <t>YANAI</t>
  </si>
  <si>
    <t>rtdc.l.rtdc.4062:itc</t>
  </si>
  <si>
    <t>rtdc.l.rtdc.4061:itc</t>
  </si>
  <si>
    <t>rtdc.l.rtdc.4022:itc</t>
  </si>
  <si>
    <t>HOMIK</t>
  </si>
  <si>
    <t>313-12</t>
  </si>
  <si>
    <t>Dispatcher error, rectified and init'd at 38th</t>
  </si>
  <si>
    <t>Initialized too close to Westminster 2S</t>
  </si>
  <si>
    <t>845-12</t>
  </si>
  <si>
    <t>40th 4S was STOP, cleared after a minute</t>
  </si>
  <si>
    <t>Pena 4S was STOP, cleared after a minute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</si>
</sst>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2" borderId="13" xfId="0" applyNumberFormat="1" applyFill="1" applyBorder="1"/>
    <xf numFmtId="0" fontId="0" fillId="0" borderId="16" xfId="0" applyNumberFormat="1" applyBorder="1"/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0" fillId="0" borderId="17" xfId="0" applyFill="1" applyBorder="1" applyAlignment="1">
      <alignment horizontal="left"/>
    </xf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24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29"/>
  <sheetViews>
    <sheetView tabSelected="1" zoomScaleNormal="100" workbookViewId="0">
      <selection activeCell="R209" sqref="R209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27" customWidth="1"/>
    <col min="22" max="22" width="5.7109375" style="113" customWidth="1"/>
    <col min="23" max="23" width="3.85546875" style="23" customWidth="1"/>
    <col min="24" max="24" width="5.28515625" style="131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6" customWidth="1"/>
    <col min="32" max="32" width="6.28515625" style="103" customWidth="1"/>
    <col min="33" max="33" width="5.42578125" customWidth="1"/>
    <col min="34" max="34" width="5" style="109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132</v>
      </c>
      <c r="J1" s="46"/>
      <c r="K1" s="31"/>
      <c r="L1" s="31"/>
      <c r="M1" s="45"/>
      <c r="N1" s="46"/>
      <c r="O1" s="2"/>
      <c r="P1" s="2"/>
      <c r="R1" s="43" t="s">
        <v>133</v>
      </c>
      <c r="S1" s="46"/>
      <c r="T1" s="31"/>
      <c r="U1" s="134"/>
      <c r="V1" s="45"/>
      <c r="W1" s="46"/>
      <c r="X1" s="127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7">
        <f>Variables!$A$2</f>
        <v>42594</v>
      </c>
      <c r="J2" s="88"/>
      <c r="K2" s="89"/>
      <c r="L2" s="89"/>
      <c r="M2" s="90" t="s">
        <v>8</v>
      </c>
      <c r="N2" s="91"/>
      <c r="O2" s="92"/>
      <c r="P2" s="2"/>
      <c r="R2" s="87">
        <f>Variables!$A$2</f>
        <v>42594</v>
      </c>
      <c r="S2" s="88"/>
      <c r="T2" s="89"/>
      <c r="U2" s="135"/>
      <c r="V2" s="111" t="s">
        <v>8</v>
      </c>
      <c r="W2" s="91"/>
      <c r="X2" s="128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3" t="s">
        <v>10</v>
      </c>
      <c r="J3" s="94"/>
      <c r="K3" s="95"/>
      <c r="L3" s="95"/>
      <c r="M3" s="47" t="s">
        <v>11</v>
      </c>
      <c r="N3" s="48" t="s">
        <v>12</v>
      </c>
      <c r="O3" s="3" t="s">
        <v>13</v>
      </c>
      <c r="P3" s="2"/>
      <c r="R3" s="93" t="s">
        <v>10</v>
      </c>
      <c r="S3" s="94"/>
      <c r="T3" s="95"/>
      <c r="U3" s="136"/>
      <c r="V3" s="47" t="s">
        <v>11</v>
      </c>
      <c r="W3" s="48" t="s">
        <v>12</v>
      </c>
      <c r="X3" s="129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6" t="s">
        <v>14</v>
      </c>
      <c r="J4" s="60">
        <f>SUM(J5:J7)</f>
        <v>146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6" t="s">
        <v>14</v>
      </c>
      <c r="S4" s="60">
        <f>SUM(S5:S7)</f>
        <v>47</v>
      </c>
      <c r="T4" s="49"/>
      <c r="U4" s="137"/>
      <c r="V4" s="50" t="s">
        <v>15</v>
      </c>
      <c r="W4" s="48" t="s">
        <v>15</v>
      </c>
      <c r="X4" s="129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6" t="s">
        <v>17</v>
      </c>
      <c r="J5" s="60">
        <f>COUNTIFS($N$13:$N$9529,"&gt;0",$AG$13:$AG$9529,I1)</f>
        <v>144</v>
      </c>
      <c r="K5" s="49"/>
      <c r="L5" s="49"/>
      <c r="M5" s="50">
        <f>AVERAGEIFS($N$13:$N$9529,$AG$13:$AG$9529,I1)</f>
        <v>44.696874999863212</v>
      </c>
      <c r="N5" s="48">
        <f t="array" ref="N5">MIN(IF($AG$13:$AG$9529=I1,IF(ISNUMBER($N$13:$N$9529),IF($N$13:$N$9529&gt;0,$N$13:$N$9529))))</f>
        <v>34.383333334699273</v>
      </c>
      <c r="O5" s="3">
        <f t="array" ref="O5">MAX(IF($AG$13:$AG$9529=I1,IF(ISNUMBER($N$13:$N$9529),IF($N$13:$N$9529&gt;0,$N$13:$N$9529))))</f>
        <v>148.05000000167638</v>
      </c>
      <c r="P5" s="2"/>
      <c r="R5" s="96" t="s">
        <v>17</v>
      </c>
      <c r="S5" s="60">
        <f>COUNTIFS($N$13:$N$9529,"&gt;0",$AG$13:$AG$9529,R1)</f>
        <v>40</v>
      </c>
      <c r="T5" s="49"/>
      <c r="U5" s="137"/>
      <c r="V5" s="50">
        <f>AVERAGEIFS($N$13:$N$9529,$AG$13:$AG$9529,R1)</f>
        <v>21.252500000176951</v>
      </c>
      <c r="W5" s="48">
        <f t="array" ref="W5">MIN(IF($AG$13:$AG$9529=R1,IF(ISNUMBER($N$13:$N$9529),IF($N$13:$N$9529&gt;0,$N$13:$N$9529))))</f>
        <v>13.916666661389172</v>
      </c>
      <c r="X5" s="129">
        <f t="array" ref="X5">MAX(IF($AG$13:$AG$9529=R1,IF(ISNUMBER($N$13:$N$9529),IF($N$13:$N$9529&gt;0,$N$13:$N$9529))))</f>
        <v>39.783333339728415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7" t="s">
        <v>43</v>
      </c>
      <c r="J6" s="60">
        <f>COUNT($O$13:$O$229)</f>
        <v>0</v>
      </c>
      <c r="K6" s="49"/>
      <c r="L6" s="49"/>
      <c r="M6" s="50">
        <f>IFERROR(AVERAGE($O$13:$O$229),0)</f>
        <v>0</v>
      </c>
      <c r="N6" s="48">
        <f>MIN($O$13:$O$229)</f>
        <v>0</v>
      </c>
      <c r="O6" s="3">
        <f>MAX($O$13:$O$229)</f>
        <v>0</v>
      </c>
      <c r="P6" s="2"/>
      <c r="R6" s="97" t="s">
        <v>43</v>
      </c>
      <c r="S6" s="60">
        <f>COUNT($O$13:$O$229)</f>
        <v>0</v>
      </c>
      <c r="T6" s="49"/>
      <c r="U6" s="137"/>
      <c r="V6" s="50">
        <f>IFERROR(AVERAGE($O$13:$O$229),0)</f>
        <v>0</v>
      </c>
      <c r="W6" s="48">
        <f>MIN($O$13:$O$229)</f>
        <v>0</v>
      </c>
      <c r="X6" s="129">
        <f>MAX($O$13:$O$229)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98" t="s">
        <v>9</v>
      </c>
      <c r="J7" s="60">
        <f>COUNTIFS($P$13:$P$9529,"&gt;0",$AG$13:$AG$9529,I1)</f>
        <v>2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98" t="s">
        <v>9</v>
      </c>
      <c r="S7" s="60">
        <f>COUNTIFS($P$13:$P$9529,"&gt;0",$AG$13:$AG$9529,R1)</f>
        <v>7</v>
      </c>
      <c r="T7" s="49"/>
      <c r="U7" s="137"/>
      <c r="V7" s="50" t="s">
        <v>15</v>
      </c>
      <c r="W7" s="48" t="s">
        <v>15</v>
      </c>
      <c r="X7" s="129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6" t="s">
        <v>16</v>
      </c>
      <c r="J8" s="60">
        <f>J5</f>
        <v>144</v>
      </c>
      <c r="K8" s="49"/>
      <c r="L8" s="49"/>
      <c r="M8" s="50">
        <f>M5</f>
        <v>44.696874999863212</v>
      </c>
      <c r="N8" s="48">
        <f>N5</f>
        <v>34.383333334699273</v>
      </c>
      <c r="O8" s="3">
        <f>O5</f>
        <v>148.05000000167638</v>
      </c>
      <c r="P8" s="2"/>
      <c r="R8" s="96" t="s">
        <v>16</v>
      </c>
      <c r="S8" s="60">
        <f>S5</f>
        <v>40</v>
      </c>
      <c r="T8" s="49"/>
      <c r="U8" s="137"/>
      <c r="V8" s="50">
        <f>V5</f>
        <v>21.252500000176951</v>
      </c>
      <c r="W8" s="48">
        <f>W5</f>
        <v>13.916666661389172</v>
      </c>
      <c r="X8" s="129">
        <f>X5</f>
        <v>39.783333339728415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6" t="s">
        <v>19</v>
      </c>
      <c r="J9" s="74">
        <f>J8/J4</f>
        <v>0.98630136986301364</v>
      </c>
      <c r="K9" s="51"/>
      <c r="L9" s="51"/>
      <c r="M9" s="99"/>
      <c r="N9" s="46"/>
      <c r="O9" s="100"/>
      <c r="P9" s="2"/>
      <c r="R9" s="96" t="s">
        <v>19</v>
      </c>
      <c r="S9" s="74">
        <f>S8/S4</f>
        <v>0.85106382978723405</v>
      </c>
      <c r="T9" s="51"/>
      <c r="U9" s="134"/>
      <c r="V9" s="99"/>
      <c r="W9" s="46"/>
      <c r="X9" s="130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27"/>
      <c r="V10" s="112"/>
      <c r="W10" s="23"/>
      <c r="X10" s="131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53" t="str">
        <f>"Eagle P3 System Performance - "&amp;TEXT(Variables!A2,"yyyy-mm-dd")</f>
        <v>Eagle P3 System Performance - 2016-08-12</v>
      </c>
      <c r="B11" s="153"/>
      <c r="C11" s="153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S11" s="80">
        <f>AVERAGE(S13:S78)</f>
        <v>0.98484848484848486</v>
      </c>
      <c r="V11" s="112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2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72</v>
      </c>
      <c r="T12" s="59" t="s">
        <v>73</v>
      </c>
      <c r="U12" s="138" t="s">
        <v>74</v>
      </c>
      <c r="V12" s="114" t="s">
        <v>45</v>
      </c>
      <c r="W12" s="56" t="s">
        <v>23</v>
      </c>
      <c r="X12" s="132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100</v>
      </c>
      <c r="AE12" s="107" t="s">
        <v>107</v>
      </c>
      <c r="AF12" s="104" t="s">
        <v>112</v>
      </c>
      <c r="AG12" s="4" t="s">
        <v>134</v>
      </c>
      <c r="AH12" s="110" t="s">
        <v>139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261</v>
      </c>
      <c r="B13" s="7">
        <v>4038</v>
      </c>
      <c r="C13" s="25" t="s">
        <v>122</v>
      </c>
      <c r="D13" s="25" t="s">
        <v>262</v>
      </c>
      <c r="E13" s="16">
        <v>42594.128206018519</v>
      </c>
      <c r="F13" s="16">
        <v>42594.129386574074</v>
      </c>
      <c r="G13" s="7">
        <v>1</v>
      </c>
      <c r="H13" s="16" t="s">
        <v>263</v>
      </c>
      <c r="I13" s="16">
        <v>42594.175868055558</v>
      </c>
      <c r="J13" s="7">
        <v>0</v>
      </c>
      <c r="K13" s="149" t="str">
        <f>IF(ISEVEN(B13),(B13-1)&amp;"/"&amp;B13,B13&amp;"/"&amp;(B13+1))</f>
        <v>4037/4038</v>
      </c>
      <c r="L13" s="25" t="str">
        <f>VLOOKUP(A13,'Trips&amp;Operators'!$C$1:$E$10000,3,FALSE)</f>
        <v>MAELZER</v>
      </c>
      <c r="M13" s="6">
        <f>I13-F13</f>
        <v>4.6481481484079268E-2</v>
      </c>
      <c r="N13" s="7">
        <f>24*60*SUM($M13:$M13)</f>
        <v>66.933333337074146</v>
      </c>
      <c r="O13" s="7"/>
      <c r="P13" s="7"/>
      <c r="Q13" s="26"/>
      <c r="R13" s="26"/>
      <c r="S13" s="38">
        <f>SUM(U13:U13)/IF(AG13="EC",12,1)</f>
        <v>1</v>
      </c>
      <c r="T13" s="55" t="str">
        <f>IF(ISEVEN(LEFT(AD13,4)),"Southbound","NorthBound")</f>
        <v>NorthBound</v>
      </c>
      <c r="U13" s="13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5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https://search-rtdc-monitor-bjffxe2xuh6vdkpspy63sjmuny.us-east-1.es.amazonaws.com/_plugin/kibana/#/discover/Steve-Slow-Train-Analysis-(2080s-and-2083s)?_g=(refreshInterval:(display:Off,section:0,value:0),time:(from:'2016-08-12 02:04:37-0600',mode:absolute,to:'2016-08-12 05:13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" s="57" t="str">
        <f>IF(AA13&lt;IF(AG13="EC",23,5.65),"Y","N")</f>
        <v>N</v>
      </c>
      <c r="X13" s="133" t="e">
        <f>VALUE(LEFT(AD13,4))-VALUE(LEFT(AD12,4))</f>
        <v>#VALUE!</v>
      </c>
      <c r="Y13" s="72">
        <f>RIGHT(D13,LEN(D13)-4)/10000</f>
        <v>7.1199999999999999E-2</v>
      </c>
      <c r="Z13" s="72">
        <f>RIGHT(H13,LEN(H13)-4)/10000</f>
        <v>23.334299999999999</v>
      </c>
      <c r="AA13" s="72">
        <f>ABS(Z13-Y13)</f>
        <v>23.263099999999998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>IF(LEN(A13)=6,"0"&amp;A13,A13)</f>
        <v>0101-12</v>
      </c>
      <c r="AE13" s="108" t="str">
        <f t="shared" ref="AE13:AE76" si="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13" s="105" t="str">
        <f t="shared" ref="AF13:AF76" si="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/stypes="*4038*20160812*" /stext=" 10:.+((SYSTEM_STATE.+slice.+state.+changed )|(ment ac)|(system.+state.+changed )|(\|lc)|(penalty)|(\[timeout)|(PRM\|1\|D)|(kpr)|(kdp))" /e /r /s</v>
      </c>
      <c r="AG13" s="1" t="str">
        <f>IF(VALUE(LEFT(AD13,2))&lt;=2,"EC",IF(OR(VALUE(LEFT(AD13,2))=8,VALUE(LEFT(AD13,2))=18),"NW","Other"))</f>
        <v>EC</v>
      </c>
      <c r="AH13" s="109" t="str">
        <f t="shared" ref="AH13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101-12 --locoid 4038 --swversion DE.1.0.7.0 --startMP 204:712 --initTime 2016-08-12T03:04:37 --startdatetime 2016-08-12T03:06:19 --delay 1 --endMP 204:233343 --enddatetime 2016-08-12T04:13:15 --enforcementcount 0</v>
      </c>
    </row>
    <row r="14" spans="1:91" s="1" customFormat="1" x14ac:dyDescent="0.25">
      <c r="A14" s="42" t="s">
        <v>264</v>
      </c>
      <c r="B14" s="7">
        <v>4017</v>
      </c>
      <c r="C14" s="25" t="s">
        <v>122</v>
      </c>
      <c r="D14" s="25" t="s">
        <v>265</v>
      </c>
      <c r="E14" s="16">
        <v>42594.178067129629</v>
      </c>
      <c r="F14" s="16">
        <v>42594.178981481484</v>
      </c>
      <c r="G14" s="7">
        <v>1</v>
      </c>
      <c r="H14" s="16" t="s">
        <v>155</v>
      </c>
      <c r="I14" s="16">
        <v>42594.212418981479</v>
      </c>
      <c r="J14" s="7">
        <v>0</v>
      </c>
      <c r="K14" s="149" t="str">
        <f t="shared" ref="K14" si="3">IF(ISEVEN(B14),(B14-1)&amp;"/"&amp;B14,B14&amp;"/"&amp;(B14+1))</f>
        <v>4017/4018</v>
      </c>
      <c r="L14" s="25" t="str">
        <f>VLOOKUP(A14,'Trips&amp;Operators'!$C$1:$E$10000,3,FALSE)</f>
        <v>MAELZER</v>
      </c>
      <c r="M14" s="6">
        <f>I14-F14</f>
        <v>3.3437499994761311E-2</v>
      </c>
      <c r="N14" s="7">
        <f>24*60*SUM($M14:$M14)</f>
        <v>48.149999992456287</v>
      </c>
      <c r="O14" s="7"/>
      <c r="P14" s="7"/>
      <c r="Q14" s="26"/>
      <c r="R14" s="26"/>
      <c r="S14" s="38">
        <f>SUM(U14:U14)/IF(AG14="EC",12,1)</f>
        <v>1</v>
      </c>
      <c r="T14" s="55" t="str">
        <f>IF(ISEVEN(LEFT(AD14,4)),"Southbound","NorthBound")</f>
        <v>Southbound</v>
      </c>
      <c r="U14" s="13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5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https://search-rtdc-monitor-bjffxe2xuh6vdkpspy63sjmuny.us-east-1.es.amazonaws.com/_plugin/kibana/#/discover/Steve-Slow-Train-Analysis-(2080s-and-2083s)?_g=(refreshInterval:(display:Off,section:0,value:0),time:(from:'2016-08-12 03:16:25-0600',mode:absolute,to:'2016-08-12 06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4" s="57" t="str">
        <f>IF(AA14&lt;IF(AG14="EC",23,5.65),"Y","N")</f>
        <v>N</v>
      </c>
      <c r="X14" s="133">
        <f>VALUE(LEFT(AD14,4))-VALUE(LEFT(AD13,4))</f>
        <v>1</v>
      </c>
      <c r="Y14" s="72">
        <f>RIGHT(D14,LEN(D14)-4)/10000</f>
        <v>23.2681</v>
      </c>
      <c r="Z14" s="72">
        <f>RIGHT(H14,LEN(H14)-4)/10000</f>
        <v>1.41E-2</v>
      </c>
      <c r="AA14" s="72">
        <f>ABS(Z14-Y14)</f>
        <v>23.254000000000001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>IF(LEN(A14)=6,"0"&amp;A14,A14)</f>
        <v>0102-12</v>
      </c>
      <c r="AE14" s="108" t="str">
        <f t="shared" si="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14" s="105" t="str">
        <f t="shared" si="1"/>
        <v>"C:\Program Files (x86)\AstroGrep\AstroGrep.exe" /spath="%USERPROFILE%\AppData\Local\Temp\OnboardLogs" /stypes="*4017*20160812*" /stext=" 11:.+((SYSTEM_STATE.+slice.+state.+changed )|(ment ac)|(system.+state.+changed )|(\|lc)|(penalty)|(\[timeout)|(PRM\|1\|D)|(kpr)|(kdp))" /e /r /s</v>
      </c>
      <c r="AG14" s="1" t="str">
        <f>IF(VALUE(LEFT(AD14,2))&lt;=2,"EC",IF(OR(VALUE(LEFT(AD14,2))=8,VALUE(LEFT(AD14,2))=18),"NW","Other"))</f>
        <v>EC</v>
      </c>
      <c r="AH14" s="109" t="str">
        <f t="shared" ref="AH14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102-12 --locoid 4017 --swversion DE.1.0.7.0 --startMP 204:232681 --initTime 2016-08-12T04:16:25 --startdatetime 2016-08-12T04:17:44 --delay 1 --endMP 204:141 --enddatetime 2016-08-12T05:05:53 --enforcementcount 0</v>
      </c>
    </row>
    <row r="15" spans="1:91" s="1" customFormat="1" x14ac:dyDescent="0.25">
      <c r="A15" s="42" t="s">
        <v>266</v>
      </c>
      <c r="B15" s="7">
        <v>4029</v>
      </c>
      <c r="C15" s="25" t="s">
        <v>122</v>
      </c>
      <c r="D15" s="25" t="s">
        <v>267</v>
      </c>
      <c r="E15" s="16">
        <v>42594.15457175926</v>
      </c>
      <c r="F15" s="16">
        <v>42594.155462962961</v>
      </c>
      <c r="G15" s="7">
        <v>1</v>
      </c>
      <c r="H15" s="16" t="s">
        <v>268</v>
      </c>
      <c r="I15" s="16">
        <v>42594.183009259257</v>
      </c>
      <c r="J15" s="7">
        <v>0</v>
      </c>
      <c r="K15" s="149" t="str">
        <f t="shared" ref="K15:K79" si="5">IF(ISEVEN(B15),(B15-1)&amp;"/"&amp;B15,B15&amp;"/"&amp;(B15+1))</f>
        <v>4029/4030</v>
      </c>
      <c r="L15" s="25" t="str">
        <f>VLOOKUP(A15,'Trips&amp;Operators'!$C$1:$E$10000,3,FALSE)</f>
        <v>DAVIS</v>
      </c>
      <c r="M15" s="6">
        <f t="shared" ref="M15:M79" si="6">I15-F15</f>
        <v>2.7546296296350192E-2</v>
      </c>
      <c r="N15" s="7">
        <f t="shared" ref="N15:P79" si="7">24*60*SUM($M15:$M15)</f>
        <v>39.666666666744277</v>
      </c>
      <c r="O15" s="7"/>
      <c r="P15" s="7"/>
      <c r="Q15" s="26"/>
      <c r="R15" s="26"/>
      <c r="S15" s="38">
        <f t="shared" ref="S15:S79" si="8">SUM(U15:U15)/IF(AG15="EC",12,1)</f>
        <v>1</v>
      </c>
      <c r="T15" s="55" t="str">
        <f t="shared" ref="T15:T79" si="9">IF(ISEVEN(LEFT(AD15,4)),"Southbound","NorthBound")</f>
        <v>NorthBound</v>
      </c>
      <c r="U15" s="13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5" t="str">
        <f t="shared" ref="V15:V79" si="10"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https://search-rtdc-monitor-bjffxe2xuh6vdkpspy63sjmuny.us-east-1.es.amazonaws.com/_plugin/kibana/#/discover/Steve-Slow-Train-Analysis-(2080s-and-2083s)?_g=(refreshInterval:(display:Off,section:0,value:0),time:(from:'2016-08-12 02:42:35-0600',mode:absolute,to:'2016-08-12 05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5" s="57" t="str">
        <f t="shared" ref="W15:W79" si="11">IF(AA15&lt;IF(AG15="EC",23,5.65),"Y","N")</f>
        <v>N</v>
      </c>
      <c r="X15" s="133">
        <f t="shared" ref="X15:X79" si="12">VALUE(LEFT(AD15,4))-VALUE(LEFT(AD14,4))</f>
        <v>1</v>
      </c>
      <c r="Y15" s="72">
        <f t="shared" ref="Y15:Y79" si="13">RIGHT(D15,LEN(D15)-4)/10000</f>
        <v>7.5200000000000003E-2</v>
      </c>
      <c r="Z15" s="72">
        <f t="shared" ref="Z15:Z79" si="14">RIGHT(H15,LEN(H15)-4)/10000</f>
        <v>23.334599999999998</v>
      </c>
      <c r="AA15" s="72">
        <f t="shared" ref="AA15:AA79" si="15">ABS(Z15-Y15)</f>
        <v>23.259399999999999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ref="AD15:AD79" si="16">IF(LEN(A15)=6,"0"&amp;A15,A15)</f>
        <v>0103-12</v>
      </c>
      <c r="AE15" s="108" t="str">
        <f t="shared" si="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15" s="105" t="str">
        <f t="shared" si="1"/>
        <v>"C:\Program Files (x86)\AstroGrep\AstroGrep.exe" /spath="%USERPROFILE%\AppData\Local\Temp\OnboardLogs" /stypes="*4029*20160812*" /stext=" 10:.+((SYSTEM_STATE.+slice.+state.+changed )|(ment ac)|(system.+state.+changed )|(\|lc)|(penalty)|(\[timeout)|(PRM\|1\|D)|(kpr)|(kdp))" /e /r /s</v>
      </c>
      <c r="AG15" s="1" t="str">
        <f t="shared" ref="AG15:AG79" si="17">IF(VALUE(LEFT(AD15,2))&lt;=2,"EC",IF(OR(VALUE(LEFT(AD15,2))=8,VALUE(LEFT(AD15,2))=18),"NW","Other"))</f>
        <v>EC</v>
      </c>
      <c r="AH15" s="109" t="str">
        <f t="shared" ref="AH15:AH79" si="18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</f>
        <v>"%USERPROFILE%\Documents\GitHub\eaglep3\Utilities\RefineRTDCRunTimes.py" --tripid 103-12 --locoid 4029 --swversion DE.1.0.7.0 --startMP 204:752 --initTime 2016-08-12T03:42:35 --startdatetime 2016-08-12T03:43:52 --delay 1 --endMP 204:233346 --enddatetime 2016-08-12T04:23:32 --enforcementcount 0</v>
      </c>
    </row>
    <row r="16" spans="1:91" s="1" customFormat="1" x14ac:dyDescent="0.25">
      <c r="A16" s="42" t="s">
        <v>660</v>
      </c>
      <c r="B16" s="7">
        <v>4019</v>
      </c>
      <c r="C16" s="25" t="s">
        <v>122</v>
      </c>
      <c r="D16" s="25" t="s">
        <v>267</v>
      </c>
      <c r="E16" s="16">
        <v>42594.15457175926</v>
      </c>
      <c r="F16" s="16">
        <v>42594.190995370373</v>
      </c>
      <c r="G16" s="7">
        <v>1</v>
      </c>
      <c r="H16" s="16" t="s">
        <v>268</v>
      </c>
      <c r="I16" s="16">
        <v>42594.207789351851</v>
      </c>
      <c r="J16" s="7">
        <v>0</v>
      </c>
      <c r="K16" s="149" t="str">
        <f t="shared" ref="K16" si="19">IF(ISEVEN(B16),(B16-1)&amp;"/"&amp;B16,B16&amp;"/"&amp;(B16+1))</f>
        <v>4019/4020</v>
      </c>
      <c r="L16" s="25" t="str">
        <f>VLOOKUP(A16,'Trips&amp;Operators'!$C$1:$E$10000,3,FALSE)</f>
        <v>DAVIS</v>
      </c>
      <c r="M16" s="6">
        <f t="shared" ref="M16" si="20">I16-F16</f>
        <v>1.6793981478258502E-2</v>
      </c>
      <c r="N16" s="7"/>
      <c r="O16" s="7"/>
      <c r="P16" s="7">
        <f t="shared" si="7"/>
        <v>24.183333328692243</v>
      </c>
      <c r="Q16" s="26"/>
      <c r="R16" s="26" t="s">
        <v>259</v>
      </c>
      <c r="S16" s="38">
        <f t="shared" ref="S16" si="21">SUM(U16:U16)/IF(AG16="EC",12,1)</f>
        <v>0</v>
      </c>
      <c r="T16" s="55" t="str">
        <f t="shared" ref="T16" si="22">IF(ISEVEN(LEFT(AD16,4)),"Southbound","NorthBound")</f>
        <v>Southbound</v>
      </c>
      <c r="U16" s="13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15" t="str">
        <f t="shared" ref="V16" si="23"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https://search-rtdc-monitor-bjffxe2xuh6vdkpspy63sjmuny.us-east-1.es.amazonaws.com/_plugin/kibana/#/discover/Steve-Slow-Train-Analysis-(2080s-and-2083s)?_g=(refreshInterval:(display:Off,section:0,value:0),time:(from:'2016-08-12 02:42:35-0600',mode:absolute,to:'2016-08-12 05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6" s="57" t="str">
        <f t="shared" ref="W16" si="24">IF(AA16&lt;IF(AG16="EC",23,5.65),"Y","N")</f>
        <v>Y</v>
      </c>
      <c r="X16" s="133">
        <f t="shared" si="12"/>
        <v>1</v>
      </c>
      <c r="Y16" s="72">
        <f t="shared" ref="Y16" si="25">RIGHT(D16,LEN(D16)-4)/10000</f>
        <v>7.5200000000000003E-2</v>
      </c>
      <c r="Z16" s="72">
        <v>0.01</v>
      </c>
      <c r="AA16" s="72">
        <f t="shared" ref="AA16" si="26">ABS(Z16-Y16)</f>
        <v>6.5200000000000008E-2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ref="AD16" si="27">IF(LEN(A16)=6,"0"&amp;A16,A16)</f>
        <v>0104-12</v>
      </c>
      <c r="AE16" s="108" t="str">
        <f t="shared" si="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16" s="105" t="str">
        <f t="shared" si="1"/>
        <v>"C:\Program Files (x86)\AstroGrep\AstroGrep.exe" /spath="%USERPROFILE%\AppData\Local\Temp\OnboardLogs" /stypes="*4019*20160812*" /stext=" 10:.+((SYSTEM_STATE.+slice.+state.+changed )|(ment ac)|(system.+state.+changed )|(\|lc)|(penalty)|(\[timeout)|(PRM\|1\|D)|(kpr)|(kdp))" /e /r /s</v>
      </c>
      <c r="AG16" s="1" t="str">
        <f t="shared" ref="AG16" si="28">IF(VALUE(LEFT(AD16,2))&lt;=2,"EC",IF(OR(VALUE(LEFT(AD16,2))=8,VALUE(LEFT(AD16,2))=18),"NW","Other"))</f>
        <v>EC</v>
      </c>
      <c r="AH16" s="109" t="str">
        <f t="shared" ref="AH16" si="29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</f>
        <v>"%USERPROFILE%\Documents\GitHub\eaglep3\Utilities\RefineRTDCRunTimes.py" --tripid 104-12 --locoid 4019 --swversion DE.1.0.7.0 --startMP 204:752 --initTime 2016-08-12T03:42:35 --startdatetime 2016-08-12T04:35:02 --delay 1 --endMP 204:233346 --enddatetime 2016-08-12T04:59:13 --enforcementcount 0</v>
      </c>
    </row>
    <row r="17" spans="1:34" s="1" customFormat="1" x14ac:dyDescent="0.25">
      <c r="A17" s="42" t="s">
        <v>269</v>
      </c>
      <c r="B17" s="7">
        <v>4031</v>
      </c>
      <c r="C17" s="25" t="s">
        <v>122</v>
      </c>
      <c r="D17" s="25" t="s">
        <v>270</v>
      </c>
      <c r="E17" s="16">
        <v>42594.175208333334</v>
      </c>
      <c r="F17" s="16">
        <v>42594.176782407405</v>
      </c>
      <c r="G17" s="7">
        <v>2</v>
      </c>
      <c r="H17" s="16" t="s">
        <v>149</v>
      </c>
      <c r="I17" s="16">
        <v>42594.203703703701</v>
      </c>
      <c r="J17" s="7">
        <v>0</v>
      </c>
      <c r="K17" s="149" t="str">
        <f t="shared" si="5"/>
        <v>4031/4032</v>
      </c>
      <c r="L17" s="25" t="str">
        <f>VLOOKUP(A17,'Trips&amp;Operators'!$C$1:$E$10000,3,FALSE)</f>
        <v>MALAVE</v>
      </c>
      <c r="M17" s="6">
        <f t="shared" si="6"/>
        <v>2.6921296295768116E-2</v>
      </c>
      <c r="N17" s="7">
        <f t="shared" si="7"/>
        <v>38.766666665906087</v>
      </c>
      <c r="O17" s="7"/>
      <c r="P17" s="7"/>
      <c r="Q17" s="26"/>
      <c r="R17" s="26"/>
      <c r="S17" s="38">
        <f t="shared" si="8"/>
        <v>1</v>
      </c>
      <c r="T17" s="55" t="str">
        <f t="shared" si="9"/>
        <v>NorthBound</v>
      </c>
      <c r="U17" s="13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03:12:18-0600',mode:absolute,to:'2016-08-12 05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" s="57" t="str">
        <f t="shared" si="11"/>
        <v>N</v>
      </c>
      <c r="X17" s="133">
        <f t="shared" si="12"/>
        <v>1</v>
      </c>
      <c r="Y17" s="72">
        <f t="shared" si="13"/>
        <v>8.1699999999999995E-2</v>
      </c>
      <c r="Z17" s="72">
        <f t="shared" si="14"/>
        <v>23.328900000000001</v>
      </c>
      <c r="AA17" s="72">
        <f t="shared" si="15"/>
        <v>23.247199999999999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16"/>
        <v>0105-12</v>
      </c>
      <c r="AE17" s="108" t="str">
        <f t="shared" si="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17" s="105" t="str">
        <f t="shared" si="1"/>
        <v>"C:\Program Files (x86)\AstroGrep\AstroGrep.exe" /spath="%USERPROFILE%\AppData\Local\Temp\OnboardLogs" /stypes="*4031*20160812*" /stext=" 10:.+((SYSTEM_STATE.+slice.+state.+changed )|(ment ac)|(system.+state.+changed )|(\|lc)|(penalty)|(\[timeout)|(PRM\|1\|D)|(kpr)|(kdp))" /e /r /s</v>
      </c>
      <c r="AG17" s="1" t="str">
        <f t="shared" si="17"/>
        <v>EC</v>
      </c>
      <c r="AH17" s="109" t="str">
        <f t="shared" si="18"/>
        <v>"%USERPROFILE%\Documents\GitHub\eaglep3\Utilities\RefineRTDCRunTimes.py" --tripid 105-12 --locoid 4031 --swversion DE.1.0.7.0 --startMP 204:817 --initTime 2016-08-12T04:12:18 --startdatetime 2016-08-12T04:14:34 --delay 2 --endMP 204:233289 --enddatetime 2016-08-12T04:53:20 --enforcementcount 0</v>
      </c>
    </row>
    <row r="18" spans="1:34" s="1" customFormat="1" x14ac:dyDescent="0.25">
      <c r="A18" s="42" t="s">
        <v>271</v>
      </c>
      <c r="B18" s="7">
        <v>4008</v>
      </c>
      <c r="C18" s="25" t="s">
        <v>122</v>
      </c>
      <c r="D18" s="25" t="s">
        <v>272</v>
      </c>
      <c r="E18" s="16">
        <v>42594.212442129632</v>
      </c>
      <c r="F18" s="16">
        <v>42594.213587962964</v>
      </c>
      <c r="G18" s="7">
        <v>1</v>
      </c>
      <c r="H18" s="16" t="s">
        <v>222</v>
      </c>
      <c r="I18" s="16">
        <v>42594.244375000002</v>
      </c>
      <c r="J18" s="7">
        <v>1</v>
      </c>
      <c r="K18" s="149" t="str">
        <f t="shared" si="5"/>
        <v>4007/4008</v>
      </c>
      <c r="L18" s="25" t="str">
        <f>VLOOKUP(A18,'Trips&amp;Operators'!$C$1:$E$10000,3,FALSE)</f>
        <v>MALAVE</v>
      </c>
      <c r="M18" s="6">
        <f t="shared" si="6"/>
        <v>3.0787037037953269E-2</v>
      </c>
      <c r="N18" s="7">
        <f t="shared" si="7"/>
        <v>44.333333334652707</v>
      </c>
      <c r="O18" s="7"/>
      <c r="P18" s="7"/>
      <c r="Q18" s="26"/>
      <c r="R18" s="26"/>
      <c r="S18" s="38">
        <f t="shared" si="8"/>
        <v>1</v>
      </c>
      <c r="T18" s="55" t="str">
        <f t="shared" si="9"/>
        <v>Southbound</v>
      </c>
      <c r="U18" s="13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04:05:55-0600',mode:absolute,to:'2016-08-12 06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" s="57" t="str">
        <f t="shared" si="11"/>
        <v>N</v>
      </c>
      <c r="X18" s="133">
        <f t="shared" si="12"/>
        <v>1</v>
      </c>
      <c r="Y18" s="72">
        <f t="shared" si="13"/>
        <v>23.2639</v>
      </c>
      <c r="Z18" s="72">
        <f t="shared" si="14"/>
        <v>1.6E-2</v>
      </c>
      <c r="AA18" s="72">
        <f t="shared" si="15"/>
        <v>23.247900000000001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16"/>
        <v>0106-12</v>
      </c>
      <c r="AE18" s="108" t="str">
        <f t="shared" si="0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8" s="105" t="str">
        <f t="shared" si="1"/>
        <v>"C:\Program Files (x86)\AstroGrep\AstroGrep.exe" /spath="%USERPROFILE%\AppData\Local\Temp\OnboardLogs" /stypes="*4008*20160812*" /stext=" 11:.+((SYSTEM_STATE.+slice.+state.+changed )|(ment ac)|(system.+state.+changed )|(\|lc)|(penalty)|(\[timeout)|(PRM\|1\|D)|(kpr)|(kdp))" /e /r /s</v>
      </c>
      <c r="AG18" s="1" t="str">
        <f t="shared" si="17"/>
        <v>EC</v>
      </c>
      <c r="AH18" s="109" t="str">
        <f t="shared" si="18"/>
        <v>"%USERPROFILE%\Documents\GitHub\eaglep3\Utilities\RefineRTDCRunTimes.py" --tripid 106-12 --locoid 4008 --swversion DE.1.0.7.0 --startMP 204:232639 --initTime 2016-08-12T05:05:55 --startdatetime 2016-08-12T05:07:34 --delay 1 --endMP 204:160 --enddatetime 2016-08-12T05:51:54 --enforcementcount 1</v>
      </c>
    </row>
    <row r="19" spans="1:34" s="1" customFormat="1" x14ac:dyDescent="0.25">
      <c r="A19" s="42" t="s">
        <v>273</v>
      </c>
      <c r="B19" s="7">
        <v>4014</v>
      </c>
      <c r="C19" s="25" t="s">
        <v>122</v>
      </c>
      <c r="D19" s="25" t="s">
        <v>117</v>
      </c>
      <c r="E19" s="16">
        <v>42594.184537037036</v>
      </c>
      <c r="F19" s="16">
        <v>42594.185416666667</v>
      </c>
      <c r="G19" s="7">
        <v>1</v>
      </c>
      <c r="H19" s="16" t="s">
        <v>159</v>
      </c>
      <c r="I19" s="16">
        <v>42594.213877314818</v>
      </c>
      <c r="J19" s="7">
        <v>0</v>
      </c>
      <c r="K19" s="149" t="str">
        <f t="shared" si="5"/>
        <v>4013/4014</v>
      </c>
      <c r="L19" s="25" t="str">
        <f>VLOOKUP(A19,'Trips&amp;Operators'!$C$1:$E$10000,3,FALSE)</f>
        <v>BRANNON</v>
      </c>
      <c r="M19" s="6">
        <f t="shared" si="6"/>
        <v>2.846064815093996E-2</v>
      </c>
      <c r="N19" s="7">
        <f t="shared" si="7"/>
        <v>40.983333337353542</v>
      </c>
      <c r="O19" s="7"/>
      <c r="P19" s="7"/>
      <c r="Q19" s="26"/>
      <c r="R19" s="26"/>
      <c r="S19" s="38">
        <f t="shared" si="8"/>
        <v>1</v>
      </c>
      <c r="T19" s="55" t="str">
        <f t="shared" si="9"/>
        <v>NorthBound</v>
      </c>
      <c r="U19" s="13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03:25:44-0600',mode:absolute,to:'2016-08-12 06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" s="57" t="str">
        <f t="shared" si="11"/>
        <v>N</v>
      </c>
      <c r="X19" s="133">
        <f t="shared" si="12"/>
        <v>1</v>
      </c>
      <c r="Y19" s="72">
        <f t="shared" si="13"/>
        <v>4.6199999999999998E-2</v>
      </c>
      <c r="Z19" s="72">
        <f t="shared" si="14"/>
        <v>23.331199999999999</v>
      </c>
      <c r="AA19" s="72">
        <f t="shared" si="15"/>
        <v>23.285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6"/>
        <v>0107-12</v>
      </c>
      <c r="AE19" s="108" t="str">
        <f t="shared" si="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19" s="105" t="str">
        <f t="shared" si="1"/>
        <v>"C:\Program Files (x86)\AstroGrep\AstroGrep.exe" /spath="%USERPROFILE%\AppData\Local\Temp\OnboardLogs" /stypes="*4014*20160812*" /stext=" 11:.+((SYSTEM_STATE.+slice.+state.+changed )|(ment ac)|(system.+state.+changed )|(\|lc)|(penalty)|(\[timeout)|(PRM\|1\|D)|(kpr)|(kdp))" /e /r /s</v>
      </c>
      <c r="AG19" s="1" t="str">
        <f t="shared" si="17"/>
        <v>EC</v>
      </c>
      <c r="AH19" s="109" t="str">
        <f t="shared" si="18"/>
        <v>"%USERPROFILE%\Documents\GitHub\eaglep3\Utilities\RefineRTDCRunTimes.py" --tripid 107-12 --locoid 4014 --swversion DE.1.0.7.0 --startMP 204:462 --initTime 2016-08-12T04:25:44 --startdatetime 2016-08-12T04:27:00 --delay 1 --endMP 204:233312 --enddatetime 2016-08-12T05:07:59 --enforcementcount 0</v>
      </c>
    </row>
    <row r="20" spans="1:34" s="1" customFormat="1" x14ac:dyDescent="0.25">
      <c r="A20" s="42" t="s">
        <v>274</v>
      </c>
      <c r="B20" s="7">
        <v>4013</v>
      </c>
      <c r="C20" s="25" t="s">
        <v>122</v>
      </c>
      <c r="D20" s="25" t="s">
        <v>275</v>
      </c>
      <c r="E20" s="16">
        <v>42594.215011574073</v>
      </c>
      <c r="F20" s="16">
        <v>42594.215949074074</v>
      </c>
      <c r="G20" s="7">
        <v>1</v>
      </c>
      <c r="H20" s="16" t="s">
        <v>93</v>
      </c>
      <c r="I20" s="16">
        <v>42594.254120370373</v>
      </c>
      <c r="J20" s="7">
        <v>1</v>
      </c>
      <c r="K20" s="149" t="str">
        <f t="shared" si="5"/>
        <v>4013/4014</v>
      </c>
      <c r="L20" s="25" t="str">
        <f>VLOOKUP(A20,'Trips&amp;Operators'!$C$1:$E$10000,3,FALSE)</f>
        <v>BRANNON</v>
      </c>
      <c r="M20" s="6">
        <f t="shared" si="6"/>
        <v>3.8171296298969537E-2</v>
      </c>
      <c r="N20" s="7">
        <f t="shared" si="7"/>
        <v>54.966666670516133</v>
      </c>
      <c r="O20" s="7"/>
      <c r="P20" s="7"/>
      <c r="Q20" s="26"/>
      <c r="R20" s="26"/>
      <c r="S20" s="38">
        <f t="shared" si="8"/>
        <v>1</v>
      </c>
      <c r="T20" s="55" t="str">
        <f t="shared" si="9"/>
        <v>Southbound</v>
      </c>
      <c r="U20" s="13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04:09:37-0600',mode:absolute,to:'2016-08-12 07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0" s="57" t="str">
        <f t="shared" si="11"/>
        <v>N</v>
      </c>
      <c r="X20" s="133">
        <f t="shared" si="12"/>
        <v>1</v>
      </c>
      <c r="Y20" s="72">
        <f t="shared" si="13"/>
        <v>23.2987</v>
      </c>
      <c r="Z20" s="72">
        <f t="shared" si="14"/>
        <v>1.43E-2</v>
      </c>
      <c r="AA20" s="72">
        <f t="shared" si="15"/>
        <v>23.284400000000002</v>
      </c>
      <c r="AB20" s="69" t="e">
        <f>VLOOKUP(A20,Enforcements!$C$7:$J$24,8,0)</f>
        <v>#N/A</v>
      </c>
      <c r="AC20" s="65" t="e">
        <f>VLOOKUP(A20,Enforcements!$C$7:$E$24,3,0)</f>
        <v>#N/A</v>
      </c>
      <c r="AD20" s="66" t="str">
        <f t="shared" si="16"/>
        <v>0108-12</v>
      </c>
      <c r="AE20" s="108" t="str">
        <f t="shared" si="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20" s="105" t="str">
        <f t="shared" si="1"/>
        <v>"C:\Program Files (x86)\AstroGrep\AstroGrep.exe" /spath="%USERPROFILE%\AppData\Local\Temp\OnboardLogs" /stypes="*4013*20160812*" /stext=" 12:.+((SYSTEM_STATE.+slice.+state.+changed )|(ment ac)|(system.+state.+changed )|(\|lc)|(penalty)|(\[timeout)|(PRM\|1\|D)|(kpr)|(kdp))" /e /r /s</v>
      </c>
      <c r="AG20" s="1" t="str">
        <f t="shared" si="17"/>
        <v>EC</v>
      </c>
      <c r="AH20" s="109" t="str">
        <f t="shared" si="18"/>
        <v>"%USERPROFILE%\Documents\GitHub\eaglep3\Utilities\RefineRTDCRunTimes.py" --tripid 108-12 --locoid 4013 --swversion DE.1.0.7.0 --startMP 204:232987 --initTime 2016-08-12T05:09:37 --startdatetime 2016-08-12T05:10:58 --delay 1 --endMP 204:143 --enddatetime 2016-08-12T06:05:56 --enforcementcount 1</v>
      </c>
    </row>
    <row r="21" spans="1:34" s="1" customFormat="1" x14ac:dyDescent="0.25">
      <c r="A21" s="42" t="s">
        <v>276</v>
      </c>
      <c r="B21" s="7">
        <v>4027</v>
      </c>
      <c r="C21" s="25" t="s">
        <v>122</v>
      </c>
      <c r="D21" s="25" t="s">
        <v>172</v>
      </c>
      <c r="E21" s="16">
        <v>42594.190752314818</v>
      </c>
      <c r="F21" s="16">
        <v>42594.191747685189</v>
      </c>
      <c r="G21" s="7">
        <v>1</v>
      </c>
      <c r="H21" s="16" t="s">
        <v>120</v>
      </c>
      <c r="I21" s="16">
        <v>42594.224039351851</v>
      </c>
      <c r="J21" s="7">
        <v>0</v>
      </c>
      <c r="K21" s="149" t="str">
        <f t="shared" si="5"/>
        <v>4027/4028</v>
      </c>
      <c r="L21" s="25" t="str">
        <f>VLOOKUP(A21,'Trips&amp;Operators'!$C$1:$E$10000,3,FALSE)</f>
        <v>OUN</v>
      </c>
      <c r="M21" s="6">
        <f t="shared" si="6"/>
        <v>3.2291666662786156E-2</v>
      </c>
      <c r="N21" s="7">
        <f t="shared" si="7"/>
        <v>46.499999994412065</v>
      </c>
      <c r="O21" s="7"/>
      <c r="P21" s="7"/>
      <c r="Q21" s="26"/>
      <c r="R21" s="26"/>
      <c r="S21" s="38">
        <f t="shared" si="8"/>
        <v>1</v>
      </c>
      <c r="T21" s="55" t="str">
        <f t="shared" si="9"/>
        <v>NorthBound</v>
      </c>
      <c r="U21" s="13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03:34:41-0600',mode:absolute,to:'2016-08-12 06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1" s="57" t="str">
        <f t="shared" si="11"/>
        <v>N</v>
      </c>
      <c r="X21" s="133">
        <f t="shared" si="12"/>
        <v>1</v>
      </c>
      <c r="Y21" s="72">
        <f t="shared" si="13"/>
        <v>4.6899999999999997E-2</v>
      </c>
      <c r="Z21" s="72">
        <f t="shared" si="14"/>
        <v>23.3293</v>
      </c>
      <c r="AA21" s="72">
        <f t="shared" si="15"/>
        <v>23.282399999999999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6"/>
        <v>0109-12</v>
      </c>
      <c r="AE21" s="108" t="str">
        <f t="shared" si="0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21" s="105" t="str">
        <f t="shared" si="1"/>
        <v>"C:\Program Files (x86)\AstroGrep\AstroGrep.exe" /spath="%USERPROFILE%\AppData\Local\Temp\OnboardLogs" /stypes="*4027*20160812*" /stext=" 11:.+((SYSTEM_STATE.+slice.+state.+changed )|(ment ac)|(system.+state.+changed )|(\|lc)|(penalty)|(\[timeout)|(PRM\|1\|D)|(kpr)|(kdp))" /e /r /s</v>
      </c>
      <c r="AG21" s="1" t="str">
        <f t="shared" si="17"/>
        <v>EC</v>
      </c>
      <c r="AH21" s="109" t="str">
        <f t="shared" si="18"/>
        <v>"%USERPROFILE%\Documents\GitHub\eaglep3\Utilities\RefineRTDCRunTimes.py" --tripid 109-12 --locoid 4027 --swversion DE.1.0.7.0 --startMP 204:469 --initTime 2016-08-12T04:34:41 --startdatetime 2016-08-12T04:36:07 --delay 1 --endMP 204:233293 --enddatetime 2016-08-12T05:22:37 --enforcementcount 0</v>
      </c>
    </row>
    <row r="22" spans="1:34" s="1" customFormat="1" x14ac:dyDescent="0.25">
      <c r="A22" s="42" t="s">
        <v>277</v>
      </c>
      <c r="B22" s="7">
        <v>4028</v>
      </c>
      <c r="C22" s="25" t="s">
        <v>122</v>
      </c>
      <c r="D22" s="25" t="s">
        <v>221</v>
      </c>
      <c r="E22" s="16">
        <v>42594.233252314814</v>
      </c>
      <c r="F22" s="16">
        <v>42594.234282407408</v>
      </c>
      <c r="G22" s="7">
        <v>1</v>
      </c>
      <c r="H22" s="16" t="s">
        <v>160</v>
      </c>
      <c r="I22" s="16">
        <v>42594.265115740738</v>
      </c>
      <c r="J22" s="7">
        <v>2</v>
      </c>
      <c r="K22" s="149" t="str">
        <f t="shared" si="5"/>
        <v>4027/4028</v>
      </c>
      <c r="L22" s="25" t="str">
        <f>VLOOKUP(A22,'Trips&amp;Operators'!$C$1:$E$10000,3,FALSE)</f>
        <v>OUN</v>
      </c>
      <c r="M22" s="6">
        <f t="shared" si="6"/>
        <v>3.0833333330519963E-2</v>
      </c>
      <c r="N22" s="7">
        <f t="shared" si="7"/>
        <v>44.399999995948747</v>
      </c>
      <c r="O22" s="7"/>
      <c r="P22" s="7"/>
      <c r="Q22" s="26"/>
      <c r="R22" s="26"/>
      <c r="S22" s="38">
        <f t="shared" si="8"/>
        <v>1</v>
      </c>
      <c r="T22" s="55" t="str">
        <f t="shared" si="9"/>
        <v>Southbound</v>
      </c>
      <c r="U22" s="13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04:35:53-0600',mode:absolute,to:'2016-08-12 07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22" s="57" t="str">
        <f t="shared" si="11"/>
        <v>N</v>
      </c>
      <c r="X22" s="133">
        <f t="shared" si="12"/>
        <v>1</v>
      </c>
      <c r="Y22" s="72">
        <f t="shared" si="13"/>
        <v>23.297499999999999</v>
      </c>
      <c r="Z22" s="72">
        <f t="shared" si="14"/>
        <v>1.3599999999999999E-2</v>
      </c>
      <c r="AA22" s="72">
        <f t="shared" si="15"/>
        <v>23.283899999999999</v>
      </c>
      <c r="AB22" s="69">
        <f>VLOOKUP(A22,Enforcements!$C$7:$J$24,8,0)</f>
        <v>127587</v>
      </c>
      <c r="AC22" s="65" t="str">
        <f>VLOOKUP(A22,Enforcements!$C$7:$E$24,3,0)</f>
        <v>SIGNAL</v>
      </c>
      <c r="AD22" s="66" t="str">
        <f t="shared" si="16"/>
        <v>0110-12</v>
      </c>
      <c r="AE22" s="108" t="str">
        <f t="shared" si="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22" s="105" t="str">
        <f t="shared" si="1"/>
        <v>"C:\Program Files (x86)\AstroGrep\AstroGrep.exe" /spath="%USERPROFILE%\AppData\Local\Temp\OnboardLogs" /stypes="*4028*20160812*" /stext=" 12:.+((SYSTEM_STATE.+slice.+state.+changed )|(ment ac)|(system.+state.+changed )|(\|lc)|(penalty)|(\[timeout)|(PRM\|1\|D)|(kpr)|(kdp))" /e /r /s</v>
      </c>
      <c r="AG22" s="1" t="str">
        <f t="shared" si="17"/>
        <v>EC</v>
      </c>
      <c r="AH22" s="109" t="str">
        <f t="shared" si="18"/>
        <v>"%USERPROFILE%\Documents\GitHub\eaglep3\Utilities\RefineRTDCRunTimes.py" --tripid 110-12 --locoid 4028 --swversion DE.1.0.7.0 --startMP 204:232975 --initTime 2016-08-12T05:35:53 --startdatetime 2016-08-12T05:37:22 --delay 1 --endMP 204:136 --enddatetime 2016-08-12T06:21:46 --enforcementcount 2</v>
      </c>
    </row>
    <row r="23" spans="1:34" s="1" customFormat="1" x14ac:dyDescent="0.25">
      <c r="A23" s="42" t="s">
        <v>278</v>
      </c>
      <c r="B23" s="7">
        <v>4038</v>
      </c>
      <c r="C23" s="25" t="s">
        <v>122</v>
      </c>
      <c r="D23" s="25" t="s">
        <v>279</v>
      </c>
      <c r="E23" s="16">
        <v>42594.216620370367</v>
      </c>
      <c r="F23" s="16">
        <v>42594.217638888891</v>
      </c>
      <c r="G23" s="7">
        <v>1</v>
      </c>
      <c r="H23" s="16" t="s">
        <v>194</v>
      </c>
      <c r="I23" s="16">
        <v>42594.244490740741</v>
      </c>
      <c r="J23" s="7">
        <v>0</v>
      </c>
      <c r="K23" s="149" t="str">
        <f t="shared" si="5"/>
        <v>4037/4038</v>
      </c>
      <c r="L23" s="25" t="str">
        <f>VLOOKUP(A23,'Trips&amp;Operators'!$C$1:$E$10000,3,FALSE)</f>
        <v>SPECTOR</v>
      </c>
      <c r="M23" s="6">
        <f t="shared" si="6"/>
        <v>2.6851851849642117E-2</v>
      </c>
      <c r="N23" s="7">
        <f t="shared" si="7"/>
        <v>38.666666663484648</v>
      </c>
      <c r="O23" s="7"/>
      <c r="P23" s="7"/>
      <c r="Q23" s="26"/>
      <c r="R23" s="26"/>
      <c r="S23" s="38">
        <f t="shared" si="8"/>
        <v>1</v>
      </c>
      <c r="T23" s="55" t="str">
        <f t="shared" si="9"/>
        <v>NorthBound</v>
      </c>
      <c r="U23" s="13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04:11:56-0600',mode:absolute,to:'2016-08-12 06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3" s="57" t="str">
        <f t="shared" si="11"/>
        <v>N</v>
      </c>
      <c r="X23" s="133">
        <f t="shared" si="12"/>
        <v>1</v>
      </c>
      <c r="Y23" s="72">
        <f t="shared" si="13"/>
        <v>7.1499999999999994E-2</v>
      </c>
      <c r="Z23" s="72">
        <f t="shared" si="14"/>
        <v>23.331399999999999</v>
      </c>
      <c r="AA23" s="72">
        <f t="shared" si="15"/>
        <v>23.259899999999998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6"/>
        <v>0111-12</v>
      </c>
      <c r="AE23" s="108" t="str">
        <f t="shared" si="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23" s="105" t="str">
        <f t="shared" si="1"/>
        <v>"C:\Program Files (x86)\AstroGrep\AstroGrep.exe" /spath="%USERPROFILE%\AppData\Local\Temp\OnboardLogs" /stypes="*4038*20160812*" /stext=" 11:.+((SYSTEM_STATE.+slice.+state.+changed )|(ment ac)|(system.+state.+changed )|(\|lc)|(penalty)|(\[timeout)|(PRM\|1\|D)|(kpr)|(kdp))" /e /r /s</v>
      </c>
      <c r="AG23" s="1" t="str">
        <f t="shared" si="17"/>
        <v>EC</v>
      </c>
      <c r="AH23" s="109" t="str">
        <f t="shared" si="18"/>
        <v>"%USERPROFILE%\Documents\GitHub\eaglep3\Utilities\RefineRTDCRunTimes.py" --tripid 111-12 --locoid 4038 --swversion DE.1.0.7.0 --startMP 204:715 --initTime 2016-08-12T05:11:56 --startdatetime 2016-08-12T05:13:24 --delay 1 --endMP 204:233314 --enddatetime 2016-08-12T05:52:04 --enforcementcount 0</v>
      </c>
    </row>
    <row r="24" spans="1:34" s="1" customFormat="1" ht="16.5" customHeight="1" x14ac:dyDescent="0.25">
      <c r="A24" s="42" t="s">
        <v>280</v>
      </c>
      <c r="B24" s="7">
        <v>4037</v>
      </c>
      <c r="C24" s="25" t="s">
        <v>122</v>
      </c>
      <c r="D24" s="25" t="s">
        <v>281</v>
      </c>
      <c r="E24" s="16">
        <v>42594.246504629627</v>
      </c>
      <c r="F24" s="16">
        <v>42594.24759259259</v>
      </c>
      <c r="G24" s="7">
        <v>1</v>
      </c>
      <c r="H24" s="16" t="s">
        <v>282</v>
      </c>
      <c r="I24" s="16">
        <v>42594.275856481479</v>
      </c>
      <c r="J24" s="7">
        <v>0</v>
      </c>
      <c r="K24" s="149" t="str">
        <f t="shared" si="5"/>
        <v>4037/4038</v>
      </c>
      <c r="L24" s="25" t="str">
        <f>VLOOKUP(A24,'Trips&amp;Operators'!$C$1:$E$10000,3,FALSE)</f>
        <v>SPECTOR</v>
      </c>
      <c r="M24" s="6">
        <f t="shared" si="6"/>
        <v>2.8263888889341615E-2</v>
      </c>
      <c r="N24" s="7">
        <f t="shared" si="7"/>
        <v>40.700000000651926</v>
      </c>
      <c r="O24" s="7"/>
      <c r="P24" s="7"/>
      <c r="Q24" s="26"/>
      <c r="R24" s="26"/>
      <c r="S24" s="38">
        <f t="shared" si="8"/>
        <v>1</v>
      </c>
      <c r="T24" s="55" t="str">
        <f t="shared" si="9"/>
        <v>Southbound</v>
      </c>
      <c r="U24" s="13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04:54:58-0600',mode:absolute,to:'2016-08-12 07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4" s="57" t="str">
        <f t="shared" si="11"/>
        <v>N</v>
      </c>
      <c r="X24" s="133">
        <f t="shared" si="12"/>
        <v>1</v>
      </c>
      <c r="Y24" s="72">
        <f t="shared" si="13"/>
        <v>23.298500000000001</v>
      </c>
      <c r="Z24" s="72">
        <f t="shared" si="14"/>
        <v>1.9800000000000002E-2</v>
      </c>
      <c r="AA24" s="72">
        <f t="shared" si="15"/>
        <v>23.278700000000001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6"/>
        <v>0112-12</v>
      </c>
      <c r="AE24" s="108" t="str">
        <f t="shared" si="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24" s="105" t="str">
        <f t="shared" si="1"/>
        <v>"C:\Program Files (x86)\AstroGrep\AstroGrep.exe" /spath="%USERPROFILE%\AppData\Local\Temp\OnboardLogs" /stypes="*4037*20160812*" /stext=" 12:.+((SYSTEM_STATE.+slice.+state.+changed )|(ment ac)|(system.+state.+changed )|(\|lc)|(penalty)|(\[timeout)|(PRM\|1\|D)|(kpr)|(kdp))" /e /r /s</v>
      </c>
      <c r="AG24" s="1" t="str">
        <f t="shared" si="17"/>
        <v>EC</v>
      </c>
      <c r="AH24" s="109" t="str">
        <f t="shared" si="18"/>
        <v>"%USERPROFILE%\Documents\GitHub\eaglep3\Utilities\RefineRTDCRunTimes.py" --tripid 112-12 --locoid 4037 --swversion DE.1.0.7.0 --startMP 204:232985 --initTime 2016-08-12T05:54:58 --startdatetime 2016-08-12T05:56:32 --delay 1 --endMP 204:198 --enddatetime 2016-08-12T06:37:14 --enforcementcount 0</v>
      </c>
    </row>
    <row r="25" spans="1:34" s="1" customFormat="1" x14ac:dyDescent="0.25">
      <c r="A25" s="42" t="s">
        <v>283</v>
      </c>
      <c r="B25" s="7">
        <v>4018</v>
      </c>
      <c r="C25" s="25" t="s">
        <v>122</v>
      </c>
      <c r="D25" s="25" t="s">
        <v>284</v>
      </c>
      <c r="E25" s="16">
        <v>42594.216782407406</v>
      </c>
      <c r="F25" s="16">
        <v>42594.217974537038</v>
      </c>
      <c r="G25" s="7">
        <v>1</v>
      </c>
      <c r="H25" s="16" t="s">
        <v>120</v>
      </c>
      <c r="I25" s="16">
        <v>42594.25104166667</v>
      </c>
      <c r="J25" s="7">
        <v>0</v>
      </c>
      <c r="K25" s="149" t="str">
        <f t="shared" si="5"/>
        <v>4017/4018</v>
      </c>
      <c r="L25" s="25" t="str">
        <f>VLOOKUP(A25,'Trips&amp;Operators'!$C$1:$E$10000,3,FALSE)</f>
        <v>MAELZER</v>
      </c>
      <c r="M25" s="6">
        <f t="shared" si="6"/>
        <v>3.3067129632399883E-2</v>
      </c>
      <c r="N25" s="7">
        <f t="shared" si="7"/>
        <v>47.616666670655832</v>
      </c>
      <c r="O25" s="7"/>
      <c r="P25" s="7"/>
      <c r="Q25" s="26"/>
      <c r="R25" s="26"/>
      <c r="S25" s="38">
        <f t="shared" si="8"/>
        <v>1</v>
      </c>
      <c r="T25" s="55" t="str">
        <f t="shared" si="9"/>
        <v>NorthBound</v>
      </c>
      <c r="U25" s="13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04:12:10-0600',mode:absolute,to:'2016-08-12 07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5" s="57" t="str">
        <f t="shared" si="11"/>
        <v>N</v>
      </c>
      <c r="X25" s="133">
        <f t="shared" si="12"/>
        <v>1</v>
      </c>
      <c r="Y25" s="72">
        <f t="shared" si="13"/>
        <v>4.24E-2</v>
      </c>
      <c r="Z25" s="72">
        <f t="shared" si="14"/>
        <v>23.3293</v>
      </c>
      <c r="AA25" s="72">
        <f t="shared" si="15"/>
        <v>23.286899999999999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6"/>
        <v>0113-12</v>
      </c>
      <c r="AE25" s="108" t="str">
        <f t="shared" si="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25" s="105" t="str">
        <f t="shared" si="1"/>
        <v>"C:\Program Files (x86)\AstroGrep\AstroGrep.exe" /spath="%USERPROFILE%\AppData\Local\Temp\OnboardLogs" /stypes="*4018*20160812*" /stext=" 12:.+((SYSTEM_STATE.+slice.+state.+changed )|(ment ac)|(system.+state.+changed )|(\|lc)|(penalty)|(\[timeout)|(PRM\|1\|D)|(kpr)|(kdp))" /e /r /s</v>
      </c>
      <c r="AG25" s="1" t="str">
        <f t="shared" si="17"/>
        <v>EC</v>
      </c>
      <c r="AH25" s="109" t="str">
        <f t="shared" si="18"/>
        <v>"%USERPROFILE%\Documents\GitHub\eaglep3\Utilities\RefineRTDCRunTimes.py" --tripid 113-12 --locoid 4018 --swversion DE.1.0.7.0 --startMP 204:424 --initTime 2016-08-12T05:12:10 --startdatetime 2016-08-12T05:13:53 --delay 1 --endMP 204:233293 --enddatetime 2016-08-12T06:01:30 --enforcementcount 0</v>
      </c>
    </row>
    <row r="26" spans="1:34" s="32" customFormat="1" x14ac:dyDescent="0.25">
      <c r="A26" s="42" t="s">
        <v>285</v>
      </c>
      <c r="B26" s="7">
        <v>4017</v>
      </c>
      <c r="C26" s="25" t="s">
        <v>122</v>
      </c>
      <c r="D26" s="25" t="s">
        <v>135</v>
      </c>
      <c r="E26" s="16">
        <v>42594.255196759259</v>
      </c>
      <c r="F26" s="16">
        <v>42594.256030092591</v>
      </c>
      <c r="G26" s="7">
        <v>1</v>
      </c>
      <c r="H26" s="16" t="s">
        <v>146</v>
      </c>
      <c r="I26" s="16">
        <v>42594.284386574072</v>
      </c>
      <c r="J26" s="7">
        <v>1</v>
      </c>
      <c r="K26" s="149" t="str">
        <f t="shared" si="5"/>
        <v>4017/4018</v>
      </c>
      <c r="L26" s="25" t="str">
        <f>VLOOKUP(A26,'Trips&amp;Operators'!$C$1:$E$10000,3,FALSE)</f>
        <v>MAELZER</v>
      </c>
      <c r="M26" s="6">
        <f t="shared" si="6"/>
        <v>2.8356481481750961E-2</v>
      </c>
      <c r="N26" s="7">
        <f t="shared" si="7"/>
        <v>40.833333333721384</v>
      </c>
      <c r="O26" s="7"/>
      <c r="P26" s="7"/>
      <c r="Q26" s="26"/>
      <c r="R26" s="26"/>
      <c r="S26" s="38">
        <f t="shared" si="8"/>
        <v>1</v>
      </c>
      <c r="T26" s="55" t="str">
        <f t="shared" si="9"/>
        <v>Southbound</v>
      </c>
      <c r="U26" s="13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05:07:29-0600',mode:absolute,to:'2016-08-12 07:49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6" s="57" t="str">
        <f t="shared" si="11"/>
        <v>N</v>
      </c>
      <c r="X26" s="133">
        <f t="shared" si="12"/>
        <v>1</v>
      </c>
      <c r="Y26" s="72">
        <f t="shared" si="13"/>
        <v>23.299800000000001</v>
      </c>
      <c r="Z26" s="72">
        <f t="shared" si="14"/>
        <v>1.47E-2</v>
      </c>
      <c r="AA26" s="72">
        <f t="shared" si="15"/>
        <v>23.2851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16"/>
        <v>0114-12</v>
      </c>
      <c r="AE26" s="108" t="str">
        <f t="shared" si="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26" s="105" t="str">
        <f t="shared" si="1"/>
        <v>"C:\Program Files (x86)\AstroGrep\AstroGrep.exe" /spath="%USERPROFILE%\AppData\Local\Temp\OnboardLogs" /stypes="*4017*20160812*" /stext=" 12:.+((SYSTEM_STATE.+slice.+state.+changed )|(ment ac)|(system.+state.+changed )|(\|lc)|(penalty)|(\[timeout)|(PRM\|1\|D)|(kpr)|(kdp))" /e /r /s</v>
      </c>
      <c r="AG26" s="1" t="str">
        <f t="shared" si="17"/>
        <v>EC</v>
      </c>
      <c r="AH26" s="109" t="str">
        <f t="shared" si="18"/>
        <v>"%USERPROFILE%\Documents\GitHub\eaglep3\Utilities\RefineRTDCRunTimes.py" --tripid 114-12 --locoid 4017 --swversion DE.1.0.7.0 --startMP 204:232998 --initTime 2016-08-12T06:07:29 --startdatetime 2016-08-12T06:08:41 --delay 1 --endMP 204:147 --enddatetime 2016-08-12T06:49:31 --enforcementcount 1</v>
      </c>
    </row>
    <row r="27" spans="1:34" s="1" customFormat="1" x14ac:dyDescent="0.25">
      <c r="A27" s="42" t="s">
        <v>286</v>
      </c>
      <c r="B27" s="7">
        <v>4029</v>
      </c>
      <c r="C27" s="25" t="s">
        <v>122</v>
      </c>
      <c r="D27" s="25" t="s">
        <v>216</v>
      </c>
      <c r="E27" s="16">
        <v>42594.230682870373</v>
      </c>
      <c r="F27" s="16">
        <v>42594.231944444444</v>
      </c>
      <c r="G27" s="7">
        <v>1</v>
      </c>
      <c r="H27" s="16" t="s">
        <v>223</v>
      </c>
      <c r="I27" s="16">
        <v>42594.25582175926</v>
      </c>
      <c r="J27" s="7">
        <v>0</v>
      </c>
      <c r="K27" s="149" t="str">
        <f t="shared" si="5"/>
        <v>4029/4030</v>
      </c>
      <c r="L27" s="25" t="str">
        <f>VLOOKUP(A27,'Trips&amp;Operators'!$C$1:$E$10000,3,FALSE)</f>
        <v>ROCHA</v>
      </c>
      <c r="M27" s="6">
        <f t="shared" si="6"/>
        <v>2.3877314815763384E-2</v>
      </c>
      <c r="N27" s="7">
        <f t="shared" si="7"/>
        <v>34.383333334699273</v>
      </c>
      <c r="O27" s="7"/>
      <c r="P27" s="7"/>
      <c r="Q27" s="26"/>
      <c r="R27" s="26"/>
      <c r="S27" s="38">
        <f t="shared" si="8"/>
        <v>1</v>
      </c>
      <c r="T27" s="55" t="str">
        <f t="shared" si="9"/>
        <v>NorthBound</v>
      </c>
      <c r="U27" s="13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04:32:11-0600',mode:absolute,to:'2016-08-12 07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7" s="57" t="str">
        <f t="shared" si="11"/>
        <v>N</v>
      </c>
      <c r="X27" s="133">
        <f t="shared" si="12"/>
        <v>1</v>
      </c>
      <c r="Y27" s="72">
        <f t="shared" si="13"/>
        <v>7.5499999999999998E-2</v>
      </c>
      <c r="Z27" s="72">
        <f t="shared" si="14"/>
        <v>23.3323</v>
      </c>
      <c r="AA27" s="72">
        <f t="shared" si="15"/>
        <v>23.256799999999998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16"/>
        <v>0115-12</v>
      </c>
      <c r="AE27" s="108" t="str">
        <f t="shared" si="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27" s="105" t="str">
        <f t="shared" si="1"/>
        <v>"C:\Program Files (x86)\AstroGrep\AstroGrep.exe" /spath="%USERPROFILE%\AppData\Local\Temp\OnboardLogs" /stypes="*4029*20160812*" /stext=" 12:.+((SYSTEM_STATE.+slice.+state.+changed )|(ment ac)|(system.+state.+changed )|(\|lc)|(penalty)|(\[timeout)|(PRM\|1\|D)|(kpr)|(kdp))" /e /r /s</v>
      </c>
      <c r="AG27" s="1" t="str">
        <f t="shared" si="17"/>
        <v>EC</v>
      </c>
      <c r="AH27" s="109" t="str">
        <f t="shared" si="18"/>
        <v>"%USERPROFILE%\Documents\GitHub\eaglep3\Utilities\RefineRTDCRunTimes.py" --tripid 115-12 --locoid 4029 --swversion DE.1.0.7.0 --startMP 204:755 --initTime 2016-08-12T05:32:11 --startdatetime 2016-08-12T05:34:00 --delay 1 --endMP 204:233323 --enddatetime 2016-08-12T06:08:23 --enforcementcount 0</v>
      </c>
    </row>
    <row r="28" spans="1:34" s="1" customFormat="1" x14ac:dyDescent="0.25">
      <c r="A28" s="42" t="s">
        <v>287</v>
      </c>
      <c r="B28" s="7">
        <v>4030</v>
      </c>
      <c r="C28" s="25" t="s">
        <v>122</v>
      </c>
      <c r="D28" s="25" t="s">
        <v>288</v>
      </c>
      <c r="E28" s="16">
        <v>42594.268182870372</v>
      </c>
      <c r="F28" s="16">
        <v>42594.269097222219</v>
      </c>
      <c r="G28" s="7">
        <v>1</v>
      </c>
      <c r="H28" s="16" t="s">
        <v>289</v>
      </c>
      <c r="I28" s="16">
        <v>42594.295706018522</v>
      </c>
      <c r="J28" s="7">
        <v>0</v>
      </c>
      <c r="K28" s="149" t="str">
        <f t="shared" si="5"/>
        <v>4029/4030</v>
      </c>
      <c r="L28" s="25" t="str">
        <f>VLOOKUP(A28,'Trips&amp;Operators'!$C$1:$E$10000,3,FALSE)</f>
        <v>ROCHA</v>
      </c>
      <c r="M28" s="6">
        <f t="shared" si="6"/>
        <v>2.6608796302753035E-2</v>
      </c>
      <c r="N28" s="7">
        <f t="shared" si="7"/>
        <v>38.31666667596437</v>
      </c>
      <c r="O28" s="7"/>
      <c r="P28" s="7"/>
      <c r="Q28" s="26"/>
      <c r="R28" s="26"/>
      <c r="S28" s="38">
        <f t="shared" si="8"/>
        <v>1</v>
      </c>
      <c r="T28" s="55" t="str">
        <f t="shared" si="9"/>
        <v>Southbound</v>
      </c>
      <c r="U28" s="13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05:26:11-0600',mode:absolute,to:'2016-08-12 08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8" s="57" t="str">
        <f t="shared" si="11"/>
        <v>N</v>
      </c>
      <c r="X28" s="133">
        <f t="shared" si="12"/>
        <v>1</v>
      </c>
      <c r="Y28" s="72">
        <f t="shared" si="13"/>
        <v>23.300799999999999</v>
      </c>
      <c r="Z28" s="72">
        <f t="shared" si="14"/>
        <v>1.4999999999999999E-2</v>
      </c>
      <c r="AA28" s="72">
        <f t="shared" si="15"/>
        <v>23.285799999999998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16"/>
        <v>0116-12</v>
      </c>
      <c r="AE28" s="108" t="str">
        <f t="shared" si="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28" s="105" t="str">
        <f t="shared" si="1"/>
        <v>"C:\Program Files (x86)\AstroGrep\AstroGrep.exe" /spath="%USERPROFILE%\AppData\Local\Temp\OnboardLogs" /stypes="*4030*20160812*" /stext=" 13:.+((SYSTEM_STATE.+slice.+state.+changed )|(ment ac)|(system.+state.+changed )|(\|lc)|(penalty)|(\[timeout)|(PRM\|1\|D)|(kpr)|(kdp))" /e /r /s</v>
      </c>
      <c r="AG28" s="1" t="str">
        <f t="shared" si="17"/>
        <v>EC</v>
      </c>
      <c r="AH28" s="109" t="str">
        <f t="shared" si="18"/>
        <v>"%USERPROFILE%\Documents\GitHub\eaglep3\Utilities\RefineRTDCRunTimes.py" --tripid 116-12 --locoid 4030 --swversion DE.1.0.7.0 --startMP 204:233008 --initTime 2016-08-12T06:26:11 --startdatetime 2016-08-12T06:27:30 --delay 1 --endMP 204:150 --enddatetime 2016-08-12T07:05:49 --enforcementcount 0</v>
      </c>
    </row>
    <row r="29" spans="1:34" s="1" customFormat="1" ht="14.25" customHeight="1" x14ac:dyDescent="0.25">
      <c r="A29" s="42" t="s">
        <v>290</v>
      </c>
      <c r="B29" s="148">
        <v>4020</v>
      </c>
      <c r="C29" s="25" t="s">
        <v>122</v>
      </c>
      <c r="D29" s="25" t="s">
        <v>291</v>
      </c>
      <c r="E29" s="16">
        <v>42594.247210648151</v>
      </c>
      <c r="F29" s="16">
        <v>42594.248298611114</v>
      </c>
      <c r="G29" s="7">
        <v>1</v>
      </c>
      <c r="H29" s="16" t="s">
        <v>198</v>
      </c>
      <c r="I29" s="16">
        <v>42594.273738425924</v>
      </c>
      <c r="J29" s="7">
        <v>1</v>
      </c>
      <c r="K29" s="149" t="str">
        <f t="shared" si="5"/>
        <v>4019/4020</v>
      </c>
      <c r="L29" s="25" t="str">
        <f>VLOOKUP(A29,'Trips&amp;Operators'!$C$1:$E$10000,3,FALSE)</f>
        <v>DAVIS</v>
      </c>
      <c r="M29" s="6">
        <f t="shared" si="6"/>
        <v>2.5439814809942618E-2</v>
      </c>
      <c r="N29" s="7"/>
      <c r="O29" s="7"/>
      <c r="P29" s="7">
        <f t="shared" si="7"/>
        <v>36.63333332631737</v>
      </c>
      <c r="Q29" s="26"/>
      <c r="R29" s="26" t="s">
        <v>674</v>
      </c>
      <c r="S29" s="38">
        <f t="shared" si="8"/>
        <v>1</v>
      </c>
      <c r="T29" s="55" t="str">
        <f t="shared" si="9"/>
        <v>NorthBound</v>
      </c>
      <c r="U29" s="13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04:55:59-0600',mode:absolute,to:'2016-08-12 07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9" s="57" t="str">
        <f t="shared" si="11"/>
        <v>Y</v>
      </c>
      <c r="X29" s="133">
        <f t="shared" si="12"/>
        <v>1</v>
      </c>
      <c r="Y29" s="72">
        <f t="shared" si="13"/>
        <v>1.9148000000000001</v>
      </c>
      <c r="Z29" s="72">
        <f t="shared" si="14"/>
        <v>23.332000000000001</v>
      </c>
      <c r="AA29" s="72">
        <f t="shared" si="15"/>
        <v>21.417200000000001</v>
      </c>
      <c r="AB29" s="69">
        <f>VLOOKUP(A29,Enforcements!$C$7:$J$24,8,0)</f>
        <v>10800</v>
      </c>
      <c r="AC29" s="65" t="str">
        <f>VLOOKUP(A29,Enforcements!$C$7:$E$24,3,0)</f>
        <v>SIGNAL</v>
      </c>
      <c r="AD29" s="66" t="str">
        <f t="shared" si="16"/>
        <v>0117-12</v>
      </c>
      <c r="AE29" s="108" t="str">
        <f t="shared" si="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29" s="105" t="str">
        <f t="shared" si="1"/>
        <v>"C:\Program Files (x86)\AstroGrep\AstroGrep.exe" /spath="%USERPROFILE%\AppData\Local\Temp\OnboardLogs" /stypes="*4020*20160812*" /stext=" 12:.+((SYSTEM_STATE.+slice.+state.+changed )|(ment ac)|(system.+state.+changed )|(\|lc)|(penalty)|(\[timeout)|(PRM\|1\|D)|(kpr)|(kdp))" /e /r /s</v>
      </c>
      <c r="AG29" s="1" t="str">
        <f t="shared" si="17"/>
        <v>EC</v>
      </c>
      <c r="AH29" s="109" t="str">
        <f t="shared" si="18"/>
        <v>"%USERPROFILE%\Documents\GitHub\eaglep3\Utilities\RefineRTDCRunTimes.py" --tripid 117-12 --locoid 4020 --swversion DE.1.0.7.0 --startMP 204:19148 --initTime 2016-08-12T05:55:59 --startdatetime 2016-08-12T05:57:33 --delay 1 --endMP 204:233320 --enddatetime 2016-08-12T06:34:11 --enforcementcount 1</v>
      </c>
    </row>
    <row r="30" spans="1:34" s="1" customFormat="1" x14ac:dyDescent="0.25">
      <c r="A30" s="42" t="s">
        <v>292</v>
      </c>
      <c r="B30" s="7">
        <v>4019</v>
      </c>
      <c r="C30" s="25" t="s">
        <v>122</v>
      </c>
      <c r="D30" s="25" t="s">
        <v>293</v>
      </c>
      <c r="E30" s="16">
        <v>42594.277731481481</v>
      </c>
      <c r="F30" s="16">
        <v>42594.279016203705</v>
      </c>
      <c r="G30" s="7">
        <v>1</v>
      </c>
      <c r="H30" s="16" t="s">
        <v>294</v>
      </c>
      <c r="I30" s="16">
        <v>42594.308599537035</v>
      </c>
      <c r="J30" s="7">
        <v>1</v>
      </c>
      <c r="K30" s="149" t="str">
        <f t="shared" si="5"/>
        <v>4019/4020</v>
      </c>
      <c r="L30" s="25" t="b">
        <f>VLOOKUP(A30,'Trips&amp;Operators'!$C$1:$E$10000,3,FALSE)</f>
        <v>1</v>
      </c>
      <c r="M30" s="6">
        <f t="shared" si="6"/>
        <v>2.958333332935581E-2</v>
      </c>
      <c r="N30" s="7">
        <f t="shared" si="7"/>
        <v>42.599999994272366</v>
      </c>
      <c r="O30" s="7"/>
      <c r="P30" s="7"/>
      <c r="Q30" s="26"/>
      <c r="R30" s="26"/>
      <c r="S30" s="38">
        <f t="shared" si="8"/>
        <v>1</v>
      </c>
      <c r="T30" s="55" t="str">
        <f t="shared" si="9"/>
        <v>Southbound</v>
      </c>
      <c r="U30" s="13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05:39:56-0600',mode:absolute,to:'2016-08-12 08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30" s="57" t="str">
        <f t="shared" si="11"/>
        <v>N</v>
      </c>
      <c r="X30" s="133">
        <f t="shared" si="12"/>
        <v>1</v>
      </c>
      <c r="Y30" s="72">
        <f t="shared" si="13"/>
        <v>23.3001</v>
      </c>
      <c r="Z30" s="72">
        <f t="shared" si="14"/>
        <v>1.5599999999999999E-2</v>
      </c>
      <c r="AA30" s="72">
        <f t="shared" si="15"/>
        <v>23.284500000000001</v>
      </c>
      <c r="AB30" s="69">
        <f>VLOOKUP(A30,Enforcements!$C$7:$J$24,8,0)</f>
        <v>228668</v>
      </c>
      <c r="AC30" s="65" t="str">
        <f>VLOOKUP(A30,Enforcements!$C$7:$E$24,3,0)</f>
        <v>PERMANENT SPEED RESTRICTION</v>
      </c>
      <c r="AD30" s="66" t="str">
        <f t="shared" si="16"/>
        <v>0118-12</v>
      </c>
      <c r="AE30" s="108" t="str">
        <f t="shared" si="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30" s="105" t="str">
        <f t="shared" si="1"/>
        <v>"C:\Program Files (x86)\AstroGrep\AstroGrep.exe" /spath="%USERPROFILE%\AppData\Local\Temp\OnboardLogs" /stypes="*4019*20160812*" /stext=" 13:.+((SYSTEM_STATE.+slice.+state.+changed )|(ment ac)|(system.+state.+changed )|(\|lc)|(penalty)|(\[timeout)|(PRM\|1\|D)|(kpr)|(kdp))" /e /r /s</v>
      </c>
      <c r="AG30" s="1" t="str">
        <f t="shared" si="17"/>
        <v>EC</v>
      </c>
      <c r="AH30" s="109" t="str">
        <f t="shared" si="18"/>
        <v>"%USERPROFILE%\Documents\GitHub\eaglep3\Utilities\RefineRTDCRunTimes.py" --tripid 118-12 --locoid 4019 --swversion DE.1.0.7.0 --startMP 204:233001 --initTime 2016-08-12T06:39:56 --startdatetime 2016-08-12T06:41:47 --delay 1 --endMP 204:156 --enddatetime 2016-08-12T07:24:23 --enforcementcount 1</v>
      </c>
    </row>
    <row r="31" spans="1:34" s="1" customFormat="1" x14ac:dyDescent="0.25">
      <c r="A31" s="42" t="s">
        <v>295</v>
      </c>
      <c r="B31" s="7">
        <v>4031</v>
      </c>
      <c r="C31" s="25" t="s">
        <v>122</v>
      </c>
      <c r="D31" s="25" t="s">
        <v>262</v>
      </c>
      <c r="E31" s="16">
        <v>42594.250173611108</v>
      </c>
      <c r="F31" s="16">
        <v>42594.251215277778</v>
      </c>
      <c r="G31" s="7">
        <v>1</v>
      </c>
      <c r="H31" s="16" t="s">
        <v>296</v>
      </c>
      <c r="I31" s="16">
        <v>42594.27685185185</v>
      </c>
      <c r="J31" s="7">
        <v>0</v>
      </c>
      <c r="K31" s="149" t="str">
        <f t="shared" si="5"/>
        <v>4031/4032</v>
      </c>
      <c r="L31" s="25" t="str">
        <f>VLOOKUP(A31,'Trips&amp;Operators'!$C$1:$E$10000,3,FALSE)</f>
        <v>MALAVE</v>
      </c>
      <c r="M31" s="6">
        <f t="shared" si="6"/>
        <v>2.5636574071540963E-2</v>
      </c>
      <c r="N31" s="7">
        <f t="shared" si="7"/>
        <v>36.916666663018987</v>
      </c>
      <c r="O31" s="7"/>
      <c r="P31" s="7"/>
      <c r="Q31" s="26"/>
      <c r="R31" s="26"/>
      <c r="S31" s="38">
        <f t="shared" si="8"/>
        <v>1</v>
      </c>
      <c r="T31" s="55" t="str">
        <f t="shared" si="9"/>
        <v>NorthBound</v>
      </c>
      <c r="U31" s="13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05:00:15-0600',mode:absolute,to:'2016-08-12 07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31" s="57" t="str">
        <f t="shared" si="11"/>
        <v>N</v>
      </c>
      <c r="X31" s="133">
        <f t="shared" si="12"/>
        <v>1</v>
      </c>
      <c r="Y31" s="72">
        <f t="shared" si="13"/>
        <v>7.1199999999999999E-2</v>
      </c>
      <c r="Z31" s="72">
        <f t="shared" si="14"/>
        <v>23.329699999999999</v>
      </c>
      <c r="AA31" s="72">
        <f t="shared" si="15"/>
        <v>23.258499999999998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6"/>
        <v>0119-12</v>
      </c>
      <c r="AE31" s="108" t="str">
        <f t="shared" si="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31" s="105" t="str">
        <f t="shared" si="1"/>
        <v>"C:\Program Files (x86)\AstroGrep\AstroGrep.exe" /spath="%USERPROFILE%\AppData\Local\Temp\OnboardLogs" /stypes="*4031*20160812*" /stext=" 12:.+((SYSTEM_STATE.+slice.+state.+changed )|(ment ac)|(system.+state.+changed )|(\|lc)|(penalty)|(\[timeout)|(PRM\|1\|D)|(kpr)|(kdp))" /e /r /s</v>
      </c>
      <c r="AG31" s="1" t="str">
        <f t="shared" si="17"/>
        <v>EC</v>
      </c>
      <c r="AH31" s="109" t="str">
        <f t="shared" si="18"/>
        <v>"%USERPROFILE%\Documents\GitHub\eaglep3\Utilities\RefineRTDCRunTimes.py" --tripid 119-12 --locoid 4031 --swversion DE.1.0.7.0 --startMP 204:712 --initTime 2016-08-12T06:00:15 --startdatetime 2016-08-12T06:01:45 --delay 1 --endMP 204:233297 --enddatetime 2016-08-12T06:38:40 --enforcementcount 0</v>
      </c>
    </row>
    <row r="32" spans="1:34" s="1" customFormat="1" x14ac:dyDescent="0.25">
      <c r="A32" s="42" t="s">
        <v>297</v>
      </c>
      <c r="B32" s="7">
        <v>4032</v>
      </c>
      <c r="C32" s="25" t="s">
        <v>122</v>
      </c>
      <c r="D32" s="25" t="s">
        <v>171</v>
      </c>
      <c r="E32" s="16">
        <v>42594.287777777776</v>
      </c>
      <c r="F32" s="16">
        <v>42594.288738425923</v>
      </c>
      <c r="G32" s="7">
        <v>1</v>
      </c>
      <c r="H32" s="16" t="s">
        <v>175</v>
      </c>
      <c r="I32" s="16">
        <v>42594.31627314815</v>
      </c>
      <c r="J32" s="7">
        <v>0</v>
      </c>
      <c r="K32" s="149" t="str">
        <f t="shared" si="5"/>
        <v>4031/4032</v>
      </c>
      <c r="L32" s="25" t="str">
        <f>VLOOKUP(A32,'Trips&amp;Operators'!$C$1:$E$10000,3,FALSE)</f>
        <v>MALAVE</v>
      </c>
      <c r="M32" s="6">
        <f t="shared" si="6"/>
        <v>2.7534722226846498E-2</v>
      </c>
      <c r="N32" s="7">
        <f t="shared" si="7"/>
        <v>39.650000006658956</v>
      </c>
      <c r="O32" s="7"/>
      <c r="P32" s="7"/>
      <c r="Q32" s="26"/>
      <c r="R32" s="26"/>
      <c r="S32" s="38">
        <f t="shared" si="8"/>
        <v>1</v>
      </c>
      <c r="T32" s="55" t="str">
        <f t="shared" si="9"/>
        <v>Southbound</v>
      </c>
      <c r="U32" s="13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05:54:24-0600',mode:absolute,to:'2016-08-12 08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32" s="57" t="str">
        <f t="shared" si="11"/>
        <v>N</v>
      </c>
      <c r="X32" s="133">
        <f t="shared" si="12"/>
        <v>1</v>
      </c>
      <c r="Y32" s="72">
        <f t="shared" si="13"/>
        <v>23.298300000000001</v>
      </c>
      <c r="Z32" s="72">
        <f t="shared" si="14"/>
        <v>1.3899999999999999E-2</v>
      </c>
      <c r="AA32" s="72">
        <f t="shared" si="15"/>
        <v>23.284400000000002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6"/>
        <v>0120-12</v>
      </c>
      <c r="AE32" s="108" t="str">
        <f t="shared" si="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32" s="105" t="str">
        <f t="shared" si="1"/>
        <v>"C:\Program Files (x86)\AstroGrep\AstroGrep.exe" /spath="%USERPROFILE%\AppData\Local\Temp\OnboardLogs" /stypes="*4032*20160812*" /stext=" 13:.+((SYSTEM_STATE.+slice.+state.+changed )|(ment ac)|(system.+state.+changed )|(\|lc)|(penalty)|(\[timeout)|(PRM\|1\|D)|(kpr)|(kdp))" /e /r /s</v>
      </c>
      <c r="AG32" s="1" t="str">
        <f t="shared" si="17"/>
        <v>EC</v>
      </c>
      <c r="AH32" s="109" t="str">
        <f t="shared" si="18"/>
        <v>"%USERPROFILE%\Documents\GitHub\eaglep3\Utilities\RefineRTDCRunTimes.py" --tripid 120-12 --locoid 4032 --swversion DE.1.0.7.0 --startMP 204:232983 --initTime 2016-08-12T06:54:24 --startdatetime 2016-08-12T06:55:47 --delay 1 --endMP 204:139 --enddatetime 2016-08-12T07:35:26 --enforcementcount 0</v>
      </c>
    </row>
    <row r="33" spans="1:34" s="1" customFormat="1" x14ac:dyDescent="0.25">
      <c r="A33" s="42" t="s">
        <v>298</v>
      </c>
      <c r="B33" s="7">
        <v>4014</v>
      </c>
      <c r="C33" s="25" t="s">
        <v>122</v>
      </c>
      <c r="D33" s="25" t="s">
        <v>284</v>
      </c>
      <c r="E33" s="16">
        <v>42594.255150462966</v>
      </c>
      <c r="F33" s="16">
        <v>42594.256203703706</v>
      </c>
      <c r="G33" s="7">
        <v>1</v>
      </c>
      <c r="H33" s="16" t="s">
        <v>299</v>
      </c>
      <c r="I33" s="16">
        <v>42594.286666666667</v>
      </c>
      <c r="J33" s="7">
        <v>1</v>
      </c>
      <c r="K33" s="149" t="str">
        <f t="shared" si="5"/>
        <v>4013/4014</v>
      </c>
      <c r="L33" s="25" t="str">
        <f>VLOOKUP(A33,'Trips&amp;Operators'!$C$1:$E$10000,3,FALSE)</f>
        <v>BRANNON</v>
      </c>
      <c r="M33" s="6">
        <f t="shared" si="6"/>
        <v>3.0462962960882578E-2</v>
      </c>
      <c r="N33" s="7">
        <f t="shared" si="7"/>
        <v>43.866666663670912</v>
      </c>
      <c r="O33" s="7"/>
      <c r="P33" s="7"/>
      <c r="Q33" s="26"/>
      <c r="R33" s="26"/>
      <c r="S33" s="38">
        <f t="shared" si="8"/>
        <v>1</v>
      </c>
      <c r="T33" s="55" t="str">
        <f t="shared" si="9"/>
        <v>NorthBound</v>
      </c>
      <c r="U33" s="13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05:07:25-0600',mode:absolute,to:'2016-08-12 07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33" s="57" t="str">
        <f t="shared" si="11"/>
        <v>N</v>
      </c>
      <c r="X33" s="133">
        <f t="shared" si="12"/>
        <v>1</v>
      </c>
      <c r="Y33" s="72">
        <f t="shared" si="13"/>
        <v>4.24E-2</v>
      </c>
      <c r="Z33" s="72">
        <f t="shared" si="14"/>
        <v>23.317</v>
      </c>
      <c r="AA33" s="72">
        <f t="shared" si="15"/>
        <v>23.2746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16"/>
        <v>0121-12</v>
      </c>
      <c r="AE33" s="108" t="str">
        <f t="shared" si="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33" s="105" t="str">
        <f t="shared" si="1"/>
        <v>"C:\Program Files (x86)\AstroGrep\AstroGrep.exe" /spath="%USERPROFILE%\AppData\Local\Temp\OnboardLogs" /stypes="*4014*20160812*" /stext=" 12:.+((SYSTEM_STATE.+slice.+state.+changed )|(ment ac)|(system.+state.+changed )|(\|lc)|(penalty)|(\[timeout)|(PRM\|1\|D)|(kpr)|(kdp))" /e /r /s</v>
      </c>
      <c r="AG33" s="1" t="str">
        <f t="shared" si="17"/>
        <v>EC</v>
      </c>
      <c r="AH33" s="109" t="str">
        <f t="shared" si="18"/>
        <v>"%USERPROFILE%\Documents\GitHub\eaglep3\Utilities\RefineRTDCRunTimes.py" --tripid 121-12 --locoid 4014 --swversion DE.1.0.7.0 --startMP 204:424 --initTime 2016-08-12T06:07:25 --startdatetime 2016-08-12T06:08:56 --delay 1 --endMP 204:233170 --enddatetime 2016-08-12T06:52:48 --enforcementcount 1</v>
      </c>
    </row>
    <row r="34" spans="1:34" s="1" customFormat="1" x14ac:dyDescent="0.25">
      <c r="A34" s="42" t="s">
        <v>300</v>
      </c>
      <c r="B34" s="7">
        <v>4013</v>
      </c>
      <c r="C34" s="25" t="s">
        <v>122</v>
      </c>
      <c r="D34" s="25" t="s">
        <v>301</v>
      </c>
      <c r="E34" s="16">
        <v>42594.297812500001</v>
      </c>
      <c r="F34" s="16">
        <v>42594.298564814817</v>
      </c>
      <c r="G34" s="7">
        <v>1</v>
      </c>
      <c r="H34" s="16" t="s">
        <v>289</v>
      </c>
      <c r="I34" s="16">
        <v>42594.326458333337</v>
      </c>
      <c r="J34" s="7">
        <v>0</v>
      </c>
      <c r="K34" s="149" t="str">
        <f t="shared" si="5"/>
        <v>4013/4014</v>
      </c>
      <c r="L34" s="25" t="str">
        <f>VLOOKUP(A34,'Trips&amp;Operators'!$C$1:$E$10000,3,FALSE)</f>
        <v>BRANNON</v>
      </c>
      <c r="M34" s="6">
        <f t="shared" si="6"/>
        <v>2.789351851970423E-2</v>
      </c>
      <c r="N34" s="7">
        <f t="shared" si="7"/>
        <v>40.166666668374091</v>
      </c>
      <c r="O34" s="7"/>
      <c r="P34" s="7"/>
      <c r="Q34" s="26"/>
      <c r="R34" s="26"/>
      <c r="S34" s="38">
        <f t="shared" si="8"/>
        <v>1</v>
      </c>
      <c r="T34" s="55" t="str">
        <f t="shared" si="9"/>
        <v>Southbound</v>
      </c>
      <c r="U34" s="13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06:08:51-0600',mode:absolute,to:'2016-08-12 08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34" s="57" t="str">
        <f t="shared" si="11"/>
        <v>N</v>
      </c>
      <c r="X34" s="133">
        <f t="shared" si="12"/>
        <v>1</v>
      </c>
      <c r="Y34" s="72">
        <f t="shared" si="13"/>
        <v>23.285599999999999</v>
      </c>
      <c r="Z34" s="72">
        <f t="shared" si="14"/>
        <v>1.4999999999999999E-2</v>
      </c>
      <c r="AA34" s="72">
        <f t="shared" si="15"/>
        <v>23.270599999999998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16"/>
        <v>0122-12</v>
      </c>
      <c r="AE34" s="108" t="str">
        <f t="shared" si="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34" s="105" t="str">
        <f t="shared" si="1"/>
        <v>"C:\Program Files (x86)\AstroGrep\AstroGrep.exe" /spath="%USERPROFILE%\AppData\Local\Temp\OnboardLogs" /stypes="*4013*20160812*" /stext=" 13:.+((SYSTEM_STATE.+slice.+state.+changed )|(ment ac)|(system.+state.+changed )|(\|lc)|(penalty)|(\[timeout)|(PRM\|1\|D)|(kpr)|(kdp))" /e /r /s</v>
      </c>
      <c r="AG34" s="1" t="str">
        <f t="shared" si="17"/>
        <v>EC</v>
      </c>
      <c r="AH34" s="109" t="str">
        <f t="shared" si="18"/>
        <v>"%USERPROFILE%\Documents\GitHub\eaglep3\Utilities\RefineRTDCRunTimes.py" --tripid 122-12 --locoid 4013 --swversion DE.1.0.7.0 --startMP 204:232856 --initTime 2016-08-12T07:08:51 --startdatetime 2016-08-12T07:09:56 --delay 1 --endMP 204:150 --enddatetime 2016-08-12T07:50:06 --enforcementcount 0</v>
      </c>
    </row>
    <row r="35" spans="1:34" s="1" customFormat="1" x14ac:dyDescent="0.25">
      <c r="A35" s="42" t="s">
        <v>302</v>
      </c>
      <c r="B35" s="7">
        <v>4027</v>
      </c>
      <c r="C35" s="25" t="s">
        <v>122</v>
      </c>
      <c r="D35" s="25" t="s">
        <v>117</v>
      </c>
      <c r="E35" s="16">
        <v>42594.268182870372</v>
      </c>
      <c r="F35" s="16">
        <v>42594.270949074074</v>
      </c>
      <c r="G35" s="7">
        <v>3</v>
      </c>
      <c r="H35" s="16" t="s">
        <v>303</v>
      </c>
      <c r="I35" s="16">
        <v>42594.297199074077</v>
      </c>
      <c r="J35" s="7">
        <v>1</v>
      </c>
      <c r="K35" s="149" t="str">
        <f t="shared" si="5"/>
        <v>4027/4028</v>
      </c>
      <c r="L35" s="25" t="str">
        <f>VLOOKUP(A35,'Trips&amp;Operators'!$C$1:$E$10000,3,FALSE)</f>
        <v>OUN</v>
      </c>
      <c r="M35" s="6">
        <f t="shared" si="6"/>
        <v>2.6250000002619345E-2</v>
      </c>
      <c r="N35" s="7">
        <f t="shared" si="7"/>
        <v>37.800000003771856</v>
      </c>
      <c r="O35" s="7"/>
      <c r="P35" s="7"/>
      <c r="Q35" s="26"/>
      <c r="R35" s="26"/>
      <c r="S35" s="38">
        <f t="shared" si="8"/>
        <v>1</v>
      </c>
      <c r="T35" s="55" t="str">
        <f t="shared" si="9"/>
        <v>NorthBound</v>
      </c>
      <c r="U35" s="13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05:26:11-0600',mode:absolute,to:'2016-08-12 08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5" s="57" t="str">
        <f t="shared" si="11"/>
        <v>N</v>
      </c>
      <c r="X35" s="133">
        <f t="shared" si="12"/>
        <v>1</v>
      </c>
      <c r="Y35" s="72">
        <f t="shared" si="13"/>
        <v>4.6199999999999998E-2</v>
      </c>
      <c r="Z35" s="72">
        <f t="shared" si="14"/>
        <v>23.328299999999999</v>
      </c>
      <c r="AA35" s="72">
        <f t="shared" si="15"/>
        <v>23.2821</v>
      </c>
      <c r="AB35" s="69">
        <f>VLOOKUP(A35,Enforcements!$C$7:$J$24,8,0)</f>
        <v>116838</v>
      </c>
      <c r="AC35" s="65" t="str">
        <f>VLOOKUP(A35,Enforcements!$C$7:$E$24,3,0)</f>
        <v>PERMANENT SPEED RESTRICTION</v>
      </c>
      <c r="AD35" s="66" t="str">
        <f t="shared" si="16"/>
        <v>0123-12</v>
      </c>
      <c r="AE35" s="108" t="str">
        <f t="shared" si="0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35" s="105" t="str">
        <f t="shared" si="1"/>
        <v>"C:\Program Files (x86)\AstroGrep\AstroGrep.exe" /spath="%USERPROFILE%\AppData\Local\Temp\OnboardLogs" /stypes="*4027*20160812*" /stext=" 13:.+((SYSTEM_STATE.+slice.+state.+changed )|(ment ac)|(system.+state.+changed )|(\|lc)|(penalty)|(\[timeout)|(PRM\|1\|D)|(kpr)|(kdp))" /e /r /s</v>
      </c>
      <c r="AG35" s="1" t="str">
        <f t="shared" si="17"/>
        <v>EC</v>
      </c>
      <c r="AH35" s="109" t="str">
        <f t="shared" si="18"/>
        <v>"%USERPROFILE%\Documents\GitHub\eaglep3\Utilities\RefineRTDCRunTimes.py" --tripid 123-12 --locoid 4027 --swversion DE.1.0.7.0 --startMP 204:462 --initTime 2016-08-12T06:26:11 --startdatetime 2016-08-12T06:30:10 --delay 3 --endMP 204:233283 --enddatetime 2016-08-12T07:07:58 --enforcementcount 1</v>
      </c>
    </row>
    <row r="36" spans="1:34" s="1" customFormat="1" x14ac:dyDescent="0.25">
      <c r="A36" s="42" t="s">
        <v>304</v>
      </c>
      <c r="B36" s="7">
        <v>4028</v>
      </c>
      <c r="C36" s="25" t="s">
        <v>122</v>
      </c>
      <c r="D36" s="25" t="s">
        <v>305</v>
      </c>
      <c r="E36" s="16">
        <v>42594.306689814817</v>
      </c>
      <c r="F36" s="16">
        <v>42594.307627314818</v>
      </c>
      <c r="G36" s="7">
        <v>1</v>
      </c>
      <c r="H36" s="16" t="s">
        <v>189</v>
      </c>
      <c r="I36" s="16">
        <v>42594.338136574072</v>
      </c>
      <c r="J36" s="7">
        <v>0</v>
      </c>
      <c r="K36" s="149" t="str">
        <f t="shared" si="5"/>
        <v>4027/4028</v>
      </c>
      <c r="L36" s="25" t="str">
        <f>VLOOKUP(A36,'Trips&amp;Operators'!$C$1:$E$10000,3,FALSE)</f>
        <v>OUN</v>
      </c>
      <c r="M36" s="6">
        <f t="shared" si="6"/>
        <v>3.0509259253449272E-2</v>
      </c>
      <c r="N36" s="7">
        <f t="shared" si="7"/>
        <v>43.933333324966952</v>
      </c>
      <c r="O36" s="7"/>
      <c r="P36" s="7"/>
      <c r="Q36" s="26"/>
      <c r="R36" s="26"/>
      <c r="S36" s="38">
        <f t="shared" si="8"/>
        <v>1</v>
      </c>
      <c r="T36" s="55" t="str">
        <f t="shared" si="9"/>
        <v>Southbound</v>
      </c>
      <c r="U36" s="13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06:21:38-0600',mode:absolute,to:'2016-08-12 09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36" s="57" t="str">
        <f t="shared" si="11"/>
        <v>N</v>
      </c>
      <c r="X36" s="133">
        <f t="shared" si="12"/>
        <v>1</v>
      </c>
      <c r="Y36" s="72">
        <f t="shared" si="13"/>
        <v>23.298100000000002</v>
      </c>
      <c r="Z36" s="72">
        <f t="shared" si="14"/>
        <v>1.6299999999999999E-2</v>
      </c>
      <c r="AA36" s="72">
        <f t="shared" si="15"/>
        <v>23.2818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6"/>
        <v>0124-12</v>
      </c>
      <c r="AE36" s="108" t="str">
        <f t="shared" si="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36" s="105" t="str">
        <f t="shared" si="1"/>
        <v>"C:\Program Files (x86)\AstroGrep\AstroGrep.exe" /spath="%USERPROFILE%\AppData\Local\Temp\OnboardLogs" /stypes="*4028*20160812*" /stext=" 14:.+((SYSTEM_STATE.+slice.+state.+changed )|(ment ac)|(system.+state.+changed )|(\|lc)|(penalty)|(\[timeout)|(PRM\|1\|D)|(kpr)|(kdp))" /e /r /s</v>
      </c>
      <c r="AG36" s="1" t="str">
        <f t="shared" si="17"/>
        <v>EC</v>
      </c>
      <c r="AH36" s="109" t="str">
        <f t="shared" si="18"/>
        <v>"%USERPROFILE%\Documents\GitHub\eaglep3\Utilities\RefineRTDCRunTimes.py" --tripid 124-12 --locoid 4028 --swversion DE.1.0.7.0 --startMP 204:232981 --initTime 2016-08-12T07:21:38 --startdatetime 2016-08-12T07:22:59 --delay 1 --endMP 204:163 --enddatetime 2016-08-12T08:06:55 --enforcementcount 0</v>
      </c>
    </row>
    <row r="37" spans="1:34" s="1" customFormat="1" x14ac:dyDescent="0.25">
      <c r="A37" s="42" t="s">
        <v>306</v>
      </c>
      <c r="B37" s="7">
        <v>4038</v>
      </c>
      <c r="C37" s="25" t="s">
        <v>122</v>
      </c>
      <c r="D37" s="25" t="s">
        <v>199</v>
      </c>
      <c r="E37" s="16">
        <v>42594.279409722221</v>
      </c>
      <c r="F37" s="16">
        <v>42594.280266203707</v>
      </c>
      <c r="G37" s="7">
        <v>1</v>
      </c>
      <c r="H37" s="16" t="s">
        <v>307</v>
      </c>
      <c r="I37" s="16">
        <v>42594.306701388887</v>
      </c>
      <c r="J37" s="7">
        <v>0</v>
      </c>
      <c r="K37" s="149" t="str">
        <f t="shared" si="5"/>
        <v>4037/4038</v>
      </c>
      <c r="L37" s="25" t="str">
        <f>VLOOKUP(A37,'Trips&amp;Operators'!$C$1:$E$10000,3,FALSE)</f>
        <v>SPECTOR</v>
      </c>
      <c r="M37" s="6">
        <f t="shared" si="6"/>
        <v>2.643518518016208E-2</v>
      </c>
      <c r="N37" s="7">
        <f t="shared" si="7"/>
        <v>38.066666659433395</v>
      </c>
      <c r="O37" s="7"/>
      <c r="P37" s="7"/>
      <c r="Q37" s="26"/>
      <c r="R37" s="26"/>
      <c r="S37" s="38">
        <f t="shared" si="8"/>
        <v>1</v>
      </c>
      <c r="T37" s="55" t="str">
        <f t="shared" si="9"/>
        <v>NorthBound</v>
      </c>
      <c r="U37" s="13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05:42:21-0600',mode:absolute,to:'2016-08-12 08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7" s="57" t="str">
        <f t="shared" si="11"/>
        <v>N</v>
      </c>
      <c r="X37" s="133">
        <f t="shared" si="12"/>
        <v>1</v>
      </c>
      <c r="Y37" s="72">
        <f t="shared" si="13"/>
        <v>4.9700000000000001E-2</v>
      </c>
      <c r="Z37" s="72">
        <f t="shared" si="14"/>
        <v>23.331800000000001</v>
      </c>
      <c r="AA37" s="72">
        <f t="shared" si="15"/>
        <v>23.2821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16"/>
        <v>0125-12</v>
      </c>
      <c r="AE37" s="108" t="str">
        <f t="shared" si="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37" s="105" t="str">
        <f t="shared" si="1"/>
        <v>"C:\Program Files (x86)\AstroGrep\AstroGrep.exe" /spath="%USERPROFILE%\AppData\Local\Temp\OnboardLogs" /stypes="*4038*20160812*" /stext=" 13:.+((SYSTEM_STATE.+slice.+state.+changed )|(ment ac)|(system.+state.+changed )|(\|lc)|(penalty)|(\[timeout)|(PRM\|1\|D)|(kpr)|(kdp))" /e /r /s</v>
      </c>
      <c r="AG37" s="1" t="str">
        <f t="shared" si="17"/>
        <v>EC</v>
      </c>
      <c r="AH37" s="109" t="str">
        <f t="shared" si="18"/>
        <v>"%USERPROFILE%\Documents\GitHub\eaglep3\Utilities\RefineRTDCRunTimes.py" --tripid 125-12 --locoid 4038 --swversion DE.1.0.7.0 --startMP 204:497 --initTime 2016-08-12T06:42:21 --startdatetime 2016-08-12T06:43:35 --delay 1 --endMP 204:233318 --enddatetime 2016-08-12T07:21:39 --enforcementcount 0</v>
      </c>
    </row>
    <row r="38" spans="1:34" s="1" customFormat="1" x14ac:dyDescent="0.25">
      <c r="A38" s="42" t="s">
        <v>308</v>
      </c>
      <c r="B38" s="7">
        <v>4037</v>
      </c>
      <c r="C38" s="25" t="s">
        <v>122</v>
      </c>
      <c r="D38" s="25" t="s">
        <v>309</v>
      </c>
      <c r="E38" s="16">
        <v>42594.317118055558</v>
      </c>
      <c r="F38" s="16">
        <v>42594.318171296298</v>
      </c>
      <c r="G38" s="7">
        <v>1</v>
      </c>
      <c r="H38" s="16" t="s">
        <v>310</v>
      </c>
      <c r="I38" s="16">
        <v>42594.346678240741</v>
      </c>
      <c r="J38" s="7">
        <v>1</v>
      </c>
      <c r="K38" s="149" t="str">
        <f t="shared" si="5"/>
        <v>4037/4038</v>
      </c>
      <c r="L38" s="25" t="str">
        <f>VLOOKUP(A38,'Trips&amp;Operators'!$C$1:$E$10000,3,FALSE)</f>
        <v>SPECTOR</v>
      </c>
      <c r="M38" s="6">
        <f t="shared" si="6"/>
        <v>2.8506944443506654E-2</v>
      </c>
      <c r="N38" s="7">
        <f t="shared" si="7"/>
        <v>41.049999998649582</v>
      </c>
      <c r="O38" s="7"/>
      <c r="P38" s="7"/>
      <c r="Q38" s="26"/>
      <c r="R38" s="26"/>
      <c r="S38" s="38">
        <f t="shared" si="8"/>
        <v>1</v>
      </c>
      <c r="T38" s="55" t="str">
        <f t="shared" si="9"/>
        <v>Southbound</v>
      </c>
      <c r="U38" s="13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06:36:39-0600',mode:absolute,to:'2016-08-12 09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8" s="57" t="str">
        <f t="shared" si="11"/>
        <v>N</v>
      </c>
      <c r="X38" s="133">
        <f t="shared" si="12"/>
        <v>1</v>
      </c>
      <c r="Y38" s="72">
        <f t="shared" si="13"/>
        <v>23.300699999999999</v>
      </c>
      <c r="Z38" s="72">
        <f t="shared" si="14"/>
        <v>2.5600000000000001E-2</v>
      </c>
      <c r="AA38" s="72">
        <f t="shared" si="15"/>
        <v>23.275099999999998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16"/>
        <v>0126-12</v>
      </c>
      <c r="AE38" s="108" t="str">
        <f t="shared" si="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38" s="105" t="str">
        <f t="shared" si="1"/>
        <v>"C:\Program Files (x86)\AstroGrep\AstroGrep.exe" /spath="%USERPROFILE%\AppData\Local\Temp\OnboardLogs" /stypes="*4037*20160812*" /stext=" 14:.+((SYSTEM_STATE.+slice.+state.+changed )|(ment ac)|(system.+state.+changed )|(\|lc)|(penalty)|(\[timeout)|(PRM\|1\|D)|(kpr)|(kdp))" /e /r /s</v>
      </c>
      <c r="AG38" s="1" t="str">
        <f t="shared" si="17"/>
        <v>EC</v>
      </c>
      <c r="AH38" s="109" t="str">
        <f t="shared" si="18"/>
        <v>"%USERPROFILE%\Documents\GitHub\eaglep3\Utilities\RefineRTDCRunTimes.py" --tripid 126-12 --locoid 4037 --swversion DE.1.0.7.0 --startMP 204:233007 --initTime 2016-08-12T07:36:39 --startdatetime 2016-08-12T07:38:10 --delay 1 --endMP 204:256 --enddatetime 2016-08-12T08:19:13 --enforcementcount 1</v>
      </c>
    </row>
    <row r="39" spans="1:34" s="1" customFormat="1" x14ac:dyDescent="0.25">
      <c r="A39" s="42" t="s">
        <v>311</v>
      </c>
      <c r="B39" s="7">
        <v>4018</v>
      </c>
      <c r="C39" s="25" t="s">
        <v>122</v>
      </c>
      <c r="D39" s="25" t="s">
        <v>312</v>
      </c>
      <c r="E39" s="16">
        <v>42594.288043981483</v>
      </c>
      <c r="F39" s="16">
        <v>42594.288993055554</v>
      </c>
      <c r="G39" s="7">
        <v>1</v>
      </c>
      <c r="H39" s="16" t="s">
        <v>159</v>
      </c>
      <c r="I39" s="16">
        <v>42594.317025462966</v>
      </c>
      <c r="J39" s="7">
        <v>0</v>
      </c>
      <c r="K39" s="149" t="str">
        <f t="shared" si="5"/>
        <v>4017/4018</v>
      </c>
      <c r="L39" s="25" t="str">
        <f>VLOOKUP(A39,'Trips&amp;Operators'!$C$1:$E$10000,3,FALSE)</f>
        <v>MAELZER</v>
      </c>
      <c r="M39" s="6">
        <f t="shared" si="6"/>
        <v>2.8032407411956228E-2</v>
      </c>
      <c r="N39" s="7">
        <f t="shared" si="7"/>
        <v>40.366666673216969</v>
      </c>
      <c r="O39" s="7"/>
      <c r="P39" s="7"/>
      <c r="Q39" s="26"/>
      <c r="R39" s="26"/>
      <c r="S39" s="38">
        <f t="shared" si="8"/>
        <v>1</v>
      </c>
      <c r="T39" s="55" t="str">
        <f t="shared" si="9"/>
        <v>NorthBound</v>
      </c>
      <c r="U39" s="13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05:54:47-0600',mode:absolute,to:'2016-08-12 08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39" s="57" t="str">
        <f t="shared" si="11"/>
        <v>N</v>
      </c>
      <c r="X39" s="133">
        <f t="shared" si="12"/>
        <v>1</v>
      </c>
      <c r="Y39" s="72">
        <f t="shared" si="13"/>
        <v>4.5100000000000001E-2</v>
      </c>
      <c r="Z39" s="72">
        <f t="shared" si="14"/>
        <v>23.331199999999999</v>
      </c>
      <c r="AA39" s="72">
        <f t="shared" si="15"/>
        <v>23.286099999999998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16"/>
        <v>0127-12</v>
      </c>
      <c r="AE39" s="108" t="str">
        <f t="shared" si="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39" s="105" t="str">
        <f t="shared" si="1"/>
        <v>"C:\Program Files (x86)\AstroGrep\AstroGrep.exe" /spath="%USERPROFILE%\AppData\Local\Temp\OnboardLogs" /stypes="*4018*20160812*" /stext=" 13:.+((SYSTEM_STATE.+slice.+state.+changed )|(ment ac)|(system.+state.+changed )|(\|lc)|(penalty)|(\[timeout)|(PRM\|1\|D)|(kpr)|(kdp))" /e /r /s</v>
      </c>
      <c r="AG39" s="1" t="str">
        <f t="shared" si="17"/>
        <v>EC</v>
      </c>
      <c r="AH39" s="109" t="str">
        <f t="shared" si="18"/>
        <v>"%USERPROFILE%\Documents\GitHub\eaglep3\Utilities\RefineRTDCRunTimes.py" --tripid 127-12 --locoid 4018 --swversion DE.1.0.7.0 --startMP 204:451 --initTime 2016-08-12T06:54:47 --startdatetime 2016-08-12T06:56:09 --delay 1 --endMP 204:233312 --enddatetime 2016-08-12T07:36:31 --enforcementcount 0</v>
      </c>
    </row>
    <row r="40" spans="1:34" s="1" customFormat="1" x14ac:dyDescent="0.25">
      <c r="A40" s="42" t="s">
        <v>313</v>
      </c>
      <c r="B40" s="7">
        <v>4017</v>
      </c>
      <c r="C40" s="25" t="s">
        <v>122</v>
      </c>
      <c r="D40" s="25" t="s">
        <v>215</v>
      </c>
      <c r="E40" s="16">
        <v>42594.325520833336</v>
      </c>
      <c r="F40" s="16">
        <v>42594.326354166667</v>
      </c>
      <c r="G40" s="7">
        <v>1</v>
      </c>
      <c r="H40" s="16" t="s">
        <v>196</v>
      </c>
      <c r="I40" s="16">
        <v>42594.356909722221</v>
      </c>
      <c r="J40" s="7">
        <v>0</v>
      </c>
      <c r="K40" s="149" t="str">
        <f t="shared" si="5"/>
        <v>4017/4018</v>
      </c>
      <c r="L40" s="25" t="str">
        <f>VLOOKUP(A40,'Trips&amp;Operators'!$C$1:$E$10000,3,FALSE)</f>
        <v>MAELZER</v>
      </c>
      <c r="M40" s="6">
        <f t="shared" si="6"/>
        <v>3.0555555553291924E-2</v>
      </c>
      <c r="N40" s="7">
        <f t="shared" si="7"/>
        <v>43.999999996740371</v>
      </c>
      <c r="O40" s="7"/>
      <c r="P40" s="7"/>
      <c r="Q40" s="26"/>
      <c r="R40" s="26"/>
      <c r="S40" s="38">
        <f t="shared" si="8"/>
        <v>1</v>
      </c>
      <c r="T40" s="55" t="str">
        <f t="shared" si="9"/>
        <v>Southbound</v>
      </c>
      <c r="U40" s="13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06:48:45-0600',mode:absolute,to:'2016-08-12 09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40" s="57" t="str">
        <f t="shared" si="11"/>
        <v>N</v>
      </c>
      <c r="X40" s="133">
        <f t="shared" si="12"/>
        <v>1</v>
      </c>
      <c r="Y40" s="72">
        <f t="shared" si="13"/>
        <v>23.299099999999999</v>
      </c>
      <c r="Z40" s="72">
        <f t="shared" si="14"/>
        <v>1.38E-2</v>
      </c>
      <c r="AA40" s="72">
        <f t="shared" si="15"/>
        <v>23.285299999999999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16"/>
        <v>0128-12</v>
      </c>
      <c r="AE40" s="108" t="str">
        <f t="shared" si="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40" s="105" t="str">
        <f t="shared" si="1"/>
        <v>"C:\Program Files (x86)\AstroGrep\AstroGrep.exe" /spath="%USERPROFILE%\AppData\Local\Temp\OnboardLogs" /stypes="*4017*20160812*" /stext=" 14:.+((SYSTEM_STATE.+slice.+state.+changed )|(ment ac)|(system.+state.+changed )|(\|lc)|(penalty)|(\[timeout)|(PRM\|1\|D)|(kpr)|(kdp))" /e /r /s</v>
      </c>
      <c r="AG40" s="1" t="str">
        <f t="shared" si="17"/>
        <v>EC</v>
      </c>
      <c r="AH40" s="109" t="str">
        <f t="shared" si="18"/>
        <v>"%USERPROFILE%\Documents\GitHub\eaglep3\Utilities\RefineRTDCRunTimes.py" --tripid 128-12 --locoid 4017 --swversion DE.1.0.7.0 --startMP 204:232991 --initTime 2016-08-12T07:48:45 --startdatetime 2016-08-12T07:49:57 --delay 1 --endMP 204:138 --enddatetime 2016-08-12T08:33:57 --enforcementcount 0</v>
      </c>
    </row>
    <row r="41" spans="1:34" s="1" customFormat="1" x14ac:dyDescent="0.25">
      <c r="A41" s="42" t="s">
        <v>314</v>
      </c>
      <c r="B41" s="7">
        <v>4029</v>
      </c>
      <c r="C41" s="25" t="s">
        <v>122</v>
      </c>
      <c r="D41" s="25" t="s">
        <v>192</v>
      </c>
      <c r="E41" s="16">
        <v>42594.296956018516</v>
      </c>
      <c r="F41" s="16">
        <v>42594.298263888886</v>
      </c>
      <c r="G41" s="7">
        <v>1</v>
      </c>
      <c r="H41" s="16" t="s">
        <v>315</v>
      </c>
      <c r="I41" s="16">
        <v>42594.326909722222</v>
      </c>
      <c r="J41" s="7">
        <v>0</v>
      </c>
      <c r="K41" s="149" t="str">
        <f t="shared" si="5"/>
        <v>4029/4030</v>
      </c>
      <c r="L41" s="25" t="str">
        <f>VLOOKUP(A41,'Trips&amp;Operators'!$C$1:$E$10000,3,FALSE)</f>
        <v>ROCHA</v>
      </c>
      <c r="M41" s="6">
        <f t="shared" si="6"/>
        <v>2.8645833335758653E-2</v>
      </c>
      <c r="N41" s="7">
        <f t="shared" si="7"/>
        <v>41.25000000349246</v>
      </c>
      <c r="O41" s="7"/>
      <c r="P41" s="7"/>
      <c r="Q41" s="26"/>
      <c r="R41" s="26"/>
      <c r="S41" s="38">
        <f t="shared" si="8"/>
        <v>1</v>
      </c>
      <c r="T41" s="55" t="str">
        <f t="shared" si="9"/>
        <v>NorthBound</v>
      </c>
      <c r="U41" s="13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06:07:37-0600',mode:absolute,to:'2016-08-12 08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41" s="57" t="str">
        <f t="shared" si="11"/>
        <v>N</v>
      </c>
      <c r="X41" s="133">
        <f t="shared" si="12"/>
        <v>1</v>
      </c>
      <c r="Y41" s="72">
        <f t="shared" si="13"/>
        <v>4.4699999999999997E-2</v>
      </c>
      <c r="Z41" s="72">
        <f t="shared" si="14"/>
        <v>23.3291</v>
      </c>
      <c r="AA41" s="72">
        <f t="shared" si="15"/>
        <v>23.284400000000002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16"/>
        <v>0129-12</v>
      </c>
      <c r="AE41" s="108" t="str">
        <f t="shared" si="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41" s="105" t="str">
        <f t="shared" si="1"/>
        <v>"C:\Program Files (x86)\AstroGrep\AstroGrep.exe" /spath="%USERPROFILE%\AppData\Local\Temp\OnboardLogs" /stypes="*4029*20160812*" /stext=" 13:.+((SYSTEM_STATE.+slice.+state.+changed )|(ment ac)|(system.+state.+changed )|(\|lc)|(penalty)|(\[timeout)|(PRM\|1\|D)|(kpr)|(kdp))" /e /r /s</v>
      </c>
      <c r="AG41" s="1" t="str">
        <f t="shared" si="17"/>
        <v>EC</v>
      </c>
      <c r="AH41" s="109" t="str">
        <f t="shared" si="18"/>
        <v>"%USERPROFILE%\Documents\GitHub\eaglep3\Utilities\RefineRTDCRunTimes.py" --tripid 129-12 --locoid 4029 --swversion DE.1.0.7.0 --startMP 204:447 --initTime 2016-08-12T07:07:37 --startdatetime 2016-08-12T07:09:30 --delay 1 --endMP 204:233291 --enddatetime 2016-08-12T07:50:45 --enforcementcount 0</v>
      </c>
    </row>
    <row r="42" spans="1:34" s="1" customFormat="1" x14ac:dyDescent="0.25">
      <c r="A42" s="42" t="s">
        <v>316</v>
      </c>
      <c r="B42" s="7">
        <v>4030</v>
      </c>
      <c r="C42" s="25" t="s">
        <v>122</v>
      </c>
      <c r="D42" s="25" t="s">
        <v>178</v>
      </c>
      <c r="E42" s="16">
        <v>42594.339826388888</v>
      </c>
      <c r="F42" s="16">
        <v>42594.340567129628</v>
      </c>
      <c r="G42" s="7">
        <v>1</v>
      </c>
      <c r="H42" s="16" t="s">
        <v>317</v>
      </c>
      <c r="I42" s="16">
        <v>42594.368113425924</v>
      </c>
      <c r="J42" s="7">
        <v>0</v>
      </c>
      <c r="K42" s="149" t="str">
        <f t="shared" si="5"/>
        <v>4029/4030</v>
      </c>
      <c r="L42" s="25" t="str">
        <f>VLOOKUP(A42,'Trips&amp;Operators'!$C$1:$E$10000,3,FALSE)</f>
        <v>ROCHA</v>
      </c>
      <c r="M42" s="6">
        <f t="shared" si="6"/>
        <v>2.7546296296350192E-2</v>
      </c>
      <c r="N42" s="7">
        <f t="shared" si="7"/>
        <v>39.666666666744277</v>
      </c>
      <c r="O42" s="7"/>
      <c r="P42" s="7"/>
      <c r="Q42" s="26"/>
      <c r="R42" s="26"/>
      <c r="S42" s="38">
        <f t="shared" si="8"/>
        <v>1</v>
      </c>
      <c r="T42" s="55" t="str">
        <f t="shared" si="9"/>
        <v>Southbound</v>
      </c>
      <c r="U42" s="13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07:09:21-0600',mode:absolute,to:'2016-08-12 09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2" s="57" t="str">
        <f t="shared" si="11"/>
        <v>N</v>
      </c>
      <c r="X42" s="133">
        <f t="shared" si="12"/>
        <v>1</v>
      </c>
      <c r="Y42" s="72">
        <f t="shared" si="13"/>
        <v>23.297799999999999</v>
      </c>
      <c r="Z42" s="72">
        <f t="shared" si="14"/>
        <v>1.54E-2</v>
      </c>
      <c r="AA42" s="72">
        <f t="shared" si="15"/>
        <v>23.282399999999999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6"/>
        <v>0130-12</v>
      </c>
      <c r="AE42" s="108" t="str">
        <f t="shared" si="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42" s="105" t="str">
        <f t="shared" si="1"/>
        <v>"C:\Program Files (x86)\AstroGrep\AstroGrep.exe" /spath="%USERPROFILE%\AppData\Local\Temp\OnboardLogs" /stypes="*4030*20160812*" /stext=" 14:.+((SYSTEM_STATE.+slice.+state.+changed )|(ment ac)|(system.+state.+changed )|(\|lc)|(penalty)|(\[timeout)|(PRM\|1\|D)|(kpr)|(kdp))" /e /r /s</v>
      </c>
      <c r="AG42" s="1" t="str">
        <f t="shared" si="17"/>
        <v>EC</v>
      </c>
      <c r="AH42" s="109" t="str">
        <f t="shared" si="18"/>
        <v>"%USERPROFILE%\Documents\GitHub\eaglep3\Utilities\RefineRTDCRunTimes.py" --tripid 130-12 --locoid 4030 --swversion DE.1.0.7.0 --startMP 204:232978 --initTime 2016-08-12T08:09:21 --startdatetime 2016-08-12T08:10:25 --delay 1 --endMP 204:154 --enddatetime 2016-08-12T08:50:05 --enforcementcount 0</v>
      </c>
    </row>
    <row r="43" spans="1:34" s="1" customFormat="1" x14ac:dyDescent="0.25">
      <c r="A43" s="42" t="s">
        <v>318</v>
      </c>
      <c r="B43" s="7">
        <v>4020</v>
      </c>
      <c r="C43" s="25" t="s">
        <v>122</v>
      </c>
      <c r="D43" s="25" t="s">
        <v>174</v>
      </c>
      <c r="E43" s="16">
        <v>42594.310393518521</v>
      </c>
      <c r="F43" s="16">
        <v>42594.311377314814</v>
      </c>
      <c r="G43" s="7">
        <v>1</v>
      </c>
      <c r="H43" s="16" t="s">
        <v>218</v>
      </c>
      <c r="I43" s="16">
        <v>42594.338495370372</v>
      </c>
      <c r="J43" s="7">
        <v>0</v>
      </c>
      <c r="K43" s="149" t="str">
        <f t="shared" si="5"/>
        <v>4019/4020</v>
      </c>
      <c r="L43" s="25" t="str">
        <f>VLOOKUP(A43,'Trips&amp;Operators'!$C$1:$E$10000,3,FALSE)</f>
        <v>DAVIS</v>
      </c>
      <c r="M43" s="6">
        <f t="shared" si="6"/>
        <v>2.7118055557366461E-2</v>
      </c>
      <c r="N43" s="7">
        <f t="shared" si="7"/>
        <v>39.050000002607703</v>
      </c>
      <c r="O43" s="7"/>
      <c r="P43" s="7"/>
      <c r="Q43" s="26"/>
      <c r="R43" s="26"/>
      <c r="S43" s="38">
        <f t="shared" si="8"/>
        <v>1</v>
      </c>
      <c r="T43" s="55" t="str">
        <f t="shared" si="9"/>
        <v>NorthBound</v>
      </c>
      <c r="U43" s="13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06:26:58-0600',mode:absolute,to:'2016-08-12 09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43" s="57" t="str">
        <f t="shared" si="11"/>
        <v>N</v>
      </c>
      <c r="X43" s="133">
        <f t="shared" si="12"/>
        <v>1</v>
      </c>
      <c r="Y43" s="72">
        <f t="shared" si="13"/>
        <v>4.58E-2</v>
      </c>
      <c r="Z43" s="72">
        <f t="shared" si="14"/>
        <v>23.330200000000001</v>
      </c>
      <c r="AA43" s="72">
        <f t="shared" si="15"/>
        <v>23.284400000000002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6"/>
        <v>0131-12</v>
      </c>
      <c r="AE43" s="108" t="str">
        <f t="shared" si="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43" s="105" t="str">
        <f t="shared" si="1"/>
        <v>"C:\Program Files (x86)\AstroGrep\AstroGrep.exe" /spath="%USERPROFILE%\AppData\Local\Temp\OnboardLogs" /stypes="*4020*20160812*" /stext=" 14:.+((SYSTEM_STATE.+slice.+state.+changed )|(ment ac)|(system.+state.+changed )|(\|lc)|(penalty)|(\[timeout)|(PRM\|1\|D)|(kpr)|(kdp))" /e /r /s</v>
      </c>
      <c r="AG43" s="1" t="str">
        <f t="shared" si="17"/>
        <v>EC</v>
      </c>
      <c r="AH43" s="109" t="str">
        <f t="shared" si="18"/>
        <v>"%USERPROFILE%\Documents\GitHub\eaglep3\Utilities\RefineRTDCRunTimes.py" --tripid 131-12 --locoid 4020 --swversion DE.1.0.7.0 --startMP 204:458 --initTime 2016-08-12T07:26:58 --startdatetime 2016-08-12T07:28:23 --delay 1 --endMP 204:233302 --enddatetime 2016-08-12T08:07:26 --enforcementcount 0</v>
      </c>
    </row>
    <row r="44" spans="1:34" s="1" customFormat="1" x14ac:dyDescent="0.25">
      <c r="A44" s="42" t="s">
        <v>319</v>
      </c>
      <c r="B44" s="7">
        <v>4019</v>
      </c>
      <c r="C44" s="25" t="s">
        <v>122</v>
      </c>
      <c r="D44" s="25" t="s">
        <v>125</v>
      </c>
      <c r="E44" s="16">
        <v>42594.344826388886</v>
      </c>
      <c r="F44" s="16">
        <v>42594.345868055556</v>
      </c>
      <c r="G44" s="7">
        <v>1</v>
      </c>
      <c r="H44" s="16" t="s">
        <v>189</v>
      </c>
      <c r="I44" s="16">
        <v>42594.378854166665</v>
      </c>
      <c r="J44" s="7">
        <v>0</v>
      </c>
      <c r="K44" s="149" t="str">
        <f t="shared" si="5"/>
        <v>4019/4020</v>
      </c>
      <c r="L44" s="25" t="str">
        <f>VLOOKUP(A44,'Trips&amp;Operators'!$C$1:$E$10000,3,FALSE)</f>
        <v>DAVIS</v>
      </c>
      <c r="M44" s="6">
        <f t="shared" si="6"/>
        <v>3.2986111109494232E-2</v>
      </c>
      <c r="N44" s="7">
        <f t="shared" si="7"/>
        <v>47.499999997671694</v>
      </c>
      <c r="O44" s="7"/>
      <c r="P44" s="7"/>
      <c r="Q44" s="26"/>
      <c r="R44" s="26"/>
      <c r="S44" s="38">
        <f t="shared" si="8"/>
        <v>1</v>
      </c>
      <c r="T44" s="55" t="str">
        <f t="shared" si="9"/>
        <v>Southbound</v>
      </c>
      <c r="U44" s="13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07:16:33-0600',mode:absolute,to:'2016-08-12 10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44" s="57" t="str">
        <f t="shared" si="11"/>
        <v>N</v>
      </c>
      <c r="X44" s="133">
        <f t="shared" si="12"/>
        <v>1</v>
      </c>
      <c r="Y44" s="72">
        <f t="shared" si="13"/>
        <v>23.299299999999999</v>
      </c>
      <c r="Z44" s="72">
        <f t="shared" si="14"/>
        <v>1.6299999999999999E-2</v>
      </c>
      <c r="AA44" s="72">
        <f t="shared" si="15"/>
        <v>23.282999999999998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6"/>
        <v>0132-12</v>
      </c>
      <c r="AE44" s="108" t="str">
        <f t="shared" si="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44" s="105" t="str">
        <f t="shared" si="1"/>
        <v>"C:\Program Files (x86)\AstroGrep\AstroGrep.exe" /spath="%USERPROFILE%\AppData\Local\Temp\OnboardLogs" /stypes="*4019*20160812*" /stext=" 15:.+((SYSTEM_STATE.+slice.+state.+changed )|(ment ac)|(system.+state.+changed )|(\|lc)|(penalty)|(\[timeout)|(PRM\|1\|D)|(kpr)|(kdp))" /e /r /s</v>
      </c>
      <c r="AG44" s="1" t="str">
        <f t="shared" si="17"/>
        <v>EC</v>
      </c>
      <c r="AH44" s="109" t="str">
        <f t="shared" si="18"/>
        <v>"%USERPROFILE%\Documents\GitHub\eaglep3\Utilities\RefineRTDCRunTimes.py" --tripid 132-12 --locoid 4019 --swversion DE.1.0.7.0 --startMP 204:232993 --initTime 2016-08-12T08:16:33 --startdatetime 2016-08-12T08:18:03 --delay 1 --endMP 204:163 --enddatetime 2016-08-12T09:05:33 --enforcementcount 0</v>
      </c>
    </row>
    <row r="45" spans="1:34" s="1" customFormat="1" x14ac:dyDescent="0.25">
      <c r="A45" s="42" t="s">
        <v>320</v>
      </c>
      <c r="B45" s="7">
        <v>4031</v>
      </c>
      <c r="C45" s="25" t="s">
        <v>122</v>
      </c>
      <c r="D45" s="25" t="s">
        <v>312</v>
      </c>
      <c r="E45" s="16">
        <v>42594.321539351855</v>
      </c>
      <c r="F45" s="16">
        <v>42594.322615740741</v>
      </c>
      <c r="G45" s="7">
        <v>1</v>
      </c>
      <c r="H45" s="16" t="s">
        <v>321</v>
      </c>
      <c r="I45" s="16">
        <v>42594.348715277774</v>
      </c>
      <c r="J45" s="7">
        <v>0</v>
      </c>
      <c r="K45" s="149" t="str">
        <f t="shared" si="5"/>
        <v>4031/4032</v>
      </c>
      <c r="L45" s="25" t="str">
        <f>VLOOKUP(A45,'Trips&amp;Operators'!$C$1:$E$10000,3,FALSE)</f>
        <v>MALAVE</v>
      </c>
      <c r="M45" s="6">
        <f t="shared" si="6"/>
        <v>2.6099537033587694E-2</v>
      </c>
      <c r="N45" s="7">
        <f t="shared" si="7"/>
        <v>37.58333332836628</v>
      </c>
      <c r="O45" s="7"/>
      <c r="P45" s="7"/>
      <c r="Q45" s="26"/>
      <c r="R45" s="26"/>
      <c r="S45" s="38">
        <f t="shared" si="8"/>
        <v>1</v>
      </c>
      <c r="T45" s="55" t="str">
        <f t="shared" si="9"/>
        <v>NorthBound</v>
      </c>
      <c r="U45" s="13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06:43:01-0600',mode:absolute,to:'2016-08-12 09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45" s="57" t="str">
        <f t="shared" si="11"/>
        <v>N</v>
      </c>
      <c r="X45" s="133">
        <f t="shared" si="12"/>
        <v>1</v>
      </c>
      <c r="Y45" s="72">
        <f t="shared" si="13"/>
        <v>4.5100000000000001E-2</v>
      </c>
      <c r="Z45" s="72">
        <f t="shared" si="14"/>
        <v>23.330300000000001</v>
      </c>
      <c r="AA45" s="72">
        <f t="shared" si="15"/>
        <v>23.2852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si="16"/>
        <v>0133-12</v>
      </c>
      <c r="AE45" s="108" t="str">
        <f t="shared" si="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45" s="105" t="str">
        <f t="shared" si="1"/>
        <v>"C:\Program Files (x86)\AstroGrep\AstroGrep.exe" /spath="%USERPROFILE%\AppData\Local\Temp\OnboardLogs" /stypes="*4031*20160812*" /stext=" 14:.+((SYSTEM_STATE.+slice.+state.+changed )|(ment ac)|(system.+state.+changed )|(\|lc)|(penalty)|(\[timeout)|(PRM\|1\|D)|(kpr)|(kdp))" /e /r /s</v>
      </c>
      <c r="AG45" s="1" t="str">
        <f t="shared" si="17"/>
        <v>EC</v>
      </c>
      <c r="AH45" s="109" t="str">
        <f t="shared" si="18"/>
        <v>"%USERPROFILE%\Documents\GitHub\eaglep3\Utilities\RefineRTDCRunTimes.py" --tripid 133-12 --locoid 4031 --swversion DE.1.0.7.0 --startMP 204:451 --initTime 2016-08-12T07:43:01 --startdatetime 2016-08-12T07:44:34 --delay 1 --endMP 204:233303 --enddatetime 2016-08-12T08:22:09 --enforcementcount 0</v>
      </c>
    </row>
    <row r="46" spans="1:34" s="1" customFormat="1" x14ac:dyDescent="0.25">
      <c r="A46" s="42" t="s">
        <v>322</v>
      </c>
      <c r="B46" s="7">
        <v>4032</v>
      </c>
      <c r="C46" s="25" t="s">
        <v>122</v>
      </c>
      <c r="D46" s="25" t="s">
        <v>323</v>
      </c>
      <c r="E46" s="16">
        <v>42594.359733796293</v>
      </c>
      <c r="F46" s="16">
        <v>42594.360555555555</v>
      </c>
      <c r="G46" s="7">
        <v>1</v>
      </c>
      <c r="H46" s="16" t="s">
        <v>317</v>
      </c>
      <c r="I46" s="16">
        <v>42594.389351851853</v>
      </c>
      <c r="J46" s="7">
        <v>0</v>
      </c>
      <c r="K46" s="149" t="str">
        <f t="shared" si="5"/>
        <v>4031/4032</v>
      </c>
      <c r="L46" s="25" t="str">
        <f>VLOOKUP(A46,'Trips&amp;Operators'!$C$1:$E$10000,3,FALSE)</f>
        <v>MALAVE</v>
      </c>
      <c r="M46" s="6">
        <f t="shared" si="6"/>
        <v>2.8796296297514345E-2</v>
      </c>
      <c r="N46" s="7">
        <f t="shared" si="7"/>
        <v>41.466666668420658</v>
      </c>
      <c r="O46" s="7"/>
      <c r="P46" s="7"/>
      <c r="Q46" s="26"/>
      <c r="R46" s="26"/>
      <c r="S46" s="38">
        <f t="shared" si="8"/>
        <v>1</v>
      </c>
      <c r="T46" s="55" t="str">
        <f t="shared" si="9"/>
        <v>Southbound</v>
      </c>
      <c r="U46" s="13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07:38:01-0600',mode:absolute,to:'2016-08-12 10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46" s="57" t="str">
        <f t="shared" si="11"/>
        <v>N</v>
      </c>
      <c r="X46" s="133">
        <f t="shared" si="12"/>
        <v>1</v>
      </c>
      <c r="Y46" s="72">
        <f t="shared" si="13"/>
        <v>23.296099999999999</v>
      </c>
      <c r="Z46" s="72">
        <f t="shared" si="14"/>
        <v>1.54E-2</v>
      </c>
      <c r="AA46" s="72">
        <f t="shared" si="15"/>
        <v>23.2807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16"/>
        <v>0134-12</v>
      </c>
      <c r="AE46" s="108" t="str">
        <f t="shared" si="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46" s="105" t="str">
        <f t="shared" si="1"/>
        <v>"C:\Program Files (x86)\AstroGrep\AstroGrep.exe" /spath="%USERPROFILE%\AppData\Local\Temp\OnboardLogs" /stypes="*4032*20160812*" /stext=" 15:.+((SYSTEM_STATE.+slice.+state.+changed )|(ment ac)|(system.+state.+changed )|(\|lc)|(penalty)|(\[timeout)|(PRM\|1\|D)|(kpr)|(kdp))" /e /r /s</v>
      </c>
      <c r="AG46" s="1" t="str">
        <f t="shared" si="17"/>
        <v>EC</v>
      </c>
      <c r="AH46" s="109" t="str">
        <f t="shared" si="18"/>
        <v>"%USERPROFILE%\Documents\GitHub\eaglep3\Utilities\RefineRTDCRunTimes.py" --tripid 134-12 --locoid 4032 --swversion DE.1.0.7.0 --startMP 204:232961 --initTime 2016-08-12T08:38:01 --startdatetime 2016-08-12T08:39:12 --delay 1 --endMP 204:154 --enddatetime 2016-08-12T09:20:40 --enforcementcount 0</v>
      </c>
    </row>
    <row r="47" spans="1:34" s="1" customFormat="1" x14ac:dyDescent="0.25">
      <c r="A47" s="42" t="s">
        <v>324</v>
      </c>
      <c r="B47" s="7">
        <v>4014</v>
      </c>
      <c r="C47" s="25" t="s">
        <v>122</v>
      </c>
      <c r="D47" s="25" t="s">
        <v>228</v>
      </c>
      <c r="E47" s="16">
        <v>42594.32775462963</v>
      </c>
      <c r="F47" s="16">
        <v>42594.329652777778</v>
      </c>
      <c r="G47" s="7">
        <v>2</v>
      </c>
      <c r="H47" s="16" t="s">
        <v>212</v>
      </c>
      <c r="I47" s="16">
        <v>42594.358842592592</v>
      </c>
      <c r="J47" s="7">
        <v>0</v>
      </c>
      <c r="K47" s="149" t="str">
        <f t="shared" si="5"/>
        <v>4013/4014</v>
      </c>
      <c r="L47" s="25" t="str">
        <f>VLOOKUP(A47,'Trips&amp;Operators'!$C$1:$E$10000,3,FALSE)</f>
        <v>BRANNON</v>
      </c>
      <c r="M47" s="6">
        <f t="shared" si="6"/>
        <v>2.9189814813435078E-2</v>
      </c>
      <c r="N47" s="7">
        <f t="shared" si="7"/>
        <v>42.033333331346512</v>
      </c>
      <c r="O47" s="7"/>
      <c r="P47" s="7"/>
      <c r="Q47" s="26"/>
      <c r="R47" s="26"/>
      <c r="S47" s="38">
        <f t="shared" si="8"/>
        <v>1</v>
      </c>
      <c r="T47" s="55" t="str">
        <f t="shared" si="9"/>
        <v>NorthBound</v>
      </c>
      <c r="U47" s="13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06:51:58-0600',mode:absolute,to:'2016-08-12 09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47" s="57" t="str">
        <f t="shared" si="11"/>
        <v>N</v>
      </c>
      <c r="X47" s="133">
        <f t="shared" si="12"/>
        <v>1</v>
      </c>
      <c r="Y47" s="72">
        <f t="shared" si="13"/>
        <v>4.4400000000000002E-2</v>
      </c>
      <c r="Z47" s="72">
        <f t="shared" si="14"/>
        <v>23.33</v>
      </c>
      <c r="AA47" s="72">
        <f t="shared" si="15"/>
        <v>23.285599999999999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16"/>
        <v>0135-12</v>
      </c>
      <c r="AE47" s="108" t="str">
        <f t="shared" si="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47" s="105" t="str">
        <f t="shared" si="1"/>
        <v>"C:\Program Files (x86)\AstroGrep\AstroGrep.exe" /spath="%USERPROFILE%\AppData\Local\Temp\OnboardLogs" /stypes="*4014*20160812*" /stext=" 14:.+((SYSTEM_STATE.+slice.+state.+changed )|(ment ac)|(system.+state.+changed )|(\|lc)|(penalty)|(\[timeout)|(PRM\|1\|D)|(kpr)|(kdp))" /e /r /s</v>
      </c>
      <c r="AG47" s="1" t="str">
        <f t="shared" si="17"/>
        <v>EC</v>
      </c>
      <c r="AH47" s="109" t="str">
        <f t="shared" si="18"/>
        <v>"%USERPROFILE%\Documents\GitHub\eaglep3\Utilities\RefineRTDCRunTimes.py" --tripid 135-12 --locoid 4014 --swversion DE.1.0.7.0 --startMP 204:444 --initTime 2016-08-12T07:51:58 --startdatetime 2016-08-12T07:54:42 --delay 2 --endMP 204:233300 --enddatetime 2016-08-12T08:36:44 --enforcementcount 0</v>
      </c>
    </row>
    <row r="48" spans="1:34" s="1" customFormat="1" x14ac:dyDescent="0.25">
      <c r="A48" s="42" t="s">
        <v>325</v>
      </c>
      <c r="B48" s="7">
        <v>4013</v>
      </c>
      <c r="C48" s="25" t="s">
        <v>122</v>
      </c>
      <c r="D48" s="25" t="s">
        <v>157</v>
      </c>
      <c r="E48" s="16">
        <v>42594.367222222223</v>
      </c>
      <c r="F48" s="16">
        <v>42594.368391203701</v>
      </c>
      <c r="G48" s="7">
        <v>1</v>
      </c>
      <c r="H48" s="16" t="s">
        <v>294</v>
      </c>
      <c r="I48" s="16">
        <v>42594.399548611109</v>
      </c>
      <c r="J48" s="7">
        <v>0</v>
      </c>
      <c r="K48" s="149" t="str">
        <f t="shared" si="5"/>
        <v>4013/4014</v>
      </c>
      <c r="L48" s="25" t="str">
        <f>VLOOKUP(A48,'Trips&amp;Operators'!$C$1:$E$10000,3,FALSE)</f>
        <v>BRANNON</v>
      </c>
      <c r="M48" s="6">
        <f t="shared" si="6"/>
        <v>3.1157407407590654E-2</v>
      </c>
      <c r="N48" s="7">
        <f t="shared" si="7"/>
        <v>44.866666666930541</v>
      </c>
      <c r="O48" s="7"/>
      <c r="P48" s="7"/>
      <c r="Q48" s="26"/>
      <c r="R48" s="26"/>
      <c r="S48" s="38">
        <f t="shared" si="8"/>
        <v>1</v>
      </c>
      <c r="T48" s="55" t="str">
        <f t="shared" si="9"/>
        <v>Southbound</v>
      </c>
      <c r="U48" s="13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07:48:48-0600',mode:absolute,to:'2016-08-12 10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48" s="57" t="str">
        <f t="shared" si="11"/>
        <v>N</v>
      </c>
      <c r="X48" s="133">
        <f t="shared" si="12"/>
        <v>1</v>
      </c>
      <c r="Y48" s="72">
        <f t="shared" si="13"/>
        <v>23.299600000000002</v>
      </c>
      <c r="Z48" s="72">
        <f t="shared" si="14"/>
        <v>1.5599999999999999E-2</v>
      </c>
      <c r="AA48" s="72">
        <f t="shared" si="15"/>
        <v>23.284000000000002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16"/>
        <v>0136-12</v>
      </c>
      <c r="AE48" s="108" t="str">
        <f t="shared" si="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48" s="105" t="str">
        <f t="shared" si="1"/>
        <v>"C:\Program Files (x86)\AstroGrep\AstroGrep.exe" /spath="%USERPROFILE%\AppData\Local\Temp\OnboardLogs" /stypes="*4013*20160812*" /stext=" 15:.+((SYSTEM_STATE.+slice.+state.+changed )|(ment ac)|(system.+state.+changed )|(\|lc)|(penalty)|(\[timeout)|(PRM\|1\|D)|(kpr)|(kdp))" /e /r /s</v>
      </c>
      <c r="AG48" s="1" t="str">
        <f t="shared" si="17"/>
        <v>EC</v>
      </c>
      <c r="AH48" s="109" t="str">
        <f t="shared" si="18"/>
        <v>"%USERPROFILE%\Documents\GitHub\eaglep3\Utilities\RefineRTDCRunTimes.py" --tripid 136-12 --locoid 4013 --swversion DE.1.0.7.0 --startMP 204:232996 --initTime 2016-08-12T08:48:48 --startdatetime 2016-08-12T08:50:29 --delay 1 --endMP 204:156 --enddatetime 2016-08-12T09:35:21 --enforcementcount 0</v>
      </c>
    </row>
    <row r="49" spans="1:34" s="1" customFormat="1" x14ac:dyDescent="0.25">
      <c r="A49" s="42" t="s">
        <v>326</v>
      </c>
      <c r="B49" s="7">
        <v>4027</v>
      </c>
      <c r="C49" s="25" t="s">
        <v>122</v>
      </c>
      <c r="D49" s="25" t="s">
        <v>172</v>
      </c>
      <c r="E49" s="16">
        <v>42594.339525462965</v>
      </c>
      <c r="F49" s="16">
        <v>42594.340532407405</v>
      </c>
      <c r="G49" s="7">
        <v>1</v>
      </c>
      <c r="H49" s="16" t="s">
        <v>219</v>
      </c>
      <c r="I49" s="16">
        <v>42594.369375000002</v>
      </c>
      <c r="J49" s="7">
        <v>0</v>
      </c>
      <c r="K49" s="149" t="str">
        <f t="shared" si="5"/>
        <v>4027/4028</v>
      </c>
      <c r="L49" s="25" t="str">
        <f>VLOOKUP(A49,'Trips&amp;Operators'!$C$1:$E$10000,3,FALSE)</f>
        <v>OUN</v>
      </c>
      <c r="M49" s="6">
        <f t="shared" si="6"/>
        <v>2.8842592597356997E-2</v>
      </c>
      <c r="N49" s="7">
        <f t="shared" si="7"/>
        <v>41.533333340194076</v>
      </c>
      <c r="O49" s="7"/>
      <c r="P49" s="7"/>
      <c r="Q49" s="26"/>
      <c r="R49" s="26"/>
      <c r="S49" s="38">
        <f t="shared" si="8"/>
        <v>1</v>
      </c>
      <c r="T49" s="55" t="str">
        <f t="shared" si="9"/>
        <v>NorthBound</v>
      </c>
      <c r="U49" s="13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07:08:55-0600',mode:absolute,to:'2016-08-12 09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49" s="57" t="str">
        <f t="shared" si="11"/>
        <v>N</v>
      </c>
      <c r="X49" s="133">
        <f t="shared" si="12"/>
        <v>1</v>
      </c>
      <c r="Y49" s="72">
        <f t="shared" si="13"/>
        <v>4.6899999999999997E-2</v>
      </c>
      <c r="Z49" s="72">
        <f t="shared" si="14"/>
        <v>23.327999999999999</v>
      </c>
      <c r="AA49" s="72">
        <f t="shared" si="15"/>
        <v>23.281099999999999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16"/>
        <v>0137-12</v>
      </c>
      <c r="AE49" s="108" t="str">
        <f t="shared" si="0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49" s="105" t="str">
        <f t="shared" si="1"/>
        <v>"C:\Program Files (x86)\AstroGrep\AstroGrep.exe" /spath="%USERPROFILE%\AppData\Local\Temp\OnboardLogs" /stypes="*4027*20160812*" /stext=" 14:.+((SYSTEM_STATE.+slice.+state.+changed )|(ment ac)|(system.+state.+changed )|(\|lc)|(penalty)|(\[timeout)|(PRM\|1\|D)|(kpr)|(kdp))" /e /r /s</v>
      </c>
      <c r="AG49" s="1" t="str">
        <f t="shared" si="17"/>
        <v>EC</v>
      </c>
      <c r="AH49" s="109" t="str">
        <f t="shared" si="18"/>
        <v>"%USERPROFILE%\Documents\GitHub\eaglep3\Utilities\RefineRTDCRunTimes.py" --tripid 137-12 --locoid 4027 --swversion DE.1.0.7.0 --startMP 204:469 --initTime 2016-08-12T08:08:55 --startdatetime 2016-08-12T08:10:22 --delay 1 --endMP 204:233280 --enddatetime 2016-08-12T08:51:54 --enforcementcount 0</v>
      </c>
    </row>
    <row r="50" spans="1:34" s="1" customFormat="1" x14ac:dyDescent="0.25">
      <c r="A50" s="42" t="s">
        <v>327</v>
      </c>
      <c r="B50" s="7">
        <v>4028</v>
      </c>
      <c r="C50" s="25" t="s">
        <v>122</v>
      </c>
      <c r="D50" s="25" t="s">
        <v>328</v>
      </c>
      <c r="E50" s="16">
        <v>42594.378576388888</v>
      </c>
      <c r="F50" s="16">
        <v>42594.379490740743</v>
      </c>
      <c r="G50" s="7">
        <v>1</v>
      </c>
      <c r="H50" s="16" t="s">
        <v>294</v>
      </c>
      <c r="I50" s="16">
        <v>42594.410636574074</v>
      </c>
      <c r="J50" s="7">
        <v>0</v>
      </c>
      <c r="K50" s="149" t="str">
        <f t="shared" si="5"/>
        <v>4027/4028</v>
      </c>
      <c r="L50" s="25" t="str">
        <f>VLOOKUP(A50,'Trips&amp;Operators'!$C$1:$E$10000,3,FALSE)</f>
        <v>OUN</v>
      </c>
      <c r="M50" s="6">
        <f t="shared" si="6"/>
        <v>3.1145833330811001E-2</v>
      </c>
      <c r="N50" s="7">
        <f t="shared" si="7"/>
        <v>44.849999996367842</v>
      </c>
      <c r="O50" s="7"/>
      <c r="P50" s="7"/>
      <c r="Q50" s="26"/>
      <c r="R50" s="26"/>
      <c r="S50" s="38">
        <f t="shared" si="8"/>
        <v>1</v>
      </c>
      <c r="T50" s="55" t="str">
        <f t="shared" si="9"/>
        <v>Southbound</v>
      </c>
      <c r="U50" s="13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08:05:09-0600',mode:absolute,to:'2016-08-12 10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50" s="57" t="str">
        <f t="shared" si="11"/>
        <v>N</v>
      </c>
      <c r="X50" s="133">
        <f t="shared" si="12"/>
        <v>1</v>
      </c>
      <c r="Y50" s="72">
        <f t="shared" si="13"/>
        <v>23.296299999999999</v>
      </c>
      <c r="Z50" s="72">
        <f t="shared" si="14"/>
        <v>1.5599999999999999E-2</v>
      </c>
      <c r="AA50" s="72">
        <f t="shared" si="15"/>
        <v>23.2807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16"/>
        <v>0138-12</v>
      </c>
      <c r="AE50" s="108" t="str">
        <f t="shared" si="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50" s="105" t="str">
        <f t="shared" si="1"/>
        <v>"C:\Program Files (x86)\AstroGrep\AstroGrep.exe" /spath="%USERPROFILE%\AppData\Local\Temp\OnboardLogs" /stypes="*4028*20160812*" /stext=" 15:.+((SYSTEM_STATE.+slice.+state.+changed )|(ment ac)|(system.+state.+changed )|(\|lc)|(penalty)|(\[timeout)|(PRM\|1\|D)|(kpr)|(kdp))" /e /r /s</v>
      </c>
      <c r="AG50" s="1" t="str">
        <f t="shared" si="17"/>
        <v>EC</v>
      </c>
      <c r="AH50" s="109" t="str">
        <f t="shared" si="18"/>
        <v>"%USERPROFILE%\Documents\GitHub\eaglep3\Utilities\RefineRTDCRunTimes.py" --tripid 138-12 --locoid 4028 --swversion DE.1.0.7.0 --startMP 204:232963 --initTime 2016-08-12T09:05:09 --startdatetime 2016-08-12T09:06:28 --delay 1 --endMP 204:156 --enddatetime 2016-08-12T09:51:19 --enforcementcount 0</v>
      </c>
    </row>
    <row r="51" spans="1:34" s="1" customFormat="1" x14ac:dyDescent="0.25">
      <c r="A51" s="42" t="s">
        <v>329</v>
      </c>
      <c r="B51" s="7">
        <v>4038</v>
      </c>
      <c r="C51" s="25" t="s">
        <v>122</v>
      </c>
      <c r="D51" s="25" t="s">
        <v>330</v>
      </c>
      <c r="E51" s="16">
        <v>42594.348865740743</v>
      </c>
      <c r="F51" s="16">
        <v>42594.350717592592</v>
      </c>
      <c r="G51" s="7">
        <v>2</v>
      </c>
      <c r="H51" s="16" t="s">
        <v>331</v>
      </c>
      <c r="I51" s="16">
        <v>42594.379606481481</v>
      </c>
      <c r="J51" s="7">
        <v>0</v>
      </c>
      <c r="K51" s="149" t="str">
        <f t="shared" si="5"/>
        <v>4037/4038</v>
      </c>
      <c r="L51" s="25" t="str">
        <f>VLOOKUP(A51,'Trips&amp;Operators'!$C$1:$E$10000,3,FALSE)</f>
        <v>SPECTOR</v>
      </c>
      <c r="M51" s="6">
        <f t="shared" si="6"/>
        <v>2.8888888889923692E-2</v>
      </c>
      <c r="N51" s="7">
        <f t="shared" si="7"/>
        <v>41.600000001490116</v>
      </c>
      <c r="O51" s="7"/>
      <c r="P51" s="7"/>
      <c r="Q51" s="26"/>
      <c r="R51" s="26"/>
      <c r="S51" s="38">
        <f t="shared" si="8"/>
        <v>1</v>
      </c>
      <c r="T51" s="55" t="str">
        <f t="shared" si="9"/>
        <v>NorthBound</v>
      </c>
      <c r="U51" s="13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07:22:22-0600',mode:absolute,to:'2016-08-12 10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1" s="57" t="str">
        <f t="shared" si="11"/>
        <v>N</v>
      </c>
      <c r="X51" s="133">
        <f t="shared" si="12"/>
        <v>1</v>
      </c>
      <c r="Y51" s="72">
        <f t="shared" si="13"/>
        <v>5.8000000000000003E-2</v>
      </c>
      <c r="Z51" s="72">
        <f t="shared" si="14"/>
        <v>23.330400000000001</v>
      </c>
      <c r="AA51" s="72">
        <f t="shared" si="15"/>
        <v>23.272400000000001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16"/>
        <v>0139-12</v>
      </c>
      <c r="AE51" s="108" t="str">
        <f t="shared" si="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51" s="105" t="str">
        <f t="shared" si="1"/>
        <v>"C:\Program Files (x86)\AstroGrep\AstroGrep.exe" /spath="%USERPROFILE%\AppData\Local\Temp\OnboardLogs" /stypes="*4038*20160812*" /stext=" 15:.+((SYSTEM_STATE.+slice.+state.+changed )|(ment ac)|(system.+state.+changed )|(\|lc)|(penalty)|(\[timeout)|(PRM\|1\|D)|(kpr)|(kdp))" /e /r /s</v>
      </c>
      <c r="AG51" s="1" t="str">
        <f t="shared" si="17"/>
        <v>EC</v>
      </c>
      <c r="AH51" s="109" t="str">
        <f t="shared" si="18"/>
        <v>"%USERPROFILE%\Documents\GitHub\eaglep3\Utilities\RefineRTDCRunTimes.py" --tripid 139-12 --locoid 4038 --swversion DE.1.0.7.0 --startMP 204:580 --initTime 2016-08-12T08:22:22 --startdatetime 2016-08-12T08:25:02 --delay 2 --endMP 204:233304 --enddatetime 2016-08-12T09:06:38 --enforcementcount 0</v>
      </c>
    </row>
    <row r="52" spans="1:34" s="1" customFormat="1" x14ac:dyDescent="0.25">
      <c r="A52" s="42" t="s">
        <v>332</v>
      </c>
      <c r="B52" s="7">
        <v>4037</v>
      </c>
      <c r="C52" s="25" t="s">
        <v>122</v>
      </c>
      <c r="D52" s="25" t="s">
        <v>215</v>
      </c>
      <c r="E52" s="16">
        <v>42594.386782407404</v>
      </c>
      <c r="F52" s="16">
        <v>42594.387881944444</v>
      </c>
      <c r="G52" s="7">
        <v>1</v>
      </c>
      <c r="H52" s="16" t="s">
        <v>175</v>
      </c>
      <c r="I52" s="16">
        <v>42594.420335648145</v>
      </c>
      <c r="J52" s="7">
        <v>0</v>
      </c>
      <c r="K52" s="149" t="str">
        <f t="shared" si="5"/>
        <v>4037/4038</v>
      </c>
      <c r="L52" s="25" t="str">
        <f>VLOOKUP(A52,'Trips&amp;Operators'!$C$1:$E$10000,3,FALSE)</f>
        <v>SPECTOR</v>
      </c>
      <c r="M52" s="6">
        <f t="shared" si="6"/>
        <v>3.2453703701321501E-2</v>
      </c>
      <c r="N52" s="7">
        <f t="shared" si="7"/>
        <v>46.733333329902962</v>
      </c>
      <c r="O52" s="7"/>
      <c r="P52" s="7"/>
      <c r="Q52" s="26"/>
      <c r="R52" s="26"/>
      <c r="S52" s="38">
        <f t="shared" si="8"/>
        <v>1</v>
      </c>
      <c r="T52" s="55" t="str">
        <f t="shared" si="9"/>
        <v>Southbound</v>
      </c>
      <c r="U52" s="13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08:16:58-0600',mode:absolute,to:'2016-08-12 11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2" s="57" t="str">
        <f t="shared" si="11"/>
        <v>N</v>
      </c>
      <c r="X52" s="133">
        <f t="shared" si="12"/>
        <v>1</v>
      </c>
      <c r="Y52" s="72">
        <f t="shared" si="13"/>
        <v>23.299099999999999</v>
      </c>
      <c r="Z52" s="72">
        <f t="shared" si="14"/>
        <v>1.3899999999999999E-2</v>
      </c>
      <c r="AA52" s="72">
        <f t="shared" si="15"/>
        <v>23.2852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16"/>
        <v>0140-12</v>
      </c>
      <c r="AE52" s="108" t="str">
        <f t="shared" si="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52" s="105" t="str">
        <f t="shared" si="1"/>
        <v>"C:\Program Files (x86)\AstroGrep\AstroGrep.exe" /spath="%USERPROFILE%\AppData\Local\Temp\OnboardLogs" /stypes="*4037*20160812*" /stext=" 16:.+((SYSTEM_STATE.+slice.+state.+changed )|(ment ac)|(system.+state.+changed )|(\|lc)|(penalty)|(\[timeout)|(PRM\|1\|D)|(kpr)|(kdp))" /e /r /s</v>
      </c>
      <c r="AG52" s="1" t="str">
        <f t="shared" si="17"/>
        <v>EC</v>
      </c>
      <c r="AH52" s="109" t="str">
        <f t="shared" si="18"/>
        <v>"%USERPROFILE%\Documents\GitHub\eaglep3\Utilities\RefineRTDCRunTimes.py" --tripid 140-12 --locoid 4037 --swversion DE.1.0.7.0 --startMP 204:232991 --initTime 2016-08-12T09:16:58 --startdatetime 2016-08-12T09:18:33 --delay 1 --endMP 204:139 --enddatetime 2016-08-12T10:05:17 --enforcementcount 0</v>
      </c>
    </row>
    <row r="53" spans="1:34" s="1" customFormat="1" x14ac:dyDescent="0.25">
      <c r="A53" s="42" t="s">
        <v>333</v>
      </c>
      <c r="B53" s="7">
        <v>4018</v>
      </c>
      <c r="C53" s="25" t="s">
        <v>122</v>
      </c>
      <c r="D53" s="25" t="s">
        <v>148</v>
      </c>
      <c r="E53" s="16">
        <v>42594.358958333331</v>
      </c>
      <c r="F53" s="16">
        <v>42594.359884259262</v>
      </c>
      <c r="G53" s="7">
        <v>1</v>
      </c>
      <c r="H53" s="16" t="s">
        <v>321</v>
      </c>
      <c r="I53" s="16">
        <v>42594.389837962961</v>
      </c>
      <c r="J53" s="7">
        <v>0</v>
      </c>
      <c r="K53" s="149" t="str">
        <f t="shared" si="5"/>
        <v>4017/4018</v>
      </c>
      <c r="L53" s="25" t="str">
        <f>VLOOKUP(A53,'Trips&amp;Operators'!$C$1:$E$10000,3,FALSE)</f>
        <v>MAELZER</v>
      </c>
      <c r="M53" s="6">
        <f t="shared" si="6"/>
        <v>2.9953703698993195E-2</v>
      </c>
      <c r="N53" s="7">
        <f t="shared" si="7"/>
        <v>43.133333326550201</v>
      </c>
      <c r="O53" s="7"/>
      <c r="P53" s="7"/>
      <c r="Q53" s="26"/>
      <c r="R53" s="26"/>
      <c r="S53" s="38">
        <f t="shared" si="8"/>
        <v>1</v>
      </c>
      <c r="T53" s="55" t="str">
        <f t="shared" si="9"/>
        <v>NorthBound</v>
      </c>
      <c r="U53" s="13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07:36:54-0600',mode:absolute,to:'2016-08-12 10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53" s="57" t="str">
        <f t="shared" si="11"/>
        <v>N</v>
      </c>
      <c r="X53" s="133">
        <f t="shared" si="12"/>
        <v>1</v>
      </c>
      <c r="Y53" s="72">
        <f t="shared" si="13"/>
        <v>4.53E-2</v>
      </c>
      <c r="Z53" s="72">
        <f t="shared" si="14"/>
        <v>23.330300000000001</v>
      </c>
      <c r="AA53" s="72">
        <f t="shared" si="15"/>
        <v>23.285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16"/>
        <v>0141-12</v>
      </c>
      <c r="AE53" s="108" t="str">
        <f t="shared" si="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53" s="105" t="str">
        <f t="shared" si="1"/>
        <v>"C:\Program Files (x86)\AstroGrep\AstroGrep.exe" /spath="%USERPROFILE%\AppData\Local\Temp\OnboardLogs" /stypes="*4018*20160812*" /stext=" 15:.+((SYSTEM_STATE.+slice.+state.+changed )|(ment ac)|(system.+state.+changed )|(\|lc)|(penalty)|(\[timeout)|(PRM\|1\|D)|(kpr)|(kdp))" /e /r /s</v>
      </c>
      <c r="AG53" s="1" t="str">
        <f t="shared" si="17"/>
        <v>EC</v>
      </c>
      <c r="AH53" s="109" t="str">
        <f t="shared" si="18"/>
        <v>"%USERPROFILE%\Documents\GitHub\eaglep3\Utilities\RefineRTDCRunTimes.py" --tripid 141-12 --locoid 4018 --swversion DE.1.0.7.0 --startMP 204:453 --initTime 2016-08-12T08:36:54 --startdatetime 2016-08-12T08:38:14 --delay 1 --endMP 204:233303 --enddatetime 2016-08-12T09:21:22 --enforcementcount 0</v>
      </c>
    </row>
    <row r="54" spans="1:34" s="1" customFormat="1" x14ac:dyDescent="0.25">
      <c r="A54" s="42" t="s">
        <v>334</v>
      </c>
      <c r="B54" s="7">
        <v>4017</v>
      </c>
      <c r="C54" s="25" t="s">
        <v>122</v>
      </c>
      <c r="D54" s="25" t="s">
        <v>178</v>
      </c>
      <c r="E54" s="16">
        <v>42594.395462962966</v>
      </c>
      <c r="F54" s="16">
        <v>42594.396296296298</v>
      </c>
      <c r="G54" s="7">
        <v>1</v>
      </c>
      <c r="H54" s="16" t="s">
        <v>146</v>
      </c>
      <c r="I54" s="16">
        <v>42594.430358796293</v>
      </c>
      <c r="J54" s="7">
        <v>0</v>
      </c>
      <c r="K54" s="149" t="str">
        <f t="shared" si="5"/>
        <v>4017/4018</v>
      </c>
      <c r="L54" s="25" t="str">
        <f>VLOOKUP(A54,'Trips&amp;Operators'!$C$1:$E$10000,3,FALSE)</f>
        <v>MAELZER</v>
      </c>
      <c r="M54" s="6">
        <f t="shared" si="6"/>
        <v>3.4062499995343387E-2</v>
      </c>
      <c r="N54" s="7">
        <f t="shared" si="7"/>
        <v>49.049999993294477</v>
      </c>
      <c r="O54" s="7"/>
      <c r="P54" s="7"/>
      <c r="Q54" s="26"/>
      <c r="R54" s="26"/>
      <c r="S54" s="38">
        <f t="shared" si="8"/>
        <v>1</v>
      </c>
      <c r="T54" s="55" t="str">
        <f t="shared" si="9"/>
        <v>Southbound</v>
      </c>
      <c r="U54" s="13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08:29:28-0600',mode:absolute,to:'2016-08-12 11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54" s="57" t="str">
        <f t="shared" si="11"/>
        <v>N</v>
      </c>
      <c r="X54" s="133">
        <f t="shared" si="12"/>
        <v>1</v>
      </c>
      <c r="Y54" s="72">
        <f t="shared" si="13"/>
        <v>23.297799999999999</v>
      </c>
      <c r="Z54" s="72">
        <f t="shared" si="14"/>
        <v>1.47E-2</v>
      </c>
      <c r="AA54" s="72">
        <f t="shared" si="15"/>
        <v>23.283099999999997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16"/>
        <v>0142-12</v>
      </c>
      <c r="AE54" s="108" t="str">
        <f t="shared" si="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54" s="105" t="str">
        <f t="shared" si="1"/>
        <v>"C:\Program Files (x86)\AstroGrep\AstroGrep.exe" /spath="%USERPROFILE%\AppData\Local\Temp\OnboardLogs" /stypes="*4017*20160812*" /stext=" 16:.+((SYSTEM_STATE.+slice.+state.+changed )|(ment ac)|(system.+state.+changed )|(\|lc)|(penalty)|(\[timeout)|(PRM\|1\|D)|(kpr)|(kdp))" /e /r /s</v>
      </c>
      <c r="AG54" s="1" t="str">
        <f t="shared" si="17"/>
        <v>EC</v>
      </c>
      <c r="AH54" s="109" t="str">
        <f t="shared" si="18"/>
        <v>"%USERPROFILE%\Documents\GitHub\eaglep3\Utilities\RefineRTDCRunTimes.py" --tripid 142-12 --locoid 4017 --swversion DE.1.0.7.0 --startMP 204:232978 --initTime 2016-08-12T09:29:28 --startdatetime 2016-08-12T09:30:40 --delay 1 --endMP 204:147 --enddatetime 2016-08-12T10:19:43 --enforcementcount 0</v>
      </c>
    </row>
    <row r="55" spans="1:34" s="1" customFormat="1" x14ac:dyDescent="0.25">
      <c r="A55" s="42" t="s">
        <v>335</v>
      </c>
      <c r="B55" s="7">
        <v>4029</v>
      </c>
      <c r="C55" s="25" t="s">
        <v>122</v>
      </c>
      <c r="D55" s="25" t="s">
        <v>191</v>
      </c>
      <c r="E55" s="16">
        <v>42594.373229166667</v>
      </c>
      <c r="F55" s="16">
        <v>42594.374236111114</v>
      </c>
      <c r="G55" s="7">
        <v>1</v>
      </c>
      <c r="H55" s="16" t="s">
        <v>181</v>
      </c>
      <c r="I55" s="16">
        <v>42594.400509259256</v>
      </c>
      <c r="J55" s="7">
        <v>1</v>
      </c>
      <c r="K55" s="149" t="str">
        <f t="shared" si="5"/>
        <v>4029/4030</v>
      </c>
      <c r="L55" s="25" t="str">
        <f>VLOOKUP(A55,'Trips&amp;Operators'!$C$1:$E$10000,3,FALSE)</f>
        <v>ROCHA</v>
      </c>
      <c r="M55" s="6">
        <f t="shared" si="6"/>
        <v>2.6273148141626734E-2</v>
      </c>
      <c r="N55" s="7">
        <f t="shared" si="7"/>
        <v>37.833333323942497</v>
      </c>
      <c r="O55" s="7"/>
      <c r="P55" s="7"/>
      <c r="Q55" s="26"/>
      <c r="R55" s="26"/>
      <c r="S55" s="38">
        <f t="shared" si="8"/>
        <v>1</v>
      </c>
      <c r="T55" s="55" t="str">
        <f t="shared" si="9"/>
        <v>NorthBound</v>
      </c>
      <c r="U55" s="13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07:57:27-0600',mode:absolute,to:'2016-08-12 10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5" s="57" t="str">
        <f t="shared" si="11"/>
        <v>N</v>
      </c>
      <c r="X55" s="133">
        <f t="shared" si="12"/>
        <v>1</v>
      </c>
      <c r="Y55" s="72">
        <f t="shared" si="13"/>
        <v>4.5699999999999998E-2</v>
      </c>
      <c r="Z55" s="72">
        <f t="shared" si="14"/>
        <v>23.3306</v>
      </c>
      <c r="AA55" s="72">
        <f t="shared" si="15"/>
        <v>23.2849</v>
      </c>
      <c r="AB55" s="69">
        <f>VLOOKUP(A55,Enforcements!$C$7:$J$24,8,0)</f>
        <v>161962</v>
      </c>
      <c r="AC55" s="65" t="str">
        <f>VLOOKUP(A55,Enforcements!$C$7:$E$24,3,0)</f>
        <v>PERMANENT SPEED RESTRICTION</v>
      </c>
      <c r="AD55" s="66" t="str">
        <f t="shared" si="16"/>
        <v>0143-12</v>
      </c>
      <c r="AE55" s="108" t="str">
        <f t="shared" si="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55" s="105" t="str">
        <f t="shared" si="1"/>
        <v>"C:\Program Files (x86)\AstroGrep\AstroGrep.exe" /spath="%USERPROFILE%\AppData\Local\Temp\OnboardLogs" /stypes="*4029*20160812*" /stext=" 15:.+((SYSTEM_STATE.+slice.+state.+changed )|(ment ac)|(system.+state.+changed )|(\|lc)|(penalty)|(\[timeout)|(PRM\|1\|D)|(kpr)|(kdp))" /e /r /s</v>
      </c>
      <c r="AG55" s="1" t="str">
        <f t="shared" si="17"/>
        <v>EC</v>
      </c>
      <c r="AH55" s="109" t="str">
        <f t="shared" si="18"/>
        <v>"%USERPROFILE%\Documents\GitHub\eaglep3\Utilities\RefineRTDCRunTimes.py" --tripid 143-12 --locoid 4029 --swversion DE.1.0.7.0 --startMP 204:457 --initTime 2016-08-12T08:57:27 --startdatetime 2016-08-12T08:58:54 --delay 1 --endMP 204:233306 --enddatetime 2016-08-12T09:36:44 --enforcementcount 1</v>
      </c>
    </row>
    <row r="56" spans="1:34" s="1" customFormat="1" x14ac:dyDescent="0.25">
      <c r="A56" s="42" t="s">
        <v>336</v>
      </c>
      <c r="B56" s="7">
        <v>4030</v>
      </c>
      <c r="C56" s="25" t="s">
        <v>122</v>
      </c>
      <c r="D56" s="25" t="s">
        <v>337</v>
      </c>
      <c r="E56" s="16">
        <v>42594.410162037035</v>
      </c>
      <c r="F56" s="16">
        <v>42594.410995370374</v>
      </c>
      <c r="G56" s="7">
        <v>1</v>
      </c>
      <c r="H56" s="16" t="s">
        <v>222</v>
      </c>
      <c r="I56" s="16">
        <v>42594.440925925926</v>
      </c>
      <c r="J56" s="7">
        <v>0</v>
      </c>
      <c r="K56" s="149" t="str">
        <f t="shared" si="5"/>
        <v>4029/4030</v>
      </c>
      <c r="L56" s="25" t="str">
        <f>VLOOKUP(A56,'Trips&amp;Operators'!$C$1:$E$10000,3,FALSE)</f>
        <v>ROCHA</v>
      </c>
      <c r="M56" s="6">
        <f t="shared" si="6"/>
        <v>2.9930555552709848E-2</v>
      </c>
      <c r="N56" s="7">
        <f t="shared" si="7"/>
        <v>43.099999995902181</v>
      </c>
      <c r="O56" s="7"/>
      <c r="P56" s="7"/>
      <c r="Q56" s="26"/>
      <c r="R56" s="26"/>
      <c r="S56" s="38">
        <f t="shared" si="8"/>
        <v>1</v>
      </c>
      <c r="T56" s="55" t="str">
        <f t="shared" si="9"/>
        <v>Southbound</v>
      </c>
      <c r="U56" s="13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08:50:38-0600',mode:absolute,to:'2016-08-12 11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6" s="57" t="str">
        <f t="shared" si="11"/>
        <v>N</v>
      </c>
      <c r="X56" s="133">
        <f t="shared" si="12"/>
        <v>1</v>
      </c>
      <c r="Y56" s="72">
        <f t="shared" si="13"/>
        <v>23.3</v>
      </c>
      <c r="Z56" s="72">
        <f t="shared" si="14"/>
        <v>1.6E-2</v>
      </c>
      <c r="AA56" s="72">
        <f t="shared" si="15"/>
        <v>23.284000000000002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16"/>
        <v>0144-12</v>
      </c>
      <c r="AE56" s="108" t="str">
        <f t="shared" si="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56" s="105" t="str">
        <f t="shared" si="1"/>
        <v>"C:\Program Files (x86)\AstroGrep\AstroGrep.exe" /spath="%USERPROFILE%\AppData\Local\Temp\OnboardLogs" /stypes="*4030*20160812*" /stext=" 16:.+((SYSTEM_STATE.+slice.+state.+changed )|(ment ac)|(system.+state.+changed )|(\|lc)|(penalty)|(\[timeout)|(PRM\|1\|D)|(kpr)|(kdp))" /e /r /s</v>
      </c>
      <c r="AG56" s="1" t="str">
        <f t="shared" si="17"/>
        <v>EC</v>
      </c>
      <c r="AH56" s="109" t="str">
        <f t="shared" si="18"/>
        <v>"%USERPROFILE%\Documents\GitHub\eaglep3\Utilities\RefineRTDCRunTimes.py" --tripid 144-12 --locoid 4030 --swversion DE.1.0.7.0 --startMP 204:233000 --initTime 2016-08-12T09:50:38 --startdatetime 2016-08-12T09:51:50 --delay 1 --endMP 204:160 --enddatetime 2016-08-12T10:34:56 --enforcementcount 0</v>
      </c>
    </row>
    <row r="57" spans="1:34" s="1" customFormat="1" x14ac:dyDescent="0.25">
      <c r="A57" s="42" t="s">
        <v>338</v>
      </c>
      <c r="B57" s="7">
        <v>4020</v>
      </c>
      <c r="C57" s="25" t="s">
        <v>122</v>
      </c>
      <c r="D57" s="25" t="s">
        <v>180</v>
      </c>
      <c r="E57" s="16">
        <v>42594.380960648145</v>
      </c>
      <c r="F57" s="16">
        <v>42594.381967592592</v>
      </c>
      <c r="G57" s="7">
        <v>1</v>
      </c>
      <c r="H57" s="16" t="s">
        <v>158</v>
      </c>
      <c r="I57" s="16">
        <v>42594.410567129627</v>
      </c>
      <c r="J57" s="7">
        <v>0</v>
      </c>
      <c r="K57" s="149" t="str">
        <f t="shared" si="5"/>
        <v>4019/4020</v>
      </c>
      <c r="L57" s="25" t="str">
        <f>VLOOKUP(A57,'Trips&amp;Operators'!$C$1:$E$10000,3,FALSE)</f>
        <v>DAVIS</v>
      </c>
      <c r="M57" s="6">
        <f t="shared" si="6"/>
        <v>2.8599537035916001E-2</v>
      </c>
      <c r="N57" s="7">
        <f t="shared" si="7"/>
        <v>41.183333331719041</v>
      </c>
      <c r="O57" s="7"/>
      <c r="P57" s="7"/>
      <c r="Q57" s="26"/>
      <c r="R57" s="26"/>
      <c r="S57" s="38">
        <f t="shared" si="8"/>
        <v>1</v>
      </c>
      <c r="T57" s="55" t="str">
        <f t="shared" si="9"/>
        <v>NorthBound</v>
      </c>
      <c r="U57" s="13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08:08:35-0600',mode:absolute,to:'2016-08-12 10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57" s="57" t="str">
        <f t="shared" si="11"/>
        <v>N</v>
      </c>
      <c r="X57" s="133">
        <f t="shared" si="12"/>
        <v>1</v>
      </c>
      <c r="Y57" s="72">
        <f t="shared" si="13"/>
        <v>4.6699999999999998E-2</v>
      </c>
      <c r="Z57" s="72">
        <f t="shared" si="14"/>
        <v>23.329899999999999</v>
      </c>
      <c r="AA57" s="72">
        <f t="shared" si="15"/>
        <v>23.283199999999997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16"/>
        <v>0145-12</v>
      </c>
      <c r="AE57" s="108" t="str">
        <f t="shared" si="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57" s="105" t="str">
        <f t="shared" si="1"/>
        <v>"C:\Program Files (x86)\AstroGrep\AstroGrep.exe" /spath="%USERPROFILE%\AppData\Local\Temp\OnboardLogs" /stypes="*4020*20160812*" /stext=" 15:.+((SYSTEM_STATE.+slice.+state.+changed )|(ment ac)|(system.+state.+changed )|(\|lc)|(penalty)|(\[timeout)|(PRM\|1\|D)|(kpr)|(kdp))" /e /r /s</v>
      </c>
      <c r="AG57" s="1" t="str">
        <f t="shared" si="17"/>
        <v>EC</v>
      </c>
      <c r="AH57" s="109" t="str">
        <f t="shared" si="18"/>
        <v>"%USERPROFILE%\Documents\GitHub\eaglep3\Utilities\RefineRTDCRunTimes.py" --tripid 145-12 --locoid 4020 --swversion DE.1.0.7.0 --startMP 204:467 --initTime 2016-08-12T09:08:35 --startdatetime 2016-08-12T09:10:02 --delay 1 --endMP 204:233299 --enddatetime 2016-08-12T09:51:13 --enforcementcount 0</v>
      </c>
    </row>
    <row r="58" spans="1:34" x14ac:dyDescent="0.25">
      <c r="A58" s="42" t="s">
        <v>339</v>
      </c>
      <c r="B58" s="7">
        <v>4019</v>
      </c>
      <c r="C58" s="25" t="s">
        <v>122</v>
      </c>
      <c r="D58" s="25" t="s">
        <v>179</v>
      </c>
      <c r="E58" s="16">
        <v>42594.419525462959</v>
      </c>
      <c r="F58" s="16">
        <v>42594.420312499999</v>
      </c>
      <c r="G58" s="7">
        <v>1</v>
      </c>
      <c r="H58" s="16" t="s">
        <v>153</v>
      </c>
      <c r="I58" s="16">
        <v>42594.455347222225</v>
      </c>
      <c r="J58" s="7">
        <v>0</v>
      </c>
      <c r="K58" s="149" t="str">
        <f t="shared" si="5"/>
        <v>4019/4020</v>
      </c>
      <c r="L58" s="25" t="str">
        <f>VLOOKUP(A58,'Trips&amp;Operators'!$C$1:$E$10000,3,FALSE)</f>
        <v>DAVIS</v>
      </c>
      <c r="M58" s="6">
        <f t="shared" si="6"/>
        <v>3.5034722226555459E-2</v>
      </c>
      <c r="N58" s="7">
        <f t="shared" si="7"/>
        <v>50.450000006239861</v>
      </c>
      <c r="O58" s="7"/>
      <c r="P58" s="7"/>
      <c r="Q58" s="26"/>
      <c r="R58" s="26"/>
      <c r="S58" s="38">
        <f t="shared" si="8"/>
        <v>1</v>
      </c>
      <c r="T58" s="55" t="str">
        <f t="shared" si="9"/>
        <v>Southbound</v>
      </c>
      <c r="U58" s="13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09:04:07-0600',mode:absolute,to:'2016-08-12 11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58" s="57" t="str">
        <f t="shared" si="11"/>
        <v>N</v>
      </c>
      <c r="X58" s="133">
        <f t="shared" si="12"/>
        <v>1</v>
      </c>
      <c r="Y58" s="72">
        <f t="shared" si="13"/>
        <v>23.297999999999998</v>
      </c>
      <c r="Z58" s="72">
        <f t="shared" si="14"/>
        <v>1.49E-2</v>
      </c>
      <c r="AA58" s="72">
        <f t="shared" si="15"/>
        <v>23.283099999999997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16"/>
        <v>0146-12</v>
      </c>
      <c r="AE58" s="108" t="str">
        <f t="shared" si="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58" s="105" t="str">
        <f t="shared" si="1"/>
        <v>"C:\Program Files (x86)\AstroGrep\AstroGrep.exe" /spath="%USERPROFILE%\AppData\Local\Temp\OnboardLogs" /stypes="*4019*20160812*" /stext=" 16:.+((SYSTEM_STATE.+slice.+state.+changed )|(ment ac)|(system.+state.+changed )|(\|lc)|(penalty)|(\[timeout)|(PRM\|1\|D)|(kpr)|(kdp))" /e /r /s</v>
      </c>
      <c r="AG58" s="1" t="str">
        <f t="shared" si="17"/>
        <v>EC</v>
      </c>
      <c r="AH58" s="109" t="str">
        <f t="shared" si="18"/>
        <v>"%USERPROFILE%\Documents\GitHub\eaglep3\Utilities\RefineRTDCRunTimes.py" --tripid 146-12 --locoid 4019 --swversion DE.1.0.7.0 --startMP 204:232980 --initTime 2016-08-12T10:04:07 --startdatetime 2016-08-12T10:05:15 --delay 1 --endMP 204:149 --enddatetime 2016-08-12T10:55:42 --enforcementcount 0</v>
      </c>
    </row>
    <row r="59" spans="1:34" x14ac:dyDescent="0.25">
      <c r="A59" s="42" t="s">
        <v>340</v>
      </c>
      <c r="B59" s="7">
        <v>4031</v>
      </c>
      <c r="C59" s="25" t="s">
        <v>122</v>
      </c>
      <c r="D59" s="25" t="s">
        <v>116</v>
      </c>
      <c r="E59" s="16">
        <v>42594.394594907404</v>
      </c>
      <c r="F59" s="16">
        <v>42594.395775462966</v>
      </c>
      <c r="G59" s="7">
        <v>1</v>
      </c>
      <c r="H59" s="16" t="s">
        <v>341</v>
      </c>
      <c r="I59" s="16">
        <v>42594.421863425923</v>
      </c>
      <c r="J59" s="7">
        <v>0</v>
      </c>
      <c r="K59" s="149" t="str">
        <f t="shared" si="5"/>
        <v>4031/4032</v>
      </c>
      <c r="L59" s="25" t="str">
        <f>VLOOKUP(A59,'Trips&amp;Operators'!$C$1:$E$10000,3,FALSE)</f>
        <v>MALAVE</v>
      </c>
      <c r="M59" s="6">
        <f t="shared" si="6"/>
        <v>2.6087962956808042E-2</v>
      </c>
      <c r="N59" s="7">
        <f t="shared" si="7"/>
        <v>37.56666665780358</v>
      </c>
      <c r="O59" s="7"/>
      <c r="P59" s="7"/>
      <c r="Q59" s="26"/>
      <c r="R59" s="26"/>
      <c r="S59" s="38">
        <f t="shared" si="8"/>
        <v>1</v>
      </c>
      <c r="T59" s="55" t="str">
        <f t="shared" si="9"/>
        <v>NorthBound</v>
      </c>
      <c r="U59" s="13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08:28:13-0600',mode:absolute,to:'2016-08-12 11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59" s="57" t="str">
        <f t="shared" si="11"/>
        <v>N</v>
      </c>
      <c r="X59" s="133">
        <f t="shared" si="12"/>
        <v>1</v>
      </c>
      <c r="Y59" s="72">
        <f t="shared" si="13"/>
        <v>4.6399999999999997E-2</v>
      </c>
      <c r="Z59" s="72">
        <f t="shared" si="14"/>
        <v>23.328700000000001</v>
      </c>
      <c r="AA59" s="72">
        <f t="shared" si="15"/>
        <v>23.282300000000003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16"/>
        <v>0147-12</v>
      </c>
      <c r="AE59" s="108" t="str">
        <f t="shared" si="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59" s="105" t="str">
        <f t="shared" si="1"/>
        <v>"C:\Program Files (x86)\AstroGrep\AstroGrep.exe" /spath="%USERPROFILE%\AppData\Local\Temp\OnboardLogs" /stypes="*4031*20160812*" /stext=" 16:.+((SYSTEM_STATE.+slice.+state.+changed )|(ment ac)|(system.+state.+changed )|(\|lc)|(penalty)|(\[timeout)|(PRM\|1\|D)|(kpr)|(kdp))" /e /r /s</v>
      </c>
      <c r="AG59" s="1" t="str">
        <f t="shared" si="17"/>
        <v>EC</v>
      </c>
      <c r="AH59" s="109" t="str">
        <f t="shared" si="18"/>
        <v>"%USERPROFILE%\Documents\GitHub\eaglep3\Utilities\RefineRTDCRunTimes.py" --tripid 147-12 --locoid 4031 --swversion DE.1.0.7.0 --startMP 204:464 --initTime 2016-08-12T09:28:13 --startdatetime 2016-08-12T09:29:55 --delay 1 --endMP 204:233287 --enddatetime 2016-08-12T10:07:29 --enforcementcount 0</v>
      </c>
    </row>
    <row r="60" spans="1:34" s="1" customFormat="1" x14ac:dyDescent="0.25">
      <c r="A60" s="42" t="s">
        <v>342</v>
      </c>
      <c r="B60" s="7">
        <v>4032</v>
      </c>
      <c r="C60" s="25" t="s">
        <v>122</v>
      </c>
      <c r="D60" s="25" t="s">
        <v>171</v>
      </c>
      <c r="E60" s="16">
        <v>42594.43340277778</v>
      </c>
      <c r="F60" s="16">
        <v>42594.434212962966</v>
      </c>
      <c r="G60" s="7">
        <v>1</v>
      </c>
      <c r="H60" s="16" t="s">
        <v>343</v>
      </c>
      <c r="I60" s="16">
        <v>42594.46297453704</v>
      </c>
      <c r="J60" s="7">
        <v>0</v>
      </c>
      <c r="K60" s="149" t="str">
        <f t="shared" si="5"/>
        <v>4031/4032</v>
      </c>
      <c r="L60" s="25" t="str">
        <f>VLOOKUP(A60,'Trips&amp;Operators'!$C$1:$E$10000,3,FALSE)</f>
        <v>MALAVE</v>
      </c>
      <c r="M60" s="6">
        <f t="shared" si="6"/>
        <v>2.8761574074451346E-2</v>
      </c>
      <c r="N60" s="7">
        <f t="shared" si="7"/>
        <v>41.416666667209938</v>
      </c>
      <c r="O60" s="7"/>
      <c r="P60" s="7"/>
      <c r="Q60" s="26"/>
      <c r="R60" s="26"/>
      <c r="S60" s="38">
        <f t="shared" si="8"/>
        <v>1</v>
      </c>
      <c r="T60" s="55" t="str">
        <f t="shared" si="9"/>
        <v>Southbound</v>
      </c>
      <c r="U60" s="13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09:24:06-0600',mode:absolute,to:'2016-08-12 12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60" s="57" t="str">
        <f t="shared" si="11"/>
        <v>N</v>
      </c>
      <c r="X60" s="133">
        <f t="shared" si="12"/>
        <v>1</v>
      </c>
      <c r="Y60" s="72">
        <f t="shared" si="13"/>
        <v>23.298300000000001</v>
      </c>
      <c r="Z60" s="72">
        <f t="shared" si="14"/>
        <v>1.83E-2</v>
      </c>
      <c r="AA60" s="72">
        <f t="shared" si="15"/>
        <v>23.28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16"/>
        <v>0148-12</v>
      </c>
      <c r="AE60" s="108" t="str">
        <f t="shared" si="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60" s="105" t="str">
        <f t="shared" si="1"/>
        <v>"C:\Program Files (x86)\AstroGrep\AstroGrep.exe" /spath="%USERPROFILE%\AppData\Local\Temp\OnboardLogs" /stypes="*4032*20160812*" /stext=" 17:.+((SYSTEM_STATE.+slice.+state.+changed )|(ment ac)|(system.+state.+changed )|(\|lc)|(penalty)|(\[timeout)|(PRM\|1\|D)|(kpr)|(kdp))" /e /r /s</v>
      </c>
      <c r="AG60" s="1" t="str">
        <f t="shared" si="17"/>
        <v>EC</v>
      </c>
      <c r="AH60" s="109" t="str">
        <f t="shared" si="18"/>
        <v>"%USERPROFILE%\Documents\GitHub\eaglep3\Utilities\RefineRTDCRunTimes.py" --tripid 148-12 --locoid 4032 --swversion DE.1.0.7.0 --startMP 204:232983 --initTime 2016-08-12T10:24:06 --startdatetime 2016-08-12T10:25:16 --delay 1 --endMP 204:183 --enddatetime 2016-08-12T11:06:41 --enforcementcount 0</v>
      </c>
    </row>
    <row r="61" spans="1:34" s="1" customFormat="1" x14ac:dyDescent="0.25">
      <c r="A61" s="42" t="s">
        <v>344</v>
      </c>
      <c r="B61" s="7">
        <v>4014</v>
      </c>
      <c r="C61" s="25" t="s">
        <v>122</v>
      </c>
      <c r="D61" s="25" t="s">
        <v>174</v>
      </c>
      <c r="E61" s="16">
        <v>42594.401458333334</v>
      </c>
      <c r="F61" s="16">
        <v>42594.402499999997</v>
      </c>
      <c r="G61" s="7">
        <v>1</v>
      </c>
      <c r="H61" s="16" t="s">
        <v>156</v>
      </c>
      <c r="I61" s="16">
        <v>42594.431990740741</v>
      </c>
      <c r="J61" s="7">
        <v>0</v>
      </c>
      <c r="K61" s="149" t="str">
        <f t="shared" si="5"/>
        <v>4013/4014</v>
      </c>
      <c r="L61" s="25" t="str">
        <f>VLOOKUP(A61,'Trips&amp;Operators'!$C$1:$E$10000,3,FALSE)</f>
        <v>BRANNON</v>
      </c>
      <c r="M61" s="6">
        <f t="shared" si="6"/>
        <v>2.9490740744222421E-2</v>
      </c>
      <c r="N61" s="7">
        <f t="shared" si="7"/>
        <v>42.466666671680287</v>
      </c>
      <c r="O61" s="7"/>
      <c r="P61" s="7"/>
      <c r="Q61" s="26"/>
      <c r="R61" s="26"/>
      <c r="S61" s="38">
        <f t="shared" si="8"/>
        <v>1</v>
      </c>
      <c r="T61" s="55" t="str">
        <f t="shared" si="9"/>
        <v>NorthBound</v>
      </c>
      <c r="U61" s="13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08:38:06-0600',mode:absolute,to:'2016-08-12 11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61" s="57" t="str">
        <f t="shared" si="11"/>
        <v>N</v>
      </c>
      <c r="X61" s="133">
        <f t="shared" si="12"/>
        <v>1</v>
      </c>
      <c r="Y61" s="72">
        <f t="shared" si="13"/>
        <v>4.58E-2</v>
      </c>
      <c r="Z61" s="72">
        <f t="shared" si="14"/>
        <v>23.328600000000002</v>
      </c>
      <c r="AA61" s="72">
        <f t="shared" si="15"/>
        <v>23.282800000000002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16"/>
        <v>0149-12</v>
      </c>
      <c r="AE61" s="108" t="str">
        <f t="shared" si="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61" s="105" t="str">
        <f t="shared" si="1"/>
        <v>"C:\Program Files (x86)\AstroGrep\AstroGrep.exe" /spath="%USERPROFILE%\AppData\Local\Temp\OnboardLogs" /stypes="*4014*20160812*" /stext=" 16:.+((SYSTEM_STATE.+slice.+state.+changed )|(ment ac)|(system.+state.+changed )|(\|lc)|(penalty)|(\[timeout)|(PRM\|1\|D)|(kpr)|(kdp))" /e /r /s</v>
      </c>
      <c r="AG61" s="1" t="str">
        <f t="shared" si="17"/>
        <v>EC</v>
      </c>
      <c r="AH61" s="109" t="str">
        <f t="shared" si="18"/>
        <v>"%USERPROFILE%\Documents\GitHub\eaglep3\Utilities\RefineRTDCRunTimes.py" --tripid 149-12 --locoid 4014 --swversion DE.1.0.7.0 --startMP 204:458 --initTime 2016-08-12T09:38:06 --startdatetime 2016-08-12T09:39:36 --delay 1 --endMP 204:233286 --enddatetime 2016-08-12T10:22:04 --enforcementcount 0</v>
      </c>
    </row>
    <row r="62" spans="1:34" x14ac:dyDescent="0.25">
      <c r="A62" s="42" t="s">
        <v>345</v>
      </c>
      <c r="B62" s="7">
        <v>4013</v>
      </c>
      <c r="C62" s="25" t="s">
        <v>122</v>
      </c>
      <c r="D62" s="25" t="s">
        <v>190</v>
      </c>
      <c r="E62" s="16">
        <v>42594.441238425927</v>
      </c>
      <c r="F62" s="16">
        <v>42594.442175925928</v>
      </c>
      <c r="G62" s="7">
        <v>1</v>
      </c>
      <c r="H62" s="16" t="s">
        <v>289</v>
      </c>
      <c r="I62" s="16">
        <v>42594.472557870373</v>
      </c>
      <c r="J62" s="7">
        <v>0</v>
      </c>
      <c r="K62" s="149" t="str">
        <f t="shared" si="5"/>
        <v>4013/4014</v>
      </c>
      <c r="L62" s="25" t="str">
        <f>VLOOKUP(A62,'Trips&amp;Operators'!$C$1:$E$10000,3,FALSE)</f>
        <v>BRANNON</v>
      </c>
      <c r="M62" s="6">
        <f t="shared" si="6"/>
        <v>3.0381944445252884E-2</v>
      </c>
      <c r="N62" s="7">
        <f t="shared" si="7"/>
        <v>43.750000001164153</v>
      </c>
      <c r="O62" s="7"/>
      <c r="P62" s="7"/>
      <c r="Q62" s="26"/>
      <c r="R62" s="26"/>
      <c r="S62" s="38">
        <f t="shared" si="8"/>
        <v>1</v>
      </c>
      <c r="T62" s="55" t="str">
        <f t="shared" si="9"/>
        <v>Southbound</v>
      </c>
      <c r="U62" s="13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09:35:23-0600',mode:absolute,to:'2016-08-12 12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62" s="57" t="str">
        <f t="shared" si="11"/>
        <v>N</v>
      </c>
      <c r="X62" s="133">
        <f t="shared" si="12"/>
        <v>1</v>
      </c>
      <c r="Y62" s="72">
        <f t="shared" si="13"/>
        <v>23.298999999999999</v>
      </c>
      <c r="Z62" s="72">
        <f t="shared" si="14"/>
        <v>1.4999999999999999E-2</v>
      </c>
      <c r="AA62" s="72">
        <f t="shared" si="15"/>
        <v>23.283999999999999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16"/>
        <v>0150-12</v>
      </c>
      <c r="AE62" s="108" t="str">
        <f t="shared" si="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62" s="105" t="str">
        <f t="shared" si="1"/>
        <v>"C:\Program Files (x86)\AstroGrep\AstroGrep.exe" /spath="%USERPROFILE%\AppData\Local\Temp\OnboardLogs" /stypes="*4013*20160812*" /stext=" 17:.+((SYSTEM_STATE.+slice.+state.+changed )|(ment ac)|(system.+state.+changed )|(\|lc)|(penalty)|(\[timeout)|(PRM\|1\|D)|(kpr)|(kdp))" /e /r /s</v>
      </c>
      <c r="AG62" s="1" t="str">
        <f t="shared" si="17"/>
        <v>EC</v>
      </c>
      <c r="AH62" s="109" t="str">
        <f t="shared" si="18"/>
        <v>"%USERPROFILE%\Documents\GitHub\eaglep3\Utilities\RefineRTDCRunTimes.py" --tripid 150-12 --locoid 4013 --swversion DE.1.0.7.0 --startMP 204:232990 --initTime 2016-08-12T10:35:23 --startdatetime 2016-08-12T10:36:44 --delay 1 --endMP 204:150 --enddatetime 2016-08-12T11:20:29 --enforcementcount 0</v>
      </c>
    </row>
    <row r="63" spans="1:34" s="24" customFormat="1" x14ac:dyDescent="0.25">
      <c r="A63" s="42" t="s">
        <v>346</v>
      </c>
      <c r="B63" s="7">
        <v>4027</v>
      </c>
      <c r="C63" s="25" t="s">
        <v>122</v>
      </c>
      <c r="D63" s="25" t="s">
        <v>61</v>
      </c>
      <c r="E63" s="16">
        <v>42594.412499999999</v>
      </c>
      <c r="F63" s="16">
        <v>42594.413715277777</v>
      </c>
      <c r="G63" s="7">
        <v>1</v>
      </c>
      <c r="H63" s="16" t="s">
        <v>193</v>
      </c>
      <c r="I63" s="16">
        <v>42594.442708333336</v>
      </c>
      <c r="J63" s="7">
        <v>0</v>
      </c>
      <c r="K63" s="149" t="str">
        <f t="shared" si="5"/>
        <v>4027/4028</v>
      </c>
      <c r="L63" s="25" t="str">
        <f>VLOOKUP(A63,'Trips&amp;Operators'!$C$1:$E$10000,3,FALSE)</f>
        <v>OUN</v>
      </c>
      <c r="M63" s="6">
        <f t="shared" si="6"/>
        <v>2.899305555911269E-2</v>
      </c>
      <c r="N63" s="7">
        <f t="shared" si="7"/>
        <v>41.750000005122274</v>
      </c>
      <c r="O63" s="7"/>
      <c r="P63" s="7"/>
      <c r="Q63" s="26"/>
      <c r="R63" s="26"/>
      <c r="S63" s="38">
        <f t="shared" si="8"/>
        <v>1</v>
      </c>
      <c r="T63" s="55" t="str">
        <f t="shared" si="9"/>
        <v>NorthBound</v>
      </c>
      <c r="U63" s="13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08:54:00-0600',mode:absolute,to:'2016-08-12 11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63" s="57" t="str">
        <f t="shared" si="11"/>
        <v>N</v>
      </c>
      <c r="X63" s="133">
        <f t="shared" si="12"/>
        <v>1</v>
      </c>
      <c r="Y63" s="72">
        <f t="shared" si="13"/>
        <v>4.5999999999999999E-2</v>
      </c>
      <c r="Z63" s="72">
        <f t="shared" si="14"/>
        <v>23.331</v>
      </c>
      <c r="AA63" s="72">
        <f t="shared" si="15"/>
        <v>23.285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16"/>
        <v>0151-12</v>
      </c>
      <c r="AE63" s="108" t="str">
        <f t="shared" si="0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63" s="105" t="str">
        <f t="shared" si="1"/>
        <v>"C:\Program Files (x86)\AstroGrep\AstroGrep.exe" /spath="%USERPROFILE%\AppData\Local\Temp\OnboardLogs" /stypes="*4027*20160812*" /stext=" 16:.+((SYSTEM_STATE.+slice.+state.+changed )|(ment ac)|(system.+state.+changed )|(\|lc)|(penalty)|(\[timeout)|(PRM\|1\|D)|(kpr)|(kdp))" /e /r /s</v>
      </c>
      <c r="AG63" s="1" t="str">
        <f t="shared" si="17"/>
        <v>EC</v>
      </c>
      <c r="AH63" s="109" t="str">
        <f t="shared" si="18"/>
        <v>"%USERPROFILE%\Documents\GitHub\eaglep3\Utilities\RefineRTDCRunTimes.py" --tripid 151-12 --locoid 4027 --swversion DE.1.0.7.0 --startMP 204:460 --initTime 2016-08-12T09:54:00 --startdatetime 2016-08-12T09:55:45 --delay 1 --endMP 204:233310 --enddatetime 2016-08-12T10:37:30 --enforcementcount 0</v>
      </c>
    </row>
    <row r="64" spans="1:34" x14ac:dyDescent="0.25">
      <c r="A64" s="42" t="s">
        <v>347</v>
      </c>
      <c r="B64" s="7">
        <v>4028</v>
      </c>
      <c r="C64" s="25" t="s">
        <v>122</v>
      </c>
      <c r="D64" s="25" t="s">
        <v>145</v>
      </c>
      <c r="E64" s="16">
        <v>42594.452488425923</v>
      </c>
      <c r="F64" s="16">
        <v>42594.453402777777</v>
      </c>
      <c r="G64" s="7">
        <v>1</v>
      </c>
      <c r="H64" s="16" t="s">
        <v>227</v>
      </c>
      <c r="I64" s="16">
        <v>42594.484155092592</v>
      </c>
      <c r="J64" s="7">
        <v>0</v>
      </c>
      <c r="K64" s="149" t="str">
        <f t="shared" si="5"/>
        <v>4027/4028</v>
      </c>
      <c r="L64" s="25" t="str">
        <f>VLOOKUP(A64,'Trips&amp;Operators'!$C$1:$E$10000,3,FALSE)</f>
        <v>OUN</v>
      </c>
      <c r="M64" s="6">
        <f t="shared" si="6"/>
        <v>3.0752314814890269E-2</v>
      </c>
      <c r="N64" s="7">
        <f t="shared" si="7"/>
        <v>44.283333333441988</v>
      </c>
      <c r="O64" s="7"/>
      <c r="P64" s="7"/>
      <c r="Q64" s="26"/>
      <c r="R64" s="26"/>
      <c r="S64" s="38">
        <f t="shared" si="8"/>
        <v>1</v>
      </c>
      <c r="T64" s="55" t="str">
        <f t="shared" si="9"/>
        <v>Southbound</v>
      </c>
      <c r="U64" s="13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09:51:35-0600',mode:absolute,to:'2016-08-12 12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64" s="57" t="str">
        <f t="shared" si="11"/>
        <v>N</v>
      </c>
      <c r="X64" s="133">
        <f t="shared" si="12"/>
        <v>1</v>
      </c>
      <c r="Y64" s="72">
        <f t="shared" si="13"/>
        <v>23.2989</v>
      </c>
      <c r="Z64" s="72">
        <f t="shared" si="14"/>
        <v>1.6500000000000001E-2</v>
      </c>
      <c r="AA64" s="72">
        <f t="shared" si="15"/>
        <v>23.282399999999999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16"/>
        <v>0152-12</v>
      </c>
      <c r="AE64" s="108" t="str">
        <f t="shared" si="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64" s="105" t="str">
        <f t="shared" si="1"/>
        <v>"C:\Program Files (x86)\AstroGrep\AstroGrep.exe" /spath="%USERPROFILE%\AppData\Local\Temp\OnboardLogs" /stypes="*4028*20160812*" /stext=" 17:.+((SYSTEM_STATE.+slice.+state.+changed )|(ment ac)|(system.+state.+changed )|(\|lc)|(penalty)|(\[timeout)|(PRM\|1\|D)|(kpr)|(kdp))" /e /r /s</v>
      </c>
      <c r="AG64" s="1" t="str">
        <f t="shared" si="17"/>
        <v>EC</v>
      </c>
      <c r="AH64" s="109" t="str">
        <f t="shared" si="18"/>
        <v>"%USERPROFILE%\Documents\GitHub\eaglep3\Utilities\RefineRTDCRunTimes.py" --tripid 152-12 --locoid 4028 --swversion DE.1.0.7.0 --startMP 204:232989 --initTime 2016-08-12T10:51:35 --startdatetime 2016-08-12T10:52:54 --delay 1 --endMP 204:165 --enddatetime 2016-08-12T11:37:11 --enforcementcount 0</v>
      </c>
    </row>
    <row r="65" spans="1:34" x14ac:dyDescent="0.25">
      <c r="A65" s="42" t="s">
        <v>348</v>
      </c>
      <c r="B65" s="7">
        <v>4038</v>
      </c>
      <c r="C65" s="25" t="s">
        <v>122</v>
      </c>
      <c r="D65" s="25" t="s">
        <v>192</v>
      </c>
      <c r="E65" s="16">
        <v>42594.424571759257</v>
      </c>
      <c r="F65" s="16">
        <v>42594.425347222219</v>
      </c>
      <c r="G65" s="7">
        <v>1</v>
      </c>
      <c r="H65" s="16" t="s">
        <v>321</v>
      </c>
      <c r="I65" s="16">
        <v>42594.45275462963</v>
      </c>
      <c r="J65" s="7">
        <v>0</v>
      </c>
      <c r="K65" s="149" t="str">
        <f t="shared" si="5"/>
        <v>4037/4038</v>
      </c>
      <c r="L65" s="25" t="str">
        <f>VLOOKUP(A65,'Trips&amp;Operators'!$C$1:$E$10000,3,FALSE)</f>
        <v>SPECTOR</v>
      </c>
      <c r="M65" s="6">
        <f t="shared" si="6"/>
        <v>2.7407407411374152E-2</v>
      </c>
      <c r="N65" s="7">
        <f t="shared" si="7"/>
        <v>39.466666672378778</v>
      </c>
      <c r="O65" s="7"/>
      <c r="P65" s="7"/>
      <c r="Q65" s="26"/>
      <c r="R65" s="26"/>
      <c r="S65" s="38">
        <f t="shared" si="8"/>
        <v>1</v>
      </c>
      <c r="T65" s="55" t="str">
        <f t="shared" si="9"/>
        <v>NorthBound</v>
      </c>
      <c r="U65" s="13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09:11:23-0600',mode:absolute,to:'2016-08-12 11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5" s="57" t="str">
        <f t="shared" si="11"/>
        <v>N</v>
      </c>
      <c r="X65" s="133">
        <f t="shared" si="12"/>
        <v>1</v>
      </c>
      <c r="Y65" s="72">
        <f t="shared" si="13"/>
        <v>4.4699999999999997E-2</v>
      </c>
      <c r="Z65" s="72">
        <f t="shared" si="14"/>
        <v>23.330300000000001</v>
      </c>
      <c r="AA65" s="72">
        <f t="shared" si="15"/>
        <v>23.285600000000002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16"/>
        <v>0153-12</v>
      </c>
      <c r="AE65" s="108" t="str">
        <f t="shared" si="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65" s="105" t="str">
        <f t="shared" si="1"/>
        <v>"C:\Program Files (x86)\AstroGrep\AstroGrep.exe" /spath="%USERPROFILE%\AppData\Local\Temp\OnboardLogs" /stypes="*4038*20160812*" /stext=" 16:.+((SYSTEM_STATE.+slice.+state.+changed )|(ment ac)|(system.+state.+changed )|(\|lc)|(penalty)|(\[timeout)|(PRM\|1\|D)|(kpr)|(kdp))" /e /r /s</v>
      </c>
      <c r="AG65" s="1" t="str">
        <f t="shared" si="17"/>
        <v>EC</v>
      </c>
      <c r="AH65" s="109" t="str">
        <f t="shared" si="18"/>
        <v>"%USERPROFILE%\Documents\GitHub\eaglep3\Utilities\RefineRTDCRunTimes.py" --tripid 153-12 --locoid 4038 --swversion DE.1.0.7.0 --startMP 204:447 --initTime 2016-08-12T10:11:23 --startdatetime 2016-08-12T10:12:30 --delay 1 --endMP 204:233303 --enddatetime 2016-08-12T10:51:58 --enforcementcount 0</v>
      </c>
    </row>
    <row r="66" spans="1:34" x14ac:dyDescent="0.25">
      <c r="A66" s="42" t="s">
        <v>349</v>
      </c>
      <c r="B66" s="7">
        <v>4037</v>
      </c>
      <c r="C66" s="25" t="s">
        <v>122</v>
      </c>
      <c r="D66" s="25" t="s">
        <v>157</v>
      </c>
      <c r="E66" s="16">
        <v>42594.460451388892</v>
      </c>
      <c r="F66" s="16">
        <v>42594.461574074077</v>
      </c>
      <c r="G66" s="7">
        <v>1</v>
      </c>
      <c r="H66" s="16" t="s">
        <v>225</v>
      </c>
      <c r="I66" s="16">
        <v>42594.494212962964</v>
      </c>
      <c r="J66" s="7">
        <v>0</v>
      </c>
      <c r="K66" s="149" t="str">
        <f t="shared" si="5"/>
        <v>4037/4038</v>
      </c>
      <c r="L66" s="25" t="str">
        <f>VLOOKUP(A66,'Trips&amp;Operators'!$C$1:$E$10000,3,FALSE)</f>
        <v>SPECTOR</v>
      </c>
      <c r="M66" s="6">
        <f t="shared" si="6"/>
        <v>3.2638888886140194E-2</v>
      </c>
      <c r="N66" s="7">
        <f t="shared" si="7"/>
        <v>46.999999996041879</v>
      </c>
      <c r="O66" s="7"/>
      <c r="P66" s="7"/>
      <c r="Q66" s="26"/>
      <c r="R66" s="26"/>
      <c r="S66" s="38">
        <f t="shared" si="8"/>
        <v>1</v>
      </c>
      <c r="T66" s="55" t="str">
        <f t="shared" si="9"/>
        <v>Southbound</v>
      </c>
      <c r="U66" s="13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10:03:03-0600',mode:absolute,to:'2016-08-12 12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6" s="57" t="str">
        <f t="shared" si="11"/>
        <v>N</v>
      </c>
      <c r="X66" s="133">
        <f t="shared" si="12"/>
        <v>1</v>
      </c>
      <c r="Y66" s="72">
        <f t="shared" si="13"/>
        <v>23.299600000000002</v>
      </c>
      <c r="Z66" s="72">
        <f t="shared" si="14"/>
        <v>0.11840000000000001</v>
      </c>
      <c r="AA66" s="72">
        <f t="shared" si="15"/>
        <v>23.1812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16"/>
        <v>0154-12</v>
      </c>
      <c r="AE66" s="108" t="str">
        <f t="shared" si="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66" s="105" t="str">
        <f t="shared" si="1"/>
        <v>"C:\Program Files (x86)\AstroGrep\AstroGrep.exe" /spath="%USERPROFILE%\AppData\Local\Temp\OnboardLogs" /stypes="*4037*20160812*" /stext=" 17:.+((SYSTEM_STATE.+slice.+state.+changed )|(ment ac)|(system.+state.+changed )|(\|lc)|(penalty)|(\[timeout)|(PRM\|1\|D)|(kpr)|(kdp))" /e /r /s</v>
      </c>
      <c r="AG66" s="1" t="str">
        <f t="shared" si="17"/>
        <v>EC</v>
      </c>
      <c r="AH66" s="109" t="str">
        <f t="shared" si="18"/>
        <v>"%USERPROFILE%\Documents\GitHub\eaglep3\Utilities\RefineRTDCRunTimes.py" --tripid 154-12 --locoid 4037 --swversion DE.1.0.7.0 --startMP 204:232996 --initTime 2016-08-12T11:03:03 --startdatetime 2016-08-12T11:04:40 --delay 1 --endMP 204:1184 --enddatetime 2016-08-12T11:51:40 --enforcementcount 0</v>
      </c>
    </row>
    <row r="67" spans="1:34" s="24" customFormat="1" x14ac:dyDescent="0.25">
      <c r="A67" s="42" t="s">
        <v>350</v>
      </c>
      <c r="B67" s="7">
        <v>4018</v>
      </c>
      <c r="C67" s="25" t="s">
        <v>122</v>
      </c>
      <c r="D67" s="25" t="s">
        <v>148</v>
      </c>
      <c r="E67" s="16">
        <v>42594.432002314818</v>
      </c>
      <c r="F67" s="16">
        <v>42594.433935185189</v>
      </c>
      <c r="G67" s="7">
        <v>2</v>
      </c>
      <c r="H67" s="16" t="s">
        <v>351</v>
      </c>
      <c r="I67" s="16">
        <v>42594.465486111112</v>
      </c>
      <c r="J67" s="7">
        <v>2</v>
      </c>
      <c r="K67" s="149" t="str">
        <f t="shared" si="5"/>
        <v>4017/4018</v>
      </c>
      <c r="L67" s="25" t="str">
        <f>VLOOKUP(A67,'Trips&amp;Operators'!$C$1:$E$10000,3,FALSE)</f>
        <v>STRICKLAND</v>
      </c>
      <c r="M67" s="6">
        <f t="shared" si="6"/>
        <v>3.1550925923511386E-2</v>
      </c>
      <c r="N67" s="7">
        <f t="shared" si="7"/>
        <v>45.433333329856396</v>
      </c>
      <c r="O67" s="7"/>
      <c r="P67" s="7"/>
      <c r="Q67" s="26"/>
      <c r="R67" s="26"/>
      <c r="S67" s="38">
        <f t="shared" si="8"/>
        <v>1</v>
      </c>
      <c r="T67" s="55" t="str">
        <f t="shared" si="9"/>
        <v>NorthBound</v>
      </c>
      <c r="U67" s="13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09:22:05-0600',mode:absolute,to:'2016-08-12 12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67" s="57" t="str">
        <f t="shared" si="11"/>
        <v>N</v>
      </c>
      <c r="X67" s="133">
        <f t="shared" si="12"/>
        <v>1</v>
      </c>
      <c r="Y67" s="72">
        <f t="shared" si="13"/>
        <v>4.53E-2</v>
      </c>
      <c r="Z67" s="72">
        <f t="shared" si="14"/>
        <v>23.333400000000001</v>
      </c>
      <c r="AA67" s="72">
        <f t="shared" si="15"/>
        <v>23.2881</v>
      </c>
      <c r="AB67" s="69">
        <f>VLOOKUP(A67,Enforcements!$C$7:$J$24,8,0)</f>
        <v>230436</v>
      </c>
      <c r="AC67" s="65" t="str">
        <f>VLOOKUP(A67,Enforcements!$C$7:$E$24,3,0)</f>
        <v>PERMANENT SPEED RESTRICTION</v>
      </c>
      <c r="AD67" s="66" t="str">
        <f t="shared" si="16"/>
        <v>0155-12</v>
      </c>
      <c r="AE67" s="108" t="str">
        <f t="shared" si="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67" s="105" t="str">
        <f t="shared" si="1"/>
        <v>"C:\Program Files (x86)\AstroGrep\AstroGrep.exe" /spath="%USERPROFILE%\AppData\Local\Temp\OnboardLogs" /stypes="*4018*20160812*" /stext=" 17:.+((SYSTEM_STATE.+slice.+state.+changed )|(ment ac)|(system.+state.+changed )|(\|lc)|(penalty)|(\[timeout)|(PRM\|1\|D)|(kpr)|(kdp))" /e /r /s</v>
      </c>
      <c r="AG67" s="1" t="str">
        <f t="shared" si="17"/>
        <v>EC</v>
      </c>
      <c r="AH67" s="109" t="str">
        <f t="shared" si="18"/>
        <v>"%USERPROFILE%\Documents\GitHub\eaglep3\Utilities\RefineRTDCRunTimes.py" --tripid 155-12 --locoid 4018 --swversion DE.1.0.7.0 --startMP 204:453 --initTime 2016-08-12T10:22:05 --startdatetime 2016-08-12T10:24:52 --delay 2 --endMP 204:233334 --enddatetime 2016-08-12T11:10:18 --enforcementcount 2</v>
      </c>
    </row>
    <row r="68" spans="1:34" x14ac:dyDescent="0.25">
      <c r="A68" s="42" t="s">
        <v>352</v>
      </c>
      <c r="B68" s="7">
        <v>4017</v>
      </c>
      <c r="C68" s="25" t="s">
        <v>122</v>
      </c>
      <c r="D68" s="25" t="s">
        <v>197</v>
      </c>
      <c r="E68" s="16">
        <v>42594.471122685187</v>
      </c>
      <c r="F68" s="16">
        <v>42594.472592592596</v>
      </c>
      <c r="G68" s="7">
        <v>2</v>
      </c>
      <c r="H68" s="16" t="s">
        <v>155</v>
      </c>
      <c r="I68" s="16">
        <v>42594.505960648145</v>
      </c>
      <c r="J68" s="7">
        <v>1</v>
      </c>
      <c r="K68" s="149" t="str">
        <f t="shared" si="5"/>
        <v>4017/4018</v>
      </c>
      <c r="L68" s="25" t="str">
        <f>VLOOKUP(A68,'Trips&amp;Operators'!$C$1:$E$10000,3,FALSE)</f>
        <v>STRICKLAND</v>
      </c>
      <c r="M68" s="6">
        <f t="shared" si="6"/>
        <v>3.3368055548635311E-2</v>
      </c>
      <c r="N68" s="7">
        <f t="shared" si="7"/>
        <v>48.049999990034848</v>
      </c>
      <c r="O68" s="7"/>
      <c r="P68" s="7"/>
      <c r="Q68" s="26"/>
      <c r="R68" s="26"/>
      <c r="S68" s="38">
        <f t="shared" si="8"/>
        <v>1</v>
      </c>
      <c r="T68" s="55" t="str">
        <f t="shared" si="9"/>
        <v>Southbound</v>
      </c>
      <c r="U68" s="13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10:18:25-0600',mode:absolute,to:'2016-08-12 13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68" s="57" t="str">
        <f t="shared" si="11"/>
        <v>N</v>
      </c>
      <c r="X68" s="133">
        <f t="shared" si="12"/>
        <v>1</v>
      </c>
      <c r="Y68" s="72">
        <f t="shared" si="13"/>
        <v>23.302099999999999</v>
      </c>
      <c r="Z68" s="72">
        <f t="shared" si="14"/>
        <v>1.41E-2</v>
      </c>
      <c r="AA68" s="72">
        <f t="shared" si="15"/>
        <v>23.288</v>
      </c>
      <c r="AB68" s="69">
        <f>VLOOKUP(A68,Enforcements!$C$7:$J$24,8,0)</f>
        <v>232107</v>
      </c>
      <c r="AC68" s="65" t="str">
        <f>VLOOKUP(A68,Enforcements!$C$7:$E$24,3,0)</f>
        <v>PERMANENT SPEED RESTRICTION</v>
      </c>
      <c r="AD68" s="66" t="str">
        <f t="shared" si="16"/>
        <v>0156-12</v>
      </c>
      <c r="AE68" s="108" t="str">
        <f t="shared" si="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68" s="105" t="str">
        <f t="shared" si="1"/>
        <v>"C:\Program Files (x86)\AstroGrep\AstroGrep.exe" /spath="%USERPROFILE%\AppData\Local\Temp\OnboardLogs" /stypes="*4017*20160812*" /stext=" 18:.+((SYSTEM_STATE.+slice.+state.+changed )|(ment ac)|(system.+state.+changed )|(\|lc)|(penalty)|(\[timeout)|(PRM\|1\|D)|(kpr)|(kdp))" /e /r /s</v>
      </c>
      <c r="AG68" s="1" t="str">
        <f t="shared" si="17"/>
        <v>EC</v>
      </c>
      <c r="AH68" s="109" t="str">
        <f t="shared" si="18"/>
        <v>"%USERPROFILE%\Documents\GitHub\eaglep3\Utilities\RefineRTDCRunTimes.py" --tripid 156-12 --locoid 4017 --swversion DE.1.0.7.0 --startMP 204:233021 --initTime 2016-08-12T11:18:25 --startdatetime 2016-08-12T11:20:32 --delay 2 --endMP 204:141 --enddatetime 2016-08-12T12:08:35 --enforcementcount 1</v>
      </c>
    </row>
    <row r="69" spans="1:34" x14ac:dyDescent="0.25">
      <c r="A69" s="42" t="s">
        <v>353</v>
      </c>
      <c r="B69" s="7">
        <v>4029</v>
      </c>
      <c r="C69" s="25" t="s">
        <v>122</v>
      </c>
      <c r="D69" s="25" t="s">
        <v>136</v>
      </c>
      <c r="E69" s="16">
        <v>42594.447708333333</v>
      </c>
      <c r="F69" s="16">
        <v>42594.448287037034</v>
      </c>
      <c r="G69" s="7">
        <v>0</v>
      </c>
      <c r="H69" s="16" t="s">
        <v>354</v>
      </c>
      <c r="I69" s="16">
        <v>42594.472372685188</v>
      </c>
      <c r="J69" s="7">
        <v>0</v>
      </c>
      <c r="K69" s="149" t="str">
        <f t="shared" si="5"/>
        <v>4029/4030</v>
      </c>
      <c r="L69" s="25" t="str">
        <f>VLOOKUP(A69,'Trips&amp;Operators'!$C$1:$E$10000,3,FALSE)</f>
        <v>ROCHA</v>
      </c>
      <c r="M69" s="6">
        <f t="shared" si="6"/>
        <v>2.4085648154141381E-2</v>
      </c>
      <c r="N69" s="7">
        <f t="shared" si="7"/>
        <v>34.683333341963589</v>
      </c>
      <c r="O69" s="7"/>
      <c r="P69" s="7"/>
      <c r="Q69" s="26"/>
      <c r="R69" s="26"/>
      <c r="S69" s="38">
        <f t="shared" si="8"/>
        <v>1</v>
      </c>
      <c r="T69" s="55" t="str">
        <f t="shared" si="9"/>
        <v>NorthBound</v>
      </c>
      <c r="U69" s="13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09:44:42-0600',mode:absolute,to:'2016-08-12 12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9" s="57" t="str">
        <f t="shared" si="11"/>
        <v>N</v>
      </c>
      <c r="X69" s="133">
        <f t="shared" si="12"/>
        <v>1</v>
      </c>
      <c r="Y69" s="72">
        <f t="shared" si="13"/>
        <v>4.5499999999999999E-2</v>
      </c>
      <c r="Z69" s="72">
        <f t="shared" si="14"/>
        <v>23.331099999999999</v>
      </c>
      <c r="AA69" s="72">
        <f t="shared" si="15"/>
        <v>23.285599999999999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16"/>
        <v>0157-12</v>
      </c>
      <c r="AE69" s="108" t="str">
        <f t="shared" si="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69" s="105" t="str">
        <f t="shared" si="1"/>
        <v>"C:\Program Files (x86)\AstroGrep\AstroGrep.exe" /spath="%USERPROFILE%\AppData\Local\Temp\OnboardLogs" /stypes="*4029*20160812*" /stext=" 17:.+((SYSTEM_STATE.+slice.+state.+changed )|(ment ac)|(system.+state.+changed )|(\|lc)|(penalty)|(\[timeout)|(PRM\|1\|D)|(kpr)|(kdp))" /e /r /s</v>
      </c>
      <c r="AG69" s="1" t="str">
        <f t="shared" si="17"/>
        <v>EC</v>
      </c>
      <c r="AH69" s="109" t="str">
        <f t="shared" si="18"/>
        <v>"%USERPROFILE%\Documents\GitHub\eaglep3\Utilities\RefineRTDCRunTimes.py" --tripid 157-12 --locoid 4029 --swversion DE.1.0.7.0 --startMP 204:455 --initTime 2016-08-12T10:44:42 --startdatetime 2016-08-12T10:45:32 --delay 0 --endMP 204:233311 --enddatetime 2016-08-12T11:20:13 --enforcementcount 0</v>
      </c>
    </row>
    <row r="70" spans="1:34" x14ac:dyDescent="0.25">
      <c r="A70" s="42" t="s">
        <v>355</v>
      </c>
      <c r="B70" s="7">
        <v>4030</v>
      </c>
      <c r="C70" s="25" t="s">
        <v>122</v>
      </c>
      <c r="D70" s="25" t="s">
        <v>224</v>
      </c>
      <c r="E70" s="16">
        <v>42594.485081018516</v>
      </c>
      <c r="F70" s="16">
        <v>42594.485798611109</v>
      </c>
      <c r="G70" s="7">
        <v>1</v>
      </c>
      <c r="H70" s="16" t="s">
        <v>93</v>
      </c>
      <c r="I70" s="16">
        <v>42594.513657407406</v>
      </c>
      <c r="J70" s="7">
        <v>0</v>
      </c>
      <c r="K70" s="149" t="str">
        <f t="shared" si="5"/>
        <v>4029/4030</v>
      </c>
      <c r="L70" s="25" t="str">
        <f>VLOOKUP(A70,'Trips&amp;Operators'!$C$1:$E$10000,3,FALSE)</f>
        <v>ROCHA</v>
      </c>
      <c r="M70" s="6">
        <f t="shared" si="6"/>
        <v>2.7858796296641231E-2</v>
      </c>
      <c r="N70" s="7">
        <f t="shared" si="7"/>
        <v>40.116666667163372</v>
      </c>
      <c r="O70" s="7"/>
      <c r="P70" s="7"/>
      <c r="Q70" s="26"/>
      <c r="R70" s="26"/>
      <c r="S70" s="38">
        <f t="shared" si="8"/>
        <v>1</v>
      </c>
      <c r="T70" s="55" t="str">
        <f t="shared" si="9"/>
        <v>Southbound</v>
      </c>
      <c r="U70" s="13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10:38:31-0600',mode:absolute,to:'2016-08-12 13:19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0" s="57" t="str">
        <f t="shared" si="11"/>
        <v>N</v>
      </c>
      <c r="X70" s="133">
        <f t="shared" si="12"/>
        <v>1</v>
      </c>
      <c r="Y70" s="72">
        <f t="shared" si="13"/>
        <v>23.2986</v>
      </c>
      <c r="Z70" s="72">
        <f t="shared" si="14"/>
        <v>1.43E-2</v>
      </c>
      <c r="AA70" s="72">
        <f t="shared" si="15"/>
        <v>23.284300000000002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16"/>
        <v>0158-12</v>
      </c>
      <c r="AE70" s="108" t="str">
        <f t="shared" si="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70" s="105" t="str">
        <f t="shared" si="1"/>
        <v>"C:\Program Files (x86)\AstroGrep\AstroGrep.exe" /spath="%USERPROFILE%\AppData\Local\Temp\OnboardLogs" /stypes="*4030*20160812*" /stext=" 18:.+((SYSTEM_STATE.+slice.+state.+changed )|(ment ac)|(system.+state.+changed )|(\|lc)|(penalty)|(\[timeout)|(PRM\|1\|D)|(kpr)|(kdp))" /e /r /s</v>
      </c>
      <c r="AG70" s="1" t="str">
        <f t="shared" si="17"/>
        <v>EC</v>
      </c>
      <c r="AH70" s="109" t="str">
        <f t="shared" si="18"/>
        <v>"%USERPROFILE%\Documents\GitHub\eaglep3\Utilities\RefineRTDCRunTimes.py" --tripid 158-12 --locoid 4030 --swversion DE.1.0.7.0 --startMP 204:232986 --initTime 2016-08-12T11:38:31 --startdatetime 2016-08-12T11:39:33 --delay 1 --endMP 204:143 --enddatetime 2016-08-12T12:19:40 --enforcementcount 0</v>
      </c>
    </row>
    <row r="71" spans="1:34" x14ac:dyDescent="0.25">
      <c r="A71" s="42" t="s">
        <v>356</v>
      </c>
      <c r="B71" s="7">
        <v>4020</v>
      </c>
      <c r="C71" s="25" t="s">
        <v>122</v>
      </c>
      <c r="D71" s="25" t="s">
        <v>136</v>
      </c>
      <c r="E71" s="16">
        <v>42594.457696759258</v>
      </c>
      <c r="F71" s="16">
        <v>42594.458703703705</v>
      </c>
      <c r="G71" s="7">
        <v>1</v>
      </c>
      <c r="H71" s="16" t="s">
        <v>181</v>
      </c>
      <c r="I71" s="16">
        <v>42594.485949074071</v>
      </c>
      <c r="J71" s="7">
        <v>0</v>
      </c>
      <c r="K71" s="149" t="str">
        <f t="shared" si="5"/>
        <v>4019/4020</v>
      </c>
      <c r="L71" s="25" t="str">
        <f>VLOOKUP(A71,'Trips&amp;Operators'!$C$1:$E$10000,3,FALSE)</f>
        <v>STEWART</v>
      </c>
      <c r="M71" s="6">
        <f t="shared" si="6"/>
        <v>2.7245370365562849E-2</v>
      </c>
      <c r="N71" s="7">
        <f t="shared" si="7"/>
        <v>39.233333326410502</v>
      </c>
      <c r="O71" s="7"/>
      <c r="P71" s="7"/>
      <c r="Q71" s="26"/>
      <c r="R71" s="26"/>
      <c r="S71" s="38">
        <f t="shared" si="8"/>
        <v>1</v>
      </c>
      <c r="T71" s="55" t="str">
        <f t="shared" si="9"/>
        <v>NorthBound</v>
      </c>
      <c r="U71" s="13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09:59:05-0600',mode:absolute,to:'2016-08-12 12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71" s="57" t="str">
        <f t="shared" si="11"/>
        <v>N</v>
      </c>
      <c r="X71" s="133">
        <f t="shared" si="12"/>
        <v>1</v>
      </c>
      <c r="Y71" s="72">
        <f t="shared" si="13"/>
        <v>4.5499999999999999E-2</v>
      </c>
      <c r="Z71" s="72">
        <f t="shared" si="14"/>
        <v>23.3306</v>
      </c>
      <c r="AA71" s="72">
        <f t="shared" si="15"/>
        <v>23.2851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16"/>
        <v>0159-12</v>
      </c>
      <c r="AE71" s="108" t="str">
        <f t="shared" si="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71" s="105" t="str">
        <f t="shared" si="1"/>
        <v>"C:\Program Files (x86)\AstroGrep\AstroGrep.exe" /spath="%USERPROFILE%\AppData\Local\Temp\OnboardLogs" /stypes="*4020*20160812*" /stext=" 17:.+((SYSTEM_STATE.+slice.+state.+changed )|(ment ac)|(system.+state.+changed )|(\|lc)|(penalty)|(\[timeout)|(PRM\|1\|D)|(kpr)|(kdp))" /e /r /s</v>
      </c>
      <c r="AG71" s="1" t="str">
        <f t="shared" si="17"/>
        <v>EC</v>
      </c>
      <c r="AH71" s="109" t="str">
        <f t="shared" si="18"/>
        <v>"%USERPROFILE%\Documents\GitHub\eaglep3\Utilities\RefineRTDCRunTimes.py" --tripid 159-12 --locoid 4020 --swversion DE.1.0.7.0 --startMP 204:455 --initTime 2016-08-12T10:59:05 --startdatetime 2016-08-12T11:00:32 --delay 1 --endMP 204:233306 --enddatetime 2016-08-12T11:39:46 --enforcementcount 0</v>
      </c>
    </row>
    <row r="72" spans="1:34" x14ac:dyDescent="0.25">
      <c r="A72" s="42" t="s">
        <v>357</v>
      </c>
      <c r="B72" s="7">
        <v>4019</v>
      </c>
      <c r="C72" s="25" t="s">
        <v>122</v>
      </c>
      <c r="D72" s="25" t="s">
        <v>305</v>
      </c>
      <c r="E72" s="16">
        <v>42594.495671296296</v>
      </c>
      <c r="F72" s="16">
        <v>42594.496921296297</v>
      </c>
      <c r="G72" s="7">
        <v>1</v>
      </c>
      <c r="H72" s="16" t="s">
        <v>153</v>
      </c>
      <c r="I72" s="16">
        <v>42594.599016203705</v>
      </c>
      <c r="J72" s="7">
        <v>0</v>
      </c>
      <c r="K72" s="149" t="str">
        <f t="shared" si="5"/>
        <v>4019/4020</v>
      </c>
      <c r="L72" s="25" t="str">
        <f>VLOOKUP(A72,'Trips&amp;Operators'!$C$1:$E$10000,3,FALSE)</f>
        <v>STEWART</v>
      </c>
      <c r="M72" s="6">
        <f t="shared" si="6"/>
        <v>0.10209490740817273</v>
      </c>
      <c r="N72" s="7">
        <f t="shared" si="7"/>
        <v>147.01666666776873</v>
      </c>
      <c r="O72" s="7"/>
      <c r="P72" s="7"/>
      <c r="Q72" s="26"/>
      <c r="R72" s="26"/>
      <c r="S72" s="38">
        <f t="shared" si="8"/>
        <v>1</v>
      </c>
      <c r="T72" s="55" t="str">
        <f t="shared" si="9"/>
        <v>Southbound</v>
      </c>
      <c r="U72" s="13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10:53:46-0600',mode:absolute,to:'2016-08-12 15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72" s="57" t="str">
        <f t="shared" si="11"/>
        <v>N</v>
      </c>
      <c r="X72" s="133">
        <f t="shared" si="12"/>
        <v>1</v>
      </c>
      <c r="Y72" s="72">
        <f t="shared" si="13"/>
        <v>23.298100000000002</v>
      </c>
      <c r="Z72" s="72">
        <f t="shared" si="14"/>
        <v>1.49E-2</v>
      </c>
      <c r="AA72" s="72">
        <f t="shared" si="15"/>
        <v>23.283200000000001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16"/>
        <v>0160-12</v>
      </c>
      <c r="AE72" s="108" t="str">
        <f t="shared" si="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72" s="105" t="str">
        <f t="shared" si="1"/>
        <v>"C:\Program Files (x86)\AstroGrep\AstroGrep.exe" /spath="%USERPROFILE%\AppData\Local\Temp\OnboardLogs" /stypes="*4019*20160812*" /stext=" 20:.+((SYSTEM_STATE.+slice.+state.+changed )|(ment ac)|(system.+state.+changed )|(\|lc)|(penalty)|(\[timeout)|(PRM\|1\|D)|(kpr)|(kdp))" /e /r /s</v>
      </c>
      <c r="AG72" s="1" t="str">
        <f t="shared" si="17"/>
        <v>EC</v>
      </c>
      <c r="AH72" s="109" t="str">
        <f t="shared" si="18"/>
        <v>"%USERPROFILE%\Documents\GitHub\eaglep3\Utilities\RefineRTDCRunTimes.py" --tripid 160-12 --locoid 4019 --swversion DE.1.0.7.0 --startMP 204:232981 --initTime 2016-08-12T11:53:46 --startdatetime 2016-08-12T11:55:34 --delay 1 --endMP 204:149 --enddatetime 2016-08-12T14:22:35 --enforcementcount 0</v>
      </c>
    </row>
    <row r="73" spans="1:34" x14ac:dyDescent="0.25">
      <c r="A73" s="42" t="s">
        <v>358</v>
      </c>
      <c r="B73" s="7">
        <v>4031</v>
      </c>
      <c r="C73" s="25" t="s">
        <v>122</v>
      </c>
      <c r="D73" s="25" t="s">
        <v>359</v>
      </c>
      <c r="E73" s="16">
        <v>42594.466516203705</v>
      </c>
      <c r="F73" s="16">
        <v>42594.467581018522</v>
      </c>
      <c r="G73" s="7">
        <v>1</v>
      </c>
      <c r="H73" s="16" t="s">
        <v>156</v>
      </c>
      <c r="I73" s="16">
        <v>42594.495046296295</v>
      </c>
      <c r="J73" s="7">
        <v>0</v>
      </c>
      <c r="K73" s="149" t="str">
        <f t="shared" si="5"/>
        <v>4031/4032</v>
      </c>
      <c r="L73" s="25" t="str">
        <f>VLOOKUP(A73,'Trips&amp;Operators'!$C$1:$E$10000,3,FALSE)</f>
        <v>MAYBERRY</v>
      </c>
      <c r="M73" s="6">
        <f t="shared" si="6"/>
        <v>2.7465277773444541E-2</v>
      </c>
      <c r="N73" s="7">
        <f t="shared" si="7"/>
        <v>39.549999993760139</v>
      </c>
      <c r="O73" s="7"/>
      <c r="P73" s="7"/>
      <c r="Q73" s="26"/>
      <c r="R73" s="26"/>
      <c r="S73" s="38">
        <f t="shared" si="8"/>
        <v>1</v>
      </c>
      <c r="T73" s="55" t="str">
        <f t="shared" si="9"/>
        <v>NorthBound</v>
      </c>
      <c r="U73" s="13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10:11:47-0600',mode:absolute,to:'2016-08-12 12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73" s="57" t="str">
        <f t="shared" si="11"/>
        <v>N</v>
      </c>
      <c r="X73" s="133">
        <f t="shared" si="12"/>
        <v>1</v>
      </c>
      <c r="Y73" s="72">
        <f t="shared" si="13"/>
        <v>4.7300000000000002E-2</v>
      </c>
      <c r="Z73" s="72">
        <f t="shared" si="14"/>
        <v>23.328600000000002</v>
      </c>
      <c r="AA73" s="72">
        <f t="shared" si="15"/>
        <v>23.281300000000002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16"/>
        <v>0161-12</v>
      </c>
      <c r="AE73" s="108" t="str">
        <f t="shared" si="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73" s="105" t="str">
        <f t="shared" si="1"/>
        <v>"C:\Program Files (x86)\AstroGrep\AstroGrep.exe" /spath="%USERPROFILE%\AppData\Local\Temp\OnboardLogs" /stypes="*4031*20160812*" /stext=" 17:.+((SYSTEM_STATE.+slice.+state.+changed )|(ment ac)|(system.+state.+changed )|(\|lc)|(penalty)|(\[timeout)|(PRM\|1\|D)|(kpr)|(kdp))" /e /r /s</v>
      </c>
      <c r="AG73" s="1" t="str">
        <f t="shared" si="17"/>
        <v>EC</v>
      </c>
      <c r="AH73" s="109" t="str">
        <f t="shared" si="18"/>
        <v>"%USERPROFILE%\Documents\GitHub\eaglep3\Utilities\RefineRTDCRunTimes.py" --tripid 161-12 --locoid 4031 --swversion DE.1.0.7.0 --startMP 204:473 --initTime 2016-08-12T11:11:47 --startdatetime 2016-08-12T11:13:19 --delay 1 --endMP 204:233286 --enddatetime 2016-08-12T11:52:52 --enforcementcount 0</v>
      </c>
    </row>
    <row r="74" spans="1:34" x14ac:dyDescent="0.25">
      <c r="A74" s="42" t="s">
        <v>360</v>
      </c>
      <c r="B74" s="7">
        <v>4032</v>
      </c>
      <c r="C74" s="25" t="s">
        <v>122</v>
      </c>
      <c r="D74" s="25" t="s">
        <v>214</v>
      </c>
      <c r="E74" s="16">
        <v>42594.505416666667</v>
      </c>
      <c r="F74" s="16">
        <v>42594.508333333331</v>
      </c>
      <c r="G74" s="7">
        <v>4</v>
      </c>
      <c r="H74" s="16" t="s">
        <v>154</v>
      </c>
      <c r="I74" s="16">
        <v>42594.535763888889</v>
      </c>
      <c r="J74" s="7">
        <v>0</v>
      </c>
      <c r="K74" s="149" t="str">
        <f t="shared" si="5"/>
        <v>4031/4032</v>
      </c>
      <c r="L74" s="25" t="str">
        <f>VLOOKUP(A74,'Trips&amp;Operators'!$C$1:$E$10000,3,FALSE)</f>
        <v>MAYBERRY</v>
      </c>
      <c r="M74" s="6">
        <f t="shared" si="6"/>
        <v>2.7430555557657499E-2</v>
      </c>
      <c r="N74" s="7">
        <f t="shared" si="7"/>
        <v>39.500000003026798</v>
      </c>
      <c r="O74" s="7"/>
      <c r="P74" s="7"/>
      <c r="Q74" s="26"/>
      <c r="R74" s="26"/>
      <c r="S74" s="38">
        <f t="shared" si="8"/>
        <v>1</v>
      </c>
      <c r="T74" s="55" t="str">
        <f t="shared" si="9"/>
        <v>Southbound</v>
      </c>
      <c r="U74" s="13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11:07:48-0600',mode:absolute,to:'2016-08-12 13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74" s="57" t="str">
        <f t="shared" si="11"/>
        <v>N</v>
      </c>
      <c r="X74" s="133">
        <f t="shared" si="12"/>
        <v>1</v>
      </c>
      <c r="Y74" s="72">
        <f t="shared" si="13"/>
        <v>23.2973</v>
      </c>
      <c r="Z74" s="72">
        <f t="shared" si="14"/>
        <v>1.4500000000000001E-2</v>
      </c>
      <c r="AA74" s="72">
        <f t="shared" si="15"/>
        <v>23.282799999999998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16"/>
        <v>0162-12</v>
      </c>
      <c r="AE74" s="108" t="str">
        <f t="shared" si="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74" s="105" t="str">
        <f t="shared" si="1"/>
        <v>"C:\Program Files (x86)\AstroGrep\AstroGrep.exe" /spath="%USERPROFILE%\AppData\Local\Temp\OnboardLogs" /stypes="*4032*20160812*" /stext=" 18:.+((SYSTEM_STATE.+slice.+state.+changed )|(ment ac)|(system.+state.+changed )|(\|lc)|(penalty)|(\[timeout)|(PRM\|1\|D)|(kpr)|(kdp))" /e /r /s</v>
      </c>
      <c r="AG74" s="1" t="str">
        <f t="shared" si="17"/>
        <v>EC</v>
      </c>
      <c r="AH74" s="109" t="str">
        <f t="shared" si="18"/>
        <v>"%USERPROFILE%\Documents\GitHub\eaglep3\Utilities\RefineRTDCRunTimes.py" --tripid 162-12 --locoid 4032 --swversion DE.1.0.7.0 --startMP 204:232973 --initTime 2016-08-12T12:07:48 --startdatetime 2016-08-12T12:12:00 --delay 4 --endMP 204:145 --enddatetime 2016-08-12T12:51:30 --enforcementcount 0</v>
      </c>
    </row>
    <row r="75" spans="1:34" s="24" customFormat="1" x14ac:dyDescent="0.25">
      <c r="A75" s="42" t="s">
        <v>361</v>
      </c>
      <c r="B75" s="7">
        <v>4014</v>
      </c>
      <c r="C75" s="25" t="s">
        <v>122</v>
      </c>
      <c r="D75" s="25" t="s">
        <v>148</v>
      </c>
      <c r="E75" s="16">
        <v>42594.474270833336</v>
      </c>
      <c r="F75" s="16">
        <v>42594.475428240738</v>
      </c>
      <c r="G75" s="7">
        <v>1</v>
      </c>
      <c r="H75" s="16" t="s">
        <v>159</v>
      </c>
      <c r="I75" s="16">
        <v>42594.505208333336</v>
      </c>
      <c r="J75" s="7">
        <v>0</v>
      </c>
      <c r="K75" s="149" t="str">
        <f t="shared" si="5"/>
        <v>4013/4014</v>
      </c>
      <c r="L75" s="25" t="str">
        <f>VLOOKUP(A75,'Trips&amp;Operators'!$C$1:$E$10000,3,FALSE)</f>
        <v>SWANSON</v>
      </c>
      <c r="M75" s="6">
        <f t="shared" si="6"/>
        <v>2.9780092598230112E-2</v>
      </c>
      <c r="N75" s="7">
        <f t="shared" si="7"/>
        <v>42.883333341451362</v>
      </c>
      <c r="O75" s="7"/>
      <c r="P75" s="7"/>
      <c r="Q75" s="26"/>
      <c r="R75" s="26"/>
      <c r="S75" s="38">
        <f t="shared" si="8"/>
        <v>1</v>
      </c>
      <c r="T75" s="55" t="str">
        <f t="shared" si="9"/>
        <v>NorthBound</v>
      </c>
      <c r="U75" s="13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10:22:57-0600',mode:absolute,to:'2016-08-12 13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75" s="57" t="str">
        <f t="shared" si="11"/>
        <v>N</v>
      </c>
      <c r="X75" s="133">
        <f t="shared" si="12"/>
        <v>1</v>
      </c>
      <c r="Y75" s="72">
        <f t="shared" si="13"/>
        <v>4.53E-2</v>
      </c>
      <c r="Z75" s="72">
        <f t="shared" si="14"/>
        <v>23.331199999999999</v>
      </c>
      <c r="AA75" s="72">
        <f t="shared" si="15"/>
        <v>23.285899999999998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16"/>
        <v>0163-12</v>
      </c>
      <c r="AE75" s="108" t="str">
        <f t="shared" si="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75" s="105" t="str">
        <f t="shared" si="1"/>
        <v>"C:\Program Files (x86)\AstroGrep\AstroGrep.exe" /spath="%USERPROFILE%\AppData\Local\Temp\OnboardLogs" /stypes="*4014*20160812*" /stext=" 18:.+((SYSTEM_STATE.+slice.+state.+changed )|(ment ac)|(system.+state.+changed )|(\|lc)|(penalty)|(\[timeout)|(PRM\|1\|D)|(kpr)|(kdp))" /e /r /s</v>
      </c>
      <c r="AG75" s="1" t="str">
        <f t="shared" si="17"/>
        <v>EC</v>
      </c>
      <c r="AH75" s="109" t="str">
        <f t="shared" si="18"/>
        <v>"%USERPROFILE%\Documents\GitHub\eaglep3\Utilities\RefineRTDCRunTimes.py" --tripid 163-12 --locoid 4014 --swversion DE.1.0.7.0 --startMP 204:453 --initTime 2016-08-12T11:22:57 --startdatetime 2016-08-12T11:24:37 --delay 1 --endMP 204:233312 --enddatetime 2016-08-12T12:07:30 --enforcementcount 0</v>
      </c>
    </row>
    <row r="76" spans="1:34" s="24" customFormat="1" x14ac:dyDescent="0.25">
      <c r="A76" s="42" t="s">
        <v>362</v>
      </c>
      <c r="B76" s="7">
        <v>4013</v>
      </c>
      <c r="C76" s="25" t="s">
        <v>122</v>
      </c>
      <c r="D76" s="25" t="s">
        <v>363</v>
      </c>
      <c r="E76" s="16">
        <v>42594.509756944448</v>
      </c>
      <c r="F76" s="16">
        <v>42594.511111111111</v>
      </c>
      <c r="G76" s="7">
        <v>1</v>
      </c>
      <c r="H76" s="16" t="s">
        <v>155</v>
      </c>
      <c r="I76" s="16">
        <v>42594.5471875</v>
      </c>
      <c r="J76" s="7">
        <v>0</v>
      </c>
      <c r="K76" s="149" t="str">
        <f t="shared" si="5"/>
        <v>4013/4014</v>
      </c>
      <c r="L76" s="25" t="str">
        <f>VLOOKUP(A76,'Trips&amp;Operators'!$C$1:$E$10000,3,FALSE)</f>
        <v>SWANSON</v>
      </c>
      <c r="M76" s="6">
        <f t="shared" si="6"/>
        <v>3.6076388889341615E-2</v>
      </c>
      <c r="N76" s="7">
        <f t="shared" si="7"/>
        <v>51.950000000651926</v>
      </c>
      <c r="O76" s="7"/>
      <c r="P76" s="7"/>
      <c r="Q76" s="26"/>
      <c r="R76" s="26"/>
      <c r="S76" s="38">
        <f t="shared" si="8"/>
        <v>1</v>
      </c>
      <c r="T76" s="55" t="str">
        <f t="shared" si="9"/>
        <v>Southbound</v>
      </c>
      <c r="U76" s="13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11:14:03-0600',mode:absolute,to:'2016-08-12 14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76" s="57" t="str">
        <f t="shared" si="11"/>
        <v>N</v>
      </c>
      <c r="X76" s="133">
        <f t="shared" si="12"/>
        <v>1</v>
      </c>
      <c r="Y76" s="72">
        <f t="shared" si="13"/>
        <v>23.300599999999999</v>
      </c>
      <c r="Z76" s="72">
        <f t="shared" si="14"/>
        <v>1.41E-2</v>
      </c>
      <c r="AA76" s="72">
        <f t="shared" si="15"/>
        <v>23.2865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16"/>
        <v>0164-12</v>
      </c>
      <c r="AE76" s="108" t="str">
        <f t="shared" si="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76" s="105" t="str">
        <f t="shared" si="1"/>
        <v>"C:\Program Files (x86)\AstroGrep\AstroGrep.exe" /spath="%USERPROFILE%\AppData\Local\Temp\OnboardLogs" /stypes="*4013*20160812*" /stext=" 19:.+((SYSTEM_STATE.+slice.+state.+changed )|(ment ac)|(system.+state.+changed )|(\|lc)|(penalty)|(\[timeout)|(PRM\|1\|D)|(kpr)|(kdp))" /e /r /s</v>
      </c>
      <c r="AG76" s="1" t="str">
        <f t="shared" si="17"/>
        <v>EC</v>
      </c>
      <c r="AH76" s="109" t="str">
        <f t="shared" si="18"/>
        <v>"%USERPROFILE%\Documents\GitHub\eaglep3\Utilities\RefineRTDCRunTimes.py" --tripid 164-12 --locoid 4013 --swversion DE.1.0.7.0 --startMP 204:233006 --initTime 2016-08-12T12:14:03 --startdatetime 2016-08-12T12:16:00 --delay 1 --endMP 204:141 --enddatetime 2016-08-12T13:07:57 --enforcementcount 0</v>
      </c>
    </row>
    <row r="77" spans="1:34" x14ac:dyDescent="0.25">
      <c r="A77" s="42" t="s">
        <v>364</v>
      </c>
      <c r="B77" s="7">
        <v>4027</v>
      </c>
      <c r="C77" s="25" t="s">
        <v>122</v>
      </c>
      <c r="D77" s="25" t="s">
        <v>117</v>
      </c>
      <c r="E77" s="16">
        <v>42594.493032407408</v>
      </c>
      <c r="F77" s="16">
        <v>42594.494131944448</v>
      </c>
      <c r="G77" s="7">
        <v>1</v>
      </c>
      <c r="H77" s="16" t="s">
        <v>200</v>
      </c>
      <c r="I77" s="16">
        <v>42594.522222222222</v>
      </c>
      <c r="J77" s="7">
        <v>0</v>
      </c>
      <c r="K77" s="149" t="str">
        <f t="shared" si="5"/>
        <v>4027/4028</v>
      </c>
      <c r="L77" s="25" t="str">
        <f>VLOOKUP(A77,'Trips&amp;Operators'!$C$1:$E$10000,3,FALSE)</f>
        <v>GRASTON</v>
      </c>
      <c r="M77" s="6">
        <f t="shared" si="6"/>
        <v>2.8090277774026617E-2</v>
      </c>
      <c r="N77" s="7">
        <f t="shared" si="7"/>
        <v>40.449999994598329</v>
      </c>
      <c r="O77" s="7"/>
      <c r="P77" s="7"/>
      <c r="Q77" s="26"/>
      <c r="R77" s="26"/>
      <c r="S77" s="38">
        <f t="shared" si="8"/>
        <v>1</v>
      </c>
      <c r="T77" s="55" t="str">
        <f t="shared" si="9"/>
        <v>NorthBound</v>
      </c>
      <c r="U77" s="13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10:49:58-0600',mode:absolute,to:'2016-08-12 13:32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77" s="57" t="str">
        <f t="shared" si="11"/>
        <v>N</v>
      </c>
      <c r="X77" s="133">
        <f t="shared" si="12"/>
        <v>1</v>
      </c>
      <c r="Y77" s="72">
        <f t="shared" si="13"/>
        <v>4.6199999999999998E-2</v>
      </c>
      <c r="Z77" s="72">
        <f t="shared" si="14"/>
        <v>23.328199999999999</v>
      </c>
      <c r="AA77" s="72">
        <f t="shared" si="15"/>
        <v>23.282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si="16"/>
        <v>0165-12</v>
      </c>
      <c r="AE77" s="108" t="str">
        <f t="shared" ref="AE77:AE140" si="30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77" s="105" t="str">
        <f t="shared" ref="AF77:AF140" si="31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/stypes="*4027*20160812*" /stext=" 18:.+((SYSTEM_STATE.+slice.+state.+changed )|(ment ac)|(system.+state.+changed )|(\|lc)|(penalty)|(\[timeout)|(PRM\|1\|D)|(kpr)|(kdp))" /e /r /s</v>
      </c>
      <c r="AG77" s="1" t="str">
        <f t="shared" si="17"/>
        <v>EC</v>
      </c>
      <c r="AH77" s="109" t="str">
        <f t="shared" si="18"/>
        <v>"%USERPROFILE%\Documents\GitHub\eaglep3\Utilities\RefineRTDCRunTimes.py" --tripid 165-12 --locoid 4027 --swversion DE.1.0.7.0 --startMP 204:462 --initTime 2016-08-12T11:49:58 --startdatetime 2016-08-12T11:51:33 --delay 1 --endMP 204:233282 --enddatetime 2016-08-12T12:32:00 --enforcementcount 0</v>
      </c>
    </row>
    <row r="78" spans="1:34" x14ac:dyDescent="0.25">
      <c r="A78" s="42" t="s">
        <v>365</v>
      </c>
      <c r="B78" s="7">
        <v>4028</v>
      </c>
      <c r="C78" s="25" t="s">
        <v>122</v>
      </c>
      <c r="D78" s="25" t="s">
        <v>366</v>
      </c>
      <c r="E78" s="16">
        <v>42594.528923611113</v>
      </c>
      <c r="F78" s="16">
        <v>42594.53</v>
      </c>
      <c r="G78" s="7">
        <v>1</v>
      </c>
      <c r="H78" s="16" t="s">
        <v>231</v>
      </c>
      <c r="I78" s="16">
        <v>42594.556990740741</v>
      </c>
      <c r="J78" s="7">
        <v>1</v>
      </c>
      <c r="K78" s="149" t="str">
        <f t="shared" si="5"/>
        <v>4027/4028</v>
      </c>
      <c r="L78" s="25" t="str">
        <f>VLOOKUP(A78,'Trips&amp;Operators'!$C$1:$E$10000,3,FALSE)</f>
        <v>MOSES</v>
      </c>
      <c r="M78" s="6">
        <f t="shared" si="6"/>
        <v>2.6990740741894115E-2</v>
      </c>
      <c r="N78" s="7">
        <f t="shared" si="7"/>
        <v>38.866666668327525</v>
      </c>
      <c r="O78" s="7"/>
      <c r="P78" s="7"/>
      <c r="Q78" s="26"/>
      <c r="R78" s="26"/>
      <c r="S78" s="38">
        <f t="shared" si="8"/>
        <v>1</v>
      </c>
      <c r="T78" s="55" t="str">
        <f t="shared" si="9"/>
        <v>Southbound</v>
      </c>
      <c r="U78" s="13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11:41:39-0600',mode:absolute,to:'2016-08-12 14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78" s="57" t="str">
        <f t="shared" si="11"/>
        <v>N</v>
      </c>
      <c r="X78" s="133">
        <f t="shared" si="12"/>
        <v>1</v>
      </c>
      <c r="Y78" s="72">
        <f t="shared" si="13"/>
        <v>23.296500000000002</v>
      </c>
      <c r="Z78" s="72">
        <f t="shared" si="14"/>
        <v>2.2100000000000002E-2</v>
      </c>
      <c r="AA78" s="72">
        <f t="shared" si="15"/>
        <v>23.274400000000004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si="16"/>
        <v>0166-12</v>
      </c>
      <c r="AE78" s="108" t="str">
        <f t="shared" si="3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78" s="105" t="str">
        <f t="shared" si="31"/>
        <v>"C:\Program Files (x86)\AstroGrep\AstroGrep.exe" /spath="%USERPROFILE%\AppData\Local\Temp\OnboardLogs" /stypes="*4028*20160812*" /stext=" 19:.+((SYSTEM_STATE.+slice.+state.+changed )|(ment ac)|(system.+state.+changed )|(\|lc)|(penalty)|(\[timeout)|(PRM\|1\|D)|(kpr)|(kdp))" /e /r /s</v>
      </c>
      <c r="AG78" s="1" t="str">
        <f t="shared" si="17"/>
        <v>EC</v>
      </c>
      <c r="AH78" s="109" t="str">
        <f t="shared" si="18"/>
        <v>"%USERPROFILE%\Documents\GitHub\eaglep3\Utilities\RefineRTDCRunTimes.py" --tripid 166-12 --locoid 4028 --swversion DE.1.0.7.0 --startMP 204:232965 --initTime 2016-08-12T12:41:39 --startdatetime 2016-08-12T12:43:12 --delay 1 --endMP 204:221 --enddatetime 2016-08-12T13:22:04 --enforcementcount 1</v>
      </c>
    </row>
    <row r="79" spans="1:34" x14ac:dyDescent="0.25">
      <c r="A79" s="42" t="s">
        <v>367</v>
      </c>
      <c r="B79" s="7">
        <v>4038</v>
      </c>
      <c r="C79" s="25" t="s">
        <v>122</v>
      </c>
      <c r="D79" s="25" t="s">
        <v>368</v>
      </c>
      <c r="E79" s="16">
        <v>42594.499976851854</v>
      </c>
      <c r="F79" s="16">
        <v>42594.501122685186</v>
      </c>
      <c r="G79" s="7">
        <v>1</v>
      </c>
      <c r="H79" s="16" t="s">
        <v>195</v>
      </c>
      <c r="I79" s="16">
        <v>42594.528287037036</v>
      </c>
      <c r="J79" s="7">
        <v>0</v>
      </c>
      <c r="K79" s="149" t="str">
        <f t="shared" si="5"/>
        <v>4037/4038</v>
      </c>
      <c r="L79" s="25" t="str">
        <f>VLOOKUP(A79,'Trips&amp;Operators'!$C$1:$E$10000,3,FALSE)</f>
        <v>SANTIZO</v>
      </c>
      <c r="M79" s="6">
        <f t="shared" si="6"/>
        <v>2.7164351849933155E-2</v>
      </c>
      <c r="N79" s="7">
        <f t="shared" si="7"/>
        <v>39.116666663903743</v>
      </c>
      <c r="O79" s="7"/>
      <c r="P79" s="7"/>
      <c r="Q79" s="26"/>
      <c r="R79" s="26"/>
      <c r="S79" s="38">
        <f t="shared" si="8"/>
        <v>1</v>
      </c>
      <c r="T79" s="55" t="str">
        <f t="shared" si="9"/>
        <v>NorthBound</v>
      </c>
      <c r="U79" s="13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5" t="str">
        <f t="shared" si="10"/>
        <v>https://search-rtdc-monitor-bjffxe2xuh6vdkpspy63sjmuny.us-east-1.es.amazonaws.com/_plugin/kibana/#/discover/Steve-Slow-Train-Analysis-(2080s-and-2083s)?_g=(refreshInterval:(display:Off,section:0,value:0),time:(from:'2016-08-12 10:59:58-0600',mode:absolute,to:'2016-08-12 13:40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79" s="57" t="str">
        <f t="shared" si="11"/>
        <v>N</v>
      </c>
      <c r="X79" s="133">
        <f t="shared" si="12"/>
        <v>1</v>
      </c>
      <c r="Y79" s="72">
        <f t="shared" si="13"/>
        <v>0.15160000000000001</v>
      </c>
      <c r="Z79" s="72">
        <f t="shared" si="14"/>
        <v>23.331900000000001</v>
      </c>
      <c r="AA79" s="72">
        <f t="shared" si="15"/>
        <v>23.180300000000003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16"/>
        <v>0167-12</v>
      </c>
      <c r="AE79" s="108" t="str">
        <f t="shared" si="3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79" s="105" t="str">
        <f t="shared" si="31"/>
        <v>"C:\Program Files (x86)\AstroGrep\AstroGrep.exe" /spath="%USERPROFILE%\AppData\Local\Temp\OnboardLogs" /stypes="*4038*20160812*" /stext=" 18:.+((SYSTEM_STATE.+slice.+state.+changed )|(ment ac)|(system.+state.+changed )|(\|lc)|(penalty)|(\[timeout)|(PRM\|1\|D)|(kpr)|(kdp))" /e /r /s</v>
      </c>
      <c r="AG79" s="1" t="str">
        <f t="shared" si="17"/>
        <v>EC</v>
      </c>
      <c r="AH79" s="109" t="str">
        <f t="shared" si="18"/>
        <v>"%USERPROFILE%\Documents\GitHub\eaglep3\Utilities\RefineRTDCRunTimes.py" --tripid 167-12 --locoid 4038 --swversion DE.1.0.7.0 --startMP 204:1516 --initTime 2016-08-12T11:59:58 --startdatetime 2016-08-12T12:01:37 --delay 1 --endMP 204:233319 --enddatetime 2016-08-12T12:40:44 --enforcementcount 0</v>
      </c>
    </row>
    <row r="80" spans="1:34" x14ac:dyDescent="0.25">
      <c r="A80" s="42" t="s">
        <v>369</v>
      </c>
      <c r="B80" s="7">
        <v>4037</v>
      </c>
      <c r="C80" s="25" t="s">
        <v>122</v>
      </c>
      <c r="D80" s="25" t="s">
        <v>337</v>
      </c>
      <c r="E80" s="16">
        <v>42594.536249999997</v>
      </c>
      <c r="F80" s="16">
        <v>42594.537152777775</v>
      </c>
      <c r="G80" s="7">
        <v>1</v>
      </c>
      <c r="H80" s="16" t="s">
        <v>317</v>
      </c>
      <c r="I80" s="16">
        <v>42594.566087962965</v>
      </c>
      <c r="J80" s="7">
        <v>0</v>
      </c>
      <c r="K80" s="149" t="str">
        <f t="shared" ref="K80:K142" si="32">IF(ISEVEN(B80),(B80-1)&amp;"/"&amp;B80,B80&amp;"/"&amp;(B80+1))</f>
        <v>4037/4038</v>
      </c>
      <c r="L80" s="25" t="str">
        <f>VLOOKUP(A80,'Trips&amp;Operators'!$C$1:$E$10000,3,FALSE)</f>
        <v>SANTIZO</v>
      </c>
      <c r="M80" s="6">
        <f t="shared" ref="M80:M142" si="33">I80-F80</f>
        <v>2.8935185189766344E-2</v>
      </c>
      <c r="N80" s="7">
        <f t="shared" ref="N80:N141" si="34">24*60*SUM($M80:$M80)</f>
        <v>41.666666673263535</v>
      </c>
      <c r="O80" s="7"/>
      <c r="P80" s="7"/>
      <c r="Q80" s="26"/>
      <c r="R80" s="26"/>
      <c r="S80" s="38">
        <f t="shared" ref="S80:S141" si="35">SUM(U80:U80)/IF(AG80="EC",12,1)</f>
        <v>1</v>
      </c>
      <c r="T80" s="55" t="str">
        <f t="shared" ref="T80:T142" si="36">IF(ISEVEN(LEFT(AD80,4)),"Southbound","NorthBound")</f>
        <v>Southbound</v>
      </c>
      <c r="U80" s="13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5" t="str">
        <f t="shared" ref="V80:V142" si="37"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https://search-rtdc-monitor-bjffxe2xuh6vdkpspy63sjmuny.us-east-1.es.amazonaws.com/_plugin/kibana/#/discover/Steve-Slow-Train-Analysis-(2080s-and-2083s)?_g=(refreshInterval:(display:Off,section:0,value:0),time:(from:'2016-08-12 11:52:12-0600',mode:absolute,to:'2016-08-12 14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0" s="57" t="str">
        <f t="shared" ref="W80:W142" si="38">IF(AA80&lt;IF(AG80="EC",23,5.65),"Y","N")</f>
        <v>N</v>
      </c>
      <c r="X80" s="133">
        <f t="shared" ref="X80:X140" si="39">VALUE(LEFT(AD80,4))-VALUE(LEFT(AD79,4))</f>
        <v>1</v>
      </c>
      <c r="Y80" s="72">
        <f t="shared" ref="Y80:Y140" si="40">RIGHT(D80,LEN(D80)-4)/10000</f>
        <v>23.3</v>
      </c>
      <c r="Z80" s="72">
        <f t="shared" ref="Z80:Z141" si="41">RIGHT(H80,LEN(H80)-4)/10000</f>
        <v>1.54E-2</v>
      </c>
      <c r="AA80" s="72">
        <f t="shared" ref="AA80:AA142" si="42">ABS(Z80-Y80)</f>
        <v>23.284600000000001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ref="AD80:AD142" si="43">IF(LEN(A80)=6,"0"&amp;A80,A80)</f>
        <v>0168-12</v>
      </c>
      <c r="AE80" s="108" t="str">
        <f t="shared" si="3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80" s="105" t="str">
        <f t="shared" si="31"/>
        <v>"C:\Program Files (x86)\AstroGrep\AstroGrep.exe" /spath="%USERPROFILE%\AppData\Local\Temp\OnboardLogs" /stypes="*4037*20160812*" /stext=" 19:.+((SYSTEM_STATE.+slice.+state.+changed )|(ment ac)|(system.+state.+changed )|(\|lc)|(penalty)|(\[timeout)|(PRM\|1\|D)|(kpr)|(kdp))" /e /r /s</v>
      </c>
      <c r="AG80" s="1" t="str">
        <f t="shared" ref="AG80:AG142" si="44">IF(VALUE(LEFT(AD80,2))&lt;=2,"EC",IF(OR(VALUE(LEFT(AD80,2))=8,VALUE(LEFT(AD80,2))=18),"NW","Other"))</f>
        <v>EC</v>
      </c>
      <c r="AH80" s="109" t="str">
        <f t="shared" ref="AH80:AH142" si="45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</f>
        <v>"%USERPROFILE%\Documents\GitHub\eaglep3\Utilities\RefineRTDCRunTimes.py" --tripid 168-12 --locoid 4037 --swversion DE.1.0.7.0 --startMP 204:233000 --initTime 2016-08-12T12:52:12 --startdatetime 2016-08-12T12:53:30 --delay 1 --endMP 204:154 --enddatetime 2016-08-12T13:35:10 --enforcementcount 0</v>
      </c>
    </row>
    <row r="81" spans="1:34" x14ac:dyDescent="0.25">
      <c r="A81" s="42" t="s">
        <v>370</v>
      </c>
      <c r="B81" s="7">
        <v>4018</v>
      </c>
      <c r="C81" s="25" t="s">
        <v>122</v>
      </c>
      <c r="D81" s="25" t="s">
        <v>220</v>
      </c>
      <c r="E81" s="16">
        <v>42594.507754629631</v>
      </c>
      <c r="F81" s="16">
        <v>42594.509201388886</v>
      </c>
      <c r="G81" s="7">
        <v>2</v>
      </c>
      <c r="H81" s="16" t="s">
        <v>371</v>
      </c>
      <c r="I81" s="16">
        <v>42594.53633101852</v>
      </c>
      <c r="J81" s="7">
        <v>0</v>
      </c>
      <c r="K81" s="149" t="str">
        <f t="shared" si="32"/>
        <v>4017/4018</v>
      </c>
      <c r="L81" s="25" t="str">
        <f>VLOOKUP(A81,'Trips&amp;Operators'!$C$1:$E$10000,3,FALSE)</f>
        <v>SHOOK</v>
      </c>
      <c r="M81" s="6">
        <f t="shared" si="33"/>
        <v>2.7129629634146113E-2</v>
      </c>
      <c r="N81" s="7">
        <f t="shared" si="34"/>
        <v>39.066666673170403</v>
      </c>
      <c r="O81" s="7"/>
      <c r="P81" s="7"/>
      <c r="Q81" s="26"/>
      <c r="R81" s="26"/>
      <c r="S81" s="38">
        <f t="shared" si="35"/>
        <v>1</v>
      </c>
      <c r="T81" s="55" t="str">
        <f t="shared" si="36"/>
        <v>NorthBound</v>
      </c>
      <c r="U81" s="13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11:11:10-0600',mode:absolute,to:'2016-08-12 13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81" s="57" t="str">
        <f t="shared" si="38"/>
        <v>N</v>
      </c>
      <c r="X81" s="133">
        <f t="shared" si="39"/>
        <v>1</v>
      </c>
      <c r="Y81" s="72">
        <f t="shared" si="40"/>
        <v>4.6600000000000003E-2</v>
      </c>
      <c r="Z81" s="72">
        <f t="shared" si="41"/>
        <v>23.337199999999999</v>
      </c>
      <c r="AA81" s="72">
        <f t="shared" si="42"/>
        <v>23.290599999999998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43"/>
        <v>0169-12</v>
      </c>
      <c r="AE81" s="108" t="str">
        <f t="shared" si="3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81" s="105" t="str">
        <f t="shared" si="31"/>
        <v>"C:\Program Files (x86)\AstroGrep\AstroGrep.exe" /spath="%USERPROFILE%\AppData\Local\Temp\OnboardLogs" /stypes="*4018*20160812*" /stext=" 18:.+((SYSTEM_STATE.+slice.+state.+changed )|(ment ac)|(system.+state.+changed )|(\|lc)|(penalty)|(\[timeout)|(PRM\|1\|D)|(kpr)|(kdp))" /e /r /s</v>
      </c>
      <c r="AG81" s="1" t="str">
        <f t="shared" si="44"/>
        <v>EC</v>
      </c>
      <c r="AH81" s="109" t="str">
        <f t="shared" si="45"/>
        <v>"%USERPROFILE%\Documents\GitHub\eaglep3\Utilities\RefineRTDCRunTimes.py" --tripid 169-12 --locoid 4018 --swversion DE.1.0.7.0 --startMP 204:466 --initTime 2016-08-12T12:11:10 --startdatetime 2016-08-12T12:13:15 --delay 2 --endMP 204:233372 --enddatetime 2016-08-12T12:52:19 --enforcementcount 0</v>
      </c>
    </row>
    <row r="82" spans="1:34" s="24" customFormat="1" x14ac:dyDescent="0.25">
      <c r="A82" s="42" t="s">
        <v>372</v>
      </c>
      <c r="B82" s="7">
        <v>4017</v>
      </c>
      <c r="C82" s="25" t="s">
        <v>122</v>
      </c>
      <c r="D82" s="25" t="s">
        <v>373</v>
      </c>
      <c r="E82" s="16">
        <v>42594.543368055558</v>
      </c>
      <c r="F82" s="16">
        <v>42594.544282407405</v>
      </c>
      <c r="G82" s="7">
        <v>1</v>
      </c>
      <c r="H82" s="16" t="s">
        <v>175</v>
      </c>
      <c r="I82" s="16">
        <v>42594.577291666668</v>
      </c>
      <c r="J82" s="7">
        <v>0</v>
      </c>
      <c r="K82" s="149" t="str">
        <f t="shared" si="32"/>
        <v>4017/4018</v>
      </c>
      <c r="L82" s="25" t="str">
        <f>VLOOKUP(A82,'Trips&amp;Operators'!$C$1:$E$10000,3,FALSE)</f>
        <v>SHOOK</v>
      </c>
      <c r="M82" s="6">
        <f t="shared" si="33"/>
        <v>3.3009259263053536E-2</v>
      </c>
      <c r="N82" s="7">
        <f t="shared" si="34"/>
        <v>47.533333338797092</v>
      </c>
      <c r="O82" s="7"/>
      <c r="P82" s="7"/>
      <c r="Q82" s="26"/>
      <c r="R82" s="26"/>
      <c r="S82" s="38">
        <f t="shared" si="35"/>
        <v>1</v>
      </c>
      <c r="T82" s="55" t="str">
        <f t="shared" si="36"/>
        <v>Southbound</v>
      </c>
      <c r="U82" s="13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12:02:27-0600',mode:absolute,to:'2016-08-12 14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2" s="57" t="str">
        <f t="shared" si="38"/>
        <v>N</v>
      </c>
      <c r="X82" s="133">
        <f t="shared" si="39"/>
        <v>1</v>
      </c>
      <c r="Y82" s="72">
        <f t="shared" si="40"/>
        <v>23.3032</v>
      </c>
      <c r="Z82" s="72">
        <f t="shared" si="41"/>
        <v>1.3899999999999999E-2</v>
      </c>
      <c r="AA82" s="72">
        <f t="shared" si="42"/>
        <v>23.289300000000001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43"/>
        <v>0170-12</v>
      </c>
      <c r="AE82" s="108" t="str">
        <f t="shared" si="3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82" s="105" t="str">
        <f t="shared" si="31"/>
        <v>"C:\Program Files (x86)\AstroGrep\AstroGrep.exe" /spath="%USERPROFILE%\AppData\Local\Temp\OnboardLogs" /stypes="*4017*20160812*" /stext=" 19:.+((SYSTEM_STATE.+slice.+state.+changed )|(ment ac)|(system.+state.+changed )|(\|lc)|(penalty)|(\[timeout)|(PRM\|1\|D)|(kpr)|(kdp))" /e /r /s</v>
      </c>
      <c r="AG82" s="1" t="str">
        <f t="shared" si="44"/>
        <v>EC</v>
      </c>
      <c r="AH82" s="109" t="str">
        <f t="shared" si="45"/>
        <v>"%USERPROFILE%\Documents\GitHub\eaglep3\Utilities\RefineRTDCRunTimes.py" --tripid 170-12 --locoid 4017 --swversion DE.1.0.7.0 --startMP 204:233032 --initTime 2016-08-12T13:02:27 --startdatetime 2016-08-12T13:03:46 --delay 1 --endMP 204:139 --enddatetime 2016-08-12T13:51:18 --enforcementcount 0</v>
      </c>
    </row>
    <row r="83" spans="1:34" x14ac:dyDescent="0.25">
      <c r="A83" s="42" t="s">
        <v>374</v>
      </c>
      <c r="B83" s="7">
        <v>4029</v>
      </c>
      <c r="C83" s="25" t="s">
        <v>122</v>
      </c>
      <c r="D83" s="25" t="s">
        <v>61</v>
      </c>
      <c r="E83" s="16">
        <v>42594.515879629631</v>
      </c>
      <c r="F83" s="16">
        <v>42594.517650462964</v>
      </c>
      <c r="G83" s="7">
        <v>2</v>
      </c>
      <c r="H83" s="16" t="s">
        <v>341</v>
      </c>
      <c r="I83" s="16">
        <v>42594.5469212963</v>
      </c>
      <c r="J83" s="7">
        <v>0</v>
      </c>
      <c r="K83" s="149" t="str">
        <f t="shared" si="32"/>
        <v>4029/4030</v>
      </c>
      <c r="L83" s="25" t="str">
        <f>VLOOKUP(A83,'Trips&amp;Operators'!$C$1:$E$10000,3,FALSE)</f>
        <v>HAITHCOX</v>
      </c>
      <c r="M83" s="6">
        <f t="shared" si="33"/>
        <v>2.9270833336340729E-2</v>
      </c>
      <c r="N83" s="7">
        <f t="shared" si="34"/>
        <v>42.15000000433065</v>
      </c>
      <c r="O83" s="7"/>
      <c r="P83" s="7"/>
      <c r="Q83" s="26"/>
      <c r="R83" s="26"/>
      <c r="S83" s="38">
        <f t="shared" si="35"/>
        <v>1</v>
      </c>
      <c r="T83" s="55" t="str">
        <f t="shared" si="36"/>
        <v>NorthBound</v>
      </c>
      <c r="U83" s="13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11:22:52-0600',mode:absolute,to:'2016-08-12 14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83" s="57" t="str">
        <f t="shared" si="38"/>
        <v>N</v>
      </c>
      <c r="X83" s="133">
        <f t="shared" si="39"/>
        <v>1</v>
      </c>
      <c r="Y83" s="72">
        <f t="shared" si="40"/>
        <v>4.5999999999999999E-2</v>
      </c>
      <c r="Z83" s="72">
        <f t="shared" si="41"/>
        <v>23.328700000000001</v>
      </c>
      <c r="AA83" s="72">
        <f t="shared" si="42"/>
        <v>23.282700000000002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43"/>
        <v>0171-12</v>
      </c>
      <c r="AE83" s="108" t="str">
        <f t="shared" si="3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83" s="105" t="str">
        <f t="shared" si="31"/>
        <v>"C:\Program Files (x86)\AstroGrep\AstroGrep.exe" /spath="%USERPROFILE%\AppData\Local\Temp\OnboardLogs" /stypes="*4029*20160812*" /stext=" 19:.+((SYSTEM_STATE.+slice.+state.+changed )|(ment ac)|(system.+state.+changed )|(\|lc)|(penalty)|(\[timeout)|(PRM\|1\|D)|(kpr)|(kdp))" /e /r /s</v>
      </c>
      <c r="AG83" s="1" t="str">
        <f t="shared" si="44"/>
        <v>EC</v>
      </c>
      <c r="AH83" s="109" t="str">
        <f t="shared" si="45"/>
        <v>"%USERPROFILE%\Documents\GitHub\eaglep3\Utilities\RefineRTDCRunTimes.py" --tripid 171-12 --locoid 4029 --swversion DE.1.0.7.0 --startMP 204:460 --initTime 2016-08-12T12:22:52 --startdatetime 2016-08-12T12:25:25 --delay 2 --endMP 204:233287 --enddatetime 2016-08-12T13:07:34 --enforcementcount 0</v>
      </c>
    </row>
    <row r="84" spans="1:34" x14ac:dyDescent="0.25">
      <c r="A84" s="42" t="s">
        <v>375</v>
      </c>
      <c r="B84" s="7">
        <v>4030</v>
      </c>
      <c r="C84" s="25" t="s">
        <v>122</v>
      </c>
      <c r="D84" s="25" t="s">
        <v>305</v>
      </c>
      <c r="E84" s="16">
        <v>42594.556979166664</v>
      </c>
      <c r="F84" s="16">
        <v>42594.557881944442</v>
      </c>
      <c r="G84" s="7">
        <v>1</v>
      </c>
      <c r="H84" s="16" t="s">
        <v>93</v>
      </c>
      <c r="I84" s="16">
        <v>42594.589120370372</v>
      </c>
      <c r="J84" s="7">
        <v>1</v>
      </c>
      <c r="K84" s="149" t="str">
        <f t="shared" si="32"/>
        <v>4029/4030</v>
      </c>
      <c r="L84" s="25" t="str">
        <f>VLOOKUP(A84,'Trips&amp;Operators'!$C$1:$E$10000,3,FALSE)</f>
        <v>HAITHCOX</v>
      </c>
      <c r="M84" s="6">
        <f t="shared" si="33"/>
        <v>3.1238425930496305E-2</v>
      </c>
      <c r="N84" s="7">
        <f t="shared" si="34"/>
        <v>44.98333333991468</v>
      </c>
      <c r="O84" s="7"/>
      <c r="P84" s="7"/>
      <c r="Q84" s="26"/>
      <c r="R84" s="26"/>
      <c r="S84" s="38">
        <f t="shared" si="35"/>
        <v>1</v>
      </c>
      <c r="T84" s="55" t="str">
        <f t="shared" si="36"/>
        <v>Southbound</v>
      </c>
      <c r="U84" s="13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12:22:03-0600',mode:absolute,to:'2016-08-12 15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84" s="57" t="str">
        <f t="shared" si="38"/>
        <v>N</v>
      </c>
      <c r="X84" s="133">
        <f t="shared" si="39"/>
        <v>1</v>
      </c>
      <c r="Y84" s="72">
        <f t="shared" si="40"/>
        <v>23.298100000000002</v>
      </c>
      <c r="Z84" s="72">
        <f t="shared" si="41"/>
        <v>1.43E-2</v>
      </c>
      <c r="AA84" s="72">
        <f t="shared" si="42"/>
        <v>23.283800000000003</v>
      </c>
      <c r="AB84" s="69">
        <f>VLOOKUP(A84,Enforcements!$C$7:$J$24,8,0)</f>
        <v>232107</v>
      </c>
      <c r="AC84" s="65" t="str">
        <f>VLOOKUP(A84,Enforcements!$C$7:$E$24,3,0)</f>
        <v>PERMANENT SPEED RESTRICTION</v>
      </c>
      <c r="AD84" s="66" t="str">
        <f t="shared" si="43"/>
        <v>0172-12</v>
      </c>
      <c r="AE84" s="108" t="str">
        <f t="shared" si="3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84" s="105" t="str">
        <f t="shared" si="31"/>
        <v>"C:\Program Files (x86)\AstroGrep\AstroGrep.exe" /spath="%USERPROFILE%\AppData\Local\Temp\OnboardLogs" /stypes="*4030*20160812*" /stext=" 20:.+((SYSTEM_STATE.+slice.+state.+changed )|(ment ac)|(system.+state.+changed )|(\|lc)|(penalty)|(\[timeout)|(PRM\|1\|D)|(kpr)|(kdp))" /e /r /s</v>
      </c>
      <c r="AG84" s="1" t="str">
        <f t="shared" si="44"/>
        <v>EC</v>
      </c>
      <c r="AH84" s="109" t="str">
        <f t="shared" si="45"/>
        <v>"%USERPROFILE%\Documents\GitHub\eaglep3\Utilities\RefineRTDCRunTimes.py" --tripid 172-12 --locoid 4030 --swversion DE.1.0.7.0 --startMP 204:232981 --initTime 2016-08-12T13:22:03 --startdatetime 2016-08-12T13:23:21 --delay 1 --endMP 204:143 --enddatetime 2016-08-12T14:08:20 --enforcementcount 1</v>
      </c>
    </row>
    <row r="85" spans="1:34" s="24" customFormat="1" x14ac:dyDescent="0.25">
      <c r="A85" s="42" t="s">
        <v>376</v>
      </c>
      <c r="B85" s="7">
        <v>4020</v>
      </c>
      <c r="C85" s="25" t="s">
        <v>122</v>
      </c>
      <c r="D85" s="25" t="s">
        <v>148</v>
      </c>
      <c r="E85" s="16">
        <v>42594.52847222222</v>
      </c>
      <c r="F85" s="16">
        <v>42594.52925925926</v>
      </c>
      <c r="G85" s="7">
        <v>1</v>
      </c>
      <c r="H85" s="16" t="s">
        <v>377</v>
      </c>
      <c r="I85" s="16">
        <v>42594.557476851849</v>
      </c>
      <c r="J85" s="7">
        <v>1</v>
      </c>
      <c r="K85" s="149" t="str">
        <f t="shared" si="32"/>
        <v>4019/4020</v>
      </c>
      <c r="L85" s="25" t="str">
        <f>VLOOKUP(A85,'Trips&amp;Operators'!$C$1:$E$10000,3,FALSE)</f>
        <v>STEWART</v>
      </c>
      <c r="M85" s="6">
        <f t="shared" si="33"/>
        <v>2.8217592589498963E-2</v>
      </c>
      <c r="N85" s="7">
        <f t="shared" si="34"/>
        <v>40.633333328878507</v>
      </c>
      <c r="O85" s="7"/>
      <c r="P85" s="7"/>
      <c r="Q85" s="26"/>
      <c r="R85" s="26"/>
      <c r="S85" s="38">
        <f t="shared" si="35"/>
        <v>1</v>
      </c>
      <c r="T85" s="55" t="str">
        <f t="shared" si="36"/>
        <v>NorthBound</v>
      </c>
      <c r="U85" s="13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11:41:00-0600',mode:absolute,to:'2016-08-12 14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85" s="57" t="str">
        <f t="shared" si="38"/>
        <v>N</v>
      </c>
      <c r="X85" s="133">
        <f t="shared" si="39"/>
        <v>1</v>
      </c>
      <c r="Y85" s="72">
        <f t="shared" si="40"/>
        <v>4.53E-2</v>
      </c>
      <c r="Z85" s="72">
        <f t="shared" si="41"/>
        <v>23.326799999999999</v>
      </c>
      <c r="AA85" s="72">
        <f t="shared" si="42"/>
        <v>23.281499999999998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43"/>
        <v>0173-12</v>
      </c>
      <c r="AE85" s="108" t="str">
        <f t="shared" si="3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85" s="105" t="str">
        <f t="shared" si="31"/>
        <v>"C:\Program Files (x86)\AstroGrep\AstroGrep.exe" /spath="%USERPROFILE%\AppData\Local\Temp\OnboardLogs" /stypes="*4020*20160812*" /stext=" 19:.+((SYSTEM_STATE.+slice.+state.+changed )|(ment ac)|(system.+state.+changed )|(\|lc)|(penalty)|(\[timeout)|(PRM\|1\|D)|(kpr)|(kdp))" /e /r /s</v>
      </c>
      <c r="AG85" s="1" t="str">
        <f t="shared" si="44"/>
        <v>EC</v>
      </c>
      <c r="AH85" s="109" t="str">
        <f t="shared" si="45"/>
        <v>"%USERPROFILE%\Documents\GitHub\eaglep3\Utilities\RefineRTDCRunTimes.py" --tripid 173-12 --locoid 4020 --swversion DE.1.0.7.0 --startMP 204:453 --initTime 2016-08-12T12:41:00 --startdatetime 2016-08-12T12:42:08 --delay 1 --endMP 204:233268 --enddatetime 2016-08-12T13:22:46 --enforcementcount 1</v>
      </c>
    </row>
    <row r="86" spans="1:34" x14ac:dyDescent="0.25">
      <c r="A86" s="42" t="s">
        <v>378</v>
      </c>
      <c r="B86" s="7">
        <v>4019</v>
      </c>
      <c r="C86" s="25" t="s">
        <v>122</v>
      </c>
      <c r="D86" s="25" t="s">
        <v>161</v>
      </c>
      <c r="E86" s="16">
        <v>42594.567986111113</v>
      </c>
      <c r="F86" s="16">
        <v>42594.56894675926</v>
      </c>
      <c r="G86" s="7">
        <v>1</v>
      </c>
      <c r="H86" s="16" t="s">
        <v>153</v>
      </c>
      <c r="I86" s="16">
        <v>42594.599016203705</v>
      </c>
      <c r="J86" s="7">
        <v>0</v>
      </c>
      <c r="K86" s="149" t="str">
        <f t="shared" si="32"/>
        <v>4019/4020</v>
      </c>
      <c r="L86" s="25" t="str">
        <f>VLOOKUP(A86,'Trips&amp;Operators'!$C$1:$E$10000,3,FALSE)</f>
        <v>STEWART</v>
      </c>
      <c r="M86" s="6">
        <f t="shared" si="33"/>
        <v>3.0069444444961846E-2</v>
      </c>
      <c r="N86" s="7">
        <f t="shared" si="34"/>
        <v>43.300000000745058</v>
      </c>
      <c r="O86" s="7"/>
      <c r="P86" s="7"/>
      <c r="Q86" s="26"/>
      <c r="R86" s="26"/>
      <c r="S86" s="38">
        <f t="shared" si="35"/>
        <v>1</v>
      </c>
      <c r="T86" s="55" t="str">
        <f t="shared" si="36"/>
        <v>Southbound</v>
      </c>
      <c r="U86" s="13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12:37:54-0600',mode:absolute,to:'2016-08-12 15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86" s="57" t="str">
        <f t="shared" si="38"/>
        <v>N</v>
      </c>
      <c r="X86" s="133">
        <f t="shared" si="39"/>
        <v>1</v>
      </c>
      <c r="Y86" s="72">
        <f t="shared" si="40"/>
        <v>23.2959</v>
      </c>
      <c r="Z86" s="72">
        <f t="shared" si="41"/>
        <v>1.49E-2</v>
      </c>
      <c r="AA86" s="72">
        <f t="shared" si="42"/>
        <v>23.280999999999999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43"/>
        <v>0174-12</v>
      </c>
      <c r="AE86" s="108" t="str">
        <f t="shared" si="3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86" s="105" t="str">
        <f t="shared" si="31"/>
        <v>"C:\Program Files (x86)\AstroGrep\AstroGrep.exe" /spath="%USERPROFILE%\AppData\Local\Temp\OnboardLogs" /stypes="*4019*20160812*" /stext=" 20:.+((SYSTEM_STATE.+slice.+state.+changed )|(ment ac)|(system.+state.+changed )|(\|lc)|(penalty)|(\[timeout)|(PRM\|1\|D)|(kpr)|(kdp))" /e /r /s</v>
      </c>
      <c r="AG86" s="1" t="str">
        <f t="shared" si="44"/>
        <v>EC</v>
      </c>
      <c r="AH86" s="109" t="str">
        <f t="shared" si="45"/>
        <v>"%USERPROFILE%\Documents\GitHub\eaglep3\Utilities\RefineRTDCRunTimes.py" --tripid 174-12 --locoid 4019 --swversion DE.1.0.7.0 --startMP 204:232959 --initTime 2016-08-12T13:37:54 --startdatetime 2016-08-12T13:39:17 --delay 1 --endMP 204:149 --enddatetime 2016-08-12T14:22:35 --enforcementcount 0</v>
      </c>
    </row>
    <row r="87" spans="1:34" x14ac:dyDescent="0.25">
      <c r="A87" s="42" t="s">
        <v>379</v>
      </c>
      <c r="B87" s="7">
        <v>4031</v>
      </c>
      <c r="C87" s="25" t="s">
        <v>122</v>
      </c>
      <c r="D87" s="25" t="s">
        <v>117</v>
      </c>
      <c r="E87" s="16">
        <v>42594.537581018521</v>
      </c>
      <c r="F87" s="16">
        <v>42594.540509259263</v>
      </c>
      <c r="G87" s="7">
        <v>4</v>
      </c>
      <c r="H87" s="16" t="s">
        <v>177</v>
      </c>
      <c r="I87" s="16">
        <v>42594.569155092591</v>
      </c>
      <c r="J87" s="7">
        <v>1</v>
      </c>
      <c r="K87" s="149" t="str">
        <f t="shared" si="32"/>
        <v>4031/4032</v>
      </c>
      <c r="L87" s="25" t="str">
        <f>VLOOKUP(A87,'Trips&amp;Operators'!$C$1:$E$10000,3,FALSE)</f>
        <v>MAYBERRY</v>
      </c>
      <c r="M87" s="6">
        <f t="shared" si="33"/>
        <v>2.8645833328482695E-2</v>
      </c>
      <c r="N87" s="7">
        <f t="shared" si="34"/>
        <v>41.249999993015081</v>
      </c>
      <c r="O87" s="7"/>
      <c r="P87" s="7"/>
      <c r="Q87" s="26"/>
      <c r="R87" s="26"/>
      <c r="S87" s="38">
        <f t="shared" si="35"/>
        <v>1</v>
      </c>
      <c r="T87" s="55" t="str">
        <f t="shared" si="36"/>
        <v>NorthBound</v>
      </c>
      <c r="U87" s="13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11:54:07-0600',mode:absolute,to:'2016-08-12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87" s="57" t="str">
        <f t="shared" si="38"/>
        <v>N</v>
      </c>
      <c r="X87" s="133">
        <f t="shared" si="39"/>
        <v>1</v>
      </c>
      <c r="Y87" s="72">
        <f t="shared" si="40"/>
        <v>4.6199999999999998E-2</v>
      </c>
      <c r="Z87" s="72">
        <f t="shared" si="41"/>
        <v>23.329799999999999</v>
      </c>
      <c r="AA87" s="72">
        <f t="shared" si="42"/>
        <v>23.2836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43"/>
        <v>0175-12</v>
      </c>
      <c r="AE87" s="108" t="str">
        <f t="shared" si="3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87" s="105" t="str">
        <f t="shared" si="31"/>
        <v>"C:\Program Files (x86)\AstroGrep\AstroGrep.exe" /spath="%USERPROFILE%\AppData\Local\Temp\OnboardLogs" /stypes="*4031*20160812*" /stext=" 19:.+((SYSTEM_STATE.+slice.+state.+changed )|(ment ac)|(system.+state.+changed )|(\|lc)|(penalty)|(\[timeout)|(PRM\|1\|D)|(kpr)|(kdp))" /e /r /s</v>
      </c>
      <c r="AG87" s="1" t="str">
        <f t="shared" si="44"/>
        <v>EC</v>
      </c>
      <c r="AH87" s="109" t="str">
        <f t="shared" si="45"/>
        <v>"%USERPROFILE%\Documents\GitHub\eaglep3\Utilities\RefineRTDCRunTimes.py" --tripid 175-12 --locoid 4031 --swversion DE.1.0.7.0 --startMP 204:462 --initTime 2016-08-12T12:54:07 --startdatetime 2016-08-12T12:58:20 --delay 4 --endMP 204:233298 --enddatetime 2016-08-12T13:39:35 --enforcementcount 1</v>
      </c>
    </row>
    <row r="88" spans="1:34" x14ac:dyDescent="0.25">
      <c r="A88" s="42" t="s">
        <v>380</v>
      </c>
      <c r="B88" s="7">
        <v>4032</v>
      </c>
      <c r="C88" s="25" t="s">
        <v>122</v>
      </c>
      <c r="D88" s="25" t="s">
        <v>275</v>
      </c>
      <c r="E88" s="16">
        <v>42594.575983796298</v>
      </c>
      <c r="F88" s="16">
        <v>42594.577245370368</v>
      </c>
      <c r="G88" s="7">
        <v>1</v>
      </c>
      <c r="H88" s="16" t="s">
        <v>317</v>
      </c>
      <c r="I88" s="16">
        <v>42594.608425925922</v>
      </c>
      <c r="J88" s="7">
        <v>1</v>
      </c>
      <c r="K88" s="149" t="str">
        <f t="shared" si="32"/>
        <v>4031/4032</v>
      </c>
      <c r="L88" s="25" t="str">
        <f>VLOOKUP(A88,'Trips&amp;Operators'!$C$1:$E$10000,3,FALSE)</f>
        <v>MAYBERRY</v>
      </c>
      <c r="M88" s="6">
        <f t="shared" si="33"/>
        <v>3.1180555553874001E-2</v>
      </c>
      <c r="N88" s="7">
        <f t="shared" si="34"/>
        <v>44.899999997578561</v>
      </c>
      <c r="O88" s="7"/>
      <c r="P88" s="7"/>
      <c r="Q88" s="26"/>
      <c r="R88" s="26"/>
      <c r="S88" s="38">
        <f t="shared" si="35"/>
        <v>1</v>
      </c>
      <c r="T88" s="55" t="str">
        <f t="shared" si="36"/>
        <v>Southbound</v>
      </c>
      <c r="U88" s="13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12:49:25-0600',mode:absolute,to:'2016-08-12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88" s="57" t="str">
        <f t="shared" si="38"/>
        <v>N</v>
      </c>
      <c r="X88" s="133">
        <f t="shared" si="39"/>
        <v>1</v>
      </c>
      <c r="Y88" s="72">
        <f t="shared" si="40"/>
        <v>23.2987</v>
      </c>
      <c r="Z88" s="72">
        <f t="shared" si="41"/>
        <v>1.54E-2</v>
      </c>
      <c r="AA88" s="72">
        <f t="shared" si="42"/>
        <v>23.283300000000001</v>
      </c>
      <c r="AB88" s="69">
        <f>VLOOKUP(A88,Enforcements!$C$7:$J$24,8,0)</f>
        <v>191723</v>
      </c>
      <c r="AC88" s="65" t="str">
        <f>VLOOKUP(A88,Enforcements!$C$7:$E$24,3,0)</f>
        <v>SIGNAL</v>
      </c>
      <c r="AD88" s="66" t="str">
        <f t="shared" si="43"/>
        <v>0176-12</v>
      </c>
      <c r="AE88" s="108" t="str">
        <f t="shared" si="3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88" s="105" t="str">
        <f t="shared" si="31"/>
        <v>"C:\Program Files (x86)\AstroGrep\AstroGrep.exe" /spath="%USERPROFILE%\AppData\Local\Temp\OnboardLogs" /stypes="*4032*20160812*" /stext=" 20:.+((SYSTEM_STATE.+slice.+state.+changed )|(ment ac)|(system.+state.+changed )|(\|lc)|(penalty)|(\[timeout)|(PRM\|1\|D)|(kpr)|(kdp))" /e /r /s</v>
      </c>
      <c r="AG88" s="1" t="str">
        <f t="shared" si="44"/>
        <v>EC</v>
      </c>
      <c r="AH88" s="109" t="str">
        <f t="shared" si="45"/>
        <v>"%USERPROFILE%\Documents\GitHub\eaglep3\Utilities\RefineRTDCRunTimes.py" --tripid 176-12 --locoid 4032 --swversion DE.1.0.7.0 --startMP 204:232987 --initTime 2016-08-12T13:49:25 --startdatetime 2016-08-12T13:51:14 --delay 1 --endMP 204:154 --enddatetime 2016-08-12T14:36:08 --enforcementcount 1</v>
      </c>
    </row>
    <row r="89" spans="1:34" x14ac:dyDescent="0.25">
      <c r="A89" s="42" t="s">
        <v>381</v>
      </c>
      <c r="B89" s="7">
        <v>4014</v>
      </c>
      <c r="C89" s="25" t="s">
        <v>122</v>
      </c>
      <c r="D89" s="25" t="s">
        <v>152</v>
      </c>
      <c r="E89" s="16">
        <v>42594.549189814818</v>
      </c>
      <c r="F89" s="16">
        <v>42594.550243055557</v>
      </c>
      <c r="G89" s="7">
        <v>1</v>
      </c>
      <c r="H89" s="16" t="s">
        <v>158</v>
      </c>
      <c r="I89" s="16">
        <v>42594.579212962963</v>
      </c>
      <c r="J89" s="7">
        <v>0</v>
      </c>
      <c r="K89" s="149" t="str">
        <f t="shared" si="32"/>
        <v>4013/4014</v>
      </c>
      <c r="L89" s="25" t="str">
        <f>VLOOKUP(A89,'Trips&amp;Operators'!$C$1:$E$10000,3,FALSE)</f>
        <v>SWANSON</v>
      </c>
      <c r="M89" s="6">
        <f t="shared" si="33"/>
        <v>2.8969907405553386E-2</v>
      </c>
      <c r="N89" s="7">
        <f t="shared" si="34"/>
        <v>41.716666663996875</v>
      </c>
      <c r="O89" s="7"/>
      <c r="P89" s="7"/>
      <c r="Q89" s="26"/>
      <c r="R89" s="26"/>
      <c r="S89" s="38">
        <f t="shared" si="35"/>
        <v>1</v>
      </c>
      <c r="T89" s="55" t="str">
        <f t="shared" si="36"/>
        <v>NorthBound</v>
      </c>
      <c r="U89" s="13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12:10:50-0600',mode:absolute,to:'2016-08-12 14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89" s="57" t="str">
        <f t="shared" si="38"/>
        <v>N</v>
      </c>
      <c r="X89" s="133">
        <f t="shared" si="39"/>
        <v>1</v>
      </c>
      <c r="Y89" s="72">
        <f t="shared" si="40"/>
        <v>4.4900000000000002E-2</v>
      </c>
      <c r="Z89" s="72">
        <f t="shared" si="41"/>
        <v>23.329899999999999</v>
      </c>
      <c r="AA89" s="72">
        <f t="shared" si="42"/>
        <v>23.285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43"/>
        <v>0177-12</v>
      </c>
      <c r="AE89" s="108" t="str">
        <f t="shared" si="3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89" s="105" t="str">
        <f t="shared" si="31"/>
        <v>"C:\Program Files (x86)\AstroGrep\AstroGrep.exe" /spath="%USERPROFILE%\AppData\Local\Temp\OnboardLogs" /stypes="*4014*20160812*" /stext=" 19:.+((SYSTEM_STATE.+slice.+state.+changed )|(ment ac)|(system.+state.+changed )|(\|lc)|(penalty)|(\[timeout)|(PRM\|1\|D)|(kpr)|(kdp))" /e /r /s</v>
      </c>
      <c r="AG89" s="1" t="str">
        <f t="shared" si="44"/>
        <v>EC</v>
      </c>
      <c r="AH89" s="109" t="str">
        <f t="shared" si="45"/>
        <v>"%USERPROFILE%\Documents\GitHub\eaglep3\Utilities\RefineRTDCRunTimes.py" --tripid 177-12 --locoid 4014 --swversion DE.1.0.7.0 --startMP 204:449 --initTime 2016-08-12T13:10:50 --startdatetime 2016-08-12T13:12:21 --delay 1 --endMP 204:233299 --enddatetime 2016-08-12T13:54:04 --enforcementcount 0</v>
      </c>
    </row>
    <row r="90" spans="1:34" x14ac:dyDescent="0.25">
      <c r="A90" s="42" t="s">
        <v>382</v>
      </c>
      <c r="B90" s="7">
        <v>4013</v>
      </c>
      <c r="C90" s="25" t="s">
        <v>122</v>
      </c>
      <c r="D90" s="25" t="s">
        <v>214</v>
      </c>
      <c r="E90" s="16">
        <v>42594.587060185186</v>
      </c>
      <c r="F90" s="16">
        <v>42594.587997685187</v>
      </c>
      <c r="G90" s="7">
        <v>1</v>
      </c>
      <c r="H90" s="16" t="s">
        <v>383</v>
      </c>
      <c r="I90" s="16">
        <v>42594.619976851849</v>
      </c>
      <c r="J90" s="7">
        <v>0</v>
      </c>
      <c r="K90" s="149" t="str">
        <f t="shared" si="32"/>
        <v>4013/4014</v>
      </c>
      <c r="L90" s="25" t="str">
        <f>VLOOKUP(A90,'Trips&amp;Operators'!$C$1:$E$10000,3,FALSE)</f>
        <v>SWANSON</v>
      </c>
      <c r="M90" s="6">
        <f t="shared" si="33"/>
        <v>3.1979166662495118E-2</v>
      </c>
      <c r="N90" s="7">
        <f t="shared" si="34"/>
        <v>46.049999993992969</v>
      </c>
      <c r="O90" s="7"/>
      <c r="P90" s="7"/>
      <c r="Q90" s="26"/>
      <c r="R90" s="26"/>
      <c r="S90" s="38">
        <f t="shared" si="35"/>
        <v>1</v>
      </c>
      <c r="T90" s="55" t="str">
        <f t="shared" si="36"/>
        <v>Southbound</v>
      </c>
      <c r="U90" s="13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13:05:22-0600',mode:absolute,to:'2016-08-12 15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90" s="57" t="str">
        <f t="shared" si="38"/>
        <v>N</v>
      </c>
      <c r="X90" s="133">
        <f t="shared" si="39"/>
        <v>1</v>
      </c>
      <c r="Y90" s="72">
        <f t="shared" si="40"/>
        <v>23.2973</v>
      </c>
      <c r="Z90" s="72">
        <f t="shared" si="41"/>
        <v>2.4500000000000001E-2</v>
      </c>
      <c r="AA90" s="72">
        <f t="shared" si="42"/>
        <v>23.2728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43"/>
        <v>0178-12</v>
      </c>
      <c r="AE90" s="108" t="str">
        <f t="shared" si="3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90" s="105" t="str">
        <f t="shared" si="31"/>
        <v>"C:\Program Files (x86)\AstroGrep\AstroGrep.exe" /spath="%USERPROFILE%\AppData\Local\Temp\OnboardLogs" /stypes="*4013*20160812*" /stext=" 20:.+((SYSTEM_STATE.+slice.+state.+changed )|(ment ac)|(system.+state.+changed )|(\|lc)|(penalty)|(\[timeout)|(PRM\|1\|D)|(kpr)|(kdp))" /e /r /s</v>
      </c>
      <c r="AG90" s="1" t="str">
        <f t="shared" si="44"/>
        <v>EC</v>
      </c>
      <c r="AH90" s="109" t="str">
        <f t="shared" si="45"/>
        <v>"%USERPROFILE%\Documents\GitHub\eaglep3\Utilities\RefineRTDCRunTimes.py" --tripid 178-12 --locoid 4013 --swversion DE.1.0.7.0 --startMP 204:232973 --initTime 2016-08-12T14:05:22 --startdatetime 2016-08-12T14:06:43 --delay 1 --endMP 204:245 --enddatetime 2016-08-12T14:52:46 --enforcementcount 0</v>
      </c>
    </row>
    <row r="91" spans="1:34" x14ac:dyDescent="0.25">
      <c r="A91" s="42" t="s">
        <v>384</v>
      </c>
      <c r="B91" s="7">
        <v>4027</v>
      </c>
      <c r="C91" s="25" t="s">
        <v>122</v>
      </c>
      <c r="D91" s="25" t="s">
        <v>229</v>
      </c>
      <c r="E91" s="16">
        <v>42594.559965277775</v>
      </c>
      <c r="F91" s="16">
        <v>42594.561689814815</v>
      </c>
      <c r="G91" s="7">
        <v>2</v>
      </c>
      <c r="H91" s="16" t="s">
        <v>149</v>
      </c>
      <c r="I91" s="16">
        <v>42594.588518518518</v>
      </c>
      <c r="J91" s="7">
        <v>1</v>
      </c>
      <c r="K91" s="149" t="str">
        <f t="shared" si="32"/>
        <v>4027/4028</v>
      </c>
      <c r="L91" s="25" t="str">
        <f>VLOOKUP(A91,'Trips&amp;Operators'!$C$1:$E$10000,3,FALSE)</f>
        <v>MOSES</v>
      </c>
      <c r="M91" s="6">
        <f t="shared" si="33"/>
        <v>2.6828703703358769E-2</v>
      </c>
      <c r="N91" s="7">
        <f t="shared" si="34"/>
        <v>38.633333332836628</v>
      </c>
      <c r="O91" s="7"/>
      <c r="P91" s="7"/>
      <c r="Q91" s="26"/>
      <c r="R91" s="26"/>
      <c r="S91" s="38">
        <f t="shared" si="35"/>
        <v>1</v>
      </c>
      <c r="T91" s="55" t="str">
        <f t="shared" si="36"/>
        <v>NorthBound</v>
      </c>
      <c r="U91" s="13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12:26:21-0600',mode:absolute,to:'2016-08-12 15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91" s="57" t="str">
        <f t="shared" si="38"/>
        <v>N</v>
      </c>
      <c r="X91" s="133">
        <f t="shared" si="39"/>
        <v>1</v>
      </c>
      <c r="Y91" s="72">
        <f t="shared" si="40"/>
        <v>5.1700000000000003E-2</v>
      </c>
      <c r="Z91" s="72">
        <f t="shared" si="41"/>
        <v>23.328900000000001</v>
      </c>
      <c r="AA91" s="72">
        <f t="shared" si="42"/>
        <v>23.277200000000001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43"/>
        <v>0179-12</v>
      </c>
      <c r="AE91" s="108" t="str">
        <f t="shared" si="30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91" s="105" t="str">
        <f t="shared" si="31"/>
        <v>"C:\Program Files (x86)\AstroGrep\AstroGrep.exe" /spath="%USERPROFILE%\AppData\Local\Temp\OnboardLogs" /stypes="*4027*20160812*" /stext=" 20:.+((SYSTEM_STATE.+slice.+state.+changed )|(ment ac)|(system.+state.+changed )|(\|lc)|(penalty)|(\[timeout)|(PRM\|1\|D)|(kpr)|(kdp))" /e /r /s</v>
      </c>
      <c r="AG91" s="1" t="str">
        <f t="shared" si="44"/>
        <v>EC</v>
      </c>
      <c r="AH91" s="109" t="str">
        <f t="shared" si="45"/>
        <v>"%USERPROFILE%\Documents\GitHub\eaglep3\Utilities\RefineRTDCRunTimes.py" --tripid 179-12 --locoid 4027 --swversion DE.1.0.7.0 --startMP 204:517 --initTime 2016-08-12T13:26:21 --startdatetime 2016-08-12T13:28:50 --delay 2 --endMP 204:233289 --enddatetime 2016-08-12T14:07:28 --enforcementcount 1</v>
      </c>
    </row>
    <row r="92" spans="1:34" x14ac:dyDescent="0.25">
      <c r="A92" s="42" t="s">
        <v>385</v>
      </c>
      <c r="B92" s="7">
        <v>4028</v>
      </c>
      <c r="C92" s="25" t="s">
        <v>122</v>
      </c>
      <c r="D92" s="25" t="s">
        <v>275</v>
      </c>
      <c r="E92" s="16">
        <v>42594.596932870372</v>
      </c>
      <c r="F92" s="16">
        <v>42594.598055555558</v>
      </c>
      <c r="G92" s="7">
        <v>1</v>
      </c>
      <c r="H92" s="16" t="s">
        <v>153</v>
      </c>
      <c r="I92" s="16">
        <v>42594.63077546296</v>
      </c>
      <c r="J92" s="7">
        <v>0</v>
      </c>
      <c r="K92" s="149" t="str">
        <f t="shared" si="32"/>
        <v>4027/4028</v>
      </c>
      <c r="L92" s="25" t="str">
        <f>VLOOKUP(A92,'Trips&amp;Operators'!$C$1:$E$10000,3,FALSE)</f>
        <v>MOSES</v>
      </c>
      <c r="M92" s="6">
        <f t="shared" si="33"/>
        <v>3.2719907401769888E-2</v>
      </c>
      <c r="N92" s="7">
        <f t="shared" si="34"/>
        <v>47.116666658548638</v>
      </c>
      <c r="O92" s="7"/>
      <c r="P92" s="7"/>
      <c r="Q92" s="26"/>
      <c r="R92" s="26"/>
      <c r="S92" s="38">
        <f t="shared" si="35"/>
        <v>1</v>
      </c>
      <c r="T92" s="55" t="str">
        <f t="shared" si="36"/>
        <v>Southbound</v>
      </c>
      <c r="U92" s="13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13:19:35-0600',mode:absolute,to:'2016-08-12 16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92" s="57" t="str">
        <f t="shared" si="38"/>
        <v>N</v>
      </c>
      <c r="X92" s="133">
        <f t="shared" si="39"/>
        <v>1</v>
      </c>
      <c r="Y92" s="72">
        <f t="shared" si="40"/>
        <v>23.2987</v>
      </c>
      <c r="Z92" s="72">
        <f t="shared" si="41"/>
        <v>1.49E-2</v>
      </c>
      <c r="AA92" s="72">
        <f t="shared" si="42"/>
        <v>23.283799999999999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43"/>
        <v>0180-12</v>
      </c>
      <c r="AE92" s="108" t="str">
        <f t="shared" si="3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92" s="105" t="str">
        <f t="shared" si="31"/>
        <v>"C:\Program Files (x86)\AstroGrep\AstroGrep.exe" /spath="%USERPROFILE%\AppData\Local\Temp\OnboardLogs" /stypes="*4028*20160812*" /stext=" 21:.+((SYSTEM_STATE.+slice.+state.+changed )|(ment ac)|(system.+state.+changed )|(\|lc)|(penalty)|(\[timeout)|(PRM\|1\|D)|(kpr)|(kdp))" /e /r /s</v>
      </c>
      <c r="AG92" s="1" t="str">
        <f t="shared" si="44"/>
        <v>EC</v>
      </c>
      <c r="AH92" s="109" t="str">
        <f t="shared" si="45"/>
        <v>"%USERPROFILE%\Documents\GitHub\eaglep3\Utilities\RefineRTDCRunTimes.py" --tripid 180-12 --locoid 4028 --swversion DE.1.0.7.0 --startMP 204:232987 --initTime 2016-08-12T14:19:35 --startdatetime 2016-08-12T14:21:12 --delay 1 --endMP 204:149 --enddatetime 2016-08-12T15:08:19 --enforcementcount 0</v>
      </c>
    </row>
    <row r="93" spans="1:34" x14ac:dyDescent="0.25">
      <c r="A93" s="42" t="s">
        <v>386</v>
      </c>
      <c r="B93" s="7">
        <v>4038</v>
      </c>
      <c r="C93" s="25" t="s">
        <v>122</v>
      </c>
      <c r="D93" s="25" t="s">
        <v>191</v>
      </c>
      <c r="E93" s="16">
        <v>42594.569432870368</v>
      </c>
      <c r="F93" s="16">
        <v>42594.570393518516</v>
      </c>
      <c r="G93" s="7">
        <v>1</v>
      </c>
      <c r="H93" s="16" t="s">
        <v>321</v>
      </c>
      <c r="I93" s="16">
        <v>42594.59815972222</v>
      </c>
      <c r="J93" s="7">
        <v>0</v>
      </c>
      <c r="K93" s="149" t="str">
        <f t="shared" si="32"/>
        <v>4037/4038</v>
      </c>
      <c r="L93" s="25" t="str">
        <f>VLOOKUP(A93,'Trips&amp;Operators'!$C$1:$E$10000,3,FALSE)</f>
        <v>SANTIZO</v>
      </c>
      <c r="M93" s="6">
        <f t="shared" si="33"/>
        <v>2.7766203704231884E-2</v>
      </c>
      <c r="N93" s="7">
        <f t="shared" si="34"/>
        <v>39.983333334093913</v>
      </c>
      <c r="O93" s="7"/>
      <c r="P93" s="7"/>
      <c r="Q93" s="26"/>
      <c r="R93" s="26"/>
      <c r="S93" s="38">
        <f t="shared" si="35"/>
        <v>1</v>
      </c>
      <c r="T93" s="55" t="str">
        <f t="shared" si="36"/>
        <v>NorthBound</v>
      </c>
      <c r="U93" s="13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12:39:59-0600',mode:absolute,to:'2016-08-12 15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3" s="57" t="str">
        <f t="shared" si="38"/>
        <v>N</v>
      </c>
      <c r="X93" s="133">
        <f t="shared" si="39"/>
        <v>1</v>
      </c>
      <c r="Y93" s="72">
        <f t="shared" si="40"/>
        <v>4.5699999999999998E-2</v>
      </c>
      <c r="Z93" s="72">
        <f t="shared" si="41"/>
        <v>23.330300000000001</v>
      </c>
      <c r="AA93" s="72">
        <f t="shared" si="42"/>
        <v>23.284600000000001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43"/>
        <v>0181-12</v>
      </c>
      <c r="AE93" s="108" t="str">
        <f t="shared" si="3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93" s="105" t="str">
        <f t="shared" si="31"/>
        <v>"C:\Program Files (x86)\AstroGrep\AstroGrep.exe" /spath="%USERPROFILE%\AppData\Local\Temp\OnboardLogs" /stypes="*4038*20160812*" /stext=" 20:.+((SYSTEM_STATE.+slice.+state.+changed )|(ment ac)|(system.+state.+changed )|(\|lc)|(penalty)|(\[timeout)|(PRM\|1\|D)|(kpr)|(kdp))" /e /r /s</v>
      </c>
      <c r="AG93" s="1" t="str">
        <f t="shared" si="44"/>
        <v>EC</v>
      </c>
      <c r="AH93" s="109" t="str">
        <f t="shared" si="45"/>
        <v>"%USERPROFILE%\Documents\GitHub\eaglep3\Utilities\RefineRTDCRunTimes.py" --tripid 181-12 --locoid 4038 --swversion DE.1.0.7.0 --startMP 204:457 --initTime 2016-08-12T13:39:59 --startdatetime 2016-08-12T13:41:22 --delay 1 --endMP 204:233303 --enddatetime 2016-08-12T14:21:21 --enforcementcount 0</v>
      </c>
    </row>
    <row r="94" spans="1:34" s="24" customFormat="1" x14ac:dyDescent="0.25">
      <c r="A94" s="42" t="s">
        <v>387</v>
      </c>
      <c r="B94" s="7">
        <v>4037</v>
      </c>
      <c r="C94" s="25" t="s">
        <v>122</v>
      </c>
      <c r="D94" s="25" t="s">
        <v>62</v>
      </c>
      <c r="E94" s="16">
        <v>42594.599305555559</v>
      </c>
      <c r="F94" s="16">
        <v>42594.60015046296</v>
      </c>
      <c r="G94" s="7">
        <v>1</v>
      </c>
      <c r="H94" s="16" t="s">
        <v>388</v>
      </c>
      <c r="I94" s="16">
        <v>42594.640208333331</v>
      </c>
      <c r="J94" s="7">
        <v>1</v>
      </c>
      <c r="K94" s="149" t="str">
        <f t="shared" si="32"/>
        <v>4037/4038</v>
      </c>
      <c r="L94" s="25" t="str">
        <f>VLOOKUP(A94,'Trips&amp;Operators'!$C$1:$E$10000,3,FALSE)</f>
        <v>SANTIZO</v>
      </c>
      <c r="M94" s="6">
        <f t="shared" si="33"/>
        <v>4.0057870370219462E-2</v>
      </c>
      <c r="N94" s="7">
        <f t="shared" si="34"/>
        <v>57.683333333116025</v>
      </c>
      <c r="O94" s="7"/>
      <c r="P94" s="7"/>
      <c r="Q94" s="26"/>
      <c r="R94" s="26"/>
      <c r="S94" s="38">
        <f t="shared" si="35"/>
        <v>1</v>
      </c>
      <c r="T94" s="55" t="str">
        <f t="shared" si="36"/>
        <v>Southbound</v>
      </c>
      <c r="U94" s="13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13:23:00-0600',mode:absolute,to:'2016-08-12 16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4" s="57" t="str">
        <f t="shared" si="38"/>
        <v>N</v>
      </c>
      <c r="X94" s="133">
        <f t="shared" si="39"/>
        <v>1</v>
      </c>
      <c r="Y94" s="72">
        <f t="shared" si="40"/>
        <v>23.297699999999999</v>
      </c>
      <c r="Z94" s="72">
        <f t="shared" si="41"/>
        <v>2.2499999999999999E-2</v>
      </c>
      <c r="AA94" s="72">
        <f t="shared" si="42"/>
        <v>23.275199999999998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43"/>
        <v>0182-12</v>
      </c>
      <c r="AE94" s="108" t="str">
        <f t="shared" si="3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94" s="105" t="str">
        <f t="shared" si="31"/>
        <v>"C:\Program Files (x86)\AstroGrep\AstroGrep.exe" /spath="%USERPROFILE%\AppData\Local\Temp\OnboardLogs" /stypes="*4037*20160812*" /stext=" 21:.+((SYSTEM_STATE.+slice.+state.+changed )|(ment ac)|(system.+state.+changed )|(\|lc)|(penalty)|(\[timeout)|(PRM\|1\|D)|(kpr)|(kdp))" /e /r /s</v>
      </c>
      <c r="AG94" s="1" t="str">
        <f t="shared" si="44"/>
        <v>EC</v>
      </c>
      <c r="AH94" s="109" t="str">
        <f t="shared" si="45"/>
        <v>"%USERPROFILE%\Documents\GitHub\eaglep3\Utilities\RefineRTDCRunTimes.py" --tripid 182-12 --locoid 4037 --swversion DE.1.0.7.0 --startMP 204:232977 --initTime 2016-08-12T14:23:00 --startdatetime 2016-08-12T14:24:13 --delay 1 --endMP 204:225 --enddatetime 2016-08-12T15:21:54 --enforcementcount 1</v>
      </c>
    </row>
    <row r="95" spans="1:34" s="24" customFormat="1" x14ac:dyDescent="0.25">
      <c r="A95" s="42" t="s">
        <v>389</v>
      </c>
      <c r="B95" s="7">
        <v>4018</v>
      </c>
      <c r="C95" s="25" t="s">
        <v>122</v>
      </c>
      <c r="D95" s="25" t="s">
        <v>174</v>
      </c>
      <c r="E95" s="16">
        <v>42594.578379629631</v>
      </c>
      <c r="F95" s="16">
        <v>42594.579479166663</v>
      </c>
      <c r="G95" s="7">
        <v>1</v>
      </c>
      <c r="H95" s="16" t="s">
        <v>230</v>
      </c>
      <c r="I95" s="16">
        <v>42594.682291666664</v>
      </c>
      <c r="J95" s="7">
        <v>1</v>
      </c>
      <c r="K95" s="149" t="str">
        <f t="shared" si="32"/>
        <v>4017/4018</v>
      </c>
      <c r="L95" s="25" t="str">
        <f>VLOOKUP(A95,'Trips&amp;Operators'!$C$1:$E$10000,3,FALSE)</f>
        <v>SHOOK</v>
      </c>
      <c r="M95" s="6">
        <f t="shared" si="33"/>
        <v>0.10281250000116415</v>
      </c>
      <c r="N95" s="7">
        <f t="shared" si="34"/>
        <v>148.05000000167638</v>
      </c>
      <c r="O95" s="7"/>
      <c r="P95" s="7"/>
      <c r="Q95" s="26"/>
      <c r="R95" s="26"/>
      <c r="S95" s="38">
        <f t="shared" si="35"/>
        <v>1</v>
      </c>
      <c r="T95" s="55" t="str">
        <f t="shared" si="36"/>
        <v>NorthBound</v>
      </c>
      <c r="U95" s="13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12:52:52-0600',mode:absolute,to:'2016-08-12 17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5" s="57" t="str">
        <f t="shared" si="38"/>
        <v>N</v>
      </c>
      <c r="X95" s="133">
        <f t="shared" si="39"/>
        <v>1</v>
      </c>
      <c r="Y95" s="72">
        <f t="shared" si="40"/>
        <v>4.58E-2</v>
      </c>
      <c r="Z95" s="72">
        <f t="shared" si="41"/>
        <v>23.335999999999999</v>
      </c>
      <c r="AA95" s="72">
        <f t="shared" si="42"/>
        <v>23.290199999999999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43"/>
        <v>0183-12</v>
      </c>
      <c r="AE95" s="108" t="str">
        <f t="shared" si="3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95" s="105" t="str">
        <f t="shared" si="31"/>
        <v>"C:\Program Files (x86)\AstroGrep\AstroGrep.exe" /spath="%USERPROFILE%\AppData\Local\Temp\OnboardLogs" /stypes="*4018*20160812*" /stext=" 22:.+((SYSTEM_STATE.+slice.+state.+changed )|(ment ac)|(system.+state.+changed )|(\|lc)|(penalty)|(\[timeout)|(PRM\|1\|D)|(kpr)|(kdp))" /e /r /s</v>
      </c>
      <c r="AG95" s="1" t="str">
        <f t="shared" si="44"/>
        <v>EC</v>
      </c>
      <c r="AH95" s="109" t="str">
        <f t="shared" si="45"/>
        <v>"%USERPROFILE%\Documents\GitHub\eaglep3\Utilities\RefineRTDCRunTimes.py" --tripid 183-12 --locoid 4018 --swversion DE.1.0.7.0 --startMP 204:458 --initTime 2016-08-12T13:52:52 --startdatetime 2016-08-12T13:54:27 --delay 1 --endMP 204:233360 --enddatetime 2016-08-12T16:22:30 --enforcementcount 1</v>
      </c>
    </row>
    <row r="96" spans="1:34" x14ac:dyDescent="0.25">
      <c r="A96" s="42" t="s">
        <v>390</v>
      </c>
      <c r="B96" s="7">
        <v>4017</v>
      </c>
      <c r="C96" s="25" t="s">
        <v>122</v>
      </c>
      <c r="D96" s="25" t="s">
        <v>145</v>
      </c>
      <c r="E96" s="16">
        <v>42594.616319444445</v>
      </c>
      <c r="F96" s="16">
        <v>42594.617013888892</v>
      </c>
      <c r="G96" s="7">
        <v>0</v>
      </c>
      <c r="H96" s="16" t="s">
        <v>175</v>
      </c>
      <c r="I96" s="16">
        <v>42594.651562500003</v>
      </c>
      <c r="J96" s="7">
        <v>0</v>
      </c>
      <c r="K96" s="149" t="str">
        <f t="shared" si="32"/>
        <v>4017/4018</v>
      </c>
      <c r="L96" s="25" t="str">
        <f>VLOOKUP(A96,'Trips&amp;Operators'!$C$1:$E$10000,3,FALSE)</f>
        <v>SHOOK</v>
      </c>
      <c r="M96" s="6">
        <f t="shared" si="33"/>
        <v>3.4548611110949423E-2</v>
      </c>
      <c r="N96" s="7">
        <f t="shared" si="34"/>
        <v>49.749999999767169</v>
      </c>
      <c r="O96" s="7"/>
      <c r="P96" s="7"/>
      <c r="Q96" s="26"/>
      <c r="R96" s="26"/>
      <c r="S96" s="38">
        <f t="shared" si="35"/>
        <v>1</v>
      </c>
      <c r="T96" s="55" t="str">
        <f t="shared" si="36"/>
        <v>Southbound</v>
      </c>
      <c r="U96" s="13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13:47:30-0600',mode:absolute,to:'2016-08-12 16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6" s="57" t="str">
        <f t="shared" si="38"/>
        <v>N</v>
      </c>
      <c r="X96" s="133">
        <f t="shared" si="39"/>
        <v>1</v>
      </c>
      <c r="Y96" s="72">
        <f t="shared" si="40"/>
        <v>23.2989</v>
      </c>
      <c r="Z96" s="72">
        <f t="shared" si="41"/>
        <v>1.3899999999999999E-2</v>
      </c>
      <c r="AA96" s="72">
        <f t="shared" si="42"/>
        <v>23.285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43"/>
        <v>0184-12</v>
      </c>
      <c r="AE96" s="108" t="str">
        <f t="shared" si="3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96" s="105" t="str">
        <f t="shared" si="31"/>
        <v>"C:\Program Files (x86)\AstroGrep\AstroGrep.exe" /spath="%USERPROFILE%\AppData\Local\Temp\OnboardLogs" /stypes="*4017*20160812*" /stext=" 21:.+((SYSTEM_STATE.+slice.+state.+changed )|(ment ac)|(system.+state.+changed )|(\|lc)|(penalty)|(\[timeout)|(PRM\|1\|D)|(kpr)|(kdp))" /e /r /s</v>
      </c>
      <c r="AG96" s="1" t="str">
        <f t="shared" si="44"/>
        <v>EC</v>
      </c>
      <c r="AH96" s="109" t="str">
        <f t="shared" si="45"/>
        <v>"%USERPROFILE%\Documents\GitHub\eaglep3\Utilities\RefineRTDCRunTimes.py" --tripid 184-12 --locoid 4017 --swversion DE.1.0.7.0 --startMP 204:232989 --initTime 2016-08-12T14:47:30 --startdatetime 2016-08-12T14:48:30 --delay 0 --endMP 204:139 --enddatetime 2016-08-12T15:38:15 --enforcementcount 0</v>
      </c>
    </row>
    <row r="97" spans="1:34" x14ac:dyDescent="0.25">
      <c r="A97" s="42" t="s">
        <v>391</v>
      </c>
      <c r="B97" s="7">
        <v>4029</v>
      </c>
      <c r="C97" s="25" t="s">
        <v>122</v>
      </c>
      <c r="D97" s="25" t="s">
        <v>392</v>
      </c>
      <c r="E97" s="16">
        <v>42594.59107638889</v>
      </c>
      <c r="F97" s="16">
        <v>42594.592106481483</v>
      </c>
      <c r="G97" s="7">
        <v>1</v>
      </c>
      <c r="H97" s="16" t="s">
        <v>393</v>
      </c>
      <c r="I97" s="16">
        <v>42594.619710648149</v>
      </c>
      <c r="J97" s="7">
        <v>0</v>
      </c>
      <c r="K97" s="149" t="str">
        <f t="shared" si="32"/>
        <v>4029/4030</v>
      </c>
      <c r="L97" s="25" t="str">
        <f>VLOOKUP(A97,'Trips&amp;Operators'!$C$1:$E$10000,3,FALSE)</f>
        <v>HAITHCOX</v>
      </c>
      <c r="M97" s="6">
        <f t="shared" si="33"/>
        <v>2.7604166665696539E-2</v>
      </c>
      <c r="N97" s="7">
        <f t="shared" si="34"/>
        <v>39.749999998603016</v>
      </c>
      <c r="O97" s="7"/>
      <c r="P97" s="7"/>
      <c r="Q97" s="26"/>
      <c r="R97" s="26"/>
      <c r="S97" s="38">
        <f t="shared" si="35"/>
        <v>1</v>
      </c>
      <c r="T97" s="55" t="str">
        <f t="shared" si="36"/>
        <v>NorthBound</v>
      </c>
      <c r="U97" s="13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13:11:09-0600',mode:absolute,to:'2016-08-12 15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97" s="57" t="str">
        <f t="shared" si="38"/>
        <v>N</v>
      </c>
      <c r="X97" s="133">
        <f t="shared" si="39"/>
        <v>1</v>
      </c>
      <c r="Y97" s="72">
        <f t="shared" si="40"/>
        <v>4.7699999999999999E-2</v>
      </c>
      <c r="Z97" s="72">
        <f t="shared" si="41"/>
        <v>23.332599999999999</v>
      </c>
      <c r="AA97" s="72">
        <f t="shared" si="42"/>
        <v>23.2849</v>
      </c>
      <c r="AB97" s="69" t="e">
        <f>VLOOKUP(A97,Enforcements!$C$7:$J$24,8,0)</f>
        <v>#N/A</v>
      </c>
      <c r="AC97" s="65" t="e">
        <f>VLOOKUP(A97,Enforcements!$C$7:$E$24,3,0)</f>
        <v>#N/A</v>
      </c>
      <c r="AD97" s="66" t="str">
        <f t="shared" si="43"/>
        <v>0185-12</v>
      </c>
      <c r="AE97" s="108" t="str">
        <f t="shared" si="3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97" s="105" t="str">
        <f t="shared" si="31"/>
        <v>"C:\Program Files (x86)\AstroGrep\AstroGrep.exe" /spath="%USERPROFILE%\AppData\Local\Temp\OnboardLogs" /stypes="*4029*20160812*" /stext=" 20:.+((SYSTEM_STATE.+slice.+state.+changed )|(ment ac)|(system.+state.+changed )|(\|lc)|(penalty)|(\[timeout)|(PRM\|1\|D)|(kpr)|(kdp))" /e /r /s</v>
      </c>
      <c r="AG97" s="1" t="str">
        <f t="shared" si="44"/>
        <v>EC</v>
      </c>
      <c r="AH97" s="109" t="str">
        <f t="shared" si="45"/>
        <v>"%USERPROFILE%\Documents\GitHub\eaglep3\Utilities\RefineRTDCRunTimes.py" --tripid 185-12 --locoid 4029 --swversion DE.1.0.7.0 --startMP 204:477 --initTime 2016-08-12T14:11:09 --startdatetime 2016-08-12T14:12:38 --delay 1 --endMP 204:233326 --enddatetime 2016-08-12T14:52:23 --enforcementcount 0</v>
      </c>
    </row>
    <row r="98" spans="1:34" s="24" customFormat="1" x14ac:dyDescent="0.25">
      <c r="A98" s="42" t="s">
        <v>394</v>
      </c>
      <c r="B98" s="7">
        <v>4030</v>
      </c>
      <c r="C98" s="25" t="s">
        <v>122</v>
      </c>
      <c r="D98" s="25" t="s">
        <v>157</v>
      </c>
      <c r="E98" s="16">
        <v>42594.627118055556</v>
      </c>
      <c r="F98" s="16">
        <v>42594.627916666665</v>
      </c>
      <c r="G98" s="7">
        <v>1</v>
      </c>
      <c r="H98" s="16" t="s">
        <v>93</v>
      </c>
      <c r="I98" s="16">
        <v>42594.66028935185</v>
      </c>
      <c r="J98" s="7">
        <v>0</v>
      </c>
      <c r="K98" s="149" t="str">
        <f t="shared" si="32"/>
        <v>4029/4030</v>
      </c>
      <c r="L98" s="25" t="str">
        <f>VLOOKUP(A98,'Trips&amp;Operators'!$C$1:$E$10000,3,FALSE)</f>
        <v>HAITHCOX</v>
      </c>
      <c r="M98" s="6">
        <f t="shared" si="33"/>
        <v>3.2372685185691807E-2</v>
      </c>
      <c r="N98" s="7">
        <f t="shared" si="34"/>
        <v>46.616666667396203</v>
      </c>
      <c r="O98" s="7"/>
      <c r="P98" s="7"/>
      <c r="Q98" s="26"/>
      <c r="R98" s="26"/>
      <c r="S98" s="38">
        <f t="shared" si="35"/>
        <v>1</v>
      </c>
      <c r="T98" s="55" t="str">
        <f t="shared" si="36"/>
        <v>Southbound</v>
      </c>
      <c r="U98" s="13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14:03:03-0600',mode:absolute,to:'2016-08-12 16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8" s="57" t="str">
        <f t="shared" si="38"/>
        <v>N</v>
      </c>
      <c r="X98" s="133">
        <f t="shared" si="39"/>
        <v>1</v>
      </c>
      <c r="Y98" s="72">
        <f t="shared" si="40"/>
        <v>23.299600000000002</v>
      </c>
      <c r="Z98" s="72">
        <f t="shared" si="41"/>
        <v>1.43E-2</v>
      </c>
      <c r="AA98" s="72">
        <f t="shared" si="42"/>
        <v>23.285300000000003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43"/>
        <v>0186-12</v>
      </c>
      <c r="AE98" s="108" t="str">
        <f t="shared" si="3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98" s="105" t="str">
        <f t="shared" si="31"/>
        <v>"C:\Program Files (x86)\AstroGrep\AstroGrep.exe" /spath="%USERPROFILE%\AppData\Local\Temp\OnboardLogs" /stypes="*4030*20160812*" /stext=" 21:.+((SYSTEM_STATE.+slice.+state.+changed )|(ment ac)|(system.+state.+changed )|(\|lc)|(penalty)|(\[timeout)|(PRM\|1\|D)|(kpr)|(kdp))" /e /r /s</v>
      </c>
      <c r="AG98" s="1" t="str">
        <f t="shared" si="44"/>
        <v>EC</v>
      </c>
      <c r="AH98" s="109" t="str">
        <f t="shared" si="45"/>
        <v>"%USERPROFILE%\Documents\GitHub\eaglep3\Utilities\RefineRTDCRunTimes.py" --tripid 186-12 --locoid 4030 --swversion DE.1.0.7.0 --startMP 204:232996 --initTime 2016-08-12T15:03:03 --startdatetime 2016-08-12T15:04:12 --delay 1 --endMP 204:143 --enddatetime 2016-08-12T15:50:49 --enforcementcount 0</v>
      </c>
    </row>
    <row r="99" spans="1:34" x14ac:dyDescent="0.25">
      <c r="A99" s="42" t="s">
        <v>395</v>
      </c>
      <c r="B99" s="7">
        <v>4020</v>
      </c>
      <c r="C99" s="25" t="s">
        <v>122</v>
      </c>
      <c r="D99" s="25" t="s">
        <v>226</v>
      </c>
      <c r="E99" s="16">
        <v>42594.601458333331</v>
      </c>
      <c r="F99" s="16">
        <v>42594.602222222224</v>
      </c>
      <c r="G99" s="7">
        <v>1</v>
      </c>
      <c r="H99" s="16" t="s">
        <v>194</v>
      </c>
      <c r="I99" s="16">
        <v>42594.632418981484</v>
      </c>
      <c r="J99" s="7">
        <v>0</v>
      </c>
      <c r="K99" s="149" t="str">
        <f t="shared" si="32"/>
        <v>4019/4020</v>
      </c>
      <c r="L99" s="25" t="str">
        <f>VLOOKUP(A99,'Trips&amp;Operators'!$C$1:$E$10000,3,FALSE)</f>
        <v>STEWART</v>
      </c>
      <c r="M99" s="6">
        <f t="shared" si="33"/>
        <v>3.0196759260434192E-2</v>
      </c>
      <c r="N99" s="7">
        <f t="shared" si="34"/>
        <v>43.483333335025236</v>
      </c>
      <c r="O99" s="7"/>
      <c r="P99" s="7"/>
      <c r="Q99" s="26"/>
      <c r="R99" s="26"/>
      <c r="S99" s="38">
        <f t="shared" si="35"/>
        <v>1</v>
      </c>
      <c r="T99" s="55" t="str">
        <f t="shared" si="36"/>
        <v>NorthBound</v>
      </c>
      <c r="U99" s="13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13:26:06-0600',mode:absolute,to:'2016-08-12 16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99" s="57" t="str">
        <f t="shared" si="38"/>
        <v>N</v>
      </c>
      <c r="X99" s="133">
        <f t="shared" si="39"/>
        <v>1</v>
      </c>
      <c r="Y99" s="72">
        <f t="shared" si="40"/>
        <v>4.4200000000000003E-2</v>
      </c>
      <c r="Z99" s="72">
        <f t="shared" si="41"/>
        <v>23.331399999999999</v>
      </c>
      <c r="AA99" s="72">
        <f t="shared" si="42"/>
        <v>23.287199999999999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43"/>
        <v>0187-12</v>
      </c>
      <c r="AE99" s="108" t="str">
        <f t="shared" si="3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99" s="105" t="str">
        <f t="shared" si="31"/>
        <v>"C:\Program Files (x86)\AstroGrep\AstroGrep.exe" /spath="%USERPROFILE%\AppData\Local\Temp\OnboardLogs" /stypes="*4020*20160812*" /stext=" 21:.+((SYSTEM_STATE.+slice.+state.+changed )|(ment ac)|(system.+state.+changed )|(\|lc)|(penalty)|(\[timeout)|(PRM\|1\|D)|(kpr)|(kdp))" /e /r /s</v>
      </c>
      <c r="AG99" s="1" t="str">
        <f t="shared" si="44"/>
        <v>EC</v>
      </c>
      <c r="AH99" s="109" t="str">
        <f t="shared" si="45"/>
        <v>"%USERPROFILE%\Documents\GitHub\eaglep3\Utilities\RefineRTDCRunTimes.py" --tripid 187-12 --locoid 4020 --swversion DE.1.0.7.0 --startMP 204:442 --initTime 2016-08-12T14:26:06 --startdatetime 2016-08-12T14:27:12 --delay 1 --endMP 204:233314 --enddatetime 2016-08-12T15:10:41 --enforcementcount 0</v>
      </c>
    </row>
    <row r="100" spans="1:34" x14ac:dyDescent="0.25">
      <c r="A100" s="42" t="s">
        <v>396</v>
      </c>
      <c r="B100" s="7">
        <v>4019</v>
      </c>
      <c r="C100" s="25" t="s">
        <v>122</v>
      </c>
      <c r="D100" s="25" t="s">
        <v>397</v>
      </c>
      <c r="E100" s="16">
        <v>42594.638842592591</v>
      </c>
      <c r="F100" s="16">
        <v>42594.639548611114</v>
      </c>
      <c r="G100" s="7">
        <v>1</v>
      </c>
      <c r="H100" s="16" t="s">
        <v>398</v>
      </c>
      <c r="I100" s="16">
        <v>42594.671539351853</v>
      </c>
      <c r="J100" s="7">
        <v>1</v>
      </c>
      <c r="K100" s="149" t="str">
        <f t="shared" si="32"/>
        <v>4019/4020</v>
      </c>
      <c r="L100" s="25" t="str">
        <f>VLOOKUP(A100,'Trips&amp;Operators'!$C$1:$E$10000,3,FALSE)</f>
        <v>STEWART</v>
      </c>
      <c r="M100" s="6">
        <f t="shared" si="33"/>
        <v>3.199074073927477E-2</v>
      </c>
      <c r="N100" s="7">
        <f t="shared" si="34"/>
        <v>46.066666664555669</v>
      </c>
      <c r="O100" s="7"/>
      <c r="P100" s="7"/>
      <c r="Q100" s="26"/>
      <c r="R100" s="26"/>
      <c r="S100" s="38">
        <f t="shared" si="35"/>
        <v>1</v>
      </c>
      <c r="T100" s="55" t="str">
        <f t="shared" si="36"/>
        <v>Southbound</v>
      </c>
      <c r="U100" s="13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14:19:56-0600',mode:absolute,to:'2016-08-12 17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00" s="57" t="str">
        <f t="shared" si="38"/>
        <v>N</v>
      </c>
      <c r="X100" s="133">
        <f t="shared" si="39"/>
        <v>1</v>
      </c>
      <c r="Y100" s="72">
        <f t="shared" si="40"/>
        <v>23.297599999999999</v>
      </c>
      <c r="Z100" s="72">
        <f t="shared" si="41"/>
        <v>1.9599999999999999E-2</v>
      </c>
      <c r="AA100" s="72">
        <f t="shared" si="42"/>
        <v>23.277999999999999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43"/>
        <v>0188-12</v>
      </c>
      <c r="AE100" s="108" t="str">
        <f t="shared" si="3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100" s="105" t="str">
        <f t="shared" si="31"/>
        <v>"C:\Program Files (x86)\AstroGrep\AstroGrep.exe" /spath="%USERPROFILE%\AppData\Local\Temp\OnboardLogs" /stypes="*4019*20160812*" /stext=" 22:.+((SYSTEM_STATE.+slice.+state.+changed )|(ment ac)|(system.+state.+changed )|(\|lc)|(penalty)|(\[timeout)|(PRM\|1\|D)|(kpr)|(kdp))" /e /r /s</v>
      </c>
      <c r="AG100" s="1" t="str">
        <f t="shared" si="44"/>
        <v>EC</v>
      </c>
      <c r="AH100" s="109" t="str">
        <f t="shared" si="45"/>
        <v>"%USERPROFILE%\Documents\GitHub\eaglep3\Utilities\RefineRTDCRunTimes.py" --tripid 188-12 --locoid 4019 --swversion DE.1.0.7.0 --startMP 204:232976 --initTime 2016-08-12T15:19:56 --startdatetime 2016-08-12T15:20:57 --delay 1 --endMP 204:196 --enddatetime 2016-08-12T16:07:01 --enforcementcount 1</v>
      </c>
    </row>
    <row r="101" spans="1:34" x14ac:dyDescent="0.25">
      <c r="A101" s="42" t="s">
        <v>399</v>
      </c>
      <c r="B101" s="7">
        <v>4031</v>
      </c>
      <c r="C101" s="25" t="s">
        <v>122</v>
      </c>
      <c r="D101" s="25" t="s">
        <v>148</v>
      </c>
      <c r="E101" s="16">
        <v>42594.61010416667</v>
      </c>
      <c r="F101" s="16">
        <v>42594.611643518518</v>
      </c>
      <c r="G101" s="7">
        <v>2</v>
      </c>
      <c r="H101" s="16" t="s">
        <v>120</v>
      </c>
      <c r="I101" s="16">
        <v>42594.640150462961</v>
      </c>
      <c r="J101" s="7">
        <v>0</v>
      </c>
      <c r="K101" s="149" t="str">
        <f t="shared" si="32"/>
        <v>4031/4032</v>
      </c>
      <c r="L101" s="25" t="str">
        <f>VLOOKUP(A101,'Trips&amp;Operators'!$C$1:$E$10000,3,FALSE)</f>
        <v>MAYBERRY</v>
      </c>
      <c r="M101" s="6">
        <f t="shared" si="33"/>
        <v>2.8506944443506654E-2</v>
      </c>
      <c r="N101" s="7">
        <f t="shared" si="34"/>
        <v>41.049999998649582</v>
      </c>
      <c r="O101" s="7"/>
      <c r="P101" s="7"/>
      <c r="Q101" s="26"/>
      <c r="R101" s="26"/>
      <c r="S101" s="38">
        <f t="shared" si="35"/>
        <v>1</v>
      </c>
      <c r="T101" s="55" t="str">
        <f t="shared" si="36"/>
        <v>NorthBound</v>
      </c>
      <c r="U101" s="13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13:38:33-0600',mode:absolute,to:'2016-08-12 16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01" s="57" t="str">
        <f t="shared" si="38"/>
        <v>N</v>
      </c>
      <c r="X101" s="133">
        <f t="shared" si="39"/>
        <v>1</v>
      </c>
      <c r="Y101" s="72">
        <f t="shared" si="40"/>
        <v>4.53E-2</v>
      </c>
      <c r="Z101" s="72">
        <f t="shared" si="41"/>
        <v>23.3293</v>
      </c>
      <c r="AA101" s="72">
        <f t="shared" si="42"/>
        <v>23.283999999999999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43"/>
        <v>0189-12</v>
      </c>
      <c r="AE101" s="108" t="str">
        <f t="shared" si="3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101" s="105" t="str">
        <f t="shared" si="31"/>
        <v>"C:\Program Files (x86)\AstroGrep\AstroGrep.exe" /spath="%USERPROFILE%\AppData\Local\Temp\OnboardLogs" /stypes="*4031*20160812*" /stext=" 21:.+((SYSTEM_STATE.+slice.+state.+changed )|(ment ac)|(system.+state.+changed )|(\|lc)|(penalty)|(\[timeout)|(PRM\|1\|D)|(kpr)|(kdp))" /e /r /s</v>
      </c>
      <c r="AG101" s="1" t="str">
        <f t="shared" si="44"/>
        <v>EC</v>
      </c>
      <c r="AH101" s="109" t="str">
        <f t="shared" si="45"/>
        <v>"%USERPROFILE%\Documents\GitHub\eaglep3\Utilities\RefineRTDCRunTimes.py" --tripid 189-12 --locoid 4031 --swversion DE.1.0.7.0 --startMP 204:453 --initTime 2016-08-12T14:38:33 --startdatetime 2016-08-12T14:40:46 --delay 2 --endMP 204:233293 --enddatetime 2016-08-12T15:21:49 --enforcementcount 0</v>
      </c>
    </row>
    <row r="102" spans="1:34" x14ac:dyDescent="0.25">
      <c r="A102" s="42" t="s">
        <v>400</v>
      </c>
      <c r="B102" s="7">
        <v>4032</v>
      </c>
      <c r="C102" s="25" t="s">
        <v>122</v>
      </c>
      <c r="D102" s="25" t="s">
        <v>179</v>
      </c>
      <c r="E102" s="16">
        <v>42594.65016203704</v>
      </c>
      <c r="F102" s="16">
        <v>42594.65121527778</v>
      </c>
      <c r="G102" s="7">
        <v>1</v>
      </c>
      <c r="H102" s="16" t="s">
        <v>146</v>
      </c>
      <c r="I102" s="16">
        <v>42594.682326388887</v>
      </c>
      <c r="J102" s="7">
        <v>1</v>
      </c>
      <c r="K102" s="149" t="str">
        <f t="shared" si="32"/>
        <v>4031/4032</v>
      </c>
      <c r="L102" s="25" t="str">
        <f>VLOOKUP(A102,'Trips&amp;Operators'!$C$1:$E$10000,3,FALSE)</f>
        <v>MAYBERRY</v>
      </c>
      <c r="M102" s="6">
        <f t="shared" si="33"/>
        <v>3.1111111107748002E-2</v>
      </c>
      <c r="N102" s="7">
        <f t="shared" si="34"/>
        <v>44.799999995157123</v>
      </c>
      <c r="O102" s="7"/>
      <c r="P102" s="7"/>
      <c r="Q102" s="26"/>
      <c r="R102" s="26"/>
      <c r="S102" s="38">
        <f t="shared" si="35"/>
        <v>1</v>
      </c>
      <c r="T102" s="55" t="str">
        <f t="shared" si="36"/>
        <v>Southbound</v>
      </c>
      <c r="U102" s="13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14:36:14-0600',mode:absolute,to:'2016-08-12 17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02" s="57" t="str">
        <f t="shared" si="38"/>
        <v>N</v>
      </c>
      <c r="X102" s="133">
        <f t="shared" si="39"/>
        <v>1</v>
      </c>
      <c r="Y102" s="72">
        <f t="shared" si="40"/>
        <v>23.297999999999998</v>
      </c>
      <c r="Z102" s="72">
        <f t="shared" si="41"/>
        <v>1.47E-2</v>
      </c>
      <c r="AA102" s="72">
        <f t="shared" si="42"/>
        <v>23.283299999999997</v>
      </c>
      <c r="AB102" s="69">
        <f>VLOOKUP(A102,Enforcements!$C$7:$J$24,8,0)</f>
        <v>183829</v>
      </c>
      <c r="AC102" s="65" t="str">
        <f>VLOOKUP(A102,Enforcements!$C$7:$E$24,3,0)</f>
        <v>PERMANENT SPEED RESTRICTION</v>
      </c>
      <c r="AD102" s="66" t="str">
        <f t="shared" si="43"/>
        <v>0190-12</v>
      </c>
      <c r="AE102" s="108" t="str">
        <f t="shared" si="3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102" s="105" t="str">
        <f t="shared" si="31"/>
        <v>"C:\Program Files (x86)\AstroGrep\AstroGrep.exe" /spath="%USERPROFILE%\AppData\Local\Temp\OnboardLogs" /stypes="*4032*20160812*" /stext=" 22:.+((SYSTEM_STATE.+slice.+state.+changed )|(ment ac)|(system.+state.+changed )|(\|lc)|(penalty)|(\[timeout)|(PRM\|1\|D)|(kpr)|(kdp))" /e /r /s</v>
      </c>
      <c r="AG102" s="1" t="str">
        <f t="shared" si="44"/>
        <v>EC</v>
      </c>
      <c r="AH102" s="109" t="str">
        <f t="shared" si="45"/>
        <v>"%USERPROFILE%\Documents\GitHub\eaglep3\Utilities\RefineRTDCRunTimes.py" --tripid 190-12 --locoid 4032 --swversion DE.1.0.7.0 --startMP 204:232980 --initTime 2016-08-12T15:36:14 --startdatetime 2016-08-12T15:37:45 --delay 1 --endMP 204:147 --enddatetime 2016-08-12T16:22:33 --enforcementcount 1</v>
      </c>
    </row>
    <row r="103" spans="1:34" x14ac:dyDescent="0.25">
      <c r="A103" s="42" t="s">
        <v>401</v>
      </c>
      <c r="B103" s="7">
        <v>4014</v>
      </c>
      <c r="C103" s="25" t="s">
        <v>122</v>
      </c>
      <c r="D103" s="25" t="s">
        <v>402</v>
      </c>
      <c r="E103" s="16">
        <v>42594.62096064815</v>
      </c>
      <c r="F103" s="16">
        <v>42594.621898148151</v>
      </c>
      <c r="G103" s="7">
        <v>1</v>
      </c>
      <c r="H103" s="16" t="s">
        <v>181</v>
      </c>
      <c r="I103" s="16">
        <v>42594.651122685187</v>
      </c>
      <c r="J103" s="7">
        <v>0</v>
      </c>
      <c r="K103" s="149" t="str">
        <f t="shared" si="32"/>
        <v>4013/4014</v>
      </c>
      <c r="L103" s="25" t="str">
        <f>VLOOKUP(A103,'Trips&amp;Operators'!$C$1:$E$10000,3,FALSE)</f>
        <v>SWANSON</v>
      </c>
      <c r="M103" s="6">
        <f t="shared" si="33"/>
        <v>2.9224537036498077E-2</v>
      </c>
      <c r="N103" s="7">
        <f t="shared" si="34"/>
        <v>42.083333332557231</v>
      </c>
      <c r="O103" s="7"/>
      <c r="P103" s="7"/>
      <c r="Q103" s="26"/>
      <c r="R103" s="26"/>
      <c r="S103" s="38">
        <f t="shared" si="35"/>
        <v>1</v>
      </c>
      <c r="T103" s="55" t="str">
        <f t="shared" si="36"/>
        <v>NorthBound</v>
      </c>
      <c r="U103" s="13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13:54:11-0600',mode:absolute,to:'2016-08-12 16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03" s="57" t="str">
        <f t="shared" si="38"/>
        <v>N</v>
      </c>
      <c r="X103" s="133">
        <f t="shared" si="39"/>
        <v>1</v>
      </c>
      <c r="Y103" s="72">
        <f t="shared" si="40"/>
        <v>5.3699999999999998E-2</v>
      </c>
      <c r="Z103" s="72">
        <f t="shared" si="41"/>
        <v>23.3306</v>
      </c>
      <c r="AA103" s="72">
        <f t="shared" si="42"/>
        <v>23.276900000000001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43"/>
        <v>0191-12</v>
      </c>
      <c r="AE103" s="108" t="str">
        <f t="shared" si="3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103" s="105" t="str">
        <f t="shared" si="31"/>
        <v>"C:\Program Files (x86)\AstroGrep\AstroGrep.exe" /spath="%USERPROFILE%\AppData\Local\Temp\OnboardLogs" /stypes="*4014*20160812*" /stext=" 21:.+((SYSTEM_STATE.+slice.+state.+changed )|(ment ac)|(system.+state.+changed )|(\|lc)|(penalty)|(\[timeout)|(PRM\|1\|D)|(kpr)|(kdp))" /e /r /s</v>
      </c>
      <c r="AG103" s="1" t="str">
        <f t="shared" si="44"/>
        <v>EC</v>
      </c>
      <c r="AH103" s="109" t="str">
        <f t="shared" si="45"/>
        <v>"%USERPROFILE%\Documents\GitHub\eaglep3\Utilities\RefineRTDCRunTimes.py" --tripid 191-12 --locoid 4014 --swversion DE.1.0.7.0 --startMP 204:537 --initTime 2016-08-12T14:54:11 --startdatetime 2016-08-12T14:55:32 --delay 1 --endMP 204:233306 --enddatetime 2016-08-12T15:37:37 --enforcementcount 0</v>
      </c>
    </row>
    <row r="104" spans="1:34" x14ac:dyDescent="0.25">
      <c r="A104" s="42" t="s">
        <v>403</v>
      </c>
      <c r="B104" s="7">
        <v>4013</v>
      </c>
      <c r="C104" s="25" t="s">
        <v>122</v>
      </c>
      <c r="D104" s="25" t="s">
        <v>404</v>
      </c>
      <c r="E104" s="16">
        <v>42594.659861111111</v>
      </c>
      <c r="F104" s="16">
        <v>42594.660960648151</v>
      </c>
      <c r="G104" s="7">
        <v>1</v>
      </c>
      <c r="H104" s="16" t="s">
        <v>147</v>
      </c>
      <c r="I104" s="16">
        <v>42594.691006944442</v>
      </c>
      <c r="J104" s="7">
        <v>0</v>
      </c>
      <c r="K104" s="149" t="str">
        <f t="shared" si="32"/>
        <v>4013/4014</v>
      </c>
      <c r="L104" s="25" t="str">
        <f>VLOOKUP(A104,'Trips&amp;Operators'!$C$1:$E$10000,3,FALSE)</f>
        <v>SWANSON</v>
      </c>
      <c r="M104" s="6">
        <f t="shared" si="33"/>
        <v>3.0046296291402541E-2</v>
      </c>
      <c r="N104" s="7">
        <f t="shared" si="34"/>
        <v>43.266666659619659</v>
      </c>
      <c r="O104" s="7"/>
      <c r="P104" s="7"/>
      <c r="Q104" s="26"/>
      <c r="R104" s="26"/>
      <c r="S104" s="38">
        <f t="shared" si="35"/>
        <v>1</v>
      </c>
      <c r="T104" s="55" t="str">
        <f t="shared" si="36"/>
        <v>Southbound</v>
      </c>
      <c r="U104" s="13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14:50:12-0600',mode:absolute,to:'2016-08-12 17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04" s="57" t="str">
        <f t="shared" si="38"/>
        <v>N</v>
      </c>
      <c r="X104" s="133">
        <f t="shared" si="39"/>
        <v>1</v>
      </c>
      <c r="Y104" s="72">
        <f t="shared" si="40"/>
        <v>23.3002</v>
      </c>
      <c r="Z104" s="72">
        <f t="shared" si="41"/>
        <v>1.61E-2</v>
      </c>
      <c r="AA104" s="72">
        <f t="shared" si="42"/>
        <v>23.284099999999999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43"/>
        <v>0192-12</v>
      </c>
      <c r="AE104" s="108" t="str">
        <f t="shared" si="3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104" s="105" t="str">
        <f t="shared" si="31"/>
        <v>"C:\Program Files (x86)\AstroGrep\AstroGrep.exe" /spath="%USERPROFILE%\AppData\Local\Temp\OnboardLogs" /stypes="*4013*20160812*" /stext=" 22:.+((SYSTEM_STATE.+slice.+state.+changed )|(ment ac)|(system.+state.+changed )|(\|lc)|(penalty)|(\[timeout)|(PRM\|1\|D)|(kpr)|(kdp))" /e /r /s</v>
      </c>
      <c r="AG104" s="1" t="str">
        <f t="shared" si="44"/>
        <v>EC</v>
      </c>
      <c r="AH104" s="109" t="str">
        <f t="shared" si="45"/>
        <v>"%USERPROFILE%\Documents\GitHub\eaglep3\Utilities\RefineRTDCRunTimes.py" --tripid 192-12 --locoid 4013 --swversion DE.1.0.7.0 --startMP 204:233002 --initTime 2016-08-12T15:50:12 --startdatetime 2016-08-12T15:51:47 --delay 1 --endMP 204:161 --enddatetime 2016-08-12T16:35:03 --enforcementcount 0</v>
      </c>
    </row>
    <row r="105" spans="1:34" x14ac:dyDescent="0.25">
      <c r="A105" s="42" t="s">
        <v>405</v>
      </c>
      <c r="B105" s="7">
        <v>4027</v>
      </c>
      <c r="C105" s="25" t="s">
        <v>122</v>
      </c>
      <c r="D105" s="25" t="s">
        <v>172</v>
      </c>
      <c r="E105" s="16">
        <v>42594.632835648146</v>
      </c>
      <c r="F105" s="16">
        <v>42594.634027777778</v>
      </c>
      <c r="G105" s="7">
        <v>1</v>
      </c>
      <c r="H105" s="16" t="s">
        <v>406</v>
      </c>
      <c r="I105" s="16">
        <v>42594.662395833337</v>
      </c>
      <c r="J105" s="7">
        <v>0</v>
      </c>
      <c r="K105" s="149" t="str">
        <f t="shared" si="32"/>
        <v>4027/4028</v>
      </c>
      <c r="L105" s="25" t="str">
        <f>VLOOKUP(A105,'Trips&amp;Operators'!$C$1:$E$10000,3,FALSE)</f>
        <v>MOSES</v>
      </c>
      <c r="M105" s="6">
        <f t="shared" si="33"/>
        <v>2.8368055558530614E-2</v>
      </c>
      <c r="N105" s="7">
        <f t="shared" si="34"/>
        <v>40.850000004284084</v>
      </c>
      <c r="O105" s="7"/>
      <c r="P105" s="7"/>
      <c r="Q105" s="26"/>
      <c r="R105" s="26"/>
      <c r="S105" s="38">
        <f t="shared" si="35"/>
        <v>1</v>
      </c>
      <c r="T105" s="55" t="str">
        <f t="shared" si="36"/>
        <v>NorthBound</v>
      </c>
      <c r="U105" s="13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14:11:17-0600',mode:absolute,to:'2016-08-12 16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05" s="57" t="str">
        <f t="shared" si="38"/>
        <v>N</v>
      </c>
      <c r="X105" s="133">
        <f t="shared" si="39"/>
        <v>1</v>
      </c>
      <c r="Y105" s="72">
        <f t="shared" si="40"/>
        <v>4.6899999999999997E-2</v>
      </c>
      <c r="Z105" s="72">
        <f t="shared" si="41"/>
        <v>23.332799999999999</v>
      </c>
      <c r="AA105" s="72">
        <f t="shared" si="42"/>
        <v>23.285899999999998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43"/>
        <v>0193-12</v>
      </c>
      <c r="AE105" s="108" t="str">
        <f t="shared" si="30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105" s="105" t="str">
        <f t="shared" si="31"/>
        <v>"C:\Program Files (x86)\AstroGrep\AstroGrep.exe" /spath="%USERPROFILE%\AppData\Local\Temp\OnboardLogs" /stypes="*4027*20160812*" /stext=" 21:.+((SYSTEM_STATE.+slice.+state.+changed )|(ment ac)|(system.+state.+changed )|(\|lc)|(penalty)|(\[timeout)|(PRM\|1\|D)|(kpr)|(kdp))" /e /r /s</v>
      </c>
      <c r="AG105" s="1" t="str">
        <f t="shared" si="44"/>
        <v>EC</v>
      </c>
      <c r="AH105" s="109" t="str">
        <f t="shared" si="45"/>
        <v>"%USERPROFILE%\Documents\GitHub\eaglep3\Utilities\RefineRTDCRunTimes.py" --tripid 193-12 --locoid 4027 --swversion DE.1.0.7.0 --startMP 204:469 --initTime 2016-08-12T15:11:17 --startdatetime 2016-08-12T15:13:00 --delay 1 --endMP 204:233328 --enddatetime 2016-08-12T15:53:51 --enforcementcount 0</v>
      </c>
    </row>
    <row r="106" spans="1:34" x14ac:dyDescent="0.25">
      <c r="A106" s="42" t="s">
        <v>407</v>
      </c>
      <c r="B106" s="7">
        <v>4028</v>
      </c>
      <c r="C106" s="25" t="s">
        <v>122</v>
      </c>
      <c r="D106" s="25" t="s">
        <v>135</v>
      </c>
      <c r="E106" s="16">
        <v>42594.670891203707</v>
      </c>
      <c r="F106" s="16">
        <v>42594.6718287037</v>
      </c>
      <c r="G106" s="7">
        <v>1</v>
      </c>
      <c r="H106" s="16" t="s">
        <v>143</v>
      </c>
      <c r="I106" s="16">
        <v>42594.701990740738</v>
      </c>
      <c r="J106" s="7">
        <v>0</v>
      </c>
      <c r="K106" s="149" t="str">
        <f t="shared" si="32"/>
        <v>4027/4028</v>
      </c>
      <c r="L106" s="25" t="str">
        <f>VLOOKUP(A106,'Trips&amp;Operators'!$C$1:$E$10000,3,FALSE)</f>
        <v>MOSES</v>
      </c>
      <c r="M106" s="6">
        <f t="shared" si="33"/>
        <v>3.0162037037371192E-2</v>
      </c>
      <c r="N106" s="7">
        <f t="shared" si="34"/>
        <v>43.433333333814517</v>
      </c>
      <c r="O106" s="7"/>
      <c r="P106" s="7"/>
      <c r="Q106" s="26"/>
      <c r="R106" s="26"/>
      <c r="S106" s="38">
        <f t="shared" si="35"/>
        <v>1</v>
      </c>
      <c r="T106" s="55" t="str">
        <f t="shared" si="36"/>
        <v>Southbound</v>
      </c>
      <c r="U106" s="13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15:06:05-0600',mode:absolute,to:'2016-08-12 17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06" s="57" t="str">
        <f t="shared" si="38"/>
        <v>N</v>
      </c>
      <c r="X106" s="133">
        <f t="shared" si="39"/>
        <v>1</v>
      </c>
      <c r="Y106" s="72">
        <f t="shared" si="40"/>
        <v>23.299800000000001</v>
      </c>
      <c r="Z106" s="72">
        <f t="shared" si="41"/>
        <v>1.5800000000000002E-2</v>
      </c>
      <c r="AA106" s="72">
        <f t="shared" si="42"/>
        <v>23.284000000000002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43"/>
        <v>0194-12</v>
      </c>
      <c r="AE106" s="108" t="str">
        <f t="shared" si="3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106" s="105" t="str">
        <f t="shared" si="31"/>
        <v>"C:\Program Files (x86)\AstroGrep\AstroGrep.exe" /spath="%USERPROFILE%\AppData\Local\Temp\OnboardLogs" /stypes="*4028*20160812*" /stext=" 22:.+((SYSTEM_STATE.+slice.+state.+changed )|(ment ac)|(system.+state.+changed )|(\|lc)|(penalty)|(\[timeout)|(PRM\|1\|D)|(kpr)|(kdp))" /e /r /s</v>
      </c>
      <c r="AG106" s="1" t="str">
        <f t="shared" si="44"/>
        <v>EC</v>
      </c>
      <c r="AH106" s="109" t="str">
        <f t="shared" si="45"/>
        <v>"%USERPROFILE%\Documents\GitHub\eaglep3\Utilities\RefineRTDCRunTimes.py" --tripid 194-12 --locoid 4028 --swversion DE.1.0.7.0 --startMP 204:232998 --initTime 2016-08-12T16:06:05 --startdatetime 2016-08-12T16:07:26 --delay 1 --endMP 204:158 --enddatetime 2016-08-12T16:50:52 --enforcementcount 0</v>
      </c>
    </row>
    <row r="107" spans="1:34" s="24" customFormat="1" x14ac:dyDescent="0.25">
      <c r="A107" s="42" t="s">
        <v>408</v>
      </c>
      <c r="B107" s="7">
        <v>4038</v>
      </c>
      <c r="C107" s="25" t="s">
        <v>122</v>
      </c>
      <c r="D107" s="25" t="s">
        <v>176</v>
      </c>
      <c r="E107" s="16">
        <v>42594.643460648149</v>
      </c>
      <c r="F107" s="16">
        <v>42594.644421296296</v>
      </c>
      <c r="G107" s="7">
        <v>1</v>
      </c>
      <c r="H107" s="16" t="s">
        <v>409</v>
      </c>
      <c r="I107" s="16">
        <v>42594.671296296299</v>
      </c>
      <c r="J107" s="7">
        <v>0</v>
      </c>
      <c r="K107" s="149" t="str">
        <f t="shared" si="32"/>
        <v>4037/4038</v>
      </c>
      <c r="L107" s="25" t="str">
        <f>VLOOKUP(A107,'Trips&amp;Operators'!$C$1:$E$10000,3,FALSE)</f>
        <v>SANTIZO</v>
      </c>
      <c r="M107" s="6">
        <f t="shared" si="33"/>
        <v>2.6875000003201421E-2</v>
      </c>
      <c r="N107" s="7">
        <f t="shared" si="34"/>
        <v>38.700000004610047</v>
      </c>
      <c r="O107" s="7"/>
      <c r="P107" s="7"/>
      <c r="Q107" s="26"/>
      <c r="R107" s="26"/>
      <c r="S107" s="38">
        <f t="shared" si="35"/>
        <v>1</v>
      </c>
      <c r="T107" s="55" t="str">
        <f t="shared" si="36"/>
        <v>NorthBound</v>
      </c>
      <c r="U107" s="13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14:26:35-0600',mode:absolute,to:'2016-08-12 17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7" s="57" t="str">
        <f t="shared" si="38"/>
        <v>N</v>
      </c>
      <c r="X107" s="133">
        <f t="shared" si="39"/>
        <v>1</v>
      </c>
      <c r="Y107" s="72">
        <f t="shared" si="40"/>
        <v>4.9299999999999997E-2</v>
      </c>
      <c r="Z107" s="72">
        <f t="shared" si="41"/>
        <v>23.332899999999999</v>
      </c>
      <c r="AA107" s="72">
        <f t="shared" si="42"/>
        <v>23.2836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43"/>
        <v>0195-12</v>
      </c>
      <c r="AE107" s="108" t="str">
        <f t="shared" si="3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107" s="105" t="str">
        <f t="shared" si="31"/>
        <v>"C:\Program Files (x86)\AstroGrep\AstroGrep.exe" /spath="%USERPROFILE%\AppData\Local\Temp\OnboardLogs" /stypes="*4038*20160812*" /stext=" 22:.+((SYSTEM_STATE.+slice.+state.+changed )|(ment ac)|(system.+state.+changed )|(\|lc)|(penalty)|(\[timeout)|(PRM\|1\|D)|(kpr)|(kdp))" /e /r /s</v>
      </c>
      <c r="AG107" s="1" t="str">
        <f t="shared" si="44"/>
        <v>EC</v>
      </c>
      <c r="AH107" s="109" t="str">
        <f t="shared" si="45"/>
        <v>"%USERPROFILE%\Documents\GitHub\eaglep3\Utilities\RefineRTDCRunTimes.py" --tripid 195-12 --locoid 4038 --swversion DE.1.0.7.0 --startMP 204:493 --initTime 2016-08-12T15:26:35 --startdatetime 2016-08-12T15:27:58 --delay 1 --endMP 204:233329 --enddatetime 2016-08-12T16:06:40 --enforcementcount 0</v>
      </c>
    </row>
    <row r="108" spans="1:34" x14ac:dyDescent="0.25">
      <c r="A108" s="42" t="s">
        <v>410</v>
      </c>
      <c r="B108" s="7">
        <v>4037</v>
      </c>
      <c r="C108" s="25" t="s">
        <v>122</v>
      </c>
      <c r="D108" s="25" t="s">
        <v>135</v>
      </c>
      <c r="E108" s="16">
        <v>42594.672627314816</v>
      </c>
      <c r="F108" s="16">
        <v>42594.673449074071</v>
      </c>
      <c r="G108" s="7">
        <v>1</v>
      </c>
      <c r="H108" s="16" t="s">
        <v>93</v>
      </c>
      <c r="I108" s="16">
        <v>42594.71197916667</v>
      </c>
      <c r="J108" s="7">
        <v>0</v>
      </c>
      <c r="K108" s="149" t="str">
        <f t="shared" si="32"/>
        <v>4037/4038</v>
      </c>
      <c r="L108" s="25" t="str">
        <f>VLOOKUP(A108,'Trips&amp;Operators'!$C$1:$E$10000,3,FALSE)</f>
        <v>SANTIZO</v>
      </c>
      <c r="M108" s="6">
        <f t="shared" si="33"/>
        <v>3.8530092599103227E-2</v>
      </c>
      <c r="N108" s="7">
        <f t="shared" si="34"/>
        <v>55.483333342708647</v>
      </c>
      <c r="O108" s="7"/>
      <c r="P108" s="7"/>
      <c r="Q108" s="26"/>
      <c r="R108" s="26"/>
      <c r="S108" s="38">
        <f t="shared" si="35"/>
        <v>1</v>
      </c>
      <c r="T108" s="55" t="str">
        <f t="shared" si="36"/>
        <v>Southbound</v>
      </c>
      <c r="U108" s="13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15:08:35-0600',mode:absolute,to:'2016-08-12 18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8" s="57" t="str">
        <f t="shared" si="38"/>
        <v>N</v>
      </c>
      <c r="X108" s="133">
        <f t="shared" si="39"/>
        <v>1</v>
      </c>
      <c r="Y108" s="72">
        <f t="shared" si="40"/>
        <v>23.299800000000001</v>
      </c>
      <c r="Z108" s="72">
        <f t="shared" si="41"/>
        <v>1.43E-2</v>
      </c>
      <c r="AA108" s="72">
        <f t="shared" si="42"/>
        <v>23.285500000000003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43"/>
        <v>0196-12</v>
      </c>
      <c r="AE108" s="108" t="str">
        <f t="shared" si="3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108" s="105" t="str">
        <f t="shared" si="31"/>
        <v>"C:\Program Files (x86)\AstroGrep\AstroGrep.exe" /spath="%USERPROFILE%\AppData\Local\Temp\OnboardLogs" /stypes="*4037*20160812*" /stext=" 23:.+((SYSTEM_STATE.+slice.+state.+changed )|(ment ac)|(system.+state.+changed )|(\|lc)|(penalty)|(\[timeout)|(PRM\|1\|D)|(kpr)|(kdp))" /e /r /s</v>
      </c>
      <c r="AG108" s="1" t="str">
        <f t="shared" si="44"/>
        <v>EC</v>
      </c>
      <c r="AH108" s="109" t="str">
        <f t="shared" si="45"/>
        <v>"%USERPROFILE%\Documents\GitHub\eaglep3\Utilities\RefineRTDCRunTimes.py" --tripid 196-12 --locoid 4037 --swversion DE.1.0.7.0 --startMP 204:232998 --initTime 2016-08-12T16:08:35 --startdatetime 2016-08-12T16:09:46 --delay 1 --endMP 204:143 --enddatetime 2016-08-12T17:05:15 --enforcementcount 0</v>
      </c>
    </row>
    <row r="109" spans="1:34" x14ac:dyDescent="0.25">
      <c r="A109" s="42" t="s">
        <v>411</v>
      </c>
      <c r="B109" s="7">
        <v>4018</v>
      </c>
      <c r="C109" s="25" t="s">
        <v>122</v>
      </c>
      <c r="D109" s="25" t="s">
        <v>226</v>
      </c>
      <c r="E109" s="16">
        <v>42594.652650462966</v>
      </c>
      <c r="F109" s="16">
        <v>42594.65353009259</v>
      </c>
      <c r="G109" s="7">
        <v>1</v>
      </c>
      <c r="H109" s="16" t="s">
        <v>230</v>
      </c>
      <c r="I109" s="16">
        <v>42594.682291666664</v>
      </c>
      <c r="J109" s="7">
        <v>0</v>
      </c>
      <c r="K109" s="149" t="str">
        <f t="shared" si="32"/>
        <v>4017/4018</v>
      </c>
      <c r="L109" s="25" t="str">
        <f>VLOOKUP(A109,'Trips&amp;Operators'!$C$1:$E$10000,3,FALSE)</f>
        <v>SHOOK</v>
      </c>
      <c r="M109" s="6">
        <f t="shared" si="33"/>
        <v>2.8761574074451346E-2</v>
      </c>
      <c r="N109" s="7">
        <f t="shared" si="34"/>
        <v>41.416666667209938</v>
      </c>
      <c r="O109" s="7"/>
      <c r="P109" s="7"/>
      <c r="Q109" s="26"/>
      <c r="R109" s="26"/>
      <c r="S109" s="38">
        <f t="shared" si="35"/>
        <v>1</v>
      </c>
      <c r="T109" s="55" t="str">
        <f t="shared" si="36"/>
        <v>NorthBound</v>
      </c>
      <c r="U109" s="13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14:39:49-0600',mode:absolute,to:'2016-08-12 17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09" s="57" t="str">
        <f t="shared" si="38"/>
        <v>N</v>
      </c>
      <c r="X109" s="133">
        <f t="shared" si="39"/>
        <v>1</v>
      </c>
      <c r="Y109" s="72">
        <f t="shared" si="40"/>
        <v>4.4200000000000003E-2</v>
      </c>
      <c r="Z109" s="72">
        <f t="shared" si="41"/>
        <v>23.335999999999999</v>
      </c>
      <c r="AA109" s="72">
        <f t="shared" si="42"/>
        <v>23.291799999999999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43"/>
        <v>0197-12</v>
      </c>
      <c r="AE109" s="108" t="str">
        <f t="shared" si="3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109" s="105" t="str">
        <f t="shared" si="31"/>
        <v>"C:\Program Files (x86)\AstroGrep\AstroGrep.exe" /spath="%USERPROFILE%\AppData\Local\Temp\OnboardLogs" /stypes="*4018*20160812*" /stext=" 22:.+((SYSTEM_STATE.+slice.+state.+changed )|(ment ac)|(system.+state.+changed )|(\|lc)|(penalty)|(\[timeout)|(PRM\|1\|D)|(kpr)|(kdp))" /e /r /s</v>
      </c>
      <c r="AG109" s="1" t="str">
        <f t="shared" si="44"/>
        <v>EC</v>
      </c>
      <c r="AH109" s="109" t="str">
        <f t="shared" si="45"/>
        <v>"%USERPROFILE%\Documents\GitHub\eaglep3\Utilities\RefineRTDCRunTimes.py" --tripid 197-12 --locoid 4018 --swversion DE.1.0.7.0 --startMP 204:442 --initTime 2016-08-12T15:39:49 --startdatetime 2016-08-12T15:41:05 --delay 1 --endMP 204:233360 --enddatetime 2016-08-12T16:22:30 --enforcementcount 0</v>
      </c>
    </row>
    <row r="110" spans="1:34" x14ac:dyDescent="0.25">
      <c r="A110" s="42" t="s">
        <v>412</v>
      </c>
      <c r="B110" s="7">
        <v>4017</v>
      </c>
      <c r="C110" s="25" t="s">
        <v>122</v>
      </c>
      <c r="D110" s="25" t="s">
        <v>413</v>
      </c>
      <c r="E110" s="16">
        <v>42594.68922453704</v>
      </c>
      <c r="F110" s="16">
        <v>42594.690023148149</v>
      </c>
      <c r="G110" s="7">
        <v>1</v>
      </c>
      <c r="H110" s="16" t="s">
        <v>155</v>
      </c>
      <c r="I110" s="16">
        <v>42594.722685185188</v>
      </c>
      <c r="J110" s="7">
        <v>0</v>
      </c>
      <c r="K110" s="149" t="str">
        <f t="shared" si="32"/>
        <v>4017/4018</v>
      </c>
      <c r="L110" s="25" t="str">
        <f>VLOOKUP(A110,'Trips&amp;Operators'!$C$1:$E$10000,3,FALSE)</f>
        <v>SHOOK</v>
      </c>
      <c r="M110" s="6">
        <f t="shared" si="33"/>
        <v>3.2662037039699499E-2</v>
      </c>
      <c r="N110" s="7">
        <f t="shared" si="34"/>
        <v>47.033333337167278</v>
      </c>
      <c r="O110" s="7"/>
      <c r="P110" s="7"/>
      <c r="Q110" s="26"/>
      <c r="R110" s="26"/>
      <c r="S110" s="38">
        <f t="shared" si="35"/>
        <v>1</v>
      </c>
      <c r="T110" s="55" t="str">
        <f t="shared" si="36"/>
        <v>Southbound</v>
      </c>
      <c r="U110" s="13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15:32:29-0600',mode:absolute,to:'2016-08-12 18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10" s="57" t="str">
        <f t="shared" si="38"/>
        <v>N</v>
      </c>
      <c r="X110" s="133">
        <f t="shared" si="39"/>
        <v>1</v>
      </c>
      <c r="Y110" s="72">
        <f t="shared" si="40"/>
        <v>23.301300000000001</v>
      </c>
      <c r="Z110" s="72">
        <f t="shared" si="41"/>
        <v>1.41E-2</v>
      </c>
      <c r="AA110" s="72">
        <f t="shared" si="42"/>
        <v>23.287200000000002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43"/>
        <v>0198-12</v>
      </c>
      <c r="AE110" s="108" t="str">
        <f t="shared" si="3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110" s="105" t="str">
        <f t="shared" si="31"/>
        <v>"C:\Program Files (x86)\AstroGrep\AstroGrep.exe" /spath="%USERPROFILE%\AppData\Local\Temp\OnboardLogs" /stypes="*4017*20160812*" /stext=" 23:.+((SYSTEM_STATE.+slice.+state.+changed )|(ment ac)|(system.+state.+changed )|(\|lc)|(penalty)|(\[timeout)|(PRM\|1\|D)|(kpr)|(kdp))" /e /r /s</v>
      </c>
      <c r="AG110" s="1" t="str">
        <f t="shared" si="44"/>
        <v>EC</v>
      </c>
      <c r="AH110" s="109" t="str">
        <f t="shared" si="45"/>
        <v>"%USERPROFILE%\Documents\GitHub\eaglep3\Utilities\RefineRTDCRunTimes.py" --tripid 198-12 --locoid 4017 --swversion DE.1.0.7.0 --startMP 204:233013 --initTime 2016-08-12T16:32:29 --startdatetime 2016-08-12T16:33:38 --delay 1 --endMP 204:141 --enddatetime 2016-08-12T17:20:40 --enforcementcount 0</v>
      </c>
    </row>
    <row r="111" spans="1:34" x14ac:dyDescent="0.25">
      <c r="A111" s="42" t="s">
        <v>414</v>
      </c>
      <c r="B111" s="7">
        <v>4029</v>
      </c>
      <c r="C111" s="25" t="s">
        <v>122</v>
      </c>
      <c r="D111" s="25" t="s">
        <v>192</v>
      </c>
      <c r="E111" s="16">
        <v>42594.662465277775</v>
      </c>
      <c r="F111" s="16">
        <v>42594.663564814815</v>
      </c>
      <c r="G111" s="7">
        <v>1</v>
      </c>
      <c r="H111" s="16" t="s">
        <v>415</v>
      </c>
      <c r="I111" s="16">
        <v>42594.692812499998</v>
      </c>
      <c r="J111" s="7">
        <v>0</v>
      </c>
      <c r="K111" s="149" t="str">
        <f t="shared" si="32"/>
        <v>4029/4030</v>
      </c>
      <c r="L111" s="25" t="str">
        <f>VLOOKUP(A111,'Trips&amp;Operators'!$C$1:$E$10000,3,FALSE)</f>
        <v>HAITHCOX</v>
      </c>
      <c r="M111" s="6">
        <f t="shared" si="33"/>
        <v>2.9247685182781424E-2</v>
      </c>
      <c r="N111" s="7">
        <f t="shared" si="34"/>
        <v>42.116666663205251</v>
      </c>
      <c r="O111" s="7"/>
      <c r="P111" s="7"/>
      <c r="Q111" s="26"/>
      <c r="R111" s="26"/>
      <c r="S111" s="38">
        <f t="shared" si="35"/>
        <v>1</v>
      </c>
      <c r="T111" s="55" t="str">
        <f t="shared" si="36"/>
        <v>NorthBound</v>
      </c>
      <c r="U111" s="13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14:53:57-0600',mode:absolute,to:'2016-08-12 17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11" s="57" t="str">
        <f t="shared" si="38"/>
        <v>N</v>
      </c>
      <c r="X111" s="133">
        <f t="shared" si="39"/>
        <v>1</v>
      </c>
      <c r="Y111" s="72">
        <f t="shared" si="40"/>
        <v>4.4699999999999997E-2</v>
      </c>
      <c r="Z111" s="72">
        <f t="shared" si="41"/>
        <v>23.331700000000001</v>
      </c>
      <c r="AA111" s="72">
        <f t="shared" si="42"/>
        <v>23.287000000000003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43"/>
        <v>0199-12</v>
      </c>
      <c r="AE111" s="108" t="str">
        <f t="shared" si="3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111" s="105" t="str">
        <f t="shared" si="31"/>
        <v>"C:\Program Files (x86)\AstroGrep\AstroGrep.exe" /spath="%USERPROFILE%\AppData\Local\Temp\OnboardLogs" /stypes="*4029*20160812*" /stext=" 22:.+((SYSTEM_STATE.+slice.+state.+changed )|(ment ac)|(system.+state.+changed )|(\|lc)|(penalty)|(\[timeout)|(PRM\|1\|D)|(kpr)|(kdp))" /e /r /s</v>
      </c>
      <c r="AG111" s="1" t="str">
        <f t="shared" si="44"/>
        <v>EC</v>
      </c>
      <c r="AH111" s="109" t="str">
        <f t="shared" si="45"/>
        <v>"%USERPROFILE%\Documents\GitHub\eaglep3\Utilities\RefineRTDCRunTimes.py" --tripid 199-12 --locoid 4029 --swversion DE.1.0.7.0 --startMP 204:447 --initTime 2016-08-12T15:53:57 --startdatetime 2016-08-12T15:55:32 --delay 1 --endMP 204:233317 --enddatetime 2016-08-12T16:37:39 --enforcementcount 0</v>
      </c>
    </row>
    <row r="112" spans="1:34" x14ac:dyDescent="0.25">
      <c r="A112" s="42" t="s">
        <v>416</v>
      </c>
      <c r="B112" s="7">
        <v>4030</v>
      </c>
      <c r="C112" s="25" t="s">
        <v>122</v>
      </c>
      <c r="D112" s="25" t="s">
        <v>151</v>
      </c>
      <c r="E112" s="16">
        <v>42594.700590277775</v>
      </c>
      <c r="F112" s="16">
        <v>42594.702418981484</v>
      </c>
      <c r="G112" s="7">
        <v>2</v>
      </c>
      <c r="H112" s="16" t="s">
        <v>417</v>
      </c>
      <c r="I112" s="16">
        <v>42594.735231481478</v>
      </c>
      <c r="J112" s="7">
        <v>0</v>
      </c>
      <c r="K112" s="149" t="str">
        <f t="shared" si="32"/>
        <v>4029/4030</v>
      </c>
      <c r="L112" s="25" t="str">
        <f>VLOOKUP(A112,'Trips&amp;Operators'!$C$1:$E$10000,3,FALSE)</f>
        <v>HAITHCOX</v>
      </c>
      <c r="M112" s="6">
        <f t="shared" si="33"/>
        <v>3.2812499994179234E-2</v>
      </c>
      <c r="N112" s="7">
        <f t="shared" si="34"/>
        <v>47.249999991618097</v>
      </c>
      <c r="O112" s="7"/>
      <c r="P112" s="7"/>
      <c r="Q112" s="26"/>
      <c r="R112" s="26"/>
      <c r="S112" s="38">
        <f t="shared" si="35"/>
        <v>1</v>
      </c>
      <c r="T112" s="55" t="str">
        <f t="shared" si="36"/>
        <v>Southbound</v>
      </c>
      <c r="U112" s="13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15:48:51-0600',mode:absolute,to:'2016-08-12 18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12" s="57" t="str">
        <f t="shared" si="38"/>
        <v>N</v>
      </c>
      <c r="X112" s="133">
        <f t="shared" si="39"/>
        <v>1</v>
      </c>
      <c r="Y112" s="72">
        <f t="shared" si="40"/>
        <v>23.299399999999999</v>
      </c>
      <c r="Z112" s="72">
        <f t="shared" si="41"/>
        <v>1.2999999999999999E-2</v>
      </c>
      <c r="AA112" s="72">
        <f t="shared" si="42"/>
        <v>23.286399999999997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43"/>
        <v>0200-12</v>
      </c>
      <c r="AE112" s="108" t="str">
        <f t="shared" si="3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112" s="105" t="str">
        <f t="shared" si="31"/>
        <v>"C:\Program Files (x86)\AstroGrep\AstroGrep.exe" /spath="%USERPROFILE%\AppData\Local\Temp\OnboardLogs" /stypes="*4030*20160812*" /stext=" 23:.+((SYSTEM_STATE.+slice.+state.+changed )|(ment ac)|(system.+state.+changed )|(\|lc)|(penalty)|(\[timeout)|(PRM\|1\|D)|(kpr)|(kdp))" /e /r /s</v>
      </c>
      <c r="AG112" s="1" t="str">
        <f t="shared" si="44"/>
        <v>EC</v>
      </c>
      <c r="AH112" s="109" t="str">
        <f t="shared" si="45"/>
        <v>"%USERPROFILE%\Documents\GitHub\eaglep3\Utilities\RefineRTDCRunTimes.py" --tripid 200-12 --locoid 4030 --swversion DE.1.0.7.0 --startMP 204:232994 --initTime 2016-08-12T16:48:51 --startdatetime 2016-08-12T16:51:29 --delay 2 --endMP 204:130 --enddatetime 2016-08-12T17:38:44 --enforcementcount 0</v>
      </c>
    </row>
    <row r="113" spans="1:34" s="24" customFormat="1" x14ac:dyDescent="0.25">
      <c r="A113" s="42" t="s">
        <v>418</v>
      </c>
      <c r="B113" s="7">
        <v>4020</v>
      </c>
      <c r="C113" s="25" t="s">
        <v>122</v>
      </c>
      <c r="D113" s="25" t="s">
        <v>419</v>
      </c>
      <c r="E113" s="16">
        <v>42594.673877314817</v>
      </c>
      <c r="F113" s="16">
        <v>42594.674641203703</v>
      </c>
      <c r="G113" s="7">
        <v>1</v>
      </c>
      <c r="H113" s="16" t="s">
        <v>158</v>
      </c>
      <c r="I113" s="16">
        <v>42594.704618055555</v>
      </c>
      <c r="J113" s="7">
        <v>2</v>
      </c>
      <c r="K113" s="149" t="str">
        <f t="shared" si="32"/>
        <v>4019/4020</v>
      </c>
      <c r="L113" s="25" t="str">
        <f>VLOOKUP(A113,'Trips&amp;Operators'!$C$1:$E$10000,3,FALSE)</f>
        <v>STEWART</v>
      </c>
      <c r="M113" s="6">
        <f t="shared" si="33"/>
        <v>2.99768518525525E-2</v>
      </c>
      <c r="N113" s="7">
        <f t="shared" si="34"/>
        <v>43.166666667675599</v>
      </c>
      <c r="O113" s="7"/>
      <c r="P113" s="7"/>
      <c r="Q113" s="26"/>
      <c r="R113" s="26"/>
      <c r="S113" s="38">
        <f t="shared" si="35"/>
        <v>1</v>
      </c>
      <c r="T113" s="55" t="str">
        <f t="shared" si="36"/>
        <v>NorthBound</v>
      </c>
      <c r="U113" s="13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15:10:23-0600',mode:absolute,to:'2016-08-12 17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13" s="57" t="str">
        <f t="shared" si="38"/>
        <v>N</v>
      </c>
      <c r="X113" s="133">
        <f t="shared" si="39"/>
        <v>1</v>
      </c>
      <c r="Y113" s="72">
        <f t="shared" si="40"/>
        <v>4.8399999999999999E-2</v>
      </c>
      <c r="Z113" s="72">
        <f t="shared" si="41"/>
        <v>23.329899999999999</v>
      </c>
      <c r="AA113" s="72">
        <f t="shared" si="42"/>
        <v>23.281499999999998</v>
      </c>
      <c r="AB113" s="69">
        <f>VLOOKUP(A113,Enforcements!$C$7:$J$24,8,0)</f>
        <v>222090</v>
      </c>
      <c r="AC113" s="65" t="str">
        <f>VLOOKUP(A113,Enforcements!$C$7:$E$24,3,0)</f>
        <v>PERMANENT SPEED RESTRICTION</v>
      </c>
      <c r="AD113" s="66" t="str">
        <f t="shared" si="43"/>
        <v>0201-12</v>
      </c>
      <c r="AE113" s="108" t="str">
        <f t="shared" si="3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113" s="105" t="str">
        <f t="shared" si="31"/>
        <v>"C:\Program Files (x86)\AstroGrep\AstroGrep.exe" /spath="%USERPROFILE%\AppData\Local\Temp\OnboardLogs" /stypes="*4020*20160812*" /stext=" 22:.+((SYSTEM_STATE.+slice.+state.+changed )|(ment ac)|(system.+state.+changed )|(\|lc)|(penalty)|(\[timeout)|(PRM\|1\|D)|(kpr)|(kdp))" /e /r /s</v>
      </c>
      <c r="AG113" s="1" t="str">
        <f t="shared" si="44"/>
        <v>EC</v>
      </c>
      <c r="AH113" s="109" t="str">
        <f t="shared" si="45"/>
        <v>"%USERPROFILE%\Documents\GitHub\eaglep3\Utilities\RefineRTDCRunTimes.py" --tripid 201-12 --locoid 4020 --swversion DE.1.0.7.0 --startMP 204:484 --initTime 2016-08-12T16:10:23 --startdatetime 2016-08-12T16:11:29 --delay 1 --endMP 204:233299 --enddatetime 2016-08-12T16:54:39 --enforcementcount 2</v>
      </c>
    </row>
    <row r="114" spans="1:34" x14ac:dyDescent="0.25">
      <c r="A114" s="42" t="s">
        <v>420</v>
      </c>
      <c r="B114" s="7">
        <v>4019</v>
      </c>
      <c r="C114" s="25" t="s">
        <v>122</v>
      </c>
      <c r="D114" s="25" t="s">
        <v>214</v>
      </c>
      <c r="E114" s="16">
        <v>42594.714016203703</v>
      </c>
      <c r="F114" s="16">
        <v>42594.714791666665</v>
      </c>
      <c r="G114" s="7">
        <v>1</v>
      </c>
      <c r="H114" s="16" t="s">
        <v>421</v>
      </c>
      <c r="I114" s="16">
        <v>42594.745081018518</v>
      </c>
      <c r="J114" s="7">
        <v>1</v>
      </c>
      <c r="K114" s="149" t="str">
        <f t="shared" si="32"/>
        <v>4019/4020</v>
      </c>
      <c r="L114" s="25" t="str">
        <f>VLOOKUP(A114,'Trips&amp;Operators'!$C$1:$E$10000,3,FALSE)</f>
        <v>STEWART</v>
      </c>
      <c r="M114" s="6">
        <f t="shared" si="33"/>
        <v>3.0289351852843538E-2</v>
      </c>
      <c r="N114" s="7">
        <f t="shared" si="34"/>
        <v>43.616666668094695</v>
      </c>
      <c r="O114" s="7"/>
      <c r="P114" s="7"/>
      <c r="Q114" s="26"/>
      <c r="R114" s="26"/>
      <c r="S114" s="38">
        <f t="shared" si="35"/>
        <v>1</v>
      </c>
      <c r="T114" s="55" t="str">
        <f t="shared" si="36"/>
        <v>Southbound</v>
      </c>
      <c r="U114" s="13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16:08:11-0600',mode:absolute,to:'2016-08-12 18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14" s="57" t="str">
        <f t="shared" si="38"/>
        <v>N</v>
      </c>
      <c r="X114" s="133">
        <f t="shared" si="39"/>
        <v>1</v>
      </c>
      <c r="Y114" s="72">
        <f t="shared" si="40"/>
        <v>23.2973</v>
      </c>
      <c r="Z114" s="72">
        <f t="shared" si="41"/>
        <v>2.3099999999999999E-2</v>
      </c>
      <c r="AA114" s="72">
        <f t="shared" si="42"/>
        <v>23.2742</v>
      </c>
      <c r="AB114" s="69" t="e">
        <f>VLOOKUP(A114,Enforcements!$C$7:$J$24,8,0)</f>
        <v>#N/A</v>
      </c>
      <c r="AC114" s="65" t="e">
        <f>VLOOKUP(A114,Enforcements!$C$7:$E$24,3,0)</f>
        <v>#N/A</v>
      </c>
      <c r="AD114" s="66" t="str">
        <f t="shared" si="43"/>
        <v>0202-12</v>
      </c>
      <c r="AE114" s="108" t="str">
        <f t="shared" si="3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114" s="105" t="str">
        <f t="shared" si="31"/>
        <v>"C:\Program Files (x86)\AstroGrep\AstroGrep.exe" /spath="%USERPROFILE%\AppData\Local\Temp\OnboardLogs" /stypes="*4019*20160812*" /stext=" 23:.+((SYSTEM_STATE.+slice.+state.+changed )|(ment ac)|(system.+state.+changed )|(\|lc)|(penalty)|(\[timeout)|(PRM\|1\|D)|(kpr)|(kdp))" /e /r /s</v>
      </c>
      <c r="AG114" s="1" t="str">
        <f t="shared" si="44"/>
        <v>EC</v>
      </c>
      <c r="AH114" s="109" t="str">
        <f t="shared" si="45"/>
        <v>"%USERPROFILE%\Documents\GitHub\eaglep3\Utilities\RefineRTDCRunTimes.py" --tripid 202-12 --locoid 4019 --swversion DE.1.0.7.0 --startMP 204:232973 --initTime 2016-08-12T17:08:11 --startdatetime 2016-08-12T17:09:18 --delay 1 --endMP 204:231 --enddatetime 2016-08-12T17:52:55 --enforcementcount 1</v>
      </c>
    </row>
    <row r="115" spans="1:34" s="24" customFormat="1" x14ac:dyDescent="0.25">
      <c r="A115" s="42" t="s">
        <v>422</v>
      </c>
      <c r="B115" s="7">
        <v>4031</v>
      </c>
      <c r="C115" s="25" t="s">
        <v>122</v>
      </c>
      <c r="D115" s="25" t="s">
        <v>61</v>
      </c>
      <c r="E115" s="16">
        <v>42594.684363425928</v>
      </c>
      <c r="F115" s="16">
        <v>42594.688564814816</v>
      </c>
      <c r="G115" s="7">
        <v>6</v>
      </c>
      <c r="H115" s="16" t="s">
        <v>315</v>
      </c>
      <c r="I115" s="16">
        <v>42594.714328703703</v>
      </c>
      <c r="J115" s="7">
        <v>2</v>
      </c>
      <c r="K115" s="149" t="str">
        <f t="shared" si="32"/>
        <v>4031/4032</v>
      </c>
      <c r="L115" s="25" t="str">
        <f>VLOOKUP(A115,'Trips&amp;Operators'!$C$1:$E$10000,3,FALSE)</f>
        <v>MAYBERRY</v>
      </c>
      <c r="M115" s="6">
        <f t="shared" si="33"/>
        <v>2.5763888887013309E-2</v>
      </c>
      <c r="N115" s="7">
        <f t="shared" si="34"/>
        <v>37.099999997299165</v>
      </c>
      <c r="O115" s="7"/>
      <c r="P115" s="7"/>
      <c r="Q115" s="26"/>
      <c r="R115" s="26"/>
      <c r="S115" s="38">
        <f t="shared" si="35"/>
        <v>1</v>
      </c>
      <c r="T115" s="55" t="str">
        <f t="shared" si="36"/>
        <v>NorthBound</v>
      </c>
      <c r="U115" s="13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15:25:29-0600',mode:absolute,to:'2016-08-12 18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15" s="57" t="str">
        <f t="shared" si="38"/>
        <v>N</v>
      </c>
      <c r="X115" s="133">
        <f t="shared" si="39"/>
        <v>1</v>
      </c>
      <c r="Y115" s="72">
        <f t="shared" si="40"/>
        <v>4.5999999999999999E-2</v>
      </c>
      <c r="Z115" s="72">
        <f t="shared" si="41"/>
        <v>23.3291</v>
      </c>
      <c r="AA115" s="72">
        <f t="shared" si="42"/>
        <v>23.283100000000001</v>
      </c>
      <c r="AB115" s="69">
        <f>VLOOKUP(A115,Enforcements!$C$7:$J$24,8,0)</f>
        <v>116838</v>
      </c>
      <c r="AC115" s="65" t="str">
        <f>VLOOKUP(A115,Enforcements!$C$7:$E$24,3,0)</f>
        <v>PERMANENT SPEED RESTRICTION</v>
      </c>
      <c r="AD115" s="66" t="str">
        <f t="shared" si="43"/>
        <v>0203-12</v>
      </c>
      <c r="AE115" s="108" t="str">
        <f t="shared" si="3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115" s="105" t="str">
        <f t="shared" si="31"/>
        <v>"C:\Program Files (x86)\AstroGrep\AstroGrep.exe" /spath="%USERPROFILE%\AppData\Local\Temp\OnboardLogs" /stypes="*4031*20160812*" /stext=" 23:.+((SYSTEM_STATE.+slice.+state.+changed )|(ment ac)|(system.+state.+changed )|(\|lc)|(penalty)|(\[timeout)|(PRM\|1\|D)|(kpr)|(kdp))" /e /r /s</v>
      </c>
      <c r="AG115" s="1" t="str">
        <f t="shared" si="44"/>
        <v>EC</v>
      </c>
      <c r="AH115" s="109" t="str">
        <f t="shared" si="45"/>
        <v>"%USERPROFILE%\Documents\GitHub\eaglep3\Utilities\RefineRTDCRunTimes.py" --tripid 203-12 --locoid 4031 --swversion DE.1.0.7.0 --startMP 204:460 --initTime 2016-08-12T16:25:29 --startdatetime 2016-08-12T16:31:32 --delay 6 --endMP 204:233291 --enddatetime 2016-08-12T17:08:38 --enforcementcount 2</v>
      </c>
    </row>
    <row r="116" spans="1:34" x14ac:dyDescent="0.25">
      <c r="A116" s="42" t="s">
        <v>423</v>
      </c>
      <c r="B116" s="7">
        <v>4032</v>
      </c>
      <c r="C116" s="25" t="s">
        <v>122</v>
      </c>
      <c r="D116" s="25" t="s">
        <v>397</v>
      </c>
      <c r="E116" s="16">
        <v>42594.722569444442</v>
      </c>
      <c r="F116" s="16">
        <v>42594.727037037039</v>
      </c>
      <c r="G116" s="7">
        <v>6</v>
      </c>
      <c r="H116" s="16" t="s">
        <v>227</v>
      </c>
      <c r="I116" s="16">
        <v>42594.75503472222</v>
      </c>
      <c r="J116" s="7">
        <v>1</v>
      </c>
      <c r="K116" s="149" t="str">
        <f t="shared" si="32"/>
        <v>4031/4032</v>
      </c>
      <c r="L116" s="25" t="str">
        <f>VLOOKUP(A116,'Trips&amp;Operators'!$C$1:$E$10000,3,FALSE)</f>
        <v>MAYBERRY</v>
      </c>
      <c r="M116" s="6">
        <f t="shared" si="33"/>
        <v>2.7997685181617271E-2</v>
      </c>
      <c r="N116" s="7">
        <f t="shared" si="34"/>
        <v>40.31666666152887</v>
      </c>
      <c r="O116" s="7"/>
      <c r="P116" s="7"/>
      <c r="Q116" s="26"/>
      <c r="R116" s="26"/>
      <c r="S116" s="38">
        <f t="shared" si="35"/>
        <v>1</v>
      </c>
      <c r="T116" s="55" t="str">
        <f t="shared" si="36"/>
        <v>Southbound</v>
      </c>
      <c r="U116" s="13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16:20:30-0600',mode:absolute,to:'2016-08-12 19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16" s="57" t="str">
        <f t="shared" si="38"/>
        <v>N</v>
      </c>
      <c r="X116" s="133">
        <f t="shared" si="39"/>
        <v>1</v>
      </c>
      <c r="Y116" s="72">
        <f t="shared" si="40"/>
        <v>23.297599999999999</v>
      </c>
      <c r="Z116" s="72">
        <f t="shared" si="41"/>
        <v>1.6500000000000001E-2</v>
      </c>
      <c r="AA116" s="72">
        <f t="shared" si="42"/>
        <v>23.281099999999999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43"/>
        <v>0204-12</v>
      </c>
      <c r="AE116" s="108" t="str">
        <f t="shared" si="3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116" s="105" t="str">
        <f t="shared" si="31"/>
        <v>"C:\Program Files (x86)\AstroGrep\AstroGrep.exe" /spath="%USERPROFILE%\AppData\Local\Temp\OnboardLogs" /stypes="*4032*20160813*" /stext=" 00:.+((SYSTEM_STATE.+slice.+state.+changed )|(ment ac)|(system.+state.+changed )|(\|lc)|(penalty)|(\[timeout)|(PRM\|1\|D)|(kpr)|(kdp))" /e /r /s</v>
      </c>
      <c r="AG116" s="1" t="str">
        <f t="shared" si="44"/>
        <v>EC</v>
      </c>
      <c r="AH116" s="109" t="str">
        <f t="shared" si="45"/>
        <v>"%USERPROFILE%\Documents\GitHub\eaglep3\Utilities\RefineRTDCRunTimes.py" --tripid 204-12 --locoid 4032 --swversion DE.1.0.7.0 --startMP 204:232976 --initTime 2016-08-12T17:20:30 --startdatetime 2016-08-12T17:26:56 --delay 6 --endMP 204:165 --enddatetime 2016-08-12T18:07:15 --enforcementcount 1</v>
      </c>
    </row>
    <row r="117" spans="1:34" x14ac:dyDescent="0.25">
      <c r="A117" s="42" t="s">
        <v>424</v>
      </c>
      <c r="B117" s="7">
        <v>4014</v>
      </c>
      <c r="C117" s="25" t="s">
        <v>122</v>
      </c>
      <c r="D117" s="25" t="s">
        <v>162</v>
      </c>
      <c r="E117" s="16">
        <v>42594.692766203705</v>
      </c>
      <c r="F117" s="16">
        <v>42594.693831018521</v>
      </c>
      <c r="G117" s="7">
        <v>1</v>
      </c>
      <c r="H117" s="16" t="s">
        <v>296</v>
      </c>
      <c r="I117" s="16">
        <v>42594.725497685184</v>
      </c>
      <c r="J117" s="7">
        <v>0</v>
      </c>
      <c r="K117" s="149" t="str">
        <f t="shared" si="32"/>
        <v>4013/4014</v>
      </c>
      <c r="L117" s="25" t="str">
        <f>VLOOKUP(A117,'Trips&amp;Operators'!$C$1:$E$10000,3,FALSE)</f>
        <v>SWANSON</v>
      </c>
      <c r="M117" s="6">
        <f t="shared" si="33"/>
        <v>3.1666666662204079E-2</v>
      </c>
      <c r="N117" s="7">
        <f t="shared" si="34"/>
        <v>45.599999993573874</v>
      </c>
      <c r="O117" s="7"/>
      <c r="P117" s="7"/>
      <c r="Q117" s="26"/>
      <c r="R117" s="26"/>
      <c r="S117" s="38">
        <f t="shared" si="35"/>
        <v>1</v>
      </c>
      <c r="T117" s="55" t="str">
        <f t="shared" si="36"/>
        <v>NorthBound</v>
      </c>
      <c r="U117" s="13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15:37:35-0600',mode:absolute,to:'2016-08-12 18:24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17" s="57" t="str">
        <f t="shared" si="38"/>
        <v>N</v>
      </c>
      <c r="X117" s="133">
        <f t="shared" si="39"/>
        <v>1</v>
      </c>
      <c r="Y117" s="72">
        <f t="shared" si="40"/>
        <v>4.8800000000000003E-2</v>
      </c>
      <c r="Z117" s="72">
        <f t="shared" si="41"/>
        <v>23.329699999999999</v>
      </c>
      <c r="AA117" s="72">
        <f t="shared" si="42"/>
        <v>23.280899999999999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43"/>
        <v>0205-12</v>
      </c>
      <c r="AE117" s="108" t="str">
        <f t="shared" si="3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117" s="105" t="str">
        <f t="shared" si="31"/>
        <v>"C:\Program Files (x86)\AstroGrep\AstroGrep.exe" /spath="%USERPROFILE%\AppData\Local\Temp\OnboardLogs" /stypes="*4014*20160812*" /stext=" 23:.+((SYSTEM_STATE.+slice.+state.+changed )|(ment ac)|(system.+state.+changed )|(\|lc)|(penalty)|(\[timeout)|(PRM\|1\|D)|(kpr)|(kdp))" /e /r /s</v>
      </c>
      <c r="AG117" s="1" t="str">
        <f t="shared" si="44"/>
        <v>EC</v>
      </c>
      <c r="AH117" s="109" t="str">
        <f t="shared" si="45"/>
        <v>"%USERPROFILE%\Documents\GitHub\eaglep3\Utilities\RefineRTDCRunTimes.py" --tripid 205-12 --locoid 4014 --swversion DE.1.0.7.0 --startMP 204:488 --initTime 2016-08-12T16:37:35 --startdatetime 2016-08-12T16:39:07 --delay 1 --endMP 204:233297 --enddatetime 2016-08-12T17:24:43 --enforcementcount 0</v>
      </c>
    </row>
    <row r="118" spans="1:34" x14ac:dyDescent="0.25">
      <c r="A118" s="42" t="s">
        <v>425</v>
      </c>
      <c r="B118" s="7">
        <v>4013</v>
      </c>
      <c r="C118" s="25" t="s">
        <v>122</v>
      </c>
      <c r="D118" s="25" t="s">
        <v>150</v>
      </c>
      <c r="E118" s="16">
        <v>42594.735358796293</v>
      </c>
      <c r="F118" s="16">
        <v>42594.736400462964</v>
      </c>
      <c r="G118" s="7">
        <v>1</v>
      </c>
      <c r="H118" s="16" t="s">
        <v>153</v>
      </c>
      <c r="I118" s="16">
        <v>42594.766226851854</v>
      </c>
      <c r="J118" s="7">
        <v>0</v>
      </c>
      <c r="K118" s="149" t="str">
        <f t="shared" si="32"/>
        <v>4013/4014</v>
      </c>
      <c r="L118" s="25" t="str">
        <f>VLOOKUP(A118,'Trips&amp;Operators'!$C$1:$E$10000,3,FALSE)</f>
        <v>SWANSON</v>
      </c>
      <c r="M118" s="6">
        <f t="shared" si="33"/>
        <v>2.9826388890796807E-2</v>
      </c>
      <c r="N118" s="7">
        <f t="shared" si="34"/>
        <v>42.950000002747402</v>
      </c>
      <c r="O118" s="7"/>
      <c r="P118" s="7"/>
      <c r="Q118" s="26"/>
      <c r="R118" s="26"/>
      <c r="S118" s="38">
        <f t="shared" si="35"/>
        <v>1</v>
      </c>
      <c r="T118" s="55" t="str">
        <f t="shared" si="36"/>
        <v>Southbound</v>
      </c>
      <c r="U118" s="13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16:38:55-0600',mode:absolute,to:'2016-08-12 19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18" s="57" t="str">
        <f t="shared" si="38"/>
        <v>N</v>
      </c>
      <c r="X118" s="133">
        <f t="shared" si="39"/>
        <v>1</v>
      </c>
      <c r="Y118" s="72">
        <f t="shared" si="40"/>
        <v>23.296900000000001</v>
      </c>
      <c r="Z118" s="72">
        <f t="shared" si="41"/>
        <v>1.49E-2</v>
      </c>
      <c r="AA118" s="72">
        <f t="shared" si="42"/>
        <v>23.282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43"/>
        <v>0206-12</v>
      </c>
      <c r="AE118" s="108" t="str">
        <f t="shared" si="3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118" s="105" t="str">
        <f t="shared" si="31"/>
        <v>"C:\Program Files (x86)\AstroGrep\AstroGrep.exe" /spath="%USERPROFILE%\AppData\Local\Temp\OnboardLogs" /stypes="*4013*20160813*" /stext=" 00:.+((SYSTEM_STATE.+slice.+state.+changed )|(ment ac)|(system.+state.+changed )|(\|lc)|(penalty)|(\[timeout)|(PRM\|1\|D)|(kpr)|(kdp))" /e /r /s</v>
      </c>
      <c r="AG118" s="1" t="str">
        <f t="shared" si="44"/>
        <v>EC</v>
      </c>
      <c r="AH118" s="109" t="str">
        <f t="shared" si="45"/>
        <v>"%USERPROFILE%\Documents\GitHub\eaglep3\Utilities\RefineRTDCRunTimes.py" --tripid 206-12 --locoid 4013 --swversion DE.1.0.7.0 --startMP 204:232969 --initTime 2016-08-12T17:38:55 --startdatetime 2016-08-12T17:40:25 --delay 1 --endMP 204:149 --enddatetime 2016-08-12T18:23:22 --enforcementcount 0</v>
      </c>
    </row>
    <row r="119" spans="1:34" x14ac:dyDescent="0.25">
      <c r="A119" s="42" t="s">
        <v>426</v>
      </c>
      <c r="B119" s="7">
        <v>4027</v>
      </c>
      <c r="C119" s="25" t="s">
        <v>122</v>
      </c>
      <c r="D119" s="25" t="s">
        <v>174</v>
      </c>
      <c r="E119" s="16">
        <v>42594.705729166664</v>
      </c>
      <c r="F119" s="16">
        <v>42594.706828703704</v>
      </c>
      <c r="G119" s="7">
        <v>1</v>
      </c>
      <c r="H119" s="16" t="s">
        <v>149</v>
      </c>
      <c r="I119" s="16">
        <v>42594.73542824074</v>
      </c>
      <c r="J119" s="7">
        <v>0</v>
      </c>
      <c r="K119" s="149" t="str">
        <f t="shared" si="32"/>
        <v>4027/4028</v>
      </c>
      <c r="L119" s="25" t="str">
        <f>VLOOKUP(A119,'Trips&amp;Operators'!$C$1:$E$10000,3,FALSE)</f>
        <v>MOSES</v>
      </c>
      <c r="M119" s="6">
        <f t="shared" si="33"/>
        <v>2.8599537035916001E-2</v>
      </c>
      <c r="N119" s="7">
        <f t="shared" si="34"/>
        <v>41.183333331719041</v>
      </c>
      <c r="O119" s="7"/>
      <c r="P119" s="7"/>
      <c r="Q119" s="26"/>
      <c r="R119" s="26"/>
      <c r="S119" s="38">
        <f t="shared" si="35"/>
        <v>1</v>
      </c>
      <c r="T119" s="55" t="str">
        <f t="shared" si="36"/>
        <v>NorthBound</v>
      </c>
      <c r="U119" s="13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15:56:15-0600',mode:absolute,to:'2016-08-12 18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9" s="57" t="str">
        <f t="shared" si="38"/>
        <v>N</v>
      </c>
      <c r="X119" s="133">
        <f t="shared" si="39"/>
        <v>1</v>
      </c>
      <c r="Y119" s="72">
        <f t="shared" si="40"/>
        <v>4.58E-2</v>
      </c>
      <c r="Z119" s="72">
        <f t="shared" si="41"/>
        <v>23.328900000000001</v>
      </c>
      <c r="AA119" s="72">
        <f t="shared" si="42"/>
        <v>23.283100000000001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43"/>
        <v>0207-12</v>
      </c>
      <c r="AE119" s="108" t="str">
        <f t="shared" si="30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119" s="105" t="str">
        <f t="shared" si="31"/>
        <v>"C:\Program Files (x86)\AstroGrep\AstroGrep.exe" /spath="%USERPROFILE%\AppData\Local\Temp\OnboardLogs" /stypes="*4027*20160812*" /stext=" 23:.+((SYSTEM_STATE.+slice.+state.+changed )|(ment ac)|(system.+state.+changed )|(\|lc)|(penalty)|(\[timeout)|(PRM\|1\|D)|(kpr)|(kdp))" /e /r /s</v>
      </c>
      <c r="AG119" s="1" t="str">
        <f t="shared" si="44"/>
        <v>EC</v>
      </c>
      <c r="AH119" s="109" t="str">
        <f t="shared" si="45"/>
        <v>"%USERPROFILE%\Documents\GitHub\eaglep3\Utilities\RefineRTDCRunTimes.py" --tripid 207-12 --locoid 4027 --swversion DE.1.0.7.0 --startMP 204:458 --initTime 2016-08-12T16:56:15 --startdatetime 2016-08-12T16:57:50 --delay 1 --endMP 204:233289 --enddatetime 2016-08-12T17:39:01 --enforcementcount 0</v>
      </c>
    </row>
    <row r="120" spans="1:34" x14ac:dyDescent="0.25">
      <c r="A120" s="42" t="s">
        <v>427</v>
      </c>
      <c r="B120" s="7">
        <v>4028</v>
      </c>
      <c r="C120" s="25" t="s">
        <v>122</v>
      </c>
      <c r="D120" s="25" t="s">
        <v>215</v>
      </c>
      <c r="E120" s="16">
        <v>42594.745428240742</v>
      </c>
      <c r="F120" s="16">
        <v>42594.746516203704</v>
      </c>
      <c r="G120" s="7">
        <v>1</v>
      </c>
      <c r="H120" s="16" t="s">
        <v>93</v>
      </c>
      <c r="I120" s="16">
        <v>42594.77616898148</v>
      </c>
      <c r="J120" s="7">
        <v>1</v>
      </c>
      <c r="K120" s="149" t="str">
        <f t="shared" si="32"/>
        <v>4027/4028</v>
      </c>
      <c r="L120" s="25" t="str">
        <f>VLOOKUP(A120,'Trips&amp;Operators'!$C$1:$E$10000,3,FALSE)</f>
        <v>MOSES</v>
      </c>
      <c r="M120" s="6">
        <f t="shared" si="33"/>
        <v>2.9652777775481809E-2</v>
      </c>
      <c r="N120" s="7">
        <f t="shared" si="34"/>
        <v>42.699999996693805</v>
      </c>
      <c r="O120" s="7"/>
      <c r="P120" s="7"/>
      <c r="Q120" s="26"/>
      <c r="R120" s="26"/>
      <c r="S120" s="38">
        <f t="shared" si="35"/>
        <v>1</v>
      </c>
      <c r="T120" s="55" t="str">
        <f t="shared" si="36"/>
        <v>Southbound</v>
      </c>
      <c r="U120" s="13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16:53:25-0600',mode:absolute,to:'2016-08-12 19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0" s="57" t="str">
        <f t="shared" si="38"/>
        <v>N</v>
      </c>
      <c r="X120" s="133">
        <f t="shared" si="39"/>
        <v>1</v>
      </c>
      <c r="Y120" s="72">
        <f t="shared" si="40"/>
        <v>23.299099999999999</v>
      </c>
      <c r="Z120" s="72">
        <f t="shared" si="41"/>
        <v>1.43E-2</v>
      </c>
      <c r="AA120" s="72">
        <f t="shared" si="42"/>
        <v>23.284800000000001</v>
      </c>
      <c r="AB120" s="69">
        <f>VLOOKUP(A120,Enforcements!$C$7:$J$24,8,0)</f>
        <v>191723</v>
      </c>
      <c r="AC120" s="65" t="str">
        <f>VLOOKUP(A120,Enforcements!$C$7:$E$24,3,0)</f>
        <v>SIGNAL</v>
      </c>
      <c r="AD120" s="66" t="str">
        <f t="shared" si="43"/>
        <v>0208-12</v>
      </c>
      <c r="AE120" s="108" t="str">
        <f t="shared" si="30"/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120" s="105" t="str">
        <f t="shared" si="31"/>
        <v>"C:\Program Files (x86)\AstroGrep\AstroGrep.exe" /spath="%USERPROFILE%\AppData\Local\Temp\OnboardLogs" /stypes="*4028*20160813*" /stext=" 00:.+((SYSTEM_STATE.+slice.+state.+changed )|(ment ac)|(system.+state.+changed )|(\|lc)|(penalty)|(\[timeout)|(PRM\|1\|D)|(kpr)|(kdp))" /e /r /s</v>
      </c>
      <c r="AG120" s="1" t="str">
        <f t="shared" si="44"/>
        <v>EC</v>
      </c>
      <c r="AH120" s="109" t="str">
        <f t="shared" si="45"/>
        <v>"%USERPROFILE%\Documents\GitHub\eaglep3\Utilities\RefineRTDCRunTimes.py" --tripid 208-12 --locoid 4028 --swversion DE.1.0.7.0 --startMP 204:232991 --initTime 2016-08-12T17:53:25 --startdatetime 2016-08-12T17:54:59 --delay 1 --endMP 204:143 --enddatetime 2016-08-12T18:37:41 --enforcementcount 1</v>
      </c>
    </row>
    <row r="121" spans="1:34" s="24" customFormat="1" x14ac:dyDescent="0.25">
      <c r="A121" s="42" t="s">
        <v>428</v>
      </c>
      <c r="B121" s="7">
        <v>4038</v>
      </c>
      <c r="C121" s="25" t="s">
        <v>122</v>
      </c>
      <c r="D121" s="25" t="s">
        <v>148</v>
      </c>
      <c r="E121" s="16">
        <v>42594.715983796297</v>
      </c>
      <c r="F121" s="16">
        <v>42594.717175925929</v>
      </c>
      <c r="G121" s="7">
        <v>1</v>
      </c>
      <c r="H121" s="16" t="s">
        <v>217</v>
      </c>
      <c r="I121" s="16">
        <v>42594.744652777779</v>
      </c>
      <c r="J121" s="7">
        <v>0</v>
      </c>
      <c r="K121" s="149" t="str">
        <f t="shared" si="32"/>
        <v>4037/4038</v>
      </c>
      <c r="L121" s="25" t="str">
        <f>VLOOKUP(A121,'Trips&amp;Operators'!$C$1:$E$10000,3,FALSE)</f>
        <v>SANTIZO</v>
      </c>
      <c r="M121" s="6">
        <f t="shared" si="33"/>
        <v>2.7476851850224193E-2</v>
      </c>
      <c r="N121" s="7">
        <f t="shared" si="34"/>
        <v>39.566666664322838</v>
      </c>
      <c r="O121" s="7"/>
      <c r="P121" s="7"/>
      <c r="Q121" s="26"/>
      <c r="R121" s="26"/>
      <c r="S121" s="38">
        <f t="shared" si="35"/>
        <v>1</v>
      </c>
      <c r="T121" s="55" t="str">
        <f t="shared" si="36"/>
        <v>NorthBound</v>
      </c>
      <c r="U121" s="13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16:11:01-0600',mode:absolute,to:'2016-08-12 18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1" s="57" t="str">
        <f t="shared" si="38"/>
        <v>N</v>
      </c>
      <c r="X121" s="133">
        <f t="shared" si="39"/>
        <v>1</v>
      </c>
      <c r="Y121" s="72">
        <f t="shared" si="40"/>
        <v>4.53E-2</v>
      </c>
      <c r="Z121" s="72">
        <f t="shared" si="41"/>
        <v>23.330100000000002</v>
      </c>
      <c r="AA121" s="72">
        <f t="shared" si="42"/>
        <v>23.284800000000001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43"/>
        <v>0209-12</v>
      </c>
      <c r="AE121" s="108" t="str">
        <f t="shared" si="3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121" s="105" t="str">
        <f t="shared" si="31"/>
        <v>"C:\Program Files (x86)\AstroGrep\AstroGrep.exe" /spath="%USERPROFILE%\AppData\Local\Temp\OnboardLogs" /stypes="*4038*20160812*" /stext=" 23:.+((SYSTEM_STATE.+slice.+state.+changed )|(ment ac)|(system.+state.+changed )|(\|lc)|(penalty)|(\[timeout)|(PRM\|1\|D)|(kpr)|(kdp))" /e /r /s</v>
      </c>
      <c r="AG121" s="1" t="str">
        <f t="shared" si="44"/>
        <v>EC</v>
      </c>
      <c r="AH121" s="109" t="str">
        <f t="shared" si="45"/>
        <v>"%USERPROFILE%\Documents\GitHub\eaglep3\Utilities\RefineRTDCRunTimes.py" --tripid 209-12 --locoid 4038 --swversion DE.1.0.7.0 --startMP 204:453 --initTime 2016-08-12T17:11:01 --startdatetime 2016-08-12T17:12:44 --delay 1 --endMP 204:233301 --enddatetime 2016-08-12T17:52:18 --enforcementcount 0</v>
      </c>
    </row>
    <row r="122" spans="1:34" x14ac:dyDescent="0.25">
      <c r="A122" s="42" t="s">
        <v>429</v>
      </c>
      <c r="B122" s="7">
        <v>4037</v>
      </c>
      <c r="C122" s="25" t="s">
        <v>122</v>
      </c>
      <c r="D122" s="25" t="s">
        <v>62</v>
      </c>
      <c r="E122" s="16">
        <v>42594.746053240742</v>
      </c>
      <c r="F122" s="16">
        <v>42594.746851851851</v>
      </c>
      <c r="G122" s="7">
        <v>1</v>
      </c>
      <c r="H122" s="16" t="s">
        <v>430</v>
      </c>
      <c r="I122" s="16">
        <v>42594.785868055558</v>
      </c>
      <c r="J122" s="7">
        <v>0</v>
      </c>
      <c r="K122" s="149" t="str">
        <f t="shared" si="32"/>
        <v>4037/4038</v>
      </c>
      <c r="L122" s="25" t="str">
        <f>VLOOKUP(A122,'Trips&amp;Operators'!$C$1:$E$10000,3,FALSE)</f>
        <v>SANTIZO</v>
      </c>
      <c r="M122" s="6">
        <f t="shared" si="33"/>
        <v>3.9016203707433306E-2</v>
      </c>
      <c r="N122" s="7">
        <f t="shared" si="34"/>
        <v>56.18333333870396</v>
      </c>
      <c r="O122" s="7"/>
      <c r="P122" s="7"/>
      <c r="Q122" s="26"/>
      <c r="R122" s="26"/>
      <c r="S122" s="38">
        <f t="shared" si="35"/>
        <v>1</v>
      </c>
      <c r="T122" s="55" t="str">
        <f t="shared" si="36"/>
        <v>Southbound</v>
      </c>
      <c r="U122" s="13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16:54:19-0600',mode:absolute,to:'2016-08-12 19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2" s="57" t="str">
        <f t="shared" si="38"/>
        <v>N</v>
      </c>
      <c r="X122" s="133">
        <f t="shared" si="39"/>
        <v>1</v>
      </c>
      <c r="Y122" s="72">
        <f t="shared" si="40"/>
        <v>23.297699999999999</v>
      </c>
      <c r="Z122" s="72">
        <f t="shared" si="41"/>
        <v>1.18E-2</v>
      </c>
      <c r="AA122" s="72">
        <f t="shared" si="42"/>
        <v>23.285899999999998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43"/>
        <v>0210-12</v>
      </c>
      <c r="AE122" s="108" t="str">
        <f t="shared" si="3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122" s="105" t="str">
        <f t="shared" si="31"/>
        <v>"C:\Program Files (x86)\AstroGrep\AstroGrep.exe" /spath="%USERPROFILE%\AppData\Local\Temp\OnboardLogs" /stypes="*4037*20160813*" /stext=" 00:.+((SYSTEM_STATE.+slice.+state.+changed )|(ment ac)|(system.+state.+changed )|(\|lc)|(penalty)|(\[timeout)|(PRM\|1\|D)|(kpr)|(kdp))" /e /r /s</v>
      </c>
      <c r="AG122" s="1" t="str">
        <f t="shared" si="44"/>
        <v>EC</v>
      </c>
      <c r="AH122" s="109" t="str">
        <f t="shared" si="45"/>
        <v>"%USERPROFILE%\Documents\GitHub\eaglep3\Utilities\RefineRTDCRunTimes.py" --tripid 210-12 --locoid 4037 --swversion DE.1.0.7.0 --startMP 204:232977 --initTime 2016-08-12T17:54:19 --startdatetime 2016-08-12T17:55:28 --delay 1 --endMP 204:118 --enddatetime 2016-08-12T18:51:39 --enforcementcount 0</v>
      </c>
    </row>
    <row r="123" spans="1:34" s="24" customFormat="1" x14ac:dyDescent="0.25">
      <c r="A123" s="42" t="s">
        <v>431</v>
      </c>
      <c r="B123" s="7">
        <v>4018</v>
      </c>
      <c r="C123" s="25" t="s">
        <v>122</v>
      </c>
      <c r="D123" s="25" t="s">
        <v>192</v>
      </c>
      <c r="E123" s="16">
        <v>42594.724224537036</v>
      </c>
      <c r="F123" s="16">
        <v>42594.725185185183</v>
      </c>
      <c r="G123" s="7">
        <v>1</v>
      </c>
      <c r="H123" s="16" t="s">
        <v>432</v>
      </c>
      <c r="I123" s="16">
        <v>42594.75513888889</v>
      </c>
      <c r="J123" s="7">
        <v>0</v>
      </c>
      <c r="K123" s="149" t="str">
        <f t="shared" si="32"/>
        <v>4017/4018</v>
      </c>
      <c r="L123" s="25" t="str">
        <f>VLOOKUP(A123,'Trips&amp;Operators'!$C$1:$E$10000,3,FALSE)</f>
        <v>SHOOK</v>
      </c>
      <c r="M123" s="6">
        <f t="shared" si="33"/>
        <v>2.9953703706269152E-2</v>
      </c>
      <c r="N123" s="7">
        <f t="shared" si="34"/>
        <v>43.13333333702758</v>
      </c>
      <c r="O123" s="7"/>
      <c r="P123" s="7"/>
      <c r="Q123" s="26"/>
      <c r="R123" s="26"/>
      <c r="S123" s="38">
        <f t="shared" si="35"/>
        <v>1</v>
      </c>
      <c r="T123" s="55" t="str">
        <f t="shared" si="36"/>
        <v>NorthBound</v>
      </c>
      <c r="U123" s="13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16:22:53-0600',mode:absolute,to:'2016-08-12 19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23" s="57" t="str">
        <f t="shared" si="38"/>
        <v>N</v>
      </c>
      <c r="X123" s="133">
        <f t="shared" si="39"/>
        <v>1</v>
      </c>
      <c r="Y123" s="72">
        <f t="shared" si="40"/>
        <v>4.4699999999999997E-2</v>
      </c>
      <c r="Z123" s="72">
        <f t="shared" si="41"/>
        <v>23.3368</v>
      </c>
      <c r="AA123" s="72">
        <f t="shared" si="42"/>
        <v>23.292100000000001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43"/>
        <v>0211-12</v>
      </c>
      <c r="AE123" s="108" t="str">
        <f t="shared" si="30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123" s="105" t="str">
        <f t="shared" si="31"/>
        <v>"C:\Program Files (x86)\AstroGrep\AstroGrep.exe" /spath="%USERPROFILE%\AppData\Local\Temp\OnboardLogs" /stypes="*4018*20160813*" /stext=" 00:.+((SYSTEM_STATE.+slice.+state.+changed )|(ment ac)|(system.+state.+changed )|(\|lc)|(penalty)|(\[timeout)|(PRM\|1\|D)|(kpr)|(kdp))" /e /r /s</v>
      </c>
      <c r="AG123" s="1" t="str">
        <f t="shared" si="44"/>
        <v>EC</v>
      </c>
      <c r="AH123" s="109" t="str">
        <f t="shared" si="45"/>
        <v>"%USERPROFILE%\Documents\GitHub\eaglep3\Utilities\RefineRTDCRunTimes.py" --tripid 211-12 --locoid 4018 --swversion DE.1.0.7.0 --startMP 204:447 --initTime 2016-08-12T17:22:53 --startdatetime 2016-08-12T17:24:16 --delay 1 --endMP 204:233368 --enddatetime 2016-08-12T18:07:24 --enforcementcount 0</v>
      </c>
    </row>
    <row r="124" spans="1:34" x14ac:dyDescent="0.25">
      <c r="A124" s="42" t="s">
        <v>433</v>
      </c>
      <c r="B124" s="7">
        <v>4017</v>
      </c>
      <c r="C124" s="25" t="s">
        <v>122</v>
      </c>
      <c r="D124" s="25" t="s">
        <v>434</v>
      </c>
      <c r="E124" s="16">
        <v>42594.761446759258</v>
      </c>
      <c r="F124" s="16">
        <v>42594.762488425928</v>
      </c>
      <c r="G124" s="7">
        <v>1</v>
      </c>
      <c r="H124" s="16" t="s">
        <v>435</v>
      </c>
      <c r="I124" s="16">
        <v>42594.797083333331</v>
      </c>
      <c r="J124" s="7">
        <v>0</v>
      </c>
      <c r="K124" s="149" t="str">
        <f t="shared" si="32"/>
        <v>4017/4018</v>
      </c>
      <c r="L124" s="25" t="str">
        <f>VLOOKUP(A124,'Trips&amp;Operators'!$C$1:$E$10000,3,FALSE)</f>
        <v>SHOOK</v>
      </c>
      <c r="M124" s="6">
        <f t="shared" si="33"/>
        <v>3.4594907403516117E-2</v>
      </c>
      <c r="N124" s="7">
        <f t="shared" si="34"/>
        <v>49.816666661063209</v>
      </c>
      <c r="O124" s="7"/>
      <c r="P124" s="7"/>
      <c r="Q124" s="26"/>
      <c r="R124" s="26"/>
      <c r="S124" s="38">
        <f t="shared" si="35"/>
        <v>1</v>
      </c>
      <c r="T124" s="55" t="str">
        <f t="shared" si="36"/>
        <v>Southbound</v>
      </c>
      <c r="U124" s="13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17:16:29-0600',mode:absolute,to:'2016-08-12 20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24" s="57" t="str">
        <f t="shared" si="38"/>
        <v>N</v>
      </c>
      <c r="X124" s="133">
        <f t="shared" si="39"/>
        <v>1</v>
      </c>
      <c r="Y124" s="72">
        <f t="shared" si="40"/>
        <v>23.304500000000001</v>
      </c>
      <c r="Z124" s="72">
        <f t="shared" si="41"/>
        <v>0.1205</v>
      </c>
      <c r="AA124" s="72">
        <f t="shared" si="42"/>
        <v>23.184000000000001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43"/>
        <v>0212-12</v>
      </c>
      <c r="AE124" s="108" t="str">
        <f t="shared" si="30"/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AF124" s="105" t="str">
        <f t="shared" si="31"/>
        <v>"C:\Program Files (x86)\AstroGrep\AstroGrep.exe" /spath="%USERPROFILE%\AppData\Local\Temp\OnboardLogs" /stypes="*4017*20160813*" /stext=" 01:.+((SYSTEM_STATE.+slice.+state.+changed )|(ment ac)|(system.+state.+changed )|(\|lc)|(penalty)|(\[timeout)|(PRM\|1\|D)|(kpr)|(kdp))" /e /r /s</v>
      </c>
      <c r="AG124" s="1" t="str">
        <f t="shared" si="44"/>
        <v>EC</v>
      </c>
      <c r="AH124" s="109" t="str">
        <f t="shared" si="45"/>
        <v>"%USERPROFILE%\Documents\GitHub\eaglep3\Utilities\RefineRTDCRunTimes.py" --tripid 212-12 --locoid 4017 --swversion DE.1.0.7.0 --startMP 204:233045 --initTime 2016-08-12T18:16:29 --startdatetime 2016-08-12T18:17:59 --delay 1 --endMP 204:1205 --enddatetime 2016-08-12T19:07:48 --enforcementcount 0</v>
      </c>
    </row>
    <row r="125" spans="1:34" x14ac:dyDescent="0.25">
      <c r="A125" s="42" t="s">
        <v>436</v>
      </c>
      <c r="B125" s="7">
        <v>4029</v>
      </c>
      <c r="C125" s="25" t="s">
        <v>122</v>
      </c>
      <c r="D125" s="25" t="s">
        <v>437</v>
      </c>
      <c r="E125" s="16">
        <v>42594.736273148148</v>
      </c>
      <c r="F125" s="16">
        <v>42594.737800925926</v>
      </c>
      <c r="G125" s="7">
        <v>2</v>
      </c>
      <c r="H125" s="16" t="s">
        <v>296</v>
      </c>
      <c r="I125" s="16">
        <v>42594.765879629631</v>
      </c>
      <c r="J125" s="7">
        <v>0</v>
      </c>
      <c r="K125" s="149" t="str">
        <f t="shared" si="32"/>
        <v>4029/4030</v>
      </c>
      <c r="L125" s="25" t="str">
        <f>VLOOKUP(A125,'Trips&amp;Operators'!$C$1:$E$10000,3,FALSE)</f>
        <v>HAITHCOX</v>
      </c>
      <c r="M125" s="6">
        <f t="shared" si="33"/>
        <v>2.8078703704522923E-2</v>
      </c>
      <c r="N125" s="7">
        <f t="shared" si="34"/>
        <v>40.433333334513009</v>
      </c>
      <c r="O125" s="7"/>
      <c r="P125" s="7"/>
      <c r="Q125" s="26"/>
      <c r="R125" s="26"/>
      <c r="S125" s="38">
        <f t="shared" si="35"/>
        <v>1</v>
      </c>
      <c r="T125" s="55" t="str">
        <f t="shared" si="36"/>
        <v>NorthBound</v>
      </c>
      <c r="U125" s="13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16:40:14-0600',mode:absolute,to:'2016-08-12 19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5" s="57" t="str">
        <f t="shared" si="38"/>
        <v>N</v>
      </c>
      <c r="X125" s="133">
        <f t="shared" si="39"/>
        <v>1</v>
      </c>
      <c r="Y125" s="72">
        <f t="shared" si="40"/>
        <v>4.3499999999999997E-2</v>
      </c>
      <c r="Z125" s="72">
        <f t="shared" si="41"/>
        <v>23.329699999999999</v>
      </c>
      <c r="AA125" s="72">
        <f t="shared" si="42"/>
        <v>23.286199999999997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43"/>
        <v>0213-12</v>
      </c>
      <c r="AE125" s="108" t="str">
        <f t="shared" si="3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125" s="105" t="str">
        <f t="shared" si="31"/>
        <v>"C:\Program Files (x86)\AstroGrep\AstroGrep.exe" /spath="%USERPROFILE%\AppData\Local\Temp\OnboardLogs" /stypes="*4029*20160813*" /stext=" 00:.+((SYSTEM_STATE.+slice.+state.+changed )|(ment ac)|(system.+state.+changed )|(\|lc)|(penalty)|(\[timeout)|(PRM\|1\|D)|(kpr)|(kdp))" /e /r /s</v>
      </c>
      <c r="AG125" s="1" t="str">
        <f t="shared" si="44"/>
        <v>EC</v>
      </c>
      <c r="AH125" s="109" t="str">
        <f t="shared" si="45"/>
        <v>"%USERPROFILE%\Documents\GitHub\eaglep3\Utilities\RefineRTDCRunTimes.py" --tripid 213-12 --locoid 4029 --swversion DE.1.0.7.0 --startMP 204:435 --initTime 2016-08-12T17:40:14 --startdatetime 2016-08-12T17:42:26 --delay 2 --endMP 204:233297 --enddatetime 2016-08-12T18:22:52 --enforcementcount 0</v>
      </c>
    </row>
    <row r="126" spans="1:34" x14ac:dyDescent="0.25">
      <c r="A126" s="42" t="s">
        <v>438</v>
      </c>
      <c r="B126" s="7">
        <v>4030</v>
      </c>
      <c r="C126" s="25" t="s">
        <v>122</v>
      </c>
      <c r="D126" s="25" t="s">
        <v>328</v>
      </c>
      <c r="E126" s="16">
        <v>42594.771990740737</v>
      </c>
      <c r="F126" s="16">
        <v>42594.773321759261</v>
      </c>
      <c r="G126" s="7">
        <v>1</v>
      </c>
      <c r="H126" s="16" t="s">
        <v>196</v>
      </c>
      <c r="I126" s="16">
        <v>42594.805949074071</v>
      </c>
      <c r="J126" s="7">
        <v>0</v>
      </c>
      <c r="K126" s="149" t="str">
        <f t="shared" si="32"/>
        <v>4029/4030</v>
      </c>
      <c r="L126" s="25" t="str">
        <f>VLOOKUP(A126,'Trips&amp;Operators'!$C$1:$E$10000,3,FALSE)</f>
        <v>ROBINSON</v>
      </c>
      <c r="M126" s="6">
        <f t="shared" si="33"/>
        <v>3.2627314809360541E-2</v>
      </c>
      <c r="N126" s="7">
        <f t="shared" si="34"/>
        <v>46.98333332547918</v>
      </c>
      <c r="O126" s="7"/>
      <c r="P126" s="7"/>
      <c r="Q126" s="26"/>
      <c r="R126" s="26"/>
      <c r="S126" s="38">
        <f t="shared" si="35"/>
        <v>1</v>
      </c>
      <c r="T126" s="55" t="str">
        <f t="shared" si="36"/>
        <v>Southbound</v>
      </c>
      <c r="U126" s="13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17:31:40-0600',mode:absolute,to:'2016-08-12 20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6" s="57" t="str">
        <f t="shared" si="38"/>
        <v>N</v>
      </c>
      <c r="X126" s="133">
        <f t="shared" si="39"/>
        <v>1</v>
      </c>
      <c r="Y126" s="72">
        <f t="shared" si="40"/>
        <v>23.296299999999999</v>
      </c>
      <c r="Z126" s="72">
        <f t="shared" si="41"/>
        <v>1.38E-2</v>
      </c>
      <c r="AA126" s="72">
        <f t="shared" si="42"/>
        <v>23.282499999999999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43"/>
        <v>0214-12</v>
      </c>
      <c r="AE126" s="108" t="str">
        <f t="shared" si="3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126" s="105" t="str">
        <f t="shared" si="31"/>
        <v>"C:\Program Files (x86)\AstroGrep\AstroGrep.exe" /spath="%USERPROFILE%\AppData\Local\Temp\OnboardLogs" /stypes="*4030*20160813*" /stext=" 01:.+((SYSTEM_STATE.+slice.+state.+changed )|(ment ac)|(system.+state.+changed )|(\|lc)|(penalty)|(\[timeout)|(PRM\|1\|D)|(kpr)|(kdp))" /e /r /s</v>
      </c>
      <c r="AG126" s="1" t="str">
        <f t="shared" si="44"/>
        <v>EC</v>
      </c>
      <c r="AH126" s="109" t="str">
        <f t="shared" si="45"/>
        <v>"%USERPROFILE%\Documents\GitHub\eaglep3\Utilities\RefineRTDCRunTimes.py" --tripid 214-12 --locoid 4030 --swversion DE.1.0.7.0 --startMP 204:232963 --initTime 2016-08-12T18:31:40 --startdatetime 2016-08-12T18:33:35 --delay 1 --endMP 204:138 --enddatetime 2016-08-12T19:20:34 --enforcementcount 0</v>
      </c>
    </row>
    <row r="127" spans="1:34" x14ac:dyDescent="0.25">
      <c r="A127" s="42" t="s">
        <v>439</v>
      </c>
      <c r="B127" s="7">
        <v>4020</v>
      </c>
      <c r="C127" s="25" t="s">
        <v>122</v>
      </c>
      <c r="D127" s="25" t="s">
        <v>440</v>
      </c>
      <c r="E127" s="16">
        <v>42594.747546296298</v>
      </c>
      <c r="F127" s="16">
        <v>42594.748738425929</v>
      </c>
      <c r="G127" s="7">
        <v>1</v>
      </c>
      <c r="H127" s="16" t="s">
        <v>195</v>
      </c>
      <c r="I127" s="16">
        <v>42594.777106481481</v>
      </c>
      <c r="J127" s="7">
        <v>0</v>
      </c>
      <c r="K127" s="149" t="str">
        <f t="shared" si="32"/>
        <v>4019/4020</v>
      </c>
      <c r="L127" s="25" t="str">
        <f>VLOOKUP(A127,'Trips&amp;Operators'!$C$1:$E$10000,3,FALSE)</f>
        <v>HAITHCOX</v>
      </c>
      <c r="M127" s="6">
        <f t="shared" si="33"/>
        <v>2.8368055551254656E-2</v>
      </c>
      <c r="N127" s="7">
        <f t="shared" si="34"/>
        <v>40.849999993806705</v>
      </c>
      <c r="O127" s="7"/>
      <c r="P127" s="7"/>
      <c r="Q127" s="26"/>
      <c r="R127" s="26"/>
      <c r="S127" s="38">
        <f t="shared" si="35"/>
        <v>1</v>
      </c>
      <c r="T127" s="55" t="str">
        <f t="shared" si="36"/>
        <v>NorthBound</v>
      </c>
      <c r="U127" s="13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16:56:28-0600',mode:absolute,to:'2016-08-12 19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27" s="57" t="str">
        <f t="shared" si="38"/>
        <v>N</v>
      </c>
      <c r="X127" s="133">
        <f t="shared" si="39"/>
        <v>1</v>
      </c>
      <c r="Y127" s="72">
        <f t="shared" si="40"/>
        <v>5.4600000000000003E-2</v>
      </c>
      <c r="Z127" s="72">
        <f t="shared" si="41"/>
        <v>23.331900000000001</v>
      </c>
      <c r="AA127" s="72">
        <f t="shared" si="42"/>
        <v>23.2773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43"/>
        <v>0215-12</v>
      </c>
      <c r="AE127" s="108" t="str">
        <f t="shared" si="30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127" s="105" t="str">
        <f t="shared" si="31"/>
        <v>"C:\Program Files (x86)\AstroGrep\AstroGrep.exe" /spath="%USERPROFILE%\AppData\Local\Temp\OnboardLogs" /stypes="*4020*20160813*" /stext=" 00:.+((SYSTEM_STATE.+slice.+state.+changed )|(ment ac)|(system.+state.+changed )|(\|lc)|(penalty)|(\[timeout)|(PRM\|1\|D)|(kpr)|(kdp))" /e /r /s</v>
      </c>
      <c r="AG127" s="1" t="str">
        <f t="shared" si="44"/>
        <v>EC</v>
      </c>
      <c r="AH127" s="109" t="str">
        <f t="shared" si="45"/>
        <v>"%USERPROFILE%\Documents\GitHub\eaglep3\Utilities\RefineRTDCRunTimes.py" --tripid 215-12 --locoid 4020 --swversion DE.1.0.7.0 --startMP 204:546 --initTime 2016-08-12T17:56:28 --startdatetime 2016-08-12T17:58:11 --delay 1 --endMP 204:233319 --enddatetime 2016-08-12T18:39:02 --enforcementcount 0</v>
      </c>
    </row>
    <row r="128" spans="1:34" x14ac:dyDescent="0.25">
      <c r="A128" s="42" t="s">
        <v>441</v>
      </c>
      <c r="B128" s="7">
        <v>4019</v>
      </c>
      <c r="C128" s="25" t="s">
        <v>122</v>
      </c>
      <c r="D128" s="25" t="s">
        <v>442</v>
      </c>
      <c r="E128" s="16">
        <v>42594.784560185188</v>
      </c>
      <c r="F128" s="16">
        <v>42594.785775462966</v>
      </c>
      <c r="G128" s="7">
        <v>1</v>
      </c>
      <c r="H128" s="16" t="s">
        <v>155</v>
      </c>
      <c r="I128" s="16">
        <v>42594.816168981481</v>
      </c>
      <c r="J128" s="7">
        <v>0</v>
      </c>
      <c r="K128" s="149" t="str">
        <f t="shared" si="32"/>
        <v>4019/4020</v>
      </c>
      <c r="L128" s="25" t="str">
        <f>VLOOKUP(A128,'Trips&amp;Operators'!$C$1:$E$10000,3,FALSE)</f>
        <v>HAITHCOX</v>
      </c>
      <c r="M128" s="6">
        <f t="shared" si="33"/>
        <v>3.0393518514756579E-2</v>
      </c>
      <c r="N128" s="7">
        <f t="shared" si="34"/>
        <v>43.766666661249474</v>
      </c>
      <c r="O128" s="7"/>
      <c r="P128" s="7"/>
      <c r="Q128" s="26"/>
      <c r="R128" s="26"/>
      <c r="S128" s="38">
        <f t="shared" si="35"/>
        <v>1</v>
      </c>
      <c r="T128" s="55" t="str">
        <f t="shared" si="36"/>
        <v>Southbound</v>
      </c>
      <c r="U128" s="13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17:49:46-0600',mode:absolute,to:'2016-08-12 20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28" s="57" t="str">
        <f t="shared" si="38"/>
        <v>N</v>
      </c>
      <c r="X128" s="133">
        <f t="shared" si="39"/>
        <v>1</v>
      </c>
      <c r="Y128" s="72">
        <f t="shared" si="40"/>
        <v>23.300999999999998</v>
      </c>
      <c r="Z128" s="72">
        <f t="shared" si="41"/>
        <v>1.41E-2</v>
      </c>
      <c r="AA128" s="72">
        <f t="shared" si="42"/>
        <v>23.286899999999999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43"/>
        <v>0216-12</v>
      </c>
      <c r="AE128" s="108" t="str">
        <f t="shared" si="30"/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AF128" s="105" t="str">
        <f t="shared" si="31"/>
        <v>"C:\Program Files (x86)\AstroGrep\AstroGrep.exe" /spath="%USERPROFILE%\AppData\Local\Temp\OnboardLogs" /stypes="*4019*20160813*" /stext=" 01:.+((SYSTEM_STATE.+slice.+state.+changed )|(ment ac)|(system.+state.+changed )|(\|lc)|(penalty)|(\[timeout)|(PRM\|1\|D)|(kpr)|(kdp))" /e /r /s</v>
      </c>
      <c r="AG128" s="1" t="str">
        <f t="shared" si="44"/>
        <v>EC</v>
      </c>
      <c r="AH128" s="109" t="str">
        <f t="shared" si="45"/>
        <v>"%USERPROFILE%\Documents\GitHub\eaglep3\Utilities\RefineRTDCRunTimes.py" --tripid 216-12 --locoid 4019 --swversion DE.1.0.7.0 --startMP 204:233010 --initTime 2016-08-12T18:49:46 --startdatetime 2016-08-12T18:51:31 --delay 1 --endMP 204:141 --enddatetime 2016-08-12T19:35:17 --enforcementcount 0</v>
      </c>
    </row>
    <row r="129" spans="1:34" x14ac:dyDescent="0.25">
      <c r="A129" s="42" t="s">
        <v>443</v>
      </c>
      <c r="B129" s="7">
        <v>4031</v>
      </c>
      <c r="C129" s="25" t="s">
        <v>122</v>
      </c>
      <c r="D129" s="25" t="s">
        <v>392</v>
      </c>
      <c r="E129" s="16">
        <v>42594.759502314817</v>
      </c>
      <c r="F129" s="16">
        <v>42594.76059027778</v>
      </c>
      <c r="G129" s="7">
        <v>1</v>
      </c>
      <c r="H129" s="16" t="s">
        <v>263</v>
      </c>
      <c r="I129" s="16">
        <v>42594.785787037035</v>
      </c>
      <c r="J129" s="7">
        <v>0</v>
      </c>
      <c r="K129" s="149" t="str">
        <f t="shared" si="32"/>
        <v>4031/4032</v>
      </c>
      <c r="L129" s="25" t="str">
        <f>VLOOKUP(A129,'Trips&amp;Operators'!$C$1:$E$10000,3,FALSE)</f>
        <v>STAMBAUGH</v>
      </c>
      <c r="M129" s="6">
        <f t="shared" si="33"/>
        <v>2.5196759255777579E-2</v>
      </c>
      <c r="N129" s="7">
        <f t="shared" si="34"/>
        <v>36.283333328319713</v>
      </c>
      <c r="O129" s="7"/>
      <c r="P129" s="7"/>
      <c r="Q129" s="26"/>
      <c r="R129" s="26"/>
      <c r="S129" s="38">
        <f t="shared" si="35"/>
        <v>1</v>
      </c>
      <c r="T129" s="55" t="str">
        <f t="shared" si="36"/>
        <v>NorthBound</v>
      </c>
      <c r="U129" s="13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17:13:41-0600',mode:absolute,to:'2016-08-12 19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29" s="57" t="str">
        <f t="shared" si="38"/>
        <v>N</v>
      </c>
      <c r="X129" s="133">
        <f t="shared" si="39"/>
        <v>1</v>
      </c>
      <c r="Y129" s="72">
        <f t="shared" si="40"/>
        <v>4.7699999999999999E-2</v>
      </c>
      <c r="Z129" s="72">
        <f t="shared" si="41"/>
        <v>23.334299999999999</v>
      </c>
      <c r="AA129" s="72">
        <f t="shared" si="42"/>
        <v>23.2866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si="43"/>
        <v>0217-12</v>
      </c>
      <c r="AE129" s="108" t="str">
        <f t="shared" si="3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129" s="105" t="str">
        <f t="shared" si="31"/>
        <v>"C:\Program Files (x86)\AstroGrep\AstroGrep.exe" /spath="%USERPROFILE%\AppData\Local\Temp\OnboardLogs" /stypes="*4031*20160813*" /stext=" 00:.+((SYSTEM_STATE.+slice.+state.+changed )|(ment ac)|(system.+state.+changed )|(\|lc)|(penalty)|(\[timeout)|(PRM\|1\|D)|(kpr)|(kdp))" /e /r /s</v>
      </c>
      <c r="AG129" s="1" t="str">
        <f t="shared" si="44"/>
        <v>EC</v>
      </c>
      <c r="AH129" s="109" t="str">
        <f t="shared" si="45"/>
        <v>"%USERPROFILE%\Documents\GitHub\eaglep3\Utilities\RefineRTDCRunTimes.py" --tripid 217-12 --locoid 4031 --swversion DE.1.0.7.0 --startMP 204:477 --initTime 2016-08-12T18:13:41 --startdatetime 2016-08-12T18:15:15 --delay 1 --endMP 204:233343 --enddatetime 2016-08-12T18:51:32 --enforcementcount 0</v>
      </c>
    </row>
    <row r="130" spans="1:34" s="24" customFormat="1" x14ac:dyDescent="0.25">
      <c r="A130" s="42" t="s">
        <v>444</v>
      </c>
      <c r="B130" s="7">
        <v>4032</v>
      </c>
      <c r="C130" s="25" t="s">
        <v>122</v>
      </c>
      <c r="D130" s="25" t="s">
        <v>445</v>
      </c>
      <c r="E130" s="16">
        <v>42594.795648148145</v>
      </c>
      <c r="F130" s="16">
        <v>42594.796944444446</v>
      </c>
      <c r="G130" s="7">
        <v>1</v>
      </c>
      <c r="H130" s="16" t="s">
        <v>446</v>
      </c>
      <c r="I130" s="16">
        <v>42594.826597222222</v>
      </c>
      <c r="J130" s="7">
        <v>2</v>
      </c>
      <c r="K130" s="149" t="str">
        <f t="shared" si="32"/>
        <v>4031/4032</v>
      </c>
      <c r="L130" s="25" t="str">
        <f>VLOOKUP(A130,'Trips&amp;Operators'!$C$1:$E$10000,3,FALSE)</f>
        <v>STAMBAUGH</v>
      </c>
      <c r="M130" s="6">
        <f t="shared" si="33"/>
        <v>2.9652777775481809E-2</v>
      </c>
      <c r="N130" s="7">
        <f t="shared" si="34"/>
        <v>42.699999996693805</v>
      </c>
      <c r="O130" s="7"/>
      <c r="P130" s="7"/>
      <c r="Q130" s="26"/>
      <c r="R130" s="26"/>
      <c r="S130" s="38">
        <f t="shared" si="35"/>
        <v>1</v>
      </c>
      <c r="T130" s="55" t="str">
        <f t="shared" si="36"/>
        <v>Southbound</v>
      </c>
      <c r="U130" s="13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18:05:44-0600',mode:absolute,to:'2016-08-12 20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30" s="57" t="str">
        <f t="shared" si="38"/>
        <v>N</v>
      </c>
      <c r="X130" s="133">
        <f t="shared" si="39"/>
        <v>1</v>
      </c>
      <c r="Y130" s="72">
        <f t="shared" si="40"/>
        <v>23.301500000000001</v>
      </c>
      <c r="Z130" s="72">
        <f t="shared" si="41"/>
        <v>2.8500000000000001E-2</v>
      </c>
      <c r="AA130" s="72">
        <f t="shared" si="42"/>
        <v>23.273</v>
      </c>
      <c r="AB130" s="69">
        <f>VLOOKUP(A130,Enforcements!$C$7:$J$24,8,0)</f>
        <v>232080</v>
      </c>
      <c r="AC130" s="65" t="str">
        <f>VLOOKUP(A130,Enforcements!$C$7:$E$24,3,0)</f>
        <v>PERMANENT SPEED RESTRICTION</v>
      </c>
      <c r="AD130" s="66" t="str">
        <f t="shared" si="43"/>
        <v>0218-12</v>
      </c>
      <c r="AE130" s="108" t="str">
        <f t="shared" si="3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130" s="105" t="str">
        <f t="shared" si="31"/>
        <v>"C:\Program Files (x86)\AstroGrep\AstroGrep.exe" /spath="%USERPROFILE%\AppData\Local\Temp\OnboardLogs" /stypes="*4032*20160813*" /stext=" 01:.+((SYSTEM_STATE.+slice.+state.+changed )|(ment ac)|(system.+state.+changed )|(\|lc)|(penalty)|(\[timeout)|(PRM\|1\|D)|(kpr)|(kdp))" /e /r /s</v>
      </c>
      <c r="AG130" s="1" t="str">
        <f t="shared" si="44"/>
        <v>EC</v>
      </c>
      <c r="AH130" s="109" t="str">
        <f t="shared" si="45"/>
        <v>"%USERPROFILE%\Documents\GitHub\eaglep3\Utilities\RefineRTDCRunTimes.py" --tripid 218-12 --locoid 4032 --swversion DE.1.0.7.0 --startMP 204:233015 --initTime 2016-08-12T19:05:44 --startdatetime 2016-08-12T19:07:36 --delay 1 --endMP 204:285 --enddatetime 2016-08-12T19:50:18 --enforcementcount 2</v>
      </c>
    </row>
    <row r="131" spans="1:34" x14ac:dyDescent="0.25">
      <c r="A131" s="42" t="s">
        <v>447</v>
      </c>
      <c r="B131" s="7">
        <v>4014</v>
      </c>
      <c r="C131" s="25" t="s">
        <v>122</v>
      </c>
      <c r="D131" s="25" t="s">
        <v>192</v>
      </c>
      <c r="E131" s="16">
        <v>42594.769004629627</v>
      </c>
      <c r="F131" s="16">
        <v>42594.769907407404</v>
      </c>
      <c r="G131" s="7">
        <v>1</v>
      </c>
      <c r="H131" s="16" t="s">
        <v>448</v>
      </c>
      <c r="I131" s="16">
        <v>42594.796932870369</v>
      </c>
      <c r="J131" s="7">
        <v>0</v>
      </c>
      <c r="K131" s="149" t="str">
        <f t="shared" si="32"/>
        <v>4013/4014</v>
      </c>
      <c r="L131" s="25" t="str">
        <f>VLOOKUP(A131,'Trips&amp;Operators'!$C$1:$E$10000,3,FALSE)</f>
        <v>ISHMAEL</v>
      </c>
      <c r="M131" s="6">
        <f t="shared" si="33"/>
        <v>2.7025462964957114E-2</v>
      </c>
      <c r="N131" s="7">
        <f t="shared" si="34"/>
        <v>38.916666669538245</v>
      </c>
      <c r="O131" s="7"/>
      <c r="P131" s="7"/>
      <c r="Q131" s="26"/>
      <c r="R131" s="26"/>
      <c r="S131" s="38">
        <f t="shared" si="35"/>
        <v>1</v>
      </c>
      <c r="T131" s="55" t="str">
        <f t="shared" si="36"/>
        <v>NorthBound</v>
      </c>
      <c r="U131" s="13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17:27:22-0600',mode:absolute,to:'2016-08-12 20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31" s="57" t="str">
        <f t="shared" si="38"/>
        <v>N</v>
      </c>
      <c r="X131" s="133">
        <f t="shared" si="39"/>
        <v>1</v>
      </c>
      <c r="Y131" s="72">
        <f t="shared" si="40"/>
        <v>4.4699999999999997E-2</v>
      </c>
      <c r="Z131" s="72">
        <f t="shared" si="41"/>
        <v>23.325099999999999</v>
      </c>
      <c r="AA131" s="72">
        <f t="shared" si="42"/>
        <v>23.2804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43"/>
        <v>0219-12</v>
      </c>
      <c r="AE131" s="108" t="str">
        <f t="shared" si="3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131" s="105" t="str">
        <f t="shared" si="31"/>
        <v>"C:\Program Files (x86)\AstroGrep\AstroGrep.exe" /spath="%USERPROFILE%\AppData\Local\Temp\OnboardLogs" /stypes="*4014*20160813*" /stext=" 01:.+((SYSTEM_STATE.+slice.+state.+changed )|(ment ac)|(system.+state.+changed )|(\|lc)|(penalty)|(\[timeout)|(PRM\|1\|D)|(kpr)|(kdp))" /e /r /s</v>
      </c>
      <c r="AG131" s="1" t="str">
        <f t="shared" si="44"/>
        <v>EC</v>
      </c>
      <c r="AH131" s="109" t="str">
        <f t="shared" si="45"/>
        <v>"%USERPROFILE%\Documents\GitHub\eaglep3\Utilities\RefineRTDCRunTimes.py" --tripid 219-12 --locoid 4014 --swversion DE.1.0.7.0 --startMP 204:447 --initTime 2016-08-12T18:27:22 --startdatetime 2016-08-12T18:28:40 --delay 1 --endMP 204:233251 --enddatetime 2016-08-12T19:07:35 --enforcementcount 0</v>
      </c>
    </row>
    <row r="132" spans="1:34" x14ac:dyDescent="0.25">
      <c r="A132" s="42" t="s">
        <v>449</v>
      </c>
      <c r="B132" s="7">
        <v>4013</v>
      </c>
      <c r="C132" s="25" t="s">
        <v>122</v>
      </c>
      <c r="D132" s="25" t="s">
        <v>450</v>
      </c>
      <c r="E132" s="16">
        <v>42594.803761574076</v>
      </c>
      <c r="F132" s="16">
        <v>42594.804791666669</v>
      </c>
      <c r="G132" s="7">
        <v>1</v>
      </c>
      <c r="H132" s="16" t="s">
        <v>289</v>
      </c>
      <c r="I132" s="16">
        <v>42594.837407407409</v>
      </c>
      <c r="J132" s="7">
        <v>0</v>
      </c>
      <c r="K132" s="149" t="str">
        <f t="shared" si="32"/>
        <v>4013/4014</v>
      </c>
      <c r="L132" s="25" t="str">
        <f>VLOOKUP(A132,'Trips&amp;Operators'!$C$1:$E$10000,3,FALSE)</f>
        <v>ISHMAEL</v>
      </c>
      <c r="M132" s="6">
        <f t="shared" si="33"/>
        <v>3.2615740739856847E-2</v>
      </c>
      <c r="N132" s="7">
        <f t="shared" si="34"/>
        <v>46.966666665393859</v>
      </c>
      <c r="O132" s="7"/>
      <c r="P132" s="7"/>
      <c r="Q132" s="26"/>
      <c r="R132" s="26"/>
      <c r="S132" s="38">
        <f t="shared" si="35"/>
        <v>1</v>
      </c>
      <c r="T132" s="55" t="str">
        <f t="shared" si="36"/>
        <v>Southbound</v>
      </c>
      <c r="U132" s="13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18:17:25-0600',mode:absolute,to:'2016-08-12 21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32" s="57" t="str">
        <f t="shared" si="38"/>
        <v>N</v>
      </c>
      <c r="X132" s="133">
        <f t="shared" si="39"/>
        <v>1</v>
      </c>
      <c r="Y132" s="72">
        <f t="shared" si="40"/>
        <v>23.297000000000001</v>
      </c>
      <c r="Z132" s="72">
        <f t="shared" si="41"/>
        <v>1.4999999999999999E-2</v>
      </c>
      <c r="AA132" s="72">
        <f t="shared" si="42"/>
        <v>23.282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43"/>
        <v>0220-12</v>
      </c>
      <c r="AE132" s="108" t="str">
        <f t="shared" si="3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132" s="105" t="str">
        <f t="shared" si="31"/>
        <v>"C:\Program Files (x86)\AstroGrep\AstroGrep.exe" /spath="%USERPROFILE%\AppData\Local\Temp\OnboardLogs" /stypes="*4013*20160813*" /stext=" 02:.+((SYSTEM_STATE.+slice.+state.+changed )|(ment ac)|(system.+state.+changed )|(\|lc)|(penalty)|(\[timeout)|(PRM\|1\|D)|(kpr)|(kdp))" /e /r /s</v>
      </c>
      <c r="AG132" s="1" t="str">
        <f t="shared" si="44"/>
        <v>EC</v>
      </c>
      <c r="AH132" s="109" t="str">
        <f t="shared" si="45"/>
        <v>"%USERPROFILE%\Documents\GitHub\eaglep3\Utilities\RefineRTDCRunTimes.py" --tripid 220-12 --locoid 4013 --swversion DE.1.0.7.0 --startMP 204:232970 --initTime 2016-08-12T19:17:25 --startdatetime 2016-08-12T19:18:54 --delay 1 --endMP 204:150 --enddatetime 2016-08-12T20:05:52 --enforcementcount 0</v>
      </c>
    </row>
    <row r="133" spans="1:34" s="24" customFormat="1" x14ac:dyDescent="0.25">
      <c r="A133" s="42" t="s">
        <v>451</v>
      </c>
      <c r="B133" s="7">
        <v>4038</v>
      </c>
      <c r="C133" s="25" t="s">
        <v>122</v>
      </c>
      <c r="D133" s="25" t="s">
        <v>437</v>
      </c>
      <c r="E133" s="16">
        <v>42594.789166666669</v>
      </c>
      <c r="F133" s="16">
        <v>42594.790312500001</v>
      </c>
      <c r="G133" s="7">
        <v>1</v>
      </c>
      <c r="H133" s="16" t="s">
        <v>393</v>
      </c>
      <c r="I133" s="16">
        <v>42594.816620370373</v>
      </c>
      <c r="J133" s="7">
        <v>0</v>
      </c>
      <c r="K133" s="149" t="str">
        <f t="shared" si="32"/>
        <v>4037/4038</v>
      </c>
      <c r="L133" s="25" t="str">
        <f>VLOOKUP(A133,'Trips&amp;Operators'!$C$1:$E$10000,3,FALSE)</f>
        <v>LEVIN</v>
      </c>
      <c r="M133" s="6">
        <f t="shared" si="33"/>
        <v>2.6307870371965691E-2</v>
      </c>
      <c r="N133" s="7">
        <f t="shared" si="34"/>
        <v>37.883333335630596</v>
      </c>
      <c r="O133" s="7"/>
      <c r="P133" s="7"/>
      <c r="Q133" s="26"/>
      <c r="R133" s="26"/>
      <c r="S133" s="38">
        <f t="shared" si="35"/>
        <v>1</v>
      </c>
      <c r="T133" s="55" t="str">
        <f t="shared" si="36"/>
        <v>NorthBound</v>
      </c>
      <c r="U133" s="13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17:56:24-0600',mode:absolute,to:'2016-08-12 20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3" s="57" t="str">
        <f t="shared" si="38"/>
        <v>N</v>
      </c>
      <c r="X133" s="133">
        <f t="shared" si="39"/>
        <v>1</v>
      </c>
      <c r="Y133" s="72">
        <f t="shared" si="40"/>
        <v>4.3499999999999997E-2</v>
      </c>
      <c r="Z133" s="72">
        <f t="shared" si="41"/>
        <v>23.332599999999999</v>
      </c>
      <c r="AA133" s="72">
        <f t="shared" si="42"/>
        <v>23.289099999999998</v>
      </c>
      <c r="AB133" s="69" t="e">
        <f>VLOOKUP(A133,Enforcements!$C$7:$J$24,8,0)</f>
        <v>#N/A</v>
      </c>
      <c r="AC133" s="65" t="e">
        <f>VLOOKUP(A133,Enforcements!$C$7:$E$24,3,0)</f>
        <v>#N/A</v>
      </c>
      <c r="AD133" s="66" t="str">
        <f t="shared" si="43"/>
        <v>0221-12</v>
      </c>
      <c r="AE133" s="108" t="str">
        <f t="shared" si="30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133" s="105" t="str">
        <f t="shared" si="31"/>
        <v>"C:\Program Files (x86)\AstroGrep\AstroGrep.exe" /spath="%USERPROFILE%\AppData\Local\Temp\OnboardLogs" /stypes="*4038*20160813*" /stext=" 01:.+((SYSTEM_STATE.+slice.+state.+changed )|(ment ac)|(system.+state.+changed )|(\|lc)|(penalty)|(\[timeout)|(PRM\|1\|D)|(kpr)|(kdp))" /e /r /s</v>
      </c>
      <c r="AG133" s="1" t="str">
        <f t="shared" si="44"/>
        <v>EC</v>
      </c>
      <c r="AH133" s="109" t="str">
        <f t="shared" si="45"/>
        <v>"%USERPROFILE%\Documents\GitHub\eaglep3\Utilities\RefineRTDCRunTimes.py" --tripid 221-12 --locoid 4038 --swversion DE.1.0.7.0 --startMP 204:435 --initTime 2016-08-12T18:56:24 --startdatetime 2016-08-12T18:58:03 --delay 1 --endMP 204:233326 --enddatetime 2016-08-12T19:35:56 --enforcementcount 0</v>
      </c>
    </row>
    <row r="134" spans="1:34" x14ac:dyDescent="0.25">
      <c r="A134" s="42" t="s">
        <v>452</v>
      </c>
      <c r="B134" s="7">
        <v>4037</v>
      </c>
      <c r="C134" s="25" t="s">
        <v>122</v>
      </c>
      <c r="D134" s="25" t="s">
        <v>293</v>
      </c>
      <c r="E134" s="16">
        <v>42594.823842592596</v>
      </c>
      <c r="F134" s="16">
        <v>42594.824756944443</v>
      </c>
      <c r="G134" s="7">
        <v>1</v>
      </c>
      <c r="H134" s="16" t="s">
        <v>317</v>
      </c>
      <c r="I134" s="16">
        <v>42594.858587962961</v>
      </c>
      <c r="J134" s="7">
        <v>0</v>
      </c>
      <c r="K134" s="149" t="str">
        <f t="shared" si="32"/>
        <v>4037/4038</v>
      </c>
      <c r="L134" s="25" t="str">
        <f>VLOOKUP(A134,'Trips&amp;Operators'!$C$1:$E$10000,3,FALSE)</f>
        <v>LEVIN</v>
      </c>
      <c r="M134" s="6">
        <f t="shared" si="33"/>
        <v>3.3831018517958E-2</v>
      </c>
      <c r="N134" s="7">
        <f t="shared" si="34"/>
        <v>48.71666666585952</v>
      </c>
      <c r="O134" s="7"/>
      <c r="P134" s="7"/>
      <c r="Q134" s="26"/>
      <c r="R134" s="26"/>
      <c r="S134" s="38">
        <f t="shared" si="35"/>
        <v>1</v>
      </c>
      <c r="T134" s="55" t="str">
        <f t="shared" si="36"/>
        <v>Southbound</v>
      </c>
      <c r="U134" s="13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18:46:20-0600',mode:absolute,to:'2016-08-12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34" s="57" t="str">
        <f t="shared" si="38"/>
        <v>N</v>
      </c>
      <c r="X134" s="133">
        <f t="shared" si="39"/>
        <v>1</v>
      </c>
      <c r="Y134" s="72">
        <f t="shared" si="40"/>
        <v>23.3001</v>
      </c>
      <c r="Z134" s="72">
        <f t="shared" si="41"/>
        <v>1.54E-2</v>
      </c>
      <c r="AA134" s="72">
        <f t="shared" si="42"/>
        <v>23.284700000000001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43"/>
        <v>0222-12</v>
      </c>
      <c r="AE134" s="108" t="str">
        <f t="shared" si="30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134" s="105" t="str">
        <f t="shared" si="31"/>
        <v>"C:\Program Files (x86)\AstroGrep\AstroGrep.exe" /spath="%USERPROFILE%\AppData\Local\Temp\OnboardLogs" /stypes="*4037*20160813*" /stext=" 02:.+((SYSTEM_STATE.+slice.+state.+changed )|(ment ac)|(system.+state.+changed )|(\|lc)|(penalty)|(\[timeout)|(PRM\|1\|D)|(kpr)|(kdp))" /e /r /s</v>
      </c>
      <c r="AG134" s="1" t="str">
        <f t="shared" si="44"/>
        <v>EC</v>
      </c>
      <c r="AH134" s="109" t="str">
        <f t="shared" si="45"/>
        <v>"%USERPROFILE%\Documents\GitHub\eaglep3\Utilities\RefineRTDCRunTimes.py" --tripid 222-12 --locoid 4037 --swversion DE.1.0.7.0 --startMP 204:233001 --initTime 2016-08-12T19:46:20 --startdatetime 2016-08-12T19:47:39 --delay 1 --endMP 204:154 --enddatetime 2016-08-12T20:36:22 --enforcementcount 0</v>
      </c>
    </row>
    <row r="135" spans="1:34" x14ac:dyDescent="0.25">
      <c r="A135" s="42" t="s">
        <v>453</v>
      </c>
      <c r="B135" s="7">
        <v>4029</v>
      </c>
      <c r="C135" s="25" t="s">
        <v>122</v>
      </c>
      <c r="D135" s="25" t="s">
        <v>454</v>
      </c>
      <c r="E135" s="16">
        <v>42594.807928240742</v>
      </c>
      <c r="F135" s="16">
        <v>42594.80877314815</v>
      </c>
      <c r="G135" s="7">
        <v>1</v>
      </c>
      <c r="H135" s="16" t="s">
        <v>455</v>
      </c>
      <c r="I135" s="16">
        <v>42594.839120370372</v>
      </c>
      <c r="J135" s="7">
        <v>0</v>
      </c>
      <c r="K135" s="149" t="str">
        <f t="shared" si="32"/>
        <v>4029/4030</v>
      </c>
      <c r="L135" s="25" t="str">
        <f>VLOOKUP(A135,'Trips&amp;Operators'!$C$1:$E$10000,3,FALSE)</f>
        <v>HAITHCOX</v>
      </c>
      <c r="M135" s="6">
        <f t="shared" si="33"/>
        <v>3.0347222222189885E-2</v>
      </c>
      <c r="N135" s="7">
        <f t="shared" si="34"/>
        <v>43.699999999953434</v>
      </c>
      <c r="O135" s="7"/>
      <c r="P135" s="7"/>
      <c r="Q135" s="26"/>
      <c r="R135" s="26"/>
      <c r="S135" s="38">
        <f t="shared" si="35"/>
        <v>1</v>
      </c>
      <c r="T135" s="55" t="str">
        <f t="shared" si="36"/>
        <v>NorthBound</v>
      </c>
      <c r="U135" s="13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18:23:25-0600',mode:absolute,to:'2016-08-12 21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5" s="57" t="str">
        <f t="shared" si="38"/>
        <v>N</v>
      </c>
      <c r="X135" s="133">
        <f t="shared" si="39"/>
        <v>1</v>
      </c>
      <c r="Y135" s="72">
        <f t="shared" si="40"/>
        <v>4.3799999999999999E-2</v>
      </c>
      <c r="Z135" s="72">
        <f t="shared" si="41"/>
        <v>23.3276</v>
      </c>
      <c r="AA135" s="72">
        <f t="shared" si="42"/>
        <v>23.283799999999999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43"/>
        <v>0223-12</v>
      </c>
      <c r="AE135" s="108" t="str">
        <f t="shared" si="30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135" s="105" t="str">
        <f t="shared" si="31"/>
        <v>"C:\Program Files (x86)\AstroGrep\AstroGrep.exe" /spath="%USERPROFILE%\AppData\Local\Temp\OnboardLogs" /stypes="*4029*20160813*" /stext=" 02:.+((SYSTEM_STATE.+slice.+state.+changed )|(ment ac)|(system.+state.+changed )|(\|lc)|(penalty)|(\[timeout)|(PRM\|1\|D)|(kpr)|(kdp))" /e /r /s</v>
      </c>
      <c r="AG135" s="1" t="str">
        <f t="shared" si="44"/>
        <v>EC</v>
      </c>
      <c r="AH135" s="109" t="str">
        <f t="shared" si="45"/>
        <v>"%USERPROFILE%\Documents\GitHub\eaglep3\Utilities\RefineRTDCRunTimes.py" --tripid 223-12 --locoid 4029 --swversion DE.1.0.7.0 --startMP 204:438 --initTime 2016-08-12T19:23:25 --startdatetime 2016-08-12T19:24:38 --delay 1 --endMP 204:233276 --enddatetime 2016-08-12T20:08:20 --enforcementcount 0</v>
      </c>
    </row>
    <row r="136" spans="1:34" x14ac:dyDescent="0.25">
      <c r="A136" s="42" t="s">
        <v>456</v>
      </c>
      <c r="B136" s="7">
        <v>4030</v>
      </c>
      <c r="C136" s="25" t="s">
        <v>122</v>
      </c>
      <c r="D136" s="25" t="s">
        <v>457</v>
      </c>
      <c r="E136" s="16">
        <v>42594.844826388886</v>
      </c>
      <c r="F136" s="16">
        <v>42594.845868055556</v>
      </c>
      <c r="G136" s="7">
        <v>1</v>
      </c>
      <c r="H136" s="16" t="s">
        <v>294</v>
      </c>
      <c r="I136" s="16">
        <v>42594.879513888889</v>
      </c>
      <c r="J136" s="7">
        <v>0</v>
      </c>
      <c r="K136" s="149" t="str">
        <f t="shared" si="32"/>
        <v>4029/4030</v>
      </c>
      <c r="L136" s="25" t="str">
        <f>VLOOKUP(A136,'Trips&amp;Operators'!$C$1:$E$10000,3,FALSE)</f>
        <v>ROBINSON</v>
      </c>
      <c r="M136" s="6">
        <f t="shared" si="33"/>
        <v>3.3645833333139308E-2</v>
      </c>
      <c r="N136" s="7">
        <f t="shared" si="34"/>
        <v>48.449999999720603</v>
      </c>
      <c r="O136" s="7"/>
      <c r="P136" s="7"/>
      <c r="Q136" s="26"/>
      <c r="R136" s="26"/>
      <c r="S136" s="38">
        <f t="shared" si="35"/>
        <v>1</v>
      </c>
      <c r="T136" s="55" t="str">
        <f t="shared" si="36"/>
        <v>Southbound</v>
      </c>
      <c r="U136" s="13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19:16:33-0600',mode:absolute,to:'2016-08-12 22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36" s="57" t="str">
        <f t="shared" si="38"/>
        <v>N</v>
      </c>
      <c r="X136" s="133">
        <f t="shared" si="39"/>
        <v>1</v>
      </c>
      <c r="Y136" s="72">
        <f t="shared" si="40"/>
        <v>23.295999999999999</v>
      </c>
      <c r="Z136" s="72">
        <f t="shared" si="41"/>
        <v>1.5599999999999999E-2</v>
      </c>
      <c r="AA136" s="72">
        <f t="shared" si="42"/>
        <v>23.2804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43"/>
        <v>0224-12</v>
      </c>
      <c r="AE136" s="108" t="str">
        <f t="shared" si="30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136" s="105" t="str">
        <f t="shared" si="31"/>
        <v>"C:\Program Files (x86)\AstroGrep\AstroGrep.exe" /spath="%USERPROFILE%\AppData\Local\Temp\OnboardLogs" /stypes="*4030*20160813*" /stext=" 03:.+((SYSTEM_STATE.+slice.+state.+changed )|(ment ac)|(system.+state.+changed )|(\|lc)|(penalty)|(\[timeout)|(PRM\|1\|D)|(kpr)|(kdp))" /e /r /s</v>
      </c>
      <c r="AG136" s="1" t="str">
        <f t="shared" si="44"/>
        <v>EC</v>
      </c>
      <c r="AH136" s="109" t="str">
        <f t="shared" si="45"/>
        <v>"%USERPROFILE%\Documents\GitHub\eaglep3\Utilities\RefineRTDCRunTimes.py" --tripid 224-12 --locoid 4030 --swversion DE.1.0.7.0 --startMP 204:232960 --initTime 2016-08-12T20:16:33 --startdatetime 2016-08-12T20:18:03 --delay 1 --endMP 204:156 --enddatetime 2016-08-12T21:06:30 --enforcementcount 0</v>
      </c>
    </row>
    <row r="137" spans="1:34" x14ac:dyDescent="0.25">
      <c r="A137" s="42" t="s">
        <v>458</v>
      </c>
      <c r="B137" s="7">
        <v>4031</v>
      </c>
      <c r="C137" s="25" t="s">
        <v>122</v>
      </c>
      <c r="D137" s="25" t="s">
        <v>459</v>
      </c>
      <c r="E137" s="16">
        <v>42594.827974537038</v>
      </c>
      <c r="F137" s="16">
        <v>42594.829050925924</v>
      </c>
      <c r="G137" s="7">
        <v>1</v>
      </c>
      <c r="H137" s="16" t="s">
        <v>149</v>
      </c>
      <c r="I137" s="16">
        <v>42594.858553240738</v>
      </c>
      <c r="J137" s="7">
        <v>0</v>
      </c>
      <c r="K137" s="149" t="str">
        <f t="shared" si="32"/>
        <v>4031/4032</v>
      </c>
      <c r="L137" s="25" t="str">
        <f>VLOOKUP(A137,'Trips&amp;Operators'!$C$1:$E$10000,3,FALSE)</f>
        <v>STAMBAUGH</v>
      </c>
      <c r="M137" s="6">
        <f t="shared" si="33"/>
        <v>2.9502314813726116E-2</v>
      </c>
      <c r="N137" s="7">
        <f t="shared" si="34"/>
        <v>42.483333331765607</v>
      </c>
      <c r="O137" s="7"/>
      <c r="P137" s="7"/>
      <c r="Q137" s="26"/>
      <c r="R137" s="26"/>
      <c r="S137" s="38">
        <f t="shared" si="35"/>
        <v>1</v>
      </c>
      <c r="T137" s="55" t="str">
        <f t="shared" si="36"/>
        <v>NorthBound</v>
      </c>
      <c r="U137" s="13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18:52:17-0600',mode:absolute,to:'2016-08-12 21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37" s="57" t="str">
        <f t="shared" si="38"/>
        <v>N</v>
      </c>
      <c r="X137" s="133">
        <f t="shared" si="39"/>
        <v>1</v>
      </c>
      <c r="Y137" s="72">
        <f t="shared" si="40"/>
        <v>6.2199999999999998E-2</v>
      </c>
      <c r="Z137" s="72">
        <f t="shared" si="41"/>
        <v>23.328900000000001</v>
      </c>
      <c r="AA137" s="72">
        <f t="shared" si="42"/>
        <v>23.2667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43"/>
        <v>0225-12</v>
      </c>
      <c r="AE137" s="108" t="str">
        <f t="shared" si="30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137" s="105" t="str">
        <f t="shared" si="31"/>
        <v>"C:\Program Files (x86)\AstroGrep\AstroGrep.exe" /spath="%USERPROFILE%\AppData\Local\Temp\OnboardLogs" /stypes="*4031*20160813*" /stext=" 02:.+((SYSTEM_STATE.+slice.+state.+changed )|(ment ac)|(system.+state.+changed )|(\|lc)|(penalty)|(\[timeout)|(PRM\|1\|D)|(kpr)|(kdp))" /e /r /s</v>
      </c>
      <c r="AG137" s="1" t="str">
        <f t="shared" si="44"/>
        <v>EC</v>
      </c>
      <c r="AH137" s="109" t="str">
        <f t="shared" si="45"/>
        <v>"%USERPROFILE%\Documents\GitHub\eaglep3\Utilities\RefineRTDCRunTimes.py" --tripid 225-12 --locoid 4031 --swversion DE.1.0.7.0 --startMP 204:622 --initTime 2016-08-12T19:52:17 --startdatetime 2016-08-12T19:53:50 --delay 1 --endMP 204:233289 --enddatetime 2016-08-12T20:36:19 --enforcementcount 0</v>
      </c>
    </row>
    <row r="138" spans="1:34" x14ac:dyDescent="0.25">
      <c r="A138" s="42" t="s">
        <v>460</v>
      </c>
      <c r="B138" s="7">
        <v>4032</v>
      </c>
      <c r="C138" s="25" t="s">
        <v>122</v>
      </c>
      <c r="D138" s="25" t="s">
        <v>178</v>
      </c>
      <c r="E138" s="16">
        <v>42594.868981481479</v>
      </c>
      <c r="F138" s="16">
        <v>42594.869687500002</v>
      </c>
      <c r="G138" s="7">
        <v>1</v>
      </c>
      <c r="H138" s="16" t="s">
        <v>93</v>
      </c>
      <c r="I138" s="16">
        <v>42594.900925925926</v>
      </c>
      <c r="J138" s="7">
        <v>0</v>
      </c>
      <c r="K138" s="149" t="str">
        <f t="shared" si="32"/>
        <v>4031/4032</v>
      </c>
      <c r="L138" s="25" t="str">
        <f>VLOOKUP(A138,'Trips&amp;Operators'!$C$1:$E$10000,3,FALSE)</f>
        <v>STAMBAUGH</v>
      </c>
      <c r="M138" s="6">
        <f t="shared" si="33"/>
        <v>3.1238425923220348E-2</v>
      </c>
      <c r="N138" s="7">
        <f t="shared" si="34"/>
        <v>44.983333329437301</v>
      </c>
      <c r="O138" s="7"/>
      <c r="P138" s="7"/>
      <c r="Q138" s="26"/>
      <c r="R138" s="26"/>
      <c r="S138" s="38">
        <f t="shared" si="35"/>
        <v>1</v>
      </c>
      <c r="T138" s="55" t="str">
        <f t="shared" si="36"/>
        <v>Southbound</v>
      </c>
      <c r="U138" s="13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19:51:20-0600',mode:absolute,to:'2016-08-12 22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38" s="57" t="str">
        <f t="shared" si="38"/>
        <v>N</v>
      </c>
      <c r="X138" s="133">
        <f t="shared" si="39"/>
        <v>1</v>
      </c>
      <c r="Y138" s="72">
        <f t="shared" si="40"/>
        <v>23.297799999999999</v>
      </c>
      <c r="Z138" s="72">
        <f t="shared" si="41"/>
        <v>1.43E-2</v>
      </c>
      <c r="AA138" s="72">
        <f t="shared" si="42"/>
        <v>23.2835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43"/>
        <v>0226-12</v>
      </c>
      <c r="AE138" s="108" t="str">
        <f t="shared" si="30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138" s="105" t="str">
        <f t="shared" si="31"/>
        <v>"C:\Program Files (x86)\AstroGrep\AstroGrep.exe" /spath="%USERPROFILE%\AppData\Local\Temp\OnboardLogs" /stypes="*4032*20160813*" /stext=" 03:.+((SYSTEM_STATE.+slice.+state.+changed )|(ment ac)|(system.+state.+changed )|(\|lc)|(penalty)|(\[timeout)|(PRM\|1\|D)|(kpr)|(kdp))" /e /r /s</v>
      </c>
      <c r="AG138" s="1" t="str">
        <f t="shared" si="44"/>
        <v>EC</v>
      </c>
      <c r="AH138" s="109" t="str">
        <f t="shared" si="45"/>
        <v>"%USERPROFILE%\Documents\GitHub\eaglep3\Utilities\RefineRTDCRunTimes.py" --tripid 226-12 --locoid 4032 --swversion DE.1.0.7.0 --startMP 204:232978 --initTime 2016-08-12T20:51:20 --startdatetime 2016-08-12T20:52:21 --delay 1 --endMP 204:143 --enddatetime 2016-08-12T21:37:20 --enforcementcount 0</v>
      </c>
    </row>
    <row r="139" spans="1:34" x14ac:dyDescent="0.25">
      <c r="A139" s="42" t="s">
        <v>461</v>
      </c>
      <c r="B139" s="7">
        <v>4014</v>
      </c>
      <c r="C139" s="25" t="s">
        <v>122</v>
      </c>
      <c r="D139" s="25" t="s">
        <v>312</v>
      </c>
      <c r="E139" s="16">
        <v>42594.847442129627</v>
      </c>
      <c r="F139" s="16">
        <v>42594.848240740743</v>
      </c>
      <c r="G139" s="7">
        <v>1</v>
      </c>
      <c r="H139" s="16" t="s">
        <v>177</v>
      </c>
      <c r="I139" s="16">
        <v>42594.881307870368</v>
      </c>
      <c r="J139" s="7">
        <v>0</v>
      </c>
      <c r="K139" s="149" t="str">
        <f t="shared" si="32"/>
        <v>4013/4014</v>
      </c>
      <c r="L139" s="25" t="str">
        <f>VLOOKUP(A139,'Trips&amp;Operators'!$C$1:$E$10000,3,FALSE)</f>
        <v>ISHMAEL</v>
      </c>
      <c r="M139" s="6">
        <f t="shared" si="33"/>
        <v>3.3067129625123926E-2</v>
      </c>
      <c r="N139" s="7">
        <f t="shared" si="34"/>
        <v>47.616666660178453</v>
      </c>
      <c r="O139" s="7"/>
      <c r="P139" s="7"/>
      <c r="Q139" s="26"/>
      <c r="R139" s="26"/>
      <c r="S139" s="38">
        <f t="shared" si="35"/>
        <v>1</v>
      </c>
      <c r="T139" s="55" t="str">
        <f t="shared" si="36"/>
        <v>NorthBound</v>
      </c>
      <c r="U139" s="13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19:20:19-0600',mode:absolute,to:'2016-08-12 22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39" s="57" t="str">
        <f t="shared" si="38"/>
        <v>N</v>
      </c>
      <c r="X139" s="133">
        <f t="shared" si="39"/>
        <v>1</v>
      </c>
      <c r="Y139" s="72">
        <f t="shared" si="40"/>
        <v>4.5100000000000001E-2</v>
      </c>
      <c r="Z139" s="72">
        <f t="shared" si="41"/>
        <v>23.329799999999999</v>
      </c>
      <c r="AA139" s="72">
        <f t="shared" si="42"/>
        <v>23.284699999999997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43"/>
        <v>0227-12</v>
      </c>
      <c r="AE139" s="108" t="str">
        <f t="shared" si="30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139" s="105" t="str">
        <f t="shared" si="31"/>
        <v>"C:\Program Files (x86)\AstroGrep\AstroGrep.exe" /spath="%USERPROFILE%\AppData\Local\Temp\OnboardLogs" /stypes="*4014*20160813*" /stext=" 03:.+((SYSTEM_STATE.+slice.+state.+changed )|(ment ac)|(system.+state.+changed )|(\|lc)|(penalty)|(\[timeout)|(PRM\|1\|D)|(kpr)|(kdp))" /e /r /s</v>
      </c>
      <c r="AG139" s="1" t="str">
        <f t="shared" si="44"/>
        <v>EC</v>
      </c>
      <c r="AH139" s="109" t="str">
        <f t="shared" si="45"/>
        <v>"%USERPROFILE%\Documents\GitHub\eaglep3\Utilities\RefineRTDCRunTimes.py" --tripid 227-12 --locoid 4014 --swversion DE.1.0.7.0 --startMP 204:451 --initTime 2016-08-12T20:20:19 --startdatetime 2016-08-12T20:21:28 --delay 1 --endMP 204:233298 --enddatetime 2016-08-12T21:09:05 --enforcementcount 0</v>
      </c>
    </row>
    <row r="140" spans="1:34" x14ac:dyDescent="0.25">
      <c r="A140" s="42" t="s">
        <v>462</v>
      </c>
      <c r="B140" s="7">
        <v>4013</v>
      </c>
      <c r="C140" s="25" t="s">
        <v>122</v>
      </c>
      <c r="D140" s="25" t="s">
        <v>305</v>
      </c>
      <c r="E140" s="16">
        <v>42594.88795138889</v>
      </c>
      <c r="F140" s="16">
        <v>42594.889027777775</v>
      </c>
      <c r="G140" s="7">
        <v>1</v>
      </c>
      <c r="H140" s="16" t="s">
        <v>294</v>
      </c>
      <c r="I140" s="16">
        <v>42594.921018518522</v>
      </c>
      <c r="J140" s="7">
        <v>0</v>
      </c>
      <c r="K140" s="149" t="str">
        <f t="shared" si="32"/>
        <v>4013/4014</v>
      </c>
      <c r="L140" s="25" t="str">
        <f>VLOOKUP(A140,'Trips&amp;Operators'!$C$1:$E$10000,3,FALSE)</f>
        <v>ISHMAEL</v>
      </c>
      <c r="M140" s="6">
        <f t="shared" si="33"/>
        <v>3.1990740746550728E-2</v>
      </c>
      <c r="N140" s="7">
        <f t="shared" si="34"/>
        <v>46.066666675033048</v>
      </c>
      <c r="O140" s="7"/>
      <c r="P140" s="7"/>
      <c r="Q140" s="26"/>
      <c r="R140" s="26"/>
      <c r="S140" s="38">
        <f t="shared" si="35"/>
        <v>1</v>
      </c>
      <c r="T140" s="55" t="str">
        <f t="shared" si="36"/>
        <v>Southbound</v>
      </c>
      <c r="U140" s="13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20:18:39-0600',mode:absolute,to:'2016-08-12 23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40" s="57" t="str">
        <f t="shared" si="38"/>
        <v>N</v>
      </c>
      <c r="X140" s="133">
        <f t="shared" si="39"/>
        <v>1</v>
      </c>
      <c r="Y140" s="72">
        <f t="shared" si="40"/>
        <v>23.298100000000002</v>
      </c>
      <c r="Z140" s="72">
        <f t="shared" si="41"/>
        <v>1.5599999999999999E-2</v>
      </c>
      <c r="AA140" s="72">
        <f t="shared" si="42"/>
        <v>23.282500000000002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43"/>
        <v>0228-12</v>
      </c>
      <c r="AE140" s="108" t="str">
        <f t="shared" si="30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140" s="105" t="str">
        <f t="shared" si="31"/>
        <v>"C:\Program Files (x86)\AstroGrep\AstroGrep.exe" /spath="%USERPROFILE%\AppData\Local\Temp\OnboardLogs" /stypes="*4013*20160813*" /stext=" 04:.+((SYSTEM_STATE.+slice.+state.+changed )|(ment ac)|(system.+state.+changed )|(\|lc)|(penalty)|(\[timeout)|(PRM\|1\|D)|(kpr)|(kdp))" /e /r /s</v>
      </c>
      <c r="AG140" s="1" t="str">
        <f t="shared" si="44"/>
        <v>EC</v>
      </c>
      <c r="AH140" s="109" t="str">
        <f t="shared" si="45"/>
        <v>"%USERPROFILE%\Documents\GitHub\eaglep3\Utilities\RefineRTDCRunTimes.py" --tripid 228-12 --locoid 4013 --swversion DE.1.0.7.0 --startMP 204:232981 --initTime 2016-08-12T21:18:39 --startdatetime 2016-08-12T21:20:12 --delay 1 --endMP 204:156 --enddatetime 2016-08-12T22:06:16 --enforcementcount 0</v>
      </c>
    </row>
    <row r="141" spans="1:34" x14ac:dyDescent="0.25">
      <c r="A141" s="42" t="s">
        <v>463</v>
      </c>
      <c r="B141" s="7">
        <v>4038</v>
      </c>
      <c r="C141" s="25" t="s">
        <v>122</v>
      </c>
      <c r="D141" s="25" t="s">
        <v>148</v>
      </c>
      <c r="E141" s="16">
        <v>42594.873263888891</v>
      </c>
      <c r="F141" s="16">
        <v>42594.874432870369</v>
      </c>
      <c r="G141" s="7">
        <v>1</v>
      </c>
      <c r="H141" s="16" t="s">
        <v>198</v>
      </c>
      <c r="I141" s="16">
        <v>42594.900208333333</v>
      </c>
      <c r="J141" s="7">
        <v>0</v>
      </c>
      <c r="K141" s="149" t="str">
        <f t="shared" si="32"/>
        <v>4037/4038</v>
      </c>
      <c r="L141" s="25" t="str">
        <f>VLOOKUP(A141,'Trips&amp;Operators'!$C$1:$E$10000,3,FALSE)</f>
        <v>LEVIN</v>
      </c>
      <c r="M141" s="6">
        <f t="shared" si="33"/>
        <v>2.5775462963792961E-2</v>
      </c>
      <c r="N141" s="7">
        <f t="shared" si="34"/>
        <v>37.116666667861864</v>
      </c>
      <c r="O141" s="7"/>
      <c r="P141" s="7"/>
      <c r="Q141" s="26"/>
      <c r="R141" s="26"/>
      <c r="S141" s="38">
        <f t="shared" si="35"/>
        <v>1</v>
      </c>
      <c r="T141" s="55" t="str">
        <f t="shared" si="36"/>
        <v>NorthBound</v>
      </c>
      <c r="U141" s="13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19:57:30-0600',mode:absolute,to:'2016-08-12 22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41" s="57" t="str">
        <f t="shared" si="38"/>
        <v>N</v>
      </c>
      <c r="X141" s="133">
        <f t="shared" ref="X141:X147" si="46">VALUE(LEFT(AD141,4))-VALUE(LEFT(AD140,4))</f>
        <v>1</v>
      </c>
      <c r="Y141" s="72">
        <f t="shared" ref="Y141:Y147" si="47">RIGHT(D141,LEN(D141)-4)/10000</f>
        <v>4.53E-2</v>
      </c>
      <c r="Z141" s="72">
        <f t="shared" si="41"/>
        <v>23.332000000000001</v>
      </c>
      <c r="AA141" s="72">
        <f t="shared" si="42"/>
        <v>23.2867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si="43"/>
        <v>0229-12</v>
      </c>
      <c r="AE141" s="108" t="str">
        <f t="shared" ref="AE141:AE204" si="4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141" s="105" t="str">
        <f t="shared" ref="AF141:AF204" si="49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/stypes="*4038*20160813*" /stext=" 03:.+((SYSTEM_STATE.+slice.+state.+changed )|(ment ac)|(system.+state.+changed )|(\|lc)|(penalty)|(\[timeout)|(PRM\|1\|D)|(kpr)|(kdp))" /e /r /s</v>
      </c>
      <c r="AG141" s="1" t="str">
        <f t="shared" si="44"/>
        <v>EC</v>
      </c>
      <c r="AH141" s="109" t="str">
        <f t="shared" si="45"/>
        <v>"%USERPROFILE%\Documents\GitHub\eaglep3\Utilities\RefineRTDCRunTimes.py" --tripid 229-12 --locoid 4038 --swversion DE.1.0.7.0 --startMP 204:453 --initTime 2016-08-12T20:57:30 --startdatetime 2016-08-12T20:59:11 --delay 1 --endMP 204:233320 --enddatetime 2016-08-12T21:36:18 --enforcementcount 0</v>
      </c>
    </row>
    <row r="142" spans="1:34" s="24" customFormat="1" x14ac:dyDescent="0.25">
      <c r="A142" s="42" t="s">
        <v>464</v>
      </c>
      <c r="B142" s="7">
        <v>4037</v>
      </c>
      <c r="C142" s="25" t="s">
        <v>122</v>
      </c>
      <c r="D142" s="25" t="s">
        <v>465</v>
      </c>
      <c r="E142" s="16">
        <v>42594.908136574071</v>
      </c>
      <c r="F142" s="16">
        <v>42594.909039351849</v>
      </c>
      <c r="G142" s="7">
        <v>1</v>
      </c>
      <c r="H142" s="16" t="s">
        <v>466</v>
      </c>
      <c r="I142" s="16">
        <v>42594.944652777776</v>
      </c>
      <c r="J142" s="7">
        <v>0</v>
      </c>
      <c r="K142" s="149" t="str">
        <f t="shared" si="32"/>
        <v>4037/4038</v>
      </c>
      <c r="L142" s="25" t="str">
        <f>VLOOKUP(A142,'Trips&amp;Operators'!$C$1:$E$10000,3,FALSE)</f>
        <v>LEVIN</v>
      </c>
      <c r="M142" s="6">
        <f t="shared" si="33"/>
        <v>3.5613425927294884E-2</v>
      </c>
      <c r="N142" s="7">
        <f>24*60*SUM($M142:$M142)</f>
        <v>51.283333335304633</v>
      </c>
      <c r="O142" s="7"/>
      <c r="P142" s="7"/>
      <c r="Q142" s="26"/>
      <c r="R142" s="26"/>
      <c r="S142" s="38">
        <f>SUM(U142:U142)/IF(AG142="EC",12,1)</f>
        <v>1</v>
      </c>
      <c r="T142" s="55" t="str">
        <f t="shared" si="36"/>
        <v>Southbound</v>
      </c>
      <c r="U142" s="13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https://search-rtdc-monitor-bjffxe2xuh6vdkpspy63sjmuny.us-east-1.es.amazonaws.com/_plugin/kibana/#/discover/Steve-Slow-Train-Analysis-(2080s-and-2083s)?_g=(refreshInterval:(display:Off,section:0,value:0),time:(from:'2016-08-12 20:47:43-0600',mode:absolute,to:'2016-08-12 23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42" s="57" t="str">
        <f t="shared" si="38"/>
        <v>N</v>
      </c>
      <c r="X142" s="133">
        <f t="shared" si="46"/>
        <v>1</v>
      </c>
      <c r="Y142" s="72">
        <f t="shared" si="47"/>
        <v>23.3005</v>
      </c>
      <c r="Z142" s="72">
        <v>1.54E-2</v>
      </c>
      <c r="AA142" s="72">
        <f t="shared" si="42"/>
        <v>23.2851</v>
      </c>
      <c r="AB142" s="69">
        <f>VLOOKUP(A142,Enforcements!$C$7:$J$24,8,0)</f>
        <v>64008</v>
      </c>
      <c r="AC142" s="65" t="str">
        <f>VLOOKUP(A142,Enforcements!$C$7:$E$24,3,0)</f>
        <v>SIGNAL</v>
      </c>
      <c r="AD142" s="66" t="str">
        <f t="shared" si="43"/>
        <v>0230-12</v>
      </c>
      <c r="AE142" s="108" t="str">
        <f t="shared" si="48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142" s="105" t="str">
        <f t="shared" si="49"/>
        <v>"C:\Program Files (x86)\AstroGrep\AstroGrep.exe" /spath="%USERPROFILE%\AppData\Local\Temp\OnboardLogs" /stypes="*4037*20160813*" /stext=" 04:.+((SYSTEM_STATE.+slice.+state.+changed )|(ment ac)|(system.+state.+changed )|(\|lc)|(penalty)|(\[timeout)|(PRM\|1\|D)|(kpr)|(kdp))" /e /r /s</v>
      </c>
      <c r="AG142" s="1" t="str">
        <f t="shared" si="44"/>
        <v>EC</v>
      </c>
      <c r="AH142" s="109" t="str">
        <f t="shared" si="45"/>
        <v>"%USERPROFILE%\Documents\GitHub\eaglep3\Utilities\RefineRTDCRunTimes.py" --tripid 230-12 --locoid 4037 --swversion DE.1.0.7.0 --startMP 204:233005 --initTime 2016-08-12T21:47:43 --startdatetime 2016-08-12T21:49:01 --delay 1 --endMP 204:61707 --enddatetime 2016-08-12T22:40:18 --enforcementcount 0</v>
      </c>
    </row>
    <row r="143" spans="1:34" s="24" customFormat="1" x14ac:dyDescent="0.25">
      <c r="A143" s="42" t="s">
        <v>467</v>
      </c>
      <c r="B143" s="7">
        <v>4029</v>
      </c>
      <c r="C143" s="25" t="s">
        <v>122</v>
      </c>
      <c r="D143" s="25" t="s">
        <v>220</v>
      </c>
      <c r="E143" s="16">
        <v>42594.893043981479</v>
      </c>
      <c r="F143" s="16">
        <v>42594.89403935185</v>
      </c>
      <c r="G143" s="7">
        <v>1</v>
      </c>
      <c r="H143" s="16" t="s">
        <v>468</v>
      </c>
      <c r="I143" s="16">
        <v>42594.921018518522</v>
      </c>
      <c r="J143" s="7">
        <v>0</v>
      </c>
      <c r="K143" s="149" t="str">
        <f t="shared" ref="K143:K207" si="50">IF(ISEVEN(B143),(B143-1)&amp;"/"&amp;B143,B143&amp;"/"&amp;(B143+1))</f>
        <v>4029/4030</v>
      </c>
      <c r="L143" s="25" t="str">
        <f>VLOOKUP(A143,'Trips&amp;Operators'!$C$1:$E$10000,3,FALSE)</f>
        <v>YANAI</v>
      </c>
      <c r="M143" s="6">
        <f t="shared" ref="M143:M207" si="51">I143-F143</f>
        <v>2.697916667239042E-2</v>
      </c>
      <c r="N143" s="7">
        <f t="shared" ref="N143:P207" si="52">24*60*SUM($M143:$M143)</f>
        <v>38.850000008242205</v>
      </c>
      <c r="O143" s="7"/>
      <c r="P143" s="7"/>
      <c r="Q143" s="26"/>
      <c r="R143" s="26"/>
      <c r="S143" s="38">
        <f t="shared" ref="S143:S207" si="53">SUM(U143:U143)/IF(AG143="EC",12,1)</f>
        <v>1</v>
      </c>
      <c r="T143" s="55" t="str">
        <f t="shared" ref="T143:T207" si="54">IF(ISEVEN(LEFT(AD143,4)),"Southbound","NorthBound")</f>
        <v>NorthBound</v>
      </c>
      <c r="U143" s="13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5" t="str">
        <f t="shared" ref="V143:V207" si="55"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https://search-rtdc-monitor-bjffxe2xuh6vdkpspy63sjmuny.us-east-1.es.amazonaws.com/_plugin/kibana/#/discover/Steve-Slow-Train-Analysis-(2080s-and-2083s)?_g=(refreshInterval:(display:Off,section:0,value:0),time:(from:'2016-08-12 20:25:59-0600',mode:absolute,to:'2016-08-12 23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43" s="57" t="str">
        <f t="shared" ref="W143:W207" si="56">IF(AA143&lt;IF(AG143="EC",23,5.65),"Y","N")</f>
        <v>N</v>
      </c>
      <c r="X143" s="133">
        <f t="shared" si="46"/>
        <v>1</v>
      </c>
      <c r="Y143" s="72">
        <f t="shared" si="47"/>
        <v>4.6600000000000003E-2</v>
      </c>
      <c r="Z143" s="72">
        <f t="shared" ref="Z143:Z207" si="57">RIGHT(H143,LEN(H143)-4)/10000</f>
        <v>23.334399999999999</v>
      </c>
      <c r="AA143" s="72">
        <f t="shared" ref="AA143:AA207" si="58">ABS(Z143-Y143)</f>
        <v>23.287799999999997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ref="AD143:AD207" si="59">IF(LEN(A143)=6,"0"&amp;A143,A143)</f>
        <v>0231-12</v>
      </c>
      <c r="AE143" s="108" t="str">
        <f t="shared" si="48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143" s="105" t="str">
        <f t="shared" si="49"/>
        <v>"C:\Program Files (x86)\AstroGrep\AstroGrep.exe" /spath="%USERPROFILE%\AppData\Local\Temp\OnboardLogs" /stypes="*4029*20160813*" /stext=" 04:.+((SYSTEM_STATE.+slice.+state.+changed )|(ment ac)|(system.+state.+changed )|(\|lc)|(penalty)|(\[timeout)|(PRM\|1\|D)|(kpr)|(kdp))" /e /r /s</v>
      </c>
      <c r="AG143" s="1" t="str">
        <f t="shared" ref="AG143:AG207" si="60">IF(VALUE(LEFT(AD143,2))&lt;=2,"EC",IF(OR(VALUE(LEFT(AD143,2))=8,VALUE(LEFT(AD143,2))=18),"NW","Other"))</f>
        <v>EC</v>
      </c>
      <c r="AH143" s="109" t="str">
        <f t="shared" ref="AH143:AH207" si="6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</f>
        <v>"%USERPROFILE%\Documents\GitHub\eaglep3\Utilities\RefineRTDCRunTimes.py" --tripid 231-12 --locoid 4029 --swversion DE.1.0.7.0 --startMP 204:466 --initTime 2016-08-12T21:25:59 --startdatetime 2016-08-12T21:27:25 --delay 1 --endMP 204:233344 --enddatetime 2016-08-12T22:06:16 --enforcementcount 0</v>
      </c>
    </row>
    <row r="144" spans="1:34" x14ac:dyDescent="0.25">
      <c r="A144" s="42" t="s">
        <v>469</v>
      </c>
      <c r="B144" s="7">
        <v>4030</v>
      </c>
      <c r="C144" s="25" t="s">
        <v>122</v>
      </c>
      <c r="D144" s="25" t="s">
        <v>404</v>
      </c>
      <c r="E144" s="16">
        <v>42594.931608796294</v>
      </c>
      <c r="F144" s="16">
        <v>42594.932638888888</v>
      </c>
      <c r="G144" s="7">
        <v>1</v>
      </c>
      <c r="H144" s="16" t="s">
        <v>160</v>
      </c>
      <c r="I144" s="16">
        <v>42594.961446759262</v>
      </c>
      <c r="J144" s="7">
        <v>0</v>
      </c>
      <c r="K144" s="149" t="str">
        <f t="shared" si="50"/>
        <v>4029/4030</v>
      </c>
      <c r="L144" s="25" t="str">
        <f>VLOOKUP(A144,'Trips&amp;Operators'!$C$1:$E$10000,3,FALSE)</f>
        <v>YANAI</v>
      </c>
      <c r="M144" s="6">
        <f t="shared" si="51"/>
        <v>2.8807870374293998E-2</v>
      </c>
      <c r="N144" s="7">
        <f t="shared" si="52"/>
        <v>41.483333338983357</v>
      </c>
      <c r="O144" s="7"/>
      <c r="P144" s="7"/>
      <c r="Q144" s="26"/>
      <c r="R144" s="26"/>
      <c r="S144" s="38">
        <f t="shared" si="53"/>
        <v>1</v>
      </c>
      <c r="T144" s="55" t="str">
        <f t="shared" si="54"/>
        <v>Southbound</v>
      </c>
      <c r="U144" s="13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21:21:31-0600',mode:absolute,to:'2016-08-13 00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44" s="57" t="str">
        <f t="shared" si="56"/>
        <v>N</v>
      </c>
      <c r="X144" s="133">
        <f t="shared" si="46"/>
        <v>1</v>
      </c>
      <c r="Y144" s="72">
        <f t="shared" si="47"/>
        <v>23.3002</v>
      </c>
      <c r="Z144" s="72">
        <f t="shared" si="57"/>
        <v>1.3599999999999999E-2</v>
      </c>
      <c r="AA144" s="72">
        <f t="shared" si="58"/>
        <v>23.2866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59"/>
        <v>0232-12</v>
      </c>
      <c r="AE144" s="108" t="str">
        <f t="shared" si="48"/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AF144" s="105" t="str">
        <f t="shared" si="49"/>
        <v>"C:\Program Files (x86)\AstroGrep\AstroGrep.exe" /spath="%USERPROFILE%\AppData\Local\Temp\OnboardLogs" /stypes="*4030*20160813*" /stext=" 05:.+((SYSTEM_STATE.+slice.+state.+changed )|(ment ac)|(system.+state.+changed )|(\|lc)|(penalty)|(\[timeout)|(PRM\|1\|D)|(kpr)|(kdp))" /e /r /s</v>
      </c>
      <c r="AG144" s="1" t="str">
        <f t="shared" si="60"/>
        <v>EC</v>
      </c>
      <c r="AH144" s="109" t="str">
        <f t="shared" si="61"/>
        <v>"%USERPROFILE%\Documents\GitHub\eaglep3\Utilities\RefineRTDCRunTimes.py" --tripid 232-12 --locoid 4030 --swversion DE.1.0.7.0 --startMP 204:233002 --initTime 2016-08-12T22:21:31 --startdatetime 2016-08-12T22:23:00 --delay 1 --endMP 204:136 --enddatetime 2016-08-12T23:04:29 --enforcementcount 0</v>
      </c>
    </row>
    <row r="145" spans="1:34" s="24" customFormat="1" x14ac:dyDescent="0.25">
      <c r="A145" s="42" t="s">
        <v>470</v>
      </c>
      <c r="B145" s="7">
        <v>4031</v>
      </c>
      <c r="C145" s="25" t="s">
        <v>122</v>
      </c>
      <c r="D145" s="25" t="s">
        <v>226</v>
      </c>
      <c r="E145" s="16">
        <v>42594.912187499998</v>
      </c>
      <c r="F145" s="16">
        <v>42594.913321759261</v>
      </c>
      <c r="G145" s="7">
        <v>1</v>
      </c>
      <c r="H145" s="16" t="s">
        <v>471</v>
      </c>
      <c r="I145" s="16">
        <v>42594.942326388889</v>
      </c>
      <c r="J145" s="7">
        <v>0</v>
      </c>
      <c r="K145" s="149" t="str">
        <f t="shared" si="50"/>
        <v>4031/4032</v>
      </c>
      <c r="L145" s="25" t="str">
        <f>VLOOKUP(A145,'Trips&amp;Operators'!$C$1:$E$10000,3,FALSE)</f>
        <v>STAMBAUGH</v>
      </c>
      <c r="M145" s="6">
        <f t="shared" si="51"/>
        <v>2.9004629628616385E-2</v>
      </c>
      <c r="N145" s="7">
        <f t="shared" si="52"/>
        <v>41.766666665207595</v>
      </c>
      <c r="O145" s="7"/>
      <c r="P145" s="7"/>
      <c r="Q145" s="26"/>
      <c r="R145" s="26"/>
      <c r="S145" s="38">
        <f t="shared" si="53"/>
        <v>1</v>
      </c>
      <c r="T145" s="55" t="str">
        <f t="shared" si="54"/>
        <v>NorthBound</v>
      </c>
      <c r="U145" s="13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20:53:33-0600',mode:absolute,to:'2016-08-12 23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45" s="57" t="str">
        <f t="shared" si="56"/>
        <v>N</v>
      </c>
      <c r="X145" s="133">
        <f t="shared" si="46"/>
        <v>1</v>
      </c>
      <c r="Y145" s="72">
        <f t="shared" si="47"/>
        <v>4.4200000000000003E-2</v>
      </c>
      <c r="Z145" s="72">
        <f t="shared" si="57"/>
        <v>23.3309</v>
      </c>
      <c r="AA145" s="72">
        <f t="shared" si="58"/>
        <v>23.2867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59"/>
        <v>0233-12</v>
      </c>
      <c r="AE145" s="108" t="str">
        <f t="shared" si="48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145" s="105" t="str">
        <f t="shared" si="49"/>
        <v>"C:\Program Files (x86)\AstroGrep\AstroGrep.exe" /spath="%USERPROFILE%\AppData\Local\Temp\OnboardLogs" /stypes="*4031*20160813*" /stext=" 04:.+((SYSTEM_STATE.+slice.+state.+changed )|(ment ac)|(system.+state.+changed )|(\|lc)|(penalty)|(\[timeout)|(PRM\|1\|D)|(kpr)|(kdp))" /e /r /s</v>
      </c>
      <c r="AG145" s="1" t="str">
        <f t="shared" si="60"/>
        <v>EC</v>
      </c>
      <c r="AH145" s="109" t="str">
        <f t="shared" si="61"/>
        <v>"%USERPROFILE%\Documents\GitHub\eaglep3\Utilities\RefineRTDCRunTimes.py" --tripid 233-12 --locoid 4031 --swversion DE.1.0.7.0 --startMP 204:442 --initTime 2016-08-12T21:53:33 --startdatetime 2016-08-12T21:55:11 --delay 1 --endMP 204:233309 --enddatetime 2016-08-12T22:36:57 --enforcementcount 0</v>
      </c>
    </row>
    <row r="146" spans="1:34" x14ac:dyDescent="0.25">
      <c r="A146" s="42" t="s">
        <v>472</v>
      </c>
      <c r="B146" s="7">
        <v>4032</v>
      </c>
      <c r="C146" s="25" t="s">
        <v>122</v>
      </c>
      <c r="D146" s="25" t="s">
        <v>473</v>
      </c>
      <c r="E146" s="16">
        <v>42594.953379629631</v>
      </c>
      <c r="F146" s="16">
        <v>42594.954375000001</v>
      </c>
      <c r="G146" s="7">
        <v>1</v>
      </c>
      <c r="H146" s="16" t="s">
        <v>227</v>
      </c>
      <c r="I146" s="16">
        <v>42594.982893518521</v>
      </c>
      <c r="J146" s="7">
        <v>0</v>
      </c>
      <c r="K146" s="149" t="str">
        <f t="shared" si="50"/>
        <v>4031/4032</v>
      </c>
      <c r="L146" s="25" t="str">
        <f>VLOOKUP(A146,'Trips&amp;Operators'!$C$1:$E$10000,3,FALSE)</f>
        <v>STAMBAUGH</v>
      </c>
      <c r="M146" s="6">
        <f t="shared" si="51"/>
        <v>2.8518518520286307E-2</v>
      </c>
      <c r="N146" s="7">
        <f t="shared" si="52"/>
        <v>41.066666669212282</v>
      </c>
      <c r="O146" s="7"/>
      <c r="P146" s="7"/>
      <c r="Q146" s="26"/>
      <c r="R146" s="26"/>
      <c r="S146" s="38">
        <f t="shared" si="53"/>
        <v>1</v>
      </c>
      <c r="T146" s="55" t="str">
        <f t="shared" si="54"/>
        <v>Southbound</v>
      </c>
      <c r="U146" s="13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21:52:52-0600',mode:absolute,to:'2016-08-13 00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46" s="57" t="str">
        <f t="shared" si="56"/>
        <v>N</v>
      </c>
      <c r="X146" s="133">
        <f t="shared" si="46"/>
        <v>1</v>
      </c>
      <c r="Y146" s="72">
        <f t="shared" si="47"/>
        <v>23.3003</v>
      </c>
      <c r="Z146" s="72">
        <f t="shared" si="57"/>
        <v>1.6500000000000001E-2</v>
      </c>
      <c r="AA146" s="72">
        <f t="shared" si="58"/>
        <v>23.283799999999999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59"/>
        <v>0234-12</v>
      </c>
      <c r="AE146" s="108" t="str">
        <f t="shared" si="48"/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AF146" s="105" t="str">
        <f t="shared" si="49"/>
        <v>"C:\Program Files (x86)\AstroGrep\AstroGrep.exe" /spath="%USERPROFILE%\AppData\Local\Temp\OnboardLogs" /stypes="*4032*20160813*" /stext=" 05:.+((SYSTEM_STATE.+slice.+state.+changed )|(ment ac)|(system.+state.+changed )|(\|lc)|(penalty)|(\[timeout)|(PRM\|1\|D)|(kpr)|(kdp))" /e /r /s</v>
      </c>
      <c r="AG146" s="1" t="str">
        <f t="shared" si="60"/>
        <v>EC</v>
      </c>
      <c r="AH146" s="109" t="str">
        <f t="shared" si="61"/>
        <v>"%USERPROFILE%\Documents\GitHub\eaglep3\Utilities\RefineRTDCRunTimes.py" --tripid 234-12 --locoid 4032 --swversion DE.1.0.7.0 --startMP 204:233003 --initTime 2016-08-12T22:52:52 --startdatetime 2016-08-12T22:54:18 --delay 1 --endMP 204:165 --enddatetime 2016-08-12T23:35:22 --enforcementcount 0</v>
      </c>
    </row>
    <row r="147" spans="1:34" x14ac:dyDescent="0.25">
      <c r="A147" s="42" t="s">
        <v>474</v>
      </c>
      <c r="B147" s="7">
        <v>4014</v>
      </c>
      <c r="C147" s="25" t="s">
        <v>122</v>
      </c>
      <c r="D147" s="25" t="s">
        <v>220</v>
      </c>
      <c r="E147" s="16">
        <v>42594.932500000003</v>
      </c>
      <c r="F147" s="16">
        <v>42594.934062499997</v>
      </c>
      <c r="G147" s="7">
        <v>2</v>
      </c>
      <c r="H147" s="16" t="s">
        <v>475</v>
      </c>
      <c r="I147" s="16">
        <v>42594.963877314818</v>
      </c>
      <c r="J147" s="7">
        <v>0</v>
      </c>
      <c r="K147" s="149" t="str">
        <f t="shared" si="50"/>
        <v>4013/4014</v>
      </c>
      <c r="L147" s="25" t="str">
        <f>VLOOKUP(A147,'Trips&amp;Operators'!$C$1:$E$10000,3,FALSE)</f>
        <v>ISHMAEL</v>
      </c>
      <c r="M147" s="6">
        <f t="shared" si="51"/>
        <v>2.9814814821293112E-2</v>
      </c>
      <c r="N147" s="7">
        <f t="shared" si="52"/>
        <v>42.933333342662081</v>
      </c>
      <c r="O147" s="7"/>
      <c r="P147" s="7"/>
      <c r="Q147" s="26"/>
      <c r="R147" s="26"/>
      <c r="S147" s="38">
        <f t="shared" si="53"/>
        <v>1</v>
      </c>
      <c r="T147" s="55" t="str">
        <f t="shared" si="54"/>
        <v>NorthBound</v>
      </c>
      <c r="U147" s="13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21:22:48-0600',mode:absolute,to:'2016-08-13 00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47" s="57" t="str">
        <f t="shared" si="56"/>
        <v>N</v>
      </c>
      <c r="X147" s="133">
        <f t="shared" si="46"/>
        <v>1</v>
      </c>
      <c r="Y147" s="72">
        <f t="shared" si="47"/>
        <v>4.6600000000000003E-2</v>
      </c>
      <c r="Z147" s="72">
        <f t="shared" si="57"/>
        <v>23.328499999999998</v>
      </c>
      <c r="AA147" s="72">
        <f t="shared" si="58"/>
        <v>23.281899999999997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59"/>
        <v>0235-12</v>
      </c>
      <c r="AE147" s="108" t="str">
        <f t="shared" si="48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147" s="105" t="str">
        <f t="shared" si="49"/>
        <v>"C:\Program Files (x86)\AstroGrep\AstroGrep.exe" /spath="%USERPROFILE%\AppData\Local\Temp\OnboardLogs" /stypes="*4014*20160813*" /stext=" 05:.+((SYSTEM_STATE.+slice.+state.+changed )|(ment ac)|(system.+state.+changed )|(\|lc)|(penalty)|(\[timeout)|(PRM\|1\|D)|(kpr)|(kdp))" /e /r /s</v>
      </c>
      <c r="AG147" s="1" t="str">
        <f t="shared" si="60"/>
        <v>EC</v>
      </c>
      <c r="AH147" s="109" t="str">
        <f t="shared" si="61"/>
        <v>"%USERPROFILE%\Documents\GitHub\eaglep3\Utilities\RefineRTDCRunTimes.py" --tripid 235-12 --locoid 4014 --swversion DE.1.0.7.0 --startMP 204:466 --initTime 2016-08-12T22:22:48 --startdatetime 2016-08-12T22:25:03 --delay 2 --endMP 204:233285 --enddatetime 2016-08-12T23:07:59 --enforcementcount 0</v>
      </c>
    </row>
    <row r="148" spans="1:34" x14ac:dyDescent="0.25">
      <c r="A148" s="42" t="s">
        <v>476</v>
      </c>
      <c r="B148" s="7">
        <v>4013</v>
      </c>
      <c r="C148" s="25" t="s">
        <v>122</v>
      </c>
      <c r="D148" s="25" t="s">
        <v>450</v>
      </c>
      <c r="E148" s="16">
        <v>42594.97111111111</v>
      </c>
      <c r="F148" s="16">
        <v>42594.972037037034</v>
      </c>
      <c r="G148" s="7">
        <v>1</v>
      </c>
      <c r="H148" s="16" t="s">
        <v>154</v>
      </c>
      <c r="I148" s="16">
        <v>42595.003865740742</v>
      </c>
      <c r="J148" s="7">
        <v>0</v>
      </c>
      <c r="K148" s="149" t="str">
        <f t="shared" si="50"/>
        <v>4013/4014</v>
      </c>
      <c r="L148" s="25" t="str">
        <f>VLOOKUP(A148,'Trips&amp;Operators'!$C$1:$E$10000,3,FALSE)</f>
        <v>ISHMAEL</v>
      </c>
      <c r="M148" s="6">
        <f t="shared" si="51"/>
        <v>3.1828703708015382E-2</v>
      </c>
      <c r="N148" s="7">
        <f t="shared" si="52"/>
        <v>45.83333333954215</v>
      </c>
      <c r="O148" s="7"/>
      <c r="P148" s="7"/>
      <c r="Q148" s="26"/>
      <c r="R148" s="26"/>
      <c r="S148" s="38">
        <f t="shared" si="53"/>
        <v>1</v>
      </c>
      <c r="T148" s="55" t="str">
        <f t="shared" si="54"/>
        <v>Southbound</v>
      </c>
      <c r="U148" s="13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22:18:24-0600',mode:absolute,to:'2016-08-13 01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48" s="57" t="str">
        <f t="shared" si="56"/>
        <v>N</v>
      </c>
      <c r="X148" s="133">
        <f t="shared" ref="X148" si="62">VALUE(LEFT(AD148,4))-VALUE(LEFT(AD147,4))</f>
        <v>1</v>
      </c>
      <c r="Y148" s="72">
        <f t="shared" ref="Y148:Y207" si="63">RIGHT(D148,LEN(D148)-4)/10000</f>
        <v>23.297000000000001</v>
      </c>
      <c r="Z148" s="72">
        <f t="shared" si="57"/>
        <v>1.4500000000000001E-2</v>
      </c>
      <c r="AA148" s="72">
        <f t="shared" si="58"/>
        <v>23.282499999999999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59"/>
        <v>0236-12</v>
      </c>
      <c r="AE148" s="108" t="str">
        <f t="shared" si="48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148" s="105" t="str">
        <f t="shared" si="49"/>
        <v>"C:\Program Files (x86)\AstroGrep\AstroGrep.exe" /spath="%USERPROFILE%\AppData\Local\Temp\OnboardLogs" /stypes="*4013*20160813*" /stext=" 06:.+((SYSTEM_STATE.+slice.+state.+changed )|(ment ac)|(system.+state.+changed )|(\|lc)|(penalty)|(\[timeout)|(PRM\|1\|D)|(kpr)|(kdp))" /e /r /s</v>
      </c>
      <c r="AG148" s="1" t="str">
        <f t="shared" si="60"/>
        <v>EC</v>
      </c>
      <c r="AH148" s="109" t="str">
        <f t="shared" si="61"/>
        <v>"%USERPROFILE%\Documents\GitHub\eaglep3\Utilities\RefineRTDCRunTimes.py" --tripid 236-12 --locoid 4013 --swversion DE.1.0.7.0 --startMP 204:232970 --initTime 2016-08-12T23:18:24 --startdatetime 2016-08-12T23:19:44 --delay 1 --endMP 204:145 --enddatetime 2016-08-13T00:05:34 --enforcementcount 0</v>
      </c>
    </row>
    <row r="149" spans="1:34" x14ac:dyDescent="0.25">
      <c r="A149" s="42" t="s">
        <v>477</v>
      </c>
      <c r="B149" s="7">
        <v>4038</v>
      </c>
      <c r="C149" s="25" t="s">
        <v>122</v>
      </c>
      <c r="D149" s="25" t="s">
        <v>220</v>
      </c>
      <c r="E149" s="16">
        <v>42594.956053240741</v>
      </c>
      <c r="F149" s="16">
        <v>42594.957013888888</v>
      </c>
      <c r="G149" s="7">
        <v>1</v>
      </c>
      <c r="H149" s="16" t="s">
        <v>263</v>
      </c>
      <c r="I149" s="16">
        <v>42594.983090277776</v>
      </c>
      <c r="J149" s="7">
        <v>0</v>
      </c>
      <c r="K149" s="149" t="str">
        <f t="shared" si="50"/>
        <v>4037/4038</v>
      </c>
      <c r="L149" s="25" t="str">
        <f>VLOOKUP(A149,'Trips&amp;Operators'!$C$1:$E$10000,3,FALSE)</f>
        <v>LEVIN</v>
      </c>
      <c r="M149" s="6">
        <f t="shared" si="51"/>
        <v>2.6076388887304347E-2</v>
      </c>
      <c r="N149" s="7">
        <f t="shared" si="52"/>
        <v>37.54999999771826</v>
      </c>
      <c r="O149" s="7"/>
      <c r="P149" s="7"/>
      <c r="Q149" s="26"/>
      <c r="R149" s="26"/>
      <c r="S149" s="38">
        <f t="shared" si="53"/>
        <v>1</v>
      </c>
      <c r="T149" s="55" t="str">
        <f t="shared" si="54"/>
        <v>NorthBound</v>
      </c>
      <c r="U149" s="13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21:56:43-0600',mode:absolute,to:'2016-08-13 00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49" s="57" t="str">
        <f t="shared" si="56"/>
        <v>N</v>
      </c>
      <c r="X149" s="133">
        <f t="shared" ref="X149:X210" si="64">VALUE(LEFT(AD149,4))-VALUE(LEFT(AD148,4))</f>
        <v>1</v>
      </c>
      <c r="Y149" s="72">
        <f t="shared" si="63"/>
        <v>4.6600000000000003E-2</v>
      </c>
      <c r="Z149" s="72">
        <f t="shared" si="57"/>
        <v>23.334299999999999</v>
      </c>
      <c r="AA149" s="72">
        <f t="shared" si="58"/>
        <v>23.287699999999997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59"/>
        <v>0237-12</v>
      </c>
      <c r="AE149" s="108" t="str">
        <f t="shared" si="48"/>
        <v>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 &amp; 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</v>
      </c>
      <c r="AF149" s="105" t="str">
        <f t="shared" si="49"/>
        <v>"C:\Program Files (x86)\AstroGrep\AstroGrep.exe" /spath="%USERPROFILE%\AppData\Local\Temp\OnboardLogs" /stypes="*4038*20160813*" /stext=" 05:.+((SYSTEM_STATE.+slice.+state.+changed )|(ment ac)|(system.+state.+changed )|(\|lc)|(penalty)|(\[timeout)|(PRM\|1\|D)|(kpr)|(kdp))" /e /r /s</v>
      </c>
      <c r="AG149" s="1" t="str">
        <f t="shared" si="60"/>
        <v>EC</v>
      </c>
      <c r="AH149" s="109" t="str">
        <f t="shared" si="61"/>
        <v>"%USERPROFILE%\Documents\GitHub\eaglep3\Utilities\RefineRTDCRunTimes.py" --tripid 237-12 --locoid 4038 --swversion DE.1.0.7.0 --startMP 204:466 --initTime 2016-08-12T22:56:43 --startdatetime 2016-08-12T22:58:06 --delay 1 --endMP 204:233343 --enddatetime 2016-08-12T23:35:39 --enforcementcount 0</v>
      </c>
    </row>
    <row r="150" spans="1:34" x14ac:dyDescent="0.25">
      <c r="A150" s="42" t="s">
        <v>478</v>
      </c>
      <c r="B150" s="7">
        <v>4037</v>
      </c>
      <c r="C150" s="25" t="s">
        <v>122</v>
      </c>
      <c r="D150" s="25" t="s">
        <v>465</v>
      </c>
      <c r="E150" s="16">
        <v>42594.991701388892</v>
      </c>
      <c r="F150" s="16">
        <v>42594.992696759262</v>
      </c>
      <c r="G150" s="7">
        <v>1</v>
      </c>
      <c r="H150" s="16" t="s">
        <v>146</v>
      </c>
      <c r="I150" s="16">
        <v>42595.023599537039</v>
      </c>
      <c r="J150" s="7">
        <v>0</v>
      </c>
      <c r="K150" s="149" t="str">
        <f t="shared" si="50"/>
        <v>4037/4038</v>
      </c>
      <c r="L150" s="25" t="str">
        <f>VLOOKUP(A150,'Trips&amp;Operators'!$C$1:$E$10000,3,FALSE)</f>
        <v>LEVIN</v>
      </c>
      <c r="M150" s="6">
        <f t="shared" si="51"/>
        <v>3.0902777776645962E-2</v>
      </c>
      <c r="N150" s="7">
        <f t="shared" si="52"/>
        <v>44.499999998370185</v>
      </c>
      <c r="O150" s="7"/>
      <c r="P150" s="7"/>
      <c r="Q150" s="26"/>
      <c r="R150" s="26"/>
      <c r="S150" s="38">
        <f t="shared" si="53"/>
        <v>1</v>
      </c>
      <c r="T150" s="55" t="str">
        <f t="shared" si="54"/>
        <v>Southbound</v>
      </c>
      <c r="U150" s="13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22:48:03-0600',mode:absolute,to:'2016-08-13 01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50" s="57" t="str">
        <f t="shared" si="56"/>
        <v>N</v>
      </c>
      <c r="X150" s="133">
        <f t="shared" si="64"/>
        <v>1</v>
      </c>
      <c r="Y150" s="72">
        <f t="shared" si="63"/>
        <v>23.3005</v>
      </c>
      <c r="Z150" s="72">
        <f t="shared" si="57"/>
        <v>1.47E-2</v>
      </c>
      <c r="AA150" s="72">
        <f t="shared" si="58"/>
        <v>23.285799999999998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59"/>
        <v>0238-12</v>
      </c>
      <c r="AE150" s="108" t="str">
        <f t="shared" si="48"/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AF150" s="105" t="str">
        <f t="shared" si="49"/>
        <v>"C:\Program Files (x86)\AstroGrep\AstroGrep.exe" /spath="%USERPROFILE%\AppData\Local\Temp\OnboardLogs" /stypes="*4037*20160813*" /stext=" 06:.+((SYSTEM_STATE.+slice.+state.+changed )|(ment ac)|(system.+state.+changed )|(\|lc)|(penalty)|(\[timeout)|(PRM\|1\|D)|(kpr)|(kdp))" /e /r /s</v>
      </c>
      <c r="AG150" s="1" t="str">
        <f t="shared" si="60"/>
        <v>EC</v>
      </c>
      <c r="AH150" s="109" t="str">
        <f t="shared" si="61"/>
        <v>"%USERPROFILE%\Documents\GitHub\eaglep3\Utilities\RefineRTDCRunTimes.py" --tripid 238-12 --locoid 4037 --swversion DE.1.0.7.0 --startMP 204:233005 --initTime 2016-08-12T23:48:03 --startdatetime 2016-08-12T23:49:29 --delay 1 --endMP 204:147 --enddatetime 2016-08-13T00:33:59 --enforcementcount 0</v>
      </c>
    </row>
    <row r="151" spans="1:34" x14ac:dyDescent="0.25">
      <c r="A151" s="42" t="s">
        <v>479</v>
      </c>
      <c r="B151" s="7">
        <v>4029</v>
      </c>
      <c r="C151" s="25" t="s">
        <v>122</v>
      </c>
      <c r="D151" s="25" t="s">
        <v>480</v>
      </c>
      <c r="E151" s="16">
        <v>42594.962824074071</v>
      </c>
      <c r="F151" s="16">
        <v>42594.966979166667</v>
      </c>
      <c r="G151" s="7">
        <v>5</v>
      </c>
      <c r="H151" s="16" t="s">
        <v>481</v>
      </c>
      <c r="I151" s="16">
        <v>42595.004108796296</v>
      </c>
      <c r="J151" s="7">
        <v>0</v>
      </c>
      <c r="K151" s="149" t="str">
        <f t="shared" si="50"/>
        <v>4029/4030</v>
      </c>
      <c r="L151" s="25" t="str">
        <f>VLOOKUP(A151,'Trips&amp;Operators'!$C$1:$E$10000,3,FALSE)</f>
        <v>YANAI</v>
      </c>
      <c r="M151" s="6">
        <f t="shared" si="51"/>
        <v>3.7129629628907423E-2</v>
      </c>
      <c r="N151" s="7">
        <f t="shared" si="52"/>
        <v>53.46666666562669</v>
      </c>
      <c r="O151" s="7"/>
      <c r="P151" s="7"/>
      <c r="Q151" s="26"/>
      <c r="R151" s="26"/>
      <c r="S151" s="38">
        <f t="shared" si="53"/>
        <v>1</v>
      </c>
      <c r="T151" s="55" t="str">
        <f t="shared" si="54"/>
        <v>NorthBound</v>
      </c>
      <c r="U151" s="13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22:06:28-0600',mode:absolute,to:'2016-08-13 01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51" s="57" t="str">
        <f t="shared" si="56"/>
        <v>N</v>
      </c>
      <c r="X151" s="133">
        <f t="shared" si="64"/>
        <v>1</v>
      </c>
      <c r="Y151" s="72">
        <f t="shared" si="63"/>
        <v>4.7800000000000002E-2</v>
      </c>
      <c r="Z151" s="72">
        <f t="shared" si="57"/>
        <v>23.3325</v>
      </c>
      <c r="AA151" s="72">
        <f t="shared" si="58"/>
        <v>23.284700000000001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59"/>
        <v>0239-12</v>
      </c>
      <c r="AE151" s="108" t="str">
        <f t="shared" si="48"/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AF151" s="105" t="str">
        <f t="shared" si="49"/>
        <v>"C:\Program Files (x86)\AstroGrep\AstroGrep.exe" /spath="%USERPROFILE%\AppData\Local\Temp\OnboardLogs" /stypes="*4029*20160813*" /stext=" 06:.+((SYSTEM_STATE.+slice.+state.+changed )|(ment ac)|(system.+state.+changed )|(\|lc)|(penalty)|(\[timeout)|(PRM\|1\|D)|(kpr)|(kdp))" /e /r /s</v>
      </c>
      <c r="AG151" s="1" t="str">
        <f t="shared" si="60"/>
        <v>EC</v>
      </c>
      <c r="AH151" s="109" t="str">
        <f t="shared" si="61"/>
        <v>"%USERPROFILE%\Documents\GitHub\eaglep3\Utilities\RefineRTDCRunTimes.py" --tripid 239-12 --locoid 4029 --swversion DE.1.0.7.0 --startMP 204:478 --initTime 2016-08-12T23:06:28 --startdatetime 2016-08-12T23:12:27 --delay 5 --endMP 204:233325 --enddatetime 2016-08-13T00:05:55 --enforcementcount 0</v>
      </c>
    </row>
    <row r="152" spans="1:34" x14ac:dyDescent="0.25">
      <c r="A152" s="42" t="s">
        <v>482</v>
      </c>
      <c r="B152" s="7">
        <v>4030</v>
      </c>
      <c r="C152" s="25" t="s">
        <v>122</v>
      </c>
      <c r="D152" s="25" t="s">
        <v>483</v>
      </c>
      <c r="E152" s="16">
        <v>42595.013726851852</v>
      </c>
      <c r="F152" s="16">
        <v>42595.014467592591</v>
      </c>
      <c r="G152" s="7">
        <v>1</v>
      </c>
      <c r="H152" s="16" t="s">
        <v>170</v>
      </c>
      <c r="I152" s="16">
        <v>42595.044166666667</v>
      </c>
      <c r="J152" s="7">
        <v>0</v>
      </c>
      <c r="K152" s="149" t="str">
        <f t="shared" si="50"/>
        <v>4029/4030</v>
      </c>
      <c r="L152" s="25" t="str">
        <f>VLOOKUP(A152,'Trips&amp;Operators'!$C$1:$E$10000,3,FALSE)</f>
        <v>YANAI</v>
      </c>
      <c r="M152" s="6">
        <f t="shared" si="51"/>
        <v>2.9699074075324461E-2</v>
      </c>
      <c r="N152" s="7">
        <f t="shared" si="52"/>
        <v>42.766666668467224</v>
      </c>
      <c r="O152" s="7"/>
      <c r="P152" s="7"/>
      <c r="Q152" s="26"/>
      <c r="R152" s="26"/>
      <c r="S152" s="38">
        <f t="shared" si="53"/>
        <v>1</v>
      </c>
      <c r="T152" s="55" t="str">
        <f t="shared" si="54"/>
        <v>Southbound</v>
      </c>
      <c r="U152" s="13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23:19:46-0600',mode:absolute,to:'2016-08-13 02:03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52" s="57" t="str">
        <f t="shared" si="56"/>
        <v>N</v>
      </c>
      <c r="X152" s="133">
        <f t="shared" si="64"/>
        <v>1</v>
      </c>
      <c r="Y152" s="72">
        <f t="shared" si="63"/>
        <v>23.302499999999998</v>
      </c>
      <c r="Z152" s="72">
        <f t="shared" si="57"/>
        <v>1.6899999999999998E-2</v>
      </c>
      <c r="AA152" s="72">
        <f t="shared" si="58"/>
        <v>23.285599999999999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59"/>
        <v>0240-12</v>
      </c>
      <c r="AE152" s="108" t="str">
        <f t="shared" si="48"/>
        <v>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 &amp; 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</v>
      </c>
      <c r="AF152" s="105" t="str">
        <f t="shared" si="49"/>
        <v>"C:\Program Files (x86)\AstroGrep\AstroGrep.exe" /spath="%USERPROFILE%\AppData\Local\Temp\OnboardLogs" /stypes="*4030*20160813*" /stext=" 07:.+((SYSTEM_STATE.+slice.+state.+changed )|(ment ac)|(system.+state.+changed )|(\|lc)|(penalty)|(\[timeout)|(PRM\|1\|D)|(kpr)|(kdp))" /e /r /s</v>
      </c>
      <c r="AG152" s="1" t="str">
        <f t="shared" si="60"/>
        <v>EC</v>
      </c>
      <c r="AH152" s="109" t="str">
        <f t="shared" si="61"/>
        <v>"%USERPROFILE%\Documents\GitHub\eaglep3\Utilities\RefineRTDCRunTimes.py" --tripid 240-12 --locoid 4030 --swversion DE.1.0.7.0 --startMP 204:233025 --initTime 2016-08-13T00:19:46 --startdatetime 2016-08-13T00:20:50 --delay 1 --endMP 204:169 --enddatetime 2016-08-13T01:03:36 --enforcementcount 0</v>
      </c>
    </row>
    <row r="153" spans="1:34" x14ac:dyDescent="0.25">
      <c r="A153" s="42" t="s">
        <v>484</v>
      </c>
      <c r="B153" s="7">
        <v>4031</v>
      </c>
      <c r="C153" s="25" t="s">
        <v>122</v>
      </c>
      <c r="D153" s="25" t="s">
        <v>228</v>
      </c>
      <c r="E153" s="16">
        <v>42594.995844907404</v>
      </c>
      <c r="F153" s="16">
        <v>42594.996689814812</v>
      </c>
      <c r="G153" s="7">
        <v>1</v>
      </c>
      <c r="H153" s="16" t="s">
        <v>198</v>
      </c>
      <c r="I153" s="16">
        <v>42595.024976851855</v>
      </c>
      <c r="J153" s="7">
        <v>0</v>
      </c>
      <c r="K153" s="149" t="str">
        <f t="shared" si="50"/>
        <v>4031/4032</v>
      </c>
      <c r="L153" s="25" t="str">
        <f>VLOOKUP(A153,'Trips&amp;Operators'!$C$1:$E$10000,3,FALSE)</f>
        <v>STAMBAUGH</v>
      </c>
      <c r="M153" s="6">
        <f t="shared" si="51"/>
        <v>2.828703704290092E-2</v>
      </c>
      <c r="N153" s="7">
        <f t="shared" si="52"/>
        <v>40.733333341777325</v>
      </c>
      <c r="O153" s="7"/>
      <c r="P153" s="7"/>
      <c r="Q153" s="26"/>
      <c r="R153" s="26"/>
      <c r="S153" s="38">
        <f t="shared" si="53"/>
        <v>1</v>
      </c>
      <c r="T153" s="55" t="str">
        <f t="shared" si="54"/>
        <v>NorthBound</v>
      </c>
      <c r="U153" s="13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22:54:01-0600',mode:absolute,to:'2016-08-13 01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53" s="57" t="str">
        <f t="shared" si="56"/>
        <v>N</v>
      </c>
      <c r="X153" s="133">
        <f t="shared" si="64"/>
        <v>1</v>
      </c>
      <c r="Y153" s="72">
        <f t="shared" si="63"/>
        <v>4.4400000000000002E-2</v>
      </c>
      <c r="Z153" s="72">
        <f t="shared" si="57"/>
        <v>23.332000000000001</v>
      </c>
      <c r="AA153" s="72">
        <f t="shared" si="58"/>
        <v>23.287600000000001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59"/>
        <v>0241-12</v>
      </c>
      <c r="AE153" s="108" t="str">
        <f t="shared" si="48"/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AF153" s="105" t="str">
        <f t="shared" si="49"/>
        <v>"C:\Program Files (x86)\AstroGrep\AstroGrep.exe" /spath="%USERPROFILE%\AppData\Local\Temp\OnboardLogs" /stypes="*4031*20160813*" /stext=" 06:.+((SYSTEM_STATE.+slice.+state.+changed )|(ment ac)|(system.+state.+changed )|(\|lc)|(penalty)|(\[timeout)|(PRM\|1\|D)|(kpr)|(kdp))" /e /r /s</v>
      </c>
      <c r="AG153" s="1" t="str">
        <f t="shared" si="60"/>
        <v>EC</v>
      </c>
      <c r="AH153" s="109" t="str">
        <f t="shared" si="61"/>
        <v>"%USERPROFILE%\Documents\GitHub\eaglep3\Utilities\RefineRTDCRunTimes.py" --tripid 241-12 --locoid 4031 --swversion DE.1.0.7.0 --startMP 204:444 --initTime 2016-08-12T23:54:01 --startdatetime 2016-08-12T23:55:14 --delay 1 --endMP 204:233320 --enddatetime 2016-08-13T00:35:58 --enforcementcount 0</v>
      </c>
    </row>
    <row r="154" spans="1:34" x14ac:dyDescent="0.25">
      <c r="A154" s="42" t="s">
        <v>485</v>
      </c>
      <c r="B154" s="7">
        <v>4032</v>
      </c>
      <c r="C154" s="25" t="s">
        <v>122</v>
      </c>
      <c r="D154" s="25" t="s">
        <v>157</v>
      </c>
      <c r="E154" s="16">
        <v>42595.036215277774</v>
      </c>
      <c r="F154" s="16">
        <v>42595.037118055552</v>
      </c>
      <c r="G154" s="7">
        <v>1</v>
      </c>
      <c r="H154" s="16" t="s">
        <v>317</v>
      </c>
      <c r="I154" s="16">
        <v>42595.066111111111</v>
      </c>
      <c r="J154" s="7">
        <v>1</v>
      </c>
      <c r="K154" s="149" t="str">
        <f t="shared" si="50"/>
        <v>4031/4032</v>
      </c>
      <c r="L154" s="25" t="str">
        <f>VLOOKUP(A154,'Trips&amp;Operators'!$C$1:$E$10000,3,FALSE)</f>
        <v>STAMBAUGH</v>
      </c>
      <c r="M154" s="6">
        <f t="shared" si="51"/>
        <v>2.899305555911269E-2</v>
      </c>
      <c r="N154" s="7">
        <f t="shared" si="52"/>
        <v>41.750000005122274</v>
      </c>
      <c r="O154" s="7"/>
      <c r="P154" s="7"/>
      <c r="Q154" s="26"/>
      <c r="R154" s="26"/>
      <c r="S154" s="38">
        <f t="shared" si="53"/>
        <v>1</v>
      </c>
      <c r="T154" s="55" t="str">
        <f t="shared" si="54"/>
        <v>Southbound</v>
      </c>
      <c r="U154" s="13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23:52:09-0600',mode:absolute,to:'2016-08-13 02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54" s="57" t="str">
        <f t="shared" si="56"/>
        <v>N</v>
      </c>
      <c r="X154" s="133">
        <f t="shared" si="64"/>
        <v>1</v>
      </c>
      <c r="Y154" s="72">
        <f t="shared" si="63"/>
        <v>23.299600000000002</v>
      </c>
      <c r="Z154" s="72">
        <f t="shared" si="57"/>
        <v>1.54E-2</v>
      </c>
      <c r="AA154" s="72">
        <f t="shared" si="58"/>
        <v>23.284200000000002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59"/>
        <v>0242-12</v>
      </c>
      <c r="AE154" s="108" t="str">
        <f t="shared" si="48"/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AF154" s="105" t="str">
        <f t="shared" si="49"/>
        <v>"C:\Program Files (x86)\AstroGrep\AstroGrep.exe" /spath="%USERPROFILE%\AppData\Local\Temp\OnboardLogs" /stypes="*4032*20160813*" /stext=" 07:.+((SYSTEM_STATE.+slice.+state.+changed )|(ment ac)|(system.+state.+changed )|(\|lc)|(penalty)|(\[timeout)|(PRM\|1\|D)|(kpr)|(kdp))" /e /r /s</v>
      </c>
      <c r="AG154" s="1" t="str">
        <f t="shared" si="60"/>
        <v>EC</v>
      </c>
      <c r="AH154" s="109" t="str">
        <f t="shared" si="61"/>
        <v>"%USERPROFILE%\Documents\GitHub\eaglep3\Utilities\RefineRTDCRunTimes.py" --tripid 242-12 --locoid 4032 --swversion DE.1.0.7.0 --startMP 204:232996 --initTime 2016-08-13T00:52:09 --startdatetime 2016-08-13T00:53:27 --delay 1 --endMP 204:154 --enddatetime 2016-08-13T01:35:12 --enforcementcount 1</v>
      </c>
    </row>
    <row r="155" spans="1:34" x14ac:dyDescent="0.25">
      <c r="A155" s="42" t="s">
        <v>486</v>
      </c>
      <c r="B155" s="7">
        <v>4014</v>
      </c>
      <c r="C155" s="25" t="s">
        <v>122</v>
      </c>
      <c r="D155" s="25" t="s">
        <v>173</v>
      </c>
      <c r="E155" s="16">
        <v>42595.015266203707</v>
      </c>
      <c r="F155" s="16">
        <v>42595.016574074078</v>
      </c>
      <c r="G155" s="7">
        <v>1</v>
      </c>
      <c r="H155" s="16" t="s">
        <v>149</v>
      </c>
      <c r="I155" s="16">
        <v>42595.04760416667</v>
      </c>
      <c r="J155" s="7">
        <v>0</v>
      </c>
      <c r="K155" s="149" t="str">
        <f t="shared" si="50"/>
        <v>4013/4014</v>
      </c>
      <c r="L155" s="25" t="str">
        <f>VLOOKUP(A155,'Trips&amp;Operators'!$C$1:$E$10000,3,FALSE)</f>
        <v>ISHMAEL</v>
      </c>
      <c r="M155" s="6">
        <f t="shared" si="51"/>
        <v>3.1030092592118308E-2</v>
      </c>
      <c r="N155" s="7">
        <f t="shared" si="52"/>
        <v>44.683333332650363</v>
      </c>
      <c r="O155" s="7"/>
      <c r="P155" s="7"/>
      <c r="Q155" s="26"/>
      <c r="R155" s="26"/>
      <c r="S155" s="38">
        <f t="shared" si="53"/>
        <v>1</v>
      </c>
      <c r="T155" s="55" t="str">
        <f t="shared" si="54"/>
        <v>NorthBound</v>
      </c>
      <c r="U155" s="13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23:21:59-0600',mode:absolute,to:'2016-08-13 02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55" s="57" t="str">
        <f t="shared" si="56"/>
        <v>N</v>
      </c>
      <c r="X155" s="133">
        <f t="shared" si="64"/>
        <v>1</v>
      </c>
      <c r="Y155" s="72">
        <f t="shared" si="63"/>
        <v>4.3700000000000003E-2</v>
      </c>
      <c r="Z155" s="72">
        <f t="shared" si="57"/>
        <v>23.328900000000001</v>
      </c>
      <c r="AA155" s="72">
        <f t="shared" si="58"/>
        <v>23.2852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59"/>
        <v>0243-12</v>
      </c>
      <c r="AE155" s="108" t="str">
        <f t="shared" si="48"/>
        <v>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 &amp; 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</v>
      </c>
      <c r="AF155" s="105" t="str">
        <f t="shared" si="49"/>
        <v>"C:\Program Files (x86)\AstroGrep\AstroGrep.exe" /spath="%USERPROFILE%\AppData\Local\Temp\OnboardLogs" /stypes="*4014*20160813*" /stext=" 07:.+((SYSTEM_STATE.+slice.+state.+changed )|(ment ac)|(system.+state.+changed )|(\|lc)|(penalty)|(\[timeout)|(PRM\|1\|D)|(kpr)|(kdp))" /e /r /s</v>
      </c>
      <c r="AG155" s="1" t="str">
        <f t="shared" si="60"/>
        <v>EC</v>
      </c>
      <c r="AH155" s="109" t="str">
        <f t="shared" si="61"/>
        <v>"%USERPROFILE%\Documents\GitHub\eaglep3\Utilities\RefineRTDCRunTimes.py" --tripid 243-12 --locoid 4014 --swversion DE.1.0.7.0 --startMP 204:437 --initTime 2016-08-13T00:21:59 --startdatetime 2016-08-13T00:23:52 --delay 1 --endMP 204:233289 --enddatetime 2016-08-13T01:08:33 --enforcementcount 0</v>
      </c>
    </row>
    <row r="156" spans="1:34" x14ac:dyDescent="0.25">
      <c r="A156" s="42" t="s">
        <v>487</v>
      </c>
      <c r="B156" s="7">
        <v>4013</v>
      </c>
      <c r="C156" s="25" t="s">
        <v>122</v>
      </c>
      <c r="D156" s="25" t="s">
        <v>488</v>
      </c>
      <c r="E156" s="16">
        <v>42595.053229166668</v>
      </c>
      <c r="F156" s="16">
        <v>42595.057581018518</v>
      </c>
      <c r="G156" s="7">
        <v>6</v>
      </c>
      <c r="H156" s="16" t="s">
        <v>213</v>
      </c>
      <c r="I156" s="16">
        <v>42595.087789351855</v>
      </c>
      <c r="J156" s="7">
        <v>0</v>
      </c>
      <c r="K156" s="149" t="str">
        <f t="shared" si="50"/>
        <v>4013/4014</v>
      </c>
      <c r="L156" s="25" t="str">
        <f>VLOOKUP(A156,'Trips&amp;Operators'!$C$1:$E$10000,3,FALSE)</f>
        <v>ISHMAEL</v>
      </c>
      <c r="M156" s="6">
        <f t="shared" si="51"/>
        <v>3.0208333337213844E-2</v>
      </c>
      <c r="N156" s="7">
        <f t="shared" si="52"/>
        <v>43.500000005587935</v>
      </c>
      <c r="O156" s="7"/>
      <c r="P156" s="7"/>
      <c r="Q156" s="26"/>
      <c r="R156" s="26"/>
      <c r="S156" s="38">
        <f t="shared" si="53"/>
        <v>1</v>
      </c>
      <c r="T156" s="55" t="str">
        <f t="shared" si="54"/>
        <v>Southbound</v>
      </c>
      <c r="U156" s="13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https://search-rtdc-monitor-bjffxe2xuh6vdkpspy63sjmuny.us-east-1.es.amazonaws.com/_plugin/kibana/#/discover/Steve-Slow-Train-Analysis-(2080s-and-2083s)?_g=(refreshInterval:(display:Off,section:0,value:0),time:(from:'2016-08-13 00:16:39-0600',mode:absolute,to:'2016-08-13 03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56" s="57" t="str">
        <f t="shared" si="56"/>
        <v>N</v>
      </c>
      <c r="X156" s="133">
        <f t="shared" si="64"/>
        <v>1</v>
      </c>
      <c r="Y156" s="72">
        <f t="shared" si="63"/>
        <v>23.2957</v>
      </c>
      <c r="Z156" s="72">
        <f t="shared" si="57"/>
        <v>1.72E-2</v>
      </c>
      <c r="AA156" s="72">
        <f t="shared" si="58"/>
        <v>23.278500000000001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59"/>
        <v>0244-12</v>
      </c>
      <c r="AE156" s="108" t="str">
        <f t="shared" si="48"/>
        <v>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 &amp; 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</v>
      </c>
      <c r="AF156" s="105" t="str">
        <f t="shared" si="49"/>
        <v>"C:\Program Files (x86)\AstroGrep\AstroGrep.exe" /spath="%USERPROFILE%\AppData\Local\Temp\OnboardLogs" /stypes="*4013*20160813*" /stext=" 08:.+((SYSTEM_STATE.+slice.+state.+changed )|(ment ac)|(system.+state.+changed )|(\|lc)|(penalty)|(\[timeout)|(PRM\|1\|D)|(kpr)|(kdp))" /e /r /s</v>
      </c>
      <c r="AG156" s="1" t="str">
        <f t="shared" si="60"/>
        <v>EC</v>
      </c>
      <c r="AH156" s="109" t="str">
        <f t="shared" si="61"/>
        <v>"%USERPROFILE%\Documents\GitHub\eaglep3\Utilities\RefineRTDCRunTimes.py" --tripid 244-12 --locoid 4013 --swversion DE.1.0.7.0 --startMP 204:232957 --initTime 2016-08-13T01:16:39 --startdatetime 2016-08-13T01:22:55 --delay 6 --endMP 204:172 --enddatetime 2016-08-13T02:06:25 --enforcementcount 0</v>
      </c>
    </row>
    <row r="157" spans="1:34" x14ac:dyDescent="0.25">
      <c r="A157" s="42" t="s">
        <v>489</v>
      </c>
      <c r="B157" s="7">
        <v>4038</v>
      </c>
      <c r="C157" s="25" t="s">
        <v>122</v>
      </c>
      <c r="D157" s="25" t="s">
        <v>191</v>
      </c>
      <c r="E157" s="16">
        <v>42595.034444444442</v>
      </c>
      <c r="F157" s="16">
        <v>42595.035393518519</v>
      </c>
      <c r="G157" s="7">
        <v>1</v>
      </c>
      <c r="H157" s="16" t="s">
        <v>307</v>
      </c>
      <c r="I157" s="16">
        <v>42595.067523148151</v>
      </c>
      <c r="J157" s="7">
        <v>0</v>
      </c>
      <c r="K157" s="149" t="str">
        <f t="shared" si="50"/>
        <v>4037/4038</v>
      </c>
      <c r="L157" s="25" t="str">
        <f>VLOOKUP(A157,'Trips&amp;Operators'!$C$1:$E$10000,3,FALSE)</f>
        <v>LEVIN</v>
      </c>
      <c r="M157" s="6">
        <f t="shared" si="51"/>
        <v>3.2129629631526768E-2</v>
      </c>
      <c r="N157" s="7">
        <f t="shared" si="52"/>
        <v>46.266666669398546</v>
      </c>
      <c r="O157" s="7"/>
      <c r="P157" s="7"/>
      <c r="Q157" s="26"/>
      <c r="R157" s="26"/>
      <c r="S157" s="38">
        <f t="shared" si="53"/>
        <v>1</v>
      </c>
      <c r="T157" s="55" t="str">
        <f t="shared" si="54"/>
        <v>NorthBound</v>
      </c>
      <c r="U157" s="13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23:49:36-0600',mode:absolute,to:'2016-08-13 02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57" s="57" t="str">
        <f t="shared" si="56"/>
        <v>N</v>
      </c>
      <c r="X157" s="133">
        <f t="shared" si="64"/>
        <v>1</v>
      </c>
      <c r="Y157" s="72">
        <f t="shared" si="63"/>
        <v>4.5699999999999998E-2</v>
      </c>
      <c r="Z157" s="72">
        <f t="shared" si="57"/>
        <v>23.331800000000001</v>
      </c>
      <c r="AA157" s="72">
        <f t="shared" si="58"/>
        <v>23.286100000000001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59"/>
        <v>0245-12</v>
      </c>
      <c r="AE157" s="108" t="str">
        <f t="shared" si="48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157" s="105" t="str">
        <f t="shared" si="49"/>
        <v>"C:\Program Files (x86)\AstroGrep\AstroGrep.exe" /spath="%USERPROFILE%\AppData\Local\Temp\OnboardLogs" /stypes="*4038*20160813*" /stext=" 07:.+((SYSTEM_STATE.+slice.+state.+changed )|(ment ac)|(system.+state.+changed )|(\|lc)|(penalty)|(\[timeout)|(PRM\|1\|D)|(kpr)|(kdp))" /e /r /s</v>
      </c>
      <c r="AG157" s="1" t="str">
        <f t="shared" si="60"/>
        <v>EC</v>
      </c>
      <c r="AH157" s="109" t="str">
        <f t="shared" si="61"/>
        <v>"%USERPROFILE%\Documents\GitHub\eaglep3\Utilities\RefineRTDCRunTimes.py" --tripid 245-12 --locoid 4038 --swversion DE.1.0.7.0 --startMP 204:457 --initTime 2016-08-13T00:49:36 --startdatetime 2016-08-13T00:50:58 --delay 1 --endMP 204:233318 --enddatetime 2016-08-13T01:37:14 --enforcementcount 0</v>
      </c>
    </row>
    <row r="158" spans="1:34" x14ac:dyDescent="0.25">
      <c r="A158" s="42" t="s">
        <v>490</v>
      </c>
      <c r="B158" s="7">
        <v>4037</v>
      </c>
      <c r="C158" s="25" t="s">
        <v>122</v>
      </c>
      <c r="D158" s="25" t="s">
        <v>151</v>
      </c>
      <c r="E158" s="16">
        <v>42595.072523148148</v>
      </c>
      <c r="F158" s="16">
        <v>42595.07335648148</v>
      </c>
      <c r="G158" s="7">
        <v>1</v>
      </c>
      <c r="H158" s="16" t="s">
        <v>317</v>
      </c>
      <c r="I158" s="16">
        <v>42595.107893518521</v>
      </c>
      <c r="J158" s="7">
        <v>2</v>
      </c>
      <c r="K158" s="149" t="str">
        <f t="shared" si="50"/>
        <v>4037/4038</v>
      </c>
      <c r="L158" s="25" t="str">
        <f>VLOOKUP(A158,'Trips&amp;Operators'!$C$1:$E$10000,3,FALSE)</f>
        <v>LEVIN</v>
      </c>
      <c r="M158" s="6">
        <f t="shared" si="51"/>
        <v>3.4537037041445728E-2</v>
      </c>
      <c r="N158" s="7">
        <f t="shared" si="52"/>
        <v>49.733333339681849</v>
      </c>
      <c r="O158" s="7"/>
      <c r="P158" s="7"/>
      <c r="Q158" s="26"/>
      <c r="R158" s="26"/>
      <c r="S158" s="38">
        <f t="shared" si="53"/>
        <v>1</v>
      </c>
      <c r="T158" s="55" t="str">
        <f t="shared" si="54"/>
        <v>Southbound</v>
      </c>
      <c r="U158" s="13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https://search-rtdc-monitor-bjffxe2xuh6vdkpspy63sjmuny.us-east-1.es.amazonaws.com/_plugin/kibana/#/discover/Steve-Slow-Train-Analysis-(2080s-and-2083s)?_g=(refreshInterval:(display:Off,section:0,value:0),time:(from:'2016-08-13 00:44:26-0600',mode:absolute,to:'2016-08-13 03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58" s="57" t="str">
        <f t="shared" si="56"/>
        <v>N</v>
      </c>
      <c r="X158" s="133">
        <f t="shared" si="64"/>
        <v>1</v>
      </c>
      <c r="Y158" s="72">
        <f t="shared" si="63"/>
        <v>23.299399999999999</v>
      </c>
      <c r="Z158" s="72">
        <f t="shared" si="57"/>
        <v>1.54E-2</v>
      </c>
      <c r="AA158" s="72">
        <f t="shared" si="58"/>
        <v>23.283999999999999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59"/>
        <v>0246-12</v>
      </c>
      <c r="AE158" s="108" t="str">
        <f t="shared" si="48"/>
        <v>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 &amp; 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</v>
      </c>
      <c r="AF158" s="105" t="str">
        <f t="shared" si="49"/>
        <v>"C:\Program Files (x86)\AstroGrep\AstroGrep.exe" /spath="%USERPROFILE%\AppData\Local\Temp\OnboardLogs" /stypes="*4037*20160813*" /stext=" 08:.+((SYSTEM_STATE.+slice.+state.+changed )|(ment ac)|(system.+state.+changed )|(\|lc)|(penalty)|(\[timeout)|(PRM\|1\|D)|(kpr)|(kdp))" /e /r /s</v>
      </c>
      <c r="AG158" s="1" t="str">
        <f t="shared" si="60"/>
        <v>EC</v>
      </c>
      <c r="AH158" s="109" t="str">
        <f t="shared" si="61"/>
        <v>"%USERPROFILE%\Documents\GitHub\eaglep3\Utilities\RefineRTDCRunTimes.py" --tripid 246-12 --locoid 4037 --swversion DE.1.0.7.0 --startMP 204:232994 --initTime 2016-08-13T01:44:26 --startdatetime 2016-08-13T01:45:38 --delay 1 --endMP 204:154 --enddatetime 2016-08-13T02:35:22 --enforcementcount 2</v>
      </c>
    </row>
    <row r="159" spans="1:34" x14ac:dyDescent="0.25">
      <c r="A159" s="42" t="s">
        <v>534</v>
      </c>
      <c r="B159" s="7">
        <v>4041</v>
      </c>
      <c r="C159" s="25" t="s">
        <v>122</v>
      </c>
      <c r="D159" s="25" t="s">
        <v>535</v>
      </c>
      <c r="E159" s="16">
        <v>42594.207569444443</v>
      </c>
      <c r="F159" s="16">
        <v>42594.208749999998</v>
      </c>
      <c r="G159" s="7">
        <v>1</v>
      </c>
      <c r="H159" s="16" t="s">
        <v>536</v>
      </c>
      <c r="I159" s="16">
        <v>42594.227627314816</v>
      </c>
      <c r="J159" s="7">
        <v>0</v>
      </c>
      <c r="K159" s="149" t="str">
        <f t="shared" si="50"/>
        <v>4041/4042</v>
      </c>
      <c r="L159" s="25" t="str">
        <f>VLOOKUP(A159,'Trips&amp;Operators'!$C$1:$E$10000,3,FALSE)</f>
        <v>STRICKLAND</v>
      </c>
      <c r="M159" s="6">
        <f t="shared" si="51"/>
        <v>1.8877314818382729E-2</v>
      </c>
      <c r="N159" s="7">
        <f t="shared" si="52"/>
        <v>27.18333333847113</v>
      </c>
      <c r="O159" s="7"/>
      <c r="P159" s="7"/>
      <c r="Q159" s="26"/>
      <c r="R159" s="26"/>
      <c r="S159" s="38">
        <f t="shared" si="53"/>
        <v>1</v>
      </c>
      <c r="T159" s="55" t="str">
        <f t="shared" si="54"/>
        <v>Southbound</v>
      </c>
      <c r="U159" s="13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03:58:54-0600',mode:absolute,to:'2016-08-12 06:27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59" s="57" t="str">
        <f t="shared" si="56"/>
        <v>N</v>
      </c>
      <c r="X159" s="133">
        <f t="shared" si="64"/>
        <v>554</v>
      </c>
      <c r="Y159" s="72">
        <f t="shared" si="63"/>
        <v>5.8653000000000004</v>
      </c>
      <c r="Z159" s="72">
        <f t="shared" si="57"/>
        <v>6.8699999999999997E-2</v>
      </c>
      <c r="AA159" s="72">
        <f t="shared" si="58"/>
        <v>5.7966000000000006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59"/>
        <v>0800-12</v>
      </c>
      <c r="AE159" s="108" t="str">
        <f t="shared" si="48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159" s="105" t="str">
        <f t="shared" si="49"/>
        <v>"C:\Program Files (x86)\AstroGrep\AstroGrep.exe" /spath="%USERPROFILE%\AppData\Local\Temp\OnboardLogs" /stypes="*4041*20160812*" /stext=" 11:.+((SYSTEM_STATE.+slice.+state.+changed )|(ment ac)|(system.+state.+changed )|(\|lc)|(penalty)|(\[timeout)|(PRM\|1\|D)|(kpr)|(kdp))" /e /r /s</v>
      </c>
      <c r="AG159" s="1" t="str">
        <f t="shared" si="60"/>
        <v>NW</v>
      </c>
      <c r="AH159" s="109" t="str">
        <f t="shared" si="61"/>
        <v>"%USERPROFILE%\Documents\GitHub\eaglep3\Utilities\RefineRTDCRunTimes.py" --tripid 800-12 --locoid 4041 --swversion DE.1.0.7.0 --startMP 300:58653 --initTime 2016-08-12T04:58:54 --startdatetime 2016-08-12T05:00:36 --delay 1 --endMP 204:687 --enddatetime 2016-08-12T05:27:47 --enforcementcount 0</v>
      </c>
    </row>
    <row r="160" spans="1:34" x14ac:dyDescent="0.25">
      <c r="A160" s="42" t="s">
        <v>537</v>
      </c>
      <c r="B160" s="7">
        <v>4042</v>
      </c>
      <c r="C160" s="25" t="s">
        <v>122</v>
      </c>
      <c r="D160" s="25" t="s">
        <v>538</v>
      </c>
      <c r="E160" s="16">
        <v>42594.235474537039</v>
      </c>
      <c r="F160" s="16">
        <v>42594.236527777779</v>
      </c>
      <c r="G160" s="7">
        <v>1</v>
      </c>
      <c r="H160" s="16" t="s">
        <v>539</v>
      </c>
      <c r="I160" s="16">
        <v>42594.255833333336</v>
      </c>
      <c r="J160" s="7">
        <v>2</v>
      </c>
      <c r="K160" s="149" t="str">
        <f t="shared" si="50"/>
        <v>4041/4042</v>
      </c>
      <c r="L160" s="25" t="str">
        <f>VLOOKUP(A160,'Trips&amp;Operators'!$C$1:$E$10000,3,FALSE)</f>
        <v>STRICKLAND</v>
      </c>
      <c r="M160" s="6">
        <f t="shared" si="51"/>
        <v>1.9305555557366461E-2</v>
      </c>
      <c r="N160" s="7">
        <f t="shared" si="52"/>
        <v>27.800000002607703</v>
      </c>
      <c r="O160" s="7"/>
      <c r="P160" s="7"/>
      <c r="Q160" s="26"/>
      <c r="R160" s="26"/>
      <c r="S160" s="38">
        <f t="shared" si="53"/>
        <v>1</v>
      </c>
      <c r="T160" s="55" t="str">
        <f t="shared" si="54"/>
        <v>NorthBound</v>
      </c>
      <c r="U160" s="13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04:39:05-0600',mode:absolute,to:'2016-08-12 07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0" s="57" t="str">
        <f t="shared" si="56"/>
        <v>N</v>
      </c>
      <c r="X160" s="133">
        <f t="shared" si="64"/>
        <v>1</v>
      </c>
      <c r="Y160" s="72">
        <f t="shared" si="63"/>
        <v>0.10059999999999999</v>
      </c>
      <c r="Z160" s="72">
        <f t="shared" si="57"/>
        <v>5.8945999999999996</v>
      </c>
      <c r="AA160" s="72">
        <f t="shared" si="58"/>
        <v>5.7939999999999996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59"/>
        <v>0801-12</v>
      </c>
      <c r="AE160" s="108" t="str">
        <f t="shared" si="48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160" s="105" t="str">
        <f t="shared" si="49"/>
        <v>"C:\Program Files (x86)\AstroGrep\AstroGrep.exe" /spath="%USERPROFILE%\AppData\Local\Temp\OnboardLogs" /stypes="*4042*20160812*" /stext=" 12:.+((SYSTEM_STATE.+slice.+state.+changed )|(ment ac)|(system.+state.+changed )|(\|lc)|(penalty)|(\[timeout)|(PRM\|1\|D)|(kpr)|(kdp))" /e /r /s</v>
      </c>
      <c r="AG160" s="1" t="str">
        <f t="shared" si="60"/>
        <v>NW</v>
      </c>
      <c r="AH160" s="109" t="str">
        <f t="shared" si="61"/>
        <v>"%USERPROFILE%\Documents\GitHub\eaglep3\Utilities\RefineRTDCRunTimes.py" --tripid 801-12 --locoid 4042 --swversion DE.1.0.7.0 --startMP 204:1006 --initTime 2016-08-12T05:39:05 --startdatetime 2016-08-12T05:40:36 --delay 1 --endMP 300:58946 --enddatetime 2016-08-12T06:08:24 --enforcementcount 2</v>
      </c>
    </row>
    <row r="161" spans="1:34" x14ac:dyDescent="0.25">
      <c r="A161" s="42" t="s">
        <v>540</v>
      </c>
      <c r="B161" s="7">
        <v>4041</v>
      </c>
      <c r="C161" s="25" t="s">
        <v>122</v>
      </c>
      <c r="D161" s="25" t="s">
        <v>541</v>
      </c>
      <c r="E161" s="16">
        <v>42594.256574074076</v>
      </c>
      <c r="F161" s="16">
        <v>42594.257430555554</v>
      </c>
      <c r="G161" s="7">
        <v>1</v>
      </c>
      <c r="H161" s="16" t="s">
        <v>542</v>
      </c>
      <c r="I161" s="16">
        <v>42594.268564814818</v>
      </c>
      <c r="J161" s="7">
        <v>1</v>
      </c>
      <c r="K161" s="149" t="str">
        <f t="shared" si="50"/>
        <v>4041/4042</v>
      </c>
      <c r="L161" s="25" t="str">
        <f>VLOOKUP(A161,'Trips&amp;Operators'!$C$1:$E$10000,3,FALSE)</f>
        <v>STRICKLAND</v>
      </c>
      <c r="M161" s="6">
        <f t="shared" si="51"/>
        <v>1.1134259264508728E-2</v>
      </c>
      <c r="N161" s="7">
        <f t="shared" si="52"/>
        <v>16.033333340892568</v>
      </c>
      <c r="O161" s="7"/>
      <c r="P161" s="7"/>
      <c r="Q161" s="26"/>
      <c r="R161" s="26"/>
      <c r="S161" s="38">
        <f t="shared" si="53"/>
        <v>1</v>
      </c>
      <c r="T161" s="55" t="str">
        <f t="shared" si="54"/>
        <v>Southbound</v>
      </c>
      <c r="U161" s="13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05:09:28-0600',mode:absolute,to:'2016-08-12 07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1" s="57" t="str">
        <f t="shared" si="56"/>
        <v>N</v>
      </c>
      <c r="X161" s="133">
        <f t="shared" si="64"/>
        <v>1</v>
      </c>
      <c r="Y161" s="72">
        <f t="shared" si="63"/>
        <v>5.8639999999999999</v>
      </c>
      <c r="Z161" s="72">
        <f t="shared" si="57"/>
        <v>7.2599999999999998E-2</v>
      </c>
      <c r="AA161" s="72">
        <f t="shared" si="58"/>
        <v>5.7913999999999994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59"/>
        <v>0802-12</v>
      </c>
      <c r="AE161" s="108" t="str">
        <f t="shared" si="48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161" s="105" t="str">
        <f t="shared" si="49"/>
        <v>"C:\Program Files (x86)\AstroGrep\AstroGrep.exe" /spath="%USERPROFILE%\AppData\Local\Temp\OnboardLogs" /stypes="*4041*20160812*" /stext=" 12:.+((SYSTEM_STATE.+slice.+state.+changed )|(ment ac)|(system.+state.+changed )|(\|lc)|(penalty)|(\[timeout)|(PRM\|1\|D)|(kpr)|(kdp))" /e /r /s</v>
      </c>
      <c r="AG161" s="1" t="str">
        <f t="shared" si="60"/>
        <v>NW</v>
      </c>
      <c r="AH161" s="109" t="str">
        <f t="shared" si="61"/>
        <v>"%USERPROFILE%\Documents\GitHub\eaglep3\Utilities\RefineRTDCRunTimes.py" --tripid 802-12 --locoid 4041 --swversion DE.1.0.7.0 --startMP 300:58640 --initTime 2016-08-12T06:09:28 --startdatetime 2016-08-12T06:10:42 --delay 1 --endMP 204:726 --enddatetime 2016-08-12T06:26:44 --enforcementcount 1</v>
      </c>
    </row>
    <row r="162" spans="1:34" x14ac:dyDescent="0.25">
      <c r="A162" s="42" t="s">
        <v>543</v>
      </c>
      <c r="B162" s="7">
        <v>4003</v>
      </c>
      <c r="C162" s="25" t="s">
        <v>122</v>
      </c>
      <c r="D162" s="25" t="s">
        <v>544</v>
      </c>
      <c r="E162" s="16">
        <v>42594.257141203707</v>
      </c>
      <c r="F162" s="16">
        <v>42594.258113425924</v>
      </c>
      <c r="G162" s="7">
        <v>1</v>
      </c>
      <c r="H162" s="16" t="s">
        <v>545</v>
      </c>
      <c r="I162" s="16">
        <v>42594.273912037039</v>
      </c>
      <c r="J162" s="7">
        <v>0</v>
      </c>
      <c r="K162" s="149" t="str">
        <f t="shared" si="50"/>
        <v>4003/4004</v>
      </c>
      <c r="L162" s="25" t="str">
        <f>VLOOKUP(A162,'Trips&amp;Operators'!$C$1:$E$10000,3,FALSE)</f>
        <v>YORK</v>
      </c>
      <c r="M162" s="6">
        <f t="shared" si="51"/>
        <v>1.5798611115314998E-2</v>
      </c>
      <c r="N162" s="7">
        <f t="shared" si="52"/>
        <v>22.750000006053597</v>
      </c>
      <c r="O162" s="7"/>
      <c r="P162" s="7"/>
      <c r="Q162" s="26"/>
      <c r="R162" s="26"/>
      <c r="S162" s="38">
        <f t="shared" si="53"/>
        <v>1</v>
      </c>
      <c r="T162" s="55" t="str">
        <f t="shared" si="54"/>
        <v>NorthBound</v>
      </c>
      <c r="U162" s="13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05:10:17-0600',mode:absolute,to:'2016-08-12 07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62" s="57" t="str">
        <f t="shared" si="56"/>
        <v>N</v>
      </c>
      <c r="X162" s="133">
        <f t="shared" si="64"/>
        <v>1</v>
      </c>
      <c r="Y162" s="72">
        <f t="shared" si="63"/>
        <v>7.3499999999999996E-2</v>
      </c>
      <c r="Z162" s="72">
        <f t="shared" si="57"/>
        <v>5.8935000000000004</v>
      </c>
      <c r="AA162" s="72">
        <f t="shared" si="58"/>
        <v>5.82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59"/>
        <v>0803-12</v>
      </c>
      <c r="AE162" s="108" t="str">
        <f t="shared" si="48"/>
        <v>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 &amp; aws s3 cp s3://rtdc.mdm.uploadarchive/RTDC4003/2016-08-13/ "%USERPROFILE%\AppData\Local\Temp\OnboardLogs"\RTDC4003\2016-08-13 --recursive &amp; "%USERPROFILE%\Documents\GitHub\mrs-test-scripts\Headless Mode &amp; Sideloading\WalkAndUnGZ.bat" "%USERPROFILE%\AppData\Local\Temp\OnboardLogs"\RTDC4003\2016-08-13</v>
      </c>
      <c r="AF162" s="105" t="str">
        <f t="shared" si="49"/>
        <v>"C:\Program Files (x86)\AstroGrep\AstroGrep.exe" /spath="%USERPROFILE%\AppData\Local\Temp\OnboardLogs" /stypes="*4003*20160812*" /stext=" 12:.+((SYSTEM_STATE.+slice.+state.+changed )|(ment ac)|(system.+state.+changed )|(\|lc)|(penalty)|(\[timeout)|(PRM\|1\|D)|(kpr)|(kdp))" /e /r /s</v>
      </c>
      <c r="AG162" s="1" t="str">
        <f t="shared" si="60"/>
        <v>NW</v>
      </c>
      <c r="AH162" s="109" t="str">
        <f t="shared" si="61"/>
        <v>"%USERPROFILE%\Documents\GitHub\eaglep3\Utilities\RefineRTDCRunTimes.py" --tripid 803-12 --locoid 4003 --swversion DE.1.0.7.0 --startMP 204:735 --initTime 2016-08-12T06:10:17 --startdatetime 2016-08-12T06:11:41 --delay 1 --endMP 300:58935 --enddatetime 2016-08-12T06:34:26 --enforcementcount 0</v>
      </c>
    </row>
    <row r="163" spans="1:34" x14ac:dyDescent="0.25">
      <c r="A163" s="42" t="s">
        <v>546</v>
      </c>
      <c r="B163" s="7">
        <v>4004</v>
      </c>
      <c r="C163" s="25" t="s">
        <v>122</v>
      </c>
      <c r="D163" s="25" t="s">
        <v>242</v>
      </c>
      <c r="E163" s="16">
        <v>42594.274884259263</v>
      </c>
      <c r="F163" s="16">
        <v>42594.275671296295</v>
      </c>
      <c r="G163" s="7">
        <v>1</v>
      </c>
      <c r="H163" s="16" t="s">
        <v>547</v>
      </c>
      <c r="I163" s="16">
        <v>42594.289131944446</v>
      </c>
      <c r="J163" s="7">
        <v>0</v>
      </c>
      <c r="K163" s="149" t="str">
        <f t="shared" si="50"/>
        <v>4003/4004</v>
      </c>
      <c r="L163" s="25" t="str">
        <f>VLOOKUP(A163,'Trips&amp;Operators'!$C$1:$E$10000,3,FALSE)</f>
        <v>YORK</v>
      </c>
      <c r="M163" s="6">
        <f t="shared" si="51"/>
        <v>1.3460648151522037E-2</v>
      </c>
      <c r="N163" s="7">
        <f t="shared" si="52"/>
        <v>19.383333338191733</v>
      </c>
      <c r="O163" s="7"/>
      <c r="P163" s="7"/>
      <c r="Q163" s="26"/>
      <c r="R163" s="26"/>
      <c r="S163" s="38">
        <f t="shared" si="53"/>
        <v>1</v>
      </c>
      <c r="T163" s="55" t="str">
        <f t="shared" si="54"/>
        <v>Southbound</v>
      </c>
      <c r="U163" s="13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05:35:50-0600',mode:absolute,to:'2016-08-12 07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63" s="57" t="str">
        <f t="shared" si="56"/>
        <v>N</v>
      </c>
      <c r="X163" s="133">
        <f t="shared" si="64"/>
        <v>1</v>
      </c>
      <c r="Y163" s="72">
        <f t="shared" si="63"/>
        <v>5.8628</v>
      </c>
      <c r="Z163" s="72">
        <f t="shared" si="57"/>
        <v>8.1100000000000005E-2</v>
      </c>
      <c r="AA163" s="72">
        <f t="shared" si="58"/>
        <v>5.7816999999999998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59"/>
        <v>0804-12</v>
      </c>
      <c r="AE163" s="108" t="str">
        <f t="shared" si="48"/>
        <v>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 &amp; aws s3 cp s3://rtdc.mdm.uploadarchive/RTDC4004/2016-08-13/ "%USERPROFILE%\AppData\Local\Temp\OnboardLogs"\RTDC4004\2016-08-13 --recursive &amp; "%USERPROFILE%\Documents\GitHub\mrs-test-scripts\Headless Mode &amp; Sideloading\WalkAndUnGZ.bat" "%USERPROFILE%\AppData\Local\Temp\OnboardLogs"\RTDC4004\2016-08-13</v>
      </c>
      <c r="AF163" s="105" t="str">
        <f t="shared" si="49"/>
        <v>"C:\Program Files (x86)\AstroGrep\AstroGrep.exe" /spath="%USERPROFILE%\AppData\Local\Temp\OnboardLogs" /stypes="*4004*20160812*" /stext=" 12:.+((SYSTEM_STATE.+slice.+state.+changed )|(ment ac)|(system.+state.+changed )|(\|lc)|(penalty)|(\[timeout)|(PRM\|1\|D)|(kpr)|(kdp))" /e /r /s</v>
      </c>
      <c r="AG163" s="1" t="str">
        <f t="shared" si="60"/>
        <v>NW</v>
      </c>
      <c r="AH163" s="109" t="str">
        <f t="shared" si="61"/>
        <v>"%USERPROFILE%\Documents\GitHub\eaglep3\Utilities\RefineRTDCRunTimes.py" --tripid 804-12 --locoid 4004 --swversion DE.1.0.7.0 --startMP 300:58628 --initTime 2016-08-12T06:35:50 --startdatetime 2016-08-12T06:36:58 --delay 1 --endMP 204:811 --enddatetime 2016-08-12T06:56:21 --enforcementcount 0</v>
      </c>
    </row>
    <row r="164" spans="1:34" x14ac:dyDescent="0.25">
      <c r="A164" s="42" t="s">
        <v>548</v>
      </c>
      <c r="B164" s="7">
        <v>4042</v>
      </c>
      <c r="C164" s="25" t="s">
        <v>122</v>
      </c>
      <c r="D164" s="25" t="s">
        <v>549</v>
      </c>
      <c r="E164" s="16">
        <v>42594.271574074075</v>
      </c>
      <c r="F164" s="16">
        <v>42594.28087962963</v>
      </c>
      <c r="G164" s="7">
        <v>13</v>
      </c>
      <c r="H164" s="16" t="s">
        <v>550</v>
      </c>
      <c r="I164" s="16">
        <v>42594.297152777777</v>
      </c>
      <c r="J164" s="7">
        <v>2</v>
      </c>
      <c r="K164" s="149" t="str">
        <f t="shared" si="50"/>
        <v>4041/4042</v>
      </c>
      <c r="L164" s="25" t="str">
        <f>VLOOKUP(A164,'Trips&amp;Operators'!$C$1:$E$10000,3,FALSE)</f>
        <v>STRICKLAND</v>
      </c>
      <c r="M164" s="6">
        <f t="shared" si="51"/>
        <v>1.6273148146865424E-2</v>
      </c>
      <c r="N164" s="7">
        <f t="shared" si="52"/>
        <v>23.43333333148621</v>
      </c>
      <c r="O164" s="7"/>
      <c r="P164" s="7"/>
      <c r="Q164" s="26"/>
      <c r="R164" s="26"/>
      <c r="S164" s="38">
        <f t="shared" si="53"/>
        <v>1</v>
      </c>
      <c r="T164" s="55" t="str">
        <f t="shared" si="54"/>
        <v>NorthBound</v>
      </c>
      <c r="U164" s="13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05:31:04-0600',mode:absolute,to:'2016-08-12 08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4" s="57" t="str">
        <f t="shared" si="56"/>
        <v>N</v>
      </c>
      <c r="X164" s="133">
        <f t="shared" si="64"/>
        <v>1</v>
      </c>
      <c r="Y164" s="72">
        <f t="shared" si="63"/>
        <v>0.1023</v>
      </c>
      <c r="Z164" s="72">
        <f t="shared" si="57"/>
        <v>5.8864000000000001</v>
      </c>
      <c r="AA164" s="72">
        <f t="shared" si="58"/>
        <v>5.7841000000000005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59"/>
        <v>0805-12</v>
      </c>
      <c r="AE164" s="108" t="str">
        <f t="shared" si="48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164" s="105" t="str">
        <f t="shared" si="49"/>
        <v>"C:\Program Files (x86)\AstroGrep\AstroGrep.exe" /spath="%USERPROFILE%\AppData\Local\Temp\OnboardLogs" /stypes="*4042*20160812*" /stext=" 13:.+((SYSTEM_STATE.+slice.+state.+changed )|(ment ac)|(system.+state.+changed )|(\|lc)|(penalty)|(\[timeout)|(PRM\|1\|D)|(kpr)|(kdp))" /e /r /s</v>
      </c>
      <c r="AG164" s="1" t="str">
        <f t="shared" si="60"/>
        <v>NW</v>
      </c>
      <c r="AH164" s="109" t="str">
        <f t="shared" si="61"/>
        <v>"%USERPROFILE%\Documents\GitHub\eaglep3\Utilities\RefineRTDCRunTimes.py" --tripid 805-12 --locoid 4042 --swversion DE.1.0.7.0 --startMP 204:1023 --initTime 2016-08-12T06:31:04 --startdatetime 2016-08-12T06:44:28 --delay 13 --endMP 300:58864 --enddatetime 2016-08-12T07:07:54 --enforcementcount 2</v>
      </c>
    </row>
    <row r="165" spans="1:34" x14ac:dyDescent="0.25">
      <c r="A165" s="42" t="s">
        <v>551</v>
      </c>
      <c r="B165" s="7">
        <v>4041</v>
      </c>
      <c r="C165" s="25" t="s">
        <v>122</v>
      </c>
      <c r="D165" s="25" t="s">
        <v>552</v>
      </c>
      <c r="E165" s="16">
        <v>42594.298032407409</v>
      </c>
      <c r="F165" s="16">
        <v>42594.299201388887</v>
      </c>
      <c r="G165" s="7">
        <v>1</v>
      </c>
      <c r="H165" s="16" t="s">
        <v>553</v>
      </c>
      <c r="I165" s="16">
        <v>42594.301550925928</v>
      </c>
      <c r="J165" s="7">
        <v>0</v>
      </c>
      <c r="K165" s="149" t="str">
        <f t="shared" si="50"/>
        <v>4041/4042</v>
      </c>
      <c r="L165" s="25" t="str">
        <f>VLOOKUP(A165,'Trips&amp;Operators'!$C$1:$E$10000,3,FALSE)</f>
        <v>STRICKLAND</v>
      </c>
      <c r="M165" s="6">
        <f t="shared" si="51"/>
        <v>2.3495370405726135E-3</v>
      </c>
      <c r="N165" s="7"/>
      <c r="O165" s="7"/>
      <c r="P165" s="7">
        <f t="shared" si="52"/>
        <v>3.3833333384245634</v>
      </c>
      <c r="Q165" s="26"/>
      <c r="R165" s="26" t="s">
        <v>675</v>
      </c>
      <c r="S165" s="38">
        <f t="shared" si="53"/>
        <v>0</v>
      </c>
      <c r="T165" s="55" t="str">
        <f t="shared" si="54"/>
        <v>Southbound</v>
      </c>
      <c r="U165" s="13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06:09:10-0600',mode:absolute,to:'2016-08-12 08:14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5" s="57" t="str">
        <f t="shared" si="56"/>
        <v>Y</v>
      </c>
      <c r="X165" s="133">
        <f t="shared" si="64"/>
        <v>1</v>
      </c>
      <c r="Y165" s="72">
        <f t="shared" si="63"/>
        <v>5.8551000000000002</v>
      </c>
      <c r="Z165" s="72">
        <f t="shared" si="57"/>
        <v>5.7358000000000002</v>
      </c>
      <c r="AA165" s="72">
        <f t="shared" si="58"/>
        <v>0.11929999999999996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59"/>
        <v>0806-12</v>
      </c>
      <c r="AE165" s="108" t="str">
        <f t="shared" si="48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165" s="105" t="str">
        <f t="shared" si="49"/>
        <v>"C:\Program Files (x86)\AstroGrep\AstroGrep.exe" /spath="%USERPROFILE%\AppData\Local\Temp\OnboardLogs" /stypes="*4041*20160812*" /stext=" 13:.+((SYSTEM_STATE.+slice.+state.+changed )|(ment ac)|(system.+state.+changed )|(\|lc)|(penalty)|(\[timeout)|(PRM\|1\|D)|(kpr)|(kdp))" /e /r /s</v>
      </c>
      <c r="AG165" s="1" t="str">
        <f t="shared" si="60"/>
        <v>NW</v>
      </c>
      <c r="AH165" s="109" t="str">
        <f t="shared" si="61"/>
        <v>"%USERPROFILE%\Documents\GitHub\eaglep3\Utilities\RefineRTDCRunTimes.py" --tripid 806-12 --locoid 4041 --swversion DE.1.0.7.0 --startMP 300:58551 --initTime 2016-08-12T07:09:10 --startdatetime 2016-08-12T07:10:51 --delay 1 --endMP 300:57358 --enddatetime 2016-08-12T07:14:14 --enforcementcount 0</v>
      </c>
    </row>
    <row r="166" spans="1:34" x14ac:dyDescent="0.25">
      <c r="A166" s="42" t="s">
        <v>554</v>
      </c>
      <c r="B166" s="7">
        <v>4003</v>
      </c>
      <c r="C166" s="25" t="s">
        <v>122</v>
      </c>
      <c r="D166" s="25" t="s">
        <v>555</v>
      </c>
      <c r="E166" s="16">
        <v>42594.290891203702</v>
      </c>
      <c r="F166" s="16">
        <v>42594.291574074072</v>
      </c>
      <c r="G166" s="7">
        <v>0</v>
      </c>
      <c r="H166" s="16" t="s">
        <v>239</v>
      </c>
      <c r="I166" s="16">
        <v>42594.316817129627</v>
      </c>
      <c r="J166" s="7">
        <v>1</v>
      </c>
      <c r="K166" s="149" t="str">
        <f t="shared" si="50"/>
        <v>4003/4004</v>
      </c>
      <c r="L166" s="25" t="str">
        <f>VLOOKUP(A166,'Trips&amp;Operators'!$C$1:$E$10000,3,FALSE)</f>
        <v>YORK</v>
      </c>
      <c r="M166" s="6">
        <f t="shared" si="51"/>
        <v>2.5243055555620231E-2</v>
      </c>
      <c r="N166" s="7">
        <f t="shared" si="52"/>
        <v>36.350000000093132</v>
      </c>
      <c r="O166" s="7"/>
      <c r="P166" s="7"/>
      <c r="Q166" s="26"/>
      <c r="R166" s="26"/>
      <c r="S166" s="38">
        <f t="shared" si="53"/>
        <v>1</v>
      </c>
      <c r="T166" s="55" t="str">
        <f t="shared" si="54"/>
        <v>NorthBound</v>
      </c>
      <c r="U166" s="13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05:58:53-0600',mode:absolute,to:'2016-08-12 08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66" s="57" t="str">
        <f t="shared" si="56"/>
        <v>N</v>
      </c>
      <c r="X166" s="133">
        <f t="shared" si="64"/>
        <v>1</v>
      </c>
      <c r="Y166" s="72">
        <f t="shared" si="63"/>
        <v>0.11020000000000001</v>
      </c>
      <c r="Z166" s="72">
        <f t="shared" si="57"/>
        <v>5.8944000000000001</v>
      </c>
      <c r="AA166" s="72">
        <f t="shared" si="58"/>
        <v>5.7842000000000002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59"/>
        <v>0807-12</v>
      </c>
      <c r="AE166" s="108" t="str">
        <f t="shared" si="48"/>
        <v>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 &amp; aws s3 cp s3://rtdc.mdm.uploadarchive/RTDC4003/2016-08-13/ "%USERPROFILE%\AppData\Local\Temp\OnboardLogs"\RTDC4003\2016-08-13 --recursive &amp; "%USERPROFILE%\Documents\GitHub\mrs-test-scripts\Headless Mode &amp; Sideloading\WalkAndUnGZ.bat" "%USERPROFILE%\AppData\Local\Temp\OnboardLogs"\RTDC4003\2016-08-13</v>
      </c>
      <c r="AF166" s="105" t="str">
        <f t="shared" si="49"/>
        <v>"C:\Program Files (x86)\AstroGrep\AstroGrep.exe" /spath="%USERPROFILE%\AppData\Local\Temp\OnboardLogs" /stypes="*4003*20160812*" /stext=" 13:.+((SYSTEM_STATE.+slice.+state.+changed )|(ment ac)|(system.+state.+changed )|(\|lc)|(penalty)|(\[timeout)|(PRM\|1\|D)|(kpr)|(kdp))" /e /r /s</v>
      </c>
      <c r="AG166" s="1" t="str">
        <f t="shared" si="60"/>
        <v>NW</v>
      </c>
      <c r="AH166" s="109" t="str">
        <f t="shared" si="61"/>
        <v>"%USERPROFILE%\Documents\GitHub\eaglep3\Utilities\RefineRTDCRunTimes.py" --tripid 807-12 --locoid 4003 --swversion DE.1.0.7.0 --startMP 204:1102 --initTime 2016-08-12T06:58:53 --startdatetime 2016-08-12T06:59:52 --delay 0 --endMP 300:58944 --enddatetime 2016-08-12T07:36:13 --enforcementcount 1</v>
      </c>
    </row>
    <row r="167" spans="1:34" x14ac:dyDescent="0.25">
      <c r="A167" s="42" t="s">
        <v>556</v>
      </c>
      <c r="B167" s="7">
        <v>4004</v>
      </c>
      <c r="C167" s="25" t="s">
        <v>122</v>
      </c>
      <c r="D167" s="25" t="s">
        <v>240</v>
      </c>
      <c r="E167" s="16">
        <v>42594.317650462966</v>
      </c>
      <c r="F167" s="16">
        <v>42594.318449074075</v>
      </c>
      <c r="G167" s="7">
        <v>1</v>
      </c>
      <c r="H167" s="16" t="s">
        <v>557</v>
      </c>
      <c r="I167" s="16">
        <v>42594.330104166664</v>
      </c>
      <c r="J167" s="7">
        <v>0</v>
      </c>
      <c r="K167" s="149" t="str">
        <f t="shared" si="50"/>
        <v>4003/4004</v>
      </c>
      <c r="L167" s="25" t="str">
        <f>VLOOKUP(A167,'Trips&amp;Operators'!$C$1:$E$10000,3,FALSE)</f>
        <v>YORK</v>
      </c>
      <c r="M167" s="6">
        <f t="shared" si="51"/>
        <v>1.1655092588625848E-2</v>
      </c>
      <c r="N167" s="7">
        <f t="shared" si="52"/>
        <v>16.783333327621222</v>
      </c>
      <c r="O167" s="7"/>
      <c r="P167" s="7"/>
      <c r="Q167" s="26"/>
      <c r="R167" s="26"/>
      <c r="S167" s="38">
        <f t="shared" si="53"/>
        <v>1</v>
      </c>
      <c r="T167" s="55" t="str">
        <f t="shared" si="54"/>
        <v>Southbound</v>
      </c>
      <c r="U167" s="13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06:37:25-0600',mode:absolute,to:'2016-08-12 08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67" s="57" t="str">
        <f t="shared" si="56"/>
        <v>N</v>
      </c>
      <c r="X167" s="133">
        <f t="shared" si="64"/>
        <v>1</v>
      </c>
      <c r="Y167" s="72">
        <f t="shared" si="63"/>
        <v>5.8632</v>
      </c>
      <c r="Z167" s="72">
        <f t="shared" si="57"/>
        <v>8.2000000000000003E-2</v>
      </c>
      <c r="AA167" s="72">
        <f t="shared" si="58"/>
        <v>5.7812000000000001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59"/>
        <v>0808-12</v>
      </c>
      <c r="AE167" s="108" t="str">
        <f t="shared" si="48"/>
        <v>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 &amp; aws s3 cp s3://rtdc.mdm.uploadarchive/RTDC4004/2016-08-13/ "%USERPROFILE%\AppData\Local\Temp\OnboardLogs"\RTDC4004\2016-08-13 --recursive &amp; "%USERPROFILE%\Documents\GitHub\mrs-test-scripts\Headless Mode &amp; Sideloading\WalkAndUnGZ.bat" "%USERPROFILE%\AppData\Local\Temp\OnboardLogs"\RTDC4004\2016-08-13</v>
      </c>
      <c r="AF167" s="105" t="str">
        <f t="shared" si="49"/>
        <v>"C:\Program Files (x86)\AstroGrep\AstroGrep.exe" /spath="%USERPROFILE%\AppData\Local\Temp\OnboardLogs" /stypes="*4004*20160812*" /stext=" 13:.+((SYSTEM_STATE.+slice.+state.+changed )|(ment ac)|(system.+state.+changed )|(\|lc)|(penalty)|(\[timeout)|(PRM\|1\|D)|(kpr)|(kdp))" /e /r /s</v>
      </c>
      <c r="AG167" s="1" t="str">
        <f t="shared" si="60"/>
        <v>NW</v>
      </c>
      <c r="AH167" s="109" t="str">
        <f t="shared" si="61"/>
        <v>"%USERPROFILE%\Documents\GitHub\eaglep3\Utilities\RefineRTDCRunTimes.py" --tripid 808-12 --locoid 4004 --swversion DE.1.0.7.0 --startMP 300:58632 --initTime 2016-08-12T07:37:25 --startdatetime 2016-08-12T07:38:34 --delay 1 --endMP 204:820 --enddatetime 2016-08-12T07:55:21 --enforcementcount 0</v>
      </c>
    </row>
    <row r="168" spans="1:34" x14ac:dyDescent="0.25">
      <c r="A168" s="42" t="s">
        <v>558</v>
      </c>
      <c r="B168" s="7">
        <v>4042</v>
      </c>
      <c r="C168" s="25" t="s">
        <v>122</v>
      </c>
      <c r="D168" s="25" t="s">
        <v>559</v>
      </c>
      <c r="E168" s="16">
        <v>42594.324571759258</v>
      </c>
      <c r="F168" s="16">
        <v>42594.325520833336</v>
      </c>
      <c r="G168" s="7">
        <v>1</v>
      </c>
      <c r="H168" s="16" t="s">
        <v>244</v>
      </c>
      <c r="I168" s="16">
        <v>42594.339155092595</v>
      </c>
      <c r="J168" s="7">
        <v>2</v>
      </c>
      <c r="K168" s="149" t="str">
        <f t="shared" si="50"/>
        <v>4041/4042</v>
      </c>
      <c r="L168" s="25" t="str">
        <f>VLOOKUP(A168,'Trips&amp;Operators'!$C$1:$E$10000,3,FALSE)</f>
        <v>STRICKLAND</v>
      </c>
      <c r="M168" s="6">
        <f t="shared" si="51"/>
        <v>1.3634259259561077E-2</v>
      </c>
      <c r="N168" s="7">
        <f t="shared" si="52"/>
        <v>19.633333333767951</v>
      </c>
      <c r="O168" s="7"/>
      <c r="P168" s="7"/>
      <c r="Q168" s="26"/>
      <c r="R168" s="26"/>
      <c r="S168" s="38">
        <f t="shared" si="53"/>
        <v>1</v>
      </c>
      <c r="T168" s="55" t="str">
        <f t="shared" si="54"/>
        <v>NorthBound</v>
      </c>
      <c r="U168" s="13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06:47:23-0600',mode:absolute,to:'2016-08-12 09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8" s="57" t="str">
        <f t="shared" si="56"/>
        <v>N</v>
      </c>
      <c r="X168" s="133">
        <f t="shared" si="64"/>
        <v>1</v>
      </c>
      <c r="Y168" s="72">
        <f t="shared" si="63"/>
        <v>9.9000000000000005E-2</v>
      </c>
      <c r="Z168" s="72">
        <f t="shared" si="57"/>
        <v>5.8960999999999997</v>
      </c>
      <c r="AA168" s="72">
        <f t="shared" si="58"/>
        <v>5.7970999999999995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59"/>
        <v>0809-12</v>
      </c>
      <c r="AE168" s="108" t="str">
        <f t="shared" si="48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168" s="105" t="str">
        <f t="shared" si="49"/>
        <v>"C:\Program Files (x86)\AstroGrep\AstroGrep.exe" /spath="%USERPROFILE%\AppData\Local\Temp\OnboardLogs" /stypes="*4042*20160812*" /stext=" 14:.+((SYSTEM_STATE.+slice.+state.+changed )|(ment ac)|(system.+state.+changed )|(\|lc)|(penalty)|(\[timeout)|(PRM\|1\|D)|(kpr)|(kdp))" /e /r /s</v>
      </c>
      <c r="AG168" s="1" t="str">
        <f t="shared" si="60"/>
        <v>NW</v>
      </c>
      <c r="AH168" s="109" t="str">
        <f t="shared" si="61"/>
        <v>"%USERPROFILE%\Documents\GitHub\eaglep3\Utilities\RefineRTDCRunTimes.py" --tripid 809-12 --locoid 4042 --swversion DE.1.0.7.0 --startMP 204:990 --initTime 2016-08-12T07:47:23 --startdatetime 2016-08-12T07:48:45 --delay 1 --endMP 300:58961 --enddatetime 2016-08-12T08:08:23 --enforcementcount 2</v>
      </c>
    </row>
    <row r="169" spans="1:34" x14ac:dyDescent="0.25">
      <c r="A169" s="42" t="s">
        <v>560</v>
      </c>
      <c r="B169" s="7">
        <v>4041</v>
      </c>
      <c r="C169" s="25" t="s">
        <v>122</v>
      </c>
      <c r="D169" s="25" t="s">
        <v>561</v>
      </c>
      <c r="E169" s="16">
        <v>42594.340127314812</v>
      </c>
      <c r="F169" s="16">
        <v>42594.341134259259</v>
      </c>
      <c r="G169" s="7">
        <v>1</v>
      </c>
      <c r="H169" s="16" t="s">
        <v>562</v>
      </c>
      <c r="I169" s="16">
        <v>42594.352523148147</v>
      </c>
      <c r="J169" s="7">
        <v>0</v>
      </c>
      <c r="K169" s="149" t="str">
        <f t="shared" si="50"/>
        <v>4041/4042</v>
      </c>
      <c r="L169" s="25" t="str">
        <f>VLOOKUP(A169,'Trips&amp;Operators'!$C$1:$E$10000,3,FALSE)</f>
        <v>STRICKLAND</v>
      </c>
      <c r="M169" s="6">
        <f t="shared" si="51"/>
        <v>1.1388888888177462E-2</v>
      </c>
      <c r="N169" s="7">
        <f t="shared" si="52"/>
        <v>16.399999998975545</v>
      </c>
      <c r="O169" s="7"/>
      <c r="P169" s="7"/>
      <c r="Q169" s="26"/>
      <c r="R169" s="26"/>
      <c r="S169" s="38">
        <f t="shared" si="53"/>
        <v>1</v>
      </c>
      <c r="T169" s="55" t="str">
        <f t="shared" si="54"/>
        <v>Southbound</v>
      </c>
      <c r="U169" s="13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07:09:47-0600',mode:absolute,to:'2016-08-12 09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9" s="57" t="str">
        <f t="shared" si="56"/>
        <v>N</v>
      </c>
      <c r="X169" s="133">
        <f t="shared" si="64"/>
        <v>1</v>
      </c>
      <c r="Y169" s="72">
        <f t="shared" si="63"/>
        <v>5.8658000000000001</v>
      </c>
      <c r="Z169" s="72">
        <f t="shared" si="57"/>
        <v>7.7499999999999999E-2</v>
      </c>
      <c r="AA169" s="72">
        <f t="shared" si="58"/>
        <v>5.7883000000000004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59"/>
        <v>0810-12</v>
      </c>
      <c r="AE169" s="108" t="str">
        <f t="shared" si="48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169" s="105" t="str">
        <f t="shared" si="49"/>
        <v>"C:\Program Files (x86)\AstroGrep\AstroGrep.exe" /spath="%USERPROFILE%\AppData\Local\Temp\OnboardLogs" /stypes="*4041*20160812*" /stext=" 14:.+((SYSTEM_STATE.+slice.+state.+changed )|(ment ac)|(system.+state.+changed )|(\|lc)|(penalty)|(\[timeout)|(PRM\|1\|D)|(kpr)|(kdp))" /e /r /s</v>
      </c>
      <c r="AG169" s="1" t="str">
        <f t="shared" si="60"/>
        <v>NW</v>
      </c>
      <c r="AH169" s="109" t="str">
        <f t="shared" si="61"/>
        <v>"%USERPROFILE%\Documents\GitHub\eaglep3\Utilities\RefineRTDCRunTimes.py" --tripid 810-12 --locoid 4041 --swversion DE.1.0.7.0 --startMP 300:58658 --initTime 2016-08-12T08:09:47 --startdatetime 2016-08-12T08:11:14 --delay 1 --endMP 204:775 --enddatetime 2016-08-12T08:27:38 --enforcementcount 0</v>
      </c>
    </row>
    <row r="170" spans="1:34" x14ac:dyDescent="0.25">
      <c r="A170" s="42" t="s">
        <v>563</v>
      </c>
      <c r="B170" s="7">
        <v>4003</v>
      </c>
      <c r="C170" s="25" t="s">
        <v>122</v>
      </c>
      <c r="D170" s="25" t="s">
        <v>564</v>
      </c>
      <c r="E170" s="16">
        <v>42594.344699074078</v>
      </c>
      <c r="F170" s="16">
        <v>42594.345462962963</v>
      </c>
      <c r="G170" s="7">
        <v>1</v>
      </c>
      <c r="H170" s="16" t="s">
        <v>565</v>
      </c>
      <c r="I170" s="16">
        <v>42594.358240740738</v>
      </c>
      <c r="J170" s="7">
        <v>0</v>
      </c>
      <c r="K170" s="149" t="str">
        <f t="shared" si="50"/>
        <v>4003/4004</v>
      </c>
      <c r="L170" s="25" t="str">
        <f>VLOOKUP(A170,'Trips&amp;Operators'!$C$1:$E$10000,3,FALSE)</f>
        <v>YORK</v>
      </c>
      <c r="M170" s="6">
        <f t="shared" si="51"/>
        <v>1.2777777774317656E-2</v>
      </c>
      <c r="N170" s="7">
        <f t="shared" si="52"/>
        <v>18.399999995017424</v>
      </c>
      <c r="O170" s="7"/>
      <c r="P170" s="7"/>
      <c r="Q170" s="26"/>
      <c r="R170" s="26"/>
      <c r="S170" s="38">
        <f t="shared" si="53"/>
        <v>1</v>
      </c>
      <c r="T170" s="55" t="str">
        <f t="shared" si="54"/>
        <v>NorthBound</v>
      </c>
      <c r="U170" s="13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07:16:22-0600',mode:absolute,to:'2016-08-12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70" s="57" t="str">
        <f t="shared" si="56"/>
        <v>N</v>
      </c>
      <c r="X170" s="133">
        <f t="shared" si="64"/>
        <v>1</v>
      </c>
      <c r="Y170" s="72">
        <f t="shared" si="63"/>
        <v>0.1116</v>
      </c>
      <c r="Z170" s="72">
        <f t="shared" si="57"/>
        <v>5.8959999999999999</v>
      </c>
      <c r="AA170" s="72">
        <f t="shared" si="58"/>
        <v>5.7843999999999998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59"/>
        <v>0811-12</v>
      </c>
      <c r="AE170" s="108" t="str">
        <f t="shared" si="48"/>
        <v>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 &amp; aws s3 cp s3://rtdc.mdm.uploadarchive/RTDC4003/2016-08-13/ "%USERPROFILE%\AppData\Local\Temp\OnboardLogs"\RTDC4003\2016-08-13 --recursive &amp; "%USERPROFILE%\Documents\GitHub\mrs-test-scripts\Headless Mode &amp; Sideloading\WalkAndUnGZ.bat" "%USERPROFILE%\AppData\Local\Temp\OnboardLogs"\RTDC4003\2016-08-13</v>
      </c>
      <c r="AF170" s="105" t="str">
        <f t="shared" si="49"/>
        <v>"C:\Program Files (x86)\AstroGrep\AstroGrep.exe" /spath="%USERPROFILE%\AppData\Local\Temp\OnboardLogs" /stypes="*4003*20160812*" /stext=" 14:.+((SYSTEM_STATE.+slice.+state.+changed )|(ment ac)|(system.+state.+changed )|(\|lc)|(penalty)|(\[timeout)|(PRM\|1\|D)|(kpr)|(kdp))" /e /r /s</v>
      </c>
      <c r="AG170" s="1" t="str">
        <f t="shared" si="60"/>
        <v>NW</v>
      </c>
      <c r="AH170" s="109" t="str">
        <f t="shared" si="61"/>
        <v>"%USERPROFILE%\Documents\GitHub\eaglep3\Utilities\RefineRTDCRunTimes.py" --tripid 811-12 --locoid 4003 --swversion DE.1.0.7.0 --startMP 204:1116 --initTime 2016-08-12T08:16:22 --startdatetime 2016-08-12T08:17:28 --delay 1 --endMP 300:58960 --enddatetime 2016-08-12T08:35:52 --enforcementcount 0</v>
      </c>
    </row>
    <row r="171" spans="1:34" s="24" customFormat="1" x14ac:dyDescent="0.25">
      <c r="A171" s="42" t="s">
        <v>663</v>
      </c>
      <c r="B171" s="7">
        <v>4004</v>
      </c>
      <c r="C171" s="25" t="s">
        <v>122</v>
      </c>
      <c r="D171" s="25" t="s">
        <v>564</v>
      </c>
      <c r="E171" s="16">
        <v>42594.344699074078</v>
      </c>
      <c r="F171" s="16">
        <v>42594.359212962961</v>
      </c>
      <c r="G171" s="7">
        <v>1</v>
      </c>
      <c r="H171" s="16" t="s">
        <v>565</v>
      </c>
      <c r="I171" s="16">
        <v>42594.360902777778</v>
      </c>
      <c r="J171" s="7">
        <v>0</v>
      </c>
      <c r="K171" s="149" t="str">
        <f t="shared" ref="K171" si="65">IF(ISEVEN(B171),(B171-1)&amp;"/"&amp;B171,B171&amp;"/"&amp;(B171+1))</f>
        <v>4003/4004</v>
      </c>
      <c r="L171" s="25" t="str">
        <f>VLOOKUP(A171,'Trips&amp;Operators'!$C$1:$E$10000,3,FALSE)</f>
        <v>YORK</v>
      </c>
      <c r="M171" s="6">
        <f t="shared" ref="M171" si="66">I171-F171</f>
        <v>1.6898148169275373E-3</v>
      </c>
      <c r="N171" s="7"/>
      <c r="O171" s="7"/>
      <c r="P171" s="7">
        <f t="shared" si="52"/>
        <v>2.4333333363756537</v>
      </c>
      <c r="Q171" s="26"/>
      <c r="R171" s="26" t="s">
        <v>259</v>
      </c>
      <c r="S171" s="38">
        <f t="shared" ref="S171" si="67">SUM(U171:U171)/IF(AG171="EC",12,1)</f>
        <v>0</v>
      </c>
      <c r="T171" s="55" t="str">
        <f t="shared" ref="T171" si="68">IF(ISEVEN(LEFT(AD171,4)),"Southbound","NorthBound")</f>
        <v>Southbound</v>
      </c>
      <c r="U171" s="13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15" t="str">
        <f t="shared" ref="V171" si="69"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https://search-rtdc-monitor-bjffxe2xuh6vdkpspy63sjmuny.us-east-1.es.amazonaws.com/_plugin/kibana/#/discover/Steve-Slow-Train-Analysis-(2080s-and-2083s)?_g=(refreshInterval:(display:Off,section:0,value:0),time:(from:'2016-08-12 07:16:22-0600',mode:absolute,to:'2016-08-12 09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71" s="57" t="str">
        <f t="shared" ref="W171" si="70">IF(AA171&lt;IF(AG171="EC",23,5.65),"Y","N")</f>
        <v>Y</v>
      </c>
      <c r="X171" s="133">
        <f t="shared" si="64"/>
        <v>1</v>
      </c>
      <c r="Y171" s="72">
        <v>5.8959999999999999</v>
      </c>
      <c r="Z171" s="72">
        <f t="shared" ref="Z171" si="71">RIGHT(H171,LEN(H171)-4)/10000</f>
        <v>5.8959999999999999</v>
      </c>
      <c r="AA171" s="72">
        <f t="shared" ref="AA171" si="72">ABS(Z171-Y171)</f>
        <v>0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ref="AD171" si="73">IF(LEN(A171)=6,"0"&amp;A171,A171)</f>
        <v>0812-12</v>
      </c>
      <c r="AE171" s="108" t="str">
        <f t="shared" si="48"/>
        <v>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 &amp; aws s3 cp s3://rtdc.mdm.uploadarchive/RTDC4004/2016-08-13/ "%USERPROFILE%\AppData\Local\Temp\OnboardLogs"\RTDC4004\2016-08-13 --recursive &amp; "%USERPROFILE%\Documents\GitHub\mrs-test-scripts\Headless Mode &amp; Sideloading\WalkAndUnGZ.bat" "%USERPROFILE%\AppData\Local\Temp\OnboardLogs"\RTDC4004\2016-08-13</v>
      </c>
      <c r="AF171" s="105" t="str">
        <f t="shared" si="49"/>
        <v>"C:\Program Files (x86)\AstroGrep\AstroGrep.exe" /spath="%USERPROFILE%\AppData\Local\Temp\OnboardLogs" /stypes="*4004*20160812*" /stext=" 14:.+((SYSTEM_STATE.+slice.+state.+changed )|(ment ac)|(system.+state.+changed )|(\|lc)|(penalty)|(\[timeout)|(PRM\|1\|D)|(kpr)|(kdp))" /e /r /s</v>
      </c>
      <c r="AG171" s="1" t="str">
        <f t="shared" ref="AG171" si="74">IF(VALUE(LEFT(AD171,2))&lt;=2,"EC",IF(OR(VALUE(LEFT(AD171,2))=8,VALUE(LEFT(AD171,2))=18),"NW","Other"))</f>
        <v>NW</v>
      </c>
      <c r="AH171" s="109" t="str">
        <f t="shared" ref="AH171" si="75"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</f>
        <v>"%USERPROFILE%\Documents\GitHub\eaglep3\Utilities\RefineRTDCRunTimes.py" --tripid 812-12 --locoid 4004 --swversion DE.1.0.7.0 --startMP 204:1116 --initTime 2016-08-12T08:16:22 --startdatetime 2016-08-12T08:37:16 --delay 1 --endMP 300:58960 --enddatetime 2016-08-12T08:39:42 --enforcementcount 0</v>
      </c>
    </row>
    <row r="172" spans="1:34" x14ac:dyDescent="0.25">
      <c r="A172" s="42" t="s">
        <v>566</v>
      </c>
      <c r="B172" s="7">
        <v>4007</v>
      </c>
      <c r="C172" s="25" t="s">
        <v>122</v>
      </c>
      <c r="D172" s="25" t="s">
        <v>201</v>
      </c>
      <c r="E172" s="16">
        <v>42594.38453703704</v>
      </c>
      <c r="F172" s="16">
        <v>42594.385370370372</v>
      </c>
      <c r="G172" s="7">
        <v>1</v>
      </c>
      <c r="H172" s="16" t="s">
        <v>567</v>
      </c>
      <c r="I172" s="16">
        <v>42594.398865740739</v>
      </c>
      <c r="J172" s="7">
        <v>0</v>
      </c>
      <c r="K172" s="149" t="str">
        <f t="shared" si="50"/>
        <v>4007/4008</v>
      </c>
      <c r="L172" s="25" t="str">
        <f>VLOOKUP(A172,'Trips&amp;Operators'!$C$1:$E$10000,3,FALSE)</f>
        <v>YORK</v>
      </c>
      <c r="M172" s="6">
        <f t="shared" si="51"/>
        <v>1.3495370367309079E-2</v>
      </c>
      <c r="N172" s="7">
        <f t="shared" si="52"/>
        <v>19.433333328925073</v>
      </c>
      <c r="O172" s="7"/>
      <c r="P172" s="7"/>
      <c r="Q172" s="26"/>
      <c r="R172" s="26"/>
      <c r="S172" s="38">
        <f t="shared" si="53"/>
        <v>1</v>
      </c>
      <c r="T172" s="55" t="str">
        <f t="shared" si="54"/>
        <v>NorthBound</v>
      </c>
      <c r="U172" s="13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08:13:44-0600',mode:absolute,to:'2016-08-12 10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2" s="57" t="str">
        <f t="shared" si="56"/>
        <v>N</v>
      </c>
      <c r="X172" s="133">
        <f t="shared" si="64"/>
        <v>1</v>
      </c>
      <c r="Y172" s="72">
        <f t="shared" si="63"/>
        <v>9.69E-2</v>
      </c>
      <c r="Z172" s="72">
        <f t="shared" si="57"/>
        <v>5.8948</v>
      </c>
      <c r="AA172" s="72">
        <f t="shared" si="58"/>
        <v>5.7979000000000003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59"/>
        <v>0813-12</v>
      </c>
      <c r="AE172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72" s="105" t="str">
        <f t="shared" si="49"/>
        <v>"C:\Program Files (x86)\AstroGrep\AstroGrep.exe" /spath="%USERPROFILE%\AppData\Local\Temp\OnboardLogs" /stypes="*4007*20160812*" /stext=" 15:.+((SYSTEM_STATE.+slice.+state.+changed )|(ment ac)|(system.+state.+changed )|(\|lc)|(penalty)|(\[timeout)|(PRM\|1\|D)|(kpr)|(kdp))" /e /r /s</v>
      </c>
      <c r="AG172" s="1" t="str">
        <f t="shared" si="60"/>
        <v>NW</v>
      </c>
      <c r="AH172" s="109" t="str">
        <f t="shared" si="61"/>
        <v>"%USERPROFILE%\Documents\GitHub\eaglep3\Utilities\RefineRTDCRunTimes.py" --tripid 813-12 --locoid 4007 --swversion DE.1.0.7.0 --startMP 204:969 --initTime 2016-08-12T09:13:44 --startdatetime 2016-08-12T09:14:56 --delay 1 --endMP 300:58948 --enddatetime 2016-08-12T09:34:22 --enforcementcount 0</v>
      </c>
    </row>
    <row r="173" spans="1:34" x14ac:dyDescent="0.25">
      <c r="A173" s="42" t="s">
        <v>568</v>
      </c>
      <c r="B173" s="7">
        <v>4008</v>
      </c>
      <c r="C173" s="25" t="s">
        <v>122</v>
      </c>
      <c r="D173" s="25" t="s">
        <v>240</v>
      </c>
      <c r="E173" s="16">
        <v>42594.399953703702</v>
      </c>
      <c r="F173" s="16">
        <v>42594.401030092595</v>
      </c>
      <c r="G173" s="7">
        <v>1</v>
      </c>
      <c r="H173" s="16" t="s">
        <v>569</v>
      </c>
      <c r="I173" s="16">
        <v>42594.412465277775</v>
      </c>
      <c r="J173" s="7">
        <v>0</v>
      </c>
      <c r="K173" s="149" t="str">
        <f t="shared" si="50"/>
        <v>4007/4008</v>
      </c>
      <c r="L173" s="25" t="str">
        <f>VLOOKUP(A173,'Trips&amp;Operators'!$C$1:$E$10000,3,FALSE)</f>
        <v>YORK</v>
      </c>
      <c r="M173" s="6">
        <f t="shared" si="51"/>
        <v>1.1435185180744156E-2</v>
      </c>
      <c r="N173" s="7">
        <f t="shared" si="52"/>
        <v>16.466666660271585</v>
      </c>
      <c r="O173" s="7"/>
      <c r="P173" s="7"/>
      <c r="Q173" s="26"/>
      <c r="R173" s="26"/>
      <c r="S173" s="38">
        <f t="shared" si="53"/>
        <v>1</v>
      </c>
      <c r="T173" s="55" t="str">
        <f t="shared" si="54"/>
        <v>Southbound</v>
      </c>
      <c r="U173" s="13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08:35:56-0600',mode:absolute,to:'2016-08-12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3" s="57" t="str">
        <f t="shared" si="56"/>
        <v>N</v>
      </c>
      <c r="X173" s="133">
        <f t="shared" si="64"/>
        <v>1</v>
      </c>
      <c r="Y173" s="72">
        <f t="shared" si="63"/>
        <v>5.8632</v>
      </c>
      <c r="Z173" s="72">
        <f t="shared" si="57"/>
        <v>7.9699999999999993E-2</v>
      </c>
      <c r="AA173" s="72">
        <f t="shared" si="58"/>
        <v>5.7835000000000001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59"/>
        <v>0814-12</v>
      </c>
      <c r="AE173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73" s="105" t="str">
        <f t="shared" si="49"/>
        <v>"C:\Program Files (x86)\AstroGrep\AstroGrep.exe" /spath="%USERPROFILE%\AppData\Local\Temp\OnboardLogs" /stypes="*4008*20160812*" /stext=" 15:.+((SYSTEM_STATE.+slice.+state.+changed )|(ment ac)|(system.+state.+changed )|(\|lc)|(penalty)|(\[timeout)|(PRM\|1\|D)|(kpr)|(kdp))" /e /r /s</v>
      </c>
      <c r="AG173" s="1" t="str">
        <f t="shared" si="60"/>
        <v>NW</v>
      </c>
      <c r="AH173" s="109" t="str">
        <f t="shared" si="61"/>
        <v>"%USERPROFILE%\Documents\GitHub\eaglep3\Utilities\RefineRTDCRunTimes.py" --tripid 814-12 --locoid 4008 --swversion DE.1.0.7.0 --startMP 300:58632 --initTime 2016-08-12T09:35:56 --startdatetime 2016-08-12T09:37:29 --delay 1 --endMP 204:797 --enddatetime 2016-08-12T09:53:57 --enforcementcount 0</v>
      </c>
    </row>
    <row r="174" spans="1:34" x14ac:dyDescent="0.25">
      <c r="A174" s="42" t="s">
        <v>570</v>
      </c>
      <c r="B174" s="7">
        <v>4007</v>
      </c>
      <c r="C174" s="25" t="s">
        <v>122</v>
      </c>
      <c r="D174" s="25" t="s">
        <v>571</v>
      </c>
      <c r="E174" s="16">
        <v>42594.41333333333</v>
      </c>
      <c r="F174" s="16">
        <v>42594.414027777777</v>
      </c>
      <c r="G174" s="7">
        <v>0</v>
      </c>
      <c r="H174" s="16" t="s">
        <v>572</v>
      </c>
      <c r="I174" s="16">
        <v>42594.441006944442</v>
      </c>
      <c r="J174" s="7">
        <v>1</v>
      </c>
      <c r="K174" s="149" t="str">
        <f t="shared" si="50"/>
        <v>4007/4008</v>
      </c>
      <c r="L174" s="25" t="str">
        <f>VLOOKUP(A174,'Trips&amp;Operators'!$C$1:$E$10000,3,FALSE)</f>
        <v>YORK</v>
      </c>
      <c r="M174" s="6">
        <f t="shared" si="51"/>
        <v>2.6979166665114462E-2</v>
      </c>
      <c r="N174" s="7">
        <f t="shared" si="52"/>
        <v>38.849999997764826</v>
      </c>
      <c r="O174" s="7"/>
      <c r="P174" s="7"/>
      <c r="Q174" s="26"/>
      <c r="R174" s="26"/>
      <c r="S174" s="38">
        <f t="shared" si="53"/>
        <v>1</v>
      </c>
      <c r="T174" s="55" t="str">
        <f t="shared" si="54"/>
        <v>NorthBound</v>
      </c>
      <c r="U174" s="13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08:55:12-0600',mode:absolute,to:'2016-08-12 11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4" s="57" t="str">
        <f t="shared" si="56"/>
        <v>N</v>
      </c>
      <c r="X174" s="133">
        <f t="shared" si="64"/>
        <v>1</v>
      </c>
      <c r="Y174" s="72">
        <f t="shared" si="63"/>
        <v>0.10970000000000001</v>
      </c>
      <c r="Z174" s="72">
        <f t="shared" si="57"/>
        <v>5.8943000000000003</v>
      </c>
      <c r="AA174" s="72">
        <f t="shared" si="58"/>
        <v>5.7846000000000002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59"/>
        <v>0815-12</v>
      </c>
      <c r="AE174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74" s="105" t="str">
        <f t="shared" si="49"/>
        <v>"C:\Program Files (x86)\AstroGrep\AstroGrep.exe" /spath="%USERPROFILE%\AppData\Local\Temp\OnboardLogs" /stypes="*4007*20160812*" /stext=" 16:.+((SYSTEM_STATE.+slice.+state.+changed )|(ment ac)|(system.+state.+changed )|(\|lc)|(penalty)|(\[timeout)|(PRM\|1\|D)|(kpr)|(kdp))" /e /r /s</v>
      </c>
      <c r="AG174" s="1" t="str">
        <f t="shared" si="60"/>
        <v>NW</v>
      </c>
      <c r="AH174" s="109" t="str">
        <f t="shared" si="61"/>
        <v>"%USERPROFILE%\Documents\GitHub\eaglep3\Utilities\RefineRTDCRunTimes.py" --tripid 815-12 --locoid 4007 --swversion DE.1.0.7.0 --startMP 204:1097 --initTime 2016-08-12T09:55:12 --startdatetime 2016-08-12T09:56:12 --delay 0 --endMP 300:58943 --enddatetime 2016-08-12T10:35:03 --enforcementcount 1</v>
      </c>
    </row>
    <row r="175" spans="1:34" x14ac:dyDescent="0.25">
      <c r="A175" s="42" t="s">
        <v>573</v>
      </c>
      <c r="B175" s="7">
        <v>4008</v>
      </c>
      <c r="C175" s="25" t="s">
        <v>122</v>
      </c>
      <c r="D175" s="25" t="s">
        <v>243</v>
      </c>
      <c r="E175" s="16">
        <v>42594.441886574074</v>
      </c>
      <c r="F175" s="16">
        <v>42594.442615740743</v>
      </c>
      <c r="G175" s="7">
        <v>1</v>
      </c>
      <c r="H175" s="16" t="s">
        <v>574</v>
      </c>
      <c r="I175" s="16">
        <v>42594.451724537037</v>
      </c>
      <c r="J175" s="7">
        <v>0</v>
      </c>
      <c r="K175" s="149" t="str">
        <f t="shared" si="50"/>
        <v>4007/4008</v>
      </c>
      <c r="L175" s="25" t="str">
        <f>VLOOKUP(A175,'Trips&amp;Operators'!$C$1:$E$10000,3,FALSE)</f>
        <v>YORK</v>
      </c>
      <c r="M175" s="6">
        <f t="shared" si="51"/>
        <v>9.1087962937308475E-3</v>
      </c>
      <c r="N175" s="7"/>
      <c r="O175" s="7"/>
      <c r="P175" s="7">
        <f t="shared" si="52"/>
        <v>13.11666666297242</v>
      </c>
      <c r="Q175" s="26"/>
      <c r="R175" s="26" t="s">
        <v>187</v>
      </c>
      <c r="S175" s="38">
        <f t="shared" si="53"/>
        <v>0</v>
      </c>
      <c r="T175" s="55" t="str">
        <f t="shared" si="54"/>
        <v>Southbound</v>
      </c>
      <c r="U175" s="13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09:36:19-0600',mode:absolute,to:'2016-08-12 11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5" s="57" t="str">
        <f t="shared" si="56"/>
        <v>Y</v>
      </c>
      <c r="X175" s="133">
        <f t="shared" si="64"/>
        <v>1</v>
      </c>
      <c r="Y175" s="72">
        <f t="shared" si="63"/>
        <v>5.8624000000000001</v>
      </c>
      <c r="Z175" s="72">
        <f t="shared" si="57"/>
        <v>2.0047000000000001</v>
      </c>
      <c r="AA175" s="72">
        <f t="shared" si="58"/>
        <v>3.8576999999999999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59"/>
        <v>0816-12</v>
      </c>
      <c r="AE175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75" s="105" t="str">
        <f t="shared" si="49"/>
        <v>"C:\Program Files (x86)\AstroGrep\AstroGrep.exe" /spath="%USERPROFILE%\AppData\Local\Temp\OnboardLogs" /stypes="*4008*20160812*" /stext=" 16:.+((SYSTEM_STATE.+slice.+state.+changed )|(ment ac)|(system.+state.+changed )|(\|lc)|(penalty)|(\[timeout)|(PRM\|1\|D)|(kpr)|(kdp))" /e /r /s</v>
      </c>
      <c r="AG175" s="1" t="str">
        <f t="shared" si="60"/>
        <v>NW</v>
      </c>
      <c r="AH175" s="109" t="str">
        <f t="shared" si="61"/>
        <v>"%USERPROFILE%\Documents\GitHub\eaglep3\Utilities\RefineRTDCRunTimes.py" --tripid 816-12 --locoid 4008 --swversion DE.1.0.7.0 --startMP 300:58624 --initTime 2016-08-12T10:36:19 --startdatetime 2016-08-12T10:37:22 --delay 1 --endMP 300:20047 --enddatetime 2016-08-12T10:50:29 --enforcementcount 0</v>
      </c>
    </row>
    <row r="176" spans="1:34" x14ac:dyDescent="0.25">
      <c r="A176" s="42" t="s">
        <v>575</v>
      </c>
      <c r="B176" s="7">
        <v>4007</v>
      </c>
      <c r="C176" s="25" t="s">
        <v>122</v>
      </c>
      <c r="D176" s="25" t="s">
        <v>576</v>
      </c>
      <c r="E176" s="16">
        <v>42594.457083333335</v>
      </c>
      <c r="F176" s="16">
        <v>42594.457939814813</v>
      </c>
      <c r="G176" s="7">
        <v>1</v>
      </c>
      <c r="H176" s="16" t="s">
        <v>577</v>
      </c>
      <c r="I176" s="16">
        <v>42594.482199074075</v>
      </c>
      <c r="J176" s="7">
        <v>0</v>
      </c>
      <c r="K176" s="149" t="str">
        <f t="shared" si="50"/>
        <v>4007/4008</v>
      </c>
      <c r="L176" s="25" t="str">
        <f>VLOOKUP(A176,'Trips&amp;Operators'!$C$1:$E$10000,3,FALSE)</f>
        <v>YORK</v>
      </c>
      <c r="M176" s="6">
        <f t="shared" si="51"/>
        <v>2.4259259262180422E-2</v>
      </c>
      <c r="N176" s="7">
        <f t="shared" si="52"/>
        <v>34.933333337539807</v>
      </c>
      <c r="O176" s="7"/>
      <c r="P176" s="7"/>
      <c r="Q176" s="26"/>
      <c r="R176" s="26"/>
      <c r="S176" s="38">
        <f t="shared" si="53"/>
        <v>1</v>
      </c>
      <c r="T176" s="55" t="str">
        <f t="shared" si="54"/>
        <v>NorthBound</v>
      </c>
      <c r="U176" s="13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09:58:12-0600',mode:absolute,to:'2016-08-12 12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6" s="57" t="str">
        <f t="shared" si="56"/>
        <v>N</v>
      </c>
      <c r="X176" s="133">
        <f t="shared" si="64"/>
        <v>1</v>
      </c>
      <c r="Y176" s="72">
        <f t="shared" si="63"/>
        <v>0.10440000000000001</v>
      </c>
      <c r="Z176" s="72">
        <f t="shared" si="57"/>
        <v>5.8958000000000004</v>
      </c>
      <c r="AA176" s="72">
        <f t="shared" si="58"/>
        <v>5.7914000000000003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59"/>
        <v>0817-12</v>
      </c>
      <c r="AE176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76" s="105" t="str">
        <f t="shared" si="49"/>
        <v>"C:\Program Files (x86)\AstroGrep\AstroGrep.exe" /spath="%USERPROFILE%\AppData\Local\Temp\OnboardLogs" /stypes="*4007*20160812*" /stext=" 17:.+((SYSTEM_STATE.+slice.+state.+changed )|(ment ac)|(system.+state.+changed )|(\|lc)|(penalty)|(\[timeout)|(PRM\|1\|D)|(kpr)|(kdp))" /e /r /s</v>
      </c>
      <c r="AG176" s="1" t="str">
        <f t="shared" si="60"/>
        <v>NW</v>
      </c>
      <c r="AH176" s="109" t="str">
        <f t="shared" si="61"/>
        <v>"%USERPROFILE%\Documents\GitHub\eaglep3\Utilities\RefineRTDCRunTimes.py" --tripid 817-12 --locoid 4007 --swversion DE.1.0.7.0 --startMP 204:1044 --initTime 2016-08-12T10:58:12 --startdatetime 2016-08-12T10:59:26 --delay 1 --endMP 300:58958 --enddatetime 2016-08-12T11:34:22 --enforcementcount 0</v>
      </c>
    </row>
    <row r="177" spans="1:34" x14ac:dyDescent="0.25">
      <c r="A177" s="42" t="s">
        <v>578</v>
      </c>
      <c r="B177" s="7">
        <v>4008</v>
      </c>
      <c r="C177" s="25" t="s">
        <v>122</v>
      </c>
      <c r="D177" s="25" t="s">
        <v>541</v>
      </c>
      <c r="E177" s="16">
        <v>42594.483194444445</v>
      </c>
      <c r="F177" s="16">
        <v>42594.484097222223</v>
      </c>
      <c r="G177" s="7">
        <v>1</v>
      </c>
      <c r="H177" s="16" t="s">
        <v>238</v>
      </c>
      <c r="I177" s="16">
        <v>42594.495648148149</v>
      </c>
      <c r="J177" s="7">
        <v>0</v>
      </c>
      <c r="K177" s="149" t="str">
        <f t="shared" si="50"/>
        <v>4007/4008</v>
      </c>
      <c r="L177" s="25" t="str">
        <f>VLOOKUP(A177,'Trips&amp;Operators'!$C$1:$E$10000,3,FALSE)</f>
        <v>YORK</v>
      </c>
      <c r="M177" s="6">
        <f t="shared" si="51"/>
        <v>1.1550925926712807E-2</v>
      </c>
      <c r="N177" s="7">
        <f t="shared" si="52"/>
        <v>16.633333334466442</v>
      </c>
      <c r="O177" s="7"/>
      <c r="P177" s="7"/>
      <c r="Q177" s="26"/>
      <c r="R177" s="26"/>
      <c r="S177" s="38">
        <f t="shared" si="53"/>
        <v>1</v>
      </c>
      <c r="T177" s="55" t="str">
        <f t="shared" si="54"/>
        <v>Southbound</v>
      </c>
      <c r="U177" s="13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10:35:48-0600',mode:absolute,to:'2016-08-12 12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7" s="57" t="str">
        <f t="shared" si="56"/>
        <v>N</v>
      </c>
      <c r="X177" s="133">
        <f t="shared" si="64"/>
        <v>1</v>
      </c>
      <c r="Y177" s="72">
        <f t="shared" si="63"/>
        <v>5.8639999999999999</v>
      </c>
      <c r="Z177" s="72">
        <f t="shared" si="57"/>
        <v>8.3799999999999999E-2</v>
      </c>
      <c r="AA177" s="72">
        <f t="shared" si="58"/>
        <v>5.7801999999999998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59"/>
        <v>0818-12</v>
      </c>
      <c r="AE177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77" s="105" t="str">
        <f t="shared" si="49"/>
        <v>"C:\Program Files (x86)\AstroGrep\AstroGrep.exe" /spath="%USERPROFILE%\AppData\Local\Temp\OnboardLogs" /stypes="*4008*20160812*" /stext=" 17:.+((SYSTEM_STATE.+slice.+state.+changed )|(ment ac)|(system.+state.+changed )|(\|lc)|(penalty)|(\[timeout)|(PRM\|1\|D)|(kpr)|(kdp))" /e /r /s</v>
      </c>
      <c r="AG177" s="1" t="str">
        <f t="shared" si="60"/>
        <v>NW</v>
      </c>
      <c r="AH177" s="109" t="str">
        <f t="shared" si="61"/>
        <v>"%USERPROFILE%\Documents\GitHub\eaglep3\Utilities\RefineRTDCRunTimes.py" --tripid 818-12 --locoid 4008 --swversion DE.1.0.7.0 --startMP 300:58640 --initTime 2016-08-12T11:35:48 --startdatetime 2016-08-12T11:37:06 --delay 1 --endMP 204:838 --enddatetime 2016-08-12T11:53:44 --enforcementcount 0</v>
      </c>
    </row>
    <row r="178" spans="1:34" x14ac:dyDescent="0.25">
      <c r="A178" s="42" t="s">
        <v>579</v>
      </c>
      <c r="B178" s="7">
        <v>4007</v>
      </c>
      <c r="C178" s="25" t="s">
        <v>122</v>
      </c>
      <c r="D178" s="25" t="s">
        <v>241</v>
      </c>
      <c r="E178" s="16">
        <v>42594.496527777781</v>
      </c>
      <c r="F178" s="16">
        <v>42594.497349537036</v>
      </c>
      <c r="G178" s="7">
        <v>1</v>
      </c>
      <c r="H178" s="16" t="s">
        <v>244</v>
      </c>
      <c r="I178" s="16">
        <v>42594.524976851855</v>
      </c>
      <c r="J178" s="7">
        <v>1</v>
      </c>
      <c r="K178" s="149" t="str">
        <f t="shared" si="50"/>
        <v>4007/4008</v>
      </c>
      <c r="L178" s="25" t="str">
        <f>VLOOKUP(A178,'Trips&amp;Operators'!$C$1:$E$10000,3,FALSE)</f>
        <v>YORK</v>
      </c>
      <c r="M178" s="6">
        <f t="shared" si="51"/>
        <v>2.7627314819255844E-2</v>
      </c>
      <c r="N178" s="7">
        <f t="shared" si="52"/>
        <v>39.783333339728415</v>
      </c>
      <c r="O178" s="7"/>
      <c r="P178" s="7"/>
      <c r="Q178" s="26"/>
      <c r="R178" s="26"/>
      <c r="S178" s="38">
        <f t="shared" si="53"/>
        <v>1</v>
      </c>
      <c r="T178" s="55" t="str">
        <f t="shared" si="54"/>
        <v>NorthBound</v>
      </c>
      <c r="U178" s="13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10:55:00-0600',mode:absolute,to:'2016-08-12 13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78" s="57" t="str">
        <f t="shared" si="56"/>
        <v>N</v>
      </c>
      <c r="X178" s="133">
        <f t="shared" si="64"/>
        <v>1</v>
      </c>
      <c r="Y178" s="72">
        <f t="shared" si="63"/>
        <v>0.1139</v>
      </c>
      <c r="Z178" s="72">
        <f t="shared" si="57"/>
        <v>5.8960999999999997</v>
      </c>
      <c r="AA178" s="72">
        <f t="shared" si="58"/>
        <v>5.7821999999999996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59"/>
        <v>0819-12</v>
      </c>
      <c r="AE178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78" s="105" t="str">
        <f t="shared" si="49"/>
        <v>"C:\Program Files (x86)\AstroGrep\AstroGrep.exe" /spath="%USERPROFILE%\AppData\Local\Temp\OnboardLogs" /stypes="*4007*20160812*" /stext=" 18:.+((SYSTEM_STATE.+slice.+state.+changed )|(ment ac)|(system.+state.+changed )|(\|lc)|(penalty)|(\[timeout)|(PRM\|1\|D)|(kpr)|(kdp))" /e /r /s</v>
      </c>
      <c r="AG178" s="1" t="str">
        <f t="shared" si="60"/>
        <v>NW</v>
      </c>
      <c r="AH178" s="109" t="str">
        <f t="shared" si="61"/>
        <v>"%USERPROFILE%\Documents\GitHub\eaglep3\Utilities\RefineRTDCRunTimes.py" --tripid 819-12 --locoid 4007 --swversion DE.1.0.7.0 --startMP 204:1139 --initTime 2016-08-12T11:55:00 --startdatetime 2016-08-12T11:56:11 --delay 1 --endMP 300:58961 --enddatetime 2016-08-12T12:35:58 --enforcementcount 1</v>
      </c>
    </row>
    <row r="179" spans="1:34" x14ac:dyDescent="0.25">
      <c r="A179" s="42" t="s">
        <v>580</v>
      </c>
      <c r="B179" s="7">
        <v>4008</v>
      </c>
      <c r="C179" s="25" t="s">
        <v>122</v>
      </c>
      <c r="D179" s="25" t="s">
        <v>242</v>
      </c>
      <c r="E179" s="16">
        <v>42594.526493055557</v>
      </c>
      <c r="F179" s="16">
        <v>42594.527291666665</v>
      </c>
      <c r="G179" s="7">
        <v>1</v>
      </c>
      <c r="H179" s="16" t="s">
        <v>581</v>
      </c>
      <c r="I179" s="16">
        <v>42594.53802083333</v>
      </c>
      <c r="J179" s="7">
        <v>0</v>
      </c>
      <c r="K179" s="149" t="str">
        <f t="shared" si="50"/>
        <v>4007/4008</v>
      </c>
      <c r="L179" s="25" t="str">
        <f>VLOOKUP(A179,'Trips&amp;Operators'!$C$1:$E$10000,3,FALSE)</f>
        <v>YORK</v>
      </c>
      <c r="M179" s="6">
        <f t="shared" si="51"/>
        <v>1.0729166664532386E-2</v>
      </c>
      <c r="N179" s="7">
        <f t="shared" si="52"/>
        <v>15.449999996926636</v>
      </c>
      <c r="O179" s="7"/>
      <c r="P179" s="7"/>
      <c r="Q179" s="26"/>
      <c r="R179" s="26"/>
      <c r="S179" s="38">
        <f t="shared" si="53"/>
        <v>1</v>
      </c>
      <c r="T179" s="55" t="str">
        <f t="shared" si="54"/>
        <v>Southbound</v>
      </c>
      <c r="U179" s="13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11:38:09-0600',mode:absolute,to:'2016-08-12 13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79" s="57" t="str">
        <f t="shared" si="56"/>
        <v>N</v>
      </c>
      <c r="X179" s="133">
        <f t="shared" si="64"/>
        <v>1</v>
      </c>
      <c r="Y179" s="72">
        <f t="shared" si="63"/>
        <v>5.8628</v>
      </c>
      <c r="Z179" s="72">
        <f t="shared" si="57"/>
        <v>7.7299999999999994E-2</v>
      </c>
      <c r="AA179" s="72">
        <f t="shared" si="58"/>
        <v>5.7854999999999999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59"/>
        <v>0820-12</v>
      </c>
      <c r="AE179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79" s="105" t="str">
        <f t="shared" si="49"/>
        <v>"C:\Program Files (x86)\AstroGrep\AstroGrep.exe" /spath="%USERPROFILE%\AppData\Local\Temp\OnboardLogs" /stypes="*4008*20160812*" /stext=" 18:.+((SYSTEM_STATE.+slice.+state.+changed )|(ment ac)|(system.+state.+changed )|(\|lc)|(penalty)|(\[timeout)|(PRM\|1\|D)|(kpr)|(kdp))" /e /r /s</v>
      </c>
      <c r="AG179" s="1" t="str">
        <f t="shared" si="60"/>
        <v>NW</v>
      </c>
      <c r="AH179" s="109" t="str">
        <f t="shared" si="61"/>
        <v>"%USERPROFILE%\Documents\GitHub\eaglep3\Utilities\RefineRTDCRunTimes.py" --tripid 820-12 --locoid 4008 --swversion DE.1.0.7.0 --startMP 300:58628 --initTime 2016-08-12T12:38:09 --startdatetime 2016-08-12T12:39:18 --delay 1 --endMP 204:773 --enddatetime 2016-08-12T12:54:45 --enforcementcount 0</v>
      </c>
    </row>
    <row r="180" spans="1:34" x14ac:dyDescent="0.25">
      <c r="A180" s="42" t="s">
        <v>582</v>
      </c>
      <c r="B180" s="7">
        <v>4007</v>
      </c>
      <c r="C180" s="25" t="s">
        <v>122</v>
      </c>
      <c r="D180" s="25" t="s">
        <v>583</v>
      </c>
      <c r="E180" s="16">
        <v>42594.548032407409</v>
      </c>
      <c r="F180" s="16">
        <v>42594.549039351848</v>
      </c>
      <c r="G180" s="7">
        <v>1</v>
      </c>
      <c r="H180" s="16" t="s">
        <v>584</v>
      </c>
      <c r="I180" s="16">
        <v>42594.565763888888</v>
      </c>
      <c r="J180" s="7">
        <v>0</v>
      </c>
      <c r="K180" s="149" t="str">
        <f t="shared" si="50"/>
        <v>4007/4008</v>
      </c>
      <c r="L180" s="25" t="str">
        <f>VLOOKUP(A180,'Trips&amp;Operators'!$C$1:$E$10000,3,FALSE)</f>
        <v>HELVIE</v>
      </c>
      <c r="M180" s="6">
        <f t="shared" si="51"/>
        <v>1.672453703940846E-2</v>
      </c>
      <c r="N180" s="7">
        <f t="shared" si="52"/>
        <v>24.083333336748183</v>
      </c>
      <c r="O180" s="7"/>
      <c r="P180" s="7"/>
      <c r="Q180" s="26"/>
      <c r="R180" s="26"/>
      <c r="S180" s="38">
        <f t="shared" si="53"/>
        <v>1</v>
      </c>
      <c r="T180" s="55" t="str">
        <f t="shared" si="54"/>
        <v>NorthBound</v>
      </c>
      <c r="U180" s="13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12:09:10-0600',mode:absolute,to:'2016-08-12 14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0" s="57" t="str">
        <f t="shared" si="56"/>
        <v>N</v>
      </c>
      <c r="X180" s="133">
        <f t="shared" si="64"/>
        <v>1</v>
      </c>
      <c r="Y180" s="72">
        <f t="shared" si="63"/>
        <v>0.1074</v>
      </c>
      <c r="Z180" s="72">
        <f t="shared" si="57"/>
        <v>5.8949999999999996</v>
      </c>
      <c r="AA180" s="72">
        <f t="shared" si="58"/>
        <v>5.7875999999999994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59"/>
        <v>0821-12</v>
      </c>
      <c r="AE180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80" s="105" t="str">
        <f t="shared" si="49"/>
        <v>"C:\Program Files (x86)\AstroGrep\AstroGrep.exe" /spath="%USERPROFILE%\AppData\Local\Temp\OnboardLogs" /stypes="*4007*20160812*" /stext=" 19:.+((SYSTEM_STATE.+slice.+state.+changed )|(ment ac)|(system.+state.+changed )|(\|lc)|(penalty)|(\[timeout)|(PRM\|1\|D)|(kpr)|(kdp))" /e /r /s</v>
      </c>
      <c r="AG180" s="1" t="str">
        <f t="shared" si="60"/>
        <v>NW</v>
      </c>
      <c r="AH180" s="109" t="str">
        <f t="shared" si="61"/>
        <v>"%USERPROFILE%\Documents\GitHub\eaglep3\Utilities\RefineRTDCRunTimes.py" --tripid 821-12 --locoid 4007 --swversion DE.1.0.7.0 --startMP 204:1074 --initTime 2016-08-12T13:09:10 --startdatetime 2016-08-12T13:10:37 --delay 1 --endMP 300:58950 --enddatetime 2016-08-12T13:34:42 --enforcementcount 0</v>
      </c>
    </row>
    <row r="181" spans="1:34" x14ac:dyDescent="0.25">
      <c r="A181" s="42" t="s">
        <v>585</v>
      </c>
      <c r="B181" s="7">
        <v>4008</v>
      </c>
      <c r="C181" s="25" t="s">
        <v>122</v>
      </c>
      <c r="D181" s="25" t="s">
        <v>237</v>
      </c>
      <c r="E181" s="16">
        <v>42594.566655092596</v>
      </c>
      <c r="F181" s="16">
        <v>42594.56753472222</v>
      </c>
      <c r="G181" s="7">
        <v>1</v>
      </c>
      <c r="H181" s="16" t="s">
        <v>586</v>
      </c>
      <c r="I181" s="16">
        <v>42594.579861111109</v>
      </c>
      <c r="J181" s="7">
        <v>0</v>
      </c>
      <c r="K181" s="149" t="str">
        <f t="shared" si="50"/>
        <v>4007/4008</v>
      </c>
      <c r="L181" s="25" t="str">
        <f>VLOOKUP(A181,'Trips&amp;Operators'!$C$1:$E$10000,3,FALSE)</f>
        <v>HELVIE</v>
      </c>
      <c r="M181" s="6">
        <f t="shared" si="51"/>
        <v>1.2326388889050577E-2</v>
      </c>
      <c r="N181" s="7">
        <f t="shared" si="52"/>
        <v>17.750000000232831</v>
      </c>
      <c r="O181" s="7"/>
      <c r="P181" s="7"/>
      <c r="Q181" s="26"/>
      <c r="R181" s="26"/>
      <c r="S181" s="38">
        <f t="shared" si="53"/>
        <v>1</v>
      </c>
      <c r="T181" s="55" t="str">
        <f t="shared" si="54"/>
        <v>Southbound</v>
      </c>
      <c r="U181" s="13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12:35:59-0600',mode:absolute,to:'2016-08-12 14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1" s="57" t="str">
        <f t="shared" si="56"/>
        <v>N</v>
      </c>
      <c r="X181" s="133">
        <f t="shared" si="64"/>
        <v>1</v>
      </c>
      <c r="Y181" s="72">
        <f t="shared" si="63"/>
        <v>5.8640999999999996</v>
      </c>
      <c r="Z181" s="72">
        <f t="shared" si="57"/>
        <v>8.3400000000000002E-2</v>
      </c>
      <c r="AA181" s="72">
        <f t="shared" si="58"/>
        <v>5.7806999999999995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59"/>
        <v>0822-12</v>
      </c>
      <c r="AE181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81" s="105" t="str">
        <f t="shared" si="49"/>
        <v>"C:\Program Files (x86)\AstroGrep\AstroGrep.exe" /spath="%USERPROFILE%\AppData\Local\Temp\OnboardLogs" /stypes="*4008*20160812*" /stext=" 19:.+((SYSTEM_STATE.+slice.+state.+changed )|(ment ac)|(system.+state.+changed )|(\|lc)|(penalty)|(\[timeout)|(PRM\|1\|D)|(kpr)|(kdp))" /e /r /s</v>
      </c>
      <c r="AG181" s="1" t="str">
        <f t="shared" si="60"/>
        <v>NW</v>
      </c>
      <c r="AH181" s="109" t="str">
        <f t="shared" si="61"/>
        <v>"%USERPROFILE%\Documents\GitHub\eaglep3\Utilities\RefineRTDCRunTimes.py" --tripid 822-12 --locoid 4008 --swversion DE.1.0.7.0 --startMP 300:58641 --initTime 2016-08-12T13:35:59 --startdatetime 2016-08-12T13:37:15 --delay 1 --endMP 204:834 --enddatetime 2016-08-12T13:55:00 --enforcementcount 0</v>
      </c>
    </row>
    <row r="182" spans="1:34" x14ac:dyDescent="0.25">
      <c r="A182" s="42" t="s">
        <v>587</v>
      </c>
      <c r="B182" s="7">
        <v>4007</v>
      </c>
      <c r="C182" s="25" t="s">
        <v>122</v>
      </c>
      <c r="D182" s="25" t="s">
        <v>564</v>
      </c>
      <c r="E182" s="16">
        <v>42594.593275462961</v>
      </c>
      <c r="F182" s="16">
        <v>42594.594699074078</v>
      </c>
      <c r="G182" s="7">
        <v>2</v>
      </c>
      <c r="H182" s="16" t="s">
        <v>588</v>
      </c>
      <c r="I182" s="16">
        <v>42594.608067129629</v>
      </c>
      <c r="J182" s="7">
        <v>1</v>
      </c>
      <c r="K182" s="149" t="str">
        <f t="shared" si="50"/>
        <v>4007/4008</v>
      </c>
      <c r="L182" s="25" t="str">
        <f>VLOOKUP(A182,'Trips&amp;Operators'!$C$1:$E$10000,3,FALSE)</f>
        <v>HELVIE</v>
      </c>
      <c r="M182" s="6">
        <f t="shared" si="51"/>
        <v>1.3368055551836733E-2</v>
      </c>
      <c r="N182" s="7">
        <f t="shared" si="52"/>
        <v>19.249999994644895</v>
      </c>
      <c r="O182" s="7"/>
      <c r="P182" s="7"/>
      <c r="Q182" s="26"/>
      <c r="R182" s="26"/>
      <c r="S182" s="38">
        <f t="shared" si="53"/>
        <v>1</v>
      </c>
      <c r="T182" s="55" t="str">
        <f t="shared" si="54"/>
        <v>NorthBound</v>
      </c>
      <c r="U182" s="13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13:14:19-0600',mode:absolute,to:'2016-08-12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2" s="57" t="str">
        <f t="shared" si="56"/>
        <v>N</v>
      </c>
      <c r="X182" s="133">
        <f t="shared" si="64"/>
        <v>1</v>
      </c>
      <c r="Y182" s="72">
        <f t="shared" si="63"/>
        <v>0.1116</v>
      </c>
      <c r="Z182" s="72">
        <f t="shared" si="57"/>
        <v>5.8917999999999999</v>
      </c>
      <c r="AA182" s="72">
        <f t="shared" si="58"/>
        <v>5.7801999999999998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59"/>
        <v>0823-12</v>
      </c>
      <c r="AE182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82" s="105" t="str">
        <f t="shared" si="49"/>
        <v>"C:\Program Files (x86)\AstroGrep\AstroGrep.exe" /spath="%USERPROFILE%\AppData\Local\Temp\OnboardLogs" /stypes="*4007*20160812*" /stext=" 20:.+((SYSTEM_STATE.+slice.+state.+changed )|(ment ac)|(system.+state.+changed )|(\|lc)|(penalty)|(\[timeout)|(PRM\|1\|D)|(kpr)|(kdp))" /e /r /s</v>
      </c>
      <c r="AG182" s="1" t="str">
        <f t="shared" si="60"/>
        <v>NW</v>
      </c>
      <c r="AH182" s="109" t="str">
        <f t="shared" si="61"/>
        <v>"%USERPROFILE%\Documents\GitHub\eaglep3\Utilities\RefineRTDCRunTimes.py" --tripid 823-12 --locoid 4007 --swversion DE.1.0.7.0 --startMP 204:1116 --initTime 2016-08-12T14:14:19 --startdatetime 2016-08-12T14:16:22 --delay 2 --endMP 300:58918 --enddatetime 2016-08-12T14:35:37 --enforcementcount 1</v>
      </c>
    </row>
    <row r="183" spans="1:34" x14ac:dyDescent="0.25">
      <c r="A183" s="42" t="s">
        <v>589</v>
      </c>
      <c r="B183" s="7">
        <v>4008</v>
      </c>
      <c r="C183" s="25" t="s">
        <v>122</v>
      </c>
      <c r="D183" s="25" t="s">
        <v>590</v>
      </c>
      <c r="E183" s="16">
        <v>42594.609247685185</v>
      </c>
      <c r="F183" s="16">
        <v>42594.609988425924</v>
      </c>
      <c r="G183" s="7">
        <v>1</v>
      </c>
      <c r="H183" s="16" t="s">
        <v>591</v>
      </c>
      <c r="I183" s="16">
        <v>42594.621180555558</v>
      </c>
      <c r="J183" s="7">
        <v>0</v>
      </c>
      <c r="K183" s="149" t="str">
        <f t="shared" si="50"/>
        <v>4007/4008</v>
      </c>
      <c r="L183" s="25" t="str">
        <f>VLOOKUP(A183,'Trips&amp;Operators'!$C$1:$E$10000,3,FALSE)</f>
        <v>HELVIE</v>
      </c>
      <c r="M183" s="6">
        <f t="shared" si="51"/>
        <v>1.1192129633855075E-2</v>
      </c>
      <c r="N183" s="7">
        <f t="shared" si="52"/>
        <v>16.116666672751307</v>
      </c>
      <c r="O183" s="7"/>
      <c r="P183" s="7"/>
      <c r="Q183" s="26"/>
      <c r="R183" s="26"/>
      <c r="S183" s="38">
        <f t="shared" si="53"/>
        <v>1</v>
      </c>
      <c r="T183" s="55" t="str">
        <f t="shared" si="54"/>
        <v>Southbound</v>
      </c>
      <c r="U183" s="13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13:37:19-0600',mode:absolute,to:'2016-08-12 15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3" s="57" t="str">
        <f t="shared" si="56"/>
        <v>N</v>
      </c>
      <c r="X183" s="133">
        <f t="shared" si="64"/>
        <v>1</v>
      </c>
      <c r="Y183" s="72">
        <f t="shared" si="63"/>
        <v>5.86</v>
      </c>
      <c r="Z183" s="72">
        <f t="shared" si="57"/>
        <v>8.0799999999999997E-2</v>
      </c>
      <c r="AA183" s="72">
        <f t="shared" si="58"/>
        <v>5.7792000000000003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59"/>
        <v>0824-12</v>
      </c>
      <c r="AE183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83" s="105" t="str">
        <f t="shared" si="49"/>
        <v>"C:\Program Files (x86)\AstroGrep\AstroGrep.exe" /spath="%USERPROFILE%\AppData\Local\Temp\OnboardLogs" /stypes="*4008*20160812*" /stext=" 20:.+((SYSTEM_STATE.+slice.+state.+changed )|(ment ac)|(system.+state.+changed )|(\|lc)|(penalty)|(\[timeout)|(PRM\|1\|D)|(kpr)|(kdp))" /e /r /s</v>
      </c>
      <c r="AG183" s="1" t="str">
        <f t="shared" si="60"/>
        <v>NW</v>
      </c>
      <c r="AH183" s="109" t="str">
        <f t="shared" si="61"/>
        <v>"%USERPROFILE%\Documents\GitHub\eaglep3\Utilities\RefineRTDCRunTimes.py" --tripid 824-12 --locoid 4008 --swversion DE.1.0.7.0 --startMP 300:58600 --initTime 2016-08-12T14:37:19 --startdatetime 2016-08-12T14:38:23 --delay 1 --endMP 204:808 --enddatetime 2016-08-12T14:54:30 --enforcementcount 0</v>
      </c>
    </row>
    <row r="184" spans="1:34" x14ac:dyDescent="0.25">
      <c r="A184" s="42" t="s">
        <v>592</v>
      </c>
      <c r="B184" s="7">
        <v>4007</v>
      </c>
      <c r="C184" s="25" t="s">
        <v>122</v>
      </c>
      <c r="D184" s="25" t="s">
        <v>564</v>
      </c>
      <c r="E184" s="16">
        <v>42594.635509259257</v>
      </c>
      <c r="F184" s="16">
        <v>42594.636423611111</v>
      </c>
      <c r="G184" s="7">
        <v>1</v>
      </c>
      <c r="H184" s="16" t="s">
        <v>545</v>
      </c>
      <c r="I184" s="16">
        <v>42594.649537037039</v>
      </c>
      <c r="J184" s="7">
        <v>1</v>
      </c>
      <c r="K184" s="149" t="str">
        <f t="shared" si="50"/>
        <v>4007/4008</v>
      </c>
      <c r="L184" s="25" t="str">
        <f>VLOOKUP(A184,'Trips&amp;Operators'!$C$1:$E$10000,3,FALSE)</f>
        <v>HELVIE</v>
      </c>
      <c r="M184" s="6">
        <f t="shared" si="51"/>
        <v>1.3113425928167999E-2</v>
      </c>
      <c r="N184" s="7">
        <f t="shared" si="52"/>
        <v>18.883333336561918</v>
      </c>
      <c r="O184" s="7"/>
      <c r="P184" s="7"/>
      <c r="Q184" s="26"/>
      <c r="R184" s="26"/>
      <c r="S184" s="38">
        <f t="shared" si="53"/>
        <v>1</v>
      </c>
      <c r="T184" s="55" t="str">
        <f t="shared" si="54"/>
        <v>NorthBound</v>
      </c>
      <c r="U184" s="13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14:15:08-0600',mode:absolute,to:'2016-08-12 16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4" s="57" t="str">
        <f t="shared" si="56"/>
        <v>N</v>
      </c>
      <c r="X184" s="133">
        <f t="shared" si="64"/>
        <v>1</v>
      </c>
      <c r="Y184" s="72">
        <f t="shared" si="63"/>
        <v>0.1116</v>
      </c>
      <c r="Z184" s="72">
        <f t="shared" si="57"/>
        <v>5.8935000000000004</v>
      </c>
      <c r="AA184" s="72">
        <f t="shared" si="58"/>
        <v>5.7819000000000003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59"/>
        <v>0825-12</v>
      </c>
      <c r="AE184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84" s="105" t="str">
        <f t="shared" si="49"/>
        <v>"C:\Program Files (x86)\AstroGrep\AstroGrep.exe" /spath="%USERPROFILE%\AppData\Local\Temp\OnboardLogs" /stypes="*4007*20160812*" /stext=" 21:.+((SYSTEM_STATE.+slice.+state.+changed )|(ment ac)|(system.+state.+changed )|(\|lc)|(penalty)|(\[timeout)|(PRM\|1\|D)|(kpr)|(kdp))" /e /r /s</v>
      </c>
      <c r="AG184" s="1" t="str">
        <f t="shared" si="60"/>
        <v>NW</v>
      </c>
      <c r="AH184" s="109" t="str">
        <f t="shared" si="61"/>
        <v>"%USERPROFILE%\Documents\GitHub\eaglep3\Utilities\RefineRTDCRunTimes.py" --tripid 825-12 --locoid 4007 --swversion DE.1.0.7.0 --startMP 204:1116 --initTime 2016-08-12T15:15:08 --startdatetime 2016-08-12T15:16:27 --delay 1 --endMP 300:58935 --enddatetime 2016-08-12T15:35:20 --enforcementcount 1</v>
      </c>
    </row>
    <row r="185" spans="1:34" x14ac:dyDescent="0.25">
      <c r="A185" s="42" t="s">
        <v>593</v>
      </c>
      <c r="B185" s="7">
        <v>4008</v>
      </c>
      <c r="C185" s="25" t="s">
        <v>122</v>
      </c>
      <c r="D185" s="25" t="s">
        <v>594</v>
      </c>
      <c r="E185" s="16">
        <v>42594.650983796295</v>
      </c>
      <c r="F185" s="16">
        <v>42594.651898148149</v>
      </c>
      <c r="G185" s="7">
        <v>1</v>
      </c>
      <c r="H185" s="16" t="s">
        <v>595</v>
      </c>
      <c r="I185" s="16">
        <v>42594.662881944445</v>
      </c>
      <c r="J185" s="7">
        <v>0</v>
      </c>
      <c r="K185" s="149" t="str">
        <f t="shared" si="50"/>
        <v>4007/4008</v>
      </c>
      <c r="L185" s="25" t="str">
        <f>VLOOKUP(A185,'Trips&amp;Operators'!$C$1:$E$10000,3,FALSE)</f>
        <v>HELVIE</v>
      </c>
      <c r="M185" s="6">
        <f t="shared" si="51"/>
        <v>1.0983796295477077E-2</v>
      </c>
      <c r="N185" s="7">
        <f t="shared" si="52"/>
        <v>15.816666665486991</v>
      </c>
      <c r="O185" s="7"/>
      <c r="P185" s="7"/>
      <c r="Q185" s="26"/>
      <c r="R185" s="26"/>
      <c r="S185" s="38">
        <f t="shared" si="53"/>
        <v>1</v>
      </c>
      <c r="T185" s="55" t="str">
        <f t="shared" si="54"/>
        <v>Southbound</v>
      </c>
      <c r="U185" s="13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14:37:25-0600',mode:absolute,to:'2016-08-12 16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5" s="57" t="str">
        <f t="shared" si="56"/>
        <v>N</v>
      </c>
      <c r="X185" s="133">
        <f t="shared" si="64"/>
        <v>1</v>
      </c>
      <c r="Y185" s="72">
        <f t="shared" si="63"/>
        <v>5.8605999999999998</v>
      </c>
      <c r="Z185" s="72">
        <f t="shared" si="57"/>
        <v>8.7999999999999995E-2</v>
      </c>
      <c r="AA185" s="72">
        <f t="shared" si="58"/>
        <v>5.7725999999999997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59"/>
        <v>0826-12</v>
      </c>
      <c r="AE185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85" s="105" t="str">
        <f t="shared" si="49"/>
        <v>"C:\Program Files (x86)\AstroGrep\AstroGrep.exe" /spath="%USERPROFILE%\AppData\Local\Temp\OnboardLogs" /stypes="*4008*20160812*" /stext=" 21:.+((SYSTEM_STATE.+slice.+state.+changed )|(ment ac)|(system.+state.+changed )|(\|lc)|(penalty)|(\[timeout)|(PRM\|1\|D)|(kpr)|(kdp))" /e /r /s</v>
      </c>
      <c r="AG185" s="1" t="str">
        <f t="shared" si="60"/>
        <v>NW</v>
      </c>
      <c r="AH185" s="109" t="str">
        <f t="shared" si="61"/>
        <v>"%USERPROFILE%\Documents\GitHub\eaglep3\Utilities\RefineRTDCRunTimes.py" --tripid 826-12 --locoid 4008 --swversion DE.1.0.7.0 --startMP 300:58606 --initTime 2016-08-12T15:37:25 --startdatetime 2016-08-12T15:38:44 --delay 1 --endMP 204:880 --enddatetime 2016-08-12T15:54:33 --enforcementcount 0</v>
      </c>
    </row>
    <row r="186" spans="1:34" x14ac:dyDescent="0.25">
      <c r="A186" s="42" t="s">
        <v>596</v>
      </c>
      <c r="B186" s="7">
        <v>4042</v>
      </c>
      <c r="C186" s="25" t="s">
        <v>122</v>
      </c>
      <c r="D186" s="25" t="s">
        <v>597</v>
      </c>
      <c r="E186" s="16">
        <v>42594.658449074072</v>
      </c>
      <c r="F186" s="16">
        <v>42594.659571759257</v>
      </c>
      <c r="G186" s="7">
        <v>1</v>
      </c>
      <c r="H186" s="16" t="s">
        <v>584</v>
      </c>
      <c r="I186" s="16">
        <v>42594.673078703701</v>
      </c>
      <c r="J186" s="7">
        <v>0</v>
      </c>
      <c r="K186" s="149" t="str">
        <f t="shared" si="50"/>
        <v>4041/4042</v>
      </c>
      <c r="L186" s="25" t="str">
        <f>VLOOKUP(A186,'Trips&amp;Operators'!$C$1:$E$10000,3,FALSE)</f>
        <v>NELSON</v>
      </c>
      <c r="M186" s="6">
        <f t="shared" si="51"/>
        <v>1.3506944444088731E-2</v>
      </c>
      <c r="N186" s="7">
        <f t="shared" si="52"/>
        <v>19.449999999487773</v>
      </c>
      <c r="O186" s="7"/>
      <c r="P186" s="7"/>
      <c r="Q186" s="26"/>
      <c r="R186" s="26"/>
      <c r="S186" s="38">
        <f t="shared" si="53"/>
        <v>1</v>
      </c>
      <c r="T186" s="55" t="str">
        <f t="shared" si="54"/>
        <v>NorthBound</v>
      </c>
      <c r="U186" s="13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14:48:10-0600',mode:absolute,to:'2016-08-12 17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86" s="57" t="str">
        <f t="shared" si="56"/>
        <v>N</v>
      </c>
      <c r="X186" s="133">
        <f t="shared" si="64"/>
        <v>1</v>
      </c>
      <c r="Y186" s="72">
        <f t="shared" si="63"/>
        <v>4.48E-2</v>
      </c>
      <c r="Z186" s="72">
        <f t="shared" si="57"/>
        <v>5.8949999999999996</v>
      </c>
      <c r="AA186" s="72">
        <f t="shared" si="58"/>
        <v>5.8501999999999992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59"/>
        <v>0827-12</v>
      </c>
      <c r="AE186" s="108" t="str">
        <f t="shared" si="48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186" s="105" t="str">
        <f t="shared" si="49"/>
        <v>"C:\Program Files (x86)\AstroGrep\AstroGrep.exe" /spath="%USERPROFILE%\AppData\Local\Temp\OnboardLogs" /stypes="*4042*20160812*" /stext=" 22:.+((SYSTEM_STATE.+slice.+state.+changed )|(ment ac)|(system.+state.+changed )|(\|lc)|(penalty)|(\[timeout)|(PRM\|1\|D)|(kpr)|(kdp))" /e /r /s</v>
      </c>
      <c r="AG186" s="1" t="str">
        <f t="shared" si="60"/>
        <v>NW</v>
      </c>
      <c r="AH186" s="109" t="str">
        <f t="shared" si="61"/>
        <v>"%USERPROFILE%\Documents\GitHub\eaglep3\Utilities\RefineRTDCRunTimes.py" --tripid 827-12 --locoid 4042 --swversion DE.1.0.7.0 --startMP 204:448 --initTime 2016-08-12T15:48:10 --startdatetime 2016-08-12T15:49:47 --delay 1 --endMP 300:58950 --enddatetime 2016-08-12T16:09:14 --enforcementcount 0</v>
      </c>
    </row>
    <row r="187" spans="1:34" x14ac:dyDescent="0.25">
      <c r="A187" s="42" t="s">
        <v>598</v>
      </c>
      <c r="B187" s="7">
        <v>4041</v>
      </c>
      <c r="C187" s="25" t="s">
        <v>122</v>
      </c>
      <c r="D187" s="25" t="s">
        <v>245</v>
      </c>
      <c r="E187" s="16">
        <v>42594.67428240741</v>
      </c>
      <c r="F187" s="16">
        <v>42594.675069444442</v>
      </c>
      <c r="G187" s="7">
        <v>1</v>
      </c>
      <c r="H187" s="16" t="s">
        <v>599</v>
      </c>
      <c r="I187" s="16">
        <v>42594.685624999998</v>
      </c>
      <c r="J187" s="7">
        <v>0</v>
      </c>
      <c r="K187" s="149" t="str">
        <f t="shared" si="50"/>
        <v>4041/4042</v>
      </c>
      <c r="L187" s="25" t="str">
        <f>VLOOKUP(A187,'Trips&amp;Operators'!$C$1:$E$10000,3,FALSE)</f>
        <v>NELSON</v>
      </c>
      <c r="M187" s="6">
        <f t="shared" si="51"/>
        <v>1.0555555556493346E-2</v>
      </c>
      <c r="N187" s="7">
        <f t="shared" si="52"/>
        <v>15.200000001350418</v>
      </c>
      <c r="O187" s="7"/>
      <c r="P187" s="7"/>
      <c r="Q187" s="26"/>
      <c r="R187" s="26"/>
      <c r="S187" s="38">
        <f t="shared" si="53"/>
        <v>1</v>
      </c>
      <c r="T187" s="55" t="str">
        <f t="shared" si="54"/>
        <v>Southbound</v>
      </c>
      <c r="U187" s="13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15:10:58-0600',mode:absolute,to:'2016-08-12 17:27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87" s="57" t="str">
        <f t="shared" si="56"/>
        <v>N</v>
      </c>
      <c r="X187" s="133">
        <f t="shared" si="64"/>
        <v>1</v>
      </c>
      <c r="Y187" s="72">
        <f t="shared" si="63"/>
        <v>5.8619000000000003</v>
      </c>
      <c r="Z187" s="72">
        <f t="shared" si="57"/>
        <v>7.2400000000000006E-2</v>
      </c>
      <c r="AA187" s="72">
        <f t="shared" si="58"/>
        <v>5.7895000000000003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59"/>
        <v>0828-12</v>
      </c>
      <c r="AE187" s="108" t="str">
        <f t="shared" si="48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187" s="105" t="str">
        <f t="shared" si="49"/>
        <v>"C:\Program Files (x86)\AstroGrep\AstroGrep.exe" /spath="%USERPROFILE%\AppData\Local\Temp\OnboardLogs" /stypes="*4041*20160812*" /stext=" 22:.+((SYSTEM_STATE.+slice.+state.+changed )|(ment ac)|(system.+state.+changed )|(\|lc)|(penalty)|(\[timeout)|(PRM\|1\|D)|(kpr)|(kdp))" /e /r /s</v>
      </c>
      <c r="AG187" s="1" t="str">
        <f t="shared" si="60"/>
        <v>NW</v>
      </c>
      <c r="AH187" s="109" t="str">
        <f t="shared" si="61"/>
        <v>"%USERPROFILE%\Documents\GitHub\eaglep3\Utilities\RefineRTDCRunTimes.py" --tripid 828-12 --locoid 4041 --swversion DE.1.0.7.0 --startMP 300:58619 --initTime 2016-08-12T16:10:58 --startdatetime 2016-08-12T16:12:06 --delay 1 --endMP 204:724 --enddatetime 2016-08-12T16:27:18 --enforcementcount 0</v>
      </c>
    </row>
    <row r="188" spans="1:34" x14ac:dyDescent="0.25">
      <c r="A188" s="42" t="s">
        <v>600</v>
      </c>
      <c r="B188" s="7">
        <v>4007</v>
      </c>
      <c r="C188" s="25" t="s">
        <v>122</v>
      </c>
      <c r="D188" s="25" t="s">
        <v>601</v>
      </c>
      <c r="E188" s="16">
        <v>42594.677245370367</v>
      </c>
      <c r="F188" s="16">
        <v>42594.678148148145</v>
      </c>
      <c r="G188" s="7">
        <v>1</v>
      </c>
      <c r="H188" s="16" t="s">
        <v>602</v>
      </c>
      <c r="I188" s="16">
        <v>42594.690648148149</v>
      </c>
      <c r="J188" s="7">
        <v>0</v>
      </c>
      <c r="K188" s="149" t="str">
        <f t="shared" si="50"/>
        <v>4007/4008</v>
      </c>
      <c r="L188" s="25" t="str">
        <f>VLOOKUP(A188,'Trips&amp;Operators'!$C$1:$E$10000,3,FALSE)</f>
        <v>HELVIE</v>
      </c>
      <c r="M188" s="6">
        <f t="shared" si="51"/>
        <v>1.2500000004365575E-2</v>
      </c>
      <c r="N188" s="7">
        <f t="shared" si="52"/>
        <v>18.000000006286427</v>
      </c>
      <c r="O188" s="7"/>
      <c r="P188" s="7"/>
      <c r="Q188" s="26"/>
      <c r="R188" s="26"/>
      <c r="S188" s="38">
        <f t="shared" si="53"/>
        <v>1</v>
      </c>
      <c r="T188" s="55" t="str">
        <f t="shared" si="54"/>
        <v>NorthBound</v>
      </c>
      <c r="U188" s="13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15:15:14-0600',mode:absolute,to:'2016-08-12 17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88" s="57" t="str">
        <f t="shared" si="56"/>
        <v>N</v>
      </c>
      <c r="X188" s="133">
        <f t="shared" si="64"/>
        <v>1</v>
      </c>
      <c r="Y188" s="72">
        <f t="shared" si="63"/>
        <v>0.1133</v>
      </c>
      <c r="Z188" s="72">
        <f t="shared" si="57"/>
        <v>5.8928000000000003</v>
      </c>
      <c r="AA188" s="72">
        <f t="shared" si="58"/>
        <v>5.7795000000000005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59"/>
        <v>0829-12</v>
      </c>
      <c r="AE188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88" s="105" t="str">
        <f t="shared" si="49"/>
        <v>"C:\Program Files (x86)\AstroGrep\AstroGrep.exe" /spath="%USERPROFILE%\AppData\Local\Temp\OnboardLogs" /stypes="*4007*20160812*" /stext=" 22:.+((SYSTEM_STATE.+slice.+state.+changed )|(ment ac)|(system.+state.+changed )|(\|lc)|(penalty)|(\[timeout)|(PRM\|1\|D)|(kpr)|(kdp))" /e /r /s</v>
      </c>
      <c r="AG188" s="1" t="str">
        <f t="shared" si="60"/>
        <v>NW</v>
      </c>
      <c r="AH188" s="109" t="str">
        <f t="shared" si="61"/>
        <v>"%USERPROFILE%\Documents\GitHub\eaglep3\Utilities\RefineRTDCRunTimes.py" --tripid 829-12 --locoid 4007 --swversion DE.1.0.7.0 --startMP 204:1133 --initTime 2016-08-12T16:15:14 --startdatetime 2016-08-12T16:16:32 --delay 1 --endMP 300:58928 --enddatetime 2016-08-12T16:34:32 --enforcementcount 0</v>
      </c>
    </row>
    <row r="189" spans="1:34" x14ac:dyDescent="0.25">
      <c r="A189" s="25" t="s">
        <v>603</v>
      </c>
      <c r="B189" s="150">
        <v>4008</v>
      </c>
      <c r="C189" s="151" t="s">
        <v>122</v>
      </c>
      <c r="D189" s="151" t="s">
        <v>202</v>
      </c>
      <c r="E189" s="152">
        <v>42594.692488425928</v>
      </c>
      <c r="F189" s="152">
        <v>42594.694953703707</v>
      </c>
      <c r="G189" s="150">
        <v>3</v>
      </c>
      <c r="H189" s="152" t="s">
        <v>202</v>
      </c>
      <c r="I189" s="152">
        <v>42594.695393518516</v>
      </c>
      <c r="J189" s="150">
        <v>0</v>
      </c>
      <c r="K189" s="149" t="str">
        <f t="shared" si="50"/>
        <v>4007/4008</v>
      </c>
      <c r="L189" s="25" t="str">
        <f>VLOOKUP(A189,'Trips&amp;Operators'!$C$1:$E$10000,3,FALSE)</f>
        <v>HELVIE</v>
      </c>
      <c r="M189" s="6">
        <f t="shared" si="51"/>
        <v>4.3981480848742649E-4</v>
      </c>
      <c r="N189" s="7"/>
      <c r="O189" s="7"/>
      <c r="P189" s="7">
        <f t="shared" si="52"/>
        <v>0.63333332422189415</v>
      </c>
      <c r="Q189" s="26"/>
      <c r="R189" s="26" t="s">
        <v>259</v>
      </c>
      <c r="S189" s="38">
        <f t="shared" si="53"/>
        <v>0</v>
      </c>
      <c r="T189" s="55" t="str">
        <f t="shared" si="54"/>
        <v>Southbound</v>
      </c>
      <c r="U189" s="13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0</v>
      </c>
      <c r="V189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15:37:11-0600',mode:absolute,to:'2016-08-12 17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9" s="57" t="str">
        <f t="shared" si="56"/>
        <v>Y</v>
      </c>
      <c r="X189" s="133">
        <f t="shared" si="64"/>
        <v>1</v>
      </c>
      <c r="Y189" s="72">
        <f t="shared" si="63"/>
        <v>5.8615000000000004</v>
      </c>
      <c r="Z189" s="72">
        <f t="shared" si="57"/>
        <v>5.8615000000000004</v>
      </c>
      <c r="AA189" s="72">
        <f t="shared" si="58"/>
        <v>0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59"/>
        <v>0830-12</v>
      </c>
      <c r="AE189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89" s="105" t="str">
        <f t="shared" si="49"/>
        <v>"C:\Program Files (x86)\AstroGrep\AstroGrep.exe" /spath="%USERPROFILE%\AppData\Local\Temp\OnboardLogs" /stypes="*4008*20160812*" /stext=" 22:.+((SYSTEM_STATE.+slice.+state.+changed )|(ment ac)|(system.+state.+changed )|(\|lc)|(penalty)|(\[timeout)|(PRM\|1\|D)|(kpr)|(kdp))" /e /r /s</v>
      </c>
      <c r="AG189" s="1" t="str">
        <f t="shared" si="60"/>
        <v>NW</v>
      </c>
      <c r="AH189" s="109" t="str">
        <f t="shared" si="61"/>
        <v>"%USERPROFILE%\Documents\GitHub\eaglep3\Utilities\RefineRTDCRunTimes.py" --tripid 830-12 --locoid 4008 --swversion DE.1.0.7.0 --startMP 300:58615 --initTime 2016-08-12T16:37:11 --startdatetime 2016-08-12T16:40:44 --delay 3 --endMP 300:58615 --enddatetime 2016-08-12T16:41:22 --enforcementcount 0</v>
      </c>
    </row>
    <row r="190" spans="1:34" x14ac:dyDescent="0.25">
      <c r="A190" s="25" t="s">
        <v>604</v>
      </c>
      <c r="B190" s="150">
        <v>4042</v>
      </c>
      <c r="C190" s="151" t="s">
        <v>122</v>
      </c>
      <c r="D190" s="151" t="s">
        <v>605</v>
      </c>
      <c r="E190" s="152">
        <v>42594.692129629628</v>
      </c>
      <c r="F190" s="152">
        <v>42594.693194444444</v>
      </c>
      <c r="G190" s="150">
        <v>1</v>
      </c>
      <c r="H190" s="152" t="s">
        <v>584</v>
      </c>
      <c r="I190" s="152">
        <v>42594.712395833332</v>
      </c>
      <c r="J190" s="150">
        <v>0</v>
      </c>
      <c r="K190" s="149" t="str">
        <f t="shared" si="50"/>
        <v>4041/4042</v>
      </c>
      <c r="L190" s="25" t="str">
        <f>VLOOKUP(A190,'Trips&amp;Operators'!$C$1:$E$10000,3,FALSE)</f>
        <v>NELSON</v>
      </c>
      <c r="M190" s="6">
        <f t="shared" si="51"/>
        <v>1.9201388888177462E-2</v>
      </c>
      <c r="N190" s="7">
        <f t="shared" si="52"/>
        <v>27.649999998975545</v>
      </c>
      <c r="O190" s="7"/>
      <c r="P190" s="7"/>
      <c r="Q190" s="26"/>
      <c r="R190" s="26"/>
      <c r="S190" s="38">
        <f t="shared" si="53"/>
        <v>1</v>
      </c>
      <c r="T190" s="55" t="str">
        <f t="shared" si="54"/>
        <v>NorthBound</v>
      </c>
      <c r="U190" s="13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15:36:40-0600',mode:absolute,to:'2016-08-12 18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90" s="57" t="str">
        <f t="shared" si="56"/>
        <v>N</v>
      </c>
      <c r="X190" s="133">
        <f t="shared" si="64"/>
        <v>1</v>
      </c>
      <c r="Y190" s="72">
        <f t="shared" si="63"/>
        <v>0.1002</v>
      </c>
      <c r="Z190" s="72">
        <f t="shared" si="57"/>
        <v>5.8949999999999996</v>
      </c>
      <c r="AA190" s="72">
        <f t="shared" si="58"/>
        <v>5.7947999999999995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59"/>
        <v>0831-12</v>
      </c>
      <c r="AE190" s="108" t="str">
        <f t="shared" si="48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190" s="105" t="str">
        <f t="shared" si="49"/>
        <v>"C:\Program Files (x86)\AstroGrep\AstroGrep.exe" /spath="%USERPROFILE%\AppData\Local\Temp\OnboardLogs" /stypes="*4042*20160812*" /stext=" 23:.+((SYSTEM_STATE.+slice.+state.+changed )|(ment ac)|(system.+state.+changed )|(\|lc)|(penalty)|(\[timeout)|(PRM\|1\|D)|(kpr)|(kdp))" /e /r /s</v>
      </c>
      <c r="AG190" s="1" t="str">
        <f t="shared" si="60"/>
        <v>NW</v>
      </c>
      <c r="AH190" s="109" t="str">
        <f t="shared" si="61"/>
        <v>"%USERPROFILE%\Documents\GitHub\eaglep3\Utilities\RefineRTDCRunTimes.py" --tripid 831-12 --locoid 4042 --swversion DE.1.0.7.0 --startMP 204:1002 --initTime 2016-08-12T16:36:40 --startdatetime 2016-08-12T16:38:12 --delay 1 --endMP 300:58950 --enddatetime 2016-08-12T17:05:51 --enforcementcount 0</v>
      </c>
    </row>
    <row r="191" spans="1:34" x14ac:dyDescent="0.25">
      <c r="A191" s="25" t="s">
        <v>606</v>
      </c>
      <c r="B191" s="150">
        <v>4041</v>
      </c>
      <c r="C191" s="151" t="s">
        <v>122</v>
      </c>
      <c r="D191" s="151" t="s">
        <v>607</v>
      </c>
      <c r="E191" s="152">
        <v>42594.714201388888</v>
      </c>
      <c r="F191" s="152">
        <v>42594.715162037035</v>
      </c>
      <c r="G191" s="150">
        <v>1</v>
      </c>
      <c r="H191" s="152" t="s">
        <v>608</v>
      </c>
      <c r="I191" s="152">
        <v>42594.7262962963</v>
      </c>
      <c r="J191" s="150">
        <v>0</v>
      </c>
      <c r="K191" s="149" t="str">
        <f t="shared" si="50"/>
        <v>4041/4042</v>
      </c>
      <c r="L191" s="25" t="str">
        <f>VLOOKUP(A191,'Trips&amp;Operators'!$C$1:$E$10000,3,FALSE)</f>
        <v>NELSON</v>
      </c>
      <c r="M191" s="6">
        <f t="shared" si="51"/>
        <v>1.1134259264508728E-2</v>
      </c>
      <c r="N191" s="7">
        <f t="shared" si="52"/>
        <v>16.033333340892568</v>
      </c>
      <c r="O191" s="7"/>
      <c r="P191" s="7"/>
      <c r="Q191" s="26"/>
      <c r="R191" s="26"/>
      <c r="S191" s="38">
        <f t="shared" si="53"/>
        <v>1</v>
      </c>
      <c r="T191" s="55" t="str">
        <f t="shared" si="54"/>
        <v>Southbound</v>
      </c>
      <c r="U191" s="13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16:08:27-0600',mode:absolute,to:'2016-08-12 18:25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91" s="57" t="str">
        <f t="shared" si="56"/>
        <v>N</v>
      </c>
      <c r="X191" s="133">
        <f t="shared" si="64"/>
        <v>1</v>
      </c>
      <c r="Y191" s="72">
        <f t="shared" si="63"/>
        <v>5.8625999999999996</v>
      </c>
      <c r="Z191" s="72">
        <f t="shared" si="57"/>
        <v>7.3099999999999998E-2</v>
      </c>
      <c r="AA191" s="72">
        <f t="shared" si="58"/>
        <v>5.7894999999999994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59"/>
        <v>0832-12</v>
      </c>
      <c r="AE191" s="108" t="str">
        <f t="shared" si="48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191" s="105" t="str">
        <f t="shared" si="49"/>
        <v>"C:\Program Files (x86)\AstroGrep\AstroGrep.exe" /spath="%USERPROFILE%\AppData\Local\Temp\OnboardLogs" /stypes="*4041*20160812*" /stext=" 23:.+((SYSTEM_STATE.+slice.+state.+changed )|(ment ac)|(system.+state.+changed )|(\|lc)|(penalty)|(\[timeout)|(PRM\|1\|D)|(kpr)|(kdp))" /e /r /s</v>
      </c>
      <c r="AG191" s="1" t="str">
        <f t="shared" si="60"/>
        <v>NW</v>
      </c>
      <c r="AH191" s="109" t="str">
        <f t="shared" si="61"/>
        <v>"%USERPROFILE%\Documents\GitHub\eaglep3\Utilities\RefineRTDCRunTimes.py" --tripid 832-12 --locoid 4041 --swversion DE.1.0.7.0 --startMP 300:58626 --initTime 2016-08-12T17:08:27 --startdatetime 2016-08-12T17:09:50 --delay 1 --endMP 204:731 --enddatetime 2016-08-12T17:25:52 --enforcementcount 0</v>
      </c>
    </row>
    <row r="192" spans="1:34" x14ac:dyDescent="0.25">
      <c r="A192" s="25" t="s">
        <v>609</v>
      </c>
      <c r="B192" s="150">
        <v>4007</v>
      </c>
      <c r="C192" s="151" t="s">
        <v>122</v>
      </c>
      <c r="D192" s="151" t="s">
        <v>610</v>
      </c>
      <c r="E192" s="152">
        <v>42594.720393518517</v>
      </c>
      <c r="F192" s="152">
        <v>42594.72152777778</v>
      </c>
      <c r="G192" s="150">
        <v>1</v>
      </c>
      <c r="H192" s="152" t="s">
        <v>602</v>
      </c>
      <c r="I192" s="152">
        <v>42594.733402777776</v>
      </c>
      <c r="J192" s="150">
        <v>0</v>
      </c>
      <c r="K192" s="149" t="str">
        <f t="shared" si="50"/>
        <v>4007/4008</v>
      </c>
      <c r="L192" s="25" t="str">
        <f>VLOOKUP(A192,'Trips&amp;Operators'!$C$1:$E$10000,3,FALSE)</f>
        <v>HELVIE</v>
      </c>
      <c r="M192" s="6">
        <f t="shared" si="51"/>
        <v>1.187499999650754E-2</v>
      </c>
      <c r="N192" s="7">
        <f t="shared" si="52"/>
        <v>17.099999994970858</v>
      </c>
      <c r="O192" s="7"/>
      <c r="P192" s="7"/>
      <c r="Q192" s="26"/>
      <c r="R192" s="26"/>
      <c r="S192" s="38">
        <f t="shared" si="53"/>
        <v>1</v>
      </c>
      <c r="T192" s="55" t="str">
        <f t="shared" si="54"/>
        <v>NorthBound</v>
      </c>
      <c r="U192" s="13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16:17:22-0600',mode:absolute,to:'2016-08-12 18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2" s="57" t="str">
        <f t="shared" si="56"/>
        <v>N</v>
      </c>
      <c r="X192" s="133">
        <f t="shared" si="64"/>
        <v>1</v>
      </c>
      <c r="Y192" s="72">
        <f t="shared" si="63"/>
        <v>0.1144</v>
      </c>
      <c r="Z192" s="72">
        <f t="shared" si="57"/>
        <v>5.8928000000000003</v>
      </c>
      <c r="AA192" s="72">
        <f t="shared" si="58"/>
        <v>5.7784000000000004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59"/>
        <v>0833-12</v>
      </c>
      <c r="AE192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92" s="105" t="str">
        <f t="shared" si="49"/>
        <v>"C:\Program Files (x86)\AstroGrep\AstroGrep.exe" /spath="%USERPROFILE%\AppData\Local\Temp\OnboardLogs" /stypes="*4007*20160812*" /stext=" 23:.+((SYSTEM_STATE.+slice.+state.+changed )|(ment ac)|(system.+state.+changed )|(\|lc)|(penalty)|(\[timeout)|(PRM\|1\|D)|(kpr)|(kdp))" /e /r /s</v>
      </c>
      <c r="AG192" s="1" t="str">
        <f t="shared" si="60"/>
        <v>NW</v>
      </c>
      <c r="AH192" s="109" t="str">
        <f t="shared" si="61"/>
        <v>"%USERPROFILE%\Documents\GitHub\eaglep3\Utilities\RefineRTDCRunTimes.py" --tripid 833-12 --locoid 4007 --swversion DE.1.0.7.0 --startMP 204:1144 --initTime 2016-08-12T17:17:22 --startdatetime 2016-08-12T17:19:00 --delay 1 --endMP 300:58928 --enddatetime 2016-08-12T17:36:06 --enforcementcount 0</v>
      </c>
    </row>
    <row r="193" spans="1:34" x14ac:dyDescent="0.25">
      <c r="A193" s="25" t="s">
        <v>611</v>
      </c>
      <c r="B193" s="150">
        <v>4008</v>
      </c>
      <c r="C193" s="151" t="s">
        <v>122</v>
      </c>
      <c r="D193" s="151" t="s">
        <v>612</v>
      </c>
      <c r="E193" s="152">
        <v>42594.735173611109</v>
      </c>
      <c r="F193" s="152">
        <v>42594.73642361111</v>
      </c>
      <c r="G193" s="150">
        <v>1</v>
      </c>
      <c r="H193" s="152" t="s">
        <v>613</v>
      </c>
      <c r="I193" s="152">
        <v>42594.746736111112</v>
      </c>
      <c r="J193" s="150">
        <v>0</v>
      </c>
      <c r="K193" s="149" t="str">
        <f t="shared" si="50"/>
        <v>4007/4008</v>
      </c>
      <c r="L193" s="25" t="str">
        <f>VLOOKUP(A193,'Trips&amp;Operators'!$C$1:$E$10000,3,FALSE)</f>
        <v>HELVIE</v>
      </c>
      <c r="M193" s="6">
        <f t="shared" si="51"/>
        <v>1.0312500002328306E-2</v>
      </c>
      <c r="N193" s="7">
        <f t="shared" si="52"/>
        <v>14.850000003352761</v>
      </c>
      <c r="O193" s="7"/>
      <c r="P193" s="7"/>
      <c r="Q193" s="26"/>
      <c r="R193" s="26"/>
      <c r="S193" s="38">
        <f t="shared" si="53"/>
        <v>1</v>
      </c>
      <c r="T193" s="55" t="str">
        <f t="shared" si="54"/>
        <v>Southbound</v>
      </c>
      <c r="U193" s="13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16:38:39-0600',mode:absolute,to:'2016-08-12 18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93" s="57" t="str">
        <f t="shared" si="56"/>
        <v>N</v>
      </c>
      <c r="X193" s="133">
        <f t="shared" si="64"/>
        <v>1</v>
      </c>
      <c r="Y193" s="72">
        <f t="shared" si="63"/>
        <v>5.8611000000000004</v>
      </c>
      <c r="Z193" s="72">
        <f t="shared" si="57"/>
        <v>8.5300000000000001E-2</v>
      </c>
      <c r="AA193" s="72">
        <f t="shared" si="58"/>
        <v>5.7758000000000003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59"/>
        <v>0834-12</v>
      </c>
      <c r="AE193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93" s="105" t="str">
        <f t="shared" si="49"/>
        <v>"C:\Program Files (x86)\AstroGrep\AstroGrep.exe" /spath="%USERPROFILE%\AppData\Local\Temp\OnboardLogs" /stypes="*4008*20160812*" /stext=" 23:.+((SYSTEM_STATE.+slice.+state.+changed )|(ment ac)|(system.+state.+changed )|(\|lc)|(penalty)|(\[timeout)|(PRM\|1\|D)|(kpr)|(kdp))" /e /r /s</v>
      </c>
      <c r="AG193" s="1" t="str">
        <f t="shared" si="60"/>
        <v>NW</v>
      </c>
      <c r="AH193" s="109" t="str">
        <f t="shared" si="61"/>
        <v>"%USERPROFILE%\Documents\GitHub\eaglep3\Utilities\RefineRTDCRunTimes.py" --tripid 834-12 --locoid 4008 --swversion DE.1.0.7.0 --startMP 300:58611 --initTime 2016-08-12T17:38:39 --startdatetime 2016-08-12T17:40:27 --delay 1 --endMP 204:853 --enddatetime 2016-08-12T17:55:18 --enforcementcount 0</v>
      </c>
    </row>
    <row r="194" spans="1:34" x14ac:dyDescent="0.25">
      <c r="A194" s="25" t="s">
        <v>614</v>
      </c>
      <c r="B194" s="150">
        <v>4042</v>
      </c>
      <c r="C194" s="151" t="s">
        <v>122</v>
      </c>
      <c r="D194" s="151" t="s">
        <v>615</v>
      </c>
      <c r="E194" s="152">
        <v>42594.735682870371</v>
      </c>
      <c r="F194" s="152">
        <v>42594.736539351848</v>
      </c>
      <c r="G194" s="150">
        <v>1</v>
      </c>
      <c r="H194" s="152" t="s">
        <v>567</v>
      </c>
      <c r="I194" s="152">
        <v>42594.753993055558</v>
      </c>
      <c r="J194" s="150">
        <v>0</v>
      </c>
      <c r="K194" s="149" t="str">
        <f t="shared" si="50"/>
        <v>4041/4042</v>
      </c>
      <c r="L194" s="25" t="str">
        <f>VLOOKUP(A194,'Trips&amp;Operators'!$C$1:$E$10000,3,FALSE)</f>
        <v>NELSON</v>
      </c>
      <c r="M194" s="6">
        <f t="shared" si="51"/>
        <v>1.7453703709179536E-2</v>
      </c>
      <c r="N194" s="7">
        <f t="shared" si="52"/>
        <v>25.133333341218531</v>
      </c>
      <c r="O194" s="7"/>
      <c r="P194" s="7"/>
      <c r="Q194" s="26"/>
      <c r="R194" s="26"/>
      <c r="S194" s="38">
        <f t="shared" si="53"/>
        <v>1</v>
      </c>
      <c r="T194" s="55" t="str">
        <f t="shared" si="54"/>
        <v>NorthBound</v>
      </c>
      <c r="U194" s="13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16:39:23-0600',mode:absolute,to:'2016-08-12 19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94" s="57" t="str">
        <f t="shared" si="56"/>
        <v>N</v>
      </c>
      <c r="X194" s="133">
        <f t="shared" si="64"/>
        <v>1</v>
      </c>
      <c r="Y194" s="72">
        <f t="shared" si="63"/>
        <v>0.1021</v>
      </c>
      <c r="Z194" s="72">
        <f t="shared" si="57"/>
        <v>5.8948</v>
      </c>
      <c r="AA194" s="72">
        <f t="shared" si="58"/>
        <v>5.7927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59"/>
        <v>0835-12</v>
      </c>
      <c r="AE194" s="108" t="str">
        <f t="shared" si="48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194" s="105" t="str">
        <f t="shared" si="49"/>
        <v>"C:\Program Files (x86)\AstroGrep\AstroGrep.exe" /spath="%USERPROFILE%\AppData\Local\Temp\OnboardLogs" /stypes="*4042*20160813*" /stext=" 00:.+((SYSTEM_STATE.+slice.+state.+changed )|(ment ac)|(system.+state.+changed )|(\|lc)|(penalty)|(\[timeout)|(PRM\|1\|D)|(kpr)|(kdp))" /e /r /s</v>
      </c>
      <c r="AG194" s="1" t="str">
        <f t="shared" si="60"/>
        <v>NW</v>
      </c>
      <c r="AH194" s="109" t="str">
        <f t="shared" si="61"/>
        <v>"%USERPROFILE%\Documents\GitHub\eaglep3\Utilities\RefineRTDCRunTimes.py" --tripid 835-12 --locoid 4042 --swversion DE.1.0.7.0 --startMP 204:1021 --initTime 2016-08-12T17:39:23 --startdatetime 2016-08-12T17:40:37 --delay 1 --endMP 300:58948 --enddatetime 2016-08-12T18:05:45 --enforcementcount 0</v>
      </c>
    </row>
    <row r="195" spans="1:34" x14ac:dyDescent="0.25">
      <c r="A195" s="25" t="s">
        <v>616</v>
      </c>
      <c r="B195" s="150">
        <v>4041</v>
      </c>
      <c r="C195" s="151" t="s">
        <v>122</v>
      </c>
      <c r="D195" s="151" t="s">
        <v>240</v>
      </c>
      <c r="E195" s="152">
        <v>42594.755543981482</v>
      </c>
      <c r="F195" s="152">
        <v>42594.756226851852</v>
      </c>
      <c r="G195" s="150">
        <v>0</v>
      </c>
      <c r="H195" s="152" t="s">
        <v>617</v>
      </c>
      <c r="I195" s="152">
        <v>42594.768043981479</v>
      </c>
      <c r="J195" s="150">
        <v>0</v>
      </c>
      <c r="K195" s="149" t="str">
        <f t="shared" si="50"/>
        <v>4041/4042</v>
      </c>
      <c r="L195" s="25" t="str">
        <f>VLOOKUP(A195,'Trips&amp;Operators'!$C$1:$E$10000,3,FALSE)</f>
        <v>NELSON</v>
      </c>
      <c r="M195" s="6">
        <f t="shared" si="51"/>
        <v>1.1817129627161194E-2</v>
      </c>
      <c r="N195" s="7">
        <f t="shared" si="52"/>
        <v>17.016666663112119</v>
      </c>
      <c r="O195" s="7"/>
      <c r="P195" s="7"/>
      <c r="Q195" s="26"/>
      <c r="R195" s="26"/>
      <c r="S195" s="38">
        <f t="shared" si="53"/>
        <v>1</v>
      </c>
      <c r="T195" s="55" t="str">
        <f t="shared" si="54"/>
        <v>Southbound</v>
      </c>
      <c r="U195" s="13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17:07:59-0600',mode:absolute,to:'2016-08-12 19:25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95" s="57" t="str">
        <f t="shared" si="56"/>
        <v>N</v>
      </c>
      <c r="X195" s="133">
        <f t="shared" si="64"/>
        <v>1</v>
      </c>
      <c r="Y195" s="72">
        <f t="shared" si="63"/>
        <v>5.8632</v>
      </c>
      <c r="Z195" s="72">
        <f t="shared" si="57"/>
        <v>7.1900000000000006E-2</v>
      </c>
      <c r="AA195" s="72">
        <f t="shared" si="58"/>
        <v>5.7912999999999997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59"/>
        <v>0836-12</v>
      </c>
      <c r="AE195" s="108" t="str">
        <f t="shared" si="48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195" s="105" t="str">
        <f t="shared" si="49"/>
        <v>"C:\Program Files (x86)\AstroGrep\AstroGrep.exe" /spath="%USERPROFILE%\AppData\Local\Temp\OnboardLogs" /stypes="*4041*20160813*" /stext=" 00:.+((SYSTEM_STATE.+slice.+state.+changed )|(ment ac)|(system.+state.+changed )|(\|lc)|(penalty)|(\[timeout)|(PRM\|1\|D)|(kpr)|(kdp))" /e /r /s</v>
      </c>
      <c r="AG195" s="1" t="str">
        <f t="shared" si="60"/>
        <v>NW</v>
      </c>
      <c r="AH195" s="109" t="str">
        <f t="shared" si="61"/>
        <v>"%USERPROFILE%\Documents\GitHub\eaglep3\Utilities\RefineRTDCRunTimes.py" --tripid 836-12 --locoid 4041 --swversion DE.1.0.7.0 --startMP 300:58632 --initTime 2016-08-12T18:07:59 --startdatetime 2016-08-12T18:08:58 --delay 0 --endMP 204:719 --enddatetime 2016-08-12T18:25:59 --enforcementcount 0</v>
      </c>
    </row>
    <row r="196" spans="1:34" x14ac:dyDescent="0.25">
      <c r="A196" s="25" t="s">
        <v>618</v>
      </c>
      <c r="B196" s="150">
        <v>4007</v>
      </c>
      <c r="C196" s="151" t="s">
        <v>122</v>
      </c>
      <c r="D196" s="151" t="s">
        <v>619</v>
      </c>
      <c r="E196" s="152">
        <v>42594.764363425929</v>
      </c>
      <c r="F196" s="152">
        <v>42594.765185185184</v>
      </c>
      <c r="G196" s="150">
        <v>1</v>
      </c>
      <c r="H196" s="152" t="s">
        <v>620</v>
      </c>
      <c r="I196" s="152">
        <v>42594.775046296294</v>
      </c>
      <c r="J196" s="150">
        <v>0</v>
      </c>
      <c r="K196" s="149" t="str">
        <f t="shared" si="50"/>
        <v>4007/4008</v>
      </c>
      <c r="L196" s="25" t="str">
        <f>VLOOKUP(A196,'Trips&amp;Operators'!$C$1:$E$10000,3,FALSE)</f>
        <v>HELVIE</v>
      </c>
      <c r="M196" s="6">
        <f t="shared" si="51"/>
        <v>9.8611111097852699E-3</v>
      </c>
      <c r="N196" s="7">
        <f t="shared" si="52"/>
        <v>14.199999998090789</v>
      </c>
      <c r="O196" s="7"/>
      <c r="P196" s="7"/>
      <c r="Q196" s="26"/>
      <c r="R196" s="26"/>
      <c r="S196" s="38">
        <f t="shared" si="53"/>
        <v>1</v>
      </c>
      <c r="T196" s="55" t="str">
        <f t="shared" si="54"/>
        <v>NorthBound</v>
      </c>
      <c r="U196" s="13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17:20:41-0600',mode:absolute,to:'2016-08-12 19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6" s="57" t="str">
        <f t="shared" si="56"/>
        <v>N</v>
      </c>
      <c r="X196" s="133">
        <f t="shared" si="64"/>
        <v>1</v>
      </c>
      <c r="Y196" s="72">
        <f t="shared" si="63"/>
        <v>0.11509999999999999</v>
      </c>
      <c r="Z196" s="72">
        <f t="shared" si="57"/>
        <v>5.8912000000000004</v>
      </c>
      <c r="AA196" s="72">
        <f t="shared" si="58"/>
        <v>5.7761000000000005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59"/>
        <v>0837-12</v>
      </c>
      <c r="AE196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196" s="105" t="str">
        <f t="shared" si="49"/>
        <v>"C:\Program Files (x86)\AstroGrep\AstroGrep.exe" /spath="%USERPROFILE%\AppData\Local\Temp\OnboardLogs" /stypes="*4007*20160813*" /stext=" 00:.+((SYSTEM_STATE.+slice.+state.+changed )|(ment ac)|(system.+state.+changed )|(\|lc)|(penalty)|(\[timeout)|(PRM\|1\|D)|(kpr)|(kdp))" /e /r /s</v>
      </c>
      <c r="AG196" s="1" t="str">
        <f t="shared" si="60"/>
        <v>NW</v>
      </c>
      <c r="AH196" s="109" t="str">
        <f t="shared" si="61"/>
        <v>"%USERPROFILE%\Documents\GitHub\eaglep3\Utilities\RefineRTDCRunTimes.py" --tripid 837-12 --locoid 4007 --swversion DE.1.0.7.0 --startMP 204:1151 --initTime 2016-08-12T18:20:41 --startdatetime 2016-08-12T18:21:52 --delay 1 --endMP 300:58912 --enddatetime 2016-08-12T18:36:04 --enforcementcount 0</v>
      </c>
    </row>
    <row r="197" spans="1:34" x14ac:dyDescent="0.25">
      <c r="A197" s="25" t="s">
        <v>621</v>
      </c>
      <c r="B197" s="150">
        <v>4008</v>
      </c>
      <c r="C197" s="151" t="s">
        <v>122</v>
      </c>
      <c r="D197" s="151" t="s">
        <v>622</v>
      </c>
      <c r="E197" s="152">
        <v>42594.776377314818</v>
      </c>
      <c r="F197" s="152">
        <v>42594.77721064815</v>
      </c>
      <c r="G197" s="150">
        <v>1</v>
      </c>
      <c r="H197" s="152" t="s">
        <v>623</v>
      </c>
      <c r="I197" s="152">
        <v>42594.778356481482</v>
      </c>
      <c r="J197" s="150">
        <v>0</v>
      </c>
      <c r="K197" s="149" t="str">
        <f t="shared" si="50"/>
        <v>4007/4008</v>
      </c>
      <c r="L197" s="25" t="str">
        <f>VLOOKUP(A197,'Trips&amp;Operators'!$C$1:$E$10000,3,FALSE)</f>
        <v>HELVIE</v>
      </c>
      <c r="M197" s="6">
        <f t="shared" si="51"/>
        <v>1.1458333319751546E-3</v>
      </c>
      <c r="N197" s="7"/>
      <c r="O197" s="7"/>
      <c r="P197" s="7">
        <f t="shared" si="52"/>
        <v>1.6499999980442226</v>
      </c>
      <c r="Q197" s="26"/>
      <c r="R197" s="26" t="s">
        <v>675</v>
      </c>
      <c r="S197" s="38">
        <f t="shared" ref="S197" si="76">SUM(U197:U197)/IF(AG197="EC",12,1)</f>
        <v>0</v>
      </c>
      <c r="T197" s="55" t="str">
        <f t="shared" ref="T197" si="77">IF(ISEVEN(LEFT(AD197,4)),"Southbound","NorthBound")</f>
        <v>Southbound</v>
      </c>
      <c r="U197" s="13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15" t="str">
        <f t="shared" ref="V197" si="78"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https://search-rtdc-monitor-bjffxe2xuh6vdkpspy63sjmuny.us-east-1.es.amazonaws.com/_plugin/kibana/#/discover/Steve-Slow-Train-Analysis-(2080s-and-2083s)?_g=(refreshInterval:(display:Off,section:0,value:0),time:(from:'2016-08-12 17:37:59-0600',mode:absolute,to:'2016-08-12 19:40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97" s="57" t="str">
        <f t="shared" ref="W197" si="79">IF(AA197&lt;IF(AG197="EC",23,5.65),"Y","N")</f>
        <v>Y</v>
      </c>
      <c r="X197" s="133">
        <f t="shared" si="64"/>
        <v>1</v>
      </c>
      <c r="Y197" s="72">
        <f t="shared" si="63"/>
        <v>5.8593999999999999</v>
      </c>
      <c r="Z197" s="72">
        <f t="shared" si="57"/>
        <v>5.7347999999999999</v>
      </c>
      <c r="AA197" s="72">
        <f t="shared" si="58"/>
        <v>0.12460000000000004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59"/>
        <v>0838-12</v>
      </c>
      <c r="AE197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97" s="105" t="str">
        <f t="shared" si="49"/>
        <v>"C:\Program Files (x86)\AstroGrep\AstroGrep.exe" /spath="%USERPROFILE%\AppData\Local\Temp\OnboardLogs" /stypes="*4008*20160813*" /stext=" 00:.+((SYSTEM_STATE.+slice.+state.+changed )|(ment ac)|(system.+state.+changed )|(\|lc)|(penalty)|(\[timeout)|(PRM\|1\|D)|(kpr)|(kdp))" /e /r /s</v>
      </c>
      <c r="AG197" s="1" t="str">
        <f t="shared" si="60"/>
        <v>NW</v>
      </c>
      <c r="AH197" s="109" t="str">
        <f t="shared" si="61"/>
        <v>"%USERPROFILE%\Documents\GitHub\eaglep3\Utilities\RefineRTDCRunTimes.py" --tripid 838-12 --locoid 4008 --swversion DE.1.0.7.0 --startMP 300:58594 --initTime 2016-08-12T18:37:59 --startdatetime 2016-08-12T18:39:11 --delay 1 --endMP 300:57348 --enddatetime 2016-08-12T18:40:50 --enforcementcount 0</v>
      </c>
    </row>
    <row r="198" spans="1:34" x14ac:dyDescent="0.25">
      <c r="A198" s="25" t="s">
        <v>624</v>
      </c>
      <c r="B198" s="150">
        <v>4042</v>
      </c>
      <c r="C198" s="151" t="s">
        <v>122</v>
      </c>
      <c r="D198" s="151" t="s">
        <v>625</v>
      </c>
      <c r="E198" s="152">
        <v>42594.777650462966</v>
      </c>
      <c r="F198" s="152">
        <v>42594.778587962966</v>
      </c>
      <c r="G198" s="150">
        <v>1</v>
      </c>
      <c r="H198" s="152" t="s">
        <v>626</v>
      </c>
      <c r="I198" s="152">
        <v>42594.796203703707</v>
      </c>
      <c r="J198" s="150">
        <v>1</v>
      </c>
      <c r="K198" s="149" t="str">
        <f t="shared" si="50"/>
        <v>4041/4042</v>
      </c>
      <c r="L198" s="25" t="str">
        <f>VLOOKUP(A198,'Trips&amp;Operators'!$C$1:$E$10000,3,FALSE)</f>
        <v>NELSON</v>
      </c>
      <c r="M198" s="6">
        <f t="shared" si="51"/>
        <v>1.7615740740438923E-2</v>
      </c>
      <c r="N198" s="7">
        <f t="shared" si="52"/>
        <v>25.366666666232049</v>
      </c>
      <c r="O198" s="7"/>
      <c r="P198" s="7"/>
      <c r="Q198" s="26"/>
      <c r="R198" s="26"/>
      <c r="S198" s="38">
        <f t="shared" si="53"/>
        <v>1</v>
      </c>
      <c r="T198" s="55" t="str">
        <f t="shared" si="54"/>
        <v>NorthBound</v>
      </c>
      <c r="U198" s="13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17:39:49-0600',mode:absolute,to:'2016-08-12 20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98" s="57" t="str">
        <f t="shared" si="56"/>
        <v>N</v>
      </c>
      <c r="X198" s="133">
        <f t="shared" si="64"/>
        <v>1</v>
      </c>
      <c r="Y198" s="72">
        <f t="shared" si="63"/>
        <v>0.1014</v>
      </c>
      <c r="Z198" s="72">
        <f t="shared" si="57"/>
        <v>5.8916000000000004</v>
      </c>
      <c r="AA198" s="72">
        <f t="shared" si="58"/>
        <v>5.7902000000000005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59"/>
        <v>0839-12</v>
      </c>
      <c r="AE198" s="108" t="str">
        <f t="shared" si="48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198" s="105" t="str">
        <f t="shared" si="49"/>
        <v>"C:\Program Files (x86)\AstroGrep\AstroGrep.exe" /spath="%USERPROFILE%\AppData\Local\Temp\OnboardLogs" /stypes="*4042*20160813*" /stext=" 01:.+((SYSTEM_STATE.+slice.+state.+changed )|(ment ac)|(system.+state.+changed )|(\|lc)|(penalty)|(\[timeout)|(PRM\|1\|D)|(kpr)|(kdp))" /e /r /s</v>
      </c>
      <c r="AG198" s="1" t="str">
        <f t="shared" si="60"/>
        <v>NW</v>
      </c>
      <c r="AH198" s="109" t="str">
        <f t="shared" si="61"/>
        <v>"%USERPROFILE%\Documents\GitHub\eaglep3\Utilities\RefineRTDCRunTimes.py" --tripid 839-12 --locoid 4042 --swversion DE.1.0.7.0 --startMP 204:1014 --initTime 2016-08-12T18:39:49 --startdatetime 2016-08-12T18:41:10 --delay 1 --endMP 300:58916 --enddatetime 2016-08-12T19:06:32 --enforcementcount 1</v>
      </c>
    </row>
    <row r="199" spans="1:34" x14ac:dyDescent="0.25">
      <c r="A199" s="25" t="s">
        <v>627</v>
      </c>
      <c r="B199" s="150">
        <v>4008</v>
      </c>
      <c r="C199" s="151" t="s">
        <v>122</v>
      </c>
      <c r="D199" s="151" t="s">
        <v>202</v>
      </c>
      <c r="E199" s="152">
        <v>42594.816562499997</v>
      </c>
      <c r="F199" s="152">
        <v>42594.817418981482</v>
      </c>
      <c r="G199" s="150">
        <v>1</v>
      </c>
      <c r="H199" s="152" t="s">
        <v>628</v>
      </c>
      <c r="I199" s="152">
        <v>42594.829456018517</v>
      </c>
      <c r="J199" s="150">
        <v>0</v>
      </c>
      <c r="K199" s="149" t="str">
        <f t="shared" si="50"/>
        <v>4007/4008</v>
      </c>
      <c r="L199" s="25" t="str">
        <f>VLOOKUP(A199,'Trips&amp;Operators'!$C$1:$E$10000,3,FALSE)</f>
        <v>HELVIE</v>
      </c>
      <c r="M199" s="6">
        <f t="shared" si="51"/>
        <v>1.2037037035042886E-2</v>
      </c>
      <c r="N199" s="7">
        <f t="shared" si="52"/>
        <v>17.333333330461755</v>
      </c>
      <c r="O199" s="7"/>
      <c r="P199" s="7"/>
      <c r="Q199" s="26"/>
      <c r="R199" s="26"/>
      <c r="S199" s="38">
        <f t="shared" si="53"/>
        <v>1</v>
      </c>
      <c r="T199" s="55" t="str">
        <f t="shared" si="54"/>
        <v>Southbound</v>
      </c>
      <c r="U199" s="13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18:35:51-0600',mode:absolute,to:'2016-08-12 20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99" s="57" t="str">
        <f t="shared" si="56"/>
        <v>N</v>
      </c>
      <c r="X199" s="133">
        <f t="shared" si="64"/>
        <v>1</v>
      </c>
      <c r="Y199" s="72">
        <f t="shared" si="63"/>
        <v>5.8615000000000004</v>
      </c>
      <c r="Z199" s="72">
        <f t="shared" si="57"/>
        <v>9.2999999999999999E-2</v>
      </c>
      <c r="AA199" s="72">
        <f t="shared" si="58"/>
        <v>5.7685000000000004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59"/>
        <v>0840-12</v>
      </c>
      <c r="AE199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199" s="105" t="str">
        <f t="shared" si="49"/>
        <v>"C:\Program Files (x86)\AstroGrep\AstroGrep.exe" /spath="%USERPROFILE%\AppData\Local\Temp\OnboardLogs" /stypes="*4008*20160813*" /stext=" 01:.+((SYSTEM_STATE.+slice.+state.+changed )|(ment ac)|(system.+state.+changed )|(\|lc)|(penalty)|(\[timeout)|(PRM\|1\|D)|(kpr)|(kdp))" /e /r /s</v>
      </c>
      <c r="AG199" s="1" t="str">
        <f t="shared" si="60"/>
        <v>NW</v>
      </c>
      <c r="AH199" s="109" t="str">
        <f t="shared" si="61"/>
        <v>"%USERPROFILE%\Documents\GitHub\eaglep3\Utilities\RefineRTDCRunTimes.py" --tripid 840-12 --locoid 4008 --swversion DE.1.0.7.0 --startMP 300:58615 --initTime 2016-08-12T19:35:51 --startdatetime 2016-08-12T19:37:05 --delay 1 --endMP 204:930 --enddatetime 2016-08-12T19:54:25 --enforcementcount 0</v>
      </c>
    </row>
    <row r="200" spans="1:34" x14ac:dyDescent="0.25">
      <c r="A200" s="25" t="s">
        <v>629</v>
      </c>
      <c r="B200" s="150">
        <v>4007</v>
      </c>
      <c r="C200" s="151" t="s">
        <v>122</v>
      </c>
      <c r="D200" s="151" t="s">
        <v>630</v>
      </c>
      <c r="E200" s="152">
        <v>42594.804837962962</v>
      </c>
      <c r="F200" s="152">
        <v>42594.806157407409</v>
      </c>
      <c r="G200" s="150">
        <v>1</v>
      </c>
      <c r="H200" s="152" t="s">
        <v>631</v>
      </c>
      <c r="I200" s="152">
        <v>42594.815821759257</v>
      </c>
      <c r="J200" s="150">
        <v>0</v>
      </c>
      <c r="K200" s="149" t="str">
        <f t="shared" si="50"/>
        <v>4007/4008</v>
      </c>
      <c r="L200" s="25" t="str">
        <f>VLOOKUP(A200,'Trips&amp;Operators'!$C$1:$E$10000,3,FALSE)</f>
        <v>HELVIE</v>
      </c>
      <c r="M200" s="6">
        <f t="shared" si="51"/>
        <v>9.6643518481869251E-3</v>
      </c>
      <c r="N200" s="7">
        <f t="shared" si="52"/>
        <v>13.916666661389172</v>
      </c>
      <c r="O200" s="7"/>
      <c r="P200" s="7"/>
      <c r="Q200" s="26"/>
      <c r="R200" s="26"/>
      <c r="S200" s="38">
        <f t="shared" si="53"/>
        <v>1</v>
      </c>
      <c r="T200" s="55" t="str">
        <f t="shared" si="54"/>
        <v>NorthBound</v>
      </c>
      <c r="U200" s="13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18:18:58-0600',mode:absolute,to:'2016-08-12 20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0" s="57" t="str">
        <f t="shared" si="56"/>
        <v>N</v>
      </c>
      <c r="X200" s="133">
        <f t="shared" si="64"/>
        <v>1</v>
      </c>
      <c r="Y200" s="72">
        <f t="shared" si="63"/>
        <v>0.1111</v>
      </c>
      <c r="Z200" s="72">
        <f t="shared" si="57"/>
        <v>5.8933</v>
      </c>
      <c r="AA200" s="72">
        <f t="shared" si="58"/>
        <v>5.7821999999999996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59"/>
        <v>0841-12</v>
      </c>
      <c r="AE200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200" s="105" t="str">
        <f t="shared" si="49"/>
        <v>"C:\Program Files (x86)\AstroGrep\AstroGrep.exe" /spath="%USERPROFILE%\AppData\Local\Temp\OnboardLogs" /stypes="*4007*20160813*" /stext=" 01:.+((SYSTEM_STATE.+slice.+state.+changed )|(ment ac)|(system.+state.+changed )|(\|lc)|(penalty)|(\[timeout)|(PRM\|1\|D)|(kpr)|(kdp))" /e /r /s</v>
      </c>
      <c r="AG200" s="1" t="str">
        <f t="shared" si="60"/>
        <v>NW</v>
      </c>
      <c r="AH200" s="109" t="str">
        <f t="shared" si="61"/>
        <v>"%USERPROFILE%\Documents\GitHub\eaglep3\Utilities\RefineRTDCRunTimes.py" --tripid 841-12 --locoid 4007 --swversion DE.1.0.7.0 --startMP 204:1111 --initTime 2016-08-12T19:18:58 --startdatetime 2016-08-12T19:20:52 --delay 1 --endMP 300:58933 --enddatetime 2016-08-12T19:34:47 --enforcementcount 0</v>
      </c>
    </row>
    <row r="201" spans="1:34" x14ac:dyDescent="0.25">
      <c r="A201" s="25" t="s">
        <v>632</v>
      </c>
      <c r="B201" s="150">
        <v>4008</v>
      </c>
      <c r="C201" s="151" t="s">
        <v>122</v>
      </c>
      <c r="D201" s="151" t="s">
        <v>633</v>
      </c>
      <c r="E201" s="152">
        <v>42594.858611111114</v>
      </c>
      <c r="F201" s="152">
        <v>42594.859548611108</v>
      </c>
      <c r="G201" s="150">
        <v>1</v>
      </c>
      <c r="H201" s="152" t="s">
        <v>634</v>
      </c>
      <c r="I201" s="152">
        <v>42594.860439814816</v>
      </c>
      <c r="J201" s="150">
        <v>0</v>
      </c>
      <c r="K201" s="149" t="str">
        <f t="shared" si="50"/>
        <v>4007/4008</v>
      </c>
      <c r="L201" s="25" t="str">
        <f>VLOOKUP(A201,'Trips&amp;Operators'!$C$1:$E$10000,3,FALSE)</f>
        <v>HELVIE</v>
      </c>
      <c r="M201" s="6">
        <f t="shared" si="51"/>
        <v>8.9120370830642059E-4</v>
      </c>
      <c r="N201" s="7"/>
      <c r="O201" s="7"/>
      <c r="P201" s="7">
        <f t="shared" si="52"/>
        <v>1.2833333399612457</v>
      </c>
      <c r="Q201" s="26"/>
      <c r="R201" s="26" t="s">
        <v>675</v>
      </c>
      <c r="S201" s="38">
        <f t="shared" si="53"/>
        <v>0</v>
      </c>
      <c r="T201" s="55" t="str">
        <f t="shared" si="54"/>
        <v>Southbound</v>
      </c>
      <c r="U201" s="13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19:36:24-0600',mode:absolute,to:'2016-08-12 21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01" s="57" t="str">
        <f t="shared" si="56"/>
        <v>Y</v>
      </c>
      <c r="X201" s="133">
        <f t="shared" si="64"/>
        <v>1</v>
      </c>
      <c r="Y201" s="72">
        <f t="shared" si="63"/>
        <v>5.8575999999999997</v>
      </c>
      <c r="Z201" s="72">
        <f t="shared" si="57"/>
        <v>5.7363</v>
      </c>
      <c r="AA201" s="72">
        <f t="shared" si="58"/>
        <v>0.12129999999999974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59"/>
        <v>0842-12</v>
      </c>
      <c r="AE201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201" s="105" t="str">
        <f t="shared" si="49"/>
        <v>"C:\Program Files (x86)\AstroGrep\AstroGrep.exe" /spath="%USERPROFILE%\AppData\Local\Temp\OnboardLogs" /stypes="*4008*20160813*" /stext=" 02:.+((SYSTEM_STATE.+slice.+state.+changed )|(ment ac)|(system.+state.+changed )|(\|lc)|(penalty)|(\[timeout)|(PRM\|1\|D)|(kpr)|(kdp))" /e /r /s</v>
      </c>
      <c r="AG201" s="1" t="str">
        <f t="shared" si="60"/>
        <v>NW</v>
      </c>
      <c r="AH201" s="109" t="str">
        <f t="shared" si="61"/>
        <v>"%USERPROFILE%\Documents\GitHub\eaglep3\Utilities\RefineRTDCRunTimes.py" --tripid 842-12 --locoid 4008 --swversion DE.1.0.7.0 --startMP 300:58576 --initTime 2016-08-12T20:36:24 --startdatetime 2016-08-12T20:37:45 --delay 1 --endMP 300:57363 --enddatetime 2016-08-12T20:39:02 --enforcementcount 0</v>
      </c>
    </row>
    <row r="202" spans="1:34" x14ac:dyDescent="0.25">
      <c r="A202" s="25" t="s">
        <v>635</v>
      </c>
      <c r="B202" s="150">
        <v>4007</v>
      </c>
      <c r="C202" s="151" t="s">
        <v>122</v>
      </c>
      <c r="D202" s="151" t="s">
        <v>636</v>
      </c>
      <c r="E202" s="152">
        <v>42594.842303240737</v>
      </c>
      <c r="F202" s="152">
        <v>42594.843263888892</v>
      </c>
      <c r="G202" s="150">
        <v>1</v>
      </c>
      <c r="H202" s="152" t="s">
        <v>637</v>
      </c>
      <c r="I202" s="152">
        <v>42594.857546296298</v>
      </c>
      <c r="J202" s="150">
        <v>0</v>
      </c>
      <c r="K202" s="149" t="str">
        <f t="shared" si="50"/>
        <v>4007/4008</v>
      </c>
      <c r="L202" s="25" t="str">
        <f>VLOOKUP(A202,'Trips&amp;Operators'!$C$1:$E$10000,3,FALSE)</f>
        <v>HELVIE</v>
      </c>
      <c r="M202" s="6">
        <f t="shared" si="51"/>
        <v>1.4282407406426501E-2</v>
      </c>
      <c r="N202" s="7">
        <f t="shared" si="52"/>
        <v>20.566666665254161</v>
      </c>
      <c r="O202" s="7"/>
      <c r="P202" s="7"/>
      <c r="Q202" s="26"/>
      <c r="R202" s="26"/>
      <c r="S202" s="38">
        <f t="shared" si="53"/>
        <v>1</v>
      </c>
      <c r="T202" s="55" t="str">
        <f t="shared" si="54"/>
        <v>NorthBound</v>
      </c>
      <c r="U202" s="13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19:12:55-0600',mode:absolute,to:'2016-08-12 21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2" s="57" t="str">
        <f t="shared" si="56"/>
        <v>N</v>
      </c>
      <c r="X202" s="133">
        <f t="shared" si="64"/>
        <v>1</v>
      </c>
      <c r="Y202" s="72">
        <f t="shared" si="63"/>
        <v>0.1226</v>
      </c>
      <c r="Z202" s="72">
        <f t="shared" si="57"/>
        <v>5.8906999999999998</v>
      </c>
      <c r="AA202" s="72">
        <f t="shared" si="58"/>
        <v>5.7680999999999996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59"/>
        <v>0843-12</v>
      </c>
      <c r="AE202" s="108" t="str">
        <f t="shared" si="48"/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202" s="105" t="str">
        <f t="shared" si="49"/>
        <v>"C:\Program Files (x86)\AstroGrep\AstroGrep.exe" /spath="%USERPROFILE%\AppData\Local\Temp\OnboardLogs" /stypes="*4007*20160813*" /stext=" 02:.+((SYSTEM_STATE.+slice.+state.+changed )|(ment ac)|(system.+state.+changed )|(\|lc)|(penalty)|(\[timeout)|(PRM\|1\|D)|(kpr)|(kdp))" /e /r /s</v>
      </c>
      <c r="AG202" s="1" t="str">
        <f t="shared" si="60"/>
        <v>NW</v>
      </c>
      <c r="AH202" s="109" t="str">
        <f t="shared" si="61"/>
        <v>"%USERPROFILE%\Documents\GitHub\eaglep3\Utilities\RefineRTDCRunTimes.py" --tripid 843-12 --locoid 4007 --swversion DE.1.0.7.0 --startMP 204:1226 --initTime 2016-08-12T20:12:55 --startdatetime 2016-08-12T20:14:18 --delay 1 --endMP 300:58907 --enddatetime 2016-08-12T20:34:52 --enforcementcount 0</v>
      </c>
    </row>
    <row r="203" spans="1:34" x14ac:dyDescent="0.25">
      <c r="A203" s="25" t="s">
        <v>638</v>
      </c>
      <c r="B203" s="150">
        <v>4008</v>
      </c>
      <c r="C203" s="151" t="s">
        <v>122</v>
      </c>
      <c r="D203" s="151" t="s">
        <v>203</v>
      </c>
      <c r="E203" s="152">
        <v>42594.903807870367</v>
      </c>
      <c r="F203" s="152">
        <v>42594.905266203707</v>
      </c>
      <c r="G203" s="150">
        <v>2</v>
      </c>
      <c r="H203" s="152" t="s">
        <v>639</v>
      </c>
      <c r="I203" s="152">
        <v>42594.916307870371</v>
      </c>
      <c r="J203" s="150">
        <v>0</v>
      </c>
      <c r="K203" s="149" t="str">
        <f t="shared" si="50"/>
        <v>4007/4008</v>
      </c>
      <c r="L203" s="25" t="str">
        <f>VLOOKUP(A203,'Trips&amp;Operators'!$C$1:$E$10000,3,FALSE)</f>
        <v>NELSON</v>
      </c>
      <c r="M203" s="6">
        <f t="shared" si="51"/>
        <v>1.1041666664823424E-2</v>
      </c>
      <c r="N203" s="7">
        <f t="shared" si="52"/>
        <v>15.899999997345731</v>
      </c>
      <c r="O203" s="7"/>
      <c r="P203" s="7"/>
      <c r="Q203" s="26"/>
      <c r="R203" s="26"/>
      <c r="S203" s="38">
        <f t="shared" si="53"/>
        <v>1</v>
      </c>
      <c r="T203" s="55" t="str">
        <f t="shared" si="54"/>
        <v>Southbound</v>
      </c>
      <c r="U203" s="13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20:41:29-0600',mode:absolute,to:'2016-08-12 22:59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03" s="57" t="str">
        <f t="shared" si="56"/>
        <v>N</v>
      </c>
      <c r="X203" s="133">
        <f t="shared" si="64"/>
        <v>1</v>
      </c>
      <c r="Y203" s="72">
        <f t="shared" si="63"/>
        <v>5.8644999999999996</v>
      </c>
      <c r="Z203" s="72">
        <f t="shared" si="57"/>
        <v>7.2700000000000001E-2</v>
      </c>
      <c r="AA203" s="72">
        <f t="shared" si="58"/>
        <v>5.7917999999999994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59"/>
        <v>0844-12</v>
      </c>
      <c r="AE203" s="108" t="str">
        <f t="shared" si="48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203" s="105" t="str">
        <f t="shared" si="49"/>
        <v>"C:\Program Files (x86)\AstroGrep\AstroGrep.exe" /spath="%USERPROFILE%\AppData\Local\Temp\OnboardLogs" /stypes="*4008*20160813*" /stext=" 03:.+((SYSTEM_STATE.+slice.+state.+changed )|(ment ac)|(system.+state.+changed )|(\|lc)|(penalty)|(\[timeout)|(PRM\|1\|D)|(kpr)|(kdp))" /e /r /s</v>
      </c>
      <c r="AG203" s="1" t="str">
        <f t="shared" si="60"/>
        <v>NW</v>
      </c>
      <c r="AH203" s="109" t="str">
        <f t="shared" si="61"/>
        <v>"%USERPROFILE%\Documents\GitHub\eaglep3\Utilities\RefineRTDCRunTimes.py" --tripid 844-12 --locoid 4008 --swversion DE.1.0.7.0 --startMP 300:58645 --initTime 2016-08-12T21:41:29 --startdatetime 2016-08-12T21:43:35 --delay 2 --endMP 204:727 --enddatetime 2016-08-12T21:59:29 --enforcementcount 0</v>
      </c>
    </row>
    <row r="204" spans="1:34" s="24" customFormat="1" x14ac:dyDescent="0.25">
      <c r="A204" s="25" t="s">
        <v>676</v>
      </c>
      <c r="B204" s="150" t="s">
        <v>163</v>
      </c>
      <c r="C204" s="151" t="s">
        <v>163</v>
      </c>
      <c r="D204" s="151" t="s">
        <v>163</v>
      </c>
      <c r="E204" s="152" t="s">
        <v>163</v>
      </c>
      <c r="F204" s="152" t="s">
        <v>163</v>
      </c>
      <c r="G204" s="150" t="s">
        <v>163</v>
      </c>
      <c r="H204" s="152" t="s">
        <v>163</v>
      </c>
      <c r="I204" s="152" t="s">
        <v>163</v>
      </c>
      <c r="J204" s="150" t="s">
        <v>163</v>
      </c>
      <c r="K204" s="149" t="e">
        <f t="shared" ref="K204" si="80">IF(ISEVEN(B204),(B204-1)&amp;"/"&amp;B204,B204&amp;"/"&amp;(B204+1))</f>
        <v>#VALUE!</v>
      </c>
      <c r="L204" s="25" t="e">
        <f>VLOOKUP(A204,'Trips&amp;Operators'!$C$1:$E$10000,3,FALSE)</f>
        <v>#N/A</v>
      </c>
      <c r="M204" s="6" t="e">
        <f t="shared" ref="M204" si="81">I204-F204</f>
        <v>#VALUE!</v>
      </c>
      <c r="N204" s="7"/>
      <c r="O204" s="7"/>
      <c r="P204" s="7">
        <v>1</v>
      </c>
      <c r="Q204" s="26"/>
      <c r="R204" s="26" t="s">
        <v>188</v>
      </c>
      <c r="S204" s="38">
        <f t="shared" ref="S204" si="82">SUM(U204:U204)/IF(AG204="EC",12,1)</f>
        <v>0</v>
      </c>
      <c r="T204" s="55" t="str">
        <f t="shared" ref="T204" si="83">IF(ISEVEN(LEFT(AD204,4)),"Southbound","NorthBound")</f>
        <v>NorthBound</v>
      </c>
      <c r="U204" s="13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15" t="e">
        <f t="shared" ref="V204" si="84"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204&amp;"%22')),sort:!(Time,asc))"</f>
        <v>#VALUE!</v>
      </c>
      <c r="W204" s="57" t="e">
        <f t="shared" ref="W204" si="85">IF(AA204&lt;IF(AG204="EC",23,5.65),"Y","N")</f>
        <v>#VALUE!</v>
      </c>
      <c r="X204" s="133">
        <f t="shared" si="64"/>
        <v>1</v>
      </c>
      <c r="Y204" s="72" t="e">
        <f t="shared" ref="Y204" si="86">RIGHT(D204,LEN(D204)-4)/10000</f>
        <v>#VALUE!</v>
      </c>
      <c r="Z204" s="72" t="e">
        <f t="shared" ref="Z204" si="87">RIGHT(H204,LEN(H204)-4)/10000</f>
        <v>#VALUE!</v>
      </c>
      <c r="AA204" s="72" t="e">
        <f t="shared" ref="AA204" si="88">ABS(Z204-Y204)</f>
        <v>#VALUE!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 t="shared" ref="AD204" si="89">IF(LEN(A204)=6,"0"&amp;A204,A204)</f>
        <v>0845-12</v>
      </c>
      <c r="AE204" s="108" t="e">
        <f t="shared" si="48"/>
        <v>#VALUE!</v>
      </c>
      <c r="AF204" s="105" t="e">
        <f t="shared" si="49"/>
        <v>#VALUE!</v>
      </c>
      <c r="AG204" s="1" t="str">
        <f t="shared" ref="AG204" si="90">IF(VALUE(LEFT(AD204,2))&lt;=2,"EC",IF(OR(VALUE(LEFT(AD204,2))=8,VALUE(LEFT(AD204,2))=18),"NW","Other"))</f>
        <v>NW</v>
      </c>
      <c r="AH204" s="109" t="str">
        <f t="shared" ref="AH204" si="9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</f>
        <v>"%USERPROFILE%\Documents\GitHub\eaglep3\Utilities\RefineRTDCRunTimes.py" --tripid 845-12 --locoid - --swversion - --startMP - --initTime - --startdatetime - --delay - --endMP - --enddatetime - --enforcementcount -</v>
      </c>
    </row>
    <row r="205" spans="1:34" ht="15.75" customHeight="1" x14ac:dyDescent="0.25">
      <c r="A205" s="25" t="s">
        <v>640</v>
      </c>
      <c r="B205" s="150">
        <v>4007</v>
      </c>
      <c r="C205" s="151" t="s">
        <v>122</v>
      </c>
      <c r="D205" s="151" t="s">
        <v>615</v>
      </c>
      <c r="E205" s="152">
        <v>42594.917430555557</v>
      </c>
      <c r="F205" s="152">
        <v>42594.918310185189</v>
      </c>
      <c r="G205" s="150">
        <v>1</v>
      </c>
      <c r="H205" s="152" t="s">
        <v>641</v>
      </c>
      <c r="I205" s="152">
        <v>42594.942465277774</v>
      </c>
      <c r="J205" s="150">
        <v>0</v>
      </c>
      <c r="K205" s="149" t="str">
        <f t="shared" si="50"/>
        <v>4007/4008</v>
      </c>
      <c r="L205" s="25" t="str">
        <f>VLOOKUP(A205,'Trips&amp;Operators'!$C$1:$E$10000,3,FALSE)</f>
        <v>NELSON</v>
      </c>
      <c r="M205" s="6">
        <f t="shared" si="51"/>
        <v>2.4155092585715465E-2</v>
      </c>
      <c r="N205" s="7">
        <f t="shared" si="52"/>
        <v>34.78333332343027</v>
      </c>
      <c r="O205" s="7"/>
      <c r="P205" s="7"/>
      <c r="Q205" s="26"/>
      <c r="R205" s="26"/>
      <c r="S205" s="38">
        <f t="shared" si="53"/>
        <v>1</v>
      </c>
      <c r="T205" s="55" t="str">
        <f t="shared" si="54"/>
        <v>NorthBound</v>
      </c>
      <c r="U205" s="13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21:01:06-0600',mode:absolute,to:'2016-08-12 23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5" s="57" t="str">
        <f t="shared" si="56"/>
        <v>N</v>
      </c>
      <c r="X205" s="133">
        <f t="shared" si="64"/>
        <v>2</v>
      </c>
      <c r="Y205" s="72">
        <f t="shared" si="63"/>
        <v>0.1021</v>
      </c>
      <c r="Z205" s="72">
        <f t="shared" si="57"/>
        <v>5.8925999999999998</v>
      </c>
      <c r="AA205" s="72">
        <f t="shared" si="58"/>
        <v>5.7904999999999998</v>
      </c>
      <c r="AB205" s="69" t="e">
        <f>VLOOKUP(A205,Enforcements!$C$7:$J$24,8,0)</f>
        <v>#N/A</v>
      </c>
      <c r="AC205" s="65" t="e">
        <f>VLOOKUP(A205,Enforcements!$C$7:$E$24,3,0)</f>
        <v>#N/A</v>
      </c>
      <c r="AD205" s="66" t="str">
        <f t="shared" si="59"/>
        <v>0847-12</v>
      </c>
      <c r="AE205" s="108" t="str">
        <f t="shared" ref="AE205:AE229" si="92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AF205" s="105" t="str">
        <f t="shared" ref="AF205:AF229" si="93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/stypes="*4007*20160813*" /stext=" 04:.+((SYSTEM_STATE.+slice.+state.+changed )|(ment ac)|(system.+state.+changed )|(\|lc)|(penalty)|(\[timeout)|(PRM\|1\|D)|(kpr)|(kdp))" /e /r /s</v>
      </c>
      <c r="AG205" s="1" t="str">
        <f t="shared" si="60"/>
        <v>NW</v>
      </c>
      <c r="AH205" s="109" t="str">
        <f t="shared" si="61"/>
        <v>"%USERPROFILE%\Documents\GitHub\eaglep3\Utilities\RefineRTDCRunTimes.py" --tripid 847-12 --locoid 4007 --swversion DE.1.0.7.0 --startMP 204:1021 --initTime 2016-08-12T22:01:06 --startdatetime 2016-08-12T22:02:22 --delay 1 --endMP 300:58926 --enddatetime 2016-08-12T22:37:09 --enforcementcount 0</v>
      </c>
    </row>
    <row r="206" spans="1:34" x14ac:dyDescent="0.25">
      <c r="A206" s="42" t="s">
        <v>491</v>
      </c>
      <c r="B206" s="7">
        <v>4027</v>
      </c>
      <c r="C206" s="25" t="s">
        <v>122</v>
      </c>
      <c r="D206" s="25" t="s">
        <v>136</v>
      </c>
      <c r="E206" s="16">
        <v>42594.777719907404</v>
      </c>
      <c r="F206" s="16">
        <v>42594.778865740744</v>
      </c>
      <c r="G206" s="7">
        <v>1</v>
      </c>
      <c r="H206" s="16" t="s">
        <v>492</v>
      </c>
      <c r="I206" s="16">
        <v>42594.796689814815</v>
      </c>
      <c r="J206" s="7">
        <v>0</v>
      </c>
      <c r="K206" s="149" t="str">
        <f t="shared" si="50"/>
        <v>4027/4028</v>
      </c>
      <c r="L206" s="25" t="str">
        <f>VLOOKUP(A206,'Trips&amp;Operators'!$C$1:$E$10000,3,FALSE)</f>
        <v>MOSES</v>
      </c>
      <c r="M206" s="6">
        <f t="shared" si="51"/>
        <v>1.7824074071540963E-2</v>
      </c>
      <c r="N206" s="7">
        <f t="shared" si="52"/>
        <v>25.666666663018987</v>
      </c>
      <c r="O206" s="7"/>
      <c r="P206" s="7"/>
      <c r="Q206" s="26"/>
      <c r="R206" s="26"/>
      <c r="S206" s="38">
        <f t="shared" si="53"/>
        <v>1</v>
      </c>
      <c r="T206" s="55" t="str">
        <f t="shared" si="54"/>
        <v>NorthBound</v>
      </c>
      <c r="U206" s="13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17:39:55-0600',mode:absolute,to:'2016-08-12 20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06" s="57" t="str">
        <f t="shared" si="56"/>
        <v>Y</v>
      </c>
      <c r="X206" s="133">
        <f t="shared" si="64"/>
        <v>-544</v>
      </c>
      <c r="Y206" s="72">
        <f t="shared" si="63"/>
        <v>4.5499999999999999E-2</v>
      </c>
      <c r="Z206" s="72">
        <f t="shared" si="57"/>
        <v>2.3311999999999999</v>
      </c>
      <c r="AA206" s="72">
        <f t="shared" si="58"/>
        <v>2.2856999999999998</v>
      </c>
      <c r="AB206" s="69" t="e">
        <f>VLOOKUP(A206,Enforcements!$C$7:$J$24,8,0)</f>
        <v>#N/A</v>
      </c>
      <c r="AC206" s="65" t="e">
        <f>VLOOKUP(A206,Enforcements!$C$7:$E$24,3,0)</f>
        <v>#N/A</v>
      </c>
      <c r="AD206" s="66" t="str">
        <f t="shared" si="59"/>
        <v>0303-12</v>
      </c>
      <c r="AE206" s="108" t="str">
        <f t="shared" si="92"/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AF206" s="105" t="str">
        <f t="shared" si="93"/>
        <v>"C:\Program Files (x86)\AstroGrep\AstroGrep.exe" /spath="%USERPROFILE%\AppData\Local\Temp\OnboardLogs" /stypes="*4027*20160813*" /stext=" 01:.+((SYSTEM_STATE.+slice.+state.+changed )|(ment ac)|(system.+state.+changed )|(\|lc)|(penalty)|(\[timeout)|(PRM\|1\|D)|(kpr)|(kdp))" /e /r /s</v>
      </c>
      <c r="AG206" s="1" t="str">
        <f t="shared" si="60"/>
        <v>Other</v>
      </c>
      <c r="AH206" s="109" t="str">
        <f t="shared" si="61"/>
        <v>"%USERPROFILE%\Documents\GitHub\eaglep3\Utilities\RefineRTDCRunTimes.py" --tripid 303-12 --locoid 4027 --swversion DE.1.0.7.0 --startMP 204:455 --initTime 2016-08-12T18:39:55 --startdatetime 2016-08-12T18:41:34 --delay 1 --endMP 300:23312 --enddatetime 2016-08-12T19:07:14 --enforcementcount 0</v>
      </c>
    </row>
    <row r="207" spans="1:34" x14ac:dyDescent="0.25">
      <c r="A207" s="42" t="s">
        <v>493</v>
      </c>
      <c r="B207" s="7">
        <v>4018</v>
      </c>
      <c r="C207" s="25" t="s">
        <v>122</v>
      </c>
      <c r="D207" s="25" t="s">
        <v>494</v>
      </c>
      <c r="E207" s="16">
        <v>42594.804131944446</v>
      </c>
      <c r="F207" s="16">
        <v>42594.805254629631</v>
      </c>
      <c r="G207" s="7">
        <v>1</v>
      </c>
      <c r="H207" s="16" t="s">
        <v>495</v>
      </c>
      <c r="I207" s="16">
        <v>42594.807106481479</v>
      </c>
      <c r="J207" s="7">
        <v>1</v>
      </c>
      <c r="K207" s="149" t="str">
        <f t="shared" si="50"/>
        <v>4017/4018</v>
      </c>
      <c r="L207" s="25" t="str">
        <f>VLOOKUP(A207,'Trips&amp;Operators'!$C$1:$E$10000,3,FALSE)</f>
        <v>SHOOK</v>
      </c>
      <c r="M207" s="6">
        <f t="shared" si="51"/>
        <v>1.8518518481869251E-3</v>
      </c>
      <c r="N207" s="7">
        <f t="shared" si="52"/>
        <v>2.6666666613891721</v>
      </c>
      <c r="O207" s="7"/>
      <c r="P207" s="7"/>
      <c r="Q207" s="26"/>
      <c r="R207" s="26"/>
      <c r="S207" s="38">
        <f t="shared" si="53"/>
        <v>0</v>
      </c>
      <c r="T207" s="55" t="str">
        <f t="shared" si="54"/>
        <v>NorthBound</v>
      </c>
      <c r="U207" s="13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15" t="str">
        <f t="shared" si="55"/>
        <v>https://search-rtdc-monitor-bjffxe2xuh6vdkpspy63sjmuny.us-east-1.es.amazonaws.com/_plugin/kibana/#/discover/Steve-Slow-Train-Analysis-(2080s-and-2083s)?_g=(refreshInterval:(display:Off,section:0,value:0),time:(from:'2016-08-12 18:17:57-0600',mode:absolute,to:'2016-08-12 20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07" s="57" t="str">
        <f t="shared" si="56"/>
        <v>Y</v>
      </c>
      <c r="X207" s="133">
        <f t="shared" si="64"/>
        <v>2</v>
      </c>
      <c r="Y207" s="72">
        <f t="shared" si="63"/>
        <v>0.1484</v>
      </c>
      <c r="Z207" s="72">
        <f t="shared" si="57"/>
        <v>0.19170000000000001</v>
      </c>
      <c r="AA207" s="72">
        <f t="shared" si="58"/>
        <v>4.3300000000000005E-2</v>
      </c>
      <c r="AB207" s="69" t="e">
        <f>VLOOKUP(A207,Enforcements!$C$7:$J$24,8,0)</f>
        <v>#N/A</v>
      </c>
      <c r="AC207" s="65" t="e">
        <f>VLOOKUP(A207,Enforcements!$C$7:$E$24,3,0)</f>
        <v>#N/A</v>
      </c>
      <c r="AD207" s="66" t="str">
        <f t="shared" si="59"/>
        <v>0305-12</v>
      </c>
      <c r="AE207" s="108" t="str">
        <f t="shared" si="92"/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AF207" s="105" t="str">
        <f t="shared" si="93"/>
        <v>"C:\Program Files (x86)\AstroGrep\AstroGrep.exe" /spath="%USERPROFILE%\AppData\Local\Temp\OnboardLogs" /stypes="*4018*20160813*" /stext=" 01:.+((SYSTEM_STATE.+slice.+state.+changed )|(ment ac)|(system.+state.+changed )|(\|lc)|(penalty)|(\[timeout)|(PRM\|1\|D)|(kpr)|(kdp))" /e /r /s</v>
      </c>
      <c r="AG207" s="1" t="str">
        <f t="shared" si="60"/>
        <v>Other</v>
      </c>
      <c r="AH207" s="109" t="str">
        <f t="shared" si="61"/>
        <v>"%USERPROFILE%\Documents\GitHub\eaglep3\Utilities\RefineRTDCRunTimes.py" --tripid 305-12 --locoid 4018 --swversion DE.1.0.7.0 --startMP 204:1484 --initTime 2016-08-12T19:17:57 --startdatetime 2016-08-12T19:19:34 --delay 1 --endMP 204:1917 --enddatetime 2016-08-12T19:22:14 --enforcementcount 1</v>
      </c>
    </row>
    <row r="208" spans="1:34" x14ac:dyDescent="0.25">
      <c r="A208" s="42" t="s">
        <v>496</v>
      </c>
      <c r="B208" s="7">
        <v>4020</v>
      </c>
      <c r="C208" s="25" t="s">
        <v>122</v>
      </c>
      <c r="D208" s="25" t="s">
        <v>220</v>
      </c>
      <c r="E208" s="16">
        <v>42594.81695601852</v>
      </c>
      <c r="F208" s="16">
        <v>42594.817627314813</v>
      </c>
      <c r="G208" s="7">
        <v>0</v>
      </c>
      <c r="H208" s="16" t="s">
        <v>497</v>
      </c>
      <c r="I208" s="16">
        <v>42594.832812499997</v>
      </c>
      <c r="J208" s="7">
        <v>0</v>
      </c>
      <c r="K208" s="149" t="str">
        <f t="shared" ref="K208:K229" si="94">IF(ISEVEN(B208),(B208-1)&amp;"/"&amp;B208,B208&amp;"/"&amp;(B208+1))</f>
        <v>4019/4020</v>
      </c>
      <c r="L208" s="25" t="str">
        <f>VLOOKUP(A208,'Trips&amp;Operators'!$C$1:$E$10000,3,FALSE)</f>
        <v>HAITHCOX</v>
      </c>
      <c r="M208" s="6">
        <f t="shared" ref="M208:M229" si="95">I208-F208</f>
        <v>1.5185185184236616E-2</v>
      </c>
      <c r="N208" s="7">
        <f t="shared" ref="N208:N229" si="96">24*60*SUM($M208:$M208)</f>
        <v>21.866666665300727</v>
      </c>
      <c r="O208" s="7"/>
      <c r="P208" s="7"/>
      <c r="Q208" s="26"/>
      <c r="R208" s="26"/>
      <c r="S208" s="38">
        <f t="shared" ref="S208:S229" si="97">SUM(U208:U208)/IF(AG208="EC",12,1)</f>
        <v>1</v>
      </c>
      <c r="T208" s="55" t="str">
        <f t="shared" ref="T208:T229" si="98">IF(ISEVEN(LEFT(AD208,4)),"Southbound","NorthBound")</f>
        <v>NorthBound</v>
      </c>
      <c r="U208" s="13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5" t="str">
        <f t="shared" ref="V208:V229" si="99"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https://search-rtdc-monitor-bjffxe2xuh6vdkpspy63sjmuny.us-east-1.es.amazonaws.com/_plugin/kibana/#/discover/Steve-Slow-Train-Analysis-(2080s-and-2083s)?_g=(refreshInterval:(display:Off,section:0,value:0),time:(from:'2016-08-12 18:36:25-0600',mode:absolute,to:'2016-08-12 20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08" s="57" t="str">
        <f t="shared" ref="W208:W229" si="100">IF(AA208&lt;IF(AG208="EC",23,5.65),"Y","N")</f>
        <v>Y</v>
      </c>
      <c r="X208" s="133">
        <f t="shared" si="64"/>
        <v>2</v>
      </c>
      <c r="Y208" s="72">
        <f t="shared" ref="Y208:Y229" si="101">RIGHT(D208,LEN(D208)-4)/10000</f>
        <v>4.6600000000000003E-2</v>
      </c>
      <c r="Z208" s="72">
        <f t="shared" ref="Z208:Z229" si="102">RIGHT(H208,LEN(H208)-4)/10000</f>
        <v>2.3306</v>
      </c>
      <c r="AA208" s="72">
        <f t="shared" ref="AA208:AA229" si="103">ABS(Z208-Y208)</f>
        <v>2.2839999999999998</v>
      </c>
      <c r="AB208" s="69" t="e">
        <f>VLOOKUP(A208,Enforcements!$C$7:$J$24,8,0)</f>
        <v>#N/A</v>
      </c>
      <c r="AC208" s="65" t="e">
        <f>VLOOKUP(A208,Enforcements!$C$7:$E$24,3,0)</f>
        <v>#N/A</v>
      </c>
      <c r="AD208" s="66" t="str">
        <f t="shared" ref="AD208:AD229" si="104">IF(LEN(A208)=6,"0"&amp;A208,A208)</f>
        <v>0307-12</v>
      </c>
      <c r="AE208" s="108" t="str">
        <f t="shared" si="92"/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AF208" s="105" t="str">
        <f t="shared" si="93"/>
        <v>"C:\Program Files (x86)\AstroGrep\AstroGrep.exe" /spath="%USERPROFILE%\AppData\Local\Temp\OnboardLogs" /stypes="*4020*20160813*" /stext=" 01:.+((SYSTEM_STATE.+slice.+state.+changed )|(ment ac)|(system.+state.+changed )|(\|lc)|(penalty)|(\[timeout)|(PRM\|1\|D)|(kpr)|(kdp))" /e /r /s</v>
      </c>
      <c r="AG208" s="1" t="str">
        <f t="shared" ref="AG208:AG229" si="105">IF(VALUE(LEFT(AD208,2))&lt;=2,"EC",IF(OR(VALUE(LEFT(AD208,2))=8,VALUE(LEFT(AD208,2))=18),"NW","Other"))</f>
        <v>Other</v>
      </c>
      <c r="AH208" s="109" t="str">
        <f t="shared" ref="AH208:AH229" si="10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</f>
        <v>"%USERPROFILE%\Documents\GitHub\eaglep3\Utilities\RefineRTDCRunTimes.py" --tripid 307-12 --locoid 4020 --swversion DE.1.0.7.0 --startMP 204:466 --initTime 2016-08-12T19:36:25 --startdatetime 2016-08-12T19:37:23 --delay 0 --endMP 300:23306 --enddatetime 2016-08-12T19:59:15 --enforcementcount 0</v>
      </c>
    </row>
    <row r="209" spans="1:34" x14ac:dyDescent="0.25">
      <c r="A209" s="42" t="s">
        <v>498</v>
      </c>
      <c r="B209" s="7">
        <v>4029</v>
      </c>
      <c r="C209" s="25" t="s">
        <v>122</v>
      </c>
      <c r="D209" s="25" t="s">
        <v>144</v>
      </c>
      <c r="E209" s="16">
        <v>42595.045405092591</v>
      </c>
      <c r="F209" s="16">
        <v>42595.046747685185</v>
      </c>
      <c r="G209" s="7">
        <v>1</v>
      </c>
      <c r="H209" s="16" t="s">
        <v>499</v>
      </c>
      <c r="I209" s="16">
        <v>42595.051874999997</v>
      </c>
      <c r="J209" s="7">
        <v>0</v>
      </c>
      <c r="K209" s="149" t="str">
        <f t="shared" si="94"/>
        <v>4029/4030</v>
      </c>
      <c r="L209" s="25" t="str">
        <f>VLOOKUP(A209,'Trips&amp;Operators'!$C$1:$E$10000,3,FALSE)</f>
        <v>YANAI</v>
      </c>
      <c r="M209" s="6">
        <f t="shared" si="95"/>
        <v>5.1273148128530011E-3</v>
      </c>
      <c r="N209" s="7">
        <f t="shared" si="96"/>
        <v>7.3833333305083215</v>
      </c>
      <c r="O209" s="7"/>
      <c r="P209" s="7"/>
      <c r="Q209" s="26"/>
      <c r="R209" s="26"/>
      <c r="S209" s="38">
        <f t="shared" si="97"/>
        <v>1</v>
      </c>
      <c r="T209" s="55" t="str">
        <f t="shared" si="98"/>
        <v>NorthBound</v>
      </c>
      <c r="U209" s="13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https://search-rtdc-monitor-bjffxe2xuh6vdkpspy63sjmuny.us-east-1.es.amazonaws.com/_plugin/kibana/#/discover/Steve-Slow-Train-Analysis-(2080s-and-2083s)?_g=(refreshInterval:(display:Off,section:0,value:0),time:(from:'2016-08-13 00:05:23-0600',mode:absolute,to:'2016-08-13 02:14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09" s="57" t="str">
        <f t="shared" si="100"/>
        <v>Y</v>
      </c>
      <c r="X209" s="133">
        <f t="shared" si="64"/>
        <v>2</v>
      </c>
      <c r="Y209" s="72">
        <f t="shared" si="101"/>
        <v>4.7100000000000003E-2</v>
      </c>
      <c r="Z209" s="72">
        <f t="shared" si="102"/>
        <v>2.3024</v>
      </c>
      <c r="AA209" s="72">
        <f t="shared" si="103"/>
        <v>2.2553000000000001</v>
      </c>
      <c r="AB209" s="69" t="e">
        <f>VLOOKUP(A209,Enforcements!$C$7:$J$24,8,0)</f>
        <v>#N/A</v>
      </c>
      <c r="AC209" s="65" t="e">
        <f>VLOOKUP(A209,Enforcements!$C$7:$E$24,3,0)</f>
        <v>#N/A</v>
      </c>
      <c r="AD209" s="66" t="str">
        <f t="shared" si="104"/>
        <v>0309-12</v>
      </c>
      <c r="AE209" s="108" t="str">
        <f t="shared" si="92"/>
        <v>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 &amp; 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</v>
      </c>
      <c r="AF209" s="105" t="str">
        <f t="shared" si="93"/>
        <v>"C:\Program Files (x86)\AstroGrep\AstroGrep.exe" /spath="%USERPROFILE%\AppData\Local\Temp\OnboardLogs" /stypes="*4029*20160813*" /stext=" 07:.+((SYSTEM_STATE.+slice.+state.+changed )|(ment ac)|(system.+state.+changed )|(\|lc)|(penalty)|(\[timeout)|(PRM\|1\|D)|(kpr)|(kdp))" /e /r /s</v>
      </c>
      <c r="AG209" s="1" t="str">
        <f t="shared" si="105"/>
        <v>Other</v>
      </c>
      <c r="AH209" s="109" t="str">
        <f t="shared" si="106"/>
        <v>"%USERPROFILE%\Documents\GitHub\eaglep3\Utilities\RefineRTDCRunTimes.py" --tripid 309-12 --locoid 4029 --swversion DE.1.0.7.0 --startMP 204:471 --initTime 2016-08-13T01:05:23 --startdatetime 2016-08-13T01:07:19 --delay 1 --endMP 300:23024 --enddatetime 2016-08-13T01:14:42 --enforcementcount 0</v>
      </c>
    </row>
    <row r="210" spans="1:34" x14ac:dyDescent="0.25">
      <c r="A210" s="42" t="s">
        <v>500</v>
      </c>
      <c r="B210" s="7">
        <v>4031</v>
      </c>
      <c r="C210" s="25" t="s">
        <v>122</v>
      </c>
      <c r="D210" s="25" t="s">
        <v>226</v>
      </c>
      <c r="E210" s="16">
        <v>42595.067766203705</v>
      </c>
      <c r="F210" s="16">
        <v>42595.068831018521</v>
      </c>
      <c r="G210" s="7">
        <v>1</v>
      </c>
      <c r="H210" s="16" t="s">
        <v>501</v>
      </c>
      <c r="I210" s="16">
        <v>42595.075624999998</v>
      </c>
      <c r="J210" s="7">
        <v>0</v>
      </c>
      <c r="K210" s="149" t="str">
        <f t="shared" si="94"/>
        <v>4031/4032</v>
      </c>
      <c r="L210" s="25" t="str">
        <f>VLOOKUP(A210,'Trips&amp;Operators'!$C$1:$E$10000,3,FALSE)</f>
        <v>STAMBAUGH</v>
      </c>
      <c r="M210" s="6">
        <f t="shared" si="95"/>
        <v>6.7939814762212336E-3</v>
      </c>
      <c r="N210" s="7">
        <f t="shared" si="96"/>
        <v>9.7833333257585764</v>
      </c>
      <c r="O210" s="7"/>
      <c r="P210" s="7"/>
      <c r="Q210" s="26"/>
      <c r="R210" s="26"/>
      <c r="S210" s="38">
        <f t="shared" si="97"/>
        <v>1</v>
      </c>
      <c r="T210" s="55" t="str">
        <f t="shared" si="98"/>
        <v>NorthBound</v>
      </c>
      <c r="U210" s="13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https://search-rtdc-monitor-bjffxe2xuh6vdkpspy63sjmuny.us-east-1.es.amazonaws.com/_plugin/kibana/#/discover/Steve-Slow-Train-Analysis-(2080s-and-2083s)?_g=(refreshInterval:(display:Off,section:0,value:0),time:(from:'2016-08-13 00:37:35-0600',mode:absolute,to:'2016-08-13 02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10" s="57" t="str">
        <f t="shared" si="100"/>
        <v>Y</v>
      </c>
      <c r="X210" s="133">
        <f t="shared" si="64"/>
        <v>2</v>
      </c>
      <c r="Y210" s="72">
        <f t="shared" si="101"/>
        <v>4.4200000000000003E-2</v>
      </c>
      <c r="Z210" s="72">
        <f t="shared" si="102"/>
        <v>2.3304</v>
      </c>
      <c r="AA210" s="72">
        <f t="shared" si="103"/>
        <v>2.2862</v>
      </c>
      <c r="AB210" s="69" t="e">
        <f>VLOOKUP(A210,Enforcements!$C$7:$J$24,8,0)</f>
        <v>#N/A</v>
      </c>
      <c r="AC210" s="65" t="e">
        <f>VLOOKUP(A210,Enforcements!$C$7:$E$24,3,0)</f>
        <v>#N/A</v>
      </c>
      <c r="AD210" s="66" t="str">
        <f t="shared" si="104"/>
        <v>0311-12</v>
      </c>
      <c r="AE210" s="108" t="str">
        <f t="shared" si="92"/>
        <v>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 &amp; 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</v>
      </c>
      <c r="AF210" s="105" t="str">
        <f t="shared" si="93"/>
        <v>"C:\Program Files (x86)\AstroGrep\AstroGrep.exe" /spath="%USERPROFILE%\AppData\Local\Temp\OnboardLogs" /stypes="*4031*20160813*" /stext=" 07:.+((SYSTEM_STATE.+slice.+state.+changed )|(ment ac)|(system.+state.+changed )|(\|lc)|(penalty)|(\[timeout)|(PRM\|1\|D)|(kpr)|(kdp))" /e /r /s</v>
      </c>
      <c r="AG210" s="1" t="str">
        <f t="shared" si="105"/>
        <v>Other</v>
      </c>
      <c r="AH210" s="109" t="str">
        <f t="shared" si="106"/>
        <v>"%USERPROFILE%\Documents\GitHub\eaglep3\Utilities\RefineRTDCRunTimes.py" --tripid 311-12 --locoid 4031 --swversion DE.1.0.7.0 --startMP 204:442 --initTime 2016-08-13T01:37:35 --startdatetime 2016-08-13T01:39:07 --delay 1 --endMP 300:23304 --enddatetime 2016-08-13T01:48:54 --enforcementcount 0</v>
      </c>
    </row>
    <row r="211" spans="1:34" x14ac:dyDescent="0.25">
      <c r="A211" s="42" t="s">
        <v>235</v>
      </c>
      <c r="B211" s="7">
        <v>4025</v>
      </c>
      <c r="C211" s="25" t="s">
        <v>122</v>
      </c>
      <c r="D211" s="25" t="s">
        <v>182</v>
      </c>
      <c r="E211" s="16">
        <v>42594.087685185186</v>
      </c>
      <c r="F211" s="16">
        <v>42594.089050925926</v>
      </c>
      <c r="G211" s="7">
        <v>1</v>
      </c>
      <c r="H211" s="16" t="s">
        <v>236</v>
      </c>
      <c r="I211" s="16">
        <v>42594.100300925929</v>
      </c>
      <c r="J211" s="7">
        <v>0</v>
      </c>
      <c r="K211" s="149" t="str">
        <f t="shared" si="94"/>
        <v>4025/4026</v>
      </c>
      <c r="L211" s="25" t="str">
        <f>VLOOKUP(A211,'Trips&amp;Operators'!$C$1:$E$10000,3,FALSE)</f>
        <v>ISHMAEL</v>
      </c>
      <c r="M211" s="6">
        <f t="shared" si="95"/>
        <v>1.1250000003201421E-2</v>
      </c>
      <c r="N211" s="7">
        <f t="shared" si="96"/>
        <v>16.200000004610047</v>
      </c>
      <c r="O211" s="7"/>
      <c r="P211" s="7"/>
      <c r="Q211" s="26"/>
      <c r="R211" s="26"/>
      <c r="S211" s="38">
        <f t="shared" si="97"/>
        <v>1</v>
      </c>
      <c r="T211" s="55" t="str">
        <f t="shared" si="98"/>
        <v>NorthBound</v>
      </c>
      <c r="U211" s="13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01:06:16-0600',mode:absolute,to:'2016-08-12 03:24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11" s="57" t="str">
        <f t="shared" si="100"/>
        <v>Y</v>
      </c>
      <c r="X211" s="133">
        <f t="shared" ref="X211:X229" si="107">VALUE(LEFT(AD211,4))-VALUE(LEFT(AD210,4))</f>
        <v>4</v>
      </c>
      <c r="Y211" s="72">
        <f t="shared" si="101"/>
        <v>4.8899999999999999E-2</v>
      </c>
      <c r="Z211" s="72">
        <f t="shared" si="102"/>
        <v>2.3308</v>
      </c>
      <c r="AA211" s="72">
        <f t="shared" si="103"/>
        <v>2.2818999999999998</v>
      </c>
      <c r="AB211" s="69" t="e">
        <f>VLOOKUP(A211,Enforcements!$C$7:$J$24,8,0)</f>
        <v>#N/A</v>
      </c>
      <c r="AC211" s="65" t="e">
        <f>VLOOKUP(A211,Enforcements!$C$7:$E$24,3,0)</f>
        <v>#N/A</v>
      </c>
      <c r="AD211" s="66" t="str">
        <f t="shared" si="104"/>
        <v>0315-11</v>
      </c>
      <c r="AE211" s="108" t="str">
        <f t="shared" si="92"/>
        <v>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 &amp; aws s3 cp s3://rtdc.mdm.uploadarchive/RTDC4025/2016-08-13/ "%USERPROFILE%\AppData\Local\Temp\OnboardLogs"\RTDC4025\2016-08-13 --recursive &amp; "%USERPROFILE%\Documents\GitHub\mrs-test-scripts\Headless Mode &amp; Sideloading\WalkAndUnGZ.bat" "%USERPROFILE%\AppData\Local\Temp\OnboardLogs"\RTDC4025\2016-08-13</v>
      </c>
      <c r="AF211" s="105" t="str">
        <f t="shared" si="93"/>
        <v>"C:\Program Files (x86)\AstroGrep\AstroGrep.exe" /spath="%USERPROFILE%\AppData\Local\Temp\OnboardLogs" /stypes="*4025*20160812*" /stext=" 08:.+((SYSTEM_STATE.+slice.+state.+changed )|(ment ac)|(system.+state.+changed )|(\|lc)|(penalty)|(\[timeout)|(PRM\|1\|D)|(kpr)|(kdp))" /e /r /s</v>
      </c>
      <c r="AG211" s="1" t="str">
        <f t="shared" si="105"/>
        <v>Other</v>
      </c>
      <c r="AH211" s="109" t="str">
        <f t="shared" si="106"/>
        <v>"%USERPROFILE%\Documents\GitHub\eaglep3\Utilities\RefineRTDCRunTimes.py" --tripid 315-11 --locoid 4025 --swversion DE.1.0.7.0 --startMP 204:489 --initTime 2016-08-12T02:06:16 --startdatetime 2016-08-12T02:08:14 --delay 1 --endMP 300:23308 --enddatetime 2016-08-12T02:24:26 --enforcementcount 0</v>
      </c>
    </row>
    <row r="212" spans="1:34" x14ac:dyDescent="0.25">
      <c r="A212" s="42" t="s">
        <v>502</v>
      </c>
      <c r="B212" s="7">
        <v>4038</v>
      </c>
      <c r="C212" s="25" t="s">
        <v>122</v>
      </c>
      <c r="D212" s="25" t="s">
        <v>172</v>
      </c>
      <c r="E212" s="16">
        <v>42595.110138888886</v>
      </c>
      <c r="F212" s="16">
        <v>42595.111145833333</v>
      </c>
      <c r="G212" s="7">
        <v>1</v>
      </c>
      <c r="H212" s="16" t="s">
        <v>503</v>
      </c>
      <c r="I212" s="16">
        <v>42595.119050925925</v>
      </c>
      <c r="J212" s="7">
        <v>0</v>
      </c>
      <c r="K212" s="149" t="str">
        <f t="shared" si="94"/>
        <v>4037/4038</v>
      </c>
      <c r="L212" s="25" t="str">
        <f>VLOOKUP(A212,'Trips&amp;Operators'!$C$1:$E$10000,3,FALSE)</f>
        <v>LEVIN</v>
      </c>
      <c r="M212" s="6">
        <f t="shared" si="95"/>
        <v>7.9050925924093463E-3</v>
      </c>
      <c r="N212" s="7">
        <f t="shared" si="96"/>
        <v>11.383333333069459</v>
      </c>
      <c r="O212" s="7"/>
      <c r="P212" s="7"/>
      <c r="Q212" s="26"/>
      <c r="R212" s="26"/>
      <c r="S212" s="38">
        <f t="shared" si="97"/>
        <v>1</v>
      </c>
      <c r="T212" s="55" t="str">
        <f t="shared" si="98"/>
        <v>NorthBound</v>
      </c>
      <c r="U212" s="13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https://search-rtdc-monitor-bjffxe2xuh6vdkpspy63sjmuny.us-east-1.es.amazonaws.com/_plugin/kibana/#/discover/Steve-Slow-Train-Analysis-(2080s-and-2083s)?_g=(refreshInterval:(display:Off,section:0,value:0),time:(from:'2016-08-13 01:38:36-0600',mode:absolute,to:'2016-08-13 03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12" s="57" t="str">
        <f t="shared" si="100"/>
        <v>Y</v>
      </c>
      <c r="X212" s="133">
        <f t="shared" si="107"/>
        <v>0</v>
      </c>
      <c r="Y212" s="72">
        <f t="shared" si="101"/>
        <v>4.6899999999999997E-2</v>
      </c>
      <c r="Z212" s="72">
        <f t="shared" si="102"/>
        <v>2.3346</v>
      </c>
      <c r="AA212" s="72">
        <f t="shared" si="103"/>
        <v>2.2877000000000001</v>
      </c>
      <c r="AB212" s="69" t="e">
        <f>VLOOKUP(A212,Enforcements!$C$7:$J$24,8,0)</f>
        <v>#N/A</v>
      </c>
      <c r="AC212" s="65" t="e">
        <f>VLOOKUP(A212,Enforcements!$C$7:$E$24,3,0)</f>
        <v>#N/A</v>
      </c>
      <c r="AD212" s="66" t="str">
        <f t="shared" si="104"/>
        <v>0315-12</v>
      </c>
      <c r="AE212" s="108" t="str">
        <f t="shared" si="92"/>
        <v>aws s3 cp s3://rtdc.mdm.uploadarchive/RTDC4038/2016-08-13/ "%USERPROFILE%\AppData\Local\Temp\OnboardLogs"\RTDC4038\2016-08-13 --recursive &amp; "%USERPROFILE%\Documents\GitHub\mrs-test-scripts\Headless Mode &amp; Sideloading\WalkAndUnGZ.bat" "%USERPROFILE%\AppData\Local\Temp\OnboardLogs"\RTDC4038\2016-08-13 &amp; 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</v>
      </c>
      <c r="AF212" s="105" t="str">
        <f t="shared" si="93"/>
        <v>"C:\Program Files (x86)\AstroGrep\AstroGrep.exe" /spath="%USERPROFILE%\AppData\Local\Temp\OnboardLogs" /stypes="*4038*20160813*" /stext=" 08:.+((SYSTEM_STATE.+slice.+state.+changed )|(ment ac)|(system.+state.+changed )|(\|lc)|(penalty)|(\[timeout)|(PRM\|1\|D)|(kpr)|(kdp))" /e /r /s</v>
      </c>
      <c r="AG212" s="1" t="str">
        <f t="shared" si="105"/>
        <v>Other</v>
      </c>
      <c r="AH212" s="109" t="str">
        <f t="shared" si="106"/>
        <v>"%USERPROFILE%\Documents\GitHub\eaglep3\Utilities\RefineRTDCRunTimes.py" --tripid 315-12 --locoid 4038 --swversion DE.1.0.7.0 --startMP 204:469 --initTime 2016-08-13T02:38:36 --startdatetime 2016-08-13T02:40:03 --delay 1 --endMP 300:23346 --enddatetime 2016-08-13T02:51:26 --enforcementcount 0</v>
      </c>
    </row>
    <row r="213" spans="1:34" x14ac:dyDescent="0.25">
      <c r="A213" s="25" t="s">
        <v>642</v>
      </c>
      <c r="B213" s="150">
        <v>4042</v>
      </c>
      <c r="C213" s="151" t="s">
        <v>122</v>
      </c>
      <c r="D213" s="151" t="s">
        <v>643</v>
      </c>
      <c r="E213" s="152">
        <v>42594.353622685187</v>
      </c>
      <c r="F213" s="152">
        <v>42594.354861111111</v>
      </c>
      <c r="G213" s="150">
        <v>1</v>
      </c>
      <c r="H213" s="152" t="s">
        <v>644</v>
      </c>
      <c r="I213" s="152">
        <v>42594.363368055558</v>
      </c>
      <c r="J213" s="150">
        <v>0</v>
      </c>
      <c r="K213" s="149" t="str">
        <f t="shared" si="94"/>
        <v>4041/4042</v>
      </c>
      <c r="L213" s="25" t="str">
        <f>VLOOKUP(A213,'Trips&amp;Operators'!$C$1:$E$10000,3,FALSE)</f>
        <v>STRICKLAND</v>
      </c>
      <c r="M213" s="6">
        <f t="shared" si="95"/>
        <v>8.5069444467080757E-3</v>
      </c>
      <c r="N213" s="7">
        <f t="shared" si="96"/>
        <v>12.250000003259629</v>
      </c>
      <c r="O213" s="7"/>
      <c r="P213" s="7"/>
      <c r="Q213" s="26"/>
      <c r="R213" s="26"/>
      <c r="S213" s="38">
        <f t="shared" si="97"/>
        <v>1</v>
      </c>
      <c r="T213" s="55" t="str">
        <f t="shared" si="98"/>
        <v>NorthBound</v>
      </c>
      <c r="U213" s="13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07:29:13-0600',mode:absolute,to:'2016-08-12 09:43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213" s="57" t="str">
        <f t="shared" si="100"/>
        <v>Y</v>
      </c>
      <c r="X213" s="133">
        <f t="shared" si="107"/>
        <v>588</v>
      </c>
      <c r="Y213" s="72">
        <f t="shared" si="101"/>
        <v>0.1046</v>
      </c>
      <c r="Z213" s="72">
        <f t="shared" si="102"/>
        <v>2.5446</v>
      </c>
      <c r="AA213" s="72">
        <f t="shared" si="103"/>
        <v>2.44</v>
      </c>
      <c r="AB213" s="69" t="e">
        <f>VLOOKUP(A213,Enforcements!$C$7:$J$24,8,0)</f>
        <v>#N/A</v>
      </c>
      <c r="AC213" s="65" t="e">
        <f>VLOOKUP(A213,Enforcements!$C$7:$E$24,3,0)</f>
        <v>#N/A</v>
      </c>
      <c r="AD213" s="66" t="str">
        <f t="shared" si="104"/>
        <v>0903-12</v>
      </c>
      <c r="AE213" s="108" t="str">
        <f t="shared" si="92"/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AF213" s="105" t="str">
        <f t="shared" si="93"/>
        <v>"C:\Program Files (x86)\AstroGrep\AstroGrep.exe" /spath="%USERPROFILE%\AppData\Local\Temp\OnboardLogs" /stypes="*4042*20160812*" /stext=" 14:.+((SYSTEM_STATE.+slice.+state.+changed )|(ment ac)|(system.+state.+changed )|(\|lc)|(penalty)|(\[timeout)|(PRM\|1\|D)|(kpr)|(kdp))" /e /r /s</v>
      </c>
      <c r="AG213" s="1" t="str">
        <f t="shared" si="105"/>
        <v>Other</v>
      </c>
      <c r="AH213" s="109" t="str">
        <f t="shared" si="106"/>
        <v>"%USERPROFILE%\Documents\GitHub\eaglep3\Utilities\RefineRTDCRunTimes.py" --tripid 903-12 --locoid 4042 --swversion DE.1.0.7.0 --startMP 204:1046 --initTime 2016-08-12T08:29:13 --startdatetime 2016-08-12T08:31:00 --delay 1 --endMP 300:25446 --enddatetime 2016-08-12T08:43:15 --enforcementcount 0</v>
      </c>
    </row>
    <row r="214" spans="1:34" x14ac:dyDescent="0.25">
      <c r="A214" s="25" t="s">
        <v>645</v>
      </c>
      <c r="B214" s="150">
        <v>4041</v>
      </c>
      <c r="C214" s="151" t="s">
        <v>122</v>
      </c>
      <c r="D214" s="151" t="s">
        <v>646</v>
      </c>
      <c r="E214" s="152">
        <v>42594.645208333335</v>
      </c>
      <c r="F214" s="152">
        <v>42594.647083333337</v>
      </c>
      <c r="G214" s="150">
        <v>2</v>
      </c>
      <c r="H214" s="152" t="s">
        <v>647</v>
      </c>
      <c r="I214" s="152">
        <v>42594.656597222223</v>
      </c>
      <c r="J214" s="150">
        <v>1</v>
      </c>
      <c r="K214" s="149" t="str">
        <f t="shared" si="94"/>
        <v>4041/4042</v>
      </c>
      <c r="L214" s="25" t="str">
        <f>VLOOKUP(A214,'Trips&amp;Operators'!$C$1:$E$10000,3,FALSE)</f>
        <v>NELSON</v>
      </c>
      <c r="M214" s="6">
        <f t="shared" si="95"/>
        <v>9.5138888864312321E-3</v>
      </c>
      <c r="N214" s="7">
        <f t="shared" si="96"/>
        <v>13.699999996460974</v>
      </c>
      <c r="O214" s="7"/>
      <c r="P214" s="7"/>
      <c r="Q214" s="26"/>
      <c r="R214" s="26"/>
      <c r="S214" s="38">
        <f t="shared" si="97"/>
        <v>1</v>
      </c>
      <c r="T214" s="55" t="str">
        <f t="shared" si="98"/>
        <v>Southbound</v>
      </c>
      <c r="U214" s="13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14:29:06-0600',mode:absolute,to:'2016-08-12 16:45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214" s="57" t="str">
        <f t="shared" si="100"/>
        <v>Y</v>
      </c>
      <c r="X214" s="133">
        <f t="shared" si="107"/>
        <v>1</v>
      </c>
      <c r="Y214" s="72">
        <f t="shared" si="101"/>
        <v>2.5461</v>
      </c>
      <c r="Z214" s="72">
        <f t="shared" si="102"/>
        <v>1.3100000000000001E-2</v>
      </c>
      <c r="AA214" s="72">
        <f t="shared" si="103"/>
        <v>2.5329999999999999</v>
      </c>
      <c r="AB214" s="69" t="e">
        <f>VLOOKUP(A214,Enforcements!$C$7:$J$24,8,0)</f>
        <v>#N/A</v>
      </c>
      <c r="AC214" s="65" t="e">
        <f>VLOOKUP(A214,Enforcements!$C$7:$E$24,3,0)</f>
        <v>#N/A</v>
      </c>
      <c r="AD214" s="66" t="str">
        <f t="shared" si="104"/>
        <v>0904-12</v>
      </c>
      <c r="AE214" s="108" t="str">
        <f t="shared" si="92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214" s="105" t="str">
        <f t="shared" si="93"/>
        <v>"C:\Program Files (x86)\AstroGrep\AstroGrep.exe" /spath="%USERPROFILE%\AppData\Local\Temp\OnboardLogs" /stypes="*4041*20160812*" /stext=" 21:.+((SYSTEM_STATE.+slice.+state.+changed )|(ment ac)|(system.+state.+changed )|(\|lc)|(penalty)|(\[timeout)|(PRM\|1\|D)|(kpr)|(kdp))" /e /r /s</v>
      </c>
      <c r="AG214" s="1" t="str">
        <f t="shared" si="105"/>
        <v>Other</v>
      </c>
      <c r="AH214" s="109" t="str">
        <f t="shared" si="106"/>
        <v>"%USERPROFILE%\Documents\GitHub\eaglep3\Utilities\RefineRTDCRunTimes.py" --tripid 904-12 --locoid 4041 --swversion DE.1.0.7.0 --startMP 300:25461 --initTime 2016-08-12T15:29:06 --startdatetime 2016-08-12T15:31:48 --delay 2 --endMP 204:131 --enddatetime 2016-08-12T15:45:30 --enforcementcount 1</v>
      </c>
    </row>
    <row r="215" spans="1:34" x14ac:dyDescent="0.25">
      <c r="A215" s="25" t="s">
        <v>648</v>
      </c>
      <c r="B215" s="150">
        <v>4041</v>
      </c>
      <c r="C215" s="151" t="s">
        <v>122</v>
      </c>
      <c r="D215" s="151" t="s">
        <v>594</v>
      </c>
      <c r="E215" s="152">
        <v>42594.798229166663</v>
      </c>
      <c r="F215" s="152">
        <v>42594.798993055556</v>
      </c>
      <c r="G215" s="150">
        <v>1</v>
      </c>
      <c r="H215" s="152" t="s">
        <v>649</v>
      </c>
      <c r="I215" s="152">
        <v>42594.804166666669</v>
      </c>
      <c r="J215" s="150">
        <v>0</v>
      </c>
      <c r="K215" s="149" t="str">
        <f t="shared" si="94"/>
        <v>4041/4042</v>
      </c>
      <c r="L215" s="25" t="str">
        <f>VLOOKUP(A215,'Trips&amp;Operators'!$C$1:$E$10000,3,FALSE)</f>
        <v>NELSON</v>
      </c>
      <c r="M215" s="6">
        <f t="shared" si="95"/>
        <v>5.173611112695653E-3</v>
      </c>
      <c r="N215" s="7">
        <f t="shared" si="96"/>
        <v>7.4500000022817403</v>
      </c>
      <c r="O215" s="7"/>
      <c r="P215" s="7"/>
      <c r="Q215" s="26"/>
      <c r="R215" s="26"/>
      <c r="S215" s="38">
        <f t="shared" si="97"/>
        <v>0</v>
      </c>
      <c r="T215" s="55" t="str">
        <f t="shared" si="98"/>
        <v>Southbound</v>
      </c>
      <c r="U215" s="13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18:09:27-0600',mode:absolute,to:'2016-08-12 20:18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215" s="57" t="str">
        <f t="shared" si="100"/>
        <v>Y</v>
      </c>
      <c r="X215" s="133">
        <f t="shared" si="107"/>
        <v>2</v>
      </c>
      <c r="Y215" s="72">
        <f t="shared" si="101"/>
        <v>5.8605999999999998</v>
      </c>
      <c r="Z215" s="72">
        <f t="shared" si="102"/>
        <v>2.8767</v>
      </c>
      <c r="AA215" s="72">
        <f t="shared" si="103"/>
        <v>2.9838999999999998</v>
      </c>
      <c r="AB215" s="69" t="e">
        <f>VLOOKUP(A215,Enforcements!$C$7:$J$24,8,0)</f>
        <v>#N/A</v>
      </c>
      <c r="AC215" s="65" t="e">
        <f>VLOOKUP(A215,Enforcements!$C$7:$E$24,3,0)</f>
        <v>#N/A</v>
      </c>
      <c r="AD215" s="66" t="str">
        <f t="shared" si="104"/>
        <v>0906-12</v>
      </c>
      <c r="AE215" s="108" t="str">
        <f t="shared" si="92"/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AF215" s="105" t="str">
        <f t="shared" si="93"/>
        <v>"C:\Program Files (x86)\AstroGrep\AstroGrep.exe" /spath="%USERPROFILE%\AppData\Local\Temp\OnboardLogs" /stypes="*4041*20160813*" /stext=" 01:.+((SYSTEM_STATE.+slice.+state.+changed )|(ment ac)|(system.+state.+changed )|(\|lc)|(penalty)|(\[timeout)|(PRM\|1\|D)|(kpr)|(kdp))" /e /r /s</v>
      </c>
      <c r="AG215" s="1" t="str">
        <f t="shared" si="105"/>
        <v>Other</v>
      </c>
      <c r="AH215" s="109" t="str">
        <f t="shared" si="106"/>
        <v>"%USERPROFILE%\Documents\GitHub\eaglep3\Utilities\RefineRTDCRunTimes.py" --tripid 906-12 --locoid 4041 --swversion DE.1.0.7.0 --startMP 300:58606 --initTime 2016-08-12T19:09:27 --startdatetime 2016-08-12T19:10:33 --delay 1 --endMP 300:28767 --enddatetime 2016-08-12T19:18:00 --enforcementcount 0</v>
      </c>
    </row>
    <row r="216" spans="1:34" x14ac:dyDescent="0.25">
      <c r="A216" s="25" t="s">
        <v>650</v>
      </c>
      <c r="B216" s="150">
        <v>4008</v>
      </c>
      <c r="C216" s="151" t="s">
        <v>122</v>
      </c>
      <c r="D216" s="151" t="s">
        <v>612</v>
      </c>
      <c r="E216" s="152">
        <v>42594.945555555554</v>
      </c>
      <c r="F216" s="152">
        <v>42594.946469907409</v>
      </c>
      <c r="G216" s="150">
        <v>1</v>
      </c>
      <c r="H216" s="152" t="s">
        <v>651</v>
      </c>
      <c r="I216" s="152">
        <v>42594.952743055554</v>
      </c>
      <c r="J216" s="150">
        <v>0</v>
      </c>
      <c r="K216" s="149" t="str">
        <f t="shared" si="94"/>
        <v>4007/4008</v>
      </c>
      <c r="L216" s="25" t="str">
        <f>VLOOKUP(A216,'Trips&amp;Operators'!$C$1:$E$10000,3,FALSE)</f>
        <v>NELSON</v>
      </c>
      <c r="M216" s="6">
        <f t="shared" si="95"/>
        <v>6.2731481448281556E-3</v>
      </c>
      <c r="N216" s="7">
        <f t="shared" si="96"/>
        <v>9.0333333285525441</v>
      </c>
      <c r="O216" s="7"/>
      <c r="P216" s="7"/>
      <c r="Q216" s="26"/>
      <c r="R216" s="26"/>
      <c r="S216" s="38">
        <f t="shared" si="97"/>
        <v>0</v>
      </c>
      <c r="T216" s="55" t="str">
        <f t="shared" si="98"/>
        <v>Southbound</v>
      </c>
      <c r="U216" s="13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21:41:36-0600',mode:absolute,to:'2016-08-12 23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16" s="57" t="str">
        <f t="shared" si="100"/>
        <v>Y</v>
      </c>
      <c r="X216" s="133">
        <f t="shared" si="107"/>
        <v>2</v>
      </c>
      <c r="Y216" s="72">
        <f t="shared" si="101"/>
        <v>5.8611000000000004</v>
      </c>
      <c r="Z216" s="72">
        <f t="shared" si="102"/>
        <v>2.1913</v>
      </c>
      <c r="AA216" s="72">
        <f t="shared" si="103"/>
        <v>3.6698000000000004</v>
      </c>
      <c r="AB216" s="69" t="e">
        <f>VLOOKUP(A216,Enforcements!$C$7:$J$24,8,0)</f>
        <v>#N/A</v>
      </c>
      <c r="AC216" s="65" t="e">
        <f>VLOOKUP(A216,Enforcements!$C$7:$E$24,3,0)</f>
        <v>#N/A</v>
      </c>
      <c r="AD216" s="66" t="str">
        <f t="shared" si="104"/>
        <v>0908-12</v>
      </c>
      <c r="AE216" s="108" t="str">
        <f t="shared" si="92"/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AF216" s="105" t="str">
        <f t="shared" si="93"/>
        <v>"C:\Program Files (x86)\AstroGrep\AstroGrep.exe" /spath="%USERPROFILE%\AppData\Local\Temp\OnboardLogs" /stypes="*4008*20160813*" /stext=" 04:.+((SYSTEM_STATE.+slice.+state.+changed )|(ment ac)|(system.+state.+changed )|(\|lc)|(penalty)|(\[timeout)|(PRM\|1\|D)|(kpr)|(kdp))" /e /r /s</v>
      </c>
      <c r="AG216" s="1" t="str">
        <f t="shared" si="105"/>
        <v>Other</v>
      </c>
      <c r="AH216" s="109" t="str">
        <f t="shared" si="106"/>
        <v>"%USERPROFILE%\Documents\GitHub\eaglep3\Utilities\RefineRTDCRunTimes.py" --tripid 908-12 --locoid 4008 --swversion DE.1.0.7.0 --startMP 300:58611 --initTime 2016-08-12T22:41:36 --startdatetime 2016-08-12T22:42:55 --delay 1 --endMP 300:21913 --enddatetime 2016-08-12T22:51:57 --enforcementcount 0</v>
      </c>
    </row>
    <row r="217" spans="1:34" x14ac:dyDescent="0.25">
      <c r="A217" s="42" t="s">
        <v>504</v>
      </c>
      <c r="B217" s="7">
        <v>4021</v>
      </c>
      <c r="C217" s="25" t="s">
        <v>122</v>
      </c>
      <c r="D217" s="25" t="s">
        <v>505</v>
      </c>
      <c r="E217" s="16">
        <v>42594.712893518517</v>
      </c>
      <c r="F217" s="16">
        <v>42594.714629629627</v>
      </c>
      <c r="G217" s="7">
        <v>2</v>
      </c>
      <c r="H217" s="16">
        <v>8.5347222222222232</v>
      </c>
      <c r="I217" s="16">
        <v>42594.72042824074</v>
      </c>
      <c r="J217" s="7">
        <v>0</v>
      </c>
      <c r="K217" s="149" t="str">
        <f t="shared" si="94"/>
        <v>4021/4022</v>
      </c>
      <c r="L217" s="25" t="str">
        <f>VLOOKUP(A217,'Trips&amp;Operators'!$C$1:$E$10000,3,FALSE)</f>
        <v>YANAI</v>
      </c>
      <c r="M217" s="6">
        <f t="shared" si="95"/>
        <v>5.7986111132777296E-3</v>
      </c>
      <c r="N217" s="7">
        <f t="shared" si="96"/>
        <v>8.3500000031199306</v>
      </c>
      <c r="O217" s="7"/>
      <c r="P217" s="7"/>
      <c r="Q217" s="26"/>
      <c r="R217" s="26"/>
      <c r="S217" s="38">
        <f t="shared" si="97"/>
        <v>0</v>
      </c>
      <c r="T217" s="55" t="e">
        <f t="shared" si="98"/>
        <v>#VALUE!</v>
      </c>
      <c r="U217" s="13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16:06:34-0600',mode:absolute,to:'2016-08-12 18:17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W217" s="57" t="str">
        <f t="shared" si="100"/>
        <v>N</v>
      </c>
      <c r="X217" s="133" t="e">
        <f t="shared" si="107"/>
        <v>#VALUE!</v>
      </c>
      <c r="Y217" s="72">
        <f t="shared" si="101"/>
        <v>2.3677999999999999</v>
      </c>
      <c r="Z217" s="72">
        <f t="shared" si="102"/>
        <v>47222222.222199999</v>
      </c>
      <c r="AA217" s="72">
        <f t="shared" si="103"/>
        <v>47222219.854400001</v>
      </c>
      <c r="AB217" s="69" t="e">
        <f>VLOOKUP(A217,Enforcements!$C$7:$J$24,8,0)</f>
        <v>#N/A</v>
      </c>
      <c r="AC217" s="65" t="e">
        <f>VLOOKUP(A217,Enforcements!$C$7:$E$24,3,0)</f>
        <v>#N/A</v>
      </c>
      <c r="AD217" s="66" t="str">
        <f t="shared" si="104"/>
        <v>62-12</v>
      </c>
      <c r="AE217" s="108" t="str">
        <f t="shared" si="92"/>
        <v>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 &amp; aws s3 cp s3://rtdc.mdm.uploadarchive/RTDC4021/2016-08-13/ "%USERPROFILE%\AppData\Local\Temp\OnboardLogs"\RTDC4021\2016-08-13 --recursive &amp; "%USERPROFILE%\Documents\GitHub\mrs-test-scripts\Headless Mode &amp; Sideloading\WalkAndUnGZ.bat" "%USERPROFILE%\AppData\Local\Temp\OnboardLogs"\RTDC4021\2016-08-13</v>
      </c>
      <c r="AF217" s="105" t="str">
        <f t="shared" si="93"/>
        <v>"C:\Program Files (x86)\AstroGrep\AstroGrep.exe" /spath="%USERPROFILE%\AppData\Local\Temp\OnboardLogs" /stypes="*4021*20160812*" /stext=" 23:.+((SYSTEM_STATE.+slice.+state.+changed )|(ment ac)|(system.+state.+changed )|(\|lc)|(penalty)|(\[timeout)|(PRM\|1\|D)|(kpr)|(kdp))" /e /r /s</v>
      </c>
      <c r="AG217" s="1" t="str">
        <f t="shared" si="105"/>
        <v>Other</v>
      </c>
      <c r="AH217" s="109" t="str">
        <f t="shared" si="106"/>
        <v>"%USERPROFILE%\Documents\GitHub\eaglep3\Utilities\RefineRTDCRunTimes.py" --tripid 62-12 --locoid 4021 --swversion DE.1.0.7.0 --startMP 300:23678 --initTime 2016-08-12T17:06:34 --startdatetime 2016-08-12T17:09:04 --delay 2 --endMP 8.53472222222222 --enddatetime 2016-08-12T17:17:25 --enforcementcount 0</v>
      </c>
    </row>
    <row r="218" spans="1:34" x14ac:dyDescent="0.25">
      <c r="A218" s="42" t="s">
        <v>506</v>
      </c>
      <c r="B218" s="7">
        <v>4061</v>
      </c>
      <c r="C218" s="25" t="s">
        <v>122</v>
      </c>
      <c r="D218" s="25" t="s">
        <v>507</v>
      </c>
      <c r="E218" s="16">
        <v>42594.759467592594</v>
      </c>
      <c r="F218" s="16">
        <v>42594.760567129626</v>
      </c>
      <c r="G218" s="7">
        <v>1</v>
      </c>
      <c r="H218" s="16" t="s">
        <v>508</v>
      </c>
      <c r="I218" s="16">
        <v>42594.771666666667</v>
      </c>
      <c r="J218" s="7">
        <v>0</v>
      </c>
      <c r="K218" s="149" t="str">
        <f t="shared" si="94"/>
        <v>4061/4062</v>
      </c>
      <c r="L218" s="25" t="str">
        <f>VLOOKUP(A218,'Trips&amp;Operators'!$C$1:$E$10000,3,FALSE)</f>
        <v>STEWART</v>
      </c>
      <c r="M218" s="6">
        <f t="shared" si="95"/>
        <v>1.1099537041445728E-2</v>
      </c>
      <c r="N218" s="7">
        <f t="shared" si="96"/>
        <v>15.983333339681849</v>
      </c>
      <c r="O218" s="7"/>
      <c r="P218" s="7"/>
      <c r="Q218" s="26"/>
      <c r="R218" s="26"/>
      <c r="S218" s="38">
        <f t="shared" si="97"/>
        <v>0</v>
      </c>
      <c r="T218" s="55" t="e">
        <f t="shared" si="98"/>
        <v>#VALUE!</v>
      </c>
      <c r="U218" s="13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17:13:38-0600',mode:absolute,to:'2016-08-12 19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4061%22')),sort:!(Time,asc))</v>
      </c>
      <c r="W218" s="57" t="str">
        <f t="shared" si="100"/>
        <v>Y</v>
      </c>
      <c r="X218" s="133" t="e">
        <f t="shared" si="107"/>
        <v>#VALUE!</v>
      </c>
      <c r="Y218" s="72">
        <f t="shared" si="101"/>
        <v>7.0800000000000002E-2</v>
      </c>
      <c r="Z218" s="72">
        <f t="shared" si="102"/>
        <v>2.3296999999999999</v>
      </c>
      <c r="AA218" s="72">
        <f t="shared" si="103"/>
        <v>2.2588999999999997</v>
      </c>
      <c r="AB218" s="69" t="e">
        <f>VLOOKUP(A218,Enforcements!$C$7:$J$24,8,0)</f>
        <v>#N/A</v>
      </c>
      <c r="AC218" s="65" t="e">
        <f>VLOOKUP(A218,Enforcements!$C$7:$E$24,3,0)</f>
        <v>#N/A</v>
      </c>
      <c r="AD218" s="66" t="str">
        <f t="shared" si="104"/>
        <v>63-12</v>
      </c>
      <c r="AE218" s="108" t="str">
        <f t="shared" si="92"/>
        <v>aws s3 cp s3://rtdc.mdm.uploadarchive/RTDC4061/2016-08-12/ "%USERPROFILE%\AppData\Local\Temp\OnboardLogs"\RTDC4061\2016-08-12 --recursive &amp; "%USERPROFILE%\Documents\GitHub\mrs-test-scripts\Headless Mode &amp; Sideloading\WalkAndUnGZ.bat" "%USERPROFILE%\AppData\Local\Temp\OnboardLogs"\RTDC4061\2016-08-12 &amp; aws s3 cp s3://rtdc.mdm.uploadarchive/RTDC4061/2016-08-13/ "%USERPROFILE%\AppData\Local\Temp\OnboardLogs"\RTDC4061\2016-08-13 --recursive &amp; "%USERPROFILE%\Documents\GitHub\mrs-test-scripts\Headless Mode &amp; Sideloading\WalkAndUnGZ.bat" "%USERPROFILE%\AppData\Local\Temp\OnboardLogs"\RTDC4061\2016-08-13</v>
      </c>
      <c r="AF218" s="105" t="str">
        <f t="shared" si="93"/>
        <v>"C:\Program Files (x86)\AstroGrep\AstroGrep.exe" /spath="%USERPROFILE%\AppData\Local\Temp\OnboardLogs" /stypes="*4061*20160813*" /stext=" 00:.+((SYSTEM_STATE.+slice.+state.+changed )|(ment ac)|(system.+state.+changed )|(\|lc)|(penalty)|(\[timeout)|(PRM\|1\|D)|(kpr)|(kdp))" /e /r /s</v>
      </c>
      <c r="AG218" s="1" t="str">
        <f t="shared" si="105"/>
        <v>Other</v>
      </c>
      <c r="AH218" s="109" t="str">
        <f t="shared" si="106"/>
        <v>"%USERPROFILE%\Documents\GitHub\eaglep3\Utilities\RefineRTDCRunTimes.py" --tripid 63-12 --locoid 4061 --swversion DE.1.0.7.0 --startMP 204:708 --initTime 2016-08-12T18:13:38 --startdatetime 2016-08-12T18:15:13 --delay 1 --endMP 300:23297 --enddatetime 2016-08-12T18:31:12 --enforcementcount 0</v>
      </c>
    </row>
    <row r="219" spans="1:34" x14ac:dyDescent="0.25">
      <c r="A219" s="42" t="s">
        <v>509</v>
      </c>
      <c r="B219" s="7">
        <v>4021</v>
      </c>
      <c r="C219" s="25" t="s">
        <v>122</v>
      </c>
      <c r="D219" s="25" t="s">
        <v>510</v>
      </c>
      <c r="E219" s="16">
        <v>42594.833483796298</v>
      </c>
      <c r="F219" s="16">
        <v>42594.841620370367</v>
      </c>
      <c r="G219" s="7">
        <v>11</v>
      </c>
      <c r="H219" s="16" t="s">
        <v>511</v>
      </c>
      <c r="I219" s="16">
        <v>42594.84783564815</v>
      </c>
      <c r="J219" s="7">
        <v>0</v>
      </c>
      <c r="K219" s="149" t="str">
        <f t="shared" si="94"/>
        <v>4021/4022</v>
      </c>
      <c r="L219" s="25" t="str">
        <f>VLOOKUP(A219,'Trips&amp;Operators'!$C$1:$E$10000,3,FALSE)</f>
        <v>HOMIK</v>
      </c>
      <c r="M219" s="6">
        <f t="shared" si="95"/>
        <v>6.2152777827577665E-3</v>
      </c>
      <c r="N219" s="7">
        <f t="shared" si="96"/>
        <v>8.9500000071711838</v>
      </c>
      <c r="O219" s="7"/>
      <c r="P219" s="7"/>
      <c r="Q219" s="26"/>
      <c r="R219" s="26"/>
      <c r="S219" s="38">
        <f t="shared" si="97"/>
        <v>0</v>
      </c>
      <c r="T219" s="55" t="e">
        <f t="shared" si="98"/>
        <v>#VALUE!</v>
      </c>
      <c r="U219" s="13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19:00:13-0600',mode:absolute,to:'2016-08-12 21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W219" s="57" t="str">
        <f t="shared" si="100"/>
        <v>Y</v>
      </c>
      <c r="X219" s="133" t="e">
        <f t="shared" si="107"/>
        <v>#VALUE!</v>
      </c>
      <c r="Y219" s="72">
        <f t="shared" si="101"/>
        <v>2.3811</v>
      </c>
      <c r="Z219" s="72">
        <f t="shared" si="102"/>
        <v>9.1499999999999998E-2</v>
      </c>
      <c r="AA219" s="72">
        <f t="shared" si="103"/>
        <v>2.2896000000000001</v>
      </c>
      <c r="AB219" s="69" t="e">
        <f>VLOOKUP(A219,Enforcements!$C$7:$J$24,8,0)</f>
        <v>#N/A</v>
      </c>
      <c r="AC219" s="65" t="e">
        <f>VLOOKUP(A219,Enforcements!$C$7:$E$24,3,0)</f>
        <v>#N/A</v>
      </c>
      <c r="AD219" s="66" t="str">
        <f t="shared" si="104"/>
        <v>64-12</v>
      </c>
      <c r="AE219" s="108" t="str">
        <f t="shared" si="92"/>
        <v>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 &amp; aws s3 cp s3://rtdc.mdm.uploadarchive/RTDC4021/2016-08-13/ "%USERPROFILE%\AppData\Local\Temp\OnboardLogs"\RTDC4021\2016-08-13 --recursive &amp; "%USERPROFILE%\Documents\GitHub\mrs-test-scripts\Headless Mode &amp; Sideloading\WalkAndUnGZ.bat" "%USERPROFILE%\AppData\Local\Temp\OnboardLogs"\RTDC4021\2016-08-13</v>
      </c>
      <c r="AF219" s="105" t="str">
        <f t="shared" si="93"/>
        <v>"C:\Program Files (x86)\AstroGrep\AstroGrep.exe" /spath="%USERPROFILE%\AppData\Local\Temp\OnboardLogs" /stypes="*4021*20160813*" /stext=" 02:.+((SYSTEM_STATE.+slice.+state.+changed )|(ment ac)|(system.+state.+changed )|(\|lc)|(penalty)|(\[timeout)|(PRM\|1\|D)|(kpr)|(kdp))" /e /r /s</v>
      </c>
      <c r="AG219" s="1" t="str">
        <f t="shared" si="105"/>
        <v>Other</v>
      </c>
      <c r="AH219" s="109" t="str">
        <f t="shared" si="106"/>
        <v>"%USERPROFILE%\Documents\GitHub\eaglep3\Utilities\RefineRTDCRunTimes.py" --tripid 64-12 --locoid 4021 --swversion DE.1.0.7.0 --startMP 300:23811 --initTime 2016-08-12T20:00:13 --startdatetime 2016-08-12T20:11:56 --delay 11 --endMP 204:915 --enddatetime 2016-08-12T20:20:53 --enforcementcount 0</v>
      </c>
    </row>
    <row r="220" spans="1:34" x14ac:dyDescent="0.25">
      <c r="A220" s="42" t="s">
        <v>509</v>
      </c>
      <c r="B220" s="7">
        <v>4021</v>
      </c>
      <c r="C220" s="25" t="s">
        <v>122</v>
      </c>
      <c r="D220" s="25" t="s">
        <v>512</v>
      </c>
      <c r="E220" s="16">
        <v>42594.865844907406</v>
      </c>
      <c r="F220" s="16">
        <v>42594.867094907408</v>
      </c>
      <c r="G220" s="7">
        <v>1</v>
      </c>
      <c r="H220" s="16" t="s">
        <v>513</v>
      </c>
      <c r="I220" s="16">
        <v>42594.876886574071</v>
      </c>
      <c r="J220" s="7">
        <v>0</v>
      </c>
      <c r="K220" s="149" t="str">
        <f t="shared" si="94"/>
        <v>4021/4022</v>
      </c>
      <c r="L220" s="25" t="str">
        <f>VLOOKUP(A220,'Trips&amp;Operators'!$C$1:$E$10000,3,FALSE)</f>
        <v>HOMIK</v>
      </c>
      <c r="M220" s="6">
        <f t="shared" si="95"/>
        <v>9.7916666636592709E-3</v>
      </c>
      <c r="N220" s="7">
        <f t="shared" si="96"/>
        <v>14.09999999566935</v>
      </c>
      <c r="O220" s="7"/>
      <c r="P220" s="7"/>
      <c r="Q220" s="26"/>
      <c r="R220" s="26"/>
      <c r="S220" s="38">
        <f t="shared" si="97"/>
        <v>0</v>
      </c>
      <c r="T220" s="55" t="e">
        <f t="shared" si="98"/>
        <v>#VALUE!</v>
      </c>
      <c r="U220" s="13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19:46:49-0600',mode:absolute,to:'2016-08-12 22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W220" s="57" t="str">
        <f t="shared" si="100"/>
        <v>Y</v>
      </c>
      <c r="X220" s="133" t="e">
        <f t="shared" si="107"/>
        <v>#VALUE!</v>
      </c>
      <c r="Y220" s="72">
        <f t="shared" si="101"/>
        <v>3.0630999999999999</v>
      </c>
      <c r="Z220" s="72">
        <f t="shared" si="102"/>
        <v>9.06E-2</v>
      </c>
      <c r="AA220" s="72">
        <f t="shared" si="103"/>
        <v>2.9725000000000001</v>
      </c>
      <c r="AB220" s="69" t="e">
        <f>VLOOKUP(A220,Enforcements!$C$7:$J$24,8,0)</f>
        <v>#N/A</v>
      </c>
      <c r="AC220" s="65" t="e">
        <f>VLOOKUP(A220,Enforcements!$C$7:$E$24,3,0)</f>
        <v>#N/A</v>
      </c>
      <c r="AD220" s="66" t="str">
        <f t="shared" si="104"/>
        <v>64-12</v>
      </c>
      <c r="AE220" s="108" t="str">
        <f t="shared" si="92"/>
        <v>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 &amp; aws s3 cp s3://rtdc.mdm.uploadarchive/RTDC4021/2016-08-13/ "%USERPROFILE%\AppData\Local\Temp\OnboardLogs"\RTDC4021\2016-08-13 --recursive &amp; "%USERPROFILE%\Documents\GitHub\mrs-test-scripts\Headless Mode &amp; Sideloading\WalkAndUnGZ.bat" "%USERPROFILE%\AppData\Local\Temp\OnboardLogs"\RTDC4021\2016-08-13</v>
      </c>
      <c r="AF220" s="105" t="str">
        <f t="shared" si="93"/>
        <v>"C:\Program Files (x86)\AstroGrep\AstroGrep.exe" /spath="%USERPROFILE%\AppData\Local\Temp\OnboardLogs" /stypes="*4021*20160813*" /stext=" 03:.+((SYSTEM_STATE.+slice.+state.+changed )|(ment ac)|(system.+state.+changed )|(\|lc)|(penalty)|(\[timeout)|(PRM\|1\|D)|(kpr)|(kdp))" /e /r /s</v>
      </c>
      <c r="AG220" s="1" t="str">
        <f t="shared" si="105"/>
        <v>Other</v>
      </c>
      <c r="AH220" s="109" t="str">
        <f t="shared" si="106"/>
        <v>"%USERPROFILE%\Documents\GitHub\eaglep3\Utilities\RefineRTDCRunTimes.py" --tripid 64-12 --locoid 4021 --swversion DE.1.0.7.0 --startMP 300:30631 --initTime 2016-08-12T20:46:49 --startdatetime 2016-08-12T20:48:37 --delay 1 --endMP 204:906 --enddatetime 2016-08-12T21:02:43 --enforcementcount 0</v>
      </c>
    </row>
    <row r="221" spans="1:34" x14ac:dyDescent="0.25">
      <c r="A221" s="42" t="s">
        <v>509</v>
      </c>
      <c r="B221" s="7">
        <v>4021</v>
      </c>
      <c r="C221" s="25" t="s">
        <v>122</v>
      </c>
      <c r="D221" s="25" t="s">
        <v>514</v>
      </c>
      <c r="E221" s="16">
        <v>42594.916967592595</v>
      </c>
      <c r="F221" s="16">
        <v>42594.919733796298</v>
      </c>
      <c r="G221" s="7">
        <v>3</v>
      </c>
      <c r="H221" s="16" t="s">
        <v>515</v>
      </c>
      <c r="I221" s="16">
        <v>42594.929432870369</v>
      </c>
      <c r="J221" s="7">
        <v>0</v>
      </c>
      <c r="K221" s="149" t="str">
        <f t="shared" si="94"/>
        <v>4021/4022</v>
      </c>
      <c r="L221" s="25" t="str">
        <f>VLOOKUP(A221,'Trips&amp;Operators'!$C$1:$E$10000,3,FALSE)</f>
        <v>HOMIK</v>
      </c>
      <c r="M221" s="6">
        <f t="shared" si="95"/>
        <v>9.6990740712499246E-3</v>
      </c>
      <c r="N221" s="7">
        <f t="shared" si="96"/>
        <v>13.966666662599891</v>
      </c>
      <c r="O221" s="7"/>
      <c r="P221" s="7"/>
      <c r="Q221" s="26"/>
      <c r="R221" s="26"/>
      <c r="S221" s="38">
        <f t="shared" si="97"/>
        <v>0</v>
      </c>
      <c r="T221" s="55" t="e">
        <f t="shared" si="98"/>
        <v>#VALUE!</v>
      </c>
      <c r="U221" s="13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21:00:26-0600',mode:absolute,to:'2016-08-12 23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W221" s="57" t="str">
        <f t="shared" si="100"/>
        <v>Y</v>
      </c>
      <c r="X221" s="133" t="e">
        <f t="shared" si="107"/>
        <v>#VALUE!</v>
      </c>
      <c r="Y221" s="72">
        <f t="shared" si="101"/>
        <v>3.0794000000000001</v>
      </c>
      <c r="Z221" s="72">
        <f t="shared" si="102"/>
        <v>0.1196</v>
      </c>
      <c r="AA221" s="72">
        <f t="shared" si="103"/>
        <v>2.9598</v>
      </c>
      <c r="AB221" s="69" t="e">
        <f>VLOOKUP(A221,Enforcements!$C$7:$J$24,8,0)</f>
        <v>#N/A</v>
      </c>
      <c r="AC221" s="65" t="e">
        <f>VLOOKUP(A221,Enforcements!$C$7:$E$24,3,0)</f>
        <v>#N/A</v>
      </c>
      <c r="AD221" s="66" t="str">
        <f t="shared" si="104"/>
        <v>64-12</v>
      </c>
      <c r="AE221" s="108" t="str">
        <f t="shared" si="92"/>
        <v>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 &amp; aws s3 cp s3://rtdc.mdm.uploadarchive/RTDC4021/2016-08-13/ "%USERPROFILE%\AppData\Local\Temp\OnboardLogs"\RTDC4021\2016-08-13 --recursive &amp; "%USERPROFILE%\Documents\GitHub\mrs-test-scripts\Headless Mode &amp; Sideloading\WalkAndUnGZ.bat" "%USERPROFILE%\AppData\Local\Temp\OnboardLogs"\RTDC4021\2016-08-13</v>
      </c>
      <c r="AF221" s="105" t="str">
        <f t="shared" si="93"/>
        <v>"C:\Program Files (x86)\AstroGrep\AstroGrep.exe" /spath="%USERPROFILE%\AppData\Local\Temp\OnboardLogs" /stypes="*4021*20160813*" /stext=" 04:.+((SYSTEM_STATE.+slice.+state.+changed )|(ment ac)|(system.+state.+changed )|(\|lc)|(penalty)|(\[timeout)|(PRM\|1\|D)|(kpr)|(kdp))" /e /r /s</v>
      </c>
      <c r="AG221" s="1" t="str">
        <f t="shared" si="105"/>
        <v>Other</v>
      </c>
      <c r="AH221" s="109" t="str">
        <f t="shared" si="106"/>
        <v>"%USERPROFILE%\Documents\GitHub\eaglep3\Utilities\RefineRTDCRunTimes.py" --tripid 64-12 --locoid 4021 --swversion DE.1.0.7.0 --startMP 300:30794 --initTime 2016-08-12T22:00:26 --startdatetime 2016-08-12T22:04:25 --delay 3 --endMP 204:1196 --enddatetime 2016-08-12T22:18:23 --enforcementcount 0</v>
      </c>
    </row>
    <row r="222" spans="1:34" x14ac:dyDescent="0.25">
      <c r="A222" s="42" t="s">
        <v>509</v>
      </c>
      <c r="B222" s="7">
        <v>4021</v>
      </c>
      <c r="C222" s="25" t="s">
        <v>122</v>
      </c>
      <c r="D222" s="25" t="s">
        <v>516</v>
      </c>
      <c r="E222" s="16">
        <v>42594.894606481481</v>
      </c>
      <c r="F222" s="16">
        <v>42594.895601851851</v>
      </c>
      <c r="G222" s="7">
        <v>1</v>
      </c>
      <c r="H222" s="16" t="s">
        <v>515</v>
      </c>
      <c r="I222" s="16">
        <v>42594.929432870369</v>
      </c>
      <c r="J222" s="7">
        <v>0</v>
      </c>
      <c r="K222" s="149" t="str">
        <f t="shared" si="94"/>
        <v>4021/4022</v>
      </c>
      <c r="L222" s="25" t="str">
        <f>VLOOKUP(A222,'Trips&amp;Operators'!$C$1:$E$10000,3,FALSE)</f>
        <v>HOMIK</v>
      </c>
      <c r="M222" s="6">
        <f t="shared" si="95"/>
        <v>3.3831018517958E-2</v>
      </c>
      <c r="N222" s="7">
        <f t="shared" si="96"/>
        <v>48.71666666585952</v>
      </c>
      <c r="O222" s="7"/>
      <c r="P222" s="7"/>
      <c r="Q222" s="26"/>
      <c r="R222" s="26"/>
      <c r="S222" s="38">
        <f t="shared" si="97"/>
        <v>0</v>
      </c>
      <c r="T222" s="55" t="e">
        <f t="shared" si="98"/>
        <v>#VALUE!</v>
      </c>
      <c r="U222" s="13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20:28:14-0600',mode:absolute,to:'2016-08-12 23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W222" s="57" t="str">
        <f t="shared" si="100"/>
        <v>Y</v>
      </c>
      <c r="X222" s="133" t="e">
        <f t="shared" si="107"/>
        <v>#VALUE!</v>
      </c>
      <c r="Y222" s="72">
        <f t="shared" si="101"/>
        <v>3.0800999999999998</v>
      </c>
      <c r="Z222" s="72">
        <f t="shared" si="102"/>
        <v>0.1196</v>
      </c>
      <c r="AA222" s="72">
        <f t="shared" si="103"/>
        <v>2.9604999999999997</v>
      </c>
      <c r="AB222" s="69" t="e">
        <f>VLOOKUP(A222,Enforcements!$C$7:$J$24,8,0)</f>
        <v>#N/A</v>
      </c>
      <c r="AC222" s="65" t="e">
        <f>VLOOKUP(A222,Enforcements!$C$7:$E$24,3,0)</f>
        <v>#N/A</v>
      </c>
      <c r="AD222" s="66" t="str">
        <f t="shared" si="104"/>
        <v>64-12</v>
      </c>
      <c r="AE222" s="108" t="str">
        <f t="shared" si="92"/>
        <v>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 &amp; aws s3 cp s3://rtdc.mdm.uploadarchive/RTDC4021/2016-08-13/ "%USERPROFILE%\AppData\Local\Temp\OnboardLogs"\RTDC4021\2016-08-13 --recursive &amp; "%USERPROFILE%\Documents\GitHub\mrs-test-scripts\Headless Mode &amp; Sideloading\WalkAndUnGZ.bat" "%USERPROFILE%\AppData\Local\Temp\OnboardLogs"\RTDC4021\2016-08-13</v>
      </c>
      <c r="AF222" s="105" t="str">
        <f t="shared" si="93"/>
        <v>"C:\Program Files (x86)\AstroGrep\AstroGrep.exe" /spath="%USERPROFILE%\AppData\Local\Temp\OnboardLogs" /stypes="*4021*20160813*" /stext=" 04:.+((SYSTEM_STATE.+slice.+state.+changed )|(ment ac)|(system.+state.+changed )|(\|lc)|(penalty)|(\[timeout)|(PRM\|1\|D)|(kpr)|(kdp))" /e /r /s</v>
      </c>
      <c r="AG222" s="1" t="str">
        <f t="shared" si="105"/>
        <v>Other</v>
      </c>
      <c r="AH222" s="109" t="str">
        <f t="shared" si="106"/>
        <v>"%USERPROFILE%\Documents\GitHub\eaglep3\Utilities\RefineRTDCRunTimes.py" --tripid 64-12 --locoid 4021 --swversion DE.1.0.7.0 --startMP 300:30801 --initTime 2016-08-12T21:28:14 --startdatetime 2016-08-12T21:29:40 --delay 1 --endMP 204:1196 --enddatetime 2016-08-12T22:18:23 --enforcementcount 0</v>
      </c>
    </row>
    <row r="223" spans="1:34" x14ac:dyDescent="0.25">
      <c r="A223" s="42" t="s">
        <v>509</v>
      </c>
      <c r="B223" s="7">
        <v>4022</v>
      </c>
      <c r="C223" s="25" t="s">
        <v>122</v>
      </c>
      <c r="D223" s="25" t="s">
        <v>517</v>
      </c>
      <c r="E223" s="16">
        <v>42594.879074074073</v>
      </c>
      <c r="F223" s="16">
        <v>42594.880335648151</v>
      </c>
      <c r="G223" s="7">
        <v>1</v>
      </c>
      <c r="H223" s="16" t="s">
        <v>518</v>
      </c>
      <c r="I223" s="16">
        <v>42594.887627314813</v>
      </c>
      <c r="J223" s="7">
        <v>0</v>
      </c>
      <c r="K223" s="149" t="str">
        <f t="shared" si="94"/>
        <v>4021/4022</v>
      </c>
      <c r="L223" s="25" t="str">
        <f>VLOOKUP(A223,'Trips&amp;Operators'!$C$1:$E$10000,3,FALSE)</f>
        <v>HOMIK</v>
      </c>
      <c r="M223" s="6">
        <f t="shared" si="95"/>
        <v>7.2916666613309644E-3</v>
      </c>
      <c r="N223" s="7">
        <f t="shared" si="96"/>
        <v>10.499999992316589</v>
      </c>
      <c r="O223" s="7"/>
      <c r="P223" s="7"/>
      <c r="Q223" s="26"/>
      <c r="R223" s="26"/>
      <c r="S223" s="38">
        <f t="shared" si="97"/>
        <v>0</v>
      </c>
      <c r="T223" s="55" t="e">
        <f t="shared" si="98"/>
        <v>#VALUE!</v>
      </c>
      <c r="U223" s="13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20:05:52-0600',mode:absolute,to:'2016-08-12 22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4022%22')),sort:!(Time,asc))</v>
      </c>
      <c r="W223" s="57" t="str">
        <f t="shared" si="100"/>
        <v>Y</v>
      </c>
      <c r="X223" s="133" t="e">
        <f t="shared" si="107"/>
        <v>#VALUE!</v>
      </c>
      <c r="Y223" s="72">
        <f t="shared" si="101"/>
        <v>0.12</v>
      </c>
      <c r="Z223" s="72">
        <f t="shared" si="102"/>
        <v>3.1126999999999998</v>
      </c>
      <c r="AA223" s="72">
        <f t="shared" si="103"/>
        <v>2.9926999999999997</v>
      </c>
      <c r="AB223" s="69" t="e">
        <f>VLOOKUP(A223,Enforcements!$C$7:$J$24,8,0)</f>
        <v>#N/A</v>
      </c>
      <c r="AC223" s="65" t="e">
        <f>VLOOKUP(A223,Enforcements!$C$7:$E$24,3,0)</f>
        <v>#N/A</v>
      </c>
      <c r="AD223" s="66" t="str">
        <f t="shared" si="104"/>
        <v>64-12</v>
      </c>
      <c r="AE223" s="108" t="str">
        <f t="shared" si="92"/>
        <v>aws s3 cp s3://rtdc.mdm.uploadarchive/RTDC4022/2016-08-12/ "%USERPROFILE%\AppData\Local\Temp\OnboardLogs"\RTDC4022\2016-08-12 --recursive &amp; "%USERPROFILE%\Documents\GitHub\mrs-test-scripts\Headless Mode &amp; Sideloading\WalkAndUnGZ.bat" "%USERPROFILE%\AppData\Local\Temp\OnboardLogs"\RTDC4022\2016-08-12 &amp; aws s3 cp s3://rtdc.mdm.uploadarchive/RTDC4022/2016-08-13/ "%USERPROFILE%\AppData\Local\Temp\OnboardLogs"\RTDC4022\2016-08-13 --recursive &amp; "%USERPROFILE%\Documents\GitHub\mrs-test-scripts\Headless Mode &amp; Sideloading\WalkAndUnGZ.bat" "%USERPROFILE%\AppData\Local\Temp\OnboardLogs"\RTDC4022\2016-08-13</v>
      </c>
      <c r="AF223" s="105" t="str">
        <f t="shared" si="93"/>
        <v>"C:\Program Files (x86)\AstroGrep\AstroGrep.exe" /spath="%USERPROFILE%\AppData\Local\Temp\OnboardLogs" /stypes="*4022*20160813*" /stext=" 03:.+((SYSTEM_STATE.+slice.+state.+changed )|(ment ac)|(system.+state.+changed )|(\|lc)|(penalty)|(\[timeout)|(PRM\|1\|D)|(kpr)|(kdp))" /e /r /s</v>
      </c>
      <c r="AG223" s="1" t="str">
        <f t="shared" si="105"/>
        <v>Other</v>
      </c>
      <c r="AH223" s="109" t="str">
        <f t="shared" si="106"/>
        <v>"%USERPROFILE%\Documents\GitHub\eaglep3\Utilities\RefineRTDCRunTimes.py" --tripid 64-12 --locoid 4022 --swversion DE.1.0.7.0 --startMP 204:1200 --initTime 2016-08-12T21:05:52 --startdatetime 2016-08-12T21:07:41 --delay 1 --endMP 300:31127 --enddatetime 2016-08-12T21:18:11 --enforcementcount 0</v>
      </c>
    </row>
    <row r="224" spans="1:34" x14ac:dyDescent="0.25">
      <c r="A224" s="42" t="s">
        <v>509</v>
      </c>
      <c r="B224" s="7">
        <v>4022</v>
      </c>
      <c r="C224" s="25" t="s">
        <v>122</v>
      </c>
      <c r="D224" s="25" t="s">
        <v>519</v>
      </c>
      <c r="E224" s="16">
        <v>42594.849942129629</v>
      </c>
      <c r="F224" s="16">
        <v>42594.851226851853</v>
      </c>
      <c r="G224" s="7">
        <v>1</v>
      </c>
      <c r="H224" s="16" t="s">
        <v>520</v>
      </c>
      <c r="I224" s="16">
        <v>42594.861979166664</v>
      </c>
      <c r="J224" s="7">
        <v>0</v>
      </c>
      <c r="K224" s="149" t="str">
        <f t="shared" si="94"/>
        <v>4021/4022</v>
      </c>
      <c r="L224" s="25" t="str">
        <f>VLOOKUP(A224,'Trips&amp;Operators'!$C$1:$E$10000,3,FALSE)</f>
        <v>HOMIK</v>
      </c>
      <c r="M224" s="6">
        <f t="shared" si="95"/>
        <v>1.0752314810815733E-2</v>
      </c>
      <c r="N224" s="7">
        <f t="shared" si="96"/>
        <v>15.483333327574655</v>
      </c>
      <c r="O224" s="7"/>
      <c r="P224" s="7"/>
      <c r="Q224" s="26"/>
      <c r="R224" s="26"/>
      <c r="S224" s="38">
        <f t="shared" si="97"/>
        <v>0</v>
      </c>
      <c r="T224" s="55" t="e">
        <f t="shared" si="98"/>
        <v>#VALUE!</v>
      </c>
      <c r="U224" s="13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19:23:55-0600',mode:absolute,to:'2016-08-12 21:41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4022%22')),sort:!(Time,asc))</v>
      </c>
      <c r="W224" s="57" t="str">
        <f t="shared" si="100"/>
        <v>Y</v>
      </c>
      <c r="X224" s="133" t="e">
        <f t="shared" si="107"/>
        <v>#VALUE!</v>
      </c>
      <c r="Y224" s="72">
        <f t="shared" si="101"/>
        <v>0.1208</v>
      </c>
      <c r="Z224" s="72">
        <f t="shared" si="102"/>
        <v>3.1067999999999998</v>
      </c>
      <c r="AA224" s="72">
        <f t="shared" si="103"/>
        <v>2.9859999999999998</v>
      </c>
      <c r="AB224" s="69" t="e">
        <f>VLOOKUP(A224,Enforcements!$C$7:$J$24,8,0)</f>
        <v>#N/A</v>
      </c>
      <c r="AC224" s="65" t="e">
        <f>VLOOKUP(A224,Enforcements!$C$7:$E$24,3,0)</f>
        <v>#N/A</v>
      </c>
      <c r="AD224" s="66" t="str">
        <f t="shared" si="104"/>
        <v>64-12</v>
      </c>
      <c r="AE224" s="108" t="str">
        <f t="shared" si="92"/>
        <v>aws s3 cp s3://rtdc.mdm.uploadarchive/RTDC4022/2016-08-12/ "%USERPROFILE%\AppData\Local\Temp\OnboardLogs"\RTDC4022\2016-08-12 --recursive &amp; "%USERPROFILE%\Documents\GitHub\mrs-test-scripts\Headless Mode &amp; Sideloading\WalkAndUnGZ.bat" "%USERPROFILE%\AppData\Local\Temp\OnboardLogs"\RTDC4022\2016-08-12 &amp; aws s3 cp s3://rtdc.mdm.uploadarchive/RTDC4022/2016-08-13/ "%USERPROFILE%\AppData\Local\Temp\OnboardLogs"\RTDC4022\2016-08-13 --recursive &amp; "%USERPROFILE%\Documents\GitHub\mrs-test-scripts\Headless Mode &amp; Sideloading\WalkAndUnGZ.bat" "%USERPROFILE%\AppData\Local\Temp\OnboardLogs"\RTDC4022\2016-08-13</v>
      </c>
      <c r="AF224" s="105" t="str">
        <f t="shared" si="93"/>
        <v>"C:\Program Files (x86)\AstroGrep\AstroGrep.exe" /spath="%USERPROFILE%\AppData\Local\Temp\OnboardLogs" /stypes="*4022*20160813*" /stext=" 02:.+((SYSTEM_STATE.+slice.+state.+changed )|(ment ac)|(system.+state.+changed )|(\|lc)|(penalty)|(\[timeout)|(PRM\|1\|D)|(kpr)|(kdp))" /e /r /s</v>
      </c>
      <c r="AG224" s="1" t="str">
        <f t="shared" si="105"/>
        <v>Other</v>
      </c>
      <c r="AH224" s="109" t="str">
        <f t="shared" si="106"/>
        <v>"%USERPROFILE%\Documents\GitHub\eaglep3\Utilities\RefineRTDCRunTimes.py" --tripid 64-12 --locoid 4022 --swversion DE.1.0.7.0 --startMP 204:1208 --initTime 2016-08-12T20:23:55 --startdatetime 2016-08-12T20:25:46 --delay 1 --endMP 300:31068 --enddatetime 2016-08-12T20:41:15 --enforcementcount 0</v>
      </c>
    </row>
    <row r="225" spans="1:34" x14ac:dyDescent="0.25">
      <c r="A225" s="42" t="s">
        <v>509</v>
      </c>
      <c r="B225" s="7">
        <v>4022</v>
      </c>
      <c r="C225" s="25" t="s">
        <v>122</v>
      </c>
      <c r="D225" s="25" t="s">
        <v>521</v>
      </c>
      <c r="E225" s="16">
        <v>42594.906261574077</v>
      </c>
      <c r="F225" s="16">
        <v>42594.907627314817</v>
      </c>
      <c r="G225" s="7">
        <v>1</v>
      </c>
      <c r="H225" s="16" t="s">
        <v>522</v>
      </c>
      <c r="I225" s="16">
        <v>42594.915520833332</v>
      </c>
      <c r="J225" s="7">
        <v>0</v>
      </c>
      <c r="K225" s="149" t="str">
        <f t="shared" si="94"/>
        <v>4021/4022</v>
      </c>
      <c r="L225" s="25" t="str">
        <f>VLOOKUP(A225,'Trips&amp;Operators'!$C$1:$E$10000,3,FALSE)</f>
        <v>HOMIK</v>
      </c>
      <c r="M225" s="6">
        <f t="shared" si="95"/>
        <v>7.8935185156296939E-3</v>
      </c>
      <c r="N225" s="7">
        <f t="shared" si="96"/>
        <v>11.366666662506759</v>
      </c>
      <c r="O225" s="7"/>
      <c r="P225" s="7"/>
      <c r="Q225" s="26"/>
      <c r="R225" s="26"/>
      <c r="S225" s="38">
        <f t="shared" si="97"/>
        <v>0</v>
      </c>
      <c r="T225" s="55" t="e">
        <f t="shared" si="98"/>
        <v>#VALUE!</v>
      </c>
      <c r="U225" s="13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20:45:01-0600',mode:absolute,to:'2016-08-12 22:58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4022%22')),sort:!(Time,asc))</v>
      </c>
      <c r="W225" s="57" t="str">
        <f t="shared" si="100"/>
        <v>Y</v>
      </c>
      <c r="X225" s="133" t="e">
        <f t="shared" si="107"/>
        <v>#VALUE!</v>
      </c>
      <c r="Y225" s="72">
        <f t="shared" si="101"/>
        <v>0.1222</v>
      </c>
      <c r="Z225" s="72">
        <f t="shared" si="102"/>
        <v>3.1114000000000002</v>
      </c>
      <c r="AA225" s="72">
        <f t="shared" si="103"/>
        <v>2.9892000000000003</v>
      </c>
      <c r="AB225" s="69" t="e">
        <f>VLOOKUP(A225,Enforcements!$C$7:$J$24,8,0)</f>
        <v>#N/A</v>
      </c>
      <c r="AC225" s="65" t="e">
        <f>VLOOKUP(A225,Enforcements!$C$7:$E$24,3,0)</f>
        <v>#N/A</v>
      </c>
      <c r="AD225" s="66" t="str">
        <f t="shared" si="104"/>
        <v>64-12</v>
      </c>
      <c r="AE225" s="108" t="str">
        <f t="shared" si="92"/>
        <v>aws s3 cp s3://rtdc.mdm.uploadarchive/RTDC4022/2016-08-12/ "%USERPROFILE%\AppData\Local\Temp\OnboardLogs"\RTDC4022\2016-08-12 --recursive &amp; "%USERPROFILE%\Documents\GitHub\mrs-test-scripts\Headless Mode &amp; Sideloading\WalkAndUnGZ.bat" "%USERPROFILE%\AppData\Local\Temp\OnboardLogs"\RTDC4022\2016-08-12 &amp; aws s3 cp s3://rtdc.mdm.uploadarchive/RTDC4022/2016-08-13/ "%USERPROFILE%\AppData\Local\Temp\OnboardLogs"\RTDC4022\2016-08-13 --recursive &amp; "%USERPROFILE%\Documents\GitHub\mrs-test-scripts\Headless Mode &amp; Sideloading\WalkAndUnGZ.bat" "%USERPROFILE%\AppData\Local\Temp\OnboardLogs"\RTDC4022\2016-08-13</v>
      </c>
      <c r="AF225" s="105" t="str">
        <f t="shared" si="93"/>
        <v>"C:\Program Files (x86)\AstroGrep\AstroGrep.exe" /spath="%USERPROFILE%\AppData\Local\Temp\OnboardLogs" /stypes="*4022*20160813*" /stext=" 03:.+((SYSTEM_STATE.+slice.+state.+changed )|(ment ac)|(system.+state.+changed )|(\|lc)|(penalty)|(\[timeout)|(PRM\|1\|D)|(kpr)|(kdp))" /e /r /s</v>
      </c>
      <c r="AG225" s="1" t="str">
        <f t="shared" si="105"/>
        <v>Other</v>
      </c>
      <c r="AH225" s="109" t="str">
        <f t="shared" si="106"/>
        <v>"%USERPROFILE%\Documents\GitHub\eaglep3\Utilities\RefineRTDCRunTimes.py" --tripid 64-12 --locoid 4022 --swversion DE.1.0.7.0 --startMP 204:1222 --initTime 2016-08-12T21:45:01 --startdatetime 2016-08-12T21:46:59 --delay 1 --endMP 300:31114 --enddatetime 2016-08-12T21:58:21 --enforcementcount 0</v>
      </c>
    </row>
    <row r="226" spans="1:34" x14ac:dyDescent="0.25">
      <c r="A226" s="42" t="s">
        <v>509</v>
      </c>
      <c r="B226" s="7">
        <v>4022</v>
      </c>
      <c r="C226" s="25" t="s">
        <v>122</v>
      </c>
      <c r="D226" s="25" t="s">
        <v>523</v>
      </c>
      <c r="E226" s="16">
        <v>42594.934606481482</v>
      </c>
      <c r="F226" s="16">
        <v>42594.937372685185</v>
      </c>
      <c r="G226" s="7">
        <v>3</v>
      </c>
      <c r="H226" s="16" t="s">
        <v>524</v>
      </c>
      <c r="I226" s="16">
        <v>42594.950358796297</v>
      </c>
      <c r="J226" s="7">
        <v>0</v>
      </c>
      <c r="K226" s="149" t="str">
        <f t="shared" si="94"/>
        <v>4021/4022</v>
      </c>
      <c r="L226" s="25" t="str">
        <f>VLOOKUP(A226,'Trips&amp;Operators'!$C$1:$E$10000,3,FALSE)</f>
        <v>HOMIK</v>
      </c>
      <c r="M226" s="6">
        <f t="shared" si="95"/>
        <v>1.2986111112695653E-2</v>
      </c>
      <c r="N226" s="7">
        <f t="shared" si="96"/>
        <v>18.70000000228174</v>
      </c>
      <c r="O226" s="7"/>
      <c r="P226" s="7"/>
      <c r="Q226" s="26"/>
      <c r="R226" s="26"/>
      <c r="S226" s="38">
        <f t="shared" si="97"/>
        <v>0</v>
      </c>
      <c r="T226" s="55" t="e">
        <f t="shared" si="98"/>
        <v>#VALUE!</v>
      </c>
      <c r="U226" s="13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21:25:50-0600',mode:absolute,to:'2016-08-12 23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4022%22')),sort:!(Time,asc))</v>
      </c>
      <c r="W226" s="57" t="str">
        <f t="shared" si="100"/>
        <v>Y</v>
      </c>
      <c r="X226" s="133" t="e">
        <f t="shared" si="107"/>
        <v>#VALUE!</v>
      </c>
      <c r="Y226" s="72">
        <f t="shared" si="101"/>
        <v>0.1502</v>
      </c>
      <c r="Z226" s="72">
        <f t="shared" si="102"/>
        <v>2.4083000000000001</v>
      </c>
      <c r="AA226" s="72">
        <f t="shared" si="103"/>
        <v>2.2581000000000002</v>
      </c>
      <c r="AB226" s="69" t="e">
        <f>VLOOKUP(A226,Enforcements!$C$7:$J$24,8,0)</f>
        <v>#N/A</v>
      </c>
      <c r="AC226" s="65" t="e">
        <f>VLOOKUP(A226,Enforcements!$C$7:$E$24,3,0)</f>
        <v>#N/A</v>
      </c>
      <c r="AD226" s="66" t="str">
        <f t="shared" si="104"/>
        <v>64-12</v>
      </c>
      <c r="AE226" s="108" t="str">
        <f t="shared" si="92"/>
        <v>aws s3 cp s3://rtdc.mdm.uploadarchive/RTDC4022/2016-08-12/ "%USERPROFILE%\AppData\Local\Temp\OnboardLogs"\RTDC4022\2016-08-12 --recursive &amp; "%USERPROFILE%\Documents\GitHub\mrs-test-scripts\Headless Mode &amp; Sideloading\WalkAndUnGZ.bat" "%USERPROFILE%\AppData\Local\Temp\OnboardLogs"\RTDC4022\2016-08-12 &amp; aws s3 cp s3://rtdc.mdm.uploadarchive/RTDC4022/2016-08-13/ "%USERPROFILE%\AppData\Local\Temp\OnboardLogs"\RTDC4022\2016-08-13 --recursive &amp; "%USERPROFILE%\Documents\GitHub\mrs-test-scripts\Headless Mode &amp; Sideloading\WalkAndUnGZ.bat" "%USERPROFILE%\AppData\Local\Temp\OnboardLogs"\RTDC4022\2016-08-13</v>
      </c>
      <c r="AF226" s="105" t="str">
        <f t="shared" si="93"/>
        <v>"C:\Program Files (x86)\AstroGrep\AstroGrep.exe" /spath="%USERPROFILE%\AppData\Local\Temp\OnboardLogs" /stypes="*4022*20160813*" /stext=" 04:.+((SYSTEM_STATE.+slice.+state.+changed )|(ment ac)|(system.+state.+changed )|(\|lc)|(penalty)|(\[timeout)|(PRM\|1\|D)|(kpr)|(kdp))" /e /r /s</v>
      </c>
      <c r="AG226" s="1" t="str">
        <f t="shared" si="105"/>
        <v>Other</v>
      </c>
      <c r="AH226" s="109" t="str">
        <f t="shared" si="106"/>
        <v>"%USERPROFILE%\Documents\GitHub\eaglep3\Utilities\RefineRTDCRunTimes.py" --tripid 64-12 --locoid 4022 --swversion DE.1.0.7.0 --startMP 204:1502 --initTime 2016-08-12T22:25:50 --startdatetime 2016-08-12T22:29:49 --delay 3 --endMP 300:24083 --enddatetime 2016-08-12T22:48:31 --enforcementcount 0</v>
      </c>
    </row>
    <row r="227" spans="1:34" x14ac:dyDescent="0.25">
      <c r="A227" s="42" t="s">
        <v>525</v>
      </c>
      <c r="B227" s="7">
        <v>4062</v>
      </c>
      <c r="C227" s="25" t="s">
        <v>122</v>
      </c>
      <c r="D227" s="25" t="s">
        <v>526</v>
      </c>
      <c r="E227" s="16">
        <v>42594.73945601852</v>
      </c>
      <c r="F227" s="16">
        <v>42594.749548611115</v>
      </c>
      <c r="G227" s="7">
        <v>14</v>
      </c>
      <c r="H227" s="16" t="s">
        <v>527</v>
      </c>
      <c r="I227" s="16">
        <v>42594.756064814814</v>
      </c>
      <c r="J227" s="7">
        <v>0</v>
      </c>
      <c r="K227" s="149" t="str">
        <f t="shared" si="94"/>
        <v>4061/4062</v>
      </c>
      <c r="L227" s="25" t="str">
        <f>VLOOKUP(A227,'Trips&amp;Operators'!$C$1:$E$10000,3,FALSE)</f>
        <v>STAMBAUGH</v>
      </c>
      <c r="M227" s="6">
        <f t="shared" si="95"/>
        <v>6.5162036989931948E-3</v>
      </c>
      <c r="N227" s="7">
        <f t="shared" si="96"/>
        <v>9.3833333265502006</v>
      </c>
      <c r="O227" s="7"/>
      <c r="P227" s="7"/>
      <c r="Q227" s="26"/>
      <c r="R227" s="26"/>
      <c r="S227" s="38">
        <f t="shared" si="97"/>
        <v>0</v>
      </c>
      <c r="T227" s="55" t="e">
        <f t="shared" si="98"/>
        <v>#VALUE!</v>
      </c>
      <c r="U227" s="13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16:44:49-0600',mode:absolute,to:'2016-08-12 19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4062%22')),sort:!(Time,asc))</v>
      </c>
      <c r="W227" s="57" t="str">
        <f t="shared" si="100"/>
        <v>Y</v>
      </c>
      <c r="X227" s="133" t="e">
        <f t="shared" si="107"/>
        <v>#VALUE!</v>
      </c>
      <c r="Y227" s="72">
        <f t="shared" si="101"/>
        <v>2.3702999999999999</v>
      </c>
      <c r="Z227" s="72">
        <f t="shared" si="102"/>
        <v>4.0300000000000002E-2</v>
      </c>
      <c r="AA227" s="72">
        <f t="shared" si="103"/>
        <v>2.33</v>
      </c>
      <c r="AB227" s="69" t="e">
        <f>VLOOKUP(A227,Enforcements!$C$7:$J$24,8,0)</f>
        <v>#N/A</v>
      </c>
      <c r="AC227" s="65" t="e">
        <f>VLOOKUP(A227,Enforcements!$C$7:$E$24,3,0)</f>
        <v>#N/A</v>
      </c>
      <c r="AD227" s="66" t="str">
        <f t="shared" si="104"/>
        <v>68-12</v>
      </c>
      <c r="AE227" s="108" t="str">
        <f t="shared" si="92"/>
        <v>aws s3 cp s3://rtdc.mdm.uploadarchive/RTDC4062/2016-08-12/ "%USERPROFILE%\AppData\Local\Temp\OnboardLogs"\RTDC4062\2016-08-12 --recursive &amp; "%USERPROFILE%\Documents\GitHub\mrs-test-scripts\Headless Mode &amp; Sideloading\WalkAndUnGZ.bat" "%USERPROFILE%\AppData\Local\Temp\OnboardLogs"\RTDC4062\2016-08-12 &amp; aws s3 cp s3://rtdc.mdm.uploadarchive/RTDC4062/2016-08-13/ "%USERPROFILE%\AppData\Local\Temp\OnboardLogs"\RTDC4062\2016-08-13 --recursive &amp; "%USERPROFILE%\Documents\GitHub\mrs-test-scripts\Headless Mode &amp; Sideloading\WalkAndUnGZ.bat" "%USERPROFILE%\AppData\Local\Temp\OnboardLogs"\RTDC4062\2016-08-13</v>
      </c>
      <c r="AF227" s="105" t="str">
        <f t="shared" si="93"/>
        <v>"C:\Program Files (x86)\AstroGrep\AstroGrep.exe" /spath="%USERPROFILE%\AppData\Local\Temp\OnboardLogs" /stypes="*4062*20160813*" /stext=" 00:.+((SYSTEM_STATE.+slice.+state.+changed )|(ment ac)|(system.+state.+changed )|(\|lc)|(penalty)|(\[timeout)|(PRM\|1\|D)|(kpr)|(kdp))" /e /r /s</v>
      </c>
      <c r="AG227" s="1" t="str">
        <f t="shared" si="105"/>
        <v>Other</v>
      </c>
      <c r="AH227" s="109" t="str">
        <f t="shared" si="106"/>
        <v>"%USERPROFILE%\Documents\GitHub\eaglep3\Utilities\RefineRTDCRunTimes.py" --tripid 68-12 --locoid 4062 --swversion DE.1.0.7.0 --startMP 300:23703 --initTime 2016-08-12T17:44:49 --startdatetime 2016-08-12T17:59:21 --delay 14 --endMP 204:403 --enddatetime 2016-08-12T18:08:44 --enforcementcount 0</v>
      </c>
    </row>
    <row r="228" spans="1:34" x14ac:dyDescent="0.25">
      <c r="A228" s="42" t="s">
        <v>528</v>
      </c>
      <c r="B228" s="7">
        <v>4022</v>
      </c>
      <c r="C228" s="25" t="s">
        <v>122</v>
      </c>
      <c r="D228" s="25" t="s">
        <v>529</v>
      </c>
      <c r="E228" s="16">
        <v>42594.763715277775</v>
      </c>
      <c r="F228" s="16">
        <v>42594.765613425923</v>
      </c>
      <c r="G228" s="7">
        <v>2</v>
      </c>
      <c r="H228" s="16" t="s">
        <v>530</v>
      </c>
      <c r="I228" s="16">
        <v>42594.777025462965</v>
      </c>
      <c r="J228" s="7">
        <v>0</v>
      </c>
      <c r="K228" s="149" t="str">
        <f t="shared" si="94"/>
        <v>4021/4022</v>
      </c>
      <c r="L228" s="25" t="str">
        <f>VLOOKUP(A228,'Trips&amp;Operators'!$C$1:$E$10000,3,FALSE)</f>
        <v>MAYBERRY</v>
      </c>
      <c r="M228" s="6">
        <f t="shared" si="95"/>
        <v>1.1412037041736767E-2</v>
      </c>
      <c r="N228" s="7">
        <f t="shared" si="96"/>
        <v>16.433333340100944</v>
      </c>
      <c r="O228" s="7"/>
      <c r="P228" s="7"/>
      <c r="Q228" s="26"/>
      <c r="R228" s="26"/>
      <c r="S228" s="38">
        <f t="shared" si="97"/>
        <v>0</v>
      </c>
      <c r="T228" s="55" t="e">
        <f t="shared" si="98"/>
        <v>#VALUE!</v>
      </c>
      <c r="U228" s="13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17:19:45-0600',mode:absolute,to:'2016-08-12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4022%22')),sort:!(Time,asc))</v>
      </c>
      <c r="W228" s="57" t="str">
        <f t="shared" si="100"/>
        <v>Y</v>
      </c>
      <c r="X228" s="133" t="e">
        <f t="shared" si="107"/>
        <v>#VALUE!</v>
      </c>
      <c r="Y228" s="72">
        <f t="shared" si="101"/>
        <v>3.3700000000000001E-2</v>
      </c>
      <c r="Z228" s="72">
        <f t="shared" si="102"/>
        <v>2.4226999999999999</v>
      </c>
      <c r="AA228" s="72">
        <f t="shared" si="103"/>
        <v>2.3889999999999998</v>
      </c>
      <c r="AB228" s="69" t="e">
        <f>VLOOKUP(A228,Enforcements!$C$7:$J$24,8,0)</f>
        <v>#N/A</v>
      </c>
      <c r="AC228" s="65" t="e">
        <f>VLOOKUP(A228,Enforcements!$C$7:$E$24,3,0)</f>
        <v>#N/A</v>
      </c>
      <c r="AD228" s="66" t="str">
        <f t="shared" si="104"/>
        <v>69-12</v>
      </c>
      <c r="AE228" s="108" t="str">
        <f t="shared" si="92"/>
        <v>aws s3 cp s3://rtdc.mdm.uploadarchive/RTDC4022/2016-08-12/ "%USERPROFILE%\AppData\Local\Temp\OnboardLogs"\RTDC4022\2016-08-12 --recursive &amp; "%USERPROFILE%\Documents\GitHub\mrs-test-scripts\Headless Mode &amp; Sideloading\WalkAndUnGZ.bat" "%USERPROFILE%\AppData\Local\Temp\OnboardLogs"\RTDC4022\2016-08-12 &amp; aws s3 cp s3://rtdc.mdm.uploadarchive/RTDC4022/2016-08-13/ "%USERPROFILE%\AppData\Local\Temp\OnboardLogs"\RTDC4022\2016-08-13 --recursive &amp; "%USERPROFILE%\Documents\GitHub\mrs-test-scripts\Headless Mode &amp; Sideloading\WalkAndUnGZ.bat" "%USERPROFILE%\AppData\Local\Temp\OnboardLogs"\RTDC4022\2016-08-13</v>
      </c>
      <c r="AF228" s="105" t="str">
        <f t="shared" si="93"/>
        <v>"C:\Program Files (x86)\AstroGrep\AstroGrep.exe" /spath="%USERPROFILE%\AppData\Local\Temp\OnboardLogs" /stypes="*4022*20160813*" /stext=" 00:.+((SYSTEM_STATE.+slice.+state.+changed )|(ment ac)|(system.+state.+changed )|(\|lc)|(penalty)|(\[timeout)|(PRM\|1\|D)|(kpr)|(kdp))" /e /r /s</v>
      </c>
      <c r="AG228" s="1" t="str">
        <f t="shared" si="105"/>
        <v>Other</v>
      </c>
      <c r="AH228" s="109" t="str">
        <f t="shared" si="106"/>
        <v>"%USERPROFILE%\Documents\GitHub\eaglep3\Utilities\RefineRTDCRunTimes.py" --tripid 69-12 --locoid 4022 --swversion DE.1.0.7.0 --startMP 204:337 --initTime 2016-08-12T18:19:45 --startdatetime 2016-08-12T18:22:29 --delay 2 --endMP 300:24227 --enddatetime 2016-08-12T18:38:55 --enforcementcount 0</v>
      </c>
    </row>
    <row r="229" spans="1:34" x14ac:dyDescent="0.25">
      <c r="A229" s="42" t="s">
        <v>531</v>
      </c>
      <c r="B229" s="7">
        <v>4015</v>
      </c>
      <c r="C229" s="25" t="s">
        <v>122</v>
      </c>
      <c r="D229" s="25" t="s">
        <v>532</v>
      </c>
      <c r="E229" s="16">
        <v>42594.776921296296</v>
      </c>
      <c r="F229" s="16">
        <v>42594.781099537038</v>
      </c>
      <c r="G229" s="7">
        <v>6</v>
      </c>
      <c r="H229" s="16" t="s">
        <v>533</v>
      </c>
      <c r="I229" s="16">
        <v>42594.786516203705</v>
      </c>
      <c r="J229" s="7">
        <v>0</v>
      </c>
      <c r="K229" s="149" t="str">
        <f t="shared" si="94"/>
        <v>4015/4016</v>
      </c>
      <c r="L229" s="25" t="str">
        <f>VLOOKUP(A229,'Trips&amp;Operators'!$C$1:$E$10000,3,FALSE)</f>
        <v>LEVIN</v>
      </c>
      <c r="M229" s="6">
        <f t="shared" si="95"/>
        <v>5.4166666668606922E-3</v>
      </c>
      <c r="N229" s="7">
        <f t="shared" si="96"/>
        <v>7.8000000002793968</v>
      </c>
      <c r="O229" s="7"/>
      <c r="P229" s="7"/>
      <c r="Q229" s="26"/>
      <c r="R229" s="26"/>
      <c r="S229" s="38">
        <f t="shared" si="97"/>
        <v>0</v>
      </c>
      <c r="T229" s="55" t="e">
        <f t="shared" si="98"/>
        <v>#VALUE!</v>
      </c>
      <c r="U229" s="13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15" t="str">
        <f t="shared" si="99"/>
        <v>https://search-rtdc-monitor-bjffxe2xuh6vdkpspy63sjmuny.us-east-1.es.amazonaws.com/_plugin/kibana/#/discover/Steve-Slow-Train-Analysis-(2080s-and-2083s)?_g=(refreshInterval:(display:Off,section:0,value:0),time:(from:'2016-08-12 17:38:46-0600',mode:absolute,to:'2016-08-12 19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29" s="57" t="str">
        <f t="shared" si="100"/>
        <v>Y</v>
      </c>
      <c r="X229" s="133" t="e">
        <f t="shared" si="107"/>
        <v>#VALUE!</v>
      </c>
      <c r="Y229" s="72">
        <f t="shared" si="101"/>
        <v>2.3088000000000002</v>
      </c>
      <c r="Z229" s="72">
        <f t="shared" si="102"/>
        <v>1.24E-2</v>
      </c>
      <c r="AA229" s="72">
        <f t="shared" si="103"/>
        <v>2.2964000000000002</v>
      </c>
      <c r="AB229" s="69" t="e">
        <f>VLOOKUP(A229,Enforcements!$C$7:$J$24,8,0)</f>
        <v>#N/A</v>
      </c>
      <c r="AC229" s="65" t="e">
        <f>VLOOKUP(A229,Enforcements!$C$7:$E$24,3,0)</f>
        <v>#N/A</v>
      </c>
      <c r="AD229" s="66" t="str">
        <f t="shared" si="104"/>
        <v>70-12</v>
      </c>
      <c r="AE229" s="108" t="str">
        <f t="shared" si="92"/>
        <v>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 &amp; aws s3 cp s3://rtdc.mdm.uploadarchive/RTDC4015/2016-08-13/ "%USERPROFILE%\AppData\Local\Temp\OnboardLogs"\RTDC4015\2016-08-13 --recursive &amp; "%USERPROFILE%\Documents\GitHub\mrs-test-scripts\Headless Mode &amp; Sideloading\WalkAndUnGZ.bat" "%USERPROFILE%\AppData\Local\Temp\OnboardLogs"\RTDC4015\2016-08-13</v>
      </c>
      <c r="AF229" s="105" t="str">
        <f t="shared" si="93"/>
        <v>"C:\Program Files (x86)\AstroGrep\AstroGrep.exe" /spath="%USERPROFILE%\AppData\Local\Temp\OnboardLogs" /stypes="*4015*20160813*" /stext=" 00:.+((SYSTEM_STATE.+slice.+state.+changed )|(ment ac)|(system.+state.+changed )|(\|lc)|(penalty)|(\[timeout)|(PRM\|1\|D)|(kpr)|(kdp))" /e /r /s</v>
      </c>
      <c r="AG229" s="1" t="str">
        <f t="shared" si="105"/>
        <v>Other</v>
      </c>
      <c r="AH229" s="109" t="str">
        <f t="shared" si="106"/>
        <v>"%USERPROFILE%\Documents\GitHub\eaglep3\Utilities\RefineRTDCRunTimes.py" --tripid 70-12 --locoid 4015 --swversion DE.1.0.7.0 --startMP 300:23088 --initTime 2016-08-12T18:38:46 --startdatetime 2016-08-12T18:44:47 --delay 6 --endMP 204:124 --enddatetime 2016-08-12T18:52:35 --enforcementcount 0</v>
      </c>
    </row>
  </sheetData>
  <autoFilter ref="A12:AG229"/>
  <sortState ref="A13:AH200">
    <sortCondition ref="AG13:AG200"/>
    <sortCondition ref="AD13:AD200"/>
  </sortState>
  <mergeCells count="1">
    <mergeCell ref="A11:P11"/>
  </mergeCells>
  <conditionalFormatting sqref="W11:W12 W13:X188 W190:X196 X189 W198:X200 X197 X201 W202:X1048576">
    <cfRule type="cellIs" dxfId="23" priority="201" operator="equal">
      <formula>"Y"</formula>
    </cfRule>
  </conditionalFormatting>
  <conditionalFormatting sqref="X13:X1048576">
    <cfRule type="cellIs" dxfId="22" priority="184" operator="greaterThan">
      <formula>1</formula>
    </cfRule>
  </conditionalFormatting>
  <conditionalFormatting sqref="X12:X1048576">
    <cfRule type="cellIs" dxfId="21" priority="181" operator="equal">
      <formula>0</formula>
    </cfRule>
  </conditionalFormatting>
  <conditionalFormatting sqref="A13:S13 A15:J15 K14:S15 A172:J203 A16:S171 K172:S188 K190:S196 K189:M189 K197:M197 K198:S200 K202:S203 K201:M201 K205:S229 A205:J209 A204:S204">
    <cfRule type="expression" dxfId="20" priority="177">
      <formula>$O13&gt;0</formula>
    </cfRule>
  </conditionalFormatting>
  <conditionalFormatting sqref="A13:S13 A15:J15 K14:S15 A172:J203 A16:S171 K172:S188 K190:S196 K189:M189 K197:M197 K198:S200 K202:S203 K201:M201 K205:S229 A205:J209 A204:S204">
    <cfRule type="expression" dxfId="19" priority="176">
      <formula>$P13&gt;0</formula>
    </cfRule>
  </conditionalFormatting>
  <conditionalFormatting sqref="A14:J14">
    <cfRule type="expression" dxfId="18" priority="15">
      <formula>$O14&gt;0</formula>
    </cfRule>
  </conditionalFormatting>
  <conditionalFormatting sqref="A14:J14">
    <cfRule type="expression" dxfId="17" priority="14">
      <formula>$P14&gt;0</formula>
    </cfRule>
  </conditionalFormatting>
  <conditionalFormatting sqref="W189">
    <cfRule type="cellIs" dxfId="16" priority="12" operator="equal">
      <formula>"Y"</formula>
    </cfRule>
  </conditionalFormatting>
  <conditionalFormatting sqref="N189:S189">
    <cfRule type="expression" dxfId="15" priority="11">
      <formula>$O189&gt;0</formula>
    </cfRule>
  </conditionalFormatting>
  <conditionalFormatting sqref="N189:S189">
    <cfRule type="expression" dxfId="14" priority="10">
      <formula>$P189&gt;0</formula>
    </cfRule>
  </conditionalFormatting>
  <conditionalFormatting sqref="W197">
    <cfRule type="cellIs" dxfId="13" priority="8" operator="equal">
      <formula>"Y"</formula>
    </cfRule>
  </conditionalFormatting>
  <conditionalFormatting sqref="N197:S197">
    <cfRule type="expression" dxfId="12" priority="7">
      <formula>$O197&gt;0</formula>
    </cfRule>
  </conditionalFormatting>
  <conditionalFormatting sqref="N197:S197">
    <cfRule type="expression" dxfId="11" priority="6">
      <formula>$P197&gt;0</formula>
    </cfRule>
  </conditionalFormatting>
  <conditionalFormatting sqref="W201">
    <cfRule type="cellIs" dxfId="10" priority="4" operator="equal">
      <formula>"Y"</formula>
    </cfRule>
  </conditionalFormatting>
  <conditionalFormatting sqref="N201:S201">
    <cfRule type="expression" dxfId="9" priority="3">
      <formula>$O201&gt;0</formula>
    </cfRule>
  </conditionalFormatting>
  <conditionalFormatting sqref="N201:S201">
    <cfRule type="expression" dxfId="8" priority="2">
      <formula>$P201&gt;0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5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A13:S13 A15:J15 K14:S15 A172:J203 A16:S171 K172:S188 K190:S196 K189:M189 K197:M197 K198:S200 K202:S203 K201:M201 K205:S229 A205:J209 A204:S204</xm:sqref>
        </x14:conditionalFormatting>
        <x14:conditionalFormatting xmlns:xm="http://schemas.microsoft.com/office/excel/2006/main">
          <x14:cfRule type="expression" priority="13" id="{31EE8063-6E04-4071-BDD6-4E6F221D72AE}">
            <xm:f>IF($AG14="EC",$N14&gt;Variables!$C$2,$N14&gt;Variables!$D$2)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A14:J14</xm:sqref>
        </x14:conditionalFormatting>
        <x14:conditionalFormatting xmlns:xm="http://schemas.microsoft.com/office/excel/2006/main">
          <x14:cfRule type="expression" priority="9" id="{A33DF860-ACDF-4A70-80C8-B6C3C5A7A291}">
            <xm:f>IF($AG189="EC",$N189&gt;Variables!$C$2,$N189&gt;Variables!$D$2)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N189:S189</xm:sqref>
        </x14:conditionalFormatting>
        <x14:conditionalFormatting xmlns:xm="http://schemas.microsoft.com/office/excel/2006/main">
          <x14:cfRule type="expression" priority="5" id="{7D349B97-088E-48A9-8871-4E648389F000}">
            <xm:f>IF($AG197="EC",$N197&gt;Variables!$C$2,$N197&gt;Variables!$D$2)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N197:S197</xm:sqref>
        </x14:conditionalFormatting>
        <x14:conditionalFormatting xmlns:xm="http://schemas.microsoft.com/office/excel/2006/main">
          <x14:cfRule type="expression" priority="1" id="{CB20F874-E6CF-4E06-B472-CD73E12B52EE}">
            <xm:f>IF($AG201="EC",$N201&gt;Variables!$C$2,$N201&gt;Variables!$D$2)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N201:S201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7"/>
  <sheetViews>
    <sheetView workbookViewId="0">
      <selection activeCell="N47" sqref="N4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7" customWidth="1"/>
    <col min="14" max="14" width="24.140625" customWidth="1"/>
    <col min="15" max="15" width="5" hidden="1" customWidth="1"/>
    <col min="16" max="16" width="5.7109375" style="106" customWidth="1"/>
    <col min="17" max="17" width="5.7109375" style="120" customWidth="1"/>
    <col min="18" max="18" width="6" style="103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7"/>
      <c r="P1" s="106"/>
      <c r="Q1" s="120"/>
      <c r="R1" s="103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91</v>
      </c>
      <c r="L2" s="75"/>
      <c r="M2" s="144">
        <f>COUNTIF($M$7:$M$442,"=Y")</f>
        <v>5</v>
      </c>
      <c r="P2" s="106"/>
      <c r="Q2" s="120"/>
      <c r="R2" s="103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92</v>
      </c>
      <c r="L3" s="76"/>
      <c r="M3" s="145">
        <f>COUNTA($M$7:$M$442)-M2</f>
        <v>46</v>
      </c>
      <c r="P3" s="106"/>
      <c r="Q3" s="120"/>
      <c r="R3" s="103"/>
      <c r="T3" s="53"/>
    </row>
    <row r="4" spans="1:22" s="24" customFormat="1" x14ac:dyDescent="0.25">
      <c r="A4" s="8"/>
      <c r="F4" s="2"/>
      <c r="G4" s="2"/>
      <c r="H4" s="2"/>
      <c r="J4" s="2"/>
      <c r="L4" s="31"/>
      <c r="M4" s="127"/>
      <c r="P4" s="106"/>
      <c r="Q4" s="120"/>
      <c r="R4" s="103"/>
      <c r="T4" s="53"/>
    </row>
    <row r="5" spans="1:22" s="12" customFormat="1" ht="15" customHeight="1" x14ac:dyDescent="0.25">
      <c r="A5" s="153" t="str">
        <f>"Eagle P3 Braking Events - "&amp;TEXT(Variables!$A$2,"YYYY-mm-dd")</f>
        <v>Eagle P3 Braking Events - 2016-08-12</v>
      </c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3"/>
      <c r="P5" s="117"/>
      <c r="Q5" s="121"/>
      <c r="R5" s="124"/>
      <c r="T5" s="54"/>
    </row>
    <row r="6" spans="1:22" s="1" customFormat="1" ht="105" x14ac:dyDescent="0.25">
      <c r="A6" s="11" t="s">
        <v>38</v>
      </c>
      <c r="B6" s="77" t="s">
        <v>37</v>
      </c>
      <c r="C6" s="77" t="s">
        <v>36</v>
      </c>
      <c r="D6" s="77" t="s">
        <v>35</v>
      </c>
      <c r="E6" s="77" t="s">
        <v>34</v>
      </c>
      <c r="F6" s="78" t="s">
        <v>33</v>
      </c>
      <c r="G6" s="78" t="s">
        <v>32</v>
      </c>
      <c r="H6" s="78" t="s">
        <v>31</v>
      </c>
      <c r="I6" s="77" t="s">
        <v>30</v>
      </c>
      <c r="J6" s="78" t="s">
        <v>29</v>
      </c>
      <c r="K6" s="77" t="s">
        <v>28</v>
      </c>
      <c r="L6" s="17" t="s">
        <v>47</v>
      </c>
      <c r="M6" s="146" t="s">
        <v>27</v>
      </c>
      <c r="N6" s="77" t="s">
        <v>24</v>
      </c>
      <c r="O6" s="55"/>
      <c r="P6" s="118" t="s">
        <v>107</v>
      </c>
      <c r="Q6" s="122" t="s">
        <v>63</v>
      </c>
      <c r="R6" s="125" t="s">
        <v>106</v>
      </c>
      <c r="S6" s="77" t="s">
        <v>101</v>
      </c>
      <c r="T6" s="79" t="s">
        <v>102</v>
      </c>
      <c r="U6" s="55" t="s">
        <v>115</v>
      </c>
      <c r="V6" s="55" t="s">
        <v>118</v>
      </c>
    </row>
    <row r="7" spans="1:22" s="1" customFormat="1" x14ac:dyDescent="0.25">
      <c r="A7" s="41">
        <v>42594.286215277774</v>
      </c>
      <c r="B7" s="34" t="s">
        <v>99</v>
      </c>
      <c r="C7" s="34" t="s">
        <v>302</v>
      </c>
      <c r="D7" s="34" t="s">
        <v>49</v>
      </c>
      <c r="E7" s="34" t="s">
        <v>56</v>
      </c>
      <c r="F7" s="52">
        <v>400</v>
      </c>
      <c r="G7" s="52">
        <v>571</v>
      </c>
      <c r="H7" s="52">
        <v>114887</v>
      </c>
      <c r="I7" s="34" t="s">
        <v>57</v>
      </c>
      <c r="J7" s="52">
        <v>116838</v>
      </c>
      <c r="K7" s="34" t="s">
        <v>52</v>
      </c>
      <c r="L7" s="101" t="str">
        <f>VLOOKUP(C7,'Trips&amp;Operators'!$C$1:$E$9999,3,0)</f>
        <v>OUN</v>
      </c>
      <c r="M7" s="147" t="s">
        <v>90</v>
      </c>
      <c r="N7" s="10"/>
      <c r="O7" s="34"/>
      <c r="P7" s="119" t="str">
        <f>VLOOKUP(C7,'Train Runs'!$A$13:$AE$340,31,0)</f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Q7" s="123" t="str">
        <f>VLOOKUP(C7,'Train Runs'!$A$13:$AE$340,22,0)</f>
        <v>https://search-rtdc-monitor-bjffxe2xuh6vdkpspy63sjmuny.us-east-1.es.amazonaws.com/_plugin/kibana/#/discover/Steve-Slow-Train-Analysis-(2080s-and-2083s)?_g=(refreshInterval:(display:Off,section:0,value:0),time:(from:'2016-08-12 05:26:11-0600',mode:absolute,to:'2016-08-12 08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7" s="126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/stypes="*4027*201608121*" /stext=" 12:.+((SYSTEM_STATE.+slice.+state.+changed )|(ment ac)|(system.+state.+changed )|(\|lc)|(penalty)|(\[timeout)|(PRM\|1\|D)|(kpr)|(kdp))" /e /r /s</v>
      </c>
      <c r="S7" s="9" t="str">
        <f t="shared" ref="S7:S38" si="1">MID(B7,13,4)</f>
        <v>4027</v>
      </c>
      <c r="T7" s="41">
        <f t="shared" ref="T7:T38" si="2">A7+6/24</f>
        <v>42594.536215277774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42594.702951388892</v>
      </c>
      <c r="B8" s="34" t="s">
        <v>123</v>
      </c>
      <c r="C8" s="34" t="s">
        <v>422</v>
      </c>
      <c r="D8" s="34" t="s">
        <v>49</v>
      </c>
      <c r="E8" s="34" t="s">
        <v>56</v>
      </c>
      <c r="F8" s="52">
        <v>400</v>
      </c>
      <c r="G8" s="52">
        <v>590</v>
      </c>
      <c r="H8" s="52">
        <v>115370</v>
      </c>
      <c r="I8" s="34" t="s">
        <v>57</v>
      </c>
      <c r="J8" s="52">
        <v>116838</v>
      </c>
      <c r="K8" s="34" t="s">
        <v>52</v>
      </c>
      <c r="L8" s="101" t="str">
        <f>VLOOKUP(C8,'Trips&amp;Operators'!$C$1:$E$9999,3,0)</f>
        <v>MAYBERRY</v>
      </c>
      <c r="M8" s="147" t="s">
        <v>90</v>
      </c>
      <c r="N8" s="10"/>
      <c r="O8" s="34"/>
      <c r="P8" s="119" t="str">
        <f>VLOOKUP(C8,'Train Runs'!$A$13:$AE$340,31,0)</f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Q8" s="123" t="str">
        <f>VLOOKUP(C8,'Train Runs'!$A$13:$AE$340,22,0)</f>
        <v>https://search-rtdc-monitor-bjffxe2xuh6vdkpspy63sjmuny.us-east-1.es.amazonaws.com/_plugin/kibana/#/discover/Steve-Slow-Train-Analysis-(2080s-and-2083s)?_g=(refreshInterval:(display:Off,section:0,value:0),time:(from:'2016-08-12 15:25:29-0600',mode:absolute,to:'2016-08-12 18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8" s="126" t="str">
        <f t="shared" si="0"/>
        <v>"C:\Program Files (x86)\AstroGrep\AstroGrep.exe" /spath="%USERPROFILE%\AppData\Local\Temp\OnboardLogs" /stypes="*4031*201608122*" /stext=" 22:.+((SYSTEM_STATE.+slice.+state.+changed )|(ment ac)|(system.+state.+changed )|(\|lc)|(penalty)|(\[timeout)|(PRM\|1\|D)|(kpr)|(kdp))" /e /r /s</v>
      </c>
      <c r="S8" s="9" t="str">
        <f t="shared" si="1"/>
        <v>4031</v>
      </c>
      <c r="T8" s="41">
        <f t="shared" si="2"/>
        <v>42594.952951388892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42594.394861111112</v>
      </c>
      <c r="B9" s="34" t="s">
        <v>97</v>
      </c>
      <c r="C9" s="34" t="s">
        <v>335</v>
      </c>
      <c r="D9" s="34" t="s">
        <v>119</v>
      </c>
      <c r="E9" s="34" t="s">
        <v>56</v>
      </c>
      <c r="F9" s="52">
        <v>700</v>
      </c>
      <c r="G9" s="52">
        <v>751</v>
      </c>
      <c r="H9" s="52">
        <v>174015</v>
      </c>
      <c r="I9" s="34" t="s">
        <v>57</v>
      </c>
      <c r="J9" s="52">
        <v>161962</v>
      </c>
      <c r="K9" s="34" t="s">
        <v>52</v>
      </c>
      <c r="L9" s="101" t="str">
        <f>VLOOKUP(C9,'Trips&amp;Operators'!$C$1:$E$9999,3,0)</f>
        <v>ROCHA</v>
      </c>
      <c r="M9" s="147" t="s">
        <v>90</v>
      </c>
      <c r="N9" s="10"/>
      <c r="O9" s="34"/>
      <c r="P9" s="119" t="str">
        <f>VLOOKUP(C9,'Train Runs'!$A$13:$AE$340,31,0)</f>
        <v>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 &amp; aws s3 cp s3://rtdc.mdm.uploadarchive/RTDC4029/2016-08-13/ "%USERPROFILE%\AppData\Local\Temp\OnboardLogs"\RTDC4029\2016-08-13 --recursive &amp; "%USERPROFILE%\Documents\GitHub\mrs-test-scripts\Headless Mode &amp; Sideloading\WalkAndUnGZ.bat" "%USERPROFILE%\AppData\Local\Temp\OnboardLogs"\RTDC4029\2016-08-13</v>
      </c>
      <c r="Q9" s="123" t="str">
        <f>VLOOKUP(C9,'Train Runs'!$A$13:$AE$340,22,0)</f>
        <v>https://search-rtdc-monitor-bjffxe2xuh6vdkpspy63sjmuny.us-east-1.es.amazonaws.com/_plugin/kibana/#/discover/Steve-Slow-Train-Analysis-(2080s-and-2083s)?_g=(refreshInterval:(display:Off,section:0,value:0),time:(from:'2016-08-12 07:57:27-0600',mode:absolute,to:'2016-08-12 10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9" s="126" t="str">
        <f t="shared" si="0"/>
        <v>"C:\Program Files (x86)\AstroGrep\AstroGrep.exe" /spath="%USERPROFILE%\AppData\Local\Temp\OnboardLogs" /stypes="*4029*201608121*" /stext=" 15:.+((SYSTEM_STATE.+slice.+state.+changed )|(ment ac)|(system.+state.+changed )|(\|lc)|(penalty)|(\[timeout)|(PRM\|1\|D)|(kpr)|(kdp))" /e /r /s</v>
      </c>
      <c r="S9" s="9" t="str">
        <f t="shared" si="1"/>
        <v>4029</v>
      </c>
      <c r="T9" s="41">
        <f t="shared" si="2"/>
        <v>42594.644861111112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42594.660254629627</v>
      </c>
      <c r="B10" s="34" t="s">
        <v>124</v>
      </c>
      <c r="C10" s="34" t="s">
        <v>400</v>
      </c>
      <c r="D10" s="34" t="s">
        <v>119</v>
      </c>
      <c r="E10" s="34" t="s">
        <v>56</v>
      </c>
      <c r="F10" s="52">
        <v>700</v>
      </c>
      <c r="G10" s="52">
        <v>753</v>
      </c>
      <c r="H10" s="52">
        <v>179203</v>
      </c>
      <c r="I10" s="34" t="s">
        <v>57</v>
      </c>
      <c r="J10" s="52">
        <v>183829</v>
      </c>
      <c r="K10" s="34" t="s">
        <v>53</v>
      </c>
      <c r="L10" s="101" t="str">
        <f>VLOOKUP(C10,'Trips&amp;Operators'!$C$1:$E$9999,3,0)</f>
        <v>MAYBERRY</v>
      </c>
      <c r="M10" s="147" t="s">
        <v>90</v>
      </c>
      <c r="N10" s="10"/>
      <c r="O10" s="34"/>
      <c r="P10" s="119" t="str">
        <f>VLOOKUP(C10,'Train Runs'!$A$13:$AE$340,31,0)</f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Q10" s="123" t="str">
        <f>VLOOKUP(C10,'Train Runs'!$A$13:$AE$340,22,0)</f>
        <v>https://search-rtdc-monitor-bjffxe2xuh6vdkpspy63sjmuny.us-east-1.es.amazonaws.com/_plugin/kibana/#/discover/Steve-Slow-Train-Analysis-(2080s-and-2083s)?_g=(refreshInterval:(display:Off,section:0,value:0),time:(from:'2016-08-12 14:36:14-0600',mode:absolute,to:'2016-08-12 17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0" s="126" t="str">
        <f t="shared" si="0"/>
        <v>"C:\Program Files (x86)\AstroGrep\AstroGrep.exe" /spath="%USERPROFILE%\AppData\Local\Temp\OnboardLogs" /stypes="*4032*201608122*" /stext=" 21:.+((SYSTEM_STATE.+slice.+state.+changed )|(ment ac)|(system.+state.+changed )|(\|lc)|(penalty)|(\[timeout)|(PRM\|1\|D)|(kpr)|(kdp))" /e /r /s</v>
      </c>
      <c r="S10" s="9" t="str">
        <f t="shared" si="1"/>
        <v>4032</v>
      </c>
      <c r="T10" s="41">
        <f t="shared" si="2"/>
        <v>42594.910254629627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42594.701458333337</v>
      </c>
      <c r="B11" s="34" t="s">
        <v>653</v>
      </c>
      <c r="C11" s="34" t="s">
        <v>418</v>
      </c>
      <c r="D11" s="34" t="s">
        <v>49</v>
      </c>
      <c r="E11" s="34" t="s">
        <v>56</v>
      </c>
      <c r="F11" s="52">
        <v>550</v>
      </c>
      <c r="G11" s="52">
        <v>617</v>
      </c>
      <c r="H11" s="52">
        <v>220379</v>
      </c>
      <c r="I11" s="34" t="s">
        <v>57</v>
      </c>
      <c r="J11" s="52">
        <v>222090</v>
      </c>
      <c r="K11" s="34" t="s">
        <v>52</v>
      </c>
      <c r="L11" s="101" t="str">
        <f>VLOOKUP(C11,'Trips&amp;Operators'!$C$1:$E$9999,3,0)</f>
        <v>STEWART</v>
      </c>
      <c r="M11" s="147" t="s">
        <v>90</v>
      </c>
      <c r="N11" s="10"/>
      <c r="O11" s="34"/>
      <c r="P11" s="119" t="str">
        <f>VLOOKUP(C11,'Train Runs'!$A$13:$AE$340,31,0)</f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Q11" s="123" t="str">
        <f>VLOOKUP(C11,'Train Runs'!$A$13:$AE$340,22,0)</f>
        <v>https://search-rtdc-monitor-bjffxe2xuh6vdkpspy63sjmuny.us-east-1.es.amazonaws.com/_plugin/kibana/#/discover/Steve-Slow-Train-Analysis-(2080s-and-2083s)?_g=(refreshInterval:(display:Off,section:0,value:0),time:(from:'2016-08-12 15:10:23-0600',mode:absolute,to:'2016-08-12 17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1" s="126" t="str">
        <f t="shared" si="0"/>
        <v>"C:\Program Files (x86)\AstroGrep\AstroGrep.exe" /spath="%USERPROFILE%\AppData\Local\Temp\OnboardLogs" /stypes="*4020*201608122*" /stext=" 22:.+((SYSTEM_STATE.+slice.+state.+changed )|(ment ac)|(system.+state.+changed )|(\|lc)|(penalty)|(\[timeout)|(PRM\|1\|D)|(kpr)|(kdp))" /e /r /s</v>
      </c>
      <c r="S11" s="9" t="str">
        <f t="shared" si="1"/>
        <v>4020</v>
      </c>
      <c r="T11" s="41">
        <f t="shared" si="2"/>
        <v>42594.951458333337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42594.702523148146</v>
      </c>
      <c r="B12" s="34" t="s">
        <v>653</v>
      </c>
      <c r="C12" s="34" t="s">
        <v>418</v>
      </c>
      <c r="D12" s="34" t="s">
        <v>119</v>
      </c>
      <c r="E12" s="34" t="s">
        <v>56</v>
      </c>
      <c r="F12" s="52">
        <v>350</v>
      </c>
      <c r="G12" s="52">
        <v>408</v>
      </c>
      <c r="H12" s="52">
        <v>225503</v>
      </c>
      <c r="I12" s="34" t="s">
        <v>57</v>
      </c>
      <c r="J12" s="52">
        <v>224578</v>
      </c>
      <c r="K12" s="34" t="s">
        <v>52</v>
      </c>
      <c r="L12" s="101" t="str">
        <f>VLOOKUP(C12,'Trips&amp;Operators'!$C$1:$E$9999,3,0)</f>
        <v>STEWART</v>
      </c>
      <c r="M12" s="147" t="s">
        <v>90</v>
      </c>
      <c r="N12" s="10"/>
      <c r="O12" s="34"/>
      <c r="P12" s="119" t="str">
        <f>VLOOKUP(C12,'Train Runs'!$A$13:$AE$340,31,0)</f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Q12" s="123" t="str">
        <f>VLOOKUP(C12,'Train Runs'!$A$13:$AE$340,22,0)</f>
        <v>https://search-rtdc-monitor-bjffxe2xuh6vdkpspy63sjmuny.us-east-1.es.amazonaws.com/_plugin/kibana/#/discover/Steve-Slow-Train-Analysis-(2080s-and-2083s)?_g=(refreshInterval:(display:Off,section:0,value:0),time:(from:'2016-08-12 15:10:23-0600',mode:absolute,to:'2016-08-12 17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2" s="126" t="str">
        <f t="shared" si="0"/>
        <v>"C:\Program Files (x86)\AstroGrep\AstroGrep.exe" /spath="%USERPROFILE%\AppData\Local\Temp\OnboardLogs" /stypes="*4020*201608122*" /stext=" 22:.+((SYSTEM_STATE.+slice.+state.+changed )|(ment ac)|(system.+state.+changed )|(\|lc)|(penalty)|(\[timeout)|(PRM\|1\|D)|(kpr)|(kdp))" /e /r /s</v>
      </c>
      <c r="S12" s="9" t="str">
        <f t="shared" si="1"/>
        <v>4020</v>
      </c>
      <c r="T12" s="41">
        <f t="shared" si="2"/>
        <v>42594.952523148146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42594.281724537039</v>
      </c>
      <c r="B13" s="34" t="s">
        <v>656</v>
      </c>
      <c r="C13" s="34" t="s">
        <v>292</v>
      </c>
      <c r="D13" s="34" t="s">
        <v>119</v>
      </c>
      <c r="E13" s="34" t="s">
        <v>56</v>
      </c>
      <c r="F13" s="52">
        <v>350</v>
      </c>
      <c r="G13" s="52">
        <v>404</v>
      </c>
      <c r="H13" s="52">
        <v>225994</v>
      </c>
      <c r="I13" s="34" t="s">
        <v>57</v>
      </c>
      <c r="J13" s="52">
        <v>228668</v>
      </c>
      <c r="K13" s="34" t="s">
        <v>53</v>
      </c>
      <c r="L13" s="101" t="b">
        <f>VLOOKUP(C13,'Trips&amp;Operators'!$C$1:$E$9999,3,0)</f>
        <v>1</v>
      </c>
      <c r="M13" s="147" t="s">
        <v>90</v>
      </c>
      <c r="N13" s="10"/>
      <c r="O13" s="34"/>
      <c r="P13" s="119" t="str">
        <f>VLOOKUP(C13,'Train Runs'!$A$13:$AE$340,31,0)</f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Q13" s="123" t="str">
        <f>VLOOKUP(C13,'Train Runs'!$A$13:$AE$340,22,0)</f>
        <v>https://search-rtdc-monitor-bjffxe2xuh6vdkpspy63sjmuny.us-east-1.es.amazonaws.com/_plugin/kibana/#/discover/Steve-Slow-Train-Analysis-(2080s-and-2083s)?_g=(refreshInterval:(display:Off,section:0,value:0),time:(from:'2016-08-12 05:39:56-0600',mode:absolute,to:'2016-08-12 08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13" s="126" t="str">
        <f t="shared" si="0"/>
        <v>"C:\Program Files (x86)\AstroGrep\AstroGrep.exe" /spath="%USERPROFILE%\AppData\Local\Temp\OnboardLogs" /stypes="*4019*201608121*" /stext=" 12:.+((SYSTEM_STATE.+slice.+state.+changed )|(ment ac)|(system.+state.+changed )|(\|lc)|(penalty)|(\[timeout)|(PRM\|1\|D)|(kpr)|(kdp))" /e /r /s</v>
      </c>
      <c r="S13" s="9" t="str">
        <f t="shared" si="1"/>
        <v>4019</v>
      </c>
      <c r="T13" s="41">
        <f t="shared" si="2"/>
        <v>42594.531724537039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42594.463252314818</v>
      </c>
      <c r="B14" s="34" t="s">
        <v>658</v>
      </c>
      <c r="C14" s="34" t="s">
        <v>350</v>
      </c>
      <c r="D14" s="34" t="s">
        <v>49</v>
      </c>
      <c r="E14" s="34" t="s">
        <v>56</v>
      </c>
      <c r="F14" s="52">
        <v>150</v>
      </c>
      <c r="G14" s="52">
        <v>228</v>
      </c>
      <c r="H14" s="52">
        <v>229259</v>
      </c>
      <c r="I14" s="34" t="s">
        <v>57</v>
      </c>
      <c r="J14" s="52">
        <v>230436</v>
      </c>
      <c r="K14" s="34" t="s">
        <v>52</v>
      </c>
      <c r="L14" s="101" t="str">
        <f>VLOOKUP(C14,'Trips&amp;Operators'!$C$1:$E$9999,3,0)</f>
        <v>STRICKLAND</v>
      </c>
      <c r="M14" s="147" t="s">
        <v>90</v>
      </c>
      <c r="N14" s="10"/>
      <c r="O14" s="34"/>
      <c r="P14" s="119" t="str">
        <f>VLOOKUP(C14,'Train Runs'!$A$13:$AE$340,31,0)</f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Q14" s="123" t="str">
        <f>VLOOKUP(C14,'Train Runs'!$A$13:$AE$340,22,0)</f>
        <v>https://search-rtdc-monitor-bjffxe2xuh6vdkpspy63sjmuny.us-east-1.es.amazonaws.com/_plugin/kibana/#/discover/Steve-Slow-Train-Analysis-(2080s-and-2083s)?_g=(refreshInterval:(display:Off,section:0,value:0),time:(from:'2016-08-12 09:22:05-0600',mode:absolute,to:'2016-08-12 12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14" s="126" t="str">
        <f t="shared" si="0"/>
        <v>"C:\Program Files (x86)\AstroGrep\AstroGrep.exe" /spath="%USERPROFILE%\AppData\Local\Temp\OnboardLogs" /stypes="*4018*201608121*" /stext=" 17:.+((SYSTEM_STATE.+slice.+state.+changed )|(ment ac)|(system.+state.+changed )|(\|lc)|(penalty)|(\[timeout)|(PRM\|1\|D)|(kpr)|(kdp))" /e /r /s</v>
      </c>
      <c r="S14" s="9" t="str">
        <f t="shared" si="1"/>
        <v>4018</v>
      </c>
      <c r="T14" s="41">
        <f t="shared" si="2"/>
        <v>42594.713252314818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42594.463935185187</v>
      </c>
      <c r="B15" s="34" t="s">
        <v>658</v>
      </c>
      <c r="C15" s="34" t="s">
        <v>350</v>
      </c>
      <c r="D15" s="34" t="s">
        <v>119</v>
      </c>
      <c r="E15" s="34" t="s">
        <v>56</v>
      </c>
      <c r="F15" s="52">
        <v>150</v>
      </c>
      <c r="G15" s="52">
        <v>203</v>
      </c>
      <c r="H15" s="52">
        <v>230921</v>
      </c>
      <c r="I15" s="34" t="s">
        <v>57</v>
      </c>
      <c r="J15" s="52">
        <v>230436</v>
      </c>
      <c r="K15" s="34" t="s">
        <v>52</v>
      </c>
      <c r="L15" s="101" t="str">
        <f>VLOOKUP(C15,'Trips&amp;Operators'!$C$1:$E$9999,3,0)</f>
        <v>STRICKLAND</v>
      </c>
      <c r="M15" s="147" t="s">
        <v>90</v>
      </c>
      <c r="N15" s="10"/>
      <c r="O15" s="34"/>
      <c r="P15" s="119" t="str">
        <f>VLOOKUP(C15,'Train Runs'!$A$13:$AE$340,31,0)</f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Q15" s="123" t="str">
        <f>VLOOKUP(C15,'Train Runs'!$A$13:$AE$340,22,0)</f>
        <v>https://search-rtdc-monitor-bjffxe2xuh6vdkpspy63sjmuny.us-east-1.es.amazonaws.com/_plugin/kibana/#/discover/Steve-Slow-Train-Analysis-(2080s-and-2083s)?_g=(refreshInterval:(display:Off,section:0,value:0),time:(from:'2016-08-12 09:22:05-0600',mode:absolute,to:'2016-08-12 12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15" s="126" t="str">
        <f t="shared" si="0"/>
        <v>"C:\Program Files (x86)\AstroGrep\AstroGrep.exe" /spath="%USERPROFILE%\AppData\Local\Temp\OnboardLogs" /stypes="*4018*201608121*" /stext=" 17:.+((SYSTEM_STATE.+slice.+state.+changed )|(ment ac)|(system.+state.+changed )|(\|lc)|(penalty)|(\[timeout)|(PRM\|1\|D)|(kpr)|(kdp))" /e /r /s</v>
      </c>
      <c r="S15" s="9" t="str">
        <f t="shared" si="1"/>
        <v>4018</v>
      </c>
      <c r="T15" s="41">
        <f t="shared" si="2"/>
        <v>42594.713935185187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42594.712685185186</v>
      </c>
      <c r="B16" s="34" t="s">
        <v>123</v>
      </c>
      <c r="C16" s="34" t="s">
        <v>422</v>
      </c>
      <c r="D16" s="34" t="s">
        <v>49</v>
      </c>
      <c r="E16" s="34" t="s">
        <v>56</v>
      </c>
      <c r="F16" s="52">
        <v>150</v>
      </c>
      <c r="G16" s="52">
        <v>315</v>
      </c>
      <c r="H16" s="52">
        <v>228645</v>
      </c>
      <c r="I16" s="34" t="s">
        <v>57</v>
      </c>
      <c r="J16" s="52">
        <v>230436</v>
      </c>
      <c r="K16" s="34" t="s">
        <v>52</v>
      </c>
      <c r="L16" s="101" t="str">
        <f>VLOOKUP(C16,'Trips&amp;Operators'!$C$1:$E$9999,3,0)</f>
        <v>MAYBERRY</v>
      </c>
      <c r="M16" s="147" t="s">
        <v>90</v>
      </c>
      <c r="N16" s="10"/>
      <c r="O16" s="34"/>
      <c r="P16" s="119" t="str">
        <f>VLOOKUP(C16,'Train Runs'!$A$13:$AE$340,31,0)</f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Q16" s="123" t="str">
        <f>VLOOKUP(C16,'Train Runs'!$A$13:$AE$340,22,0)</f>
        <v>https://search-rtdc-monitor-bjffxe2xuh6vdkpspy63sjmuny.us-east-1.es.amazonaws.com/_plugin/kibana/#/discover/Steve-Slow-Train-Analysis-(2080s-and-2083s)?_g=(refreshInterval:(display:Off,section:0,value:0),time:(from:'2016-08-12 15:25:29-0600',mode:absolute,to:'2016-08-12 18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6" s="126" t="str">
        <f t="shared" si="0"/>
        <v>"C:\Program Files (x86)\AstroGrep\AstroGrep.exe" /spath="%USERPROFILE%\AppData\Local\Temp\OnboardLogs" /stypes="*4031*201608122*" /stext=" 23:.+((SYSTEM_STATE.+slice.+state.+changed )|(ment ac)|(system.+state.+changed )|(\|lc)|(penalty)|(\[timeout)|(PRM\|1\|D)|(kpr)|(kdp))" /e /r /s</v>
      </c>
      <c r="S16" s="9" t="str">
        <f t="shared" si="1"/>
        <v>4031</v>
      </c>
      <c r="T16" s="41">
        <f t="shared" si="2"/>
        <v>42594.962685185186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42594.801203703704</v>
      </c>
      <c r="B17" s="34" t="s">
        <v>124</v>
      </c>
      <c r="C17" s="34" t="s">
        <v>444</v>
      </c>
      <c r="D17" s="34" t="s">
        <v>119</v>
      </c>
      <c r="E17" s="34" t="s">
        <v>56</v>
      </c>
      <c r="F17" s="52">
        <v>350</v>
      </c>
      <c r="G17" s="52">
        <v>400</v>
      </c>
      <c r="H17" s="52">
        <v>225379</v>
      </c>
      <c r="I17" s="34" t="s">
        <v>57</v>
      </c>
      <c r="J17" s="52">
        <v>232080</v>
      </c>
      <c r="K17" s="34" t="s">
        <v>53</v>
      </c>
      <c r="L17" s="101" t="str">
        <f>VLOOKUP(C17,'Trips&amp;Operators'!$C$1:$E$9999,3,0)</f>
        <v>STAMBAUGH</v>
      </c>
      <c r="M17" s="147" t="s">
        <v>90</v>
      </c>
      <c r="N17" s="10"/>
      <c r="O17" s="34"/>
      <c r="P17" s="119" t="str">
        <f>VLOOKUP(C17,'Train Runs'!$A$13:$AE$340,31,0)</f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Q17" s="123" t="str">
        <f>VLOOKUP(C17,'Train Runs'!$A$13:$AE$340,22,0)</f>
        <v>https://search-rtdc-monitor-bjffxe2xuh6vdkpspy63sjmuny.us-east-1.es.amazonaws.com/_plugin/kibana/#/discover/Steve-Slow-Train-Analysis-(2080s-and-2083s)?_g=(refreshInterval:(display:Off,section:0,value:0),time:(from:'2016-08-12 18:05:44-0600',mode:absolute,to:'2016-08-12 20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7" s="126" t="str">
        <f t="shared" si="0"/>
        <v>"C:\Program Files (x86)\AstroGrep\AstroGrep.exe" /spath="%USERPROFILE%\AppData\Local\Temp\OnboardLogs" /stypes="*4032*201608130*" /stext=" 01:.+((SYSTEM_STATE.+slice.+state.+changed )|(ment ac)|(system.+state.+changed )|(\|lc)|(penalty)|(\[timeout)|(PRM\|1\|D)|(kpr)|(kdp))" /e /r /s</v>
      </c>
      <c r="S17" s="9" t="str">
        <f t="shared" si="1"/>
        <v>4032</v>
      </c>
      <c r="T17" s="41">
        <f t="shared" si="2"/>
        <v>42595.051203703704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42594.478310185186</v>
      </c>
      <c r="B18" s="34" t="s">
        <v>64</v>
      </c>
      <c r="C18" s="34" t="s">
        <v>352</v>
      </c>
      <c r="D18" s="34" t="s">
        <v>119</v>
      </c>
      <c r="E18" s="34" t="s">
        <v>56</v>
      </c>
      <c r="F18" s="52">
        <v>350</v>
      </c>
      <c r="G18" s="52">
        <v>404</v>
      </c>
      <c r="H18" s="52">
        <v>224785</v>
      </c>
      <c r="I18" s="34" t="s">
        <v>57</v>
      </c>
      <c r="J18" s="52">
        <v>232107</v>
      </c>
      <c r="K18" s="34" t="s">
        <v>53</v>
      </c>
      <c r="L18" s="101" t="str">
        <f>VLOOKUP(C18,'Trips&amp;Operators'!$C$1:$E$9999,3,0)</f>
        <v>STRICKLAND</v>
      </c>
      <c r="M18" s="147" t="s">
        <v>90</v>
      </c>
      <c r="N18" s="10"/>
      <c r="O18" s="34"/>
      <c r="P18" s="119" t="str">
        <f>VLOOKUP(C18,'Train Runs'!$A$13:$AE$340,31,0)</f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Q18" s="123" t="str">
        <f>VLOOKUP(C18,'Train Runs'!$A$13:$AE$340,22,0)</f>
        <v>https://search-rtdc-monitor-bjffxe2xuh6vdkpspy63sjmuny.us-east-1.es.amazonaws.com/_plugin/kibana/#/discover/Steve-Slow-Train-Analysis-(2080s-and-2083s)?_g=(refreshInterval:(display:Off,section:0,value:0),time:(from:'2016-08-12 10:18:25-0600',mode:absolute,to:'2016-08-12 13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8" s="126" t="str">
        <f t="shared" si="0"/>
        <v>"C:\Program Files (x86)\AstroGrep\AstroGrep.exe" /spath="%USERPROFILE%\AppData\Local\Temp\OnboardLogs" /stypes="*4017*201608121*" /stext=" 17:.+((SYSTEM_STATE.+slice.+state.+changed )|(ment ac)|(system.+state.+changed )|(\|lc)|(penalty)|(\[timeout)|(PRM\|1\|D)|(kpr)|(kdp))" /e /r /s</v>
      </c>
      <c r="S18" s="9" t="str">
        <f t="shared" si="1"/>
        <v>4017</v>
      </c>
      <c r="T18" s="41">
        <f t="shared" si="2"/>
        <v>42594.728310185186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42594.560879629629</v>
      </c>
      <c r="B19" s="34" t="s">
        <v>98</v>
      </c>
      <c r="C19" s="34" t="s">
        <v>375</v>
      </c>
      <c r="D19" s="34" t="s">
        <v>119</v>
      </c>
      <c r="E19" s="34" t="s">
        <v>56</v>
      </c>
      <c r="F19" s="52">
        <v>350</v>
      </c>
      <c r="G19" s="52">
        <v>411</v>
      </c>
      <c r="H19" s="52">
        <v>229477</v>
      </c>
      <c r="I19" s="34" t="s">
        <v>57</v>
      </c>
      <c r="J19" s="52">
        <v>232107</v>
      </c>
      <c r="K19" s="34" t="s">
        <v>53</v>
      </c>
      <c r="L19" s="101" t="str">
        <f>VLOOKUP(C19,'Trips&amp;Operators'!$C$1:$E$9999,3,0)</f>
        <v>HAITHCOX</v>
      </c>
      <c r="M19" s="147" t="s">
        <v>90</v>
      </c>
      <c r="N19" s="10"/>
      <c r="O19" s="34"/>
      <c r="P19" s="119" t="str">
        <f>VLOOKUP(C19,'Train Runs'!$A$13:$AE$340,31,0)</f>
        <v>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 &amp; aws s3 cp s3://rtdc.mdm.uploadarchive/RTDC4030/2016-08-13/ "%USERPROFILE%\AppData\Local\Temp\OnboardLogs"\RTDC4030\2016-08-13 --recursive &amp; "%USERPROFILE%\Documents\GitHub\mrs-test-scripts\Headless Mode &amp; Sideloading\WalkAndUnGZ.bat" "%USERPROFILE%\AppData\Local\Temp\OnboardLogs"\RTDC4030\2016-08-13</v>
      </c>
      <c r="Q19" s="123" t="str">
        <f>VLOOKUP(C19,'Train Runs'!$A$13:$AE$340,22,0)</f>
        <v>https://search-rtdc-monitor-bjffxe2xuh6vdkpspy63sjmuny.us-east-1.es.amazonaws.com/_plugin/kibana/#/discover/Steve-Slow-Train-Analysis-(2080s-and-2083s)?_g=(refreshInterval:(display:Off,section:0,value:0),time:(from:'2016-08-12 12:22:03-0600',mode:absolute,to:'2016-08-12 15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19" s="126" t="str">
        <f t="shared" si="0"/>
        <v>"C:\Program Files (x86)\AstroGrep\AstroGrep.exe" /spath="%USERPROFILE%\AppData\Local\Temp\OnboardLogs" /stypes="*4030*201608121*" /stext=" 19:.+((SYSTEM_STATE.+slice.+state.+changed )|(ment ac)|(system.+state.+changed )|(\|lc)|(penalty)|(\[timeout)|(PRM\|1\|D)|(kpr)|(kdp))" /e /r /s</v>
      </c>
      <c r="S19" s="9" t="str">
        <f t="shared" si="1"/>
        <v>4030</v>
      </c>
      <c r="T19" s="41">
        <f t="shared" si="2"/>
        <v>42594.810879629629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42594.249166666668</v>
      </c>
      <c r="B20" s="34" t="s">
        <v>653</v>
      </c>
      <c r="C20" s="34" t="s">
        <v>290</v>
      </c>
      <c r="D20" s="34" t="s">
        <v>119</v>
      </c>
      <c r="E20" s="34" t="s">
        <v>54</v>
      </c>
      <c r="F20" s="52">
        <v>200</v>
      </c>
      <c r="G20" s="52">
        <v>250</v>
      </c>
      <c r="H20" s="52">
        <v>20386</v>
      </c>
      <c r="I20" s="34" t="s">
        <v>55</v>
      </c>
      <c r="J20" s="52">
        <v>10800</v>
      </c>
      <c r="K20" s="34" t="s">
        <v>52</v>
      </c>
      <c r="L20" s="101" t="str">
        <f>VLOOKUP(C20,'Trips&amp;Operators'!$C$1:$E$9999,3,0)</f>
        <v>DAVIS</v>
      </c>
      <c r="M20" s="147" t="s">
        <v>90</v>
      </c>
      <c r="N20" s="10" t="s">
        <v>260</v>
      </c>
      <c r="O20" s="34"/>
      <c r="P20" s="119" t="str">
        <f>VLOOKUP(C20,'Train Runs'!$A$13:$AE$340,31,0)</f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Q20" s="123" t="str">
        <f>VLOOKUP(C20,'Train Runs'!$A$13:$AE$340,22,0)</f>
        <v>https://search-rtdc-monitor-bjffxe2xuh6vdkpspy63sjmuny.us-east-1.es.amazonaws.com/_plugin/kibana/#/discover/Steve-Slow-Train-Analysis-(2080s-and-2083s)?_g=(refreshInterval:(display:Off,section:0,value:0),time:(from:'2016-08-12 04:55:59-0600',mode:absolute,to:'2016-08-12 07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20" s="126" t="str">
        <f t="shared" si="0"/>
        <v>"C:\Program Files (x86)\AstroGrep\AstroGrep.exe" /spath="%USERPROFILE%\AppData\Local\Temp\OnboardLogs" /stypes="*4020*201608121*" /stext=" 11:.+((SYSTEM_STATE.+slice.+state.+changed )|(ment ac)|(system.+state.+changed )|(\|lc)|(penalty)|(\[timeout)|(PRM\|1\|D)|(kpr)|(kdp))" /e /r /s</v>
      </c>
      <c r="S20" s="9" t="str">
        <f t="shared" si="1"/>
        <v>4020</v>
      </c>
      <c r="T20" s="41">
        <f t="shared" si="2"/>
        <v>42594.499166666668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42594.934606481482</v>
      </c>
      <c r="B21" s="34" t="s">
        <v>206</v>
      </c>
      <c r="C21" s="34" t="s">
        <v>464</v>
      </c>
      <c r="D21" s="34" t="s">
        <v>119</v>
      </c>
      <c r="E21" s="34" t="s">
        <v>54</v>
      </c>
      <c r="F21" s="52">
        <v>200</v>
      </c>
      <c r="G21" s="52">
        <v>254</v>
      </c>
      <c r="H21" s="52">
        <v>61061</v>
      </c>
      <c r="I21" s="34" t="s">
        <v>55</v>
      </c>
      <c r="J21" s="52">
        <v>64008</v>
      </c>
      <c r="K21" s="34" t="s">
        <v>53</v>
      </c>
      <c r="L21" s="101" t="str">
        <f>VLOOKUP(C21,'Trips&amp;Operators'!$C$1:$E$9999,3,0)</f>
        <v>LEVIN</v>
      </c>
      <c r="M21" s="147" t="s">
        <v>90</v>
      </c>
      <c r="N21" s="10" t="s">
        <v>260</v>
      </c>
      <c r="O21" s="34"/>
      <c r="P21" s="119" t="str">
        <f>VLOOKUP(C21,'Train Runs'!$A$13:$AE$340,31,0)</f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Q21" s="123" t="str">
        <f>VLOOKUP(C21,'Train Runs'!$A$13:$AE$340,22,0)</f>
        <v>https://search-rtdc-monitor-bjffxe2xuh6vdkpspy63sjmuny.us-east-1.es.amazonaws.com/_plugin/kibana/#/discover/Steve-Slow-Train-Analysis-(2080s-and-2083s)?_g=(refreshInterval:(display:Off,section:0,value:0),time:(from:'2016-08-12 20:47:43-0600',mode:absolute,to:'2016-08-12 23:40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1" s="126" t="str">
        <f t="shared" si="0"/>
        <v>"C:\Program Files (x86)\AstroGrep\AstroGrep.exe" /spath="%USERPROFILE%\AppData\Local\Temp\OnboardLogs" /stypes="*4037*201608130*" /stext=" 04:.+((SYSTEM_STATE.+slice.+state.+changed )|(ment ac)|(system.+state.+changed )|(\|lc)|(penalty)|(\[timeout)|(PRM\|1\|D)|(kpr)|(kdp))" /e /r /s</v>
      </c>
      <c r="S21" s="9" t="str">
        <f t="shared" si="1"/>
        <v>4037</v>
      </c>
      <c r="T21" s="41">
        <f t="shared" si="2"/>
        <v>42595.184606481482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42594.246770833335</v>
      </c>
      <c r="B22" s="34" t="s">
        <v>246</v>
      </c>
      <c r="C22" s="34" t="s">
        <v>277</v>
      </c>
      <c r="D22" s="34" t="s">
        <v>49</v>
      </c>
      <c r="E22" s="34" t="s">
        <v>54</v>
      </c>
      <c r="F22" s="52">
        <v>0</v>
      </c>
      <c r="G22" s="52">
        <v>365</v>
      </c>
      <c r="H22" s="52">
        <v>129105</v>
      </c>
      <c r="I22" s="34" t="s">
        <v>55</v>
      </c>
      <c r="J22" s="52">
        <v>127587</v>
      </c>
      <c r="K22" s="34" t="s">
        <v>53</v>
      </c>
      <c r="L22" s="101" t="str">
        <f>VLOOKUP(C22,'Trips&amp;Operators'!$C$1:$E$9999,3,0)</f>
        <v>OUN</v>
      </c>
      <c r="M22" s="147" t="s">
        <v>90</v>
      </c>
      <c r="N22" s="10" t="s">
        <v>677</v>
      </c>
      <c r="O22" s="34"/>
      <c r="P22" s="119" t="str">
        <f>VLOOKUP(C22,'Train Runs'!$A$13:$AE$340,31,0)</f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Q22" s="123" t="str">
        <f>VLOOKUP(C22,'Train Runs'!$A$13:$AE$340,22,0)</f>
        <v>https://search-rtdc-monitor-bjffxe2xuh6vdkpspy63sjmuny.us-east-1.es.amazonaws.com/_plugin/kibana/#/discover/Steve-Slow-Train-Analysis-(2080s-and-2083s)?_g=(refreshInterval:(display:Off,section:0,value:0),time:(from:'2016-08-12 04:35:53-0600',mode:absolute,to:'2016-08-12 07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2" s="126" t="str">
        <f t="shared" si="0"/>
        <v>"C:\Program Files (x86)\AstroGrep\AstroGrep.exe" /spath="%USERPROFILE%\AppData\Local\Temp\OnboardLogs" /stypes="*4028*201608121*" /stext=" 11:.+((SYSTEM_STATE.+slice.+state.+changed )|(ment ac)|(system.+state.+changed )|(\|lc)|(penalty)|(\[timeout)|(PRM\|1\|D)|(kpr)|(kdp))" /e /r /s</v>
      </c>
      <c r="S22" s="9" t="str">
        <f t="shared" si="1"/>
        <v>4028</v>
      </c>
      <c r="T22" s="41">
        <f t="shared" si="2"/>
        <v>42594.496770833335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42594.583796296298</v>
      </c>
      <c r="B23" s="34" t="s">
        <v>124</v>
      </c>
      <c r="C23" s="34" t="s">
        <v>380</v>
      </c>
      <c r="D23" s="34" t="s">
        <v>49</v>
      </c>
      <c r="E23" s="34" t="s">
        <v>54</v>
      </c>
      <c r="F23" s="52">
        <v>0</v>
      </c>
      <c r="G23" s="52">
        <v>592</v>
      </c>
      <c r="H23" s="52">
        <v>195319</v>
      </c>
      <c r="I23" s="34" t="s">
        <v>55</v>
      </c>
      <c r="J23" s="52">
        <v>191723</v>
      </c>
      <c r="K23" s="34" t="s">
        <v>53</v>
      </c>
      <c r="L23" s="101" t="str">
        <f>VLOOKUP(C23,'Trips&amp;Operators'!$C$1:$E$9999,3,0)</f>
        <v>MAYBERRY</v>
      </c>
      <c r="M23" s="147" t="s">
        <v>90</v>
      </c>
      <c r="N23" s="10" t="s">
        <v>678</v>
      </c>
      <c r="O23" s="34"/>
      <c r="P23" s="119" t="str">
        <f>VLOOKUP(C23,'Train Runs'!$A$13:$AE$340,31,0)</f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Q23" s="123" t="str">
        <f>VLOOKUP(C23,'Train Runs'!$A$13:$AE$340,22,0)</f>
        <v>https://search-rtdc-monitor-bjffxe2xuh6vdkpspy63sjmuny.us-east-1.es.amazonaws.com/_plugin/kibana/#/discover/Steve-Slow-Train-Analysis-(2080s-and-2083s)?_g=(refreshInterval:(display:Off,section:0,value:0),time:(from:'2016-08-12 12:49:25-0600',mode:absolute,to:'2016-08-12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3" s="126" t="str">
        <f t="shared" si="0"/>
        <v>"C:\Program Files (x86)\AstroGrep\AstroGrep.exe" /spath="%USERPROFILE%\AppData\Local\Temp\OnboardLogs" /stypes="*4032*201608122*" /stext=" 20:.+((SYSTEM_STATE.+slice.+state.+changed )|(ment ac)|(system.+state.+changed )|(\|lc)|(penalty)|(\[timeout)|(PRM\|1\|D)|(kpr)|(kdp))" /e /r /s</v>
      </c>
      <c r="S23" s="9" t="str">
        <f t="shared" si="1"/>
        <v>4032</v>
      </c>
      <c r="T23" s="41">
        <f t="shared" si="2"/>
        <v>42594.833796296298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42594.75104166667</v>
      </c>
      <c r="B24" s="34" t="s">
        <v>246</v>
      </c>
      <c r="C24" s="34" t="s">
        <v>427</v>
      </c>
      <c r="D24" s="34" t="s">
        <v>49</v>
      </c>
      <c r="E24" s="34" t="s">
        <v>54</v>
      </c>
      <c r="F24" s="52">
        <v>0</v>
      </c>
      <c r="G24" s="52">
        <v>544</v>
      </c>
      <c r="H24" s="52">
        <v>195590</v>
      </c>
      <c r="I24" s="34" t="s">
        <v>55</v>
      </c>
      <c r="J24" s="52">
        <v>191723</v>
      </c>
      <c r="K24" s="34" t="s">
        <v>53</v>
      </c>
      <c r="L24" s="101" t="str">
        <f>VLOOKUP(C24,'Trips&amp;Operators'!$C$1:$E$9999,3,0)</f>
        <v>MOSES</v>
      </c>
      <c r="M24" s="147" t="s">
        <v>90</v>
      </c>
      <c r="N24" s="10" t="s">
        <v>678</v>
      </c>
      <c r="O24" s="34"/>
      <c r="P24" s="119" t="str">
        <f>VLOOKUP(C24,'Train Runs'!$A$13:$AE$340,31,0)</f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Q24" s="123" t="str">
        <f>VLOOKUP(C24,'Train Runs'!$A$13:$AE$340,22,0)</f>
        <v>https://search-rtdc-monitor-bjffxe2xuh6vdkpspy63sjmuny.us-east-1.es.amazonaws.com/_plugin/kibana/#/discover/Steve-Slow-Train-Analysis-(2080s-and-2083s)?_g=(refreshInterval:(display:Off,section:0,value:0),time:(from:'2016-08-12 16:53:25-0600',mode:absolute,to:'2016-08-12 19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4" s="126" t="str">
        <f t="shared" si="0"/>
        <v>"C:\Program Files (x86)\AstroGrep\AstroGrep.exe" /spath="%USERPROFILE%\AppData\Local\Temp\OnboardLogs" /stypes="*4028*201608130*" /stext=" 00:.+((SYSTEM_STATE.+slice.+state.+changed )|(ment ac)|(system.+state.+changed )|(\|lc)|(penalty)|(\[timeout)|(PRM\|1\|D)|(kpr)|(kdp))" /e /r /s</v>
      </c>
      <c r="S24" s="9" t="str">
        <f t="shared" si="1"/>
        <v>4028</v>
      </c>
      <c r="T24" s="41">
        <f t="shared" si="2"/>
        <v>42595.00104166667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42594.251782407409</v>
      </c>
      <c r="B25" s="34" t="s">
        <v>95</v>
      </c>
      <c r="C25" s="34" t="s">
        <v>274</v>
      </c>
      <c r="D25" s="34" t="s">
        <v>119</v>
      </c>
      <c r="E25" s="34" t="s">
        <v>654</v>
      </c>
      <c r="F25" s="52">
        <v>0</v>
      </c>
      <c r="G25" s="52">
        <v>168</v>
      </c>
      <c r="H25" s="52">
        <v>3920</v>
      </c>
      <c r="I25" s="34" t="s">
        <v>655</v>
      </c>
      <c r="J25" s="52">
        <v>4677</v>
      </c>
      <c r="K25" s="34" t="s">
        <v>53</v>
      </c>
      <c r="L25" s="101" t="str">
        <f>VLOOKUP(C25,'Trips&amp;Operators'!$C$1:$E$9999,3,0)</f>
        <v>BRANNON</v>
      </c>
      <c r="M25" s="147" t="s">
        <v>89</v>
      </c>
      <c r="N25" s="10" t="s">
        <v>187</v>
      </c>
      <c r="O25" s="34"/>
      <c r="P25" s="119" t="str">
        <f>VLOOKUP(C25,'Train Runs'!$A$13:$AE$340,31,0)</f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Q25" s="123" t="str">
        <f>VLOOKUP(C25,'Train Runs'!$A$13:$AE$340,22,0)</f>
        <v>https://search-rtdc-monitor-bjffxe2xuh6vdkpspy63sjmuny.us-east-1.es.amazonaws.com/_plugin/kibana/#/discover/Steve-Slow-Train-Analysis-(2080s-and-2083s)?_g=(refreshInterval:(display:Off,section:0,value:0),time:(from:'2016-08-12 04:09:37-0600',mode:absolute,to:'2016-08-12 07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25" s="126" t="str">
        <f t="shared" si="0"/>
        <v>"C:\Program Files (x86)\AstroGrep\AstroGrep.exe" /spath="%USERPROFILE%\AppData\Local\Temp\OnboardLogs" /stypes="*4013*201608121*" /stext=" 12:.+((SYSTEM_STATE.+slice.+state.+changed )|(ment ac)|(system.+state.+changed )|(\|lc)|(penalty)|(\[timeout)|(PRM\|1\|D)|(kpr)|(kdp))" /e /r /s</v>
      </c>
      <c r="S25" s="9" t="str">
        <f t="shared" si="1"/>
        <v>4013</v>
      </c>
      <c r="T25" s="41">
        <f t="shared" si="2"/>
        <v>42594.501782407409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42594.243784722225</v>
      </c>
      <c r="B26" s="34" t="s">
        <v>652</v>
      </c>
      <c r="C26" s="34" t="s">
        <v>271</v>
      </c>
      <c r="D26" s="34" t="s">
        <v>49</v>
      </c>
      <c r="E26" s="34" t="s">
        <v>50</v>
      </c>
      <c r="F26" s="52">
        <v>0</v>
      </c>
      <c r="G26" s="52">
        <v>89</v>
      </c>
      <c r="H26" s="52">
        <v>340</v>
      </c>
      <c r="I26" s="34" t="s">
        <v>51</v>
      </c>
      <c r="J26" s="52">
        <v>1</v>
      </c>
      <c r="K26" s="34" t="s">
        <v>53</v>
      </c>
      <c r="L26" s="101" t="str">
        <f>VLOOKUP(C26,'Trips&amp;Operators'!$C$1:$E$9999,3,0)</f>
        <v>MALAVE</v>
      </c>
      <c r="M26" s="147" t="s">
        <v>90</v>
      </c>
      <c r="N26" s="10"/>
      <c r="O26" s="34"/>
      <c r="P26" s="119" t="str">
        <f>VLOOKUP(C26,'Train Runs'!$A$13:$AE$340,31,0)</f>
        <v>aws s3 cp s3://rtdc.mdm.uploadarchive/RTDC4008/2016-08-12/ "%USERPROFILE%\AppData\Local\Temp\OnboardLogs"\RTDC4008\2016-08-12 --recursive &amp; "%USERPROFILE%\Documents\GitHub\mrs-test-scripts\Headless Mode &amp; Sideloading\WalkAndUnGZ.bat" "%USERPROFILE%\AppData\Local\Temp\OnboardLogs"\RTDC4008\2016-08-12 &amp; aws s3 cp s3://rtdc.mdm.uploadarchive/RTDC4008/2016-08-13/ "%USERPROFILE%\AppData\Local\Temp\OnboardLogs"\RTDC4008\2016-08-13 --recursive &amp; "%USERPROFILE%\Documents\GitHub\mrs-test-scripts\Headless Mode &amp; Sideloading\WalkAndUnGZ.bat" "%USERPROFILE%\AppData\Local\Temp\OnboardLogs"\RTDC4008\2016-08-13</v>
      </c>
      <c r="Q26" s="123" t="str">
        <f>VLOOKUP(C26,'Train Runs'!$A$13:$AE$340,22,0)</f>
        <v>https://search-rtdc-monitor-bjffxe2xuh6vdkpspy63sjmuny.us-east-1.es.amazonaws.com/_plugin/kibana/#/discover/Steve-Slow-Train-Analysis-(2080s-and-2083s)?_g=(refreshInterval:(display:Off,section:0,value:0),time:(from:'2016-08-12 04:05:55-0600',mode:absolute,to:'2016-08-12 06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26" s="126" t="str">
        <f t="shared" si="0"/>
        <v>"C:\Program Files (x86)\AstroGrep\AstroGrep.exe" /spath="%USERPROFILE%\AppData\Local\Temp\OnboardLogs" /stypes="*4008*201608121*" /stext=" 11:.+((SYSTEM_STATE.+slice.+state.+changed )|(ment ac)|(system.+state.+changed )|(\|lc)|(penalty)|(\[timeout)|(PRM\|1\|D)|(kpr)|(kdp))" /e /r /s</v>
      </c>
      <c r="S26" s="9" t="str">
        <f t="shared" si="1"/>
        <v>4008</v>
      </c>
      <c r="T26" s="41">
        <f t="shared" si="2"/>
        <v>42594.493784722225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42594.264780092592</v>
      </c>
      <c r="B27" s="34" t="s">
        <v>246</v>
      </c>
      <c r="C27" s="34" t="s">
        <v>277</v>
      </c>
      <c r="D27" s="34" t="s">
        <v>49</v>
      </c>
      <c r="E27" s="34" t="s">
        <v>50</v>
      </c>
      <c r="F27" s="52">
        <v>0</v>
      </c>
      <c r="G27" s="52">
        <v>50</v>
      </c>
      <c r="H27" s="52">
        <v>143</v>
      </c>
      <c r="I27" s="34" t="s">
        <v>51</v>
      </c>
      <c r="J27" s="52">
        <v>1</v>
      </c>
      <c r="K27" s="34" t="s">
        <v>53</v>
      </c>
      <c r="L27" s="101" t="str">
        <f>VLOOKUP(C27,'Trips&amp;Operators'!$C$1:$E$9999,3,0)</f>
        <v>OUN</v>
      </c>
      <c r="M27" s="147" t="s">
        <v>90</v>
      </c>
      <c r="N27" s="10"/>
      <c r="O27" s="34"/>
      <c r="P27" s="119" t="str">
        <f>VLOOKUP(C27,'Train Runs'!$A$13:$AE$340,31,0)</f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Q27" s="123" t="str">
        <f>VLOOKUP(C27,'Train Runs'!$A$13:$AE$340,22,0)</f>
        <v>https://search-rtdc-monitor-bjffxe2xuh6vdkpspy63sjmuny.us-east-1.es.amazonaws.com/_plugin/kibana/#/discover/Steve-Slow-Train-Analysis-(2080s-and-2083s)?_g=(refreshInterval:(display:Off,section:0,value:0),time:(from:'2016-08-12 04:35:53-0600',mode:absolute,to:'2016-08-12 07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7" s="126" t="str">
        <f t="shared" si="0"/>
        <v>"C:\Program Files (x86)\AstroGrep\AstroGrep.exe" /spath="%USERPROFILE%\AppData\Local\Temp\OnboardLogs" /stypes="*4028*201608121*" /stext=" 12:.+((SYSTEM_STATE.+slice.+state.+changed )|(ment ac)|(system.+state.+changed )|(\|lc)|(penalty)|(\[timeout)|(PRM\|1\|D)|(kpr)|(kdp))" /e /r /s</v>
      </c>
      <c r="S27" s="9" t="str">
        <f t="shared" si="1"/>
        <v>4028</v>
      </c>
      <c r="T27" s="41">
        <f t="shared" si="2"/>
        <v>42594.514780092592</v>
      </c>
      <c r="U27" s="55" t="str">
        <f t="shared" si="3"/>
        <v>EC</v>
      </c>
      <c r="V27" s="55" t="str">
        <f t="shared" si="4"/>
        <v>KEEP</v>
      </c>
      <c r="W27" s="24"/>
    </row>
    <row r="28" spans="1:24" x14ac:dyDescent="0.25">
      <c r="A28" s="41">
        <v>42594.275810185187</v>
      </c>
      <c r="B28" s="34" t="s">
        <v>206</v>
      </c>
      <c r="C28" s="34" t="s">
        <v>280</v>
      </c>
      <c r="D28" s="34" t="s">
        <v>49</v>
      </c>
      <c r="E28" s="34" t="s">
        <v>50</v>
      </c>
      <c r="F28" s="52">
        <v>0</v>
      </c>
      <c r="G28" s="52">
        <v>51</v>
      </c>
      <c r="H28" s="52">
        <v>214</v>
      </c>
      <c r="I28" s="34" t="s">
        <v>51</v>
      </c>
      <c r="J28" s="52">
        <v>1</v>
      </c>
      <c r="K28" s="34" t="s">
        <v>53</v>
      </c>
      <c r="L28" s="101" t="str">
        <f>VLOOKUP(C28,'Trips&amp;Operators'!$C$1:$E$9999,3,0)</f>
        <v>SPECTOR</v>
      </c>
      <c r="M28" s="147" t="s">
        <v>90</v>
      </c>
      <c r="N28" s="10"/>
      <c r="O28" s="34"/>
      <c r="P28" s="119" t="str">
        <f>VLOOKUP(C28,'Train Runs'!$A$13:$AE$340,31,0)</f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Q28" s="123" t="str">
        <f>VLOOKUP(C28,'Train Runs'!$A$13:$AE$340,22,0)</f>
        <v>https://search-rtdc-monitor-bjffxe2xuh6vdkpspy63sjmuny.us-east-1.es.amazonaws.com/_plugin/kibana/#/discover/Steve-Slow-Train-Analysis-(2080s-and-2083s)?_g=(refreshInterval:(display:Off,section:0,value:0),time:(from:'2016-08-12 04:54:58-0600',mode:absolute,to:'2016-08-12 07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8" s="126" t="str">
        <f t="shared" si="0"/>
        <v>"C:\Program Files (x86)\AstroGrep\AstroGrep.exe" /spath="%USERPROFILE%\AppData\Local\Temp\OnboardLogs" /stypes="*4037*201608121*" /stext=" 12:.+((SYSTEM_STATE.+slice.+state.+changed )|(ment ac)|(system.+state.+changed )|(\|lc)|(penalty)|(\[timeout)|(PRM\|1\|D)|(kpr)|(kdp))" /e /r /s</v>
      </c>
      <c r="S28" s="9" t="str">
        <f t="shared" si="1"/>
        <v>4037</v>
      </c>
      <c r="T28" s="41">
        <f t="shared" si="2"/>
        <v>42594.525810185187</v>
      </c>
      <c r="U28" s="55" t="str">
        <f t="shared" si="3"/>
        <v>EC</v>
      </c>
      <c r="V28" s="55" t="str">
        <f t="shared" si="4"/>
        <v>KEEP</v>
      </c>
      <c r="W28" s="24"/>
    </row>
    <row r="29" spans="1:24" x14ac:dyDescent="0.25">
      <c r="A29" s="41">
        <v>42594.284282407411</v>
      </c>
      <c r="B29" s="34" t="s">
        <v>64</v>
      </c>
      <c r="C29" s="34" t="s">
        <v>285</v>
      </c>
      <c r="D29" s="34" t="s">
        <v>49</v>
      </c>
      <c r="E29" s="34" t="s">
        <v>50</v>
      </c>
      <c r="F29" s="52">
        <v>0</v>
      </c>
      <c r="G29" s="52">
        <v>36</v>
      </c>
      <c r="H29" s="52">
        <v>139</v>
      </c>
      <c r="I29" s="34" t="s">
        <v>51</v>
      </c>
      <c r="J29" s="52">
        <v>1</v>
      </c>
      <c r="K29" s="34" t="s">
        <v>53</v>
      </c>
      <c r="L29" s="101" t="str">
        <f>VLOOKUP(C29,'Trips&amp;Operators'!$C$1:$E$9999,3,0)</f>
        <v>MAELZER</v>
      </c>
      <c r="M29" s="147" t="s">
        <v>90</v>
      </c>
      <c r="N29" s="10"/>
      <c r="O29" s="34"/>
      <c r="P29" s="119" t="str">
        <f>VLOOKUP(C29,'Train Runs'!$A$13:$AE$340,31,0)</f>
        <v>aws s3 cp s3://rtdc.mdm.uploadarchive/RTDC4017/2016-08-12/ "%USERPROFILE%\AppData\Local\Temp\OnboardLogs"\RTDC4017\2016-08-12 --recursive &amp; "%USERPROFILE%\Documents\GitHub\mrs-test-scripts\Headless Mode &amp; Sideloading\WalkAndUnGZ.bat" "%USERPROFILE%\AppData\Local\Temp\OnboardLogs"\RTDC4017\2016-08-12 &amp; aws s3 cp s3://rtdc.mdm.uploadarchive/RTDC4017/2016-08-13/ "%USERPROFILE%\AppData\Local\Temp\OnboardLogs"\RTDC4017\2016-08-13 --recursive &amp; "%USERPROFILE%\Documents\GitHub\mrs-test-scripts\Headless Mode &amp; Sideloading\WalkAndUnGZ.bat" "%USERPROFILE%\AppData\Local\Temp\OnboardLogs"\RTDC4017\2016-08-13</v>
      </c>
      <c r="Q29" s="123" t="str">
        <f>VLOOKUP(C29,'Train Runs'!$A$13:$AE$340,22,0)</f>
        <v>https://search-rtdc-monitor-bjffxe2xuh6vdkpspy63sjmuny.us-east-1.es.amazonaws.com/_plugin/kibana/#/discover/Steve-Slow-Train-Analysis-(2080s-and-2083s)?_g=(refreshInterval:(display:Off,section:0,value:0),time:(from:'2016-08-12 05:07:29-0600',mode:absolute,to:'2016-08-12 07:49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9" s="126" t="str">
        <f t="shared" si="0"/>
        <v>"C:\Program Files (x86)\AstroGrep\AstroGrep.exe" /spath="%USERPROFILE%\AppData\Local\Temp\OnboardLogs" /stypes="*4017*201608121*" /stext=" 12:.+((SYSTEM_STATE.+slice.+state.+changed )|(ment ac)|(system.+state.+changed )|(\|lc)|(penalty)|(\[timeout)|(PRM\|1\|D)|(kpr)|(kdp))" /e /r /s</v>
      </c>
      <c r="S29" s="9" t="str">
        <f t="shared" si="1"/>
        <v>4017</v>
      </c>
      <c r="T29" s="41">
        <f t="shared" si="2"/>
        <v>42594.534282407411</v>
      </c>
      <c r="U29" s="55" t="str">
        <f t="shared" si="3"/>
        <v>EC</v>
      </c>
      <c r="V29" s="55" t="str">
        <f t="shared" si="4"/>
        <v>KEEP</v>
      </c>
      <c r="W29" s="24"/>
      <c r="X29" s="24"/>
    </row>
    <row r="30" spans="1:24" x14ac:dyDescent="0.25">
      <c r="A30" s="41">
        <v>42594.346562500003</v>
      </c>
      <c r="B30" s="34" t="s">
        <v>206</v>
      </c>
      <c r="C30" s="34" t="s">
        <v>308</v>
      </c>
      <c r="D30" s="34" t="s">
        <v>49</v>
      </c>
      <c r="E30" s="34" t="s">
        <v>50</v>
      </c>
      <c r="F30" s="52">
        <v>0</v>
      </c>
      <c r="G30" s="52">
        <v>72</v>
      </c>
      <c r="H30" s="52">
        <v>294</v>
      </c>
      <c r="I30" s="34" t="s">
        <v>51</v>
      </c>
      <c r="J30" s="52">
        <v>1</v>
      </c>
      <c r="K30" s="34" t="s">
        <v>53</v>
      </c>
      <c r="L30" s="101" t="str">
        <f>VLOOKUP(C30,'Trips&amp;Operators'!$C$1:$E$9999,3,0)</f>
        <v>SPECTOR</v>
      </c>
      <c r="M30" s="147" t="s">
        <v>90</v>
      </c>
      <c r="N30" s="10"/>
      <c r="O30" s="34"/>
      <c r="P30" s="119" t="str">
        <f>VLOOKUP(C30,'Train Runs'!$A$13:$AE$340,31,0)</f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Q30" s="123" t="str">
        <f>VLOOKUP(C30,'Train Runs'!$A$13:$AE$340,22,0)</f>
        <v>https://search-rtdc-monitor-bjffxe2xuh6vdkpspy63sjmuny.us-east-1.es.amazonaws.com/_plugin/kibana/#/discover/Steve-Slow-Train-Analysis-(2080s-and-2083s)?_g=(refreshInterval:(display:Off,section:0,value:0),time:(from:'2016-08-12 06:36:39-0600',mode:absolute,to:'2016-08-12 09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0" s="126" t="str">
        <f t="shared" si="0"/>
        <v>"C:\Program Files (x86)\AstroGrep\AstroGrep.exe" /spath="%USERPROFILE%\AppData\Local\Temp\OnboardLogs" /stypes="*4037*201608121*" /stext=" 14:.+((SYSTEM_STATE.+slice.+state.+changed )|(ment ac)|(system.+state.+changed )|(\|lc)|(penalty)|(\[timeout)|(PRM\|1\|D)|(kpr)|(kdp))" /e /r /s</v>
      </c>
      <c r="S30" s="9" t="str">
        <f t="shared" si="1"/>
        <v>4037</v>
      </c>
      <c r="T30" s="41">
        <f t="shared" si="2"/>
        <v>42594.596562500003</v>
      </c>
      <c r="U30" s="55" t="str">
        <f t="shared" si="3"/>
        <v>EC</v>
      </c>
      <c r="V30" s="55" t="str">
        <f t="shared" si="4"/>
        <v>KEEP</v>
      </c>
      <c r="W30" s="24"/>
      <c r="X30" s="24"/>
    </row>
    <row r="31" spans="1:24" x14ac:dyDescent="0.25">
      <c r="A31" s="41">
        <v>42594.556875000002</v>
      </c>
      <c r="B31" s="34" t="s">
        <v>246</v>
      </c>
      <c r="C31" s="34" t="s">
        <v>365</v>
      </c>
      <c r="D31" s="34" t="s">
        <v>49</v>
      </c>
      <c r="E31" s="34" t="s">
        <v>50</v>
      </c>
      <c r="F31" s="52">
        <v>0</v>
      </c>
      <c r="G31" s="52">
        <v>72</v>
      </c>
      <c r="H31" s="52">
        <v>251</v>
      </c>
      <c r="I31" s="34" t="s">
        <v>51</v>
      </c>
      <c r="J31" s="52">
        <v>1</v>
      </c>
      <c r="K31" s="34" t="s">
        <v>53</v>
      </c>
      <c r="L31" s="101" t="str">
        <f>VLOOKUP(C31,'Trips&amp;Operators'!$C$1:$E$9999,3,0)</f>
        <v>MOSES</v>
      </c>
      <c r="M31" s="147" t="s">
        <v>90</v>
      </c>
      <c r="N31" s="10"/>
      <c r="O31" s="34"/>
      <c r="P31" s="119" t="str">
        <f>VLOOKUP(C31,'Train Runs'!$A$13:$AE$340,31,0)</f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Q31" s="123" t="str">
        <f>VLOOKUP(C31,'Train Runs'!$A$13:$AE$340,22,0)</f>
        <v>https://search-rtdc-monitor-bjffxe2xuh6vdkpspy63sjmuny.us-east-1.es.amazonaws.com/_plugin/kibana/#/discover/Steve-Slow-Train-Analysis-(2080s-and-2083s)?_g=(refreshInterval:(display:Off,section:0,value:0),time:(from:'2016-08-12 11:41:39-0600',mode:absolute,to:'2016-08-12 14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1" s="126" t="str">
        <f t="shared" si="0"/>
        <v>"C:\Program Files (x86)\AstroGrep\AstroGrep.exe" /spath="%USERPROFILE%\AppData\Local\Temp\OnboardLogs" /stypes="*4028*201608121*" /stext=" 19:.+((SYSTEM_STATE.+slice.+state.+changed )|(ment ac)|(system.+state.+changed )|(\|lc)|(penalty)|(\[timeout)|(PRM\|1\|D)|(kpr)|(kdp))" /e /r /s</v>
      </c>
      <c r="S31" s="9" t="str">
        <f t="shared" si="1"/>
        <v>4028</v>
      </c>
      <c r="T31" s="41">
        <f t="shared" si="2"/>
        <v>42594.806875000002</v>
      </c>
      <c r="U31" s="55" t="str">
        <f t="shared" si="3"/>
        <v>EC</v>
      </c>
      <c r="V31" s="55" t="str">
        <f t="shared" si="4"/>
        <v>KEEP</v>
      </c>
    </row>
    <row r="32" spans="1:24" ht="15" customHeight="1" x14ac:dyDescent="0.25">
      <c r="A32" s="41">
        <v>42594.550694444442</v>
      </c>
      <c r="B32" s="34" t="s">
        <v>123</v>
      </c>
      <c r="C32" s="34" t="s">
        <v>379</v>
      </c>
      <c r="D32" s="34" t="s">
        <v>49</v>
      </c>
      <c r="E32" s="34" t="s">
        <v>54</v>
      </c>
      <c r="F32" s="52">
        <v>0</v>
      </c>
      <c r="G32" s="52">
        <v>542</v>
      </c>
      <c r="H32" s="52">
        <v>40968</v>
      </c>
      <c r="I32" s="34" t="s">
        <v>55</v>
      </c>
      <c r="J32" s="52">
        <v>43651</v>
      </c>
      <c r="K32" s="34" t="s">
        <v>52</v>
      </c>
      <c r="L32" s="101" t="str">
        <f>VLOOKUP(C32,'Trips&amp;Operators'!$C$1:$E$9999,3,0)</f>
        <v>MAYBERRY</v>
      </c>
      <c r="M32" s="147" t="s">
        <v>89</v>
      </c>
      <c r="N32" s="10" t="s">
        <v>187</v>
      </c>
      <c r="O32" s="34"/>
      <c r="P32" s="119" t="str">
        <f>VLOOKUP(C32,'Train Runs'!$A$13:$AE$340,31,0)</f>
        <v>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 &amp; aws s3 cp s3://rtdc.mdm.uploadarchive/RTDC4031/2016-08-13/ "%USERPROFILE%\AppData\Local\Temp\OnboardLogs"\RTDC4031\2016-08-13 --recursive &amp; "%USERPROFILE%\Documents\GitHub\mrs-test-scripts\Headless Mode &amp; Sideloading\WalkAndUnGZ.bat" "%USERPROFILE%\AppData\Local\Temp\OnboardLogs"\RTDC4031\2016-08-13</v>
      </c>
      <c r="Q32" s="123" t="str">
        <f>VLOOKUP(C32,'Train Runs'!$A$13:$AE$340,22,0)</f>
        <v>https://search-rtdc-monitor-bjffxe2xuh6vdkpspy63sjmuny.us-east-1.es.amazonaws.com/_plugin/kibana/#/discover/Steve-Slow-Train-Analysis-(2080s-and-2083s)?_g=(refreshInterval:(display:Off,section:0,value:0),time:(from:'2016-08-12 11:54:07-0600',mode:absolute,to:'2016-08-12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32" s="126" t="str">
        <f t="shared" si="0"/>
        <v>"C:\Program Files (x86)\AstroGrep\AstroGrep.exe" /spath="%USERPROFILE%\AppData\Local\Temp\OnboardLogs" /stypes="*4031*201608121*" /stext=" 19:.+((SYSTEM_STATE.+slice.+state.+changed )|(ment ac)|(system.+state.+changed )|(\|lc)|(penalty)|(\[timeout)|(PRM\|1\|D)|(kpr)|(kdp))" /e /r /s</v>
      </c>
      <c r="S32" s="9" t="str">
        <f t="shared" si="1"/>
        <v>4031</v>
      </c>
      <c r="T32" s="41">
        <f t="shared" si="2"/>
        <v>42594.800694444442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42594.640092592592</v>
      </c>
      <c r="B33" s="34" t="s">
        <v>206</v>
      </c>
      <c r="C33" s="34" t="s">
        <v>387</v>
      </c>
      <c r="D33" s="34" t="s">
        <v>49</v>
      </c>
      <c r="E33" s="34" t="s">
        <v>50</v>
      </c>
      <c r="F33" s="52">
        <v>0</v>
      </c>
      <c r="G33" s="52">
        <v>58</v>
      </c>
      <c r="H33" s="52">
        <v>251</v>
      </c>
      <c r="I33" s="34" t="s">
        <v>51</v>
      </c>
      <c r="J33" s="52">
        <v>1</v>
      </c>
      <c r="K33" s="34" t="s">
        <v>53</v>
      </c>
      <c r="L33" s="101" t="str">
        <f>VLOOKUP(C33,'Trips&amp;Operators'!$C$1:$E$9999,3,0)</f>
        <v>SANTIZO</v>
      </c>
      <c r="M33" s="147" t="s">
        <v>90</v>
      </c>
      <c r="N33" s="10"/>
      <c r="O33" s="34"/>
      <c r="P33" s="119" t="str">
        <f>VLOOKUP(C33,'Train Runs'!$A$13:$AE$340,31,0)</f>
        <v>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 &amp; aws s3 cp s3://rtdc.mdm.uploadarchive/RTDC4037/2016-08-13/ "%USERPROFILE%\AppData\Local\Temp\OnboardLogs"\RTDC4037\2016-08-13 --recursive &amp; "%USERPROFILE%\Documents\GitHub\mrs-test-scripts\Headless Mode &amp; Sideloading\WalkAndUnGZ.bat" "%USERPROFILE%\AppData\Local\Temp\OnboardLogs"\RTDC4037\2016-08-13</v>
      </c>
      <c r="Q33" s="123" t="str">
        <f>VLOOKUP(C33,'Train Runs'!$A$13:$AE$340,22,0)</f>
        <v>https://search-rtdc-monitor-bjffxe2xuh6vdkpspy63sjmuny.us-east-1.es.amazonaws.com/_plugin/kibana/#/discover/Steve-Slow-Train-Analysis-(2080s-and-2083s)?_g=(refreshInterval:(display:Off,section:0,value:0),time:(from:'2016-08-12 13:23:00-0600',mode:absolute,to:'2016-08-12 16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3" s="126" t="str">
        <f t="shared" si="0"/>
        <v>"C:\Program Files (x86)\AstroGrep\AstroGrep.exe" /spath="%USERPROFILE%\AppData\Local\Temp\OnboardLogs" /stypes="*4037*201608122*" /stext=" 21:.+((SYSTEM_STATE.+slice.+state.+changed )|(ment ac)|(system.+state.+changed )|(\|lc)|(penalty)|(\[timeout)|(PRM\|1\|D)|(kpr)|(kdp))" /e /r /s</v>
      </c>
      <c r="S33" s="9" t="str">
        <f t="shared" si="1"/>
        <v>4037</v>
      </c>
      <c r="T33" s="41">
        <f t="shared" si="2"/>
        <v>42594.890092592592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42594.671423611115</v>
      </c>
      <c r="B34" s="34" t="s">
        <v>656</v>
      </c>
      <c r="C34" s="34" t="s">
        <v>396</v>
      </c>
      <c r="D34" s="34" t="s">
        <v>49</v>
      </c>
      <c r="E34" s="34" t="s">
        <v>50</v>
      </c>
      <c r="F34" s="52">
        <v>0</v>
      </c>
      <c r="G34" s="52">
        <v>74</v>
      </c>
      <c r="H34" s="52">
        <v>238</v>
      </c>
      <c r="I34" s="34" t="s">
        <v>51</v>
      </c>
      <c r="J34" s="52">
        <v>1</v>
      </c>
      <c r="K34" s="34" t="s">
        <v>53</v>
      </c>
      <c r="L34" s="101" t="str">
        <f>VLOOKUP(C34,'Trips&amp;Operators'!$C$1:$E$9999,3,0)</f>
        <v>STEWART</v>
      </c>
      <c r="M34" s="147" t="s">
        <v>90</v>
      </c>
      <c r="N34" s="10"/>
      <c r="O34" s="34"/>
      <c r="P34" s="119" t="str">
        <f>VLOOKUP(C34,'Train Runs'!$A$13:$AE$340,31,0)</f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Q34" s="123" t="str">
        <f>VLOOKUP(C34,'Train Runs'!$A$13:$AE$340,22,0)</f>
        <v>https://search-rtdc-monitor-bjffxe2xuh6vdkpspy63sjmuny.us-east-1.es.amazonaws.com/_plugin/kibana/#/discover/Steve-Slow-Train-Analysis-(2080s-and-2083s)?_g=(refreshInterval:(display:Off,section:0,value:0),time:(from:'2016-08-12 14:19:56-0600',mode:absolute,to:'2016-08-12 17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4" s="126" t="str">
        <f t="shared" si="0"/>
        <v>"C:\Program Files (x86)\AstroGrep\AstroGrep.exe" /spath="%USERPROFILE%\AppData\Local\Temp\OnboardLogs" /stypes="*4019*201608122*" /stext=" 22:.+((SYSTEM_STATE.+slice.+state.+changed )|(ment ac)|(system.+state.+changed )|(\|lc)|(penalty)|(\[timeout)|(PRM\|1\|D)|(kpr)|(kdp))" /e /r /s</v>
      </c>
      <c r="S34" s="9" t="str">
        <f t="shared" si="1"/>
        <v>4019</v>
      </c>
      <c r="T34" s="41">
        <f t="shared" si="2"/>
        <v>42594.921423611115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42594.744837962964</v>
      </c>
      <c r="B35" s="34" t="s">
        <v>656</v>
      </c>
      <c r="C35" s="34" t="s">
        <v>420</v>
      </c>
      <c r="D35" s="34" t="s">
        <v>49</v>
      </c>
      <c r="E35" s="34" t="s">
        <v>50</v>
      </c>
      <c r="F35" s="52">
        <v>0</v>
      </c>
      <c r="G35" s="52">
        <v>75</v>
      </c>
      <c r="H35" s="52">
        <v>303</v>
      </c>
      <c r="I35" s="34" t="s">
        <v>51</v>
      </c>
      <c r="J35" s="52">
        <v>1</v>
      </c>
      <c r="K35" s="34" t="s">
        <v>53</v>
      </c>
      <c r="L35" s="101" t="str">
        <f>VLOOKUP(C35,'Trips&amp;Operators'!$C$1:$E$9999,3,0)</f>
        <v>STEWART</v>
      </c>
      <c r="M35" s="147" t="s">
        <v>90</v>
      </c>
      <c r="N35" s="10"/>
      <c r="O35" s="34"/>
      <c r="P35" s="119" t="str">
        <f>VLOOKUP(C35,'Train Runs'!$A$13:$AE$340,31,0)</f>
        <v>aws s3 cp s3://rtdc.mdm.uploadarchive/RTDC4019/2016-08-12/ "%USERPROFILE%\AppData\Local\Temp\OnboardLogs"\RTDC4019\2016-08-12 --recursive &amp; "%USERPROFILE%\Documents\GitHub\mrs-test-scripts\Headless Mode &amp; Sideloading\WalkAndUnGZ.bat" "%USERPROFILE%\AppData\Local\Temp\OnboardLogs"\RTDC4019\2016-08-12 &amp; 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</v>
      </c>
      <c r="Q35" s="123" t="str">
        <f>VLOOKUP(C35,'Train Runs'!$A$13:$AE$340,22,0)</f>
        <v>https://search-rtdc-monitor-bjffxe2xuh6vdkpspy63sjmuny.us-east-1.es.amazonaws.com/_plugin/kibana/#/discover/Steve-Slow-Train-Analysis-(2080s-and-2083s)?_g=(refreshInterval:(display:Off,section:0,value:0),time:(from:'2016-08-12 16:08:11-0600',mode:absolute,to:'2016-08-12 18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5" s="126" t="str">
        <f t="shared" si="0"/>
        <v>"C:\Program Files (x86)\AstroGrep\AstroGrep.exe" /spath="%USERPROFILE%\AppData\Local\Temp\OnboardLogs" /stypes="*4019*201608122*" /stext=" 23:.+((SYSTEM_STATE.+slice.+state.+changed )|(ment ac)|(system.+state.+changed )|(\|lc)|(penalty)|(\[timeout)|(PRM\|1\|D)|(kpr)|(kdp))" /e /r /s</v>
      </c>
      <c r="S35" s="9" t="str">
        <f t="shared" si="1"/>
        <v>4019</v>
      </c>
      <c r="T35" s="41">
        <f t="shared" si="2"/>
        <v>42594.994837962964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42594.754444444443</v>
      </c>
      <c r="B36" s="34" t="s">
        <v>124</v>
      </c>
      <c r="C36" s="34" t="s">
        <v>423</v>
      </c>
      <c r="D36" s="34" t="s">
        <v>49</v>
      </c>
      <c r="E36" s="34" t="s">
        <v>50</v>
      </c>
      <c r="F36" s="52">
        <v>0</v>
      </c>
      <c r="G36" s="52">
        <v>90</v>
      </c>
      <c r="H36" s="52">
        <v>384</v>
      </c>
      <c r="I36" s="34" t="s">
        <v>51</v>
      </c>
      <c r="J36" s="52">
        <v>1</v>
      </c>
      <c r="K36" s="34" t="s">
        <v>53</v>
      </c>
      <c r="L36" s="101" t="str">
        <f>VLOOKUP(C36,'Trips&amp;Operators'!$C$1:$E$9999,3,0)</f>
        <v>MAYBERRY</v>
      </c>
      <c r="M36" s="147" t="s">
        <v>90</v>
      </c>
      <c r="N36" s="10"/>
      <c r="O36" s="34"/>
      <c r="P36" s="119" t="str">
        <f>VLOOKUP(C36,'Train Runs'!$A$13:$AE$340,31,0)</f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Q36" s="123" t="str">
        <f>VLOOKUP(C36,'Train Runs'!$A$13:$AE$340,22,0)</f>
        <v>https://search-rtdc-monitor-bjffxe2xuh6vdkpspy63sjmuny.us-east-1.es.amazonaws.com/_plugin/kibana/#/discover/Steve-Slow-Train-Analysis-(2080s-and-2083s)?_g=(refreshInterval:(display:Off,section:0,value:0),time:(from:'2016-08-12 16:20:30-0600',mode:absolute,to:'2016-08-12 19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6" s="126" t="str">
        <f t="shared" si="0"/>
        <v>"C:\Program Files (x86)\AstroGrep\AstroGrep.exe" /spath="%USERPROFILE%\AppData\Local\Temp\OnboardLogs" /stypes="*4032*201608130*" /stext=" 00:.+((SYSTEM_STATE.+slice.+state.+changed )|(ment ac)|(system.+state.+changed )|(\|lc)|(penalty)|(\[timeout)|(PRM\|1\|D)|(kpr)|(kdp))" /e /r /s</v>
      </c>
      <c r="S36" s="9" t="str">
        <f t="shared" si="1"/>
        <v>4032</v>
      </c>
      <c r="T36" s="41">
        <f t="shared" si="2"/>
        <v>42595.004444444443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42594.826296296298</v>
      </c>
      <c r="B37" s="34" t="s">
        <v>124</v>
      </c>
      <c r="C37" s="34" t="s">
        <v>444</v>
      </c>
      <c r="D37" s="34" t="s">
        <v>49</v>
      </c>
      <c r="E37" s="34" t="s">
        <v>50</v>
      </c>
      <c r="F37" s="52">
        <v>0</v>
      </c>
      <c r="G37" s="52">
        <v>100</v>
      </c>
      <c r="H37" s="52">
        <v>407</v>
      </c>
      <c r="I37" s="34" t="s">
        <v>51</v>
      </c>
      <c r="J37" s="52">
        <v>1</v>
      </c>
      <c r="K37" s="34" t="s">
        <v>53</v>
      </c>
      <c r="L37" s="101" t="str">
        <f>VLOOKUP(C37,'Trips&amp;Operators'!$C$1:$E$9999,3,0)</f>
        <v>STAMBAUGH</v>
      </c>
      <c r="M37" s="147" t="s">
        <v>90</v>
      </c>
      <c r="N37" s="10"/>
      <c r="O37" s="34"/>
      <c r="P37" s="119" t="str">
        <f>VLOOKUP(C37,'Train Runs'!$A$13:$AE$340,31,0)</f>
        <v>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 &amp; 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</v>
      </c>
      <c r="Q37" s="123" t="str">
        <f>VLOOKUP(C37,'Train Runs'!$A$13:$AE$340,22,0)</f>
        <v>https://search-rtdc-monitor-bjffxe2xuh6vdkpspy63sjmuny.us-east-1.es.amazonaws.com/_plugin/kibana/#/discover/Steve-Slow-Train-Analysis-(2080s-and-2083s)?_g=(refreshInterval:(display:Off,section:0,value:0),time:(from:'2016-08-12 18:05:44-0600',mode:absolute,to:'2016-08-12 20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7" s="126" t="str">
        <f t="shared" si="0"/>
        <v>"C:\Program Files (x86)\AstroGrep\AstroGrep.exe" /spath="%USERPROFILE%\AppData\Local\Temp\OnboardLogs" /stypes="*4032*201608130*" /stext=" 01:.+((SYSTEM_STATE.+slice.+state.+changed )|(ment ac)|(system.+state.+changed )|(\|lc)|(penalty)|(\[timeout)|(PRM\|1\|D)|(kpr)|(kdp))" /e /r /s</v>
      </c>
      <c r="S37" s="9" t="str">
        <f t="shared" si="1"/>
        <v>4032</v>
      </c>
      <c r="T37" s="41">
        <f t="shared" si="2"/>
        <v>42595.076296296298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42595.066006944442</v>
      </c>
      <c r="B38" s="34" t="s">
        <v>124</v>
      </c>
      <c r="C38" s="34" t="s">
        <v>485</v>
      </c>
      <c r="D38" s="34" t="s">
        <v>49</v>
      </c>
      <c r="E38" s="34" t="s">
        <v>50</v>
      </c>
      <c r="F38" s="52">
        <v>0</v>
      </c>
      <c r="G38" s="52">
        <v>53</v>
      </c>
      <c r="H38" s="52">
        <v>169</v>
      </c>
      <c r="I38" s="34" t="s">
        <v>51</v>
      </c>
      <c r="J38" s="52">
        <v>1</v>
      </c>
      <c r="K38" s="34" t="s">
        <v>53</v>
      </c>
      <c r="L38" s="101" t="str">
        <f>VLOOKUP(C38,'Trips&amp;Operators'!$C$1:$E$9999,3,0)</f>
        <v>STAMBAUGH</v>
      </c>
      <c r="M38" s="147" t="s">
        <v>90</v>
      </c>
      <c r="N38" s="10"/>
      <c r="O38" s="34"/>
      <c r="P38" s="119" t="str">
        <f>VLOOKUP(C38,'Train Runs'!$A$13:$AE$340,31,0)</f>
        <v>aws s3 cp s3://rtdc.mdm.uploadarchive/RTDC4032/2016-08-13/ "%USERPROFILE%\AppData\Local\Temp\OnboardLogs"\RTDC4032\2016-08-13 --recursive &amp; "%USERPROFILE%\Documents\GitHub\mrs-test-scripts\Headless Mode &amp; Sideloading\WalkAndUnGZ.bat" "%USERPROFILE%\AppData\Local\Temp\OnboardLogs"\RTDC4032\2016-08-13 &amp; 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</v>
      </c>
      <c r="Q38" s="123" t="str">
        <f>VLOOKUP(C38,'Train Runs'!$A$13:$AE$340,22,0)</f>
        <v>https://search-rtdc-monitor-bjffxe2xuh6vdkpspy63sjmuny.us-east-1.es.amazonaws.com/_plugin/kibana/#/discover/Steve-Slow-Train-Analysis-(2080s-and-2083s)?_g=(refreshInterval:(display:Off,section:0,value:0),time:(from:'2016-08-12 23:52:09-0600',mode:absolute,to:'2016-08-13 02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8" s="126" t="str">
        <f t="shared" si="0"/>
        <v>"C:\Program Files (x86)\AstroGrep\AstroGrep.exe" /spath="%USERPROFILE%\AppData\Local\Temp\OnboardLogs" /stypes="*4032*201608130*" /stext=" 07:.+((SYSTEM_STATE.+slice.+state.+changed )|(ment ac)|(system.+state.+changed )|(\|lc)|(penalty)|(\[timeout)|(PRM\|1\|D)|(kpr)|(kdp))" /e /r /s</v>
      </c>
      <c r="S38" s="9" t="str">
        <f t="shared" si="1"/>
        <v>4032</v>
      </c>
      <c r="T38" s="41">
        <f t="shared" si="2"/>
        <v>42595.316006944442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42594.286527777775</v>
      </c>
      <c r="B39" s="34" t="s">
        <v>121</v>
      </c>
      <c r="C39" s="34" t="s">
        <v>298</v>
      </c>
      <c r="D39" s="34" t="s">
        <v>49</v>
      </c>
      <c r="E39" s="34" t="s">
        <v>50</v>
      </c>
      <c r="F39" s="52">
        <v>0</v>
      </c>
      <c r="G39" s="52">
        <v>114</v>
      </c>
      <c r="H39" s="52">
        <v>233059</v>
      </c>
      <c r="I39" s="34" t="s">
        <v>51</v>
      </c>
      <c r="J39" s="52">
        <v>233491</v>
      </c>
      <c r="K39" s="34" t="s">
        <v>52</v>
      </c>
      <c r="L39" s="101" t="str">
        <f>VLOOKUP(C39,'Trips&amp;Operators'!$C$1:$E$9999,3,0)</f>
        <v>BRANNON</v>
      </c>
      <c r="M39" s="147" t="s">
        <v>90</v>
      </c>
      <c r="N39" s="10"/>
      <c r="O39" s="34"/>
      <c r="P39" s="119" t="str">
        <f>VLOOKUP(C39,'Train Runs'!$A$13:$AE$340,31,0)</f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Q39" s="123" t="str">
        <f>VLOOKUP(C39,'Train Runs'!$A$13:$AE$340,22,0)</f>
        <v>https://search-rtdc-monitor-bjffxe2xuh6vdkpspy63sjmuny.us-east-1.es.amazonaws.com/_plugin/kibana/#/discover/Steve-Slow-Train-Analysis-(2080s-and-2083s)?_g=(refreshInterval:(display:Off,section:0,value:0),time:(from:'2016-08-12 05:07:25-0600',mode:absolute,to:'2016-08-12 07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39" s="126" t="str">
        <f t="shared" ref="R39:R57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/stypes="*4014*201608121*" /stext=" 12:.+((SYSTEM_STATE.+slice.+state.+changed )|(ment ac)|(system.+state.+changed )|(\|lc)|(penalty)|(\[timeout)|(PRM\|1\|D)|(kpr)|(kdp))" /e /r /s</v>
      </c>
      <c r="S39" s="9" t="str">
        <f t="shared" ref="S39:S57" si="6">MID(B39,13,4)</f>
        <v>4014</v>
      </c>
      <c r="T39" s="41">
        <f t="shared" ref="T39:T57" si="7">A39+6/24</f>
        <v>42594.536527777775</v>
      </c>
      <c r="U39" s="55" t="str">
        <f t="shared" ref="U39:U57" si="8">IF(VALUE(LEFT(IF(LEN(C39)=6,"0"&amp;C39,C39),2))&lt;=2,"EC",IF(OR(VALUE(LEFT(IF(LEN(C39)=6,"0"&amp;C39,C39),2))=8,VALUE(LEFT(IF(LEN(C39)=6,"0"&amp;C39,C39),2))=18),"NW","GL"))</f>
        <v>EC</v>
      </c>
      <c r="V39" s="55" t="str">
        <f t="shared" ref="V39:V57" si="9">IF(AND(E39="TRACK WARRANT AUTHORITY",G39&lt;10),"OMIT","KEEP")</f>
        <v>KEEP</v>
      </c>
    </row>
    <row r="40" spans="1:22" x14ac:dyDescent="0.25">
      <c r="A40" s="41">
        <v>42594.557384259257</v>
      </c>
      <c r="B40" s="34" t="s">
        <v>653</v>
      </c>
      <c r="C40" s="34" t="s">
        <v>376</v>
      </c>
      <c r="D40" s="34" t="s">
        <v>49</v>
      </c>
      <c r="E40" s="34" t="s">
        <v>50</v>
      </c>
      <c r="F40" s="52">
        <v>0</v>
      </c>
      <c r="G40" s="52">
        <v>73</v>
      </c>
      <c r="H40" s="52">
        <v>233224</v>
      </c>
      <c r="I40" s="34" t="s">
        <v>51</v>
      </c>
      <c r="J40" s="52">
        <v>233491</v>
      </c>
      <c r="K40" s="34" t="s">
        <v>52</v>
      </c>
      <c r="L40" s="101" t="str">
        <f>VLOOKUP(C40,'Trips&amp;Operators'!$C$1:$E$9999,3,0)</f>
        <v>STEWART</v>
      </c>
      <c r="M40" s="147" t="s">
        <v>90</v>
      </c>
      <c r="N40" s="10"/>
      <c r="O40" s="34"/>
      <c r="P40" s="119" t="str">
        <f>VLOOKUP(C40,'Train Runs'!$A$13:$AE$340,31,0)</f>
        <v>aws s3 cp s3://rtdc.mdm.uploadarchive/RTDC4020/2016-08-12/ "%USERPROFILE%\AppData\Local\Temp\OnboardLogs"\RTDC4020\2016-08-12 --recursive &amp; "%USERPROFILE%\Documents\GitHub\mrs-test-scripts\Headless Mode &amp; Sideloading\WalkAndUnGZ.bat" "%USERPROFILE%\AppData\Local\Temp\OnboardLogs"\RTDC4020\2016-08-12 &amp; aws s3 cp s3://rtdc.mdm.uploadarchive/RTDC4020/2016-08-13/ "%USERPROFILE%\AppData\Local\Temp\OnboardLogs"\RTDC4020\2016-08-13 --recursive &amp; "%USERPROFILE%\Documents\GitHub\mrs-test-scripts\Headless Mode &amp; Sideloading\WalkAndUnGZ.bat" "%USERPROFILE%\AppData\Local\Temp\OnboardLogs"\RTDC4020\2016-08-13</v>
      </c>
      <c r="Q40" s="123" t="str">
        <f>VLOOKUP(C40,'Train Runs'!$A$13:$AE$340,22,0)</f>
        <v>https://search-rtdc-monitor-bjffxe2xuh6vdkpspy63sjmuny.us-east-1.es.amazonaws.com/_plugin/kibana/#/discover/Steve-Slow-Train-Analysis-(2080s-and-2083s)?_g=(refreshInterval:(display:Off,section:0,value:0),time:(from:'2016-08-12 11:41:00-0600',mode:absolute,to:'2016-08-12 14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40" s="126" t="str">
        <f t="shared" si="5"/>
        <v>"C:\Program Files (x86)\AstroGrep\AstroGrep.exe" /spath="%USERPROFILE%\AppData\Local\Temp\OnboardLogs" /stypes="*4020*201608121*" /stext=" 19:.+((SYSTEM_STATE.+slice.+state.+changed )|(ment ac)|(system.+state.+changed )|(\|lc)|(penalty)|(\[timeout)|(PRM\|1\|D)|(kpr)|(kdp))" /e /r /s</v>
      </c>
      <c r="S40" s="9" t="str">
        <f t="shared" si="6"/>
        <v>4020</v>
      </c>
      <c r="T40" s="41">
        <f t="shared" si="7"/>
        <v>42594.807384259257</v>
      </c>
      <c r="U40" s="55" t="str">
        <f t="shared" si="8"/>
        <v>EC</v>
      </c>
      <c r="V40" s="55" t="str">
        <f t="shared" si="9"/>
        <v>KEEP</v>
      </c>
    </row>
    <row r="41" spans="1:22" x14ac:dyDescent="0.25">
      <c r="A41" s="41">
        <v>42594.588425925926</v>
      </c>
      <c r="B41" s="34" t="s">
        <v>99</v>
      </c>
      <c r="C41" s="34" t="s">
        <v>384</v>
      </c>
      <c r="D41" s="34" t="s">
        <v>49</v>
      </c>
      <c r="E41" s="34" t="s">
        <v>50</v>
      </c>
      <c r="F41" s="52">
        <v>0</v>
      </c>
      <c r="G41" s="52">
        <v>59</v>
      </c>
      <c r="H41" s="52">
        <v>233272</v>
      </c>
      <c r="I41" s="34" t="s">
        <v>51</v>
      </c>
      <c r="J41" s="52">
        <v>233491</v>
      </c>
      <c r="K41" s="34" t="s">
        <v>52</v>
      </c>
      <c r="L41" s="101" t="str">
        <f>VLOOKUP(C41,'Trips&amp;Operators'!$C$1:$E$9999,3,0)</f>
        <v>MOSES</v>
      </c>
      <c r="M41" s="147" t="s">
        <v>90</v>
      </c>
      <c r="N41" s="10"/>
      <c r="O41" s="34"/>
      <c r="P41" s="119" t="str">
        <f>VLOOKUP(C41,'Train Runs'!$A$13:$AE$340,31,0)</f>
        <v>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 &amp; aws s3 cp s3://rtdc.mdm.uploadarchive/RTDC4027/2016-08-13/ "%USERPROFILE%\AppData\Local\Temp\OnboardLogs"\RTDC4027\2016-08-13 --recursive &amp; "%USERPROFILE%\Documents\GitHub\mrs-test-scripts\Headless Mode &amp; Sideloading\WalkAndUnGZ.bat" "%USERPROFILE%\AppData\Local\Temp\OnboardLogs"\RTDC4027\2016-08-13</v>
      </c>
      <c r="Q41" s="123" t="str">
        <f>VLOOKUP(C41,'Train Runs'!$A$13:$AE$340,22,0)</f>
        <v>https://search-rtdc-monitor-bjffxe2xuh6vdkpspy63sjmuny.us-east-1.es.amazonaws.com/_plugin/kibana/#/discover/Steve-Slow-Train-Analysis-(2080s-and-2083s)?_g=(refreshInterval:(display:Off,section:0,value:0),time:(from:'2016-08-12 12:26:21-0600',mode:absolute,to:'2016-08-12 15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1" s="126" t="str">
        <f t="shared" si="5"/>
        <v>"C:\Program Files (x86)\AstroGrep\AstroGrep.exe" /spath="%USERPROFILE%\AppData\Local\Temp\OnboardLogs" /stypes="*4027*201608122*" /stext=" 20:.+((SYSTEM_STATE.+slice.+state.+changed )|(ment ac)|(system.+state.+changed )|(\|lc)|(penalty)|(\[timeout)|(PRM\|1\|D)|(kpr)|(kdp))" /e /r /s</v>
      </c>
      <c r="S41" s="9" t="str">
        <f t="shared" si="6"/>
        <v>4027</v>
      </c>
      <c r="T41" s="41">
        <f t="shared" si="7"/>
        <v>42594.838425925926</v>
      </c>
      <c r="U41" s="55" t="str">
        <f t="shared" si="8"/>
        <v>EC</v>
      </c>
      <c r="V41" s="55" t="str">
        <f t="shared" si="9"/>
        <v>KEEP</v>
      </c>
    </row>
    <row r="42" spans="1:22" ht="15" hidden="1" customHeight="1" x14ac:dyDescent="0.25">
      <c r="A42" s="41">
        <v>42594.648495370369</v>
      </c>
      <c r="B42" s="34" t="s">
        <v>249</v>
      </c>
      <c r="C42" s="34" t="s">
        <v>645</v>
      </c>
      <c r="D42" s="34" t="s">
        <v>49</v>
      </c>
      <c r="E42" s="34" t="s">
        <v>54</v>
      </c>
      <c r="F42" s="52">
        <v>0</v>
      </c>
      <c r="G42" s="52">
        <v>42</v>
      </c>
      <c r="H42" s="52">
        <v>24277</v>
      </c>
      <c r="I42" s="34" t="s">
        <v>55</v>
      </c>
      <c r="J42" s="52">
        <v>24199</v>
      </c>
      <c r="K42" s="34" t="s">
        <v>53</v>
      </c>
      <c r="L42" s="101" t="str">
        <f>VLOOKUP(C42,'Trips&amp;Operators'!$C$1:$E$9999,3,0)</f>
        <v>NELSON</v>
      </c>
      <c r="M42" s="147" t="s">
        <v>89</v>
      </c>
      <c r="N42" s="10"/>
      <c r="O42" s="34"/>
      <c r="P42" s="119" t="str">
        <f>VLOOKUP(C42,'Train Runs'!$A$13:$AE$340,31,0)</f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Q42" s="123" t="str">
        <f>VLOOKUP(C42,'Train Runs'!$A$13:$AE$340,22,0)</f>
        <v>https://search-rtdc-monitor-bjffxe2xuh6vdkpspy63sjmuny.us-east-1.es.amazonaws.com/_plugin/kibana/#/discover/Steve-Slow-Train-Analysis-(2080s-and-2083s)?_g=(refreshInterval:(display:Off,section:0,value:0),time:(from:'2016-08-12 14:29:06-0600',mode:absolute,to:'2016-08-12 16:45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42" s="126" t="str">
        <f t="shared" si="5"/>
        <v>"C:\Program Files (x86)\AstroGrep\AstroGrep.exe" /spath="%USERPROFILE%\AppData\Local\Temp\OnboardLogs" /stypes="*4041*201608122*" /stext=" 21:.+((SYSTEM_STATE.+slice.+state.+changed )|(ment ac)|(system.+state.+changed )|(\|lc)|(penalty)|(\[timeout)|(PRM\|1\|D)|(kpr)|(kdp))" /e /r /s</v>
      </c>
      <c r="S42" s="9" t="str">
        <f t="shared" si="6"/>
        <v>4041</v>
      </c>
      <c r="T42" s="41">
        <f t="shared" si="7"/>
        <v>42594.898495370369</v>
      </c>
      <c r="U42" s="55" t="str">
        <f t="shared" si="8"/>
        <v>GL</v>
      </c>
      <c r="V42" s="55" t="str">
        <f t="shared" si="9"/>
        <v>KEEP</v>
      </c>
    </row>
    <row r="43" spans="1:22" x14ac:dyDescent="0.25">
      <c r="A43" s="41">
        <v>42594.609351851854</v>
      </c>
      <c r="B43" s="34" t="s">
        <v>658</v>
      </c>
      <c r="C43" s="34" t="s">
        <v>389</v>
      </c>
      <c r="D43" s="34" t="s">
        <v>49</v>
      </c>
      <c r="E43" s="34" t="s">
        <v>50</v>
      </c>
      <c r="F43" s="52">
        <v>0</v>
      </c>
      <c r="G43" s="52">
        <v>47</v>
      </c>
      <c r="H43" s="52">
        <v>233297</v>
      </c>
      <c r="I43" s="34" t="s">
        <v>51</v>
      </c>
      <c r="J43" s="52">
        <v>233491</v>
      </c>
      <c r="K43" s="34" t="s">
        <v>52</v>
      </c>
      <c r="L43" s="101" t="str">
        <f>VLOOKUP(C43,'Trips&amp;Operators'!$C$1:$E$9999,3,0)</f>
        <v>SHOOK</v>
      </c>
      <c r="M43" s="147" t="s">
        <v>90</v>
      </c>
      <c r="N43" s="10"/>
      <c r="O43" s="34"/>
      <c r="P43" s="119" t="str">
        <f>VLOOKUP(C43,'Train Runs'!$A$13:$AE$340,31,0)</f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Q43" s="123" t="str">
        <f>VLOOKUP(C43,'Train Runs'!$A$13:$AE$340,22,0)</f>
        <v>https://search-rtdc-monitor-bjffxe2xuh6vdkpspy63sjmuny.us-east-1.es.amazonaws.com/_plugin/kibana/#/discover/Steve-Slow-Train-Analysis-(2080s-and-2083s)?_g=(refreshInterval:(display:Off,section:0,value:0),time:(from:'2016-08-12 12:52:52-0600',mode:absolute,to:'2016-08-12 17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43" s="126" t="str">
        <f t="shared" si="5"/>
        <v>"C:\Program Files (x86)\AstroGrep\AstroGrep.exe" /spath="%USERPROFILE%\AppData\Local\Temp\OnboardLogs" /stypes="*4018*201608122*" /stext=" 20:.+((SYSTEM_STATE.+slice.+state.+changed )|(ment ac)|(system.+state.+changed )|(\|lc)|(penalty)|(\[timeout)|(PRM\|1\|D)|(kpr)|(kdp))" /e /r /s</v>
      </c>
      <c r="S43" s="9" t="str">
        <f t="shared" si="6"/>
        <v>4018</v>
      </c>
      <c r="T43" s="41">
        <f t="shared" si="7"/>
        <v>42594.859351851854</v>
      </c>
      <c r="U43" s="55" t="str">
        <f t="shared" si="8"/>
        <v>EC</v>
      </c>
      <c r="V43" s="55" t="str">
        <f t="shared" si="9"/>
        <v>KEEP</v>
      </c>
    </row>
    <row r="44" spans="1:22" hidden="1" x14ac:dyDescent="0.25">
      <c r="A44" s="41">
        <v>42594.807002314818</v>
      </c>
      <c r="B44" s="34" t="s">
        <v>658</v>
      </c>
      <c r="C44" s="34" t="s">
        <v>493</v>
      </c>
      <c r="D44" s="34" t="s">
        <v>119</v>
      </c>
      <c r="E44" s="34" t="s">
        <v>54</v>
      </c>
      <c r="F44" s="52">
        <v>0</v>
      </c>
      <c r="G44" s="52">
        <v>74</v>
      </c>
      <c r="H44" s="52">
        <v>1884</v>
      </c>
      <c r="I44" s="34" t="s">
        <v>55</v>
      </c>
      <c r="J44" s="52">
        <v>1692</v>
      </c>
      <c r="K44" s="34" t="s">
        <v>52</v>
      </c>
      <c r="L44" s="101" t="str">
        <f>VLOOKUP(C44,'Trips&amp;Operators'!$C$1:$E$9999,3,0)</f>
        <v>SHOOK</v>
      </c>
      <c r="M44" s="147" t="s">
        <v>89</v>
      </c>
      <c r="N44" s="10"/>
      <c r="O44" s="34"/>
      <c r="P44" s="119" t="str">
        <f>VLOOKUP(C44,'Train Runs'!$A$13:$AE$340,31,0)</f>
        <v>aws s3 cp s3://rtdc.mdm.uploadarchive/RTDC4018/2016-08-12/ "%USERPROFILE%\AppData\Local\Temp\OnboardLogs"\RTDC4018\2016-08-12 --recursive &amp; "%USERPROFILE%\Documents\GitHub\mrs-test-scripts\Headless Mode &amp; Sideloading\WalkAndUnGZ.bat" "%USERPROFILE%\AppData\Local\Temp\OnboardLogs"\RTDC4018\2016-08-12 &amp; 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</v>
      </c>
      <c r="Q44" s="123" t="str">
        <f>VLOOKUP(C44,'Train Runs'!$A$13:$AE$340,22,0)</f>
        <v>https://search-rtdc-monitor-bjffxe2xuh6vdkpspy63sjmuny.us-east-1.es.amazonaws.com/_plugin/kibana/#/discover/Steve-Slow-Train-Analysis-(2080s-and-2083s)?_g=(refreshInterval:(display:Off,section:0,value:0),time:(from:'2016-08-12 18:17:57-0600',mode:absolute,to:'2016-08-12 20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44" s="126" t="str">
        <f t="shared" si="5"/>
        <v>"C:\Program Files (x86)\AstroGrep\AstroGrep.exe" /spath="%USERPROFILE%\AppData\Local\Temp\OnboardLogs" /stypes="*4018*201608130*" /stext=" 01:.+((SYSTEM_STATE.+slice.+state.+changed )|(ment ac)|(system.+state.+changed )|(\|lc)|(penalty)|(\[timeout)|(PRM\|1\|D)|(kpr)|(kdp))" /e /r /s</v>
      </c>
      <c r="S44" s="9" t="str">
        <f t="shared" si="6"/>
        <v>4018</v>
      </c>
      <c r="T44" s="41">
        <f t="shared" si="7"/>
        <v>42595.057002314818</v>
      </c>
      <c r="U44" s="55" t="str">
        <f t="shared" si="8"/>
        <v>GL</v>
      </c>
      <c r="V44" s="55" t="str">
        <f t="shared" si="9"/>
        <v>KEEP</v>
      </c>
    </row>
    <row r="45" spans="1:22" x14ac:dyDescent="0.25">
      <c r="A45" s="41">
        <v>42594.287233796298</v>
      </c>
      <c r="B45" s="34" t="s">
        <v>247</v>
      </c>
      <c r="C45" s="34" t="s">
        <v>548</v>
      </c>
      <c r="D45" s="34" t="s">
        <v>119</v>
      </c>
      <c r="E45" s="34" t="s">
        <v>56</v>
      </c>
      <c r="F45" s="52">
        <v>150</v>
      </c>
      <c r="G45" s="52">
        <v>201</v>
      </c>
      <c r="H45" s="52">
        <v>2728</v>
      </c>
      <c r="I45" s="34" t="s">
        <v>57</v>
      </c>
      <c r="J45" s="52">
        <v>574</v>
      </c>
      <c r="K45" s="34" t="s">
        <v>52</v>
      </c>
      <c r="L45" s="101" t="str">
        <f>VLOOKUP(C45,'Trips&amp;Operators'!$C$1:$E$9999,3,0)</f>
        <v>STRICKLAND</v>
      </c>
      <c r="M45" s="147" t="s">
        <v>90</v>
      </c>
      <c r="N45" s="10"/>
      <c r="O45" s="34"/>
      <c r="P45" s="119" t="str">
        <f>VLOOKUP(C45,'Train Runs'!$A$13:$AE$340,31,0)</f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Q45" s="123" t="str">
        <f>VLOOKUP(C45,'Train Runs'!$A$13:$AE$340,22,0)</f>
        <v>https://search-rtdc-monitor-bjffxe2xuh6vdkpspy63sjmuny.us-east-1.es.amazonaws.com/_plugin/kibana/#/discover/Steve-Slow-Train-Analysis-(2080s-and-2083s)?_g=(refreshInterval:(display:Off,section:0,value:0),time:(from:'2016-08-12 05:31:04-0600',mode:absolute,to:'2016-08-12 08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5" s="126" t="str">
        <f t="shared" si="5"/>
        <v>"C:\Program Files (x86)\AstroGrep\AstroGrep.exe" /spath="%USERPROFILE%\AppData\Local\Temp\OnboardLogs" /stypes="*4042*201608121*" /stext=" 12:.+((SYSTEM_STATE.+slice.+state.+changed )|(ment ac)|(system.+state.+changed )|(\|lc)|(penalty)|(\[timeout)|(PRM\|1\|D)|(kpr)|(kdp))" /e /r /s</v>
      </c>
      <c r="S45" s="9" t="str">
        <f t="shared" si="6"/>
        <v>4042</v>
      </c>
      <c r="T45" s="41">
        <f t="shared" si="7"/>
        <v>42594.537233796298</v>
      </c>
      <c r="U45" s="55" t="str">
        <f t="shared" si="8"/>
        <v>NW</v>
      </c>
      <c r="V45" s="55" t="str">
        <f t="shared" si="9"/>
        <v>KEEP</v>
      </c>
    </row>
    <row r="46" spans="1:22" x14ac:dyDescent="0.25">
      <c r="A46" s="41">
        <v>42594.248807870368</v>
      </c>
      <c r="B46" s="34" t="s">
        <v>247</v>
      </c>
      <c r="C46" s="34" t="s">
        <v>537</v>
      </c>
      <c r="D46" s="34" t="s">
        <v>49</v>
      </c>
      <c r="E46" s="34" t="s">
        <v>56</v>
      </c>
      <c r="F46" s="52">
        <v>300</v>
      </c>
      <c r="G46" s="52">
        <v>373</v>
      </c>
      <c r="H46" s="52">
        <v>19431</v>
      </c>
      <c r="I46" s="34" t="s">
        <v>57</v>
      </c>
      <c r="J46" s="52">
        <v>21299</v>
      </c>
      <c r="K46" s="34" t="s">
        <v>52</v>
      </c>
      <c r="L46" s="101" t="str">
        <f>VLOOKUP(C46,'Trips&amp;Operators'!$C$1:$E$9999,3,0)</f>
        <v>STRICKLAND</v>
      </c>
      <c r="M46" s="147" t="s">
        <v>90</v>
      </c>
      <c r="N46" s="10"/>
      <c r="O46" s="34"/>
      <c r="P46" s="119" t="str">
        <f>VLOOKUP(C46,'Train Runs'!$A$13:$AE$340,31,0)</f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Q46" s="123" t="str">
        <f>VLOOKUP(C46,'Train Runs'!$A$13:$AE$340,22,0)</f>
        <v>https://search-rtdc-monitor-bjffxe2xuh6vdkpspy63sjmuny.us-east-1.es.amazonaws.com/_plugin/kibana/#/discover/Steve-Slow-Train-Analysis-(2080s-and-2083s)?_g=(refreshInterval:(display:Off,section:0,value:0),time:(from:'2016-08-12 04:39:05-0600',mode:absolute,to:'2016-08-12 07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6" s="126" t="str">
        <f t="shared" si="5"/>
        <v>"C:\Program Files (x86)\AstroGrep\AstroGrep.exe" /spath="%USERPROFILE%\AppData\Local\Temp\OnboardLogs" /stypes="*4042*201608121*" /stext=" 11:.+((SYSTEM_STATE.+slice.+state.+changed )|(ment ac)|(system.+state.+changed )|(\|lc)|(penalty)|(\[timeout)|(PRM\|1\|D)|(kpr)|(kdp))" /e /r /s</v>
      </c>
      <c r="S46" s="9" t="str">
        <f t="shared" si="6"/>
        <v>4042</v>
      </c>
      <c r="T46" s="41">
        <f t="shared" si="7"/>
        <v>42594.498807870368</v>
      </c>
      <c r="U46" s="55" t="str">
        <f t="shared" si="8"/>
        <v>NW</v>
      </c>
      <c r="V46" s="55" t="str">
        <f t="shared" si="9"/>
        <v>KEEP</v>
      </c>
    </row>
    <row r="47" spans="1:22" x14ac:dyDescent="0.25">
      <c r="A47" s="41">
        <v>42594.252071759256</v>
      </c>
      <c r="B47" s="34" t="s">
        <v>247</v>
      </c>
      <c r="C47" s="34" t="s">
        <v>537</v>
      </c>
      <c r="D47" s="34" t="s">
        <v>119</v>
      </c>
      <c r="E47" s="34" t="s">
        <v>56</v>
      </c>
      <c r="F47" s="52">
        <v>400</v>
      </c>
      <c r="G47" s="52">
        <v>453</v>
      </c>
      <c r="H47" s="52">
        <v>43403</v>
      </c>
      <c r="I47" s="34" t="s">
        <v>57</v>
      </c>
      <c r="J47" s="52">
        <v>41797</v>
      </c>
      <c r="K47" s="34" t="s">
        <v>52</v>
      </c>
      <c r="L47" s="101" t="str">
        <f>VLOOKUP(C47,'Trips&amp;Operators'!$C$1:$E$9999,3,0)</f>
        <v>STRICKLAND</v>
      </c>
      <c r="M47" s="147" t="s">
        <v>90</v>
      </c>
      <c r="N47" s="10"/>
      <c r="O47" s="34"/>
      <c r="P47" s="119" t="str">
        <f>VLOOKUP(C47,'Train Runs'!$A$13:$AE$340,31,0)</f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Q47" s="123" t="str">
        <f>VLOOKUP(C47,'Train Runs'!$A$13:$AE$340,22,0)</f>
        <v>https://search-rtdc-monitor-bjffxe2xuh6vdkpspy63sjmuny.us-east-1.es.amazonaws.com/_plugin/kibana/#/discover/Steve-Slow-Train-Analysis-(2080s-and-2083s)?_g=(refreshInterval:(display:Off,section:0,value:0),time:(from:'2016-08-12 04:39:05-0600',mode:absolute,to:'2016-08-12 07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7" s="126" t="str">
        <f t="shared" si="5"/>
        <v>"C:\Program Files (x86)\AstroGrep\AstroGrep.exe" /spath="%USERPROFILE%\AppData\Local\Temp\OnboardLogs" /stypes="*4042*201608121*" /stext=" 12:.+((SYSTEM_STATE.+slice.+state.+changed )|(ment ac)|(system.+state.+changed )|(\|lc)|(penalty)|(\[timeout)|(PRM\|1\|D)|(kpr)|(kdp))" /e /r /s</v>
      </c>
      <c r="S47" s="9" t="str">
        <f t="shared" si="6"/>
        <v>4042</v>
      </c>
      <c r="T47" s="41">
        <f t="shared" si="7"/>
        <v>42594.502071759256</v>
      </c>
      <c r="U47" s="55" t="str">
        <f t="shared" si="8"/>
        <v>NW</v>
      </c>
      <c r="V47" s="55" t="str">
        <f t="shared" si="9"/>
        <v>KEEP</v>
      </c>
    </row>
    <row r="48" spans="1:22" x14ac:dyDescent="0.25">
      <c r="A48" s="41">
        <v>42594.334513888891</v>
      </c>
      <c r="B48" s="34" t="s">
        <v>247</v>
      </c>
      <c r="C48" s="34" t="s">
        <v>558</v>
      </c>
      <c r="D48" s="34" t="s">
        <v>119</v>
      </c>
      <c r="E48" s="34" t="s">
        <v>56</v>
      </c>
      <c r="F48" s="52">
        <v>400</v>
      </c>
      <c r="G48" s="52">
        <v>450</v>
      </c>
      <c r="H48" s="52">
        <v>43687</v>
      </c>
      <c r="I48" s="34" t="s">
        <v>57</v>
      </c>
      <c r="J48" s="52">
        <v>41797</v>
      </c>
      <c r="K48" s="34" t="s">
        <v>52</v>
      </c>
      <c r="L48" s="101" t="str">
        <f>VLOOKUP(C48,'Trips&amp;Operators'!$C$1:$E$9999,3,0)</f>
        <v>STRICKLAND</v>
      </c>
      <c r="M48" s="147" t="s">
        <v>90</v>
      </c>
      <c r="N48" s="10"/>
      <c r="O48" s="34"/>
      <c r="P48" s="119" t="str">
        <f>VLOOKUP(C48,'Train Runs'!$A$13:$AE$340,31,0)</f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Q48" s="123" t="str">
        <f>VLOOKUP(C48,'Train Runs'!$A$13:$AE$340,22,0)</f>
        <v>https://search-rtdc-monitor-bjffxe2xuh6vdkpspy63sjmuny.us-east-1.es.amazonaws.com/_plugin/kibana/#/discover/Steve-Slow-Train-Analysis-(2080s-and-2083s)?_g=(refreshInterval:(display:Off,section:0,value:0),time:(from:'2016-08-12 06:47:23-0600',mode:absolute,to:'2016-08-12 09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8" s="126" t="str">
        <f t="shared" si="5"/>
        <v>"C:\Program Files (x86)\AstroGrep\AstroGrep.exe" /spath="%USERPROFILE%\AppData\Local\Temp\OnboardLogs" /stypes="*4042*201608121*" /stext=" 14:.+((SYSTEM_STATE.+slice.+state.+changed )|(ment ac)|(system.+state.+changed )|(\|lc)|(penalty)|(\[timeout)|(PRM\|1\|D)|(kpr)|(kdp))" /e /r /s</v>
      </c>
      <c r="S48" s="9" t="str">
        <f t="shared" si="6"/>
        <v>4042</v>
      </c>
      <c r="T48" s="41">
        <f t="shared" si="7"/>
        <v>42594.584513888891</v>
      </c>
      <c r="U48" s="55" t="str">
        <f t="shared" si="8"/>
        <v>NW</v>
      </c>
      <c r="V48" s="55" t="str">
        <f t="shared" si="9"/>
        <v>KEEP</v>
      </c>
    </row>
    <row r="49" spans="1:22" x14ac:dyDescent="0.25">
      <c r="A49" s="41">
        <v>42594.521226851852</v>
      </c>
      <c r="B49" s="34" t="s">
        <v>657</v>
      </c>
      <c r="C49" s="34" t="s">
        <v>579</v>
      </c>
      <c r="D49" s="34" t="s">
        <v>119</v>
      </c>
      <c r="E49" s="34" t="s">
        <v>56</v>
      </c>
      <c r="F49" s="52">
        <v>400</v>
      </c>
      <c r="G49" s="52">
        <v>453</v>
      </c>
      <c r="H49" s="52">
        <v>43388</v>
      </c>
      <c r="I49" s="34" t="s">
        <v>57</v>
      </c>
      <c r="J49" s="52">
        <v>41797</v>
      </c>
      <c r="K49" s="34" t="s">
        <v>52</v>
      </c>
      <c r="L49" s="101" t="str">
        <f>VLOOKUP(C49,'Trips&amp;Operators'!$C$1:$E$9999,3,0)</f>
        <v>YORK</v>
      </c>
      <c r="M49" s="147" t="s">
        <v>90</v>
      </c>
      <c r="N49" s="10"/>
      <c r="O49" s="34"/>
      <c r="P49" s="119" t="str">
        <f>VLOOKUP(C49,'Train Runs'!$A$13:$AE$340,31,0)</f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Q49" s="123" t="str">
        <f>VLOOKUP(C49,'Train Runs'!$A$13:$AE$340,22,0)</f>
        <v>https://search-rtdc-monitor-bjffxe2xuh6vdkpspy63sjmuny.us-east-1.es.amazonaws.com/_plugin/kibana/#/discover/Steve-Slow-Train-Analysis-(2080s-and-2083s)?_g=(refreshInterval:(display:Off,section:0,value:0),time:(from:'2016-08-12 10:55:00-0600',mode:absolute,to:'2016-08-12 13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49" s="126" t="str">
        <f t="shared" si="5"/>
        <v>"C:\Program Files (x86)\AstroGrep\AstroGrep.exe" /spath="%USERPROFILE%\AppData\Local\Temp\OnboardLogs" /stypes="*4007*201608121*" /stext=" 18:.+((SYSTEM_STATE.+slice.+state.+changed )|(ment ac)|(system.+state.+changed )|(\|lc)|(penalty)|(\[timeout)|(PRM\|1\|D)|(kpr)|(kdp))" /e /r /s</v>
      </c>
      <c r="S49" s="9" t="str">
        <f t="shared" si="6"/>
        <v>4007</v>
      </c>
      <c r="T49" s="41">
        <f t="shared" si="7"/>
        <v>42594.771226851852</v>
      </c>
      <c r="U49" s="55" t="str">
        <f t="shared" si="8"/>
        <v>NW</v>
      </c>
      <c r="V49" s="55" t="str">
        <f t="shared" si="9"/>
        <v>KEEP</v>
      </c>
    </row>
    <row r="50" spans="1:22" x14ac:dyDescent="0.25">
      <c r="A50" s="41">
        <v>42594.336122685185</v>
      </c>
      <c r="B50" s="34" t="s">
        <v>247</v>
      </c>
      <c r="C50" s="34" t="s">
        <v>558</v>
      </c>
      <c r="D50" s="34" t="s">
        <v>49</v>
      </c>
      <c r="E50" s="34" t="s">
        <v>56</v>
      </c>
      <c r="F50" s="52">
        <v>150</v>
      </c>
      <c r="G50" s="52">
        <v>390</v>
      </c>
      <c r="H50" s="52">
        <v>55309</v>
      </c>
      <c r="I50" s="34" t="s">
        <v>57</v>
      </c>
      <c r="J50" s="52">
        <v>57008</v>
      </c>
      <c r="K50" s="34" t="s">
        <v>52</v>
      </c>
      <c r="L50" s="101" t="str">
        <f>VLOOKUP(C50,'Trips&amp;Operators'!$C$1:$E$9999,3,0)</f>
        <v>STRICKLAND</v>
      </c>
      <c r="M50" s="147" t="s">
        <v>90</v>
      </c>
      <c r="N50" s="10"/>
      <c r="O50" s="34"/>
      <c r="P50" s="119" t="str">
        <f>VLOOKUP(C50,'Train Runs'!$A$13:$AE$340,31,0)</f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Q50" s="123" t="str">
        <f>VLOOKUP(C50,'Train Runs'!$A$13:$AE$340,22,0)</f>
        <v>https://search-rtdc-monitor-bjffxe2xuh6vdkpspy63sjmuny.us-east-1.es.amazonaws.com/_plugin/kibana/#/discover/Steve-Slow-Train-Analysis-(2080s-and-2083s)?_g=(refreshInterval:(display:Off,section:0,value:0),time:(from:'2016-08-12 06:47:23-0600',mode:absolute,to:'2016-08-12 09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50" s="126" t="str">
        <f t="shared" si="5"/>
        <v>"C:\Program Files (x86)\AstroGrep\AstroGrep.exe" /spath="%USERPROFILE%\AppData\Local\Temp\OnboardLogs" /stypes="*4042*201608121*" /stext=" 14:.+((SYSTEM_STATE.+slice.+state.+changed )|(ment ac)|(system.+state.+changed )|(\|lc)|(penalty)|(\[timeout)|(PRM\|1\|D)|(kpr)|(kdp))" /e /r /s</v>
      </c>
      <c r="S50" s="9" t="str">
        <f t="shared" si="6"/>
        <v>4042</v>
      </c>
      <c r="T50" s="41">
        <f t="shared" si="7"/>
        <v>42594.586122685185</v>
      </c>
      <c r="U50" s="55" t="str">
        <f t="shared" si="8"/>
        <v>NW</v>
      </c>
      <c r="V50" s="55" t="str">
        <f t="shared" si="9"/>
        <v>KEEP</v>
      </c>
    </row>
    <row r="51" spans="1:22" x14ac:dyDescent="0.25">
      <c r="A51" s="41">
        <v>42594.647002314814</v>
      </c>
      <c r="B51" s="34" t="s">
        <v>657</v>
      </c>
      <c r="C51" s="34" t="s">
        <v>592</v>
      </c>
      <c r="D51" s="34" t="s">
        <v>49</v>
      </c>
      <c r="E51" s="34" t="s">
        <v>56</v>
      </c>
      <c r="F51" s="52">
        <v>150</v>
      </c>
      <c r="G51" s="52">
        <v>350</v>
      </c>
      <c r="H51" s="52">
        <v>55985</v>
      </c>
      <c r="I51" s="34" t="s">
        <v>57</v>
      </c>
      <c r="J51" s="52">
        <v>57008</v>
      </c>
      <c r="K51" s="34" t="s">
        <v>52</v>
      </c>
      <c r="L51" s="101" t="str">
        <f>VLOOKUP(C51,'Trips&amp;Operators'!$C$1:$E$9999,3,0)</f>
        <v>HELVIE</v>
      </c>
      <c r="M51" s="147" t="s">
        <v>90</v>
      </c>
      <c r="N51" s="10"/>
      <c r="O51" s="34"/>
      <c r="P51" s="119" t="str">
        <f>VLOOKUP(C51,'Train Runs'!$A$13:$AE$340,31,0)</f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Q51" s="123" t="str">
        <f>VLOOKUP(C51,'Train Runs'!$A$13:$AE$340,22,0)</f>
        <v>https://search-rtdc-monitor-bjffxe2xuh6vdkpspy63sjmuny.us-east-1.es.amazonaws.com/_plugin/kibana/#/discover/Steve-Slow-Train-Analysis-(2080s-and-2083s)?_g=(refreshInterval:(display:Off,section:0,value:0),time:(from:'2016-08-12 14:15:08-0600',mode:absolute,to:'2016-08-12 16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51" s="126" t="str">
        <f t="shared" si="5"/>
        <v>"C:\Program Files (x86)\AstroGrep\AstroGrep.exe" /spath="%USERPROFILE%\AppData\Local\Temp\OnboardLogs" /stypes="*4007*201608122*" /stext=" 21:.+((SYSTEM_STATE.+slice.+state.+changed )|(ment ac)|(system.+state.+changed )|(\|lc)|(penalty)|(\[timeout)|(PRM\|1\|D)|(kpr)|(kdp))" /e /r /s</v>
      </c>
      <c r="S51" s="9" t="str">
        <f t="shared" si="6"/>
        <v>4007</v>
      </c>
      <c r="T51" s="41">
        <f t="shared" si="7"/>
        <v>42594.897002314814</v>
      </c>
      <c r="U51" s="55" t="str">
        <f t="shared" si="8"/>
        <v>NW</v>
      </c>
      <c r="V51" s="55" t="str">
        <f t="shared" si="9"/>
        <v>KEEP</v>
      </c>
    </row>
    <row r="52" spans="1:22" x14ac:dyDescent="0.25">
      <c r="A52" s="41">
        <v>42594.307222222225</v>
      </c>
      <c r="B52" s="34" t="s">
        <v>256</v>
      </c>
      <c r="C52" s="34" t="s">
        <v>554</v>
      </c>
      <c r="D52" s="34" t="s">
        <v>49</v>
      </c>
      <c r="E52" s="34" t="s">
        <v>54</v>
      </c>
      <c r="F52" s="52">
        <v>0</v>
      </c>
      <c r="G52" s="52">
        <v>84</v>
      </c>
      <c r="H52" s="52">
        <v>1464</v>
      </c>
      <c r="I52" s="34" t="s">
        <v>55</v>
      </c>
      <c r="J52" s="52">
        <v>1725</v>
      </c>
      <c r="K52" s="34" t="s">
        <v>52</v>
      </c>
      <c r="L52" s="101" t="str">
        <f>VLOOKUP(C52,'Trips&amp;Operators'!$C$1:$E$9999,3,0)</f>
        <v>YORK</v>
      </c>
      <c r="M52" s="147" t="s">
        <v>89</v>
      </c>
      <c r="N52" s="10" t="s">
        <v>187</v>
      </c>
      <c r="O52" s="34"/>
      <c r="P52" s="119" t="str">
        <f>VLOOKUP(C52,'Train Runs'!$A$13:$AE$340,31,0)</f>
        <v>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 &amp; aws s3 cp s3://rtdc.mdm.uploadarchive/RTDC4003/2016-08-13/ "%USERPROFILE%\AppData\Local\Temp\OnboardLogs"\RTDC4003\2016-08-13 --recursive &amp; "%USERPROFILE%\Documents\GitHub\mrs-test-scripts\Headless Mode &amp; Sideloading\WalkAndUnGZ.bat" "%USERPROFILE%\AppData\Local\Temp\OnboardLogs"\RTDC4003\2016-08-13</v>
      </c>
      <c r="Q52" s="123" t="str">
        <f>VLOOKUP(C52,'Train Runs'!$A$13:$AE$340,22,0)</f>
        <v>https://search-rtdc-monitor-bjffxe2xuh6vdkpspy63sjmuny.us-east-1.es.amazonaws.com/_plugin/kibana/#/discover/Steve-Slow-Train-Analysis-(2080s-and-2083s)?_g=(refreshInterval:(display:Off,section:0,value:0),time:(from:'2016-08-12 05:58:53-0600',mode:absolute,to:'2016-08-12 08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R52" s="126" t="str">
        <f t="shared" si="5"/>
        <v>"C:\Program Files (x86)\AstroGrep\AstroGrep.exe" /spath="%USERPROFILE%\AppData\Local\Temp\OnboardLogs" /stypes="*4003*201608121*" /stext=" 13:.+((SYSTEM_STATE.+slice.+state.+changed )|(ment ac)|(system.+state.+changed )|(\|lc)|(penalty)|(\[timeout)|(PRM\|1\|D)|(kpr)|(kdp))" /e /r /s</v>
      </c>
      <c r="S52" s="9" t="str">
        <f t="shared" si="6"/>
        <v>4003</v>
      </c>
      <c r="T52" s="41">
        <f t="shared" si="7"/>
        <v>42594.557222222225</v>
      </c>
      <c r="U52" s="55" t="str">
        <f t="shared" si="8"/>
        <v>NW</v>
      </c>
      <c r="V52" s="55" t="str">
        <f t="shared" si="9"/>
        <v>KEEP</v>
      </c>
    </row>
    <row r="53" spans="1:22" x14ac:dyDescent="0.25">
      <c r="A53" s="41">
        <v>42594.268437500003</v>
      </c>
      <c r="B53" s="34" t="s">
        <v>249</v>
      </c>
      <c r="C53" s="34" t="s">
        <v>540</v>
      </c>
      <c r="D53" s="34" t="s">
        <v>49</v>
      </c>
      <c r="E53" s="34" t="s">
        <v>50</v>
      </c>
      <c r="F53" s="52">
        <v>0</v>
      </c>
      <c r="G53" s="52">
        <v>57</v>
      </c>
      <c r="H53" s="52">
        <v>773</v>
      </c>
      <c r="I53" s="34" t="s">
        <v>51</v>
      </c>
      <c r="J53" s="52">
        <v>575</v>
      </c>
      <c r="K53" s="34" t="s">
        <v>53</v>
      </c>
      <c r="L53" s="101" t="str">
        <f>VLOOKUP(C53,'Trips&amp;Operators'!$C$1:$E$9999,3,0)</f>
        <v>STRICKLAND</v>
      </c>
      <c r="M53" s="147" t="s">
        <v>90</v>
      </c>
      <c r="N53" s="10"/>
      <c r="O53" s="34"/>
      <c r="P53" s="119" t="str">
        <f>VLOOKUP(C53,'Train Runs'!$A$13:$AE$340,31,0)</f>
        <v>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 &amp; aws s3 cp s3://rtdc.mdm.uploadarchive/RTDC4041/2016-08-13/ "%USERPROFILE%\AppData\Local\Temp\OnboardLogs"\RTDC4041\2016-08-13 --recursive &amp; "%USERPROFILE%\Documents\GitHub\mrs-test-scripts\Headless Mode &amp; Sideloading\WalkAndUnGZ.bat" "%USERPROFILE%\AppData\Local\Temp\OnboardLogs"\RTDC4041\2016-08-13</v>
      </c>
      <c r="Q53" s="123" t="str">
        <f>VLOOKUP(C53,'Train Runs'!$A$13:$AE$340,22,0)</f>
        <v>https://search-rtdc-monitor-bjffxe2xuh6vdkpspy63sjmuny.us-east-1.es.amazonaws.com/_plugin/kibana/#/discover/Steve-Slow-Train-Analysis-(2080s-and-2083s)?_g=(refreshInterval:(display:Off,section:0,value:0),time:(from:'2016-08-12 05:09:28-0600',mode:absolute,to:'2016-08-12 07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3" s="126" t="str">
        <f t="shared" si="5"/>
        <v>"C:\Program Files (x86)\AstroGrep\AstroGrep.exe" /spath="%USERPROFILE%\AppData\Local\Temp\OnboardLogs" /stypes="*4041*201608121*" /stext=" 12:.+((SYSTEM_STATE.+slice.+state.+changed )|(ment ac)|(system.+state.+changed )|(\|lc)|(penalty)|(\[timeout)|(PRM\|1\|D)|(kpr)|(kdp))" /e /r /s</v>
      </c>
      <c r="S53" s="9" t="str">
        <f t="shared" si="6"/>
        <v>4041</v>
      </c>
      <c r="T53" s="41">
        <f t="shared" si="7"/>
        <v>42594.518437500003</v>
      </c>
      <c r="U53" s="55" t="str">
        <f t="shared" si="8"/>
        <v>NW</v>
      </c>
      <c r="V53" s="55" t="str">
        <f t="shared" si="9"/>
        <v>KEEP</v>
      </c>
    </row>
    <row r="54" spans="1:22" x14ac:dyDescent="0.25">
      <c r="A54" s="41">
        <v>42594.297060185185</v>
      </c>
      <c r="B54" s="34" t="s">
        <v>247</v>
      </c>
      <c r="C54" s="34" t="s">
        <v>548</v>
      </c>
      <c r="D54" s="34" t="s">
        <v>49</v>
      </c>
      <c r="E54" s="34" t="s">
        <v>50</v>
      </c>
      <c r="F54" s="52">
        <v>0</v>
      </c>
      <c r="G54" s="52">
        <v>66</v>
      </c>
      <c r="H54" s="52">
        <v>58805</v>
      </c>
      <c r="I54" s="34" t="s">
        <v>51</v>
      </c>
      <c r="J54" s="52">
        <v>59048</v>
      </c>
      <c r="K54" s="34" t="s">
        <v>52</v>
      </c>
      <c r="L54" s="101" t="str">
        <f>VLOOKUP(C54,'Trips&amp;Operators'!$C$1:$E$9999,3,0)</f>
        <v>STRICKLAND</v>
      </c>
      <c r="M54" s="147" t="s">
        <v>90</v>
      </c>
      <c r="N54" s="10"/>
      <c r="O54" s="34"/>
      <c r="P54" s="119" t="str">
        <f>VLOOKUP(C54,'Train Runs'!$A$13:$AE$340,31,0)</f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Q54" s="123" t="str">
        <f>VLOOKUP(C54,'Train Runs'!$A$13:$AE$340,22,0)</f>
        <v>https://search-rtdc-monitor-bjffxe2xuh6vdkpspy63sjmuny.us-east-1.es.amazonaws.com/_plugin/kibana/#/discover/Steve-Slow-Train-Analysis-(2080s-and-2083s)?_g=(refreshInterval:(display:Off,section:0,value:0),time:(from:'2016-08-12 05:31:04-0600',mode:absolute,to:'2016-08-12 08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54" s="126" t="str">
        <f t="shared" si="5"/>
        <v>"C:\Program Files (x86)\AstroGrep\AstroGrep.exe" /spath="%USERPROFILE%\AppData\Local\Temp\OnboardLogs" /stypes="*4042*201608121*" /stext=" 13:.+((SYSTEM_STATE.+slice.+state.+changed )|(ment ac)|(system.+state.+changed )|(\|lc)|(penalty)|(\[timeout)|(PRM\|1\|D)|(kpr)|(kdp))" /e /r /s</v>
      </c>
      <c r="S54" s="9" t="str">
        <f t="shared" si="6"/>
        <v>4042</v>
      </c>
      <c r="T54" s="41">
        <f t="shared" si="7"/>
        <v>42594.547060185185</v>
      </c>
      <c r="U54" s="55" t="str">
        <f t="shared" si="8"/>
        <v>NW</v>
      </c>
      <c r="V54" s="55" t="str">
        <f t="shared" si="9"/>
        <v>KEEP</v>
      </c>
    </row>
    <row r="55" spans="1:22" x14ac:dyDescent="0.25">
      <c r="A55" s="41">
        <v>42594.44</v>
      </c>
      <c r="B55" s="34" t="s">
        <v>657</v>
      </c>
      <c r="C55" s="34" t="s">
        <v>570</v>
      </c>
      <c r="D55" s="34" t="s">
        <v>49</v>
      </c>
      <c r="E55" s="34" t="s">
        <v>50</v>
      </c>
      <c r="F55" s="52">
        <v>0</v>
      </c>
      <c r="G55" s="52">
        <v>146</v>
      </c>
      <c r="H55" s="52">
        <v>57851</v>
      </c>
      <c r="I55" s="34" t="s">
        <v>51</v>
      </c>
      <c r="J55" s="52">
        <v>59048</v>
      </c>
      <c r="K55" s="34" t="s">
        <v>52</v>
      </c>
      <c r="L55" s="101" t="str">
        <f>VLOOKUP(C55,'Trips&amp;Operators'!$C$1:$E$9999,3,0)</f>
        <v>YORK</v>
      </c>
      <c r="M55" s="147" t="s">
        <v>90</v>
      </c>
      <c r="N55" s="10"/>
      <c r="O55" s="34"/>
      <c r="P55" s="119" t="str">
        <f>VLOOKUP(C55,'Train Runs'!$A$13:$AE$340,31,0)</f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Q55" s="123" t="str">
        <f>VLOOKUP(C55,'Train Runs'!$A$13:$AE$340,22,0)</f>
        <v>https://search-rtdc-monitor-bjffxe2xuh6vdkpspy63sjmuny.us-east-1.es.amazonaws.com/_plugin/kibana/#/discover/Steve-Slow-Train-Analysis-(2080s-and-2083s)?_g=(refreshInterval:(display:Off,section:0,value:0),time:(from:'2016-08-12 08:55:12-0600',mode:absolute,to:'2016-08-12 11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55" s="126" t="str">
        <f t="shared" si="5"/>
        <v>"C:\Program Files (x86)\AstroGrep\AstroGrep.exe" /spath="%USERPROFILE%\AppData\Local\Temp\OnboardLogs" /stypes="*4007*201608121*" /stext=" 16:.+((SYSTEM_STATE.+slice.+state.+changed )|(ment ac)|(system.+state.+changed )|(\|lc)|(penalty)|(\[timeout)|(PRM\|1\|D)|(kpr)|(kdp))" /e /r /s</v>
      </c>
      <c r="S55" s="9" t="str">
        <f t="shared" si="6"/>
        <v>4007</v>
      </c>
      <c r="T55" s="41">
        <f t="shared" si="7"/>
        <v>42594.69</v>
      </c>
      <c r="U55" s="55" t="str">
        <f t="shared" si="8"/>
        <v>NW</v>
      </c>
      <c r="V55" s="55" t="str">
        <f t="shared" si="9"/>
        <v>KEEP</v>
      </c>
    </row>
    <row r="56" spans="1:22" x14ac:dyDescent="0.25">
      <c r="A56" s="41">
        <v>42594.607939814814</v>
      </c>
      <c r="B56" s="34" t="s">
        <v>657</v>
      </c>
      <c r="C56" s="34" t="s">
        <v>587</v>
      </c>
      <c r="D56" s="34" t="s">
        <v>49</v>
      </c>
      <c r="E56" s="34" t="s">
        <v>50</v>
      </c>
      <c r="F56" s="52">
        <v>0</v>
      </c>
      <c r="G56" s="52">
        <v>21</v>
      </c>
      <c r="H56" s="52">
        <v>58943</v>
      </c>
      <c r="I56" s="34" t="s">
        <v>51</v>
      </c>
      <c r="J56" s="52">
        <v>59048</v>
      </c>
      <c r="K56" s="34" t="s">
        <v>52</v>
      </c>
      <c r="L56" s="101" t="str">
        <f>VLOOKUP(C56,'Trips&amp;Operators'!$C$1:$E$9999,3,0)</f>
        <v>HELVIE</v>
      </c>
      <c r="M56" s="147" t="s">
        <v>90</v>
      </c>
      <c r="N56" s="10"/>
      <c r="O56" s="34"/>
      <c r="P56" s="119" t="str">
        <f>VLOOKUP(C56,'Train Runs'!$A$13:$AE$340,31,0)</f>
        <v>aws s3 cp s3://rtdc.mdm.uploadarchive/RTDC4007/2016-08-12/ "%USERPROFILE%\AppData\Local\Temp\OnboardLogs"\RTDC4007\2016-08-12 --recursive &amp; "%USERPROFILE%\Documents\GitHub\mrs-test-scripts\Headless Mode &amp; Sideloading\WalkAndUnGZ.bat" "%USERPROFILE%\AppData\Local\Temp\OnboardLogs"\RTDC4007\2016-08-12 &amp; aws s3 cp s3://rtdc.mdm.uploadarchive/RTDC4007/2016-08-13/ "%USERPROFILE%\AppData\Local\Temp\OnboardLogs"\RTDC4007\2016-08-13 --recursive &amp; "%USERPROFILE%\Documents\GitHub\mrs-test-scripts\Headless Mode &amp; Sideloading\WalkAndUnGZ.bat" "%USERPROFILE%\AppData\Local\Temp\OnboardLogs"\RTDC4007\2016-08-13</v>
      </c>
      <c r="Q56" s="123" t="str">
        <f>VLOOKUP(C56,'Train Runs'!$A$13:$AE$340,22,0)</f>
        <v>https://search-rtdc-monitor-bjffxe2xuh6vdkpspy63sjmuny.us-east-1.es.amazonaws.com/_plugin/kibana/#/discover/Steve-Slow-Train-Analysis-(2080s-and-2083s)?_g=(refreshInterval:(display:Off,section:0,value:0),time:(from:'2016-08-12 13:14:19-0600',mode:absolute,to:'2016-08-12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56" s="126" t="str">
        <f t="shared" si="5"/>
        <v>"C:\Program Files (x86)\AstroGrep\AstroGrep.exe" /spath="%USERPROFILE%\AppData\Local\Temp\OnboardLogs" /stypes="*4007*201608122*" /stext=" 20:.+((SYSTEM_STATE.+slice.+state.+changed )|(ment ac)|(system.+state.+changed )|(\|lc)|(penalty)|(\[timeout)|(PRM\|1\|D)|(kpr)|(kdp))" /e /r /s</v>
      </c>
      <c r="S56" s="9" t="str">
        <f t="shared" si="6"/>
        <v>4007</v>
      </c>
      <c r="T56" s="41">
        <f t="shared" si="7"/>
        <v>42594.857939814814</v>
      </c>
      <c r="U56" s="55" t="str">
        <f t="shared" si="8"/>
        <v>NW</v>
      </c>
      <c r="V56" s="55" t="str">
        <f t="shared" si="9"/>
        <v>KEEP</v>
      </c>
    </row>
    <row r="57" spans="1:22" x14ac:dyDescent="0.25">
      <c r="A57" s="41">
        <v>42594.796111111114</v>
      </c>
      <c r="B57" s="34" t="s">
        <v>247</v>
      </c>
      <c r="C57" s="34" t="s">
        <v>624</v>
      </c>
      <c r="D57" s="34" t="s">
        <v>49</v>
      </c>
      <c r="E57" s="34" t="s">
        <v>50</v>
      </c>
      <c r="F57" s="52">
        <v>0</v>
      </c>
      <c r="G57" s="52">
        <v>54</v>
      </c>
      <c r="H57" s="52">
        <v>58892</v>
      </c>
      <c r="I57" s="34" t="s">
        <v>51</v>
      </c>
      <c r="J57" s="52">
        <v>59048</v>
      </c>
      <c r="K57" s="34" t="s">
        <v>52</v>
      </c>
      <c r="L57" s="101" t="str">
        <f>VLOOKUP(C57,'Trips&amp;Operators'!$C$1:$E$9999,3,0)</f>
        <v>NELSON</v>
      </c>
      <c r="M57" s="147" t="s">
        <v>90</v>
      </c>
      <c r="N57" s="10"/>
      <c r="O57" s="34"/>
      <c r="P57" s="119" t="str">
        <f>VLOOKUP(C57,'Train Runs'!$A$13:$AE$340,31,0)</f>
        <v>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 &amp; aws s3 cp s3://rtdc.mdm.uploadarchive/RTDC4042/2016-08-13/ "%USERPROFILE%\AppData\Local\Temp\OnboardLogs"\RTDC4042\2016-08-13 --recursive &amp; "%USERPROFILE%\Documents\GitHub\mrs-test-scripts\Headless Mode &amp; Sideloading\WalkAndUnGZ.bat" "%USERPROFILE%\AppData\Local\Temp\OnboardLogs"\RTDC4042\2016-08-13</v>
      </c>
      <c r="Q57" s="123" t="str">
        <f>VLOOKUP(C57,'Train Runs'!$A$13:$AE$340,22,0)</f>
        <v>https://search-rtdc-monitor-bjffxe2xuh6vdkpspy63sjmuny.us-east-1.es.amazonaws.com/_plugin/kibana/#/discover/Steve-Slow-Train-Analysis-(2080s-and-2083s)?_g=(refreshInterval:(display:Off,section:0,value:0),time:(from:'2016-08-12 17:39:49-0600',mode:absolute,to:'2016-08-12 20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57" s="126" t="str">
        <f t="shared" si="5"/>
        <v>"C:\Program Files (x86)\AstroGrep\AstroGrep.exe" /spath="%USERPROFILE%\AppData\Local\Temp\OnboardLogs" /stypes="*4042*201608130*" /stext=" 01:.+((SYSTEM_STATE.+slice.+state.+changed )|(ment ac)|(system.+state.+changed )|(\|lc)|(penalty)|(\[timeout)|(PRM\|1\|D)|(kpr)|(kdp))" /e /r /s</v>
      </c>
      <c r="S57" s="9" t="str">
        <f t="shared" si="6"/>
        <v>4042</v>
      </c>
      <c r="T57" s="41">
        <f t="shared" si="7"/>
        <v>42595.046111111114</v>
      </c>
      <c r="U57" s="55" t="str">
        <f t="shared" si="8"/>
        <v>NW</v>
      </c>
      <c r="V57" s="55" t="str">
        <f t="shared" si="9"/>
        <v>KEEP</v>
      </c>
    </row>
    <row r="58" spans="1:22" x14ac:dyDescent="0.25">
      <c r="A58" s="41"/>
      <c r="B58" s="34"/>
      <c r="C58" s="34"/>
      <c r="D58" s="34"/>
      <c r="E58" s="34"/>
      <c r="F58" s="52"/>
      <c r="G58" s="52"/>
      <c r="H58" s="52"/>
      <c r="I58" s="34"/>
      <c r="J58" s="52"/>
      <c r="K58" s="34"/>
      <c r="L58" s="101"/>
      <c r="M58" s="147"/>
      <c r="N58" s="10"/>
      <c r="O58" s="34"/>
      <c r="P58" s="119"/>
      <c r="Q58" s="123"/>
      <c r="R58" s="126"/>
      <c r="S58" s="9"/>
      <c r="T58" s="41"/>
      <c r="U58" s="55"/>
      <c r="V58" s="55"/>
    </row>
    <row r="59" spans="1:22" x14ac:dyDescent="0.25">
      <c r="A59" s="41"/>
      <c r="B59" s="34"/>
      <c r="C59" s="34"/>
      <c r="D59" s="34"/>
      <c r="E59" s="34"/>
      <c r="F59" s="52"/>
      <c r="G59" s="52"/>
      <c r="H59" s="52"/>
      <c r="I59" s="34"/>
      <c r="J59" s="52"/>
      <c r="K59" s="34"/>
      <c r="L59" s="101"/>
      <c r="M59" s="147"/>
      <c r="N59" s="10"/>
      <c r="O59" s="34"/>
      <c r="P59" s="119"/>
      <c r="Q59" s="123"/>
      <c r="R59" s="126"/>
      <c r="S59" s="9"/>
      <c r="T59" s="41"/>
      <c r="U59" s="55"/>
      <c r="V59" s="55"/>
    </row>
    <row r="60" spans="1:22" x14ac:dyDescent="0.25">
      <c r="A60" s="41"/>
      <c r="B60" s="34"/>
      <c r="C60" s="34"/>
      <c r="D60" s="34"/>
      <c r="E60" s="34"/>
      <c r="F60" s="52"/>
      <c r="G60" s="52"/>
      <c r="H60" s="52"/>
      <c r="I60" s="34"/>
      <c r="J60" s="52"/>
      <c r="K60" s="34"/>
      <c r="L60" s="101"/>
      <c r="M60" s="147"/>
      <c r="N60" s="10"/>
      <c r="O60" s="34"/>
      <c r="P60" s="119"/>
      <c r="Q60" s="123"/>
      <c r="R60" s="126"/>
      <c r="S60" s="9"/>
      <c r="T60" s="41"/>
      <c r="U60" s="55"/>
      <c r="V60" s="55"/>
    </row>
    <row r="61" spans="1:22" x14ac:dyDescent="0.25">
      <c r="A61" s="41"/>
      <c r="B61" s="34"/>
      <c r="C61" s="34"/>
      <c r="D61" s="34"/>
      <c r="E61" s="34"/>
      <c r="F61" s="52"/>
      <c r="G61" s="52"/>
      <c r="H61" s="52"/>
      <c r="I61" s="34"/>
      <c r="J61" s="52"/>
      <c r="K61" s="34"/>
      <c r="L61" s="101"/>
      <c r="M61" s="147"/>
      <c r="N61" s="10"/>
      <c r="O61" s="34"/>
      <c r="P61" s="119"/>
      <c r="Q61" s="123"/>
      <c r="R61" s="126"/>
      <c r="S61" s="9"/>
      <c r="T61" s="41"/>
      <c r="U61" s="55"/>
      <c r="V61" s="55"/>
    </row>
    <row r="62" spans="1:22" x14ac:dyDescent="0.25">
      <c r="A62" s="41"/>
      <c r="B62" s="34"/>
      <c r="C62" s="34"/>
      <c r="D62" s="34"/>
      <c r="E62" s="34"/>
      <c r="F62" s="52"/>
      <c r="G62" s="52"/>
      <c r="H62" s="52"/>
      <c r="I62" s="34"/>
      <c r="J62" s="52"/>
      <c r="K62" s="34"/>
      <c r="L62" s="101"/>
      <c r="M62" s="147"/>
      <c r="N62" s="10"/>
      <c r="O62" s="34"/>
      <c r="P62" s="119"/>
      <c r="Q62" s="123"/>
      <c r="R62" s="126"/>
      <c r="S62" s="9"/>
      <c r="T62" s="41"/>
      <c r="U62" s="55"/>
      <c r="V62" s="55"/>
    </row>
    <row r="63" spans="1:22" x14ac:dyDescent="0.25">
      <c r="A63" s="41"/>
      <c r="B63" s="34"/>
      <c r="C63" s="34"/>
      <c r="D63" s="34"/>
      <c r="E63" s="34"/>
      <c r="F63" s="52"/>
      <c r="G63" s="52"/>
      <c r="H63" s="52"/>
      <c r="I63" s="34"/>
      <c r="J63" s="52"/>
      <c r="K63" s="34"/>
      <c r="L63" s="101"/>
      <c r="M63" s="147"/>
      <c r="N63" s="10"/>
      <c r="O63" s="34"/>
      <c r="P63" s="119"/>
      <c r="Q63" s="123"/>
      <c r="R63" s="126"/>
      <c r="S63" s="9"/>
      <c r="T63" s="41"/>
      <c r="U63" s="55"/>
      <c r="V63" s="55"/>
    </row>
    <row r="64" spans="1:22" x14ac:dyDescent="0.25">
      <c r="A64" s="41"/>
      <c r="B64" s="34"/>
      <c r="C64" s="34"/>
      <c r="D64" s="34"/>
      <c r="E64" s="34"/>
      <c r="F64" s="52"/>
      <c r="G64" s="52"/>
      <c r="H64" s="52"/>
      <c r="I64" s="34"/>
      <c r="J64" s="52"/>
      <c r="K64" s="34"/>
      <c r="L64" s="101"/>
      <c r="M64" s="147"/>
      <c r="N64" s="10"/>
      <c r="O64" s="34"/>
      <c r="P64" s="119"/>
      <c r="Q64" s="123"/>
      <c r="R64" s="126"/>
      <c r="S64" s="9"/>
      <c r="T64" s="41"/>
      <c r="U64" s="55"/>
      <c r="V64" s="55"/>
    </row>
    <row r="65" spans="1:22" x14ac:dyDescent="0.25">
      <c r="A65" s="41"/>
      <c r="B65" s="34"/>
      <c r="C65" s="34"/>
      <c r="D65" s="34"/>
      <c r="E65" s="34"/>
      <c r="F65" s="52"/>
      <c r="G65" s="52"/>
      <c r="H65" s="52"/>
      <c r="I65" s="34"/>
      <c r="J65" s="52"/>
      <c r="K65" s="34"/>
      <c r="L65" s="101"/>
      <c r="M65" s="147"/>
      <c r="N65" s="10"/>
      <c r="O65" s="34"/>
      <c r="P65" s="119"/>
      <c r="Q65" s="123"/>
      <c r="R65" s="126"/>
      <c r="S65" s="9"/>
      <c r="T65" s="41"/>
      <c r="U65" s="55"/>
      <c r="V65" s="55"/>
    </row>
    <row r="66" spans="1:22" x14ac:dyDescent="0.25">
      <c r="A66" s="41"/>
      <c r="B66" s="34"/>
      <c r="C66" s="34"/>
      <c r="D66" s="34"/>
      <c r="E66" s="34"/>
      <c r="F66" s="52"/>
      <c r="G66" s="52"/>
      <c r="H66" s="52"/>
      <c r="I66" s="34"/>
      <c r="J66" s="52"/>
      <c r="K66" s="34"/>
      <c r="L66" s="101"/>
      <c r="M66" s="147"/>
      <c r="N66" s="10"/>
      <c r="O66" s="34"/>
      <c r="P66" s="119"/>
      <c r="Q66" s="123"/>
      <c r="R66" s="126"/>
      <c r="S66" s="9"/>
      <c r="T66" s="41"/>
      <c r="U66" s="55"/>
      <c r="V66" s="55"/>
    </row>
    <row r="67" spans="1:22" x14ac:dyDescent="0.25">
      <c r="A67" s="41"/>
      <c r="B67" s="34"/>
      <c r="C67" s="34"/>
      <c r="D67" s="34"/>
      <c r="E67" s="34"/>
      <c r="F67" s="52"/>
      <c r="G67" s="52"/>
      <c r="H67" s="52"/>
      <c r="I67" s="34"/>
      <c r="J67" s="52"/>
      <c r="K67" s="34"/>
      <c r="L67" s="101"/>
      <c r="M67" s="147"/>
      <c r="N67" s="10"/>
      <c r="O67" s="34"/>
      <c r="P67" s="119"/>
      <c r="Q67" s="123"/>
      <c r="R67" s="126"/>
      <c r="S67" s="9"/>
      <c r="T67" s="41"/>
      <c r="U67" s="55"/>
      <c r="V67" s="55"/>
    </row>
  </sheetData>
  <autoFilter ref="A6:V67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7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"/>
    </sheetView>
  </sheetViews>
  <sheetFormatPr defaultRowHeight="15" x14ac:dyDescent="0.25"/>
  <cols>
    <col min="1" max="1" width="9.140625" style="73" customWidth="1"/>
    <col min="2" max="2" width="8" style="143" bestFit="1" customWidth="1"/>
    <col min="3" max="3" width="9.85546875" style="134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4" t="str">
        <f>"Trips that did not appear in PTC Data "&amp;TEXT(Variables!$A$2,"YYYY-mm-dd")</f>
        <v>Trips that did not appear in PTC Data 2016-08-12</v>
      </c>
      <c r="B1" s="154"/>
      <c r="C1" s="154"/>
      <c r="D1" s="154"/>
      <c r="E1" s="154"/>
    </row>
    <row r="2" spans="1:10" s="27" customFormat="1" ht="45" x14ac:dyDescent="0.25">
      <c r="A2" s="116" t="s">
        <v>67</v>
      </c>
      <c r="B2" s="140" t="s">
        <v>68</v>
      </c>
      <c r="C2" s="141" t="s">
        <v>69</v>
      </c>
      <c r="D2" s="27" t="s">
        <v>65</v>
      </c>
      <c r="E2" s="27" t="s">
        <v>66</v>
      </c>
      <c r="F2" s="27" t="s">
        <v>70</v>
      </c>
      <c r="G2" s="32" t="s">
        <v>71</v>
      </c>
      <c r="H2" s="32" t="s">
        <v>131</v>
      </c>
    </row>
    <row r="3" spans="1:10" x14ac:dyDescent="0.25">
      <c r="A3" s="81"/>
      <c r="B3" s="142"/>
      <c r="C3" s="142"/>
      <c r="D3" s="55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81"/>
      <c r="B4" s="142"/>
      <c r="C4" s="142"/>
      <c r="D4" s="55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1"/>
      <c r="B5" s="142"/>
      <c r="C5" s="142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1"/>
      <c r="B6" s="142"/>
      <c r="C6" s="142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1"/>
      <c r="B7" s="142"/>
      <c r="C7" s="142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1"/>
      <c r="B8" s="142"/>
      <c r="C8" s="142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7"/>
      <c r="C9" s="127"/>
      <c r="H9" s="24"/>
      <c r="I9" s="24"/>
      <c r="J9" s="24"/>
    </row>
    <row r="10" spans="1:10" x14ac:dyDescent="0.25">
      <c r="B10" s="127"/>
      <c r="C10" s="127"/>
      <c r="H10" s="24"/>
      <c r="I10" s="24"/>
      <c r="J10" s="24"/>
    </row>
    <row r="11" spans="1:10" x14ac:dyDescent="0.25">
      <c r="B11" s="127"/>
      <c r="C11" s="127"/>
      <c r="H11" s="24"/>
      <c r="I11" s="24"/>
      <c r="J11" s="24"/>
    </row>
    <row r="12" spans="1:10" x14ac:dyDescent="0.25">
      <c r="B12" s="127"/>
      <c r="C12" s="127"/>
      <c r="H12" s="24"/>
      <c r="I12" s="24"/>
      <c r="J12" s="24"/>
    </row>
    <row r="13" spans="1:10" x14ac:dyDescent="0.25">
      <c r="B13" s="127"/>
      <c r="C13" s="127"/>
      <c r="H13" s="24"/>
      <c r="I13" s="24"/>
      <c r="J13" s="24"/>
    </row>
    <row r="14" spans="1:10" x14ac:dyDescent="0.25">
      <c r="B14" s="127"/>
      <c r="C14" s="127"/>
      <c r="H14" s="24"/>
      <c r="I14" s="24"/>
      <c r="J14" s="24"/>
    </row>
    <row r="15" spans="1:10" x14ac:dyDescent="0.25">
      <c r="B15" s="127"/>
      <c r="C15" s="127"/>
      <c r="H15" s="24"/>
      <c r="I15" s="24"/>
      <c r="J15" s="24"/>
    </row>
    <row r="16" spans="1:10" x14ac:dyDescent="0.25">
      <c r="B16" s="127"/>
      <c r="C16" s="127"/>
      <c r="H16" s="24"/>
      <c r="I16" s="24"/>
      <c r="J16" s="24"/>
    </row>
    <row r="17" spans="2:10" x14ac:dyDescent="0.25">
      <c r="B17" s="127"/>
      <c r="C17" s="127"/>
      <c r="H17" s="24"/>
      <c r="I17" s="24"/>
      <c r="J17" s="24"/>
    </row>
    <row r="18" spans="2:10" x14ac:dyDescent="0.25">
      <c r="B18" s="127"/>
      <c r="C18" s="127"/>
      <c r="H18" s="24"/>
      <c r="I18" s="24"/>
      <c r="J18" s="24"/>
    </row>
    <row r="19" spans="2:10" x14ac:dyDescent="0.25">
      <c r="B19" s="127"/>
      <c r="C19" s="127"/>
      <c r="H19" s="24"/>
      <c r="I19" s="24"/>
      <c r="J19" s="24"/>
    </row>
    <row r="20" spans="2:10" x14ac:dyDescent="0.25">
      <c r="B20" s="127"/>
      <c r="C20" s="127"/>
      <c r="H20" s="24"/>
      <c r="I20" s="24"/>
      <c r="J20" s="24"/>
    </row>
    <row r="21" spans="2:10" x14ac:dyDescent="0.25">
      <c r="B21" s="127"/>
      <c r="C21" s="127"/>
      <c r="H21" s="24"/>
      <c r="I21" s="24"/>
      <c r="J21" s="24"/>
    </row>
    <row r="22" spans="2:10" x14ac:dyDescent="0.25">
      <c r="B22" s="127"/>
      <c r="C22" s="127"/>
      <c r="H22" s="24"/>
      <c r="I22" s="24"/>
      <c r="J22" s="24"/>
    </row>
    <row r="23" spans="2:10" x14ac:dyDescent="0.25">
      <c r="B23" s="127"/>
      <c r="C23" s="127"/>
      <c r="H23" s="24"/>
      <c r="I23" s="24"/>
      <c r="J23" s="24"/>
    </row>
    <row r="24" spans="2:10" x14ac:dyDescent="0.25">
      <c r="B24" s="127"/>
      <c r="C24" s="127"/>
      <c r="H24" s="24"/>
      <c r="I24" s="24"/>
      <c r="J24" s="24"/>
    </row>
    <row r="25" spans="2:10" x14ac:dyDescent="0.25">
      <c r="B25" s="127"/>
      <c r="C25" s="127"/>
      <c r="H25" s="24"/>
      <c r="I25" s="24"/>
      <c r="J25" s="24"/>
    </row>
    <row r="26" spans="2:10" x14ac:dyDescent="0.25">
      <c r="B26" s="127"/>
      <c r="C26" s="127"/>
      <c r="H26" s="24"/>
      <c r="I26" s="24"/>
      <c r="J26" s="24"/>
    </row>
    <row r="27" spans="2:10" x14ac:dyDescent="0.25">
      <c r="B27" s="127"/>
      <c r="C27" s="127"/>
      <c r="H27" s="24"/>
      <c r="I27" s="24"/>
      <c r="J27" s="24"/>
    </row>
    <row r="28" spans="2:10" x14ac:dyDescent="0.25">
      <c r="B28" s="127"/>
      <c r="C28" s="127"/>
      <c r="H28" s="24"/>
      <c r="I28" s="24"/>
      <c r="J28" s="24"/>
    </row>
    <row r="29" spans="2:10" x14ac:dyDescent="0.25">
      <c r="B29" s="127"/>
      <c r="C29" s="127"/>
      <c r="H29" s="24"/>
      <c r="I29" s="24"/>
      <c r="J29" s="24"/>
    </row>
    <row r="30" spans="2:10" x14ac:dyDescent="0.25">
      <c r="B30" s="127"/>
      <c r="C30" s="127"/>
      <c r="H30" s="24"/>
      <c r="I30" s="24"/>
      <c r="J30" s="24"/>
    </row>
    <row r="31" spans="2:10" x14ac:dyDescent="0.25">
      <c r="B31" s="127"/>
      <c r="C31" s="127"/>
      <c r="H31" s="24"/>
      <c r="I31" s="24"/>
      <c r="J31" s="24"/>
    </row>
    <row r="32" spans="2:10" x14ac:dyDescent="0.25">
      <c r="B32" s="127"/>
      <c r="C32" s="127"/>
      <c r="H32" s="24"/>
      <c r="I32" s="24"/>
      <c r="J32" s="24"/>
    </row>
    <row r="33" spans="2:10" x14ac:dyDescent="0.25">
      <c r="B33" s="127"/>
      <c r="C33" s="127"/>
      <c r="H33" s="24"/>
      <c r="I33" s="24"/>
      <c r="J33" s="24"/>
    </row>
    <row r="34" spans="2:10" x14ac:dyDescent="0.25">
      <c r="B34" s="127"/>
      <c r="C34" s="127"/>
      <c r="H34" s="24"/>
      <c r="I34" s="24"/>
      <c r="J34" s="24"/>
    </row>
    <row r="35" spans="2:10" x14ac:dyDescent="0.25">
      <c r="B35" s="127"/>
      <c r="C35" s="127"/>
      <c r="H35" s="24"/>
      <c r="I35" s="24"/>
      <c r="J35" s="24"/>
    </row>
    <row r="36" spans="2:10" x14ac:dyDescent="0.25">
      <c r="B36" s="127"/>
      <c r="C36" s="127"/>
      <c r="H36" s="24"/>
      <c r="I36" s="24"/>
      <c r="J36" s="24"/>
    </row>
    <row r="37" spans="2:10" x14ac:dyDescent="0.25">
      <c r="B37" s="127"/>
      <c r="C37" s="127"/>
      <c r="H37" s="24"/>
      <c r="I37" s="24"/>
      <c r="J37" s="24"/>
    </row>
    <row r="38" spans="2:10" x14ac:dyDescent="0.25">
      <c r="B38" s="127"/>
      <c r="C38" s="127"/>
      <c r="H38" s="24"/>
      <c r="I38" s="24"/>
      <c r="J38" s="24"/>
    </row>
    <row r="39" spans="2:10" x14ac:dyDescent="0.25">
      <c r="B39" s="127"/>
      <c r="C39" s="127"/>
      <c r="H39" s="24"/>
      <c r="I39" s="24"/>
      <c r="J39" s="24"/>
    </row>
    <row r="40" spans="2:10" x14ac:dyDescent="0.25">
      <c r="B40" s="127"/>
      <c r="C40" s="127"/>
      <c r="H40" s="24"/>
      <c r="I40" s="24"/>
      <c r="J40" s="24"/>
    </row>
    <row r="41" spans="2:10" x14ac:dyDescent="0.25">
      <c r="B41" s="127"/>
      <c r="C41" s="127"/>
      <c r="H41" s="24"/>
      <c r="I41" s="24"/>
      <c r="J41" s="24"/>
    </row>
    <row r="42" spans="2:10" x14ac:dyDescent="0.25">
      <c r="B42" s="127"/>
      <c r="C42" s="127"/>
      <c r="H42" s="24"/>
      <c r="I42" s="24"/>
      <c r="J42" s="24"/>
    </row>
    <row r="43" spans="2:10" x14ac:dyDescent="0.25">
      <c r="B43" s="127"/>
      <c r="C43" s="127"/>
      <c r="H43" s="24"/>
      <c r="I43" s="24"/>
      <c r="J43" s="24"/>
    </row>
    <row r="44" spans="2:10" x14ac:dyDescent="0.25">
      <c r="B44" s="127"/>
      <c r="C44" s="127"/>
      <c r="H44" s="24"/>
      <c r="I44" s="24"/>
      <c r="J44" s="24"/>
    </row>
    <row r="45" spans="2:10" x14ac:dyDescent="0.25">
      <c r="B45" s="127"/>
      <c r="C45" s="127"/>
      <c r="H45" s="24"/>
      <c r="I45" s="24"/>
      <c r="J45" s="24"/>
    </row>
    <row r="46" spans="2:10" x14ac:dyDescent="0.25">
      <c r="B46" s="127"/>
      <c r="C46" s="127"/>
      <c r="H46" s="24"/>
      <c r="I46" s="24"/>
      <c r="J46" s="24"/>
    </row>
    <row r="47" spans="2:10" x14ac:dyDescent="0.25">
      <c r="B47" s="127"/>
      <c r="C47" s="127"/>
      <c r="H47" s="24"/>
      <c r="I47" s="24"/>
      <c r="J47" s="24"/>
    </row>
    <row r="48" spans="2:10" x14ac:dyDescent="0.25">
      <c r="B48" s="127"/>
      <c r="C48" s="127"/>
      <c r="H48" s="24"/>
      <c r="I48" s="24"/>
      <c r="J48" s="24"/>
    </row>
    <row r="49" spans="2:10" x14ac:dyDescent="0.25">
      <c r="B49" s="127"/>
      <c r="C49" s="127"/>
      <c r="H49" s="24"/>
      <c r="I49" s="24"/>
      <c r="J49" s="24"/>
    </row>
    <row r="50" spans="2:10" x14ac:dyDescent="0.25">
      <c r="B50" s="127"/>
      <c r="C50" s="127"/>
      <c r="H50" s="24"/>
      <c r="I50" s="24"/>
      <c r="J50" s="24"/>
    </row>
    <row r="51" spans="2:10" x14ac:dyDescent="0.25">
      <c r="B51" s="127"/>
      <c r="C51" s="127"/>
      <c r="H51" s="24"/>
      <c r="I51" s="24"/>
      <c r="J51" s="24"/>
    </row>
    <row r="52" spans="2:10" x14ac:dyDescent="0.25">
      <c r="B52" s="127"/>
      <c r="C52" s="127"/>
      <c r="H52" s="24"/>
      <c r="I52" s="24"/>
      <c r="J52" s="24"/>
    </row>
    <row r="53" spans="2:10" x14ac:dyDescent="0.25">
      <c r="B53" s="127"/>
      <c r="C53" s="127"/>
      <c r="H53" s="24"/>
      <c r="I53" s="24"/>
      <c r="J53" s="24"/>
    </row>
    <row r="54" spans="2:10" x14ac:dyDescent="0.25">
      <c r="B54" s="127"/>
      <c r="C54" s="127"/>
      <c r="H54" s="24"/>
      <c r="I54" s="24"/>
      <c r="J54" s="24"/>
    </row>
    <row r="55" spans="2:10" x14ac:dyDescent="0.25">
      <c r="B55" s="127"/>
      <c r="C55" s="127"/>
      <c r="H55" s="24"/>
      <c r="I55" s="24"/>
      <c r="J55" s="24"/>
    </row>
    <row r="56" spans="2:10" x14ac:dyDescent="0.25">
      <c r="B56" s="127"/>
      <c r="C56" s="127"/>
      <c r="H56" s="24"/>
      <c r="I56" s="24"/>
      <c r="J56" s="24"/>
    </row>
    <row r="57" spans="2:10" x14ac:dyDescent="0.25">
      <c r="B57" s="127"/>
      <c r="C57" s="127"/>
      <c r="H57" s="24"/>
      <c r="I57" s="24"/>
      <c r="J57" s="24"/>
    </row>
    <row r="58" spans="2:10" x14ac:dyDescent="0.25">
      <c r="B58" s="127"/>
      <c r="C58" s="127"/>
      <c r="H58" s="24"/>
      <c r="I58" s="24"/>
      <c r="J58" s="24"/>
    </row>
    <row r="59" spans="2:10" x14ac:dyDescent="0.25">
      <c r="B59" s="127"/>
      <c r="C59" s="127"/>
      <c r="H59" s="24"/>
      <c r="I59" s="24"/>
      <c r="J59" s="24"/>
    </row>
    <row r="60" spans="2:10" x14ac:dyDescent="0.25">
      <c r="B60" s="127"/>
      <c r="C60" s="127"/>
      <c r="H60" s="24"/>
      <c r="I60" s="24"/>
      <c r="J60" s="24"/>
    </row>
    <row r="61" spans="2:10" x14ac:dyDescent="0.25">
      <c r="B61" s="127"/>
      <c r="C61" s="127"/>
      <c r="H61" s="24"/>
      <c r="I61" s="24"/>
      <c r="J61" s="24"/>
    </row>
    <row r="62" spans="2:10" x14ac:dyDescent="0.25">
      <c r="B62" s="127"/>
      <c r="C62" s="127"/>
      <c r="H62" s="24"/>
      <c r="I62" s="24"/>
      <c r="J62" s="24"/>
    </row>
    <row r="63" spans="2:10" x14ac:dyDescent="0.25">
      <c r="B63" s="127"/>
      <c r="C63" s="127"/>
      <c r="H63" s="24"/>
      <c r="I63" s="24"/>
      <c r="J63" s="24"/>
    </row>
    <row r="64" spans="2:10" x14ac:dyDescent="0.25">
      <c r="B64" s="127"/>
      <c r="C64" s="127"/>
      <c r="H64" s="24"/>
      <c r="I64" s="24"/>
      <c r="J64" s="24"/>
    </row>
    <row r="65" spans="2:10" x14ac:dyDescent="0.25">
      <c r="B65" s="127"/>
      <c r="C65" s="127"/>
      <c r="H65" s="24"/>
      <c r="I65" s="24"/>
      <c r="J65" s="24"/>
    </row>
    <row r="66" spans="2:10" x14ac:dyDescent="0.25">
      <c r="B66" s="127"/>
      <c r="C66" s="127"/>
      <c r="H66" s="24"/>
      <c r="I66" s="24"/>
      <c r="J66" s="24"/>
    </row>
    <row r="67" spans="2:10" x14ac:dyDescent="0.25">
      <c r="B67" s="127"/>
      <c r="C67" s="127"/>
      <c r="H67" s="24"/>
      <c r="I67" s="24"/>
      <c r="J67" s="24"/>
    </row>
    <row r="68" spans="2:10" x14ac:dyDescent="0.25">
      <c r="B68" s="127"/>
      <c r="C68" s="127"/>
      <c r="H68" s="24"/>
      <c r="I68" s="24"/>
      <c r="J68" s="24"/>
    </row>
    <row r="69" spans="2:10" x14ac:dyDescent="0.25">
      <c r="B69" s="127"/>
      <c r="C69" s="127"/>
      <c r="H69" s="24"/>
      <c r="I69" s="24"/>
      <c r="J69" s="24"/>
    </row>
    <row r="70" spans="2:10" x14ac:dyDescent="0.25">
      <c r="B70" s="127"/>
      <c r="C70" s="127"/>
      <c r="H70" s="24"/>
      <c r="I70" s="24"/>
      <c r="J70" s="24"/>
    </row>
    <row r="71" spans="2:10" x14ac:dyDescent="0.25">
      <c r="B71" s="127"/>
      <c r="C71" s="127"/>
      <c r="H71" s="24"/>
      <c r="I71" s="24"/>
      <c r="J71" s="24"/>
    </row>
    <row r="72" spans="2:10" x14ac:dyDescent="0.25">
      <c r="B72" s="127"/>
      <c r="C72" s="127"/>
      <c r="H72" s="24"/>
      <c r="I72" s="24"/>
      <c r="J72" s="24"/>
    </row>
    <row r="73" spans="2:10" x14ac:dyDescent="0.25">
      <c r="B73" s="127"/>
      <c r="C73" s="127"/>
      <c r="H73" s="24"/>
      <c r="I73" s="24"/>
      <c r="J73" s="24"/>
    </row>
    <row r="74" spans="2:10" x14ac:dyDescent="0.25">
      <c r="B74" s="127"/>
      <c r="C74" s="127"/>
      <c r="H74" s="24"/>
      <c r="I74" s="24"/>
      <c r="J74" s="24"/>
    </row>
    <row r="75" spans="2:10" x14ac:dyDescent="0.25">
      <c r="B75" s="127"/>
      <c r="C75" s="127"/>
      <c r="H75" s="24"/>
      <c r="I75" s="24"/>
      <c r="J75" s="24"/>
    </row>
    <row r="76" spans="2:10" x14ac:dyDescent="0.25">
      <c r="B76" s="127"/>
      <c r="C76" s="127"/>
      <c r="H76" s="24"/>
      <c r="I76" s="24"/>
      <c r="J76" s="24"/>
    </row>
    <row r="77" spans="2:10" x14ac:dyDescent="0.25">
      <c r="B77" s="127"/>
      <c r="C77" s="127"/>
      <c r="H77" s="24"/>
      <c r="I77" s="24"/>
      <c r="J77" s="24"/>
    </row>
    <row r="78" spans="2:10" x14ac:dyDescent="0.25">
      <c r="B78" s="127"/>
      <c r="C78" s="127"/>
      <c r="H78" s="24"/>
      <c r="I78" s="24"/>
      <c r="J78" s="24"/>
    </row>
    <row r="79" spans="2:10" x14ac:dyDescent="0.25">
      <c r="B79" s="127"/>
      <c r="C79" s="127"/>
      <c r="H79" s="24"/>
      <c r="I79" s="24"/>
      <c r="J79" s="24"/>
    </row>
    <row r="80" spans="2:10" x14ac:dyDescent="0.25">
      <c r="B80" s="127"/>
      <c r="C80" s="127"/>
      <c r="H80" s="24"/>
      <c r="I80" s="24"/>
      <c r="J80" s="24"/>
    </row>
    <row r="81" spans="2:10" x14ac:dyDescent="0.25">
      <c r="B81" s="127"/>
      <c r="C81" s="127"/>
      <c r="H81" s="24"/>
      <c r="I81" s="24"/>
      <c r="J81" s="24"/>
    </row>
    <row r="82" spans="2:10" x14ac:dyDescent="0.25">
      <c r="B82" s="127"/>
      <c r="C82" s="127"/>
      <c r="H82" s="24"/>
      <c r="I82" s="24"/>
      <c r="J82" s="24"/>
    </row>
    <row r="83" spans="2:10" x14ac:dyDescent="0.25">
      <c r="B83" s="127"/>
      <c r="C83" s="127"/>
      <c r="H83" s="24"/>
      <c r="I83" s="24"/>
      <c r="J83" s="24"/>
    </row>
    <row r="84" spans="2:10" x14ac:dyDescent="0.25">
      <c r="B84" s="127"/>
      <c r="C84" s="127"/>
      <c r="H84" s="24"/>
      <c r="I84" s="24"/>
      <c r="J84" s="24"/>
    </row>
    <row r="85" spans="2:10" x14ac:dyDescent="0.25">
      <c r="B85" s="127"/>
      <c r="C85" s="127"/>
      <c r="H85" s="24"/>
      <c r="I85" s="24"/>
      <c r="J85" s="24"/>
    </row>
    <row r="86" spans="2:10" x14ac:dyDescent="0.25">
      <c r="B86" s="127"/>
      <c r="C86" s="127"/>
      <c r="H86" s="24"/>
      <c r="I86" s="24"/>
      <c r="J86" s="24"/>
    </row>
    <row r="87" spans="2:10" x14ac:dyDescent="0.25">
      <c r="B87" s="127"/>
      <c r="C87" s="127"/>
      <c r="H87" s="24"/>
      <c r="I87" s="24"/>
      <c r="J87" s="24"/>
    </row>
    <row r="88" spans="2:10" x14ac:dyDescent="0.25">
      <c r="B88" s="127"/>
      <c r="C88" s="127"/>
      <c r="H88" s="24"/>
      <c r="I88" s="24"/>
      <c r="J88" s="24"/>
    </row>
    <row r="89" spans="2:10" x14ac:dyDescent="0.25">
      <c r="B89" s="127"/>
      <c r="C89" s="127"/>
      <c r="H89" s="24"/>
      <c r="I89" s="24"/>
      <c r="J89" s="24"/>
    </row>
    <row r="90" spans="2:10" x14ac:dyDescent="0.25">
      <c r="B90" s="127"/>
      <c r="C90" s="127"/>
      <c r="H90" s="24"/>
      <c r="I90" s="24"/>
      <c r="J90" s="24"/>
    </row>
    <row r="91" spans="2:10" x14ac:dyDescent="0.25">
      <c r="B91" s="127"/>
      <c r="C91" s="127"/>
      <c r="H91" s="24"/>
      <c r="I91" s="24"/>
      <c r="J91" s="24"/>
    </row>
    <row r="92" spans="2:10" x14ac:dyDescent="0.25">
      <c r="B92" s="127"/>
      <c r="C92" s="127"/>
      <c r="H92" s="24"/>
      <c r="I92" s="24"/>
      <c r="J92" s="24"/>
    </row>
    <row r="93" spans="2:10" x14ac:dyDescent="0.25">
      <c r="B93" s="127"/>
      <c r="C93" s="127"/>
      <c r="H93" s="24"/>
      <c r="I93" s="24"/>
      <c r="J93" s="24"/>
    </row>
    <row r="94" spans="2:10" x14ac:dyDescent="0.25">
      <c r="B94" s="127"/>
      <c r="C94" s="127"/>
      <c r="H94" s="24"/>
      <c r="I94" s="24"/>
      <c r="J94" s="24"/>
    </row>
    <row r="95" spans="2:10" x14ac:dyDescent="0.25">
      <c r="B95" s="127"/>
      <c r="C95" s="127"/>
      <c r="H95" s="24"/>
      <c r="I95" s="24"/>
      <c r="J95" s="24"/>
    </row>
    <row r="96" spans="2:10" x14ac:dyDescent="0.25">
      <c r="B96" s="127"/>
      <c r="C96" s="127"/>
      <c r="H96" s="24"/>
      <c r="I96" s="24"/>
      <c r="J96" s="24"/>
    </row>
    <row r="97" spans="2:10" x14ac:dyDescent="0.25">
      <c r="B97" s="127"/>
      <c r="C97" s="127"/>
      <c r="H97" s="24"/>
      <c r="I97" s="24"/>
      <c r="J97" s="24"/>
    </row>
    <row r="98" spans="2:10" x14ac:dyDescent="0.25">
      <c r="B98" s="127"/>
      <c r="C98" s="127"/>
      <c r="H98" s="24"/>
      <c r="I98" s="24"/>
      <c r="J98" s="24"/>
    </row>
    <row r="99" spans="2:10" x14ac:dyDescent="0.25">
      <c r="B99" s="127"/>
      <c r="C99" s="127"/>
      <c r="H99" s="24"/>
      <c r="I99" s="24"/>
      <c r="J99" s="24"/>
    </row>
    <row r="100" spans="2:10" x14ac:dyDescent="0.25">
      <c r="B100" s="127"/>
      <c r="C100" s="127"/>
      <c r="H100" s="24"/>
      <c r="I100" s="24"/>
      <c r="J100" s="24"/>
    </row>
    <row r="101" spans="2:10" x14ac:dyDescent="0.25">
      <c r="B101" s="127"/>
      <c r="C101" s="127"/>
      <c r="H101" s="24"/>
      <c r="I101" s="24"/>
      <c r="J101" s="24"/>
    </row>
    <row r="102" spans="2:10" x14ac:dyDescent="0.25">
      <c r="B102" s="127"/>
      <c r="C102" s="127"/>
      <c r="H102" s="24"/>
      <c r="I102" s="24"/>
      <c r="J102" s="24"/>
    </row>
    <row r="103" spans="2:10" x14ac:dyDescent="0.25">
      <c r="B103" s="127"/>
      <c r="C103" s="127"/>
      <c r="H103" s="24"/>
      <c r="I103" s="24"/>
      <c r="J103" s="24"/>
    </row>
    <row r="104" spans="2:10" x14ac:dyDescent="0.25">
      <c r="B104" s="127"/>
      <c r="C104" s="127"/>
      <c r="H104" s="24"/>
      <c r="I104" s="24"/>
      <c r="J104" s="24"/>
    </row>
    <row r="105" spans="2:10" x14ac:dyDescent="0.25">
      <c r="B105" s="127"/>
      <c r="C105" s="127"/>
      <c r="H105" s="24"/>
      <c r="I105" s="24"/>
      <c r="J105" s="24"/>
    </row>
    <row r="106" spans="2:10" x14ac:dyDescent="0.25">
      <c r="B106" s="127"/>
      <c r="C106" s="127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42594.037106481483</v>
      </c>
      <c r="B1" s="24" t="s">
        <v>246</v>
      </c>
      <c r="C1" s="24" t="s">
        <v>232</v>
      </c>
      <c r="D1" s="24">
        <v>2000000</v>
      </c>
      <c r="E1" s="24" t="s">
        <v>205</v>
      </c>
      <c r="F1" s="24" t="str">
        <f>B1</f>
        <v>rtdc.l.rtdc.4028:itc</v>
      </c>
      <c r="G1" s="8">
        <f>A1</f>
        <v>42594.037106481483</v>
      </c>
    </row>
    <row r="2" spans="1:7" x14ac:dyDescent="0.25">
      <c r="A2" s="8">
        <v>42594.050092592595</v>
      </c>
      <c r="B2" s="24" t="s">
        <v>121</v>
      </c>
      <c r="C2" s="24" t="s">
        <v>234</v>
      </c>
      <c r="D2" s="24">
        <v>1480000</v>
      </c>
      <c r="E2" s="24" t="s">
        <v>165</v>
      </c>
      <c r="F2" s="24" t="str">
        <f t="shared" ref="F2:F65" si="0">B2</f>
        <v>rtdc.l.rtdc.4014:itc</v>
      </c>
      <c r="G2" s="8">
        <f t="shared" ref="G2:G65" si="1">A2</f>
        <v>42594.050092592595</v>
      </c>
    </row>
    <row r="3" spans="1:7" x14ac:dyDescent="0.25">
      <c r="A3" s="8">
        <v>42594.057476851849</v>
      </c>
      <c r="B3" s="24" t="s">
        <v>94</v>
      </c>
      <c r="C3" s="24" t="s">
        <v>233</v>
      </c>
      <c r="D3" s="24">
        <v>2100000</v>
      </c>
      <c r="E3" s="24" t="s">
        <v>169</v>
      </c>
      <c r="F3" s="24" t="str">
        <f t="shared" si="0"/>
        <v>rtdc.l.rtdc.4026:itc</v>
      </c>
      <c r="G3" s="8">
        <f t="shared" si="1"/>
        <v>42594.057476851849</v>
      </c>
    </row>
    <row r="4" spans="1:7" x14ac:dyDescent="0.25">
      <c r="A4" s="8">
        <v>42594.06790509259</v>
      </c>
      <c r="B4" s="24" t="s">
        <v>99</v>
      </c>
      <c r="C4" s="24" t="s">
        <v>258</v>
      </c>
      <c r="D4" s="24">
        <v>2000000</v>
      </c>
      <c r="E4" s="24" t="s">
        <v>205</v>
      </c>
      <c r="F4" s="24" t="str">
        <f t="shared" si="0"/>
        <v>rtdc.l.rtdc.4027:itc</v>
      </c>
      <c r="G4" s="8">
        <f t="shared" si="1"/>
        <v>42594.06790509259</v>
      </c>
    </row>
    <row r="5" spans="1:7" x14ac:dyDescent="0.25">
      <c r="A5" s="8">
        <v>42594.088125000002</v>
      </c>
      <c r="B5" s="24" t="s">
        <v>96</v>
      </c>
      <c r="C5" s="24" t="s">
        <v>235</v>
      </c>
      <c r="D5" s="24">
        <v>2100000</v>
      </c>
      <c r="E5" s="24" t="s">
        <v>169</v>
      </c>
      <c r="F5" s="24" t="str">
        <f t="shared" si="0"/>
        <v>rtdc.l.rtdc.4025:itc</v>
      </c>
      <c r="G5" s="8">
        <f t="shared" si="1"/>
        <v>42594.088125000002</v>
      </c>
    </row>
    <row r="6" spans="1:7" x14ac:dyDescent="0.25">
      <c r="A6" s="8">
        <v>42594.128750000003</v>
      </c>
      <c r="B6" s="24" t="s">
        <v>255</v>
      </c>
      <c r="C6" s="24" t="s">
        <v>261</v>
      </c>
      <c r="D6" s="24">
        <v>2010000</v>
      </c>
      <c r="E6" s="24" t="s">
        <v>204</v>
      </c>
      <c r="F6" s="24" t="str">
        <f t="shared" si="0"/>
        <v>rtdc.l.rtdc.4038:itc</v>
      </c>
      <c r="G6" s="8">
        <f t="shared" si="1"/>
        <v>42594.128750000003</v>
      </c>
    </row>
    <row r="7" spans="1:7" x14ac:dyDescent="0.25">
      <c r="A7" s="8">
        <v>42594.155092592591</v>
      </c>
      <c r="B7" s="24" t="s">
        <v>97</v>
      </c>
      <c r="C7" s="24" t="s">
        <v>266</v>
      </c>
      <c r="D7" s="24">
        <v>1990000</v>
      </c>
      <c r="E7" s="24" t="s">
        <v>659</v>
      </c>
      <c r="F7" s="24" t="str">
        <f t="shared" si="0"/>
        <v>rtdc.l.rtdc.4029:itc</v>
      </c>
      <c r="G7" s="8">
        <f t="shared" si="1"/>
        <v>42594.155092592591</v>
      </c>
    </row>
    <row r="8" spans="1:7" x14ac:dyDescent="0.25">
      <c r="A8" s="8">
        <v>42594.17564814815</v>
      </c>
      <c r="B8" s="24" t="s">
        <v>123</v>
      </c>
      <c r="C8" s="24" t="s">
        <v>269</v>
      </c>
      <c r="D8" s="24">
        <v>1310000</v>
      </c>
      <c r="E8" s="24" t="s">
        <v>251</v>
      </c>
      <c r="F8" s="24" t="str">
        <f t="shared" si="0"/>
        <v>rtdc.l.rtdc.4031:itc</v>
      </c>
      <c r="G8" s="8">
        <f t="shared" si="1"/>
        <v>42594.17564814815</v>
      </c>
    </row>
    <row r="9" spans="1:7" ht="15.75" thickBot="1" x14ac:dyDescent="0.3">
      <c r="A9" s="28">
        <v>42594.178506944445</v>
      </c>
      <c r="B9" s="24" t="s">
        <v>64</v>
      </c>
      <c r="C9" s="24" t="s">
        <v>264</v>
      </c>
      <c r="D9" s="24">
        <v>2010000</v>
      </c>
      <c r="E9" s="24" t="s">
        <v>204</v>
      </c>
      <c r="F9" s="24" t="str">
        <f t="shared" si="0"/>
        <v>rtdc.l.rtdc.4017:itc</v>
      </c>
      <c r="G9" s="8">
        <f t="shared" si="1"/>
        <v>42594.178506944445</v>
      </c>
    </row>
    <row r="10" spans="1:7" x14ac:dyDescent="0.25">
      <c r="A10" s="8">
        <v>42594.185046296298</v>
      </c>
      <c r="B10" s="24" t="s">
        <v>121</v>
      </c>
      <c r="C10" s="24" t="s">
        <v>273</v>
      </c>
      <c r="D10" s="24">
        <v>1190000</v>
      </c>
      <c r="E10" s="24" t="s">
        <v>184</v>
      </c>
      <c r="F10" s="24" t="str">
        <f t="shared" si="0"/>
        <v>rtdc.l.rtdc.4014:itc</v>
      </c>
      <c r="G10" s="8">
        <f t="shared" si="1"/>
        <v>42594.185046296298</v>
      </c>
    </row>
    <row r="11" spans="1:7" x14ac:dyDescent="0.25">
      <c r="A11" s="8">
        <v>42594.191087962965</v>
      </c>
      <c r="B11" s="24" t="s">
        <v>656</v>
      </c>
      <c r="C11" s="24" t="s">
        <v>660</v>
      </c>
      <c r="D11" s="24">
        <v>1990000</v>
      </c>
      <c r="E11" s="24" t="s">
        <v>659</v>
      </c>
      <c r="F11" s="24" t="str">
        <f t="shared" si="0"/>
        <v>rtdc.l.rtdc.4019:itc</v>
      </c>
      <c r="G11" s="8">
        <f t="shared" si="1"/>
        <v>42594.191087962965</v>
      </c>
    </row>
    <row r="12" spans="1:7" x14ac:dyDescent="0.25">
      <c r="A12" s="8">
        <v>42594.191365740742</v>
      </c>
      <c r="B12" s="24" t="s">
        <v>99</v>
      </c>
      <c r="C12" s="24" t="s">
        <v>276</v>
      </c>
      <c r="D12" s="24">
        <v>2110000</v>
      </c>
      <c r="E12" s="24" t="s">
        <v>164</v>
      </c>
      <c r="F12" s="24" t="str">
        <f t="shared" si="0"/>
        <v>rtdc.l.rtdc.4027:itc</v>
      </c>
      <c r="G12" s="8">
        <f t="shared" si="1"/>
        <v>42594.191365740742</v>
      </c>
    </row>
    <row r="13" spans="1:7" x14ac:dyDescent="0.25">
      <c r="A13" s="8">
        <v>42594.192210648151</v>
      </c>
      <c r="B13" s="24" t="s">
        <v>656</v>
      </c>
      <c r="C13" s="24" t="s">
        <v>660</v>
      </c>
      <c r="D13" s="24">
        <v>1990000</v>
      </c>
      <c r="E13" s="24" t="s">
        <v>659</v>
      </c>
      <c r="F13" s="24" t="str">
        <f t="shared" si="0"/>
        <v>rtdc.l.rtdc.4019:itc</v>
      </c>
      <c r="G13" s="8">
        <f t="shared" si="1"/>
        <v>42594.192210648151</v>
      </c>
    </row>
    <row r="14" spans="1:7" x14ac:dyDescent="0.25">
      <c r="A14" s="8">
        <v>42594.193738425929</v>
      </c>
      <c r="B14" s="24" t="s">
        <v>656</v>
      </c>
      <c r="C14" s="24" t="s">
        <v>660</v>
      </c>
      <c r="D14" s="24">
        <v>1990000</v>
      </c>
      <c r="E14" s="24" t="s">
        <v>659</v>
      </c>
      <c r="F14" s="24" t="str">
        <f t="shared" si="0"/>
        <v>rtdc.l.rtdc.4019:itc</v>
      </c>
      <c r="G14" s="8">
        <f t="shared" si="1"/>
        <v>42594.193738425929</v>
      </c>
    </row>
    <row r="15" spans="1:7" x14ac:dyDescent="0.25">
      <c r="A15" s="8">
        <v>42594.197291666664</v>
      </c>
      <c r="B15" s="24" t="s">
        <v>247</v>
      </c>
      <c r="C15" s="24" t="s">
        <v>661</v>
      </c>
      <c r="D15" s="24">
        <v>1760000</v>
      </c>
      <c r="E15" s="24" t="s">
        <v>252</v>
      </c>
      <c r="F15" s="24" t="str">
        <f t="shared" si="0"/>
        <v>rtdc.l.rtdc.4042:itc</v>
      </c>
      <c r="G15" s="8">
        <f t="shared" si="1"/>
        <v>42594.197291666664</v>
      </c>
    </row>
    <row r="16" spans="1:7" x14ac:dyDescent="0.25">
      <c r="A16" s="8">
        <v>42594.20689814815</v>
      </c>
      <c r="B16" s="24" t="s">
        <v>656</v>
      </c>
      <c r="C16" s="24" t="s">
        <v>660</v>
      </c>
      <c r="D16" s="24">
        <v>1990000</v>
      </c>
      <c r="E16" s="24" t="s">
        <v>659</v>
      </c>
      <c r="F16" s="24" t="str">
        <f t="shared" si="0"/>
        <v>rtdc.l.rtdc.4019:itc</v>
      </c>
      <c r="G16" s="8">
        <f t="shared" si="1"/>
        <v>42594.20689814815</v>
      </c>
    </row>
    <row r="17" spans="1:7" x14ac:dyDescent="0.25">
      <c r="A17" s="8">
        <v>42594.207627314812</v>
      </c>
      <c r="B17" s="24" t="s">
        <v>656</v>
      </c>
      <c r="C17" s="24" t="s">
        <v>660</v>
      </c>
      <c r="D17" s="24">
        <v>1990000</v>
      </c>
      <c r="E17" s="24" t="s">
        <v>659</v>
      </c>
      <c r="F17" s="24" t="str">
        <f t="shared" si="0"/>
        <v>rtdc.l.rtdc.4019:itc</v>
      </c>
      <c r="G17" s="8">
        <f t="shared" si="1"/>
        <v>42594.207627314812</v>
      </c>
    </row>
    <row r="18" spans="1:7" x14ac:dyDescent="0.25">
      <c r="A18" s="8">
        <v>42594.208356481482</v>
      </c>
      <c r="B18" s="24" t="s">
        <v>249</v>
      </c>
      <c r="C18" s="24" t="s">
        <v>534</v>
      </c>
      <c r="D18" s="24">
        <v>1760000</v>
      </c>
      <c r="E18" s="24" t="s">
        <v>252</v>
      </c>
      <c r="F18" s="24" t="str">
        <f t="shared" si="0"/>
        <v>rtdc.l.rtdc.4041:itc</v>
      </c>
      <c r="G18" s="8">
        <f t="shared" si="1"/>
        <v>42594.208356481482</v>
      </c>
    </row>
    <row r="19" spans="1:7" x14ac:dyDescent="0.25">
      <c r="A19" s="8">
        <v>42594.211828703701</v>
      </c>
      <c r="B19" s="24" t="s">
        <v>652</v>
      </c>
      <c r="C19" s="24" t="s">
        <v>271</v>
      </c>
      <c r="D19" s="24">
        <v>1310000</v>
      </c>
      <c r="E19" s="24" t="s">
        <v>251</v>
      </c>
      <c r="F19" s="24" t="str">
        <f t="shared" si="0"/>
        <v>rtdc.l.rtdc.4008:itc</v>
      </c>
      <c r="G19" s="8">
        <f t="shared" si="1"/>
        <v>42594.211828703701</v>
      </c>
    </row>
    <row r="20" spans="1:7" x14ac:dyDescent="0.25">
      <c r="A20" s="8">
        <v>42594.212881944448</v>
      </c>
      <c r="B20" s="24" t="s">
        <v>652</v>
      </c>
      <c r="C20" s="24" t="s">
        <v>271</v>
      </c>
      <c r="D20" s="24">
        <v>1310000</v>
      </c>
      <c r="E20" s="24" t="s">
        <v>251</v>
      </c>
      <c r="F20" s="24" t="str">
        <f t="shared" si="0"/>
        <v>rtdc.l.rtdc.4008:itc</v>
      </c>
      <c r="G20" s="8">
        <f t="shared" si="1"/>
        <v>42594.212881944448</v>
      </c>
    </row>
    <row r="21" spans="1:7" x14ac:dyDescent="0.25">
      <c r="A21" s="8">
        <v>42594.215543981481</v>
      </c>
      <c r="B21" s="24" t="s">
        <v>95</v>
      </c>
      <c r="C21" s="24" t="s">
        <v>274</v>
      </c>
      <c r="D21" s="24">
        <v>1190000</v>
      </c>
      <c r="E21" s="24" t="s">
        <v>184</v>
      </c>
      <c r="F21" s="24" t="str">
        <f t="shared" si="0"/>
        <v>rtdc.l.rtdc.4013:itc</v>
      </c>
      <c r="G21" s="8">
        <f t="shared" si="1"/>
        <v>42594.215543981481</v>
      </c>
    </row>
    <row r="22" spans="1:7" x14ac:dyDescent="0.25">
      <c r="A22" s="30">
        <v>42594.217233796298</v>
      </c>
      <c r="B22" s="24" t="s">
        <v>255</v>
      </c>
      <c r="C22" s="24" t="s">
        <v>278</v>
      </c>
      <c r="D22" s="24">
        <v>1090000</v>
      </c>
      <c r="E22" s="24" t="s">
        <v>662</v>
      </c>
      <c r="F22" s="24" t="str">
        <f t="shared" si="0"/>
        <v>rtdc.l.rtdc.4038:itc</v>
      </c>
      <c r="G22" s="8">
        <f t="shared" si="1"/>
        <v>42594.217233796298</v>
      </c>
    </row>
    <row r="23" spans="1:7" x14ac:dyDescent="0.25">
      <c r="A23" s="8">
        <v>42594.217476851853</v>
      </c>
      <c r="B23" s="24" t="s">
        <v>658</v>
      </c>
      <c r="C23" s="24" t="s">
        <v>283</v>
      </c>
      <c r="D23" s="24">
        <v>2010000</v>
      </c>
      <c r="E23" s="24" t="s">
        <v>204</v>
      </c>
      <c r="F23" s="24" t="str">
        <f t="shared" si="0"/>
        <v>rtdc.l.rtdc.4018:itc</v>
      </c>
      <c r="G23" s="8">
        <f t="shared" si="1"/>
        <v>42594.217476851853</v>
      </c>
    </row>
    <row r="24" spans="1:7" x14ac:dyDescent="0.25">
      <c r="A24" s="8">
        <v>42594.231539351851</v>
      </c>
      <c r="B24" s="24" t="s">
        <v>97</v>
      </c>
      <c r="C24" s="24" t="s">
        <v>286</v>
      </c>
      <c r="D24" s="24">
        <v>900000</v>
      </c>
      <c r="E24" s="24" t="s">
        <v>183</v>
      </c>
      <c r="F24" s="24" t="str">
        <f t="shared" si="0"/>
        <v>rtdc.l.rtdc.4029:itc</v>
      </c>
      <c r="G24" s="8">
        <f t="shared" si="1"/>
        <v>42594.231539351851</v>
      </c>
    </row>
    <row r="25" spans="1:7" x14ac:dyDescent="0.25">
      <c r="A25" s="8">
        <v>42594.233935185184</v>
      </c>
      <c r="B25" s="24" t="s">
        <v>246</v>
      </c>
      <c r="C25" s="24" t="s">
        <v>277</v>
      </c>
      <c r="D25" s="24">
        <v>2110000</v>
      </c>
      <c r="E25" s="24" t="s">
        <v>164</v>
      </c>
      <c r="F25" s="24" t="str">
        <f t="shared" si="0"/>
        <v>rtdc.l.rtdc.4028:itc</v>
      </c>
      <c r="G25" s="8">
        <f t="shared" si="1"/>
        <v>42594.233935185184</v>
      </c>
    </row>
    <row r="26" spans="1:7" x14ac:dyDescent="0.25">
      <c r="A26" s="8">
        <v>42594.23605324074</v>
      </c>
      <c r="B26" s="24" t="s">
        <v>247</v>
      </c>
      <c r="C26" s="24" t="s">
        <v>537</v>
      </c>
      <c r="D26" s="24">
        <v>1760000</v>
      </c>
      <c r="E26" s="24" t="s">
        <v>252</v>
      </c>
      <c r="F26" s="24" t="str">
        <f t="shared" si="0"/>
        <v>rtdc.l.rtdc.4042:itc</v>
      </c>
      <c r="G26" s="8">
        <f t="shared" si="1"/>
        <v>42594.23605324074</v>
      </c>
    </row>
    <row r="27" spans="1:7" x14ac:dyDescent="0.25">
      <c r="A27" s="8">
        <v>42594.237951388888</v>
      </c>
      <c r="B27" s="24" t="s">
        <v>653</v>
      </c>
      <c r="C27" s="24" t="s">
        <v>290</v>
      </c>
      <c r="D27" s="24">
        <v>1990000</v>
      </c>
      <c r="E27" s="24" t="s">
        <v>659</v>
      </c>
      <c r="F27" s="24" t="str">
        <f t="shared" si="0"/>
        <v>rtdc.l.rtdc.4020:itc</v>
      </c>
      <c r="G27" s="8">
        <f t="shared" si="1"/>
        <v>42594.237951388888</v>
      </c>
    </row>
    <row r="28" spans="1:7" x14ac:dyDescent="0.25">
      <c r="A28" s="8">
        <v>42594.239212962966</v>
      </c>
      <c r="B28" s="24" t="s">
        <v>653</v>
      </c>
      <c r="C28" s="24" t="s">
        <v>290</v>
      </c>
      <c r="D28" s="24">
        <v>630000</v>
      </c>
      <c r="E28" s="24" t="b">
        <v>1</v>
      </c>
      <c r="F28" s="24" t="str">
        <f t="shared" si="0"/>
        <v>rtdc.l.rtdc.4020:itc</v>
      </c>
      <c r="G28" s="8">
        <f t="shared" si="1"/>
        <v>42594.239212962966</v>
      </c>
    </row>
    <row r="29" spans="1:7" x14ac:dyDescent="0.25">
      <c r="A29" s="8">
        <v>42594.240960648145</v>
      </c>
      <c r="B29" s="24" t="s">
        <v>653</v>
      </c>
      <c r="C29" s="24" t="s">
        <v>290</v>
      </c>
      <c r="D29" s="24">
        <v>630000</v>
      </c>
      <c r="E29" s="24" t="b">
        <v>1</v>
      </c>
      <c r="F29" s="24" t="str">
        <f t="shared" si="0"/>
        <v>rtdc.l.rtdc.4020:itc</v>
      </c>
      <c r="G29" s="8">
        <f t="shared" si="1"/>
        <v>42594.240960648145</v>
      </c>
    </row>
    <row r="30" spans="1:7" x14ac:dyDescent="0.25">
      <c r="A30" s="8">
        <v>42594.247013888889</v>
      </c>
      <c r="B30" s="24" t="s">
        <v>206</v>
      </c>
      <c r="C30" s="24" t="s">
        <v>280</v>
      </c>
      <c r="D30" s="24">
        <v>1090000</v>
      </c>
      <c r="E30" s="24" t="s">
        <v>662</v>
      </c>
      <c r="F30" s="24" t="str">
        <f t="shared" si="0"/>
        <v>rtdc.l.rtdc.4037:itc</v>
      </c>
      <c r="G30" s="8">
        <f t="shared" si="1"/>
        <v>42594.247013888889</v>
      </c>
    </row>
    <row r="31" spans="1:7" x14ac:dyDescent="0.25">
      <c r="A31" s="8">
        <v>42594.24790509259</v>
      </c>
      <c r="B31" s="24" t="s">
        <v>653</v>
      </c>
      <c r="C31" s="24" t="s">
        <v>290</v>
      </c>
      <c r="D31" s="24">
        <v>630000</v>
      </c>
      <c r="E31" s="24" t="b">
        <v>1</v>
      </c>
      <c r="F31" s="24" t="str">
        <f t="shared" si="0"/>
        <v>rtdc.l.rtdc.4020:itc</v>
      </c>
      <c r="G31" s="8">
        <f t="shared" si="1"/>
        <v>42594.24790509259</v>
      </c>
    </row>
    <row r="32" spans="1:7" x14ac:dyDescent="0.25">
      <c r="A32" s="8">
        <v>42594.249178240738</v>
      </c>
      <c r="B32" s="24" t="s">
        <v>123</v>
      </c>
      <c r="C32" s="24" t="s">
        <v>295</v>
      </c>
      <c r="D32" s="24">
        <v>1310000</v>
      </c>
      <c r="E32" s="24" t="s">
        <v>251</v>
      </c>
      <c r="F32" s="24" t="str">
        <f t="shared" si="0"/>
        <v>rtdc.l.rtdc.4031:itc</v>
      </c>
      <c r="G32" s="8">
        <f t="shared" si="1"/>
        <v>42594.249178240738</v>
      </c>
    </row>
    <row r="33" spans="1:7" x14ac:dyDescent="0.25">
      <c r="A33" s="8">
        <v>42594.2499537037</v>
      </c>
      <c r="B33" s="24" t="s">
        <v>123</v>
      </c>
      <c r="C33" s="24" t="s">
        <v>295</v>
      </c>
      <c r="D33" s="24">
        <v>1310000</v>
      </c>
      <c r="E33" s="24" t="s">
        <v>251</v>
      </c>
      <c r="F33" s="24" t="str">
        <f t="shared" si="0"/>
        <v>rtdc.l.rtdc.4031:itc</v>
      </c>
      <c r="G33" s="8">
        <f t="shared" si="1"/>
        <v>42594.2499537037</v>
      </c>
    </row>
    <row r="34" spans="1:7" x14ac:dyDescent="0.25">
      <c r="A34" s="8">
        <v>42594.250497685185</v>
      </c>
      <c r="B34" s="24" t="s">
        <v>123</v>
      </c>
      <c r="C34" s="24" t="s">
        <v>295</v>
      </c>
      <c r="D34" s="24">
        <v>1310000</v>
      </c>
      <c r="E34" s="24" t="s">
        <v>251</v>
      </c>
      <c r="F34" s="24" t="str">
        <f t="shared" si="0"/>
        <v>rtdc.l.rtdc.4031:itc</v>
      </c>
      <c r="G34" s="8">
        <f t="shared" si="1"/>
        <v>42594.250497685185</v>
      </c>
    </row>
    <row r="35" spans="1:7" x14ac:dyDescent="0.25">
      <c r="A35" s="8">
        <v>42594.255543981482</v>
      </c>
      <c r="B35" s="24" t="s">
        <v>121</v>
      </c>
      <c r="C35" s="24" t="s">
        <v>298</v>
      </c>
      <c r="D35" s="24">
        <v>1190000</v>
      </c>
      <c r="E35" s="24" t="s">
        <v>184</v>
      </c>
      <c r="F35" s="24" t="str">
        <f t="shared" si="0"/>
        <v>rtdc.l.rtdc.4014:itc</v>
      </c>
      <c r="G35" s="8">
        <f t="shared" si="1"/>
        <v>42594.255543981482</v>
      </c>
    </row>
    <row r="36" spans="1:7" x14ac:dyDescent="0.25">
      <c r="A36" s="8">
        <v>42594.255578703705</v>
      </c>
      <c r="B36" s="24" t="s">
        <v>64</v>
      </c>
      <c r="C36" s="24" t="s">
        <v>285</v>
      </c>
      <c r="D36" s="24">
        <v>2010000</v>
      </c>
      <c r="E36" s="24" t="s">
        <v>204</v>
      </c>
      <c r="F36" s="24" t="str">
        <f t="shared" si="0"/>
        <v>rtdc.l.rtdc.4017:itc</v>
      </c>
      <c r="G36" s="8">
        <f t="shared" si="1"/>
        <v>42594.255578703705</v>
      </c>
    </row>
    <row r="37" spans="1:7" x14ac:dyDescent="0.25">
      <c r="A37" s="8">
        <v>42594.257002314815</v>
      </c>
      <c r="B37" s="24" t="s">
        <v>249</v>
      </c>
      <c r="C37" s="24" t="s">
        <v>540</v>
      </c>
      <c r="D37" s="24">
        <v>1760000</v>
      </c>
      <c r="E37" s="24" t="s">
        <v>252</v>
      </c>
      <c r="F37" s="24" t="str">
        <f t="shared" si="0"/>
        <v>rtdc.l.rtdc.4041:itc</v>
      </c>
      <c r="G37" s="8">
        <f t="shared" si="1"/>
        <v>42594.257002314815</v>
      </c>
    </row>
    <row r="38" spans="1:7" x14ac:dyDescent="0.25">
      <c r="A38" s="8">
        <v>42594.257708333331</v>
      </c>
      <c r="B38" s="24" t="s">
        <v>256</v>
      </c>
      <c r="C38" s="24" t="s">
        <v>543</v>
      </c>
      <c r="D38" s="24">
        <v>1830000</v>
      </c>
      <c r="E38" s="24" t="s">
        <v>254</v>
      </c>
      <c r="F38" s="24" t="str">
        <f t="shared" si="0"/>
        <v>rtdc.l.rtdc.4003:itc</v>
      </c>
      <c r="G38" s="8">
        <f t="shared" si="1"/>
        <v>42594.257708333331</v>
      </c>
    </row>
    <row r="39" spans="1:7" x14ac:dyDescent="0.25">
      <c r="A39" s="8">
        <v>42594.267534722225</v>
      </c>
      <c r="B39" s="24" t="s">
        <v>98</v>
      </c>
      <c r="C39" s="24" t="s">
        <v>287</v>
      </c>
      <c r="D39" s="24">
        <v>900000</v>
      </c>
      <c r="E39" s="24" t="s">
        <v>183</v>
      </c>
      <c r="F39" s="24" t="str">
        <f t="shared" si="0"/>
        <v>rtdc.l.rtdc.4030:itc</v>
      </c>
      <c r="G39" s="8">
        <f t="shared" si="1"/>
        <v>42594.267534722225</v>
      </c>
    </row>
    <row r="40" spans="1:7" x14ac:dyDescent="0.25">
      <c r="A40" s="8">
        <v>42594.268460648149</v>
      </c>
      <c r="B40" s="29" t="s">
        <v>98</v>
      </c>
      <c r="C40" s="24" t="s">
        <v>287</v>
      </c>
      <c r="D40" s="24">
        <v>900000</v>
      </c>
      <c r="E40" s="24" t="s">
        <v>183</v>
      </c>
      <c r="F40" s="24" t="str">
        <f t="shared" si="0"/>
        <v>rtdc.l.rtdc.4030:itc</v>
      </c>
      <c r="G40" s="8">
        <f t="shared" si="1"/>
        <v>42594.268460648149</v>
      </c>
    </row>
    <row r="41" spans="1:7" x14ac:dyDescent="0.25">
      <c r="A41" s="8">
        <v>42594.268553240741</v>
      </c>
      <c r="B41" s="24" t="s">
        <v>99</v>
      </c>
      <c r="C41" s="24" t="s">
        <v>302</v>
      </c>
      <c r="D41" s="24">
        <v>2110000</v>
      </c>
      <c r="E41" s="24" t="s">
        <v>164</v>
      </c>
      <c r="F41" s="24" t="str">
        <f t="shared" si="0"/>
        <v>rtdc.l.rtdc.4027:itc</v>
      </c>
      <c r="G41" s="8">
        <f t="shared" si="1"/>
        <v>42594.268553240741</v>
      </c>
    </row>
    <row r="42" spans="1:7" x14ac:dyDescent="0.25">
      <c r="A42" s="8">
        <v>42594.275324074071</v>
      </c>
      <c r="B42" s="24" t="s">
        <v>250</v>
      </c>
      <c r="C42" s="24" t="s">
        <v>546</v>
      </c>
      <c r="D42" s="24">
        <v>1830000</v>
      </c>
      <c r="E42" s="24" t="s">
        <v>254</v>
      </c>
      <c r="F42" s="24" t="str">
        <f t="shared" si="0"/>
        <v>rtdc.l.rtdc.4004:itc</v>
      </c>
      <c r="G42" s="8">
        <f t="shared" si="1"/>
        <v>42594.275324074071</v>
      </c>
    </row>
    <row r="43" spans="1:7" x14ac:dyDescent="0.25">
      <c r="A43" s="8">
        <v>42594.278587962966</v>
      </c>
      <c r="B43" s="24" t="s">
        <v>656</v>
      </c>
      <c r="C43" s="24" t="s">
        <v>292</v>
      </c>
      <c r="D43" s="24">
        <v>630000</v>
      </c>
      <c r="E43" s="24" t="b">
        <v>1</v>
      </c>
      <c r="F43" s="24" t="str">
        <f t="shared" si="0"/>
        <v>rtdc.l.rtdc.4019:itc</v>
      </c>
      <c r="G43" s="8">
        <f t="shared" si="1"/>
        <v>42594.278587962966</v>
      </c>
    </row>
    <row r="44" spans="1:7" x14ac:dyDescent="0.25">
      <c r="A44" s="8">
        <v>42594.279814814814</v>
      </c>
      <c r="B44" s="24" t="s">
        <v>255</v>
      </c>
      <c r="C44" s="24" t="s">
        <v>306</v>
      </c>
      <c r="D44" s="24">
        <v>1090000</v>
      </c>
      <c r="E44" s="24" t="s">
        <v>662</v>
      </c>
      <c r="F44" s="24" t="str">
        <f t="shared" si="0"/>
        <v>rtdc.l.rtdc.4038:itc</v>
      </c>
      <c r="G44" s="8">
        <f t="shared" si="1"/>
        <v>42594.279814814814</v>
      </c>
    </row>
    <row r="45" spans="1:7" x14ac:dyDescent="0.25">
      <c r="A45" s="8">
        <v>42594.280289351853</v>
      </c>
      <c r="B45" s="24" t="s">
        <v>247</v>
      </c>
      <c r="C45" s="24" t="s">
        <v>548</v>
      </c>
      <c r="D45" s="24">
        <v>1760000</v>
      </c>
      <c r="E45" s="24" t="s">
        <v>252</v>
      </c>
      <c r="F45" s="24" t="str">
        <f t="shared" si="0"/>
        <v>rtdc.l.rtdc.4042:itc</v>
      </c>
      <c r="G45" s="8">
        <f t="shared" si="1"/>
        <v>42594.280289351853</v>
      </c>
    </row>
    <row r="46" spans="1:7" x14ac:dyDescent="0.25">
      <c r="A46" s="8">
        <v>42594.288171296299</v>
      </c>
      <c r="B46" s="24" t="s">
        <v>124</v>
      </c>
      <c r="C46" s="24" t="s">
        <v>297</v>
      </c>
      <c r="D46" s="24">
        <v>1310000</v>
      </c>
      <c r="E46" s="24" t="s">
        <v>251</v>
      </c>
      <c r="F46" s="24" t="str">
        <f t="shared" si="0"/>
        <v>rtdc.l.rtdc.4032:itc</v>
      </c>
      <c r="G46" s="8">
        <f t="shared" si="1"/>
        <v>42594.288171296299</v>
      </c>
    </row>
    <row r="47" spans="1:7" x14ac:dyDescent="0.25">
      <c r="A47" s="8">
        <v>42594.288414351853</v>
      </c>
      <c r="B47" s="24" t="s">
        <v>658</v>
      </c>
      <c r="C47" s="24" t="s">
        <v>311</v>
      </c>
      <c r="D47" s="24">
        <v>2010000</v>
      </c>
      <c r="E47" s="24" t="s">
        <v>204</v>
      </c>
      <c r="F47" s="24" t="str">
        <f t="shared" si="0"/>
        <v>rtdc.l.rtdc.4018:itc</v>
      </c>
      <c r="G47" s="8">
        <f t="shared" si="1"/>
        <v>42594.288414351853</v>
      </c>
    </row>
    <row r="48" spans="1:7" x14ac:dyDescent="0.25">
      <c r="A48" s="8">
        <v>42594.291226851848</v>
      </c>
      <c r="B48" s="24" t="s">
        <v>256</v>
      </c>
      <c r="C48" s="24" t="s">
        <v>554</v>
      </c>
      <c r="D48" s="24">
        <v>1830000</v>
      </c>
      <c r="E48" s="24" t="s">
        <v>254</v>
      </c>
      <c r="F48" s="24" t="str">
        <f t="shared" si="0"/>
        <v>rtdc.l.rtdc.4003:itc</v>
      </c>
      <c r="G48" s="8">
        <f t="shared" si="1"/>
        <v>42594.291226851848</v>
      </c>
    </row>
    <row r="49" spans="1:7" x14ac:dyDescent="0.25">
      <c r="A49" s="8">
        <v>42594.297569444447</v>
      </c>
      <c r="B49" s="24" t="s">
        <v>97</v>
      </c>
      <c r="C49" s="24" t="s">
        <v>314</v>
      </c>
      <c r="D49" s="24">
        <v>900000</v>
      </c>
      <c r="E49" s="24" t="s">
        <v>183</v>
      </c>
      <c r="F49" s="24" t="str">
        <f t="shared" si="0"/>
        <v>rtdc.l.rtdc.4029:itc</v>
      </c>
      <c r="G49" s="8">
        <f t="shared" si="1"/>
        <v>42594.297569444447</v>
      </c>
    </row>
    <row r="50" spans="1:7" x14ac:dyDescent="0.25">
      <c r="A50" s="8">
        <v>42594.298159722224</v>
      </c>
      <c r="B50" s="24" t="s">
        <v>95</v>
      </c>
      <c r="C50" s="24" t="s">
        <v>300</v>
      </c>
      <c r="D50" s="24">
        <v>1190000</v>
      </c>
      <c r="E50" s="24" t="s">
        <v>184</v>
      </c>
      <c r="F50" s="24" t="str">
        <f t="shared" si="0"/>
        <v>rtdc.l.rtdc.4013:itc</v>
      </c>
      <c r="G50" s="8">
        <f t="shared" si="1"/>
        <v>42594.298159722224</v>
      </c>
    </row>
    <row r="51" spans="1:7" x14ac:dyDescent="0.25">
      <c r="A51" s="8">
        <v>42594.298796296294</v>
      </c>
      <c r="B51" s="24" t="s">
        <v>249</v>
      </c>
      <c r="C51" s="24" t="s">
        <v>551</v>
      </c>
      <c r="D51" s="24">
        <v>1760000</v>
      </c>
      <c r="E51" s="24" t="s">
        <v>252</v>
      </c>
      <c r="F51" s="24" t="str">
        <f t="shared" si="0"/>
        <v>rtdc.l.rtdc.4041:itc</v>
      </c>
      <c r="G51" s="8">
        <f t="shared" si="1"/>
        <v>42594.298796296294</v>
      </c>
    </row>
    <row r="52" spans="1:7" x14ac:dyDescent="0.25">
      <c r="A52" s="8">
        <v>42594.307141203702</v>
      </c>
      <c r="B52" s="24" t="s">
        <v>246</v>
      </c>
      <c r="C52" s="24" t="s">
        <v>304</v>
      </c>
      <c r="D52" s="24">
        <v>2110000</v>
      </c>
      <c r="E52" s="24" t="s">
        <v>164</v>
      </c>
      <c r="F52" s="24" t="str">
        <f t="shared" si="0"/>
        <v>rtdc.l.rtdc.4028:itc</v>
      </c>
      <c r="G52" s="8">
        <f t="shared" si="1"/>
        <v>42594.307141203702</v>
      </c>
    </row>
    <row r="53" spans="1:7" x14ac:dyDescent="0.25">
      <c r="A53" s="8">
        <v>42594.310995370368</v>
      </c>
      <c r="B53" s="24" t="s">
        <v>653</v>
      </c>
      <c r="C53" s="24" t="s">
        <v>318</v>
      </c>
      <c r="D53" s="24">
        <v>1990000</v>
      </c>
      <c r="E53" s="24" t="s">
        <v>659</v>
      </c>
      <c r="F53" s="24" t="str">
        <f t="shared" si="0"/>
        <v>rtdc.l.rtdc.4020:itc</v>
      </c>
      <c r="G53" s="8">
        <f t="shared" si="1"/>
        <v>42594.310995370368</v>
      </c>
    </row>
    <row r="54" spans="1:7" x14ac:dyDescent="0.25">
      <c r="A54" s="8">
        <v>42594.31758101852</v>
      </c>
      <c r="B54" s="24" t="s">
        <v>206</v>
      </c>
      <c r="C54" s="24" t="s">
        <v>308</v>
      </c>
      <c r="D54" s="24">
        <v>1090000</v>
      </c>
      <c r="E54" s="24" t="s">
        <v>662</v>
      </c>
      <c r="F54" s="24" t="str">
        <f t="shared" si="0"/>
        <v>rtdc.l.rtdc.4037:itc</v>
      </c>
      <c r="G54" s="8">
        <f t="shared" si="1"/>
        <v>42594.31758101852</v>
      </c>
    </row>
    <row r="55" spans="1:7" x14ac:dyDescent="0.25">
      <c r="A55" s="8">
        <v>42594.317962962959</v>
      </c>
      <c r="B55" s="24" t="s">
        <v>250</v>
      </c>
      <c r="C55" s="24" t="s">
        <v>556</v>
      </c>
      <c r="D55" s="24">
        <v>1830000</v>
      </c>
      <c r="E55" s="24" t="s">
        <v>254</v>
      </c>
      <c r="F55" s="24" t="str">
        <f t="shared" si="0"/>
        <v>rtdc.l.rtdc.4004:itc</v>
      </c>
      <c r="G55" s="8">
        <f t="shared" si="1"/>
        <v>42594.317962962959</v>
      </c>
    </row>
    <row r="56" spans="1:7" x14ac:dyDescent="0.25">
      <c r="A56" s="8">
        <v>42594.321851851855</v>
      </c>
      <c r="B56" s="24" t="s">
        <v>123</v>
      </c>
      <c r="C56" s="24" t="s">
        <v>320</v>
      </c>
      <c r="D56" s="24">
        <v>1310000</v>
      </c>
      <c r="E56" s="24" t="s">
        <v>251</v>
      </c>
      <c r="F56" s="24" t="str">
        <f t="shared" si="0"/>
        <v>rtdc.l.rtdc.4031:itc</v>
      </c>
      <c r="G56" s="8">
        <f t="shared" si="1"/>
        <v>42594.321851851855</v>
      </c>
    </row>
    <row r="57" spans="1:7" x14ac:dyDescent="0.25">
      <c r="A57" s="8">
        <v>42594.325208333335</v>
      </c>
      <c r="B57" s="24" t="s">
        <v>247</v>
      </c>
      <c r="C57" s="24" t="s">
        <v>558</v>
      </c>
      <c r="D57" s="24">
        <v>1760000</v>
      </c>
      <c r="E57" s="24" t="s">
        <v>252</v>
      </c>
      <c r="F57" s="24" t="str">
        <f t="shared" si="0"/>
        <v>rtdc.l.rtdc.4042:itc</v>
      </c>
      <c r="G57" s="8">
        <f t="shared" si="1"/>
        <v>42594.325208333335</v>
      </c>
    </row>
    <row r="58" spans="1:7" x14ac:dyDescent="0.25">
      <c r="A58" s="8">
        <v>42594.325960648152</v>
      </c>
      <c r="B58" s="24" t="s">
        <v>64</v>
      </c>
      <c r="C58" s="24" t="s">
        <v>313</v>
      </c>
      <c r="D58" s="24">
        <v>2010000</v>
      </c>
      <c r="E58" s="24" t="s">
        <v>204</v>
      </c>
      <c r="F58" s="24" t="str">
        <f t="shared" si="0"/>
        <v>rtdc.l.rtdc.4017:itc</v>
      </c>
      <c r="G58" s="8">
        <f t="shared" si="1"/>
        <v>42594.325960648152</v>
      </c>
    </row>
    <row r="59" spans="1:7" x14ac:dyDescent="0.25">
      <c r="A59" s="8">
        <v>42594.328668981485</v>
      </c>
      <c r="B59" s="24" t="s">
        <v>121</v>
      </c>
      <c r="C59" s="24" t="s">
        <v>324</v>
      </c>
      <c r="D59" s="24">
        <v>1190000</v>
      </c>
      <c r="E59" s="24" t="s">
        <v>184</v>
      </c>
      <c r="F59" s="24" t="str">
        <f t="shared" si="0"/>
        <v>rtdc.l.rtdc.4014:itc</v>
      </c>
      <c r="G59" s="8">
        <f t="shared" si="1"/>
        <v>42594.328668981485</v>
      </c>
    </row>
    <row r="60" spans="1:7" x14ac:dyDescent="0.25">
      <c r="A60" s="8">
        <v>42594.339930555558</v>
      </c>
      <c r="B60" s="24" t="s">
        <v>99</v>
      </c>
      <c r="C60" s="24" t="s">
        <v>326</v>
      </c>
      <c r="D60" s="24">
        <v>2110000</v>
      </c>
      <c r="E60" s="24" t="s">
        <v>164</v>
      </c>
      <c r="F60" s="24" t="str">
        <f t="shared" si="0"/>
        <v>rtdc.l.rtdc.4027:itc</v>
      </c>
      <c r="G60" s="8">
        <f t="shared" si="1"/>
        <v>42594.339930555558</v>
      </c>
    </row>
    <row r="61" spans="1:7" x14ac:dyDescent="0.25">
      <c r="A61" s="8">
        <v>42594.340092592596</v>
      </c>
      <c r="B61" s="24" t="s">
        <v>98</v>
      </c>
      <c r="C61" s="24" t="s">
        <v>316</v>
      </c>
      <c r="D61" s="24">
        <v>900000</v>
      </c>
      <c r="E61" s="24" t="s">
        <v>183</v>
      </c>
      <c r="F61" s="24" t="str">
        <f t="shared" si="0"/>
        <v>rtdc.l.rtdc.4030:itc</v>
      </c>
      <c r="G61" s="8">
        <f t="shared" si="1"/>
        <v>42594.340092592596</v>
      </c>
    </row>
    <row r="62" spans="1:7" x14ac:dyDescent="0.25">
      <c r="A62" s="8">
        <v>42594.340729166666</v>
      </c>
      <c r="B62" s="24" t="s">
        <v>249</v>
      </c>
      <c r="C62" s="24" t="s">
        <v>560</v>
      </c>
      <c r="D62" s="24">
        <v>1760000</v>
      </c>
      <c r="E62" s="24" t="s">
        <v>252</v>
      </c>
      <c r="F62" s="24" t="str">
        <f t="shared" si="0"/>
        <v>rtdc.l.rtdc.4041:itc</v>
      </c>
      <c r="G62" s="8">
        <f t="shared" si="1"/>
        <v>42594.340729166666</v>
      </c>
    </row>
    <row r="63" spans="1:7" x14ac:dyDescent="0.25">
      <c r="A63" s="8">
        <v>42594.345069444447</v>
      </c>
      <c r="B63" s="24" t="s">
        <v>256</v>
      </c>
      <c r="C63" s="24" t="s">
        <v>563</v>
      </c>
      <c r="D63" s="24">
        <v>1830000</v>
      </c>
      <c r="E63" s="24" t="s">
        <v>254</v>
      </c>
      <c r="F63" s="24" t="str">
        <f t="shared" si="0"/>
        <v>rtdc.l.rtdc.4003:itc</v>
      </c>
      <c r="G63" s="8">
        <f t="shared" si="1"/>
        <v>42594.345069444447</v>
      </c>
    </row>
    <row r="64" spans="1:7" x14ac:dyDescent="0.25">
      <c r="A64" s="30">
        <v>42594.345405092594</v>
      </c>
      <c r="B64" s="24" t="s">
        <v>656</v>
      </c>
      <c r="C64" s="24" t="s">
        <v>319</v>
      </c>
      <c r="D64" s="24">
        <v>1990000</v>
      </c>
      <c r="E64" s="24" t="s">
        <v>659</v>
      </c>
      <c r="F64" s="24" t="str">
        <f t="shared" si="0"/>
        <v>rtdc.l.rtdc.4019:itc</v>
      </c>
      <c r="G64" s="8">
        <f t="shared" si="1"/>
        <v>42594.345405092594</v>
      </c>
    </row>
    <row r="65" spans="1:7" x14ac:dyDescent="0.25">
      <c r="A65" s="8">
        <v>42594.349259259259</v>
      </c>
      <c r="B65" s="24" t="s">
        <v>255</v>
      </c>
      <c r="C65" s="24" t="s">
        <v>329</v>
      </c>
      <c r="D65" s="24">
        <v>1090000</v>
      </c>
      <c r="E65" s="24" t="s">
        <v>662</v>
      </c>
      <c r="F65" s="24" t="str">
        <f t="shared" si="0"/>
        <v>rtdc.l.rtdc.4038:itc</v>
      </c>
      <c r="G65" s="8">
        <f t="shared" si="1"/>
        <v>42594.349259259259</v>
      </c>
    </row>
    <row r="66" spans="1:7" x14ac:dyDescent="0.25">
      <c r="A66" s="8">
        <v>42594.354513888888</v>
      </c>
      <c r="B66" s="24" t="s">
        <v>247</v>
      </c>
      <c r="C66" s="24" t="s">
        <v>642</v>
      </c>
      <c r="D66" s="24">
        <v>1760000</v>
      </c>
      <c r="E66" s="24" t="s">
        <v>252</v>
      </c>
      <c r="F66" s="24" t="str">
        <f t="shared" ref="F66:F129" si="2">B66</f>
        <v>rtdc.l.rtdc.4042:itc</v>
      </c>
      <c r="G66" s="8">
        <f t="shared" ref="G66:G129" si="3">A66</f>
        <v>42594.354513888888</v>
      </c>
    </row>
    <row r="67" spans="1:7" x14ac:dyDescent="0.25">
      <c r="A67" s="8">
        <v>42594.359270833331</v>
      </c>
      <c r="B67" s="24" t="s">
        <v>250</v>
      </c>
      <c r="C67" s="24" t="s">
        <v>663</v>
      </c>
      <c r="D67" s="24">
        <v>1830000</v>
      </c>
      <c r="E67" s="24" t="s">
        <v>254</v>
      </c>
      <c r="F67" s="24" t="str">
        <f t="shared" si="2"/>
        <v>rtdc.l.rtdc.4004:itc</v>
      </c>
      <c r="G67" s="8">
        <f t="shared" si="3"/>
        <v>42594.359270833331</v>
      </c>
    </row>
    <row r="68" spans="1:7" x14ac:dyDescent="0.25">
      <c r="A68" s="8">
        <v>42594.359502314815</v>
      </c>
      <c r="B68" s="24" t="s">
        <v>658</v>
      </c>
      <c r="C68" s="24" t="s">
        <v>333</v>
      </c>
      <c r="D68" s="24">
        <v>2010000</v>
      </c>
      <c r="E68" s="24" t="s">
        <v>204</v>
      </c>
      <c r="F68" s="24" t="str">
        <f t="shared" si="2"/>
        <v>rtdc.l.rtdc.4018:itc</v>
      </c>
      <c r="G68" s="8">
        <f t="shared" si="3"/>
        <v>42594.359502314815</v>
      </c>
    </row>
    <row r="69" spans="1:7" x14ac:dyDescent="0.25">
      <c r="A69" s="8">
        <v>42594.360092592593</v>
      </c>
      <c r="B69" s="24" t="s">
        <v>124</v>
      </c>
      <c r="C69" s="24" t="s">
        <v>322</v>
      </c>
      <c r="D69" s="24">
        <v>1310000</v>
      </c>
      <c r="E69" s="24" t="s">
        <v>251</v>
      </c>
      <c r="F69" s="24" t="str">
        <f t="shared" si="2"/>
        <v>rtdc.l.rtdc.4032:itc</v>
      </c>
      <c r="G69" s="8">
        <f t="shared" si="3"/>
        <v>42594.360092592593</v>
      </c>
    </row>
    <row r="70" spans="1:7" x14ac:dyDescent="0.25">
      <c r="A70" s="8">
        <v>42594.367858796293</v>
      </c>
      <c r="B70" s="24" t="s">
        <v>95</v>
      </c>
      <c r="C70" s="24" t="s">
        <v>325</v>
      </c>
      <c r="D70" s="24">
        <v>1190000</v>
      </c>
      <c r="E70" s="24" t="s">
        <v>184</v>
      </c>
      <c r="F70" s="24" t="str">
        <f t="shared" si="2"/>
        <v>rtdc.l.rtdc.4013:itc</v>
      </c>
      <c r="G70" s="8">
        <f t="shared" si="3"/>
        <v>42594.367858796293</v>
      </c>
    </row>
    <row r="71" spans="1:7" x14ac:dyDescent="0.25">
      <c r="A71" s="8">
        <v>42594.373599537037</v>
      </c>
      <c r="B71" s="24" t="s">
        <v>97</v>
      </c>
      <c r="C71" s="24" t="s">
        <v>335</v>
      </c>
      <c r="D71" s="24">
        <v>900000</v>
      </c>
      <c r="E71" s="24" t="s">
        <v>183</v>
      </c>
      <c r="F71" s="24" t="str">
        <f t="shared" si="2"/>
        <v>rtdc.l.rtdc.4029:itc</v>
      </c>
      <c r="G71" s="8">
        <f t="shared" si="3"/>
        <v>42594.373599537037</v>
      </c>
    </row>
    <row r="72" spans="1:7" x14ac:dyDescent="0.25">
      <c r="A72" s="8">
        <v>42594.37909722222</v>
      </c>
      <c r="B72" s="24" t="s">
        <v>246</v>
      </c>
      <c r="C72" s="24" t="s">
        <v>327</v>
      </c>
      <c r="D72" s="24">
        <v>2110000</v>
      </c>
      <c r="E72" s="24" t="s">
        <v>164</v>
      </c>
      <c r="F72" s="24" t="str">
        <f t="shared" si="2"/>
        <v>rtdc.l.rtdc.4028:itc</v>
      </c>
      <c r="G72" s="8">
        <f t="shared" si="3"/>
        <v>42594.37909722222</v>
      </c>
    </row>
    <row r="73" spans="1:7" x14ac:dyDescent="0.25">
      <c r="A73" s="8">
        <v>42594.381423611114</v>
      </c>
      <c r="B73" s="24" t="s">
        <v>653</v>
      </c>
      <c r="C73" s="24" t="s">
        <v>338</v>
      </c>
      <c r="D73" s="24">
        <v>1990000</v>
      </c>
      <c r="E73" s="24" t="s">
        <v>659</v>
      </c>
      <c r="F73" s="24" t="str">
        <f t="shared" si="2"/>
        <v>rtdc.l.rtdc.4020:itc</v>
      </c>
      <c r="G73" s="8">
        <f t="shared" si="3"/>
        <v>42594.381423611114</v>
      </c>
    </row>
    <row r="74" spans="1:7" x14ac:dyDescent="0.25">
      <c r="A74" s="8">
        <v>42594.382800925923</v>
      </c>
      <c r="B74" s="24" t="s">
        <v>657</v>
      </c>
      <c r="C74" s="24" t="s">
        <v>566</v>
      </c>
      <c r="D74" s="24">
        <v>1830000</v>
      </c>
      <c r="E74" s="24" t="s">
        <v>254</v>
      </c>
      <c r="F74" s="24" t="str">
        <f t="shared" si="2"/>
        <v>rtdc.l.rtdc.4007:itc</v>
      </c>
      <c r="G74" s="8">
        <f t="shared" si="3"/>
        <v>42594.382800925923</v>
      </c>
    </row>
    <row r="75" spans="1:7" x14ac:dyDescent="0.25">
      <c r="A75" s="8">
        <v>42594.383888888886</v>
      </c>
      <c r="B75" s="24" t="s">
        <v>657</v>
      </c>
      <c r="C75" s="24" t="s">
        <v>566</v>
      </c>
      <c r="D75" s="24">
        <v>1830000</v>
      </c>
      <c r="E75" s="24" t="s">
        <v>254</v>
      </c>
      <c r="F75" s="24" t="str">
        <f t="shared" si="2"/>
        <v>rtdc.l.rtdc.4007:itc</v>
      </c>
      <c r="G75" s="8">
        <f t="shared" si="3"/>
        <v>42594.383888888886</v>
      </c>
    </row>
    <row r="76" spans="1:7" x14ac:dyDescent="0.25">
      <c r="A76" s="8">
        <v>42594.384988425925</v>
      </c>
      <c r="B76" s="24" t="s">
        <v>657</v>
      </c>
      <c r="C76" s="24" t="s">
        <v>566</v>
      </c>
      <c r="D76" s="24">
        <v>1830000</v>
      </c>
      <c r="E76" s="24" t="s">
        <v>254</v>
      </c>
      <c r="F76" s="24" t="str">
        <f t="shared" si="2"/>
        <v>rtdc.l.rtdc.4007:itc</v>
      </c>
      <c r="G76" s="8">
        <f t="shared" si="3"/>
        <v>42594.384988425925</v>
      </c>
    </row>
    <row r="77" spans="1:7" x14ac:dyDescent="0.25">
      <c r="A77" s="8">
        <v>42594.387280092589</v>
      </c>
      <c r="B77" s="24" t="s">
        <v>206</v>
      </c>
      <c r="C77" s="24" t="s">
        <v>332</v>
      </c>
      <c r="D77" s="24">
        <v>1090000</v>
      </c>
      <c r="E77" s="24" t="s">
        <v>662</v>
      </c>
      <c r="F77" s="24" t="str">
        <f t="shared" si="2"/>
        <v>rtdc.l.rtdc.4037:itc</v>
      </c>
      <c r="G77" s="8">
        <f t="shared" si="3"/>
        <v>42594.387280092589</v>
      </c>
    </row>
    <row r="78" spans="1:7" x14ac:dyDescent="0.25">
      <c r="A78" s="8">
        <v>42594.394849537035</v>
      </c>
      <c r="B78" s="24" t="s">
        <v>123</v>
      </c>
      <c r="C78" s="24" t="s">
        <v>340</v>
      </c>
      <c r="D78" s="24">
        <v>1310000</v>
      </c>
      <c r="E78" s="24" t="s">
        <v>251</v>
      </c>
      <c r="F78" s="24" t="str">
        <f t="shared" si="2"/>
        <v>rtdc.l.rtdc.4031:itc</v>
      </c>
      <c r="G78" s="8">
        <f t="shared" si="3"/>
        <v>42594.394849537035</v>
      </c>
    </row>
    <row r="79" spans="1:7" x14ac:dyDescent="0.25">
      <c r="A79" s="8">
        <v>42594.395856481482</v>
      </c>
      <c r="B79" s="24" t="s">
        <v>64</v>
      </c>
      <c r="C79" s="24" t="s">
        <v>334</v>
      </c>
      <c r="D79" s="24">
        <v>2010000</v>
      </c>
      <c r="E79" s="24" t="s">
        <v>204</v>
      </c>
      <c r="F79" s="24" t="str">
        <f t="shared" si="2"/>
        <v>rtdc.l.rtdc.4017:itc</v>
      </c>
      <c r="G79" s="8">
        <f t="shared" si="3"/>
        <v>42594.395856481482</v>
      </c>
    </row>
    <row r="80" spans="1:7" x14ac:dyDescent="0.25">
      <c r="A80" s="8">
        <v>42594.40047453704</v>
      </c>
      <c r="B80" s="24" t="s">
        <v>652</v>
      </c>
      <c r="C80" s="24" t="s">
        <v>568</v>
      </c>
      <c r="D80" s="24">
        <v>1830000</v>
      </c>
      <c r="E80" s="24" t="s">
        <v>254</v>
      </c>
      <c r="F80" s="24" t="str">
        <f t="shared" si="2"/>
        <v>rtdc.l.rtdc.4008:itc</v>
      </c>
      <c r="G80" s="8">
        <f t="shared" si="3"/>
        <v>42594.40047453704</v>
      </c>
    </row>
    <row r="81" spans="1:7" x14ac:dyDescent="0.25">
      <c r="A81" s="8">
        <v>42594.401932870373</v>
      </c>
      <c r="B81" s="24" t="s">
        <v>121</v>
      </c>
      <c r="C81" s="24" t="s">
        <v>344</v>
      </c>
      <c r="D81" s="24">
        <v>1190000</v>
      </c>
      <c r="E81" s="24" t="s">
        <v>184</v>
      </c>
      <c r="F81" s="24" t="str">
        <f t="shared" si="2"/>
        <v>rtdc.l.rtdc.4014:itc</v>
      </c>
      <c r="G81" s="8">
        <f t="shared" si="3"/>
        <v>42594.401932870373</v>
      </c>
    </row>
    <row r="82" spans="1:7" x14ac:dyDescent="0.25">
      <c r="A82" s="8">
        <v>42594.410555555558</v>
      </c>
      <c r="B82" s="24" t="s">
        <v>98</v>
      </c>
      <c r="C82" s="24" t="s">
        <v>336</v>
      </c>
      <c r="D82" s="24">
        <v>900000</v>
      </c>
      <c r="E82" s="24" t="s">
        <v>183</v>
      </c>
      <c r="F82" s="24" t="str">
        <f t="shared" si="2"/>
        <v>rtdc.l.rtdc.4030:itc</v>
      </c>
      <c r="G82" s="8">
        <f t="shared" si="3"/>
        <v>42594.410555555558</v>
      </c>
    </row>
    <row r="83" spans="1:7" x14ac:dyDescent="0.25">
      <c r="A83" s="8">
        <v>42594.413078703707</v>
      </c>
      <c r="B83" s="24" t="s">
        <v>99</v>
      </c>
      <c r="C83" s="24" t="s">
        <v>346</v>
      </c>
      <c r="D83" s="24">
        <v>2110000</v>
      </c>
      <c r="E83" s="24" t="s">
        <v>164</v>
      </c>
      <c r="F83" s="24" t="str">
        <f t="shared" si="2"/>
        <v>rtdc.l.rtdc.4027:itc</v>
      </c>
      <c r="G83" s="8">
        <f t="shared" si="3"/>
        <v>42594.413078703707</v>
      </c>
    </row>
    <row r="84" spans="1:7" x14ac:dyDescent="0.25">
      <c r="A84" s="8">
        <v>42594.413657407407</v>
      </c>
      <c r="B84" s="24" t="s">
        <v>657</v>
      </c>
      <c r="C84" s="24" t="s">
        <v>570</v>
      </c>
      <c r="D84" s="24">
        <v>1830000</v>
      </c>
      <c r="E84" s="24" t="s">
        <v>254</v>
      </c>
      <c r="F84" s="24" t="str">
        <f t="shared" si="2"/>
        <v>rtdc.l.rtdc.4007:itc</v>
      </c>
      <c r="G84" s="8">
        <f t="shared" si="3"/>
        <v>42594.413657407407</v>
      </c>
    </row>
    <row r="85" spans="1:7" x14ac:dyDescent="0.25">
      <c r="A85" s="8">
        <v>42594.41988425926</v>
      </c>
      <c r="B85" s="24" t="s">
        <v>656</v>
      </c>
      <c r="C85" s="24" t="s">
        <v>339</v>
      </c>
      <c r="D85" s="24">
        <v>1990000</v>
      </c>
      <c r="E85" s="24" t="s">
        <v>659</v>
      </c>
      <c r="F85" s="24" t="str">
        <f t="shared" si="2"/>
        <v>rtdc.l.rtdc.4019:itc</v>
      </c>
      <c r="G85" s="8">
        <f t="shared" si="3"/>
        <v>42594.41988425926</v>
      </c>
    </row>
    <row r="86" spans="1:7" x14ac:dyDescent="0.25">
      <c r="A86" s="8">
        <v>42594.424976851849</v>
      </c>
      <c r="B86" s="24" t="s">
        <v>255</v>
      </c>
      <c r="C86" s="24" t="s">
        <v>348</v>
      </c>
      <c r="D86" s="24">
        <v>1090000</v>
      </c>
      <c r="E86" s="24" t="s">
        <v>662</v>
      </c>
      <c r="F86" s="24" t="str">
        <f t="shared" si="2"/>
        <v>rtdc.l.rtdc.4038:itc</v>
      </c>
      <c r="G86" s="8">
        <f t="shared" si="3"/>
        <v>42594.424976851849</v>
      </c>
    </row>
    <row r="87" spans="1:7" x14ac:dyDescent="0.25">
      <c r="A87" s="8">
        <v>42594.433113425926</v>
      </c>
      <c r="B87" s="24" t="s">
        <v>658</v>
      </c>
      <c r="C87" s="24" t="s">
        <v>350</v>
      </c>
      <c r="D87" s="24">
        <v>1760000</v>
      </c>
      <c r="E87" s="24" t="s">
        <v>252</v>
      </c>
      <c r="F87" s="24" t="str">
        <f t="shared" si="2"/>
        <v>rtdc.l.rtdc.4018:itc</v>
      </c>
      <c r="G87" s="8">
        <f t="shared" si="3"/>
        <v>42594.433113425926</v>
      </c>
    </row>
    <row r="88" spans="1:7" x14ac:dyDescent="0.25">
      <c r="A88" s="8">
        <v>42594.433645833335</v>
      </c>
      <c r="B88" s="24" t="s">
        <v>124</v>
      </c>
      <c r="C88" s="24" t="s">
        <v>342</v>
      </c>
      <c r="D88" s="24">
        <v>1310000</v>
      </c>
      <c r="E88" s="24" t="s">
        <v>251</v>
      </c>
      <c r="F88" s="24" t="str">
        <f t="shared" si="2"/>
        <v>rtdc.l.rtdc.4032:itc</v>
      </c>
      <c r="G88" s="8">
        <f t="shared" si="3"/>
        <v>42594.433645833335</v>
      </c>
    </row>
    <row r="89" spans="1:7" x14ac:dyDescent="0.25">
      <c r="A89" s="8">
        <v>42594.441712962966</v>
      </c>
      <c r="B89" s="24" t="s">
        <v>95</v>
      </c>
      <c r="C89" s="24" t="s">
        <v>345</v>
      </c>
      <c r="D89" s="24">
        <v>1190000</v>
      </c>
      <c r="E89" s="24" t="s">
        <v>184</v>
      </c>
      <c r="F89" s="24" t="str">
        <f t="shared" si="2"/>
        <v>rtdc.l.rtdc.4013:itc</v>
      </c>
      <c r="G89" s="8">
        <f t="shared" si="3"/>
        <v>42594.441712962966</v>
      </c>
    </row>
    <row r="90" spans="1:7" x14ac:dyDescent="0.25">
      <c r="A90" s="8">
        <v>42594.442210648151</v>
      </c>
      <c r="B90" s="24" t="s">
        <v>652</v>
      </c>
      <c r="C90" s="24" t="s">
        <v>573</v>
      </c>
      <c r="D90" s="24">
        <v>1830000</v>
      </c>
      <c r="E90" s="24" t="s">
        <v>254</v>
      </c>
      <c r="F90" s="24" t="str">
        <f t="shared" si="2"/>
        <v>rtdc.l.rtdc.4008:itc</v>
      </c>
      <c r="G90" s="8">
        <f t="shared" si="3"/>
        <v>42594.442210648151</v>
      </c>
    </row>
    <row r="91" spans="1:7" x14ac:dyDescent="0.25">
      <c r="A91" s="8">
        <v>42594.447974537034</v>
      </c>
      <c r="B91" s="24" t="s">
        <v>97</v>
      </c>
      <c r="C91" s="24" t="s">
        <v>353</v>
      </c>
      <c r="D91" s="24">
        <v>900000</v>
      </c>
      <c r="E91" s="24" t="s">
        <v>183</v>
      </c>
      <c r="F91" s="24" t="str">
        <f t="shared" si="2"/>
        <v>rtdc.l.rtdc.4029:itc</v>
      </c>
      <c r="G91" s="8">
        <f t="shared" si="3"/>
        <v>42594.447974537034</v>
      </c>
    </row>
    <row r="92" spans="1:7" x14ac:dyDescent="0.25">
      <c r="A92" s="8">
        <v>42594.452951388892</v>
      </c>
      <c r="B92" s="24" t="s">
        <v>246</v>
      </c>
      <c r="C92" s="24" t="s">
        <v>347</v>
      </c>
      <c r="D92" s="24">
        <v>2110000</v>
      </c>
      <c r="E92" s="24" t="s">
        <v>164</v>
      </c>
      <c r="F92" s="24" t="str">
        <f t="shared" si="2"/>
        <v>rtdc.l.rtdc.4028:itc</v>
      </c>
      <c r="G92" s="8">
        <f t="shared" si="3"/>
        <v>42594.452951388892</v>
      </c>
    </row>
    <row r="93" spans="1:7" x14ac:dyDescent="0.25">
      <c r="A93" s="8">
        <v>42594.45758101852</v>
      </c>
      <c r="B93" s="24" t="s">
        <v>657</v>
      </c>
      <c r="C93" s="24" t="s">
        <v>575</v>
      </c>
      <c r="D93" s="24">
        <v>1830000</v>
      </c>
      <c r="E93" s="24" t="s">
        <v>254</v>
      </c>
      <c r="F93" s="24" t="str">
        <f t="shared" si="2"/>
        <v>rtdc.l.rtdc.4007:itc</v>
      </c>
      <c r="G93" s="8">
        <f t="shared" si="3"/>
        <v>42594.45758101852</v>
      </c>
    </row>
    <row r="94" spans="1:7" x14ac:dyDescent="0.25">
      <c r="A94" s="8">
        <v>42594.458356481482</v>
      </c>
      <c r="B94" s="24" t="s">
        <v>653</v>
      </c>
      <c r="C94" s="24" t="s">
        <v>356</v>
      </c>
      <c r="D94" s="24">
        <v>880000</v>
      </c>
      <c r="E94" s="24" t="s">
        <v>664</v>
      </c>
      <c r="F94" s="24" t="str">
        <f t="shared" si="2"/>
        <v>rtdc.l.rtdc.4020:itc</v>
      </c>
      <c r="G94" s="8">
        <f t="shared" si="3"/>
        <v>42594.458356481482</v>
      </c>
    </row>
    <row r="95" spans="1:7" x14ac:dyDescent="0.25">
      <c r="A95" s="8">
        <v>42594.460868055554</v>
      </c>
      <c r="B95" s="24" t="s">
        <v>206</v>
      </c>
      <c r="C95" s="24" t="s">
        <v>349</v>
      </c>
      <c r="D95" s="24">
        <v>1090000</v>
      </c>
      <c r="E95" s="24" t="s">
        <v>662</v>
      </c>
      <c r="F95" s="24" t="str">
        <f t="shared" si="2"/>
        <v>rtdc.l.rtdc.4037:itc</v>
      </c>
      <c r="G95" s="8">
        <f t="shared" si="3"/>
        <v>42594.460868055554</v>
      </c>
    </row>
    <row r="96" spans="1:7" x14ac:dyDescent="0.25">
      <c r="A96" s="8">
        <v>42594.466979166667</v>
      </c>
      <c r="B96" s="24" t="s">
        <v>123</v>
      </c>
      <c r="C96" s="24" t="s">
        <v>358</v>
      </c>
      <c r="D96" s="24">
        <v>1520000</v>
      </c>
      <c r="E96" s="24" t="s">
        <v>665</v>
      </c>
      <c r="F96" s="24" t="str">
        <f t="shared" si="2"/>
        <v>rtdc.l.rtdc.4031:itc</v>
      </c>
      <c r="G96" s="8">
        <f t="shared" si="3"/>
        <v>42594.466979166667</v>
      </c>
    </row>
    <row r="97" spans="1:7" x14ac:dyDescent="0.25">
      <c r="A97" s="8">
        <v>42594.471967592595</v>
      </c>
      <c r="B97" s="24" t="s">
        <v>64</v>
      </c>
      <c r="C97" s="24" t="s">
        <v>352</v>
      </c>
      <c r="D97" s="24">
        <v>1760000</v>
      </c>
      <c r="E97" s="24" t="s">
        <v>252</v>
      </c>
      <c r="F97" s="24" t="str">
        <f t="shared" si="2"/>
        <v>rtdc.l.rtdc.4017:itc</v>
      </c>
      <c r="G97" s="8">
        <f t="shared" si="3"/>
        <v>42594.471967592595</v>
      </c>
    </row>
    <row r="98" spans="1:7" x14ac:dyDescent="0.25">
      <c r="A98" s="8">
        <v>42594.47483796296</v>
      </c>
      <c r="B98" s="24" t="s">
        <v>121</v>
      </c>
      <c r="C98" s="24" t="s">
        <v>361</v>
      </c>
      <c r="D98" s="24">
        <v>2150000</v>
      </c>
      <c r="E98" s="24" t="s">
        <v>166</v>
      </c>
      <c r="F98" s="24" t="str">
        <f t="shared" si="2"/>
        <v>rtdc.l.rtdc.4014:itc</v>
      </c>
      <c r="G98" s="8">
        <f t="shared" si="3"/>
        <v>42594.47483796296</v>
      </c>
    </row>
    <row r="99" spans="1:7" x14ac:dyDescent="0.25">
      <c r="A99" s="8">
        <v>42594.483530092592</v>
      </c>
      <c r="B99" s="24" t="s">
        <v>652</v>
      </c>
      <c r="C99" s="24" t="s">
        <v>578</v>
      </c>
      <c r="D99" s="24">
        <v>1830000</v>
      </c>
      <c r="E99" s="24" t="s">
        <v>254</v>
      </c>
      <c r="F99" s="24" t="str">
        <f t="shared" si="2"/>
        <v>rtdc.l.rtdc.4008:itc</v>
      </c>
      <c r="G99" s="8">
        <f t="shared" si="3"/>
        <v>42594.483530092592</v>
      </c>
    </row>
    <row r="100" spans="1:7" x14ac:dyDescent="0.25">
      <c r="A100" s="8">
        <v>42594.485439814816</v>
      </c>
      <c r="B100" s="24" t="s">
        <v>98</v>
      </c>
      <c r="C100" s="24" t="s">
        <v>355</v>
      </c>
      <c r="D100" s="24">
        <v>900000</v>
      </c>
      <c r="E100" s="24" t="s">
        <v>183</v>
      </c>
      <c r="F100" s="24" t="str">
        <f t="shared" si="2"/>
        <v>rtdc.l.rtdc.4030:itc</v>
      </c>
      <c r="G100" s="8">
        <f t="shared" si="3"/>
        <v>42594.485439814816</v>
      </c>
    </row>
    <row r="101" spans="1:7" x14ac:dyDescent="0.25">
      <c r="A101" s="8">
        <v>42594.493483796294</v>
      </c>
      <c r="B101" s="24" t="s">
        <v>99</v>
      </c>
      <c r="C101" s="24" t="s">
        <v>364</v>
      </c>
      <c r="D101" s="24">
        <v>1240000</v>
      </c>
      <c r="E101" s="24" t="s">
        <v>666</v>
      </c>
      <c r="F101" s="24" t="str">
        <f t="shared" si="2"/>
        <v>rtdc.l.rtdc.4027:itc</v>
      </c>
      <c r="G101" s="8">
        <f t="shared" si="3"/>
        <v>42594.493483796294</v>
      </c>
    </row>
    <row r="102" spans="1:7" x14ac:dyDescent="0.25">
      <c r="A102" s="8">
        <v>42594.496539351851</v>
      </c>
      <c r="B102" s="24" t="s">
        <v>656</v>
      </c>
      <c r="C102" s="24" t="s">
        <v>357</v>
      </c>
      <c r="D102" s="24">
        <v>880000</v>
      </c>
      <c r="E102" s="24" t="s">
        <v>664</v>
      </c>
      <c r="F102" s="24" t="str">
        <f t="shared" si="2"/>
        <v>rtdc.l.rtdc.4019:itc</v>
      </c>
      <c r="G102" s="8">
        <f t="shared" si="3"/>
        <v>42594.496539351851</v>
      </c>
    </row>
    <row r="103" spans="1:7" x14ac:dyDescent="0.25">
      <c r="A103" s="8">
        <v>42594.496944444443</v>
      </c>
      <c r="B103" s="24" t="s">
        <v>657</v>
      </c>
      <c r="C103" s="24" t="s">
        <v>579</v>
      </c>
      <c r="D103" s="24">
        <v>1830000</v>
      </c>
      <c r="E103" s="24" t="s">
        <v>254</v>
      </c>
      <c r="F103" s="24" t="str">
        <f t="shared" si="2"/>
        <v>rtdc.l.rtdc.4007:itc</v>
      </c>
      <c r="G103" s="8">
        <f t="shared" si="3"/>
        <v>42594.496944444443</v>
      </c>
    </row>
    <row r="104" spans="1:7" x14ac:dyDescent="0.25">
      <c r="A104" s="8">
        <v>42594.500486111108</v>
      </c>
      <c r="B104" s="24" t="s">
        <v>255</v>
      </c>
      <c r="C104" s="24" t="s">
        <v>367</v>
      </c>
      <c r="D104" s="24">
        <v>1360000</v>
      </c>
      <c r="E104" s="24" t="s">
        <v>253</v>
      </c>
      <c r="F104" s="24" t="str">
        <f t="shared" si="2"/>
        <v>rtdc.l.rtdc.4038:itc</v>
      </c>
      <c r="G104" s="8">
        <f t="shared" si="3"/>
        <v>42594.500486111108</v>
      </c>
    </row>
    <row r="105" spans="1:7" x14ac:dyDescent="0.25">
      <c r="A105" s="8">
        <v>42594.506145833337</v>
      </c>
      <c r="B105" s="24" t="s">
        <v>124</v>
      </c>
      <c r="C105" s="24" t="s">
        <v>360</v>
      </c>
      <c r="D105" s="24">
        <v>1520000</v>
      </c>
      <c r="E105" s="24" t="s">
        <v>665</v>
      </c>
      <c r="F105" s="24" t="str">
        <f t="shared" si="2"/>
        <v>rtdc.l.rtdc.4032:itc</v>
      </c>
      <c r="G105" s="8">
        <f t="shared" si="3"/>
        <v>42594.506145833337</v>
      </c>
    </row>
    <row r="106" spans="1:7" x14ac:dyDescent="0.25">
      <c r="A106" s="8">
        <v>42594.508587962962</v>
      </c>
      <c r="B106" s="24" t="s">
        <v>658</v>
      </c>
      <c r="C106" s="24" t="s">
        <v>370</v>
      </c>
      <c r="D106" s="24">
        <v>2020000</v>
      </c>
      <c r="E106" s="24" t="s">
        <v>257</v>
      </c>
      <c r="F106" s="24" t="str">
        <f t="shared" si="2"/>
        <v>rtdc.l.rtdc.4018:itc</v>
      </c>
      <c r="G106" s="8">
        <f t="shared" si="3"/>
        <v>42594.508587962962</v>
      </c>
    </row>
    <row r="107" spans="1:7" x14ac:dyDescent="0.25">
      <c r="A107" s="8">
        <v>42594.510671296295</v>
      </c>
      <c r="B107" s="24" t="s">
        <v>95</v>
      </c>
      <c r="C107" s="24" t="s">
        <v>362</v>
      </c>
      <c r="D107" s="24">
        <v>2150000</v>
      </c>
      <c r="E107" s="24" t="s">
        <v>166</v>
      </c>
      <c r="F107" s="24" t="str">
        <f t="shared" si="2"/>
        <v>rtdc.l.rtdc.4013:itc</v>
      </c>
      <c r="G107" s="8">
        <f t="shared" si="3"/>
        <v>42594.510671296295</v>
      </c>
    </row>
    <row r="108" spans="1:7" x14ac:dyDescent="0.25">
      <c r="A108" s="8">
        <v>42594.51703703704</v>
      </c>
      <c r="B108" s="24" t="s">
        <v>97</v>
      </c>
      <c r="C108" s="24" t="s">
        <v>374</v>
      </c>
      <c r="D108" s="24">
        <v>2090000</v>
      </c>
      <c r="E108" s="24" t="s">
        <v>168</v>
      </c>
      <c r="F108" s="24" t="str">
        <f t="shared" si="2"/>
        <v>rtdc.l.rtdc.4029:itc</v>
      </c>
      <c r="G108" s="8">
        <f t="shared" si="3"/>
        <v>42594.51703703704</v>
      </c>
    </row>
    <row r="109" spans="1:7" x14ac:dyDescent="0.25">
      <c r="A109" s="8">
        <v>42594.526863425926</v>
      </c>
      <c r="B109" s="24" t="s">
        <v>652</v>
      </c>
      <c r="C109" s="24" t="s">
        <v>580</v>
      </c>
      <c r="D109" s="24">
        <v>1830000</v>
      </c>
      <c r="E109" s="24" t="s">
        <v>254</v>
      </c>
      <c r="F109" s="24" t="str">
        <f t="shared" si="2"/>
        <v>rtdc.l.rtdc.4008:itc</v>
      </c>
      <c r="G109" s="8">
        <f t="shared" si="3"/>
        <v>42594.526863425926</v>
      </c>
    </row>
    <row r="110" spans="1:7" x14ac:dyDescent="0.25">
      <c r="A110" s="8">
        <v>42594.52888888889</v>
      </c>
      <c r="B110" s="24" t="s">
        <v>653</v>
      </c>
      <c r="C110" s="24" t="s">
        <v>376</v>
      </c>
      <c r="D110" s="24">
        <v>880000</v>
      </c>
      <c r="E110" s="24" t="s">
        <v>664</v>
      </c>
      <c r="F110" s="24" t="str">
        <f t="shared" si="2"/>
        <v>rtdc.l.rtdc.4020:itc</v>
      </c>
      <c r="G110" s="8">
        <f t="shared" si="3"/>
        <v>42594.52888888889</v>
      </c>
    </row>
    <row r="111" spans="1:7" x14ac:dyDescent="0.25">
      <c r="A111" s="8">
        <v>42594.529606481483</v>
      </c>
      <c r="B111" s="24" t="s">
        <v>246</v>
      </c>
      <c r="C111" s="24" t="s">
        <v>365</v>
      </c>
      <c r="D111" s="24">
        <v>2040000</v>
      </c>
      <c r="E111" s="24" t="s">
        <v>207</v>
      </c>
      <c r="F111" s="24" t="str">
        <f t="shared" si="2"/>
        <v>rtdc.l.rtdc.4028:itc</v>
      </c>
      <c r="G111" s="8">
        <f t="shared" si="3"/>
        <v>42594.529606481483</v>
      </c>
    </row>
    <row r="112" spans="1:7" x14ac:dyDescent="0.25">
      <c r="A112" s="8">
        <v>42594.536828703705</v>
      </c>
      <c r="B112" s="24" t="s">
        <v>206</v>
      </c>
      <c r="C112" s="24" t="s">
        <v>369</v>
      </c>
      <c r="D112" s="24">
        <v>1360000</v>
      </c>
      <c r="E112" s="24" t="s">
        <v>253</v>
      </c>
      <c r="F112" s="24" t="str">
        <f t="shared" si="2"/>
        <v>rtdc.l.rtdc.4037:itc</v>
      </c>
      <c r="G112" s="8">
        <f t="shared" si="3"/>
        <v>42594.536828703705</v>
      </c>
    </row>
    <row r="113" spans="1:7" x14ac:dyDescent="0.25">
      <c r="A113" s="8">
        <v>42594.539548611108</v>
      </c>
      <c r="B113" s="24" t="s">
        <v>123</v>
      </c>
      <c r="C113" s="24" t="s">
        <v>379</v>
      </c>
      <c r="D113" s="24">
        <v>1520000</v>
      </c>
      <c r="E113" s="24" t="s">
        <v>665</v>
      </c>
      <c r="F113" s="24" t="str">
        <f t="shared" si="2"/>
        <v>rtdc.l.rtdc.4031:itc</v>
      </c>
      <c r="G113" s="8">
        <f t="shared" si="3"/>
        <v>42594.539548611108</v>
      </c>
    </row>
    <row r="114" spans="1:7" x14ac:dyDescent="0.25">
      <c r="A114" s="8">
        <v>42594.543923611112</v>
      </c>
      <c r="B114" s="24" t="s">
        <v>64</v>
      </c>
      <c r="C114" s="24" t="s">
        <v>372</v>
      </c>
      <c r="D114" s="24">
        <v>2020000</v>
      </c>
      <c r="E114" s="24" t="s">
        <v>257</v>
      </c>
      <c r="F114" s="24" t="str">
        <f t="shared" si="2"/>
        <v>rtdc.l.rtdc.4017:itc</v>
      </c>
      <c r="G114" s="8">
        <f t="shared" si="3"/>
        <v>42594.543923611112</v>
      </c>
    </row>
    <row r="115" spans="1:7" x14ac:dyDescent="0.25">
      <c r="A115" s="8">
        <v>42594.548541666663</v>
      </c>
      <c r="B115" s="24" t="s">
        <v>657</v>
      </c>
      <c r="C115" s="24" t="s">
        <v>582</v>
      </c>
      <c r="D115" s="24">
        <v>1540000</v>
      </c>
      <c r="E115" s="24" t="s">
        <v>167</v>
      </c>
      <c r="F115" s="24" t="str">
        <f t="shared" si="2"/>
        <v>rtdc.l.rtdc.4007:itc</v>
      </c>
      <c r="G115" s="8">
        <f t="shared" si="3"/>
        <v>42594.548541666663</v>
      </c>
    </row>
    <row r="116" spans="1:7" x14ac:dyDescent="0.25">
      <c r="A116" s="8">
        <v>42594.54960648148</v>
      </c>
      <c r="B116" s="24" t="s">
        <v>121</v>
      </c>
      <c r="C116" s="24" t="s">
        <v>381</v>
      </c>
      <c r="D116" s="24">
        <v>2150000</v>
      </c>
      <c r="E116" s="24" t="s">
        <v>166</v>
      </c>
      <c r="F116" s="24" t="str">
        <f t="shared" si="2"/>
        <v>rtdc.l.rtdc.4014:itc</v>
      </c>
      <c r="G116" s="8">
        <f t="shared" si="3"/>
        <v>42594.54960648148</v>
      </c>
    </row>
    <row r="117" spans="1:7" x14ac:dyDescent="0.25">
      <c r="A117" s="8">
        <v>42594.557534722226</v>
      </c>
      <c r="B117" s="24" t="s">
        <v>98</v>
      </c>
      <c r="C117" s="24" t="s">
        <v>375</v>
      </c>
      <c r="D117" s="24">
        <v>2090000</v>
      </c>
      <c r="E117" s="24" t="s">
        <v>168</v>
      </c>
      <c r="F117" s="24" t="str">
        <f t="shared" si="2"/>
        <v>rtdc.l.rtdc.4030:itc</v>
      </c>
      <c r="G117" s="8">
        <f t="shared" si="3"/>
        <v>42594.557534722226</v>
      </c>
    </row>
    <row r="118" spans="1:7" x14ac:dyDescent="0.25">
      <c r="A118" s="8">
        <v>42594.560590277775</v>
      </c>
      <c r="B118" s="24" t="s">
        <v>99</v>
      </c>
      <c r="C118" s="24" t="s">
        <v>384</v>
      </c>
      <c r="D118" s="24">
        <v>2040000</v>
      </c>
      <c r="E118" s="24" t="s">
        <v>207</v>
      </c>
      <c r="F118" s="24" t="str">
        <f t="shared" si="2"/>
        <v>rtdc.l.rtdc.4027:itc</v>
      </c>
      <c r="G118" s="8">
        <f t="shared" si="3"/>
        <v>42594.560590277775</v>
      </c>
    </row>
    <row r="119" spans="1:7" x14ac:dyDescent="0.25">
      <c r="A119" s="8">
        <v>42594.567187499997</v>
      </c>
      <c r="B119" s="24" t="s">
        <v>652</v>
      </c>
      <c r="C119" s="24" t="s">
        <v>585</v>
      </c>
      <c r="D119" s="24">
        <v>1540000</v>
      </c>
      <c r="E119" s="24" t="s">
        <v>167</v>
      </c>
      <c r="F119" s="24" t="str">
        <f t="shared" si="2"/>
        <v>rtdc.l.rtdc.4008:itc</v>
      </c>
      <c r="G119" s="8">
        <f t="shared" si="3"/>
        <v>42594.567187499997</v>
      </c>
    </row>
    <row r="120" spans="1:7" x14ac:dyDescent="0.25">
      <c r="A120" s="8">
        <v>42594.568553240744</v>
      </c>
      <c r="B120" s="24" t="s">
        <v>656</v>
      </c>
      <c r="C120" s="24" t="s">
        <v>378</v>
      </c>
      <c r="D120" s="24">
        <v>880000</v>
      </c>
      <c r="E120" s="24" t="s">
        <v>664</v>
      </c>
      <c r="F120" s="24" t="str">
        <f t="shared" si="2"/>
        <v>rtdc.l.rtdc.4019:itc</v>
      </c>
      <c r="G120" s="8">
        <f t="shared" si="3"/>
        <v>42594.568553240744</v>
      </c>
    </row>
    <row r="121" spans="1:7" x14ac:dyDescent="0.25">
      <c r="A121" s="8">
        <v>42594.569803240738</v>
      </c>
      <c r="B121" s="24" t="s">
        <v>255</v>
      </c>
      <c r="C121" s="24" t="s">
        <v>386</v>
      </c>
      <c r="D121" s="24">
        <v>1360000</v>
      </c>
      <c r="E121" s="24" t="s">
        <v>253</v>
      </c>
      <c r="F121" s="24" t="str">
        <f t="shared" si="2"/>
        <v>rtdc.l.rtdc.4038:itc</v>
      </c>
      <c r="G121" s="8">
        <f t="shared" si="3"/>
        <v>42594.569803240738</v>
      </c>
    </row>
    <row r="122" spans="1:7" x14ac:dyDescent="0.25">
      <c r="A122" s="8">
        <v>42594.57671296296</v>
      </c>
      <c r="B122" s="29" t="s">
        <v>124</v>
      </c>
      <c r="C122" s="24" t="s">
        <v>380</v>
      </c>
      <c r="D122" s="24">
        <v>1520000</v>
      </c>
      <c r="E122" s="24" t="s">
        <v>665</v>
      </c>
      <c r="F122" s="24" t="str">
        <f t="shared" si="2"/>
        <v>rtdc.l.rtdc.4032:itc</v>
      </c>
      <c r="G122" s="8">
        <f t="shared" si="3"/>
        <v>42594.57671296296</v>
      </c>
    </row>
    <row r="123" spans="1:7" x14ac:dyDescent="0.25">
      <c r="A123" s="8">
        <v>42594.578784722224</v>
      </c>
      <c r="B123" s="24" t="s">
        <v>658</v>
      </c>
      <c r="C123" s="24" t="s">
        <v>389</v>
      </c>
      <c r="D123" s="24">
        <v>2020000</v>
      </c>
      <c r="E123" s="24" t="s">
        <v>257</v>
      </c>
      <c r="F123" s="24" t="str">
        <f t="shared" si="2"/>
        <v>rtdc.l.rtdc.4018:itc</v>
      </c>
      <c r="G123" s="8">
        <f t="shared" si="3"/>
        <v>42594.578784722224</v>
      </c>
    </row>
    <row r="124" spans="1:7" x14ac:dyDescent="0.25">
      <c r="A124" s="8">
        <v>42594.587604166663</v>
      </c>
      <c r="B124" s="24" t="s">
        <v>95</v>
      </c>
      <c r="C124" s="24" t="s">
        <v>382</v>
      </c>
      <c r="D124" s="24">
        <v>2150000</v>
      </c>
      <c r="E124" s="24" t="s">
        <v>166</v>
      </c>
      <c r="F124" s="24" t="str">
        <f t="shared" si="2"/>
        <v>rtdc.l.rtdc.4013:itc</v>
      </c>
      <c r="G124" s="8">
        <f t="shared" si="3"/>
        <v>42594.587604166663</v>
      </c>
    </row>
    <row r="125" spans="1:7" x14ac:dyDescent="0.25">
      <c r="A125" s="8">
        <v>42594.591493055559</v>
      </c>
      <c r="B125" s="24" t="s">
        <v>97</v>
      </c>
      <c r="C125" s="24" t="s">
        <v>391</v>
      </c>
      <c r="D125" s="24">
        <v>2090000</v>
      </c>
      <c r="E125" s="24" t="s">
        <v>168</v>
      </c>
      <c r="F125" s="24" t="str">
        <f t="shared" si="2"/>
        <v>rtdc.l.rtdc.4029:itc</v>
      </c>
      <c r="G125" s="8">
        <f t="shared" si="3"/>
        <v>42594.591493055559</v>
      </c>
    </row>
    <row r="126" spans="1:7" x14ac:dyDescent="0.25">
      <c r="A126" s="8">
        <v>42594.594189814816</v>
      </c>
      <c r="B126" s="24" t="s">
        <v>657</v>
      </c>
      <c r="C126" s="24" t="s">
        <v>587</v>
      </c>
      <c r="D126" s="24">
        <v>1540000</v>
      </c>
      <c r="E126" s="24" t="s">
        <v>167</v>
      </c>
      <c r="F126" s="24" t="str">
        <f t="shared" si="2"/>
        <v>rtdc.l.rtdc.4007:itc</v>
      </c>
      <c r="G126" s="8">
        <f t="shared" si="3"/>
        <v>42594.594189814816</v>
      </c>
    </row>
    <row r="127" spans="1:7" x14ac:dyDescent="0.25">
      <c r="A127" s="8">
        <v>42594.597511574073</v>
      </c>
      <c r="B127" s="24" t="s">
        <v>246</v>
      </c>
      <c r="C127" s="24" t="s">
        <v>385</v>
      </c>
      <c r="D127" s="24">
        <v>2040000</v>
      </c>
      <c r="E127" s="24" t="s">
        <v>207</v>
      </c>
      <c r="F127" s="24" t="str">
        <f t="shared" si="2"/>
        <v>rtdc.l.rtdc.4028:itc</v>
      </c>
      <c r="G127" s="8">
        <f t="shared" si="3"/>
        <v>42594.597511574073</v>
      </c>
    </row>
    <row r="128" spans="1:7" x14ac:dyDescent="0.25">
      <c r="A128" s="8">
        <v>42594.599687499998</v>
      </c>
      <c r="B128" s="24" t="s">
        <v>206</v>
      </c>
      <c r="C128" s="24" t="s">
        <v>387</v>
      </c>
      <c r="D128" s="24">
        <v>1360000</v>
      </c>
      <c r="E128" s="24" t="s">
        <v>253</v>
      </c>
      <c r="F128" s="24" t="str">
        <f t="shared" si="2"/>
        <v>rtdc.l.rtdc.4037:itc</v>
      </c>
      <c r="G128" s="8">
        <f t="shared" si="3"/>
        <v>42594.599687499998</v>
      </c>
    </row>
    <row r="129" spans="1:7" x14ac:dyDescent="0.25">
      <c r="A129" s="8">
        <v>42594.601840277777</v>
      </c>
      <c r="B129" s="24" t="s">
        <v>653</v>
      </c>
      <c r="C129" s="24" t="s">
        <v>395</v>
      </c>
      <c r="D129" s="24">
        <v>880000</v>
      </c>
      <c r="E129" s="24" t="s">
        <v>664</v>
      </c>
      <c r="F129" s="24" t="str">
        <f t="shared" si="2"/>
        <v>rtdc.l.rtdc.4020:itc</v>
      </c>
      <c r="G129" s="8">
        <f t="shared" si="3"/>
        <v>42594.601840277777</v>
      </c>
    </row>
    <row r="130" spans="1:7" x14ac:dyDescent="0.25">
      <c r="A130" s="8">
        <v>42594.609571759262</v>
      </c>
      <c r="B130" s="24" t="s">
        <v>652</v>
      </c>
      <c r="C130" s="24" t="s">
        <v>589</v>
      </c>
      <c r="D130" s="24">
        <v>1540000</v>
      </c>
      <c r="E130" s="24" t="s">
        <v>167</v>
      </c>
      <c r="F130" s="24" t="str">
        <f t="shared" ref="F130:F193" si="4">B130</f>
        <v>rtdc.l.rtdc.4008:itc</v>
      </c>
      <c r="G130" s="8">
        <f t="shared" ref="G130:G193" si="5">A130</f>
        <v>42594.609571759262</v>
      </c>
    </row>
    <row r="131" spans="1:7" x14ac:dyDescent="0.25">
      <c r="A131" s="8">
        <v>42594.611006944448</v>
      </c>
      <c r="B131" s="24" t="s">
        <v>123</v>
      </c>
      <c r="C131" s="24" t="s">
        <v>399</v>
      </c>
      <c r="D131" s="24">
        <v>1520000</v>
      </c>
      <c r="E131" s="24" t="s">
        <v>665</v>
      </c>
      <c r="F131" s="24" t="str">
        <f t="shared" si="4"/>
        <v>rtdc.l.rtdc.4031:itc</v>
      </c>
      <c r="G131" s="8">
        <f t="shared" si="5"/>
        <v>42594.611006944448</v>
      </c>
    </row>
    <row r="132" spans="1:7" x14ac:dyDescent="0.25">
      <c r="A132" s="8">
        <v>42594.616678240738</v>
      </c>
      <c r="B132" s="24" t="s">
        <v>64</v>
      </c>
      <c r="C132" s="24" t="s">
        <v>390</v>
      </c>
      <c r="D132" s="24">
        <v>2020000</v>
      </c>
      <c r="E132" s="24" t="s">
        <v>257</v>
      </c>
      <c r="F132" s="24" t="str">
        <f t="shared" si="4"/>
        <v>rtdc.l.rtdc.4017:itc</v>
      </c>
      <c r="G132" s="8">
        <f t="shared" si="5"/>
        <v>42594.616678240738</v>
      </c>
    </row>
    <row r="133" spans="1:7" x14ac:dyDescent="0.25">
      <c r="A133" s="8">
        <v>42594.621423611112</v>
      </c>
      <c r="B133" s="24" t="s">
        <v>121</v>
      </c>
      <c r="C133" s="24" t="s">
        <v>401</v>
      </c>
      <c r="D133" s="24">
        <v>2150000</v>
      </c>
      <c r="E133" s="24" t="s">
        <v>166</v>
      </c>
      <c r="F133" s="24" t="str">
        <f t="shared" si="4"/>
        <v>rtdc.l.rtdc.4014:itc</v>
      </c>
      <c r="G133" s="8">
        <f t="shared" si="5"/>
        <v>42594.621423611112</v>
      </c>
    </row>
    <row r="134" spans="1:7" x14ac:dyDescent="0.25">
      <c r="A134" s="8">
        <v>42594.627523148149</v>
      </c>
      <c r="B134" s="24" t="s">
        <v>98</v>
      </c>
      <c r="C134" s="24" t="s">
        <v>394</v>
      </c>
      <c r="D134" s="24">
        <v>2090000</v>
      </c>
      <c r="E134" s="24" t="s">
        <v>168</v>
      </c>
      <c r="F134" s="24" t="str">
        <f t="shared" si="4"/>
        <v>rtdc.l.rtdc.4030:itc</v>
      </c>
      <c r="G134" s="8">
        <f t="shared" si="5"/>
        <v>42594.627523148149</v>
      </c>
    </row>
    <row r="135" spans="1:7" x14ac:dyDescent="0.25">
      <c r="A135" s="8">
        <v>42594.633425925924</v>
      </c>
      <c r="B135" s="24" t="s">
        <v>99</v>
      </c>
      <c r="C135" s="24" t="s">
        <v>405</v>
      </c>
      <c r="D135" s="24">
        <v>2040000</v>
      </c>
      <c r="E135" s="24" t="s">
        <v>207</v>
      </c>
      <c r="F135" s="24" t="str">
        <f t="shared" si="4"/>
        <v>rtdc.l.rtdc.4027:itc</v>
      </c>
      <c r="G135" s="8">
        <f t="shared" si="5"/>
        <v>42594.633425925924</v>
      </c>
    </row>
    <row r="136" spans="1:7" x14ac:dyDescent="0.25">
      <c r="A136" s="8">
        <v>42594.636030092595</v>
      </c>
      <c r="B136" s="24" t="s">
        <v>657</v>
      </c>
      <c r="C136" s="24" t="s">
        <v>592</v>
      </c>
      <c r="D136" s="24">
        <v>1540000</v>
      </c>
      <c r="E136" s="24" t="s">
        <v>167</v>
      </c>
      <c r="F136" s="24" t="str">
        <f t="shared" si="4"/>
        <v>rtdc.l.rtdc.4007:itc</v>
      </c>
      <c r="G136" s="8">
        <f t="shared" si="5"/>
        <v>42594.636030092595</v>
      </c>
    </row>
    <row r="137" spans="1:7" x14ac:dyDescent="0.25">
      <c r="A137" s="8">
        <v>42594.63921296296</v>
      </c>
      <c r="B137" s="24" t="s">
        <v>656</v>
      </c>
      <c r="C137" s="24" t="s">
        <v>396</v>
      </c>
      <c r="D137" s="24">
        <v>880000</v>
      </c>
      <c r="E137" s="24" t="s">
        <v>664</v>
      </c>
      <c r="F137" s="24" t="str">
        <f t="shared" si="4"/>
        <v>rtdc.l.rtdc.4019:itc</v>
      </c>
      <c r="G137" s="8">
        <f t="shared" si="5"/>
        <v>42594.63921296296</v>
      </c>
    </row>
    <row r="138" spans="1:7" x14ac:dyDescent="0.25">
      <c r="A138" s="8">
        <v>42594.643819444442</v>
      </c>
      <c r="B138" s="24" t="s">
        <v>255</v>
      </c>
      <c r="C138" s="24" t="s">
        <v>408</v>
      </c>
      <c r="D138" s="24">
        <v>1360000</v>
      </c>
      <c r="E138" s="24" t="s">
        <v>253</v>
      </c>
      <c r="F138" s="24" t="str">
        <f t="shared" si="4"/>
        <v>rtdc.l.rtdc.4038:itc</v>
      </c>
      <c r="G138" s="8">
        <f t="shared" si="5"/>
        <v>42594.643819444442</v>
      </c>
    </row>
    <row r="139" spans="1:7" x14ac:dyDescent="0.25">
      <c r="A139" s="8">
        <v>42594.645983796298</v>
      </c>
      <c r="B139" s="24" t="s">
        <v>249</v>
      </c>
      <c r="C139" s="24" t="s">
        <v>645</v>
      </c>
      <c r="D139" s="24">
        <v>1460000</v>
      </c>
      <c r="E139" s="24" t="s">
        <v>667</v>
      </c>
      <c r="F139" s="24" t="str">
        <f t="shared" si="4"/>
        <v>rtdc.l.rtdc.4041:itc</v>
      </c>
      <c r="G139" s="8">
        <f t="shared" si="5"/>
        <v>42594.645983796298</v>
      </c>
    </row>
    <row r="140" spans="1:7" x14ac:dyDescent="0.25">
      <c r="A140" s="8">
        <v>42594.65053240741</v>
      </c>
      <c r="B140" s="24" t="s">
        <v>124</v>
      </c>
      <c r="C140" s="24" t="s">
        <v>400</v>
      </c>
      <c r="D140" s="24">
        <v>1520000</v>
      </c>
      <c r="E140" s="24" t="s">
        <v>665</v>
      </c>
      <c r="F140" s="24" t="str">
        <f t="shared" si="4"/>
        <v>rtdc.l.rtdc.4032:itc</v>
      </c>
      <c r="G140" s="8">
        <f t="shared" si="5"/>
        <v>42594.65053240741</v>
      </c>
    </row>
    <row r="141" spans="1:7" x14ac:dyDescent="0.25">
      <c r="A141" s="8">
        <v>42594.651458333334</v>
      </c>
      <c r="B141" s="24" t="s">
        <v>652</v>
      </c>
      <c r="C141" s="24" t="s">
        <v>593</v>
      </c>
      <c r="D141" s="24">
        <v>1540000</v>
      </c>
      <c r="E141" s="24" t="s">
        <v>167</v>
      </c>
      <c r="F141" s="24" t="str">
        <f t="shared" si="4"/>
        <v>rtdc.l.rtdc.4008:itc</v>
      </c>
      <c r="G141" s="8">
        <f t="shared" si="5"/>
        <v>42594.651458333334</v>
      </c>
    </row>
    <row r="142" spans="1:7" x14ac:dyDescent="0.25">
      <c r="A142" s="8">
        <v>42594.653194444443</v>
      </c>
      <c r="B142" s="24" t="s">
        <v>658</v>
      </c>
      <c r="C142" s="24" t="s">
        <v>411</v>
      </c>
      <c r="D142" s="24">
        <v>2020000</v>
      </c>
      <c r="E142" s="24" t="s">
        <v>257</v>
      </c>
      <c r="F142" s="24" t="str">
        <f t="shared" si="4"/>
        <v>rtdc.l.rtdc.4018:itc</v>
      </c>
      <c r="G142" s="8">
        <f t="shared" si="5"/>
        <v>42594.653194444443</v>
      </c>
    </row>
    <row r="143" spans="1:7" x14ac:dyDescent="0.25">
      <c r="A143" s="8">
        <v>42594.659120370372</v>
      </c>
      <c r="B143" s="24" t="s">
        <v>247</v>
      </c>
      <c r="C143" s="24" t="s">
        <v>596</v>
      </c>
      <c r="D143" s="24">
        <v>1460000</v>
      </c>
      <c r="E143" s="24" t="s">
        <v>667</v>
      </c>
      <c r="F143" s="24" t="str">
        <f t="shared" si="4"/>
        <v>rtdc.l.rtdc.4042:itc</v>
      </c>
      <c r="G143" s="8">
        <f t="shared" si="5"/>
        <v>42594.659120370372</v>
      </c>
    </row>
    <row r="144" spans="1:7" x14ac:dyDescent="0.25">
      <c r="A144" s="8">
        <v>42594.660266203704</v>
      </c>
      <c r="B144" s="24" t="s">
        <v>95</v>
      </c>
      <c r="C144" s="24" t="s">
        <v>403</v>
      </c>
      <c r="D144" s="24">
        <v>2150000</v>
      </c>
      <c r="E144" s="24" t="s">
        <v>166</v>
      </c>
      <c r="F144" s="24" t="str">
        <f t="shared" si="4"/>
        <v>rtdc.l.rtdc.4013:itc</v>
      </c>
      <c r="G144" s="8">
        <f t="shared" si="5"/>
        <v>42594.660266203704</v>
      </c>
    </row>
    <row r="145" spans="1:7" x14ac:dyDescent="0.25">
      <c r="A145" s="8">
        <v>42594.662916666668</v>
      </c>
      <c r="B145" s="24" t="s">
        <v>97</v>
      </c>
      <c r="C145" s="24" t="s">
        <v>414</v>
      </c>
      <c r="D145" s="24">
        <v>2090000</v>
      </c>
      <c r="E145" s="24" t="s">
        <v>168</v>
      </c>
      <c r="F145" s="24" t="str">
        <f t="shared" si="4"/>
        <v>rtdc.l.rtdc.4029:itc</v>
      </c>
      <c r="G145" s="8">
        <f t="shared" si="5"/>
        <v>42594.662916666668</v>
      </c>
    </row>
    <row r="146" spans="1:7" x14ac:dyDescent="0.25">
      <c r="A146" s="8">
        <v>42594.671365740738</v>
      </c>
      <c r="B146" s="24" t="s">
        <v>246</v>
      </c>
      <c r="C146" s="24" t="s">
        <v>407</v>
      </c>
      <c r="D146" s="24">
        <v>2040000</v>
      </c>
      <c r="E146" s="24" t="s">
        <v>207</v>
      </c>
      <c r="F146" s="24" t="str">
        <f t="shared" si="4"/>
        <v>rtdc.l.rtdc.4028:itc</v>
      </c>
      <c r="G146" s="8">
        <f t="shared" si="5"/>
        <v>42594.671365740738</v>
      </c>
    </row>
    <row r="147" spans="1:7" x14ac:dyDescent="0.25">
      <c r="A147" s="8">
        <v>42594.672997685186</v>
      </c>
      <c r="B147" s="24" t="s">
        <v>206</v>
      </c>
      <c r="C147" s="24" t="s">
        <v>410</v>
      </c>
      <c r="D147" s="24">
        <v>1360000</v>
      </c>
      <c r="E147" s="24" t="s">
        <v>253</v>
      </c>
      <c r="F147" s="24" t="str">
        <f t="shared" si="4"/>
        <v>rtdc.l.rtdc.4037:itc</v>
      </c>
      <c r="G147" s="8">
        <f t="shared" si="5"/>
        <v>42594.672997685186</v>
      </c>
    </row>
    <row r="148" spans="1:7" x14ac:dyDescent="0.25">
      <c r="A148" s="8">
        <v>42594.674270833333</v>
      </c>
      <c r="B148" s="24" t="s">
        <v>653</v>
      </c>
      <c r="C148" s="24" t="s">
        <v>418</v>
      </c>
      <c r="D148" s="24">
        <v>880000</v>
      </c>
      <c r="E148" s="24" t="s">
        <v>664</v>
      </c>
      <c r="F148" s="24" t="str">
        <f t="shared" si="4"/>
        <v>rtdc.l.rtdc.4020:itc</v>
      </c>
      <c r="G148" s="8">
        <f t="shared" si="5"/>
        <v>42594.674270833333</v>
      </c>
    </row>
    <row r="149" spans="1:7" x14ac:dyDescent="0.25">
      <c r="A149" s="8">
        <v>42594.674629629626</v>
      </c>
      <c r="B149" s="24" t="s">
        <v>249</v>
      </c>
      <c r="C149" s="24" t="s">
        <v>598</v>
      </c>
      <c r="D149" s="24">
        <v>1460000</v>
      </c>
      <c r="E149" s="24" t="s">
        <v>667</v>
      </c>
      <c r="F149" s="24" t="str">
        <f t="shared" si="4"/>
        <v>rtdc.l.rtdc.4041:itc</v>
      </c>
      <c r="G149" s="8">
        <f t="shared" si="5"/>
        <v>42594.674629629626</v>
      </c>
    </row>
    <row r="150" spans="1:7" x14ac:dyDescent="0.25">
      <c r="A150" s="8">
        <v>42594.677662037036</v>
      </c>
      <c r="B150" s="24" t="s">
        <v>657</v>
      </c>
      <c r="C150" s="24" t="s">
        <v>600</v>
      </c>
      <c r="D150" s="24">
        <v>1540000</v>
      </c>
      <c r="E150" s="24" t="s">
        <v>167</v>
      </c>
      <c r="F150" s="24" t="str">
        <f t="shared" si="4"/>
        <v>rtdc.l.rtdc.4007:itc</v>
      </c>
      <c r="G150" s="8">
        <f t="shared" si="5"/>
        <v>42594.677662037036</v>
      </c>
    </row>
    <row r="151" spans="1:7" x14ac:dyDescent="0.25">
      <c r="A151" s="8">
        <v>42594.684976851851</v>
      </c>
      <c r="B151" s="24" t="s">
        <v>123</v>
      </c>
      <c r="C151" s="24" t="s">
        <v>422</v>
      </c>
      <c r="D151" s="24">
        <v>1520000</v>
      </c>
      <c r="E151" s="24" t="s">
        <v>665</v>
      </c>
      <c r="F151" s="24" t="str">
        <f t="shared" si="4"/>
        <v>rtdc.l.rtdc.4031:itc</v>
      </c>
      <c r="G151" s="8">
        <f t="shared" si="5"/>
        <v>42594.684976851851</v>
      </c>
    </row>
    <row r="152" spans="1:7" x14ac:dyDescent="0.25">
      <c r="A152" s="8">
        <v>42594.689583333333</v>
      </c>
      <c r="B152" s="24" t="s">
        <v>64</v>
      </c>
      <c r="C152" s="24" t="s">
        <v>412</v>
      </c>
      <c r="D152" s="24">
        <v>2020000</v>
      </c>
      <c r="E152" s="24" t="s">
        <v>257</v>
      </c>
      <c r="F152" s="24" t="str">
        <f t="shared" si="4"/>
        <v>rtdc.l.rtdc.4017:itc</v>
      </c>
      <c r="G152" s="8">
        <f t="shared" si="5"/>
        <v>42594.689583333333</v>
      </c>
    </row>
    <row r="153" spans="1:7" x14ac:dyDescent="0.25">
      <c r="A153" s="8">
        <v>42594.692604166667</v>
      </c>
      <c r="B153" s="24" t="s">
        <v>247</v>
      </c>
      <c r="C153" s="24" t="s">
        <v>604</v>
      </c>
      <c r="D153" s="24">
        <v>1460000</v>
      </c>
      <c r="E153" s="24" t="s">
        <v>667</v>
      </c>
      <c r="F153" s="24" t="str">
        <f t="shared" si="4"/>
        <v>rtdc.l.rtdc.4042:itc</v>
      </c>
      <c r="G153" s="8">
        <f t="shared" si="5"/>
        <v>42594.692604166667</v>
      </c>
    </row>
    <row r="154" spans="1:7" x14ac:dyDescent="0.25">
      <c r="A154" s="8">
        <v>42594.69295138889</v>
      </c>
      <c r="B154" s="24" t="s">
        <v>652</v>
      </c>
      <c r="C154" s="24" t="s">
        <v>603</v>
      </c>
      <c r="D154" s="24">
        <v>1540000</v>
      </c>
      <c r="E154" s="24" t="s">
        <v>167</v>
      </c>
      <c r="F154" s="24" t="str">
        <f t="shared" si="4"/>
        <v>rtdc.l.rtdc.4008:itc</v>
      </c>
      <c r="G154" s="8">
        <f t="shared" si="5"/>
        <v>42594.69295138889</v>
      </c>
    </row>
    <row r="155" spans="1:7" x14ac:dyDescent="0.25">
      <c r="A155" s="8">
        <v>42594.693229166667</v>
      </c>
      <c r="B155" s="24" t="s">
        <v>121</v>
      </c>
      <c r="C155" s="24" t="s">
        <v>424</v>
      </c>
      <c r="D155" s="24">
        <v>2150000</v>
      </c>
      <c r="E155" s="24" t="s">
        <v>166</v>
      </c>
      <c r="F155" s="24" t="str">
        <f t="shared" si="4"/>
        <v>rtdc.l.rtdc.4014:itc</v>
      </c>
      <c r="G155" s="8">
        <f t="shared" si="5"/>
        <v>42594.693229166667</v>
      </c>
    </row>
    <row r="156" spans="1:7" x14ac:dyDescent="0.25">
      <c r="A156" s="8">
        <v>42594.701122685183</v>
      </c>
      <c r="B156" s="24" t="s">
        <v>98</v>
      </c>
      <c r="C156" s="24" t="s">
        <v>416</v>
      </c>
      <c r="D156" s="24">
        <v>2090000</v>
      </c>
      <c r="E156" s="24" t="s">
        <v>168</v>
      </c>
      <c r="F156" s="24" t="str">
        <f t="shared" si="4"/>
        <v>rtdc.l.rtdc.4030:itc</v>
      </c>
      <c r="G156" s="8">
        <f t="shared" si="5"/>
        <v>42594.701122685183</v>
      </c>
    </row>
    <row r="157" spans="1:7" x14ac:dyDescent="0.25">
      <c r="A157" s="8">
        <v>42594.70621527778</v>
      </c>
      <c r="B157" s="24" t="s">
        <v>99</v>
      </c>
      <c r="C157" s="24" t="s">
        <v>426</v>
      </c>
      <c r="D157" s="24">
        <v>2040000</v>
      </c>
      <c r="E157" s="24" t="s">
        <v>207</v>
      </c>
      <c r="F157" s="24" t="str">
        <f t="shared" si="4"/>
        <v>rtdc.l.rtdc.4027:itc</v>
      </c>
      <c r="G157" s="8">
        <f t="shared" si="5"/>
        <v>42594.70621527778</v>
      </c>
    </row>
    <row r="158" spans="1:7" x14ac:dyDescent="0.25">
      <c r="A158" s="8">
        <v>42594.712592592594</v>
      </c>
      <c r="B158" s="24" t="s">
        <v>248</v>
      </c>
      <c r="C158" s="24" t="s">
        <v>504</v>
      </c>
      <c r="D158" s="24">
        <v>1230000</v>
      </c>
      <c r="E158" s="24" t="s">
        <v>668</v>
      </c>
      <c r="F158" s="24" t="str">
        <f t="shared" si="4"/>
        <v>rtdc.l.rtdc.4021:itc</v>
      </c>
      <c r="G158" s="8">
        <f t="shared" si="5"/>
        <v>42594.712592592594</v>
      </c>
    </row>
    <row r="159" spans="1:7" x14ac:dyDescent="0.25">
      <c r="A159" s="8">
        <v>42594.713182870371</v>
      </c>
      <c r="B159" s="24" t="s">
        <v>248</v>
      </c>
      <c r="C159" s="24" t="s">
        <v>504</v>
      </c>
      <c r="D159" s="24">
        <v>1230000</v>
      </c>
      <c r="E159" s="24" t="s">
        <v>668</v>
      </c>
      <c r="F159" s="24" t="str">
        <f t="shared" si="4"/>
        <v>rtdc.l.rtdc.4021:itc</v>
      </c>
      <c r="G159" s="8">
        <f t="shared" si="5"/>
        <v>42594.713182870371</v>
      </c>
    </row>
    <row r="160" spans="1:7" x14ac:dyDescent="0.25">
      <c r="A160" s="8">
        <v>42594.71434027778</v>
      </c>
      <c r="B160" s="24" t="s">
        <v>656</v>
      </c>
      <c r="C160" s="24" t="s">
        <v>420</v>
      </c>
      <c r="D160" s="24">
        <v>880000</v>
      </c>
      <c r="E160" s="24" t="s">
        <v>664</v>
      </c>
      <c r="F160" s="24" t="str">
        <f t="shared" si="4"/>
        <v>rtdc.l.rtdc.4019:itc</v>
      </c>
      <c r="G160" s="8">
        <f t="shared" si="5"/>
        <v>42594.71434027778</v>
      </c>
    </row>
    <row r="161" spans="1:7" x14ac:dyDescent="0.25">
      <c r="A161" s="8">
        <v>42594.71465277778</v>
      </c>
      <c r="B161" s="24" t="s">
        <v>249</v>
      </c>
      <c r="C161" s="24" t="s">
        <v>606</v>
      </c>
      <c r="D161" s="24">
        <v>1460000</v>
      </c>
      <c r="E161" s="24" t="s">
        <v>667</v>
      </c>
      <c r="F161" s="24" t="str">
        <f t="shared" si="4"/>
        <v>rtdc.l.rtdc.4041:itc</v>
      </c>
      <c r="G161" s="8">
        <f t="shared" si="5"/>
        <v>42594.71465277778</v>
      </c>
    </row>
    <row r="162" spans="1:7" x14ac:dyDescent="0.25">
      <c r="A162" s="8">
        <v>42594.716423611113</v>
      </c>
      <c r="B162" s="24" t="s">
        <v>255</v>
      </c>
      <c r="C162" s="24" t="s">
        <v>428</v>
      </c>
      <c r="D162" s="24">
        <v>1360000</v>
      </c>
      <c r="E162" s="24" t="s">
        <v>253</v>
      </c>
      <c r="F162" s="24" t="str">
        <f t="shared" si="4"/>
        <v>rtdc.l.rtdc.4038:itc</v>
      </c>
      <c r="G162" s="8">
        <f t="shared" si="5"/>
        <v>42594.716423611113</v>
      </c>
    </row>
    <row r="163" spans="1:7" x14ac:dyDescent="0.25">
      <c r="A163" s="8">
        <v>42594.721087962964</v>
      </c>
      <c r="B163" s="24" t="s">
        <v>657</v>
      </c>
      <c r="C163" s="24" t="s">
        <v>609</v>
      </c>
      <c r="D163" s="24">
        <v>1540000</v>
      </c>
      <c r="E163" s="24" t="s">
        <v>167</v>
      </c>
      <c r="F163" s="24" t="str">
        <f t="shared" si="4"/>
        <v>rtdc.l.rtdc.4007:itc</v>
      </c>
      <c r="G163" s="8">
        <f t="shared" si="5"/>
        <v>42594.721087962964</v>
      </c>
    </row>
    <row r="164" spans="1:7" x14ac:dyDescent="0.25">
      <c r="A164" s="8">
        <v>42594.723541666666</v>
      </c>
      <c r="B164" s="24" t="s">
        <v>124</v>
      </c>
      <c r="C164" s="24" t="s">
        <v>423</v>
      </c>
      <c r="D164" s="24">
        <v>1520000</v>
      </c>
      <c r="E164" s="24" t="s">
        <v>665</v>
      </c>
      <c r="F164" s="24" t="str">
        <f t="shared" si="4"/>
        <v>rtdc.l.rtdc.4032:itc</v>
      </c>
      <c r="G164" s="8">
        <f t="shared" si="5"/>
        <v>42594.723541666666</v>
      </c>
    </row>
    <row r="165" spans="1:7" x14ac:dyDescent="0.25">
      <c r="A165" s="8">
        <v>42594.724594907406</v>
      </c>
      <c r="B165" s="24" t="s">
        <v>658</v>
      </c>
      <c r="C165" s="24" t="s">
        <v>431</v>
      </c>
      <c r="D165" s="24">
        <v>2020000</v>
      </c>
      <c r="E165" s="24" t="s">
        <v>257</v>
      </c>
      <c r="F165" s="24" t="str">
        <f t="shared" si="4"/>
        <v>rtdc.l.rtdc.4018:itc</v>
      </c>
      <c r="G165" s="8">
        <f t="shared" si="5"/>
        <v>42594.724594907406</v>
      </c>
    </row>
    <row r="166" spans="1:7" x14ac:dyDescent="0.25">
      <c r="A166" s="8">
        <v>42594.735775462963</v>
      </c>
      <c r="B166" s="24" t="s">
        <v>95</v>
      </c>
      <c r="C166" s="24" t="s">
        <v>425</v>
      </c>
      <c r="D166" s="24">
        <v>2150000</v>
      </c>
      <c r="E166" s="24" t="s">
        <v>166</v>
      </c>
      <c r="F166" s="24" t="str">
        <f t="shared" si="4"/>
        <v>rtdc.l.rtdc.4013:itc</v>
      </c>
      <c r="G166" s="8">
        <f t="shared" si="5"/>
        <v>42594.735775462963</v>
      </c>
    </row>
    <row r="167" spans="1:7" x14ac:dyDescent="0.25">
      <c r="A167" s="8">
        <v>42594.735925925925</v>
      </c>
      <c r="B167" s="24" t="s">
        <v>652</v>
      </c>
      <c r="C167" s="24" t="s">
        <v>611</v>
      </c>
      <c r="D167" s="24">
        <v>1540000</v>
      </c>
      <c r="E167" s="24" t="s">
        <v>167</v>
      </c>
      <c r="F167" s="24" t="str">
        <f t="shared" si="4"/>
        <v>rtdc.l.rtdc.4008:itc</v>
      </c>
      <c r="G167" s="8">
        <f t="shared" si="5"/>
        <v>42594.735925925925</v>
      </c>
    </row>
    <row r="168" spans="1:7" x14ac:dyDescent="0.25">
      <c r="A168" s="8">
        <v>42594.736087962963</v>
      </c>
      <c r="B168" s="24" t="s">
        <v>247</v>
      </c>
      <c r="C168" s="24" t="s">
        <v>614</v>
      </c>
      <c r="D168" s="24">
        <v>1460000</v>
      </c>
      <c r="E168" s="24" t="s">
        <v>667</v>
      </c>
      <c r="F168" s="24" t="str">
        <f t="shared" si="4"/>
        <v>rtdc.l.rtdc.4042:itc</v>
      </c>
      <c r="G168" s="8">
        <f t="shared" si="5"/>
        <v>42594.736087962963</v>
      </c>
    </row>
    <row r="169" spans="1:7" x14ac:dyDescent="0.25">
      <c r="A169" s="8">
        <v>42594.737233796295</v>
      </c>
      <c r="B169" s="24" t="s">
        <v>97</v>
      </c>
      <c r="C169" s="24" t="s">
        <v>436</v>
      </c>
      <c r="D169" s="24">
        <v>2090000</v>
      </c>
      <c r="E169" s="24" t="s">
        <v>168</v>
      </c>
      <c r="F169" s="24" t="str">
        <f t="shared" si="4"/>
        <v>rtdc.l.rtdc.4029:itc</v>
      </c>
      <c r="G169" s="8">
        <f t="shared" si="5"/>
        <v>42594.737233796295</v>
      </c>
    </row>
    <row r="170" spans="1:7" x14ac:dyDescent="0.25">
      <c r="A170" s="8">
        <v>42594.737349537034</v>
      </c>
      <c r="B170" s="24" t="s">
        <v>669</v>
      </c>
      <c r="C170" s="24" t="s">
        <v>525</v>
      </c>
      <c r="D170" s="24">
        <v>2000000</v>
      </c>
      <c r="E170" s="24" t="s">
        <v>205</v>
      </c>
      <c r="F170" s="24" t="str">
        <f t="shared" si="4"/>
        <v>rtdc.l.rtdc.4062:itc</v>
      </c>
      <c r="G170" s="8">
        <f t="shared" si="5"/>
        <v>42594.737349537034</v>
      </c>
    </row>
    <row r="171" spans="1:7" x14ac:dyDescent="0.25">
      <c r="A171" s="8">
        <v>42594.738206018519</v>
      </c>
      <c r="B171" s="24" t="s">
        <v>669</v>
      </c>
      <c r="C171" s="24" t="s">
        <v>525</v>
      </c>
      <c r="D171" s="24">
        <v>2000000</v>
      </c>
      <c r="E171" s="24" t="s">
        <v>205</v>
      </c>
      <c r="F171" s="24" t="str">
        <f t="shared" si="4"/>
        <v>rtdc.l.rtdc.4062:itc</v>
      </c>
      <c r="G171" s="8">
        <f t="shared" si="5"/>
        <v>42594.738206018519</v>
      </c>
    </row>
    <row r="172" spans="1:7" x14ac:dyDescent="0.25">
      <c r="A172" s="8">
        <v>42594.738981481481</v>
      </c>
      <c r="B172" s="24" t="s">
        <v>669</v>
      </c>
      <c r="C172" s="24" t="s">
        <v>525</v>
      </c>
      <c r="D172" s="24">
        <v>2000000</v>
      </c>
      <c r="E172" s="24" t="s">
        <v>205</v>
      </c>
      <c r="F172" s="24" t="str">
        <f t="shared" si="4"/>
        <v>rtdc.l.rtdc.4062:itc</v>
      </c>
      <c r="G172" s="8">
        <f t="shared" si="5"/>
        <v>42594.738981481481</v>
      </c>
    </row>
    <row r="173" spans="1:7" x14ac:dyDescent="0.25">
      <c r="A173" s="8">
        <v>42594.739756944444</v>
      </c>
      <c r="B173" s="24" t="s">
        <v>669</v>
      </c>
      <c r="C173" s="24" t="s">
        <v>525</v>
      </c>
      <c r="D173" s="24">
        <v>2000000</v>
      </c>
      <c r="E173" s="24" t="s">
        <v>205</v>
      </c>
      <c r="F173" s="24" t="str">
        <f t="shared" si="4"/>
        <v>rtdc.l.rtdc.4062:itc</v>
      </c>
      <c r="G173" s="8">
        <f t="shared" si="5"/>
        <v>42594.739756944444</v>
      </c>
    </row>
    <row r="174" spans="1:7" x14ac:dyDescent="0.25">
      <c r="A174" s="8">
        <v>42594.746076388888</v>
      </c>
      <c r="B174" s="24" t="s">
        <v>246</v>
      </c>
      <c r="C174" s="24" t="s">
        <v>427</v>
      </c>
      <c r="D174" s="24">
        <v>2040000</v>
      </c>
      <c r="E174" s="24" t="s">
        <v>207</v>
      </c>
      <c r="F174" s="24" t="str">
        <f t="shared" si="4"/>
        <v>rtdc.l.rtdc.4028:itc</v>
      </c>
      <c r="G174" s="8">
        <f t="shared" si="5"/>
        <v>42594.746076388888</v>
      </c>
    </row>
    <row r="175" spans="1:7" x14ac:dyDescent="0.25">
      <c r="A175" s="8">
        <v>42594.746446759258</v>
      </c>
      <c r="B175" s="24" t="s">
        <v>206</v>
      </c>
      <c r="C175" s="24" t="s">
        <v>429</v>
      </c>
      <c r="D175" s="24">
        <v>1360000</v>
      </c>
      <c r="E175" s="24" t="s">
        <v>253</v>
      </c>
      <c r="F175" s="24" t="str">
        <f t="shared" si="4"/>
        <v>rtdc.l.rtdc.4037:itc</v>
      </c>
      <c r="G175" s="8">
        <f t="shared" si="5"/>
        <v>42594.746446759258</v>
      </c>
    </row>
    <row r="176" spans="1:7" x14ac:dyDescent="0.25">
      <c r="A176" s="8">
        <v>42594.748113425929</v>
      </c>
      <c r="B176" s="24" t="s">
        <v>653</v>
      </c>
      <c r="C176" s="24" t="s">
        <v>439</v>
      </c>
      <c r="D176" s="24">
        <v>2090000</v>
      </c>
      <c r="E176" s="24" t="s">
        <v>168</v>
      </c>
      <c r="F176" s="24" t="str">
        <f t="shared" si="4"/>
        <v>rtdc.l.rtdc.4020:itc</v>
      </c>
      <c r="G176" s="8">
        <f t="shared" si="5"/>
        <v>42594.748113425929</v>
      </c>
    </row>
    <row r="177" spans="1:7" x14ac:dyDescent="0.25">
      <c r="A177" s="8">
        <v>42594.755902777775</v>
      </c>
      <c r="B177" s="24" t="s">
        <v>249</v>
      </c>
      <c r="C177" s="24" t="s">
        <v>616</v>
      </c>
      <c r="D177" s="24">
        <v>1460000</v>
      </c>
      <c r="E177" s="24" t="s">
        <v>667</v>
      </c>
      <c r="F177" s="24" t="str">
        <f t="shared" si="4"/>
        <v>rtdc.l.rtdc.4041:itc</v>
      </c>
      <c r="G177" s="8">
        <f t="shared" si="5"/>
        <v>42594.755902777775</v>
      </c>
    </row>
    <row r="178" spans="1:7" x14ac:dyDescent="0.25">
      <c r="A178" s="8">
        <v>42594.759988425925</v>
      </c>
      <c r="B178" s="24" t="s">
        <v>123</v>
      </c>
      <c r="C178" s="24" t="s">
        <v>443</v>
      </c>
      <c r="D178" s="24">
        <v>2000000</v>
      </c>
      <c r="E178" s="24" t="s">
        <v>205</v>
      </c>
      <c r="F178" s="24" t="str">
        <f t="shared" si="4"/>
        <v>rtdc.l.rtdc.4031:itc</v>
      </c>
      <c r="G178" s="8">
        <f t="shared" si="5"/>
        <v>42594.759988425925</v>
      </c>
    </row>
    <row r="179" spans="1:7" x14ac:dyDescent="0.25">
      <c r="A179" s="8">
        <v>42594.760185185187</v>
      </c>
      <c r="B179" s="24" t="s">
        <v>670</v>
      </c>
      <c r="C179" s="24" t="s">
        <v>506</v>
      </c>
      <c r="D179" s="24">
        <v>880000</v>
      </c>
      <c r="E179" s="24" t="s">
        <v>664</v>
      </c>
      <c r="F179" s="24" t="str">
        <f t="shared" si="4"/>
        <v>rtdc.l.rtdc.4061:itc</v>
      </c>
      <c r="G179" s="8">
        <f t="shared" si="5"/>
        <v>42594.760185185187</v>
      </c>
    </row>
    <row r="180" spans="1:7" x14ac:dyDescent="0.25">
      <c r="A180" s="8">
        <v>42594.761874999997</v>
      </c>
      <c r="B180" s="24" t="s">
        <v>64</v>
      </c>
      <c r="C180" s="24" t="s">
        <v>433</v>
      </c>
      <c r="D180" s="24">
        <v>2020000</v>
      </c>
      <c r="E180" s="24" t="s">
        <v>257</v>
      </c>
      <c r="F180" s="24" t="str">
        <f t="shared" si="4"/>
        <v>rtdc.l.rtdc.4017:itc</v>
      </c>
      <c r="G180" s="8">
        <f t="shared" si="5"/>
        <v>42594.761874999997</v>
      </c>
    </row>
    <row r="181" spans="1:7" x14ac:dyDescent="0.25">
      <c r="A181" s="8">
        <v>42594.764791666668</v>
      </c>
      <c r="B181" s="24" t="s">
        <v>657</v>
      </c>
      <c r="C181" s="24" t="s">
        <v>618</v>
      </c>
      <c r="D181" s="24">
        <v>1540000</v>
      </c>
      <c r="E181" s="24" t="s">
        <v>167</v>
      </c>
      <c r="F181" s="24" t="str">
        <f t="shared" si="4"/>
        <v>rtdc.l.rtdc.4007:itc</v>
      </c>
      <c r="G181" s="8">
        <f t="shared" si="5"/>
        <v>42594.764791666668</v>
      </c>
    </row>
    <row r="182" spans="1:7" x14ac:dyDescent="0.25">
      <c r="A182" s="8">
        <v>42594.764837962961</v>
      </c>
      <c r="B182" s="24" t="s">
        <v>671</v>
      </c>
      <c r="C182" s="24" t="s">
        <v>528</v>
      </c>
      <c r="D182" s="24">
        <v>1520000</v>
      </c>
      <c r="E182" s="24" t="s">
        <v>665</v>
      </c>
      <c r="F182" s="24" t="str">
        <f t="shared" si="4"/>
        <v>rtdc.l.rtdc.4022:itc</v>
      </c>
      <c r="G182" s="8">
        <f t="shared" si="5"/>
        <v>42594.764837962961</v>
      </c>
    </row>
    <row r="183" spans="1:7" x14ac:dyDescent="0.25">
      <c r="A183" s="8">
        <v>42594.769560185188</v>
      </c>
      <c r="B183" s="24" t="s">
        <v>121</v>
      </c>
      <c r="C183" s="24" t="s">
        <v>447</v>
      </c>
      <c r="D183" s="24">
        <v>2100000</v>
      </c>
      <c r="E183" s="24" t="s">
        <v>169</v>
      </c>
      <c r="F183" s="24" t="str">
        <f t="shared" si="4"/>
        <v>rtdc.l.rtdc.4014:itc</v>
      </c>
      <c r="G183" s="8">
        <f t="shared" si="5"/>
        <v>42594.769560185188</v>
      </c>
    </row>
    <row r="184" spans="1:7" x14ac:dyDescent="0.25">
      <c r="A184" s="8">
        <v>42594.772847222222</v>
      </c>
      <c r="B184" s="24" t="s">
        <v>98</v>
      </c>
      <c r="C184" s="24" t="s">
        <v>438</v>
      </c>
      <c r="D184" s="24">
        <v>2140000</v>
      </c>
      <c r="E184" s="24" t="s">
        <v>186</v>
      </c>
      <c r="F184" s="24" t="str">
        <f t="shared" si="4"/>
        <v>rtdc.l.rtdc.4030:itc</v>
      </c>
      <c r="G184" s="8">
        <f t="shared" si="5"/>
        <v>42594.772847222222</v>
      </c>
    </row>
    <row r="185" spans="1:7" x14ac:dyDescent="0.25">
      <c r="A185" s="8">
        <v>42594.776712962965</v>
      </c>
      <c r="B185" s="24" t="s">
        <v>652</v>
      </c>
      <c r="C185" s="24" t="s">
        <v>621</v>
      </c>
      <c r="D185" s="24">
        <v>1540000</v>
      </c>
      <c r="E185" s="24" t="s">
        <v>167</v>
      </c>
      <c r="F185" s="24" t="str">
        <f t="shared" si="4"/>
        <v>rtdc.l.rtdc.4008:itc</v>
      </c>
      <c r="G185" s="8">
        <f t="shared" si="5"/>
        <v>42594.776712962965</v>
      </c>
    </row>
    <row r="186" spans="1:7" x14ac:dyDescent="0.25">
      <c r="A186" s="8">
        <v>42594.777488425927</v>
      </c>
      <c r="B186" s="24" t="s">
        <v>114</v>
      </c>
      <c r="C186" s="24" t="s">
        <v>531</v>
      </c>
      <c r="D186" s="24">
        <v>1300000</v>
      </c>
      <c r="E186" s="24" t="s">
        <v>185</v>
      </c>
      <c r="F186" s="24" t="str">
        <f t="shared" si="4"/>
        <v>rtdc.l.rtdc.4015:itc</v>
      </c>
      <c r="G186" s="8">
        <f t="shared" si="5"/>
        <v>42594.777488425927</v>
      </c>
    </row>
    <row r="187" spans="1:7" x14ac:dyDescent="0.25">
      <c r="A187" s="8">
        <v>42594.77815972222</v>
      </c>
      <c r="B187" s="24" t="s">
        <v>247</v>
      </c>
      <c r="C187" s="24" t="s">
        <v>624</v>
      </c>
      <c r="D187" s="24">
        <v>1460000</v>
      </c>
      <c r="E187" s="24" t="s">
        <v>667</v>
      </c>
      <c r="F187" s="24" t="str">
        <f t="shared" si="4"/>
        <v>rtdc.l.rtdc.4042:itc</v>
      </c>
      <c r="G187" s="8">
        <f t="shared" si="5"/>
        <v>42594.77815972222</v>
      </c>
    </row>
    <row r="188" spans="1:7" x14ac:dyDescent="0.25">
      <c r="A188" s="8">
        <v>42594.778240740743</v>
      </c>
      <c r="B188" s="24" t="s">
        <v>99</v>
      </c>
      <c r="C188" s="24" t="s">
        <v>491</v>
      </c>
      <c r="D188" s="24">
        <v>2040000</v>
      </c>
      <c r="E188" s="24" t="s">
        <v>207</v>
      </c>
      <c r="F188" s="24" t="str">
        <f t="shared" si="4"/>
        <v>rtdc.l.rtdc.4027:itc</v>
      </c>
      <c r="G188" s="8">
        <f t="shared" si="5"/>
        <v>42594.778240740743</v>
      </c>
    </row>
    <row r="189" spans="1:7" x14ac:dyDescent="0.25">
      <c r="A189" s="8">
        <v>42594.785231481481</v>
      </c>
      <c r="B189" s="24" t="s">
        <v>656</v>
      </c>
      <c r="C189" s="24" t="s">
        <v>441</v>
      </c>
      <c r="D189" s="24">
        <v>2090000</v>
      </c>
      <c r="E189" s="24" t="s">
        <v>168</v>
      </c>
      <c r="F189" s="24" t="str">
        <f t="shared" si="4"/>
        <v>rtdc.l.rtdc.4019:itc</v>
      </c>
      <c r="G189" s="8">
        <f t="shared" si="5"/>
        <v>42594.785231481481</v>
      </c>
    </row>
    <row r="190" spans="1:7" x14ac:dyDescent="0.25">
      <c r="A190" s="8">
        <v>42594.789560185185</v>
      </c>
      <c r="B190" s="24" t="s">
        <v>255</v>
      </c>
      <c r="C190" s="24" t="s">
        <v>451</v>
      </c>
      <c r="D190" s="24">
        <v>1300000</v>
      </c>
      <c r="E190" s="24" t="s">
        <v>185</v>
      </c>
      <c r="F190" s="24" t="str">
        <f t="shared" si="4"/>
        <v>rtdc.l.rtdc.4038:itc</v>
      </c>
      <c r="G190" s="8">
        <f t="shared" si="5"/>
        <v>42594.789560185185</v>
      </c>
    </row>
    <row r="191" spans="1:7" x14ac:dyDescent="0.25">
      <c r="A191" s="8">
        <v>42594.796365740738</v>
      </c>
      <c r="B191" s="24" t="s">
        <v>124</v>
      </c>
      <c r="C191" s="24" t="s">
        <v>444</v>
      </c>
      <c r="D191" s="24">
        <v>2000000</v>
      </c>
      <c r="E191" s="24" t="s">
        <v>205</v>
      </c>
      <c r="F191" s="24" t="str">
        <f t="shared" si="4"/>
        <v>rtdc.l.rtdc.4032:itc</v>
      </c>
      <c r="G191" s="8">
        <f t="shared" si="5"/>
        <v>42594.796365740738</v>
      </c>
    </row>
    <row r="192" spans="1:7" x14ac:dyDescent="0.25">
      <c r="A192" s="8">
        <v>42594.798564814817</v>
      </c>
      <c r="B192" s="24" t="s">
        <v>249</v>
      </c>
      <c r="C192" s="24" t="s">
        <v>648</v>
      </c>
      <c r="D192" s="24">
        <v>1460000</v>
      </c>
      <c r="E192" s="24" t="s">
        <v>667</v>
      </c>
      <c r="F192" s="24" t="str">
        <f t="shared" si="4"/>
        <v>rtdc.l.rtdc.4041:itc</v>
      </c>
      <c r="G192" s="8">
        <f t="shared" si="5"/>
        <v>42594.798564814817</v>
      </c>
    </row>
    <row r="193" spans="1:7" x14ac:dyDescent="0.25">
      <c r="A193" s="8">
        <v>42594.80431712963</v>
      </c>
      <c r="B193" s="24" t="s">
        <v>95</v>
      </c>
      <c r="C193" s="24" t="s">
        <v>449</v>
      </c>
      <c r="D193" s="24">
        <v>2100000</v>
      </c>
      <c r="E193" s="24" t="s">
        <v>169</v>
      </c>
      <c r="F193" s="24" t="str">
        <f t="shared" si="4"/>
        <v>rtdc.l.rtdc.4013:itc</v>
      </c>
      <c r="G193" s="8">
        <f t="shared" si="5"/>
        <v>42594.80431712963</v>
      </c>
    </row>
    <row r="194" spans="1:7" x14ac:dyDescent="0.25">
      <c r="A194" s="8">
        <v>42594.804791666669</v>
      </c>
      <c r="B194" s="24" t="s">
        <v>658</v>
      </c>
      <c r="C194" s="24" t="s">
        <v>493</v>
      </c>
      <c r="D194" s="24">
        <v>2020000</v>
      </c>
      <c r="E194" s="24" t="s">
        <v>257</v>
      </c>
      <c r="F194" s="24" t="str">
        <f t="shared" ref="F194:F235" si="6">B194</f>
        <v>rtdc.l.rtdc.4018:itc</v>
      </c>
      <c r="G194" s="8">
        <f t="shared" ref="G194:G235" si="7">A194</f>
        <v>42594.804791666669</v>
      </c>
    </row>
    <row r="195" spans="1:7" x14ac:dyDescent="0.25">
      <c r="A195" s="8">
        <v>42594.805706018517</v>
      </c>
      <c r="B195" s="24" t="s">
        <v>657</v>
      </c>
      <c r="C195" s="24" t="s">
        <v>629</v>
      </c>
      <c r="D195" s="24">
        <v>1540000</v>
      </c>
      <c r="E195" s="24" t="s">
        <v>167</v>
      </c>
      <c r="F195" s="24" t="str">
        <f t="shared" si="6"/>
        <v>rtdc.l.rtdc.4007:itc</v>
      </c>
      <c r="G195" s="8">
        <f t="shared" si="7"/>
        <v>42594.805706018517</v>
      </c>
    </row>
    <row r="196" spans="1:7" x14ac:dyDescent="0.25">
      <c r="A196" s="8">
        <v>42594.80841435185</v>
      </c>
      <c r="B196" s="24" t="s">
        <v>97</v>
      </c>
      <c r="C196" s="24" t="s">
        <v>453</v>
      </c>
      <c r="D196" s="24">
        <v>2090000</v>
      </c>
      <c r="E196" s="24" t="s">
        <v>168</v>
      </c>
      <c r="F196" s="24" t="str">
        <f t="shared" si="6"/>
        <v>rtdc.l.rtdc.4029:itc</v>
      </c>
      <c r="G196" s="8">
        <f t="shared" si="7"/>
        <v>42594.80841435185</v>
      </c>
    </row>
    <row r="197" spans="1:7" x14ac:dyDescent="0.25">
      <c r="A197" s="8">
        <v>42594.816944444443</v>
      </c>
      <c r="B197" s="24" t="s">
        <v>652</v>
      </c>
      <c r="C197" s="24" t="s">
        <v>627</v>
      </c>
      <c r="D197" s="24">
        <v>1540000</v>
      </c>
      <c r="E197" s="24" t="s">
        <v>167</v>
      </c>
      <c r="F197" s="24" t="str">
        <f t="shared" si="6"/>
        <v>rtdc.l.rtdc.4008:itc</v>
      </c>
      <c r="G197" s="8">
        <f t="shared" si="7"/>
        <v>42594.816944444443</v>
      </c>
    </row>
    <row r="198" spans="1:7" x14ac:dyDescent="0.25">
      <c r="A198" s="8">
        <v>42594.817326388889</v>
      </c>
      <c r="B198" s="24" t="s">
        <v>653</v>
      </c>
      <c r="C198" s="24" t="s">
        <v>496</v>
      </c>
      <c r="D198" s="24">
        <v>2090000</v>
      </c>
      <c r="E198" s="24" t="s">
        <v>168</v>
      </c>
      <c r="F198" s="24" t="str">
        <f t="shared" si="6"/>
        <v>rtdc.l.rtdc.4020:itc</v>
      </c>
      <c r="G198" s="8">
        <f t="shared" si="7"/>
        <v>42594.817326388889</v>
      </c>
    </row>
    <row r="199" spans="1:7" x14ac:dyDescent="0.25">
      <c r="A199" s="8">
        <v>42594.824363425927</v>
      </c>
      <c r="B199" s="24" t="s">
        <v>206</v>
      </c>
      <c r="C199" s="24" t="s">
        <v>452</v>
      </c>
      <c r="D199" s="24">
        <v>1300000</v>
      </c>
      <c r="E199" s="24" t="s">
        <v>185</v>
      </c>
      <c r="F199" s="24" t="str">
        <f t="shared" si="6"/>
        <v>rtdc.l.rtdc.4037:itc</v>
      </c>
      <c r="G199" s="8">
        <f t="shared" si="7"/>
        <v>42594.824363425927</v>
      </c>
    </row>
    <row r="200" spans="1:7" x14ac:dyDescent="0.25">
      <c r="A200" s="8">
        <v>42594.828611111108</v>
      </c>
      <c r="B200" s="24" t="s">
        <v>123</v>
      </c>
      <c r="C200" s="24" t="s">
        <v>458</v>
      </c>
      <c r="D200" s="24">
        <v>2000000</v>
      </c>
      <c r="E200" s="24" t="s">
        <v>205</v>
      </c>
      <c r="F200" s="24" t="str">
        <f t="shared" si="6"/>
        <v>rtdc.l.rtdc.4031:itc</v>
      </c>
      <c r="G200" s="8">
        <f t="shared" si="7"/>
        <v>42594.828611111108</v>
      </c>
    </row>
    <row r="201" spans="1:7" x14ac:dyDescent="0.25">
      <c r="A201" s="8">
        <v>42594.838206018518</v>
      </c>
      <c r="B201" s="24" t="s">
        <v>248</v>
      </c>
      <c r="C201" s="24" t="s">
        <v>509</v>
      </c>
      <c r="D201" s="24">
        <v>730000</v>
      </c>
      <c r="E201" s="24" t="s">
        <v>672</v>
      </c>
      <c r="F201" s="24" t="str">
        <f t="shared" si="6"/>
        <v>rtdc.l.rtdc.4021:itc</v>
      </c>
      <c r="G201" s="8">
        <f t="shared" si="7"/>
        <v>42594.838206018518</v>
      </c>
    </row>
    <row r="202" spans="1:7" x14ac:dyDescent="0.25">
      <c r="A202" s="30">
        <v>42594.842858796299</v>
      </c>
      <c r="B202" s="24" t="s">
        <v>657</v>
      </c>
      <c r="C202" s="24" t="s">
        <v>635</v>
      </c>
      <c r="D202" s="24">
        <v>1540000</v>
      </c>
      <c r="E202" s="24" t="s">
        <v>167</v>
      </c>
      <c r="F202" s="24" t="str">
        <f t="shared" si="6"/>
        <v>rtdc.l.rtdc.4007:itc</v>
      </c>
      <c r="G202" s="8">
        <f t="shared" si="7"/>
        <v>42594.842858796299</v>
      </c>
    </row>
    <row r="203" spans="1:7" x14ac:dyDescent="0.25">
      <c r="A203" s="8">
        <v>42594.845266203702</v>
      </c>
      <c r="B203" s="24" t="s">
        <v>98</v>
      </c>
      <c r="C203" s="24" t="s">
        <v>456</v>
      </c>
      <c r="D203" s="24">
        <v>2140000</v>
      </c>
      <c r="E203" s="24" t="s">
        <v>186</v>
      </c>
      <c r="F203" s="24" t="str">
        <f t="shared" si="6"/>
        <v>rtdc.l.rtdc.4030:itc</v>
      </c>
      <c r="G203" s="8">
        <f t="shared" si="7"/>
        <v>42594.845266203702</v>
      </c>
    </row>
    <row r="204" spans="1:7" x14ac:dyDescent="0.25">
      <c r="A204" s="8">
        <v>42594.847777777781</v>
      </c>
      <c r="B204" s="24" t="s">
        <v>121</v>
      </c>
      <c r="C204" s="24" t="s">
        <v>461</v>
      </c>
      <c r="D204" s="24">
        <v>2100000</v>
      </c>
      <c r="E204" s="24" t="s">
        <v>169</v>
      </c>
      <c r="F204" s="24" t="str">
        <f t="shared" si="6"/>
        <v>rtdc.l.rtdc.4014:itc</v>
      </c>
      <c r="G204" s="8">
        <f t="shared" si="7"/>
        <v>42594.847777777781</v>
      </c>
    </row>
    <row r="205" spans="1:7" x14ac:dyDescent="0.25">
      <c r="A205" s="8">
        <v>42594.849606481483</v>
      </c>
      <c r="B205" s="24" t="s">
        <v>121</v>
      </c>
      <c r="C205" s="24" t="s">
        <v>461</v>
      </c>
      <c r="D205" s="24">
        <v>2100000</v>
      </c>
      <c r="E205" s="24" t="s">
        <v>169</v>
      </c>
      <c r="F205" s="24" t="str">
        <f t="shared" si="6"/>
        <v>rtdc.l.rtdc.4014:itc</v>
      </c>
      <c r="G205" s="8">
        <f t="shared" si="7"/>
        <v>42594.849606481483</v>
      </c>
    </row>
    <row r="206" spans="1:7" x14ac:dyDescent="0.25">
      <c r="A206" s="8">
        <v>42594.850659722222</v>
      </c>
      <c r="B206" s="24" t="s">
        <v>671</v>
      </c>
      <c r="C206" s="24" t="s">
        <v>509</v>
      </c>
      <c r="D206" s="24">
        <v>730000</v>
      </c>
      <c r="E206" s="24" t="s">
        <v>672</v>
      </c>
      <c r="F206" s="24" t="str">
        <f t="shared" si="6"/>
        <v>rtdc.l.rtdc.4022:itc</v>
      </c>
      <c r="G206" s="8">
        <f t="shared" si="7"/>
        <v>42594.850659722222</v>
      </c>
    </row>
    <row r="207" spans="1:7" x14ac:dyDescent="0.25">
      <c r="A207" s="8">
        <v>42594.859085648146</v>
      </c>
      <c r="B207" s="24" t="s">
        <v>652</v>
      </c>
      <c r="C207" s="24" t="s">
        <v>632</v>
      </c>
      <c r="D207" s="24">
        <v>1540000</v>
      </c>
      <c r="E207" s="24" t="s">
        <v>167</v>
      </c>
      <c r="F207" s="24" t="str">
        <f t="shared" si="6"/>
        <v>rtdc.l.rtdc.4008:itc</v>
      </c>
      <c r="G207" s="8">
        <f t="shared" si="7"/>
        <v>42594.859085648146</v>
      </c>
    </row>
    <row r="208" spans="1:7" x14ac:dyDescent="0.25">
      <c r="A208" s="8">
        <v>42594.863935185182</v>
      </c>
      <c r="B208" s="24" t="s">
        <v>248</v>
      </c>
      <c r="C208" s="24" t="s">
        <v>509</v>
      </c>
      <c r="D208" s="24">
        <v>730000</v>
      </c>
      <c r="E208" s="24" t="s">
        <v>672</v>
      </c>
      <c r="F208" s="24" t="str">
        <f t="shared" si="6"/>
        <v>rtdc.l.rtdc.4021:itc</v>
      </c>
      <c r="G208" s="8">
        <f t="shared" si="7"/>
        <v>42594.863935185182</v>
      </c>
    </row>
    <row r="209" spans="1:7" x14ac:dyDescent="0.25">
      <c r="A209" s="8">
        <v>42594.866249999999</v>
      </c>
      <c r="B209" s="24" t="s">
        <v>248</v>
      </c>
      <c r="C209" s="24" t="s">
        <v>509</v>
      </c>
      <c r="D209" s="24">
        <v>730000</v>
      </c>
      <c r="E209" s="24" t="s">
        <v>672</v>
      </c>
      <c r="F209" s="24" t="str">
        <f t="shared" si="6"/>
        <v>rtdc.l.rtdc.4021:itc</v>
      </c>
      <c r="G209" s="8">
        <f t="shared" si="7"/>
        <v>42594.866249999999</v>
      </c>
    </row>
    <row r="210" spans="1:7" x14ac:dyDescent="0.25">
      <c r="A210" s="8">
        <v>42594.86928240741</v>
      </c>
      <c r="B210" s="24" t="s">
        <v>124</v>
      </c>
      <c r="C210" s="24" t="s">
        <v>460</v>
      </c>
      <c r="D210" s="24">
        <v>2000000</v>
      </c>
      <c r="E210" s="24" t="s">
        <v>205</v>
      </c>
      <c r="F210" s="24" t="str">
        <f t="shared" si="6"/>
        <v>rtdc.l.rtdc.4032:itc</v>
      </c>
      <c r="G210" s="8">
        <f t="shared" si="7"/>
        <v>42594.86928240741</v>
      </c>
    </row>
    <row r="211" spans="1:7" x14ac:dyDescent="0.25">
      <c r="A211" s="8">
        <v>42594.873564814814</v>
      </c>
      <c r="B211" s="24" t="s">
        <v>255</v>
      </c>
      <c r="C211" s="24" t="s">
        <v>463</v>
      </c>
      <c r="D211" s="24">
        <v>1300000</v>
      </c>
      <c r="E211" s="24" t="s">
        <v>185</v>
      </c>
      <c r="F211" s="24" t="str">
        <f t="shared" si="6"/>
        <v>rtdc.l.rtdc.4038:itc</v>
      </c>
      <c r="G211" s="8">
        <f t="shared" si="7"/>
        <v>42594.873564814814</v>
      </c>
    </row>
    <row r="212" spans="1:7" x14ac:dyDescent="0.25">
      <c r="A212" s="8">
        <v>42594.879467592589</v>
      </c>
      <c r="B212" s="24" t="s">
        <v>671</v>
      </c>
      <c r="C212" s="24" t="s">
        <v>509</v>
      </c>
      <c r="D212" s="24">
        <v>730000</v>
      </c>
      <c r="E212" s="24" t="s">
        <v>672</v>
      </c>
      <c r="F212" s="24" t="str">
        <f t="shared" si="6"/>
        <v>rtdc.l.rtdc.4022:itc</v>
      </c>
      <c r="G212" s="8">
        <f t="shared" si="7"/>
        <v>42594.879467592589</v>
      </c>
    </row>
    <row r="213" spans="1:7" x14ac:dyDescent="0.25">
      <c r="A213" s="8">
        <v>42594.881331018521</v>
      </c>
      <c r="B213" s="24" t="s">
        <v>657</v>
      </c>
      <c r="C213" s="24" t="s">
        <v>638</v>
      </c>
      <c r="D213" s="24">
        <v>1460000</v>
      </c>
      <c r="E213" s="24" t="s">
        <v>667</v>
      </c>
      <c r="F213" s="24" t="str">
        <f t="shared" si="6"/>
        <v>rtdc.l.rtdc.4007:itc</v>
      </c>
      <c r="G213" s="8">
        <f t="shared" si="7"/>
        <v>42594.881331018521</v>
      </c>
    </row>
    <row r="214" spans="1:7" x14ac:dyDescent="0.25">
      <c r="A214" s="8">
        <v>42594.882141203707</v>
      </c>
      <c r="B214" s="24" t="s">
        <v>657</v>
      </c>
      <c r="C214" s="24" t="s">
        <v>638</v>
      </c>
      <c r="D214" s="24">
        <v>1460000</v>
      </c>
      <c r="E214" s="24" t="s">
        <v>667</v>
      </c>
      <c r="F214" s="24" t="str">
        <f t="shared" si="6"/>
        <v>rtdc.l.rtdc.4007:itc</v>
      </c>
      <c r="G214" s="8">
        <f t="shared" si="7"/>
        <v>42594.882141203707</v>
      </c>
    </row>
    <row r="215" spans="1:7" x14ac:dyDescent="0.25">
      <c r="A215" s="8">
        <v>42594.883587962962</v>
      </c>
      <c r="B215" s="24" t="s">
        <v>657</v>
      </c>
      <c r="C215" s="24" t="s">
        <v>638</v>
      </c>
      <c r="D215" s="24">
        <v>1460000</v>
      </c>
      <c r="E215" s="24" t="s">
        <v>667</v>
      </c>
      <c r="F215" s="24" t="str">
        <f t="shared" si="6"/>
        <v>rtdc.l.rtdc.4007:itc</v>
      </c>
      <c r="G215" s="8">
        <f t="shared" si="7"/>
        <v>42594.883587962962</v>
      </c>
    </row>
    <row r="216" spans="1:7" x14ac:dyDescent="0.25">
      <c r="A216" s="8">
        <v>42594.884560185186</v>
      </c>
      <c r="B216" s="24" t="s">
        <v>657</v>
      </c>
      <c r="C216" s="24" t="s">
        <v>638</v>
      </c>
      <c r="D216" s="24">
        <v>1460000</v>
      </c>
      <c r="E216" s="24" t="s">
        <v>667</v>
      </c>
      <c r="F216" s="24" t="str">
        <f t="shared" si="6"/>
        <v>rtdc.l.rtdc.4007:itc</v>
      </c>
      <c r="G216" s="8">
        <f t="shared" si="7"/>
        <v>42594.884560185186</v>
      </c>
    </row>
    <row r="217" spans="1:7" x14ac:dyDescent="0.25">
      <c r="A217" s="8">
        <v>42594.888425925928</v>
      </c>
      <c r="B217" s="24" t="s">
        <v>95</v>
      </c>
      <c r="C217" s="24" t="s">
        <v>462</v>
      </c>
      <c r="D217" s="24">
        <v>2100000</v>
      </c>
      <c r="E217" s="24" t="s">
        <v>169</v>
      </c>
      <c r="F217" s="24" t="str">
        <f t="shared" si="6"/>
        <v>rtdc.l.rtdc.4013:itc</v>
      </c>
      <c r="G217" s="8">
        <f t="shared" si="7"/>
        <v>42594.888425925928</v>
      </c>
    </row>
    <row r="218" spans="1:7" x14ac:dyDescent="0.25">
      <c r="A218" s="8">
        <v>42594.890567129631</v>
      </c>
      <c r="B218" s="24" t="s">
        <v>657</v>
      </c>
      <c r="C218" s="24" t="s">
        <v>638</v>
      </c>
      <c r="D218" s="24">
        <v>1460000</v>
      </c>
      <c r="E218" s="24" t="s">
        <v>667</v>
      </c>
      <c r="F218" s="24" t="str">
        <f t="shared" si="6"/>
        <v>rtdc.l.rtdc.4007:itc</v>
      </c>
      <c r="G218" s="8">
        <f t="shared" si="7"/>
        <v>42594.890567129631</v>
      </c>
    </row>
    <row r="219" spans="1:7" x14ac:dyDescent="0.25">
      <c r="A219" s="8">
        <v>42594.890902777777</v>
      </c>
      <c r="B219" s="24" t="s">
        <v>248</v>
      </c>
      <c r="C219" s="24" t="s">
        <v>509</v>
      </c>
      <c r="D219" s="24">
        <v>730000</v>
      </c>
      <c r="E219" s="24" t="s">
        <v>672</v>
      </c>
      <c r="F219" s="24" t="str">
        <f t="shared" si="6"/>
        <v>rtdc.l.rtdc.4021:itc</v>
      </c>
      <c r="G219" s="8">
        <f t="shared" si="7"/>
        <v>42594.890902777777</v>
      </c>
    </row>
    <row r="220" spans="1:7" x14ac:dyDescent="0.25">
      <c r="A220" s="8">
        <v>42594.893506944441</v>
      </c>
      <c r="B220" s="24" t="s">
        <v>97</v>
      </c>
      <c r="C220" s="24" t="s">
        <v>467</v>
      </c>
      <c r="D220" s="24">
        <v>1230000</v>
      </c>
      <c r="E220" s="24" t="s">
        <v>668</v>
      </c>
      <c r="F220" s="24" t="str">
        <f t="shared" si="6"/>
        <v>rtdc.l.rtdc.4029:itc</v>
      </c>
      <c r="G220" s="8">
        <f t="shared" si="7"/>
        <v>42594.893506944441</v>
      </c>
    </row>
    <row r="221" spans="1:7" x14ac:dyDescent="0.25">
      <c r="A221" s="8">
        <v>42594.894189814811</v>
      </c>
      <c r="B221" s="24" t="s">
        <v>248</v>
      </c>
      <c r="C221" s="24" t="s">
        <v>509</v>
      </c>
      <c r="D221" s="24">
        <v>730000</v>
      </c>
      <c r="E221" s="24" t="s">
        <v>672</v>
      </c>
      <c r="F221" s="24" t="str">
        <f t="shared" si="6"/>
        <v>rtdc.l.rtdc.4021:itc</v>
      </c>
      <c r="G221" s="8">
        <f t="shared" si="7"/>
        <v>42594.894189814811</v>
      </c>
    </row>
    <row r="222" spans="1:7" x14ac:dyDescent="0.25">
      <c r="A222" s="8">
        <v>42594.894953703704</v>
      </c>
      <c r="B222" s="24" t="s">
        <v>248</v>
      </c>
      <c r="C222" s="24" t="s">
        <v>509</v>
      </c>
      <c r="D222" s="24">
        <v>730000</v>
      </c>
      <c r="E222" s="24" t="s">
        <v>672</v>
      </c>
      <c r="F222" s="24" t="str">
        <f t="shared" si="6"/>
        <v>rtdc.l.rtdc.4021:itc</v>
      </c>
      <c r="G222" s="8">
        <f t="shared" si="7"/>
        <v>42594.894953703704</v>
      </c>
    </row>
    <row r="223" spans="1:7" x14ac:dyDescent="0.25">
      <c r="A223" s="8">
        <v>42594.904768518521</v>
      </c>
      <c r="B223" s="24" t="s">
        <v>652</v>
      </c>
      <c r="C223" s="24" t="s">
        <v>638</v>
      </c>
      <c r="D223" s="24">
        <v>1460000</v>
      </c>
      <c r="E223" s="24" t="s">
        <v>667</v>
      </c>
      <c r="F223" s="24" t="str">
        <f t="shared" si="6"/>
        <v>rtdc.l.rtdc.4008:itc</v>
      </c>
      <c r="G223" s="8">
        <f t="shared" si="7"/>
        <v>42594.904768518521</v>
      </c>
    </row>
    <row r="224" spans="1:7" x14ac:dyDescent="0.25">
      <c r="A224" s="8">
        <v>42594.906770833331</v>
      </c>
      <c r="B224" t="s">
        <v>671</v>
      </c>
      <c r="C224" t="s">
        <v>509</v>
      </c>
      <c r="D224">
        <v>730000</v>
      </c>
      <c r="E224" t="s">
        <v>672</v>
      </c>
      <c r="F224" s="24" t="str">
        <f t="shared" si="6"/>
        <v>rtdc.l.rtdc.4022:itc</v>
      </c>
      <c r="G224" s="8">
        <f t="shared" si="7"/>
        <v>42594.906770833331</v>
      </c>
    </row>
    <row r="225" spans="1:7" x14ac:dyDescent="0.25">
      <c r="A225" s="8">
        <v>42594.908587962964</v>
      </c>
      <c r="B225" t="s">
        <v>206</v>
      </c>
      <c r="C225" t="s">
        <v>464</v>
      </c>
      <c r="D225">
        <v>1300000</v>
      </c>
      <c r="E225" t="s">
        <v>185</v>
      </c>
      <c r="F225" s="24" t="str">
        <f t="shared" si="6"/>
        <v>rtdc.l.rtdc.4037:itc</v>
      </c>
      <c r="G225" s="8">
        <f t="shared" si="7"/>
        <v>42594.908587962964</v>
      </c>
    </row>
    <row r="226" spans="1:7" x14ac:dyDescent="0.25">
      <c r="A226" s="8">
        <v>42594.912685185183</v>
      </c>
      <c r="B226" t="s">
        <v>123</v>
      </c>
      <c r="C226" t="s">
        <v>470</v>
      </c>
      <c r="D226">
        <v>2000000</v>
      </c>
      <c r="E226" t="s">
        <v>205</v>
      </c>
      <c r="F226" s="24" t="str">
        <f t="shared" si="6"/>
        <v>rtdc.l.rtdc.4031:itc</v>
      </c>
      <c r="G226" s="8">
        <f t="shared" si="7"/>
        <v>42594.912685185183</v>
      </c>
    </row>
    <row r="227" spans="1:7" x14ac:dyDescent="0.25">
      <c r="A227" s="8">
        <v>42594.917442129627</v>
      </c>
      <c r="B227" t="s">
        <v>248</v>
      </c>
      <c r="C227" t="s">
        <v>509</v>
      </c>
      <c r="D227">
        <v>730000</v>
      </c>
      <c r="E227" t="s">
        <v>672</v>
      </c>
      <c r="F227" s="24" t="str">
        <f t="shared" si="6"/>
        <v>rtdc.l.rtdc.4021:itc</v>
      </c>
      <c r="G227" s="8">
        <f t="shared" si="7"/>
        <v>42594.917442129627</v>
      </c>
    </row>
    <row r="228" spans="1:7" x14ac:dyDescent="0.25">
      <c r="A228" s="8">
        <v>42594.917800925927</v>
      </c>
      <c r="B228" t="s">
        <v>657</v>
      </c>
      <c r="C228" t="s">
        <v>640</v>
      </c>
      <c r="D228">
        <v>1460000</v>
      </c>
      <c r="E228" t="s">
        <v>667</v>
      </c>
      <c r="F228" s="24" t="str">
        <f t="shared" si="6"/>
        <v>rtdc.l.rtdc.4007:itc</v>
      </c>
      <c r="G228" s="8">
        <f t="shared" si="7"/>
        <v>42594.917800925927</v>
      </c>
    </row>
    <row r="229" spans="1:7" x14ac:dyDescent="0.25">
      <c r="A229" s="8">
        <v>42594.931990740741</v>
      </c>
      <c r="B229" t="s">
        <v>98</v>
      </c>
      <c r="C229" t="s">
        <v>469</v>
      </c>
      <c r="D229">
        <v>1230000</v>
      </c>
      <c r="E229" t="s">
        <v>668</v>
      </c>
      <c r="F229" s="24" t="str">
        <f t="shared" si="6"/>
        <v>rtdc.l.rtdc.4030:itc</v>
      </c>
      <c r="G229" s="8">
        <f t="shared" si="7"/>
        <v>42594.931990740741</v>
      </c>
    </row>
    <row r="230" spans="1:7" x14ac:dyDescent="0.25">
      <c r="A230" s="8">
        <v>42594.933078703703</v>
      </c>
      <c r="B230" t="s">
        <v>121</v>
      </c>
      <c r="C230" t="s">
        <v>474</v>
      </c>
      <c r="D230">
        <v>2100000</v>
      </c>
      <c r="E230" t="s">
        <v>169</v>
      </c>
      <c r="F230" s="24" t="str">
        <f t="shared" si="6"/>
        <v>rtdc.l.rtdc.4014:itc</v>
      </c>
      <c r="G230" s="8">
        <f t="shared" si="7"/>
        <v>42594.933078703703</v>
      </c>
    </row>
    <row r="231" spans="1:7" x14ac:dyDescent="0.25">
      <c r="A231" s="8">
        <v>42594.933275462965</v>
      </c>
      <c r="B231" t="s">
        <v>206</v>
      </c>
      <c r="C231" t="s">
        <v>464</v>
      </c>
      <c r="D231">
        <v>1300000</v>
      </c>
      <c r="E231" t="s">
        <v>185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671</v>
      </c>
      <c r="C232" t="s">
        <v>509</v>
      </c>
      <c r="D232">
        <v>730000</v>
      </c>
      <c r="E232" t="s">
        <v>672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671</v>
      </c>
      <c r="C233" t="s">
        <v>509</v>
      </c>
      <c r="D233">
        <v>730000</v>
      </c>
      <c r="E233" t="s">
        <v>672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652</v>
      </c>
      <c r="C234" t="s">
        <v>650</v>
      </c>
      <c r="D234">
        <v>1460000</v>
      </c>
      <c r="E234" t="s">
        <v>667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652</v>
      </c>
      <c r="C235" t="s">
        <v>650</v>
      </c>
      <c r="D235">
        <v>1460000</v>
      </c>
      <c r="E235" t="s">
        <v>667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124</v>
      </c>
      <c r="C236" t="s">
        <v>472</v>
      </c>
      <c r="D236">
        <v>2000000</v>
      </c>
      <c r="E236" t="s">
        <v>205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255</v>
      </c>
      <c r="C237" t="s">
        <v>477</v>
      </c>
      <c r="D237">
        <v>1300000</v>
      </c>
      <c r="E237" t="s">
        <v>185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97</v>
      </c>
      <c r="C238" t="s">
        <v>479</v>
      </c>
      <c r="D238">
        <v>1230000</v>
      </c>
      <c r="E238" t="s">
        <v>668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95</v>
      </c>
      <c r="C239" t="s">
        <v>476</v>
      </c>
      <c r="D239">
        <v>2100000</v>
      </c>
      <c r="E239" t="s">
        <v>169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206</v>
      </c>
      <c r="C240" t="s">
        <v>478</v>
      </c>
      <c r="D240">
        <v>1300000</v>
      </c>
      <c r="E240" t="s">
        <v>185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123</v>
      </c>
      <c r="C241" t="s">
        <v>484</v>
      </c>
      <c r="D241">
        <v>2000000</v>
      </c>
      <c r="E241" t="s">
        <v>205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98</v>
      </c>
      <c r="C242" t="s">
        <v>482</v>
      </c>
      <c r="D242">
        <v>1230000</v>
      </c>
      <c r="E242" t="s">
        <v>668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121</v>
      </c>
      <c r="C243" t="s">
        <v>486</v>
      </c>
      <c r="D243">
        <v>2100000</v>
      </c>
      <c r="E243" t="s">
        <v>169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255</v>
      </c>
      <c r="C244" t="s">
        <v>489</v>
      </c>
      <c r="D244">
        <v>1300000</v>
      </c>
      <c r="E244" t="s">
        <v>185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124</v>
      </c>
      <c r="C245" t="s">
        <v>485</v>
      </c>
      <c r="D245">
        <v>2000000</v>
      </c>
      <c r="E245" t="s">
        <v>205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97</v>
      </c>
      <c r="C246" t="s">
        <v>498</v>
      </c>
      <c r="D246">
        <v>1230000</v>
      </c>
      <c r="E246" t="s">
        <v>668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95</v>
      </c>
      <c r="C247" t="s">
        <v>487</v>
      </c>
      <c r="D247">
        <v>2100000</v>
      </c>
      <c r="E247" t="s">
        <v>169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123</v>
      </c>
      <c r="C248" t="s">
        <v>500</v>
      </c>
      <c r="D248">
        <v>2000000</v>
      </c>
      <c r="E248" t="s">
        <v>205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206</v>
      </c>
      <c r="C249" t="s">
        <v>490</v>
      </c>
      <c r="D249">
        <v>1300000</v>
      </c>
      <c r="E249" t="s">
        <v>185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121</v>
      </c>
      <c r="C250" t="s">
        <v>673</v>
      </c>
      <c r="D250">
        <v>2100000</v>
      </c>
      <c r="E250" t="s">
        <v>169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255</v>
      </c>
      <c r="C251" t="s">
        <v>502</v>
      </c>
      <c r="D251">
        <v>1300000</v>
      </c>
      <c r="E251" t="s">
        <v>185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2" t="s">
        <v>126</v>
      </c>
      <c r="D1" s="83" t="s">
        <v>127</v>
      </c>
      <c r="J1" s="35" t="s">
        <v>128</v>
      </c>
      <c r="K1" s="35" t="s">
        <v>75</v>
      </c>
      <c r="L1" s="35" t="s">
        <v>76</v>
      </c>
      <c r="O1" s="86" t="s">
        <v>129</v>
      </c>
    </row>
    <row r="2" spans="1:16" ht="15.75" thickBot="1" x14ac:dyDescent="0.3">
      <c r="A2" s="15">
        <v>42594</v>
      </c>
      <c r="B2" s="4"/>
      <c r="C2" s="84">
        <v>50</v>
      </c>
      <c r="D2" s="85">
        <v>25</v>
      </c>
      <c r="F2" t="s">
        <v>208</v>
      </c>
      <c r="J2" s="35"/>
      <c r="K2" s="35" t="s">
        <v>75</v>
      </c>
      <c r="L2" s="35" t="s">
        <v>76</v>
      </c>
    </row>
    <row r="3" spans="1:16" x14ac:dyDescent="0.25">
      <c r="F3" t="s">
        <v>58</v>
      </c>
      <c r="J3" s="36" t="s">
        <v>77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130</v>
      </c>
      <c r="P3" s="73">
        <f>AVERAGE(1.0714,1.1016)</f>
        <v>1.0865</v>
      </c>
    </row>
    <row r="4" spans="1:16" x14ac:dyDescent="0.25">
      <c r="F4" t="s">
        <v>59</v>
      </c>
      <c r="J4" s="36" t="s">
        <v>78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79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F6" t="s">
        <v>209</v>
      </c>
      <c r="J6" s="36" t="s">
        <v>80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F7" t="s">
        <v>210</v>
      </c>
      <c r="J7" s="36" t="s">
        <v>81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F8" t="s">
        <v>211</v>
      </c>
      <c r="J8" s="36" t="s">
        <v>82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83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84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85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86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87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88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103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104</v>
      </c>
      <c r="K19" s="37"/>
      <c r="L19" s="37"/>
      <c r="M19" s="73" t="s">
        <v>142</v>
      </c>
    </row>
    <row r="20" spans="10:13" x14ac:dyDescent="0.25">
      <c r="J20" t="s">
        <v>105</v>
      </c>
      <c r="M20" s="73" t="s">
        <v>137</v>
      </c>
    </row>
    <row r="21" spans="10:13" x14ac:dyDescent="0.25">
      <c r="J21" s="24" t="s">
        <v>108</v>
      </c>
      <c r="K21" s="24" t="s">
        <v>109</v>
      </c>
      <c r="M21" s="73" t="s">
        <v>109</v>
      </c>
    </row>
    <row r="22" spans="10:13" x14ac:dyDescent="0.25">
      <c r="J22" s="24" t="s">
        <v>110</v>
      </c>
      <c r="K22" s="24" t="s">
        <v>111</v>
      </c>
      <c r="M22" s="73" t="s">
        <v>141</v>
      </c>
    </row>
    <row r="23" spans="10:13" x14ac:dyDescent="0.25">
      <c r="J23" s="32" t="s">
        <v>113</v>
      </c>
      <c r="K23" s="24"/>
      <c r="M23" s="73">
        <v>-6</v>
      </c>
    </row>
    <row r="24" spans="10:13" x14ac:dyDescent="0.25">
      <c r="J24" s="24" t="s">
        <v>138</v>
      </c>
      <c r="K24" s="24"/>
      <c r="M24" s="73" t="s">
        <v>140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2016-08-15T15:15:21Z</dcterms:modified>
</cp:coreProperties>
</file>