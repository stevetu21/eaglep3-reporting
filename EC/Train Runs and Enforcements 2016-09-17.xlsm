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Enforcements!$R$6:$AC$75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7" i="3"/>
  <c r="X156" i="1"/>
  <c r="X157" i="1"/>
  <c r="X158" i="1"/>
  <c r="X159" i="1"/>
  <c r="X160" i="1"/>
  <c r="X16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I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T31" i="1"/>
  <c r="V31" i="1"/>
  <c r="Y31" i="1"/>
  <c r="Z31" i="1"/>
  <c r="AB31" i="1"/>
  <c r="AC31" i="1"/>
  <c r="AD31" i="1"/>
  <c r="AE31" i="1"/>
  <c r="AF31" i="1"/>
  <c r="AG31" i="1"/>
  <c r="K32" i="1"/>
  <c r="L32" i="1"/>
  <c r="M32" i="1"/>
  <c r="N32" i="1" s="1"/>
  <c r="V32" i="1"/>
  <c r="Y32" i="1"/>
  <c r="Z32" i="1"/>
  <c r="AI32" i="1" s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I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T42" i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/>
  <c r="V52" i="1"/>
  <c r="Y52" i="1"/>
  <c r="Z52" i="1"/>
  <c r="AB52" i="1"/>
  <c r="AC52" i="1"/>
  <c r="AD52" i="1"/>
  <c r="AG52" i="1" s="1"/>
  <c r="AI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I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AA64" i="1" s="1"/>
  <c r="Z64" i="1"/>
  <c r="AB64" i="1"/>
  <c r="AC64" i="1"/>
  <c r="AD64" i="1"/>
  <c r="AG64" i="1" s="1"/>
  <c r="AI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X75" i="1"/>
  <c r="Y75" i="1"/>
  <c r="Z75" i="1"/>
  <c r="AB75" i="1"/>
  <c r="AC75" i="1"/>
  <c r="AD75" i="1"/>
  <c r="T75" i="1" s="1"/>
  <c r="AE75" i="1"/>
  <c r="AF75" i="1"/>
  <c r="AG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/>
  <c r="V90" i="1"/>
  <c r="Y90" i="1"/>
  <c r="Z90" i="1"/>
  <c r="AA90" i="1" s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G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AA172" i="1" s="1"/>
  <c r="Z172" i="1"/>
  <c r="AB172" i="1"/>
  <c r="AC172" i="1"/>
  <c r="AD172" i="1"/>
  <c r="AG172" i="1" s="1"/>
  <c r="AI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96" i="1"/>
  <c r="L96" i="1"/>
  <c r="M96" i="1"/>
  <c r="N96" i="1" s="1"/>
  <c r="V96" i="1"/>
  <c r="Y96" i="1"/>
  <c r="AA96" i="1" s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AA100" i="1" s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I101" i="1" s="1"/>
  <c r="AE101" i="1"/>
  <c r="AF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P111" i="1" s="1"/>
  <c r="V111" i="1"/>
  <c r="Y111" i="1"/>
  <c r="Z111" i="1"/>
  <c r="AA111" i="1" s="1"/>
  <c r="W111" i="1" s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K140" i="1"/>
  <c r="L140" i="1"/>
  <c r="M140" i="1"/>
  <c r="P140" i="1" s="1"/>
  <c r="V140" i="1"/>
  <c r="Y140" i="1"/>
  <c r="Z140" i="1"/>
  <c r="AB140" i="1"/>
  <c r="AC140" i="1"/>
  <c r="AD140" i="1"/>
  <c r="X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A144" i="1" s="1"/>
  <c r="AB144" i="1"/>
  <c r="AC144" i="1"/>
  <c r="AD144" i="1"/>
  <c r="X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I180" i="1"/>
  <c r="K149" i="1"/>
  <c r="L149" i="1"/>
  <c r="M149" i="1"/>
  <c r="N149" i="1" s="1"/>
  <c r="V149" i="1"/>
  <c r="Y149" i="1"/>
  <c r="Z149" i="1"/>
  <c r="AA149" i="1" s="1"/>
  <c r="W149" i="1" s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P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P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93" i="1"/>
  <c r="L193" i="1"/>
  <c r="M193" i="1"/>
  <c r="N193" i="1" s="1"/>
  <c r="T193" i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/>
  <c r="V207" i="1"/>
  <c r="Y207" i="1"/>
  <c r="Z207" i="1"/>
  <c r="AB207" i="1"/>
  <c r="AC207" i="1"/>
  <c r="AD207" i="1"/>
  <c r="AG207" i="1" s="1"/>
  <c r="AE207" i="1"/>
  <c r="AF207" i="1"/>
  <c r="N9" i="3"/>
  <c r="U9" i="3"/>
  <c r="V9" i="3"/>
  <c r="W9" i="3"/>
  <c r="X9" i="3"/>
  <c r="N22" i="3"/>
  <c r="U22" i="3"/>
  <c r="V22" i="3"/>
  <c r="W22" i="3"/>
  <c r="X22" i="3"/>
  <c r="N15" i="3"/>
  <c r="U15" i="3"/>
  <c r="V15" i="3"/>
  <c r="W15" i="3"/>
  <c r="X15" i="3"/>
  <c r="N23" i="3"/>
  <c r="U23" i="3"/>
  <c r="V23" i="3"/>
  <c r="W23" i="3"/>
  <c r="X23" i="3"/>
  <c r="N24" i="3"/>
  <c r="U24" i="3"/>
  <c r="V24" i="3"/>
  <c r="W24" i="3"/>
  <c r="X24" i="3"/>
  <c r="N17" i="3"/>
  <c r="U17" i="3"/>
  <c r="V17" i="3"/>
  <c r="W17" i="3"/>
  <c r="X17" i="3"/>
  <c r="N27" i="3"/>
  <c r="U27" i="3"/>
  <c r="V27" i="3"/>
  <c r="W27" i="3"/>
  <c r="X27" i="3"/>
  <c r="N18" i="3"/>
  <c r="U18" i="3"/>
  <c r="V18" i="3"/>
  <c r="W18" i="3"/>
  <c r="X18" i="3"/>
  <c r="N7" i="3"/>
  <c r="U7" i="3"/>
  <c r="V7" i="3"/>
  <c r="W7" i="3"/>
  <c r="X7" i="3"/>
  <c r="N29" i="3"/>
  <c r="U29" i="3"/>
  <c r="V29" i="3"/>
  <c r="W29" i="3"/>
  <c r="X29" i="3"/>
  <c r="N10" i="3"/>
  <c r="U10" i="3"/>
  <c r="V10" i="3"/>
  <c r="W10" i="3"/>
  <c r="Y10" i="3" s="1"/>
  <c r="X10" i="3"/>
  <c r="N19" i="3"/>
  <c r="U19" i="3"/>
  <c r="V19" i="3"/>
  <c r="W19" i="3"/>
  <c r="X19" i="3"/>
  <c r="N25" i="3"/>
  <c r="U25" i="3"/>
  <c r="V25" i="3"/>
  <c r="W25" i="3"/>
  <c r="X25" i="3"/>
  <c r="N21" i="3"/>
  <c r="U21" i="3"/>
  <c r="V21" i="3"/>
  <c r="W21" i="3"/>
  <c r="X21" i="3"/>
  <c r="N26" i="3"/>
  <c r="U26" i="3"/>
  <c r="V26" i="3"/>
  <c r="W26" i="3"/>
  <c r="X26" i="3"/>
  <c r="N43" i="3"/>
  <c r="U43" i="3"/>
  <c r="V43" i="3"/>
  <c r="W43" i="3"/>
  <c r="X43" i="3"/>
  <c r="N44" i="3"/>
  <c r="U44" i="3"/>
  <c r="V44" i="3"/>
  <c r="W44" i="3"/>
  <c r="X44" i="3"/>
  <c r="N37" i="3"/>
  <c r="U37" i="3"/>
  <c r="V37" i="3"/>
  <c r="W37" i="3"/>
  <c r="X37" i="3"/>
  <c r="N38" i="3"/>
  <c r="U38" i="3"/>
  <c r="V38" i="3"/>
  <c r="W38" i="3"/>
  <c r="X38" i="3"/>
  <c r="N20" i="3"/>
  <c r="U20" i="3"/>
  <c r="V20" i="3"/>
  <c r="W20" i="3"/>
  <c r="X20" i="3"/>
  <c r="N12" i="3"/>
  <c r="U12" i="3"/>
  <c r="V12" i="3"/>
  <c r="W12" i="3"/>
  <c r="X12" i="3"/>
  <c r="N32" i="3"/>
  <c r="U32" i="3"/>
  <c r="V32" i="3"/>
  <c r="W32" i="3"/>
  <c r="X32" i="3"/>
  <c r="N11" i="3"/>
  <c r="U11" i="3"/>
  <c r="V11" i="3"/>
  <c r="W11" i="3"/>
  <c r="X11" i="3"/>
  <c r="N39" i="3"/>
  <c r="U39" i="3"/>
  <c r="V39" i="3"/>
  <c r="W39" i="3"/>
  <c r="X39" i="3"/>
  <c r="N13" i="3"/>
  <c r="U13" i="3"/>
  <c r="V13" i="3"/>
  <c r="W13" i="3"/>
  <c r="X13" i="3"/>
  <c r="N28" i="3"/>
  <c r="U28" i="3"/>
  <c r="V28" i="3"/>
  <c r="W28" i="3"/>
  <c r="X28" i="3"/>
  <c r="N14" i="3"/>
  <c r="U14" i="3"/>
  <c r="V14" i="3"/>
  <c r="W14" i="3"/>
  <c r="X14" i="3"/>
  <c r="N42" i="3"/>
  <c r="U42" i="3"/>
  <c r="V42" i="3"/>
  <c r="W42" i="3"/>
  <c r="X42" i="3"/>
  <c r="N40" i="3"/>
  <c r="U40" i="3"/>
  <c r="V40" i="3"/>
  <c r="W40" i="3"/>
  <c r="X40" i="3"/>
  <c r="N31" i="3"/>
  <c r="U31" i="3"/>
  <c r="V31" i="3"/>
  <c r="W31" i="3"/>
  <c r="X31" i="3"/>
  <c r="N41" i="3"/>
  <c r="U41" i="3"/>
  <c r="V41" i="3"/>
  <c r="W41" i="3"/>
  <c r="X41" i="3"/>
  <c r="N33" i="3"/>
  <c r="U33" i="3"/>
  <c r="V33" i="3"/>
  <c r="W33" i="3"/>
  <c r="X33" i="3"/>
  <c r="N34" i="3"/>
  <c r="U34" i="3"/>
  <c r="V34" i="3"/>
  <c r="W34" i="3"/>
  <c r="X34" i="3"/>
  <c r="N35" i="3"/>
  <c r="U35" i="3"/>
  <c r="V35" i="3"/>
  <c r="W35" i="3"/>
  <c r="X35" i="3"/>
  <c r="N36" i="3"/>
  <c r="U36" i="3"/>
  <c r="V36" i="3"/>
  <c r="W36" i="3"/>
  <c r="X36" i="3"/>
  <c r="N8" i="3"/>
  <c r="U8" i="3"/>
  <c r="V8" i="3"/>
  <c r="W8" i="3"/>
  <c r="X8" i="3"/>
  <c r="N16" i="3"/>
  <c r="U16" i="3"/>
  <c r="V16" i="3"/>
  <c r="W16" i="3"/>
  <c r="X16" i="3"/>
  <c r="AA112" i="1" l="1"/>
  <c r="AI111" i="1"/>
  <c r="AG160" i="1"/>
  <c r="AI88" i="1"/>
  <c r="AA88" i="1"/>
  <c r="AA83" i="1"/>
  <c r="W64" i="1"/>
  <c r="AI107" i="1"/>
  <c r="AA107" i="1"/>
  <c r="AA103" i="1"/>
  <c r="T96" i="1"/>
  <c r="AI187" i="1"/>
  <c r="AA187" i="1"/>
  <c r="AI182" i="1"/>
  <c r="AI92" i="1"/>
  <c r="AG90" i="1"/>
  <c r="X90" i="1"/>
  <c r="AG67" i="1"/>
  <c r="X67" i="1"/>
  <c r="AA18" i="1"/>
  <c r="Y42" i="3"/>
  <c r="Y39" i="3"/>
  <c r="Y19" i="3"/>
  <c r="Y14" i="3"/>
  <c r="Y11" i="3"/>
  <c r="Y38" i="3"/>
  <c r="Y26" i="3"/>
  <c r="Y18" i="3"/>
  <c r="T202" i="1"/>
  <c r="AA194" i="1"/>
  <c r="AA145" i="1"/>
  <c r="T138" i="1"/>
  <c r="AA124" i="1"/>
  <c r="AA177" i="1"/>
  <c r="AG174" i="1"/>
  <c r="AA160" i="1"/>
  <c r="T79" i="1"/>
  <c r="AI76" i="1"/>
  <c r="AI24" i="1"/>
  <c r="W14" i="1"/>
  <c r="X143" i="1"/>
  <c r="AA195" i="1"/>
  <c r="AA156" i="1"/>
  <c r="W156" i="1" s="1"/>
  <c r="AA133" i="1"/>
  <c r="AA65" i="1"/>
  <c r="AG43" i="1"/>
  <c r="AG18" i="1"/>
  <c r="X142" i="1"/>
  <c r="Y7" i="3"/>
  <c r="Y36" i="3"/>
  <c r="Y41" i="3"/>
  <c r="Y13" i="3"/>
  <c r="Y22" i="3"/>
  <c r="Y8" i="3"/>
  <c r="Y33" i="3"/>
  <c r="Y32" i="3"/>
  <c r="Y37" i="3"/>
  <c r="Y17" i="3"/>
  <c r="W103" i="1"/>
  <c r="X148" i="1"/>
  <c r="AA155" i="1"/>
  <c r="X194" i="1"/>
  <c r="AA113" i="1"/>
  <c r="AA174" i="1"/>
  <c r="AA163" i="1"/>
  <c r="AI80" i="1"/>
  <c r="AA73" i="1"/>
  <c r="AA60" i="1"/>
  <c r="W60" i="1" s="1"/>
  <c r="AA16" i="1"/>
  <c r="W16" i="1" s="1"/>
  <c r="W100" i="1"/>
  <c r="W160" i="1"/>
  <c r="AI28" i="1"/>
  <c r="U18" i="1"/>
  <c r="T15" i="1"/>
  <c r="U174" i="1"/>
  <c r="S174" i="1" s="1"/>
  <c r="W107" i="1"/>
  <c r="T200" i="1"/>
  <c r="U200" i="1" s="1"/>
  <c r="S200" i="1" s="1"/>
  <c r="W96" i="1"/>
  <c r="AA203" i="1"/>
  <c r="W203" i="1" s="1"/>
  <c r="AA196" i="1"/>
  <c r="AA153" i="1"/>
  <c r="AA150" i="1"/>
  <c r="AA148" i="1"/>
  <c r="X133" i="1"/>
  <c r="AA117" i="1"/>
  <c r="AA182" i="1"/>
  <c r="W182" i="1" s="1"/>
  <c r="AG175" i="1"/>
  <c r="U175" i="1" s="1"/>
  <c r="S175" i="1" s="1"/>
  <c r="X175" i="1"/>
  <c r="AA93" i="1"/>
  <c r="AA166" i="1"/>
  <c r="AA161" i="1"/>
  <c r="AG91" i="1"/>
  <c r="U91" i="1" s="1"/>
  <c r="S91" i="1" s="1"/>
  <c r="X91" i="1"/>
  <c r="AA82" i="1"/>
  <c r="AG74" i="1"/>
  <c r="U74" i="1" s="1"/>
  <c r="S74" i="1" s="1"/>
  <c r="AA72" i="1"/>
  <c r="W72" i="1" s="1"/>
  <c r="AA68" i="1"/>
  <c r="W68" i="1" s="1"/>
  <c r="AG63" i="1"/>
  <c r="X63" i="1"/>
  <c r="AA15" i="1"/>
  <c r="X197" i="1"/>
  <c r="X155" i="1"/>
  <c r="AA146" i="1"/>
  <c r="W146" i="1" s="1"/>
  <c r="AA136" i="1"/>
  <c r="W136" i="1" s="1"/>
  <c r="AA135" i="1"/>
  <c r="AA132" i="1"/>
  <c r="AG129" i="1"/>
  <c r="U129" i="1" s="1"/>
  <c r="S129" i="1" s="1"/>
  <c r="AA127" i="1"/>
  <c r="W127" i="1" s="1"/>
  <c r="AI119" i="1"/>
  <c r="AA119" i="1"/>
  <c r="W119" i="1" s="1"/>
  <c r="AA94" i="1"/>
  <c r="AI176" i="1"/>
  <c r="AA171" i="1"/>
  <c r="AA159" i="1"/>
  <c r="AG82" i="1"/>
  <c r="X82" i="1"/>
  <c r="AI81" i="1"/>
  <c r="AA81" i="1"/>
  <c r="W81" i="1" s="1"/>
  <c r="AA80" i="1"/>
  <c r="W80" i="1" s="1"/>
  <c r="X68" i="1"/>
  <c r="AA55" i="1"/>
  <c r="AG34" i="1"/>
  <c r="U34" i="1" s="1"/>
  <c r="S34" i="1" s="1"/>
  <c r="X34" i="1"/>
  <c r="AI20" i="1"/>
  <c r="AA19" i="1"/>
  <c r="W172" i="1"/>
  <c r="AI157" i="1"/>
  <c r="AG205" i="1"/>
  <c r="AG153" i="1"/>
  <c r="W153" i="1" s="1"/>
  <c r="X153" i="1"/>
  <c r="AG134" i="1"/>
  <c r="AI134" i="1" s="1"/>
  <c r="W187" i="1"/>
  <c r="T87" i="1"/>
  <c r="AG87" i="1"/>
  <c r="X59" i="1"/>
  <c r="T59" i="1"/>
  <c r="X47" i="1"/>
  <c r="AG47" i="1"/>
  <c r="AI47" i="1" s="1"/>
  <c r="T47" i="1"/>
  <c r="T110" i="1"/>
  <c r="X110" i="1"/>
  <c r="AG110" i="1"/>
  <c r="AI110" i="1" s="1"/>
  <c r="AG44" i="1"/>
  <c r="AI44" i="1" s="1"/>
  <c r="X44" i="1"/>
  <c r="T22" i="1"/>
  <c r="AG22" i="1"/>
  <c r="AG152" i="1"/>
  <c r="AI152" i="1" s="1"/>
  <c r="T197" i="1"/>
  <c r="X134" i="1"/>
  <c r="AG131" i="1"/>
  <c r="X131" i="1"/>
  <c r="AA207" i="1"/>
  <c r="AA198" i="1"/>
  <c r="W198" i="1" s="1"/>
  <c r="X193" i="1"/>
  <c r="AG193" i="1"/>
  <c r="U193" i="1" s="1"/>
  <c r="S193" i="1" s="1"/>
  <c r="AA151" i="1"/>
  <c r="X149" i="1"/>
  <c r="AA140" i="1"/>
  <c r="AG135" i="1"/>
  <c r="AI135" i="1" s="1"/>
  <c r="X135" i="1"/>
  <c r="AI160" i="1"/>
  <c r="AA130" i="1"/>
  <c r="X129" i="1"/>
  <c r="T55" i="1"/>
  <c r="X55" i="1"/>
  <c r="AG55" i="1"/>
  <c r="AI55" i="1" s="1"/>
  <c r="AA157" i="1"/>
  <c r="W157" i="1" s="1"/>
  <c r="AG130" i="1"/>
  <c r="AI130" i="1" s="1"/>
  <c r="X130" i="1"/>
  <c r="AG118" i="1"/>
  <c r="AI118" i="1" s="1"/>
  <c r="T118" i="1"/>
  <c r="X71" i="1"/>
  <c r="T71" i="1"/>
  <c r="W88" i="1"/>
  <c r="AA206" i="1"/>
  <c r="AA205" i="1"/>
  <c r="AA204" i="1"/>
  <c r="AA158" i="1"/>
  <c r="X111" i="1"/>
  <c r="AG109" i="1"/>
  <c r="U109" i="1" s="1"/>
  <c r="S109" i="1" s="1"/>
  <c r="AG106" i="1"/>
  <c r="AI106" i="1" s="1"/>
  <c r="X106" i="1"/>
  <c r="AA105" i="1"/>
  <c r="AA104" i="1"/>
  <c r="AG189" i="1"/>
  <c r="AI189" i="1" s="1"/>
  <c r="X189" i="1"/>
  <c r="AG94" i="1"/>
  <c r="AI94" i="1" s="1"/>
  <c r="X94" i="1"/>
  <c r="AA176" i="1"/>
  <c r="W176" i="1" s="1"/>
  <c r="AA173" i="1"/>
  <c r="AA165" i="1"/>
  <c r="X92" i="1"/>
  <c r="AA87" i="1"/>
  <c r="AA75" i="1"/>
  <c r="W75" i="1" s="1"/>
  <c r="AI72" i="1"/>
  <c r="AI68" i="1"/>
  <c r="AG62" i="1"/>
  <c r="AI60" i="1"/>
  <c r="X56" i="1"/>
  <c r="AG54" i="1"/>
  <c r="U54" i="1" s="1"/>
  <c r="S54" i="1" s="1"/>
  <c r="AA52" i="1"/>
  <c r="W52" i="1" s="1"/>
  <c r="AG50" i="1"/>
  <c r="AI50" i="1" s="1"/>
  <c r="AI48" i="1"/>
  <c r="AA44" i="1"/>
  <c r="AA43" i="1"/>
  <c r="W43" i="1" s="1"/>
  <c r="X39" i="1"/>
  <c r="AA37" i="1"/>
  <c r="W37" i="1" s="1"/>
  <c r="AG35" i="1"/>
  <c r="U35" i="1" s="1"/>
  <c r="S35" i="1" s="1"/>
  <c r="AA29" i="1"/>
  <c r="AG27" i="1"/>
  <c r="X27" i="1"/>
  <c r="AA23" i="1"/>
  <c r="AA21" i="1"/>
  <c r="X16" i="1"/>
  <c r="AI127" i="1"/>
  <c r="X118" i="1"/>
  <c r="AA115" i="1"/>
  <c r="W115" i="1" s="1"/>
  <c r="AA109" i="1"/>
  <c r="X107" i="1"/>
  <c r="AA101" i="1"/>
  <c r="W101" i="1" s="1"/>
  <c r="AA186" i="1"/>
  <c r="X185" i="1"/>
  <c r="AA175" i="1"/>
  <c r="AA92" i="1"/>
  <c r="W92" i="1" s="1"/>
  <c r="AA91" i="1"/>
  <c r="AA89" i="1"/>
  <c r="AA84" i="1"/>
  <c r="AA62" i="1"/>
  <c r="AA61" i="1"/>
  <c r="AA56" i="1"/>
  <c r="W56" i="1" s="1"/>
  <c r="AA51" i="1"/>
  <c r="AA50" i="1"/>
  <c r="AA49" i="1"/>
  <c r="AA46" i="1"/>
  <c r="AA40" i="1"/>
  <c r="AA39" i="1"/>
  <c r="W39" i="1" s="1"/>
  <c r="AA32" i="1"/>
  <c r="W32" i="1" s="1"/>
  <c r="AA28" i="1"/>
  <c r="W28" i="1" s="1"/>
  <c r="AA24" i="1"/>
  <c r="W24" i="1" s="1"/>
  <c r="AA20" i="1"/>
  <c r="W20" i="1" s="1"/>
  <c r="T115" i="1"/>
  <c r="X200" i="1"/>
  <c r="T95" i="1"/>
  <c r="AG95" i="1"/>
  <c r="T178" i="1"/>
  <c r="AG178" i="1"/>
  <c r="AI178" i="1" s="1"/>
  <c r="AI39" i="1"/>
  <c r="W150" i="1"/>
  <c r="W155" i="1"/>
  <c r="T148" i="1"/>
  <c r="T144" i="1"/>
  <c r="AA138" i="1"/>
  <c r="AG137" i="1"/>
  <c r="U137" i="1" s="1"/>
  <c r="S137" i="1" s="1"/>
  <c r="X137" i="1"/>
  <c r="AG126" i="1"/>
  <c r="U126" i="1" s="1"/>
  <c r="S126" i="1" s="1"/>
  <c r="AA122" i="1"/>
  <c r="T119" i="1"/>
  <c r="U119" i="1" s="1"/>
  <c r="S119" i="1" s="1"/>
  <c r="AA114" i="1"/>
  <c r="AI103" i="1"/>
  <c r="T103" i="1"/>
  <c r="U103" i="1" s="1"/>
  <c r="S103" i="1" s="1"/>
  <c r="T100" i="1"/>
  <c r="U100" i="1" s="1"/>
  <c r="S100" i="1" s="1"/>
  <c r="AA98" i="1"/>
  <c r="W98" i="1" s="1"/>
  <c r="T186" i="1"/>
  <c r="X186" i="1"/>
  <c r="AG186" i="1"/>
  <c r="T171" i="1"/>
  <c r="X171" i="1"/>
  <c r="AG171" i="1"/>
  <c r="W171" i="1" s="1"/>
  <c r="T203" i="1"/>
  <c r="U203" i="1" s="1"/>
  <c r="S203" i="1" s="1"/>
  <c r="X207" i="1"/>
  <c r="AG206" i="1"/>
  <c r="AI206" i="1" s="1"/>
  <c r="X206" i="1"/>
  <c r="X203" i="1"/>
  <c r="AG202" i="1"/>
  <c r="AI202" i="1" s="1"/>
  <c r="AA197" i="1"/>
  <c r="AG196" i="1"/>
  <c r="U196" i="1" s="1"/>
  <c r="S196" i="1" s="1"/>
  <c r="T194" i="1"/>
  <c r="U194" i="1" s="1"/>
  <c r="S194" i="1" s="1"/>
  <c r="T155" i="1"/>
  <c r="U155" i="1" s="1"/>
  <c r="S155" i="1" s="1"/>
  <c r="AA152" i="1"/>
  <c r="AG151" i="1"/>
  <c r="U151" i="1" s="1"/>
  <c r="S151" i="1" s="1"/>
  <c r="X151" i="1"/>
  <c r="AG148" i="1"/>
  <c r="AG144" i="1"/>
  <c r="AA141" i="1"/>
  <c r="AA139" i="1"/>
  <c r="AG138" i="1"/>
  <c r="AI138" i="1" s="1"/>
  <c r="T135" i="1"/>
  <c r="AA131" i="1"/>
  <c r="W131" i="1" s="1"/>
  <c r="AA129" i="1"/>
  <c r="AA128" i="1"/>
  <c r="T127" i="1"/>
  <c r="U127" i="1" s="1"/>
  <c r="S127" i="1" s="1"/>
  <c r="AA123" i="1"/>
  <c r="AG122" i="1"/>
  <c r="U122" i="1" s="1"/>
  <c r="S122" i="1" s="1"/>
  <c r="AA118" i="1"/>
  <c r="AG117" i="1"/>
  <c r="X115" i="1"/>
  <c r="AG114" i="1"/>
  <c r="AI114" i="1" s="1"/>
  <c r="T111" i="1"/>
  <c r="T107" i="1"/>
  <c r="U107" i="1" s="1"/>
  <c r="S107" i="1" s="1"/>
  <c r="X101" i="1"/>
  <c r="U96" i="1"/>
  <c r="S96" i="1" s="1"/>
  <c r="AI96" i="1"/>
  <c r="T190" i="1"/>
  <c r="U190" i="1" s="1"/>
  <c r="S190" i="1" s="1"/>
  <c r="AA202" i="1"/>
  <c r="AG201" i="1"/>
  <c r="U201" i="1" s="1"/>
  <c r="S201" i="1" s="1"/>
  <c r="T198" i="1"/>
  <c r="U198" i="1" s="1"/>
  <c r="S198" i="1" s="1"/>
  <c r="T207" i="1"/>
  <c r="U207" i="1" s="1"/>
  <c r="S207" i="1" s="1"/>
  <c r="AA201" i="1"/>
  <c r="AA199" i="1"/>
  <c r="X198" i="1"/>
  <c r="AG197" i="1"/>
  <c r="AI197" i="1" s="1"/>
  <c r="AA193" i="1"/>
  <c r="AG158" i="1"/>
  <c r="T157" i="1"/>
  <c r="U157" i="1" s="1"/>
  <c r="S157" i="1" s="1"/>
  <c r="X152" i="1"/>
  <c r="T149" i="1"/>
  <c r="U149" i="1" s="1"/>
  <c r="S149" i="1" s="1"/>
  <c r="AA142" i="1"/>
  <c r="W142" i="1" s="1"/>
  <c r="AA137" i="1"/>
  <c r="AA134" i="1"/>
  <c r="X119" i="1"/>
  <c r="AA110" i="1"/>
  <c r="AA108" i="1"/>
  <c r="AA106" i="1"/>
  <c r="AG105" i="1"/>
  <c r="U105" i="1" s="1"/>
  <c r="S105" i="1" s="1"/>
  <c r="X103" i="1"/>
  <c r="AA200" i="1"/>
  <c r="W200" i="1" s="1"/>
  <c r="X96" i="1"/>
  <c r="X192" i="1"/>
  <c r="AG192" i="1"/>
  <c r="U94" i="1"/>
  <c r="S94" i="1" s="1"/>
  <c r="T72" i="1"/>
  <c r="U72" i="1" s="1"/>
  <c r="S72" i="1" s="1"/>
  <c r="T48" i="1"/>
  <c r="U48" i="1" s="1"/>
  <c r="S48" i="1" s="1"/>
  <c r="U43" i="1"/>
  <c r="S43" i="1" s="1"/>
  <c r="T32" i="1"/>
  <c r="U32" i="1" s="1"/>
  <c r="S32" i="1" s="1"/>
  <c r="X24" i="1"/>
  <c r="W18" i="1"/>
  <c r="T16" i="1"/>
  <c r="U16" i="1" s="1"/>
  <c r="S16" i="1" s="1"/>
  <c r="U14" i="1"/>
  <c r="S14" i="1" s="1"/>
  <c r="AA97" i="1"/>
  <c r="AA95" i="1"/>
  <c r="AA188" i="1"/>
  <c r="X187" i="1"/>
  <c r="AA185" i="1"/>
  <c r="T182" i="1"/>
  <c r="U182" i="1" s="1"/>
  <c r="S182" i="1" s="1"/>
  <c r="AG165" i="1"/>
  <c r="AA162" i="1"/>
  <c r="W162" i="1" s="1"/>
  <c r="T162" i="1"/>
  <c r="T161" i="1"/>
  <c r="U160" i="1"/>
  <c r="S160" i="1" s="1"/>
  <c r="AG83" i="1"/>
  <c r="X83" i="1"/>
  <c r="T80" i="1"/>
  <c r="T76" i="1"/>
  <c r="U76" i="1" s="1"/>
  <c r="S76" i="1" s="1"/>
  <c r="AA71" i="1"/>
  <c r="AG70" i="1"/>
  <c r="U70" i="1" s="1"/>
  <c r="S70" i="1" s="1"/>
  <c r="T64" i="1"/>
  <c r="U64" i="1" s="1"/>
  <c r="S64" i="1" s="1"/>
  <c r="X60" i="1"/>
  <c r="AA59" i="1"/>
  <c r="AG58" i="1"/>
  <c r="U58" i="1" s="1"/>
  <c r="S58" i="1" s="1"/>
  <c r="AA54" i="1"/>
  <c r="AA53" i="1"/>
  <c r="AG51" i="1"/>
  <c r="X51" i="1"/>
  <c r="AA47" i="1"/>
  <c r="AA41" i="1"/>
  <c r="W41" i="1" s="1"/>
  <c r="AA38" i="1"/>
  <c r="AA33" i="1"/>
  <c r="AA31" i="1"/>
  <c r="W31" i="1" s="1"/>
  <c r="AG30" i="1"/>
  <c r="U30" i="1" s="1"/>
  <c r="S30" i="1" s="1"/>
  <c r="X28" i="1"/>
  <c r="AA27" i="1"/>
  <c r="AG26" i="1"/>
  <c r="U26" i="1" s="1"/>
  <c r="S26" i="1" s="1"/>
  <c r="AG23" i="1"/>
  <c r="X23" i="1"/>
  <c r="T20" i="1"/>
  <c r="U20" i="1" s="1"/>
  <c r="S20" i="1" s="1"/>
  <c r="T19" i="1"/>
  <c r="AA17" i="1"/>
  <c r="AG15" i="1"/>
  <c r="X165" i="1"/>
  <c r="AI91" i="1"/>
  <c r="W90" i="1"/>
  <c r="AA79" i="1"/>
  <c r="W79" i="1" s="1"/>
  <c r="X72" i="1"/>
  <c r="AG71" i="1"/>
  <c r="AI71" i="1" s="1"/>
  <c r="T68" i="1"/>
  <c r="U68" i="1" s="1"/>
  <c r="S68" i="1" s="1"/>
  <c r="AA63" i="1"/>
  <c r="AG59" i="1"/>
  <c r="AI59" i="1" s="1"/>
  <c r="T56" i="1"/>
  <c r="U56" i="1" s="1"/>
  <c r="S56" i="1" s="1"/>
  <c r="X52" i="1"/>
  <c r="X48" i="1"/>
  <c r="AI43" i="1"/>
  <c r="T39" i="1"/>
  <c r="U39" i="1" s="1"/>
  <c r="S39" i="1" s="1"/>
  <c r="T36" i="1"/>
  <c r="U36" i="1" s="1"/>
  <c r="S36" i="1" s="1"/>
  <c r="X32" i="1"/>
  <c r="X31" i="1"/>
  <c r="T24" i="1"/>
  <c r="U24" i="1" s="1"/>
  <c r="S24" i="1" s="1"/>
  <c r="AA190" i="1"/>
  <c r="W190" i="1" s="1"/>
  <c r="T187" i="1"/>
  <c r="U187" i="1" s="1"/>
  <c r="S187" i="1" s="1"/>
  <c r="X183" i="1"/>
  <c r="AA180" i="1"/>
  <c r="W180" i="1" s="1"/>
  <c r="AA179" i="1"/>
  <c r="AA169" i="1"/>
  <c r="AA167" i="1"/>
  <c r="W167" i="1" s="1"/>
  <c r="AG164" i="1"/>
  <c r="AI164" i="1" s="1"/>
  <c r="X164" i="1"/>
  <c r="X162" i="1"/>
  <c r="AG161" i="1"/>
  <c r="AI161" i="1" s="1"/>
  <c r="U90" i="1"/>
  <c r="S90" i="1" s="1"/>
  <c r="AA85" i="1"/>
  <c r="W85" i="1" s="1"/>
  <c r="X80" i="1"/>
  <c r="X76" i="1"/>
  <c r="AA70" i="1"/>
  <c r="AA69" i="1"/>
  <c r="AA67" i="1"/>
  <c r="W67" i="1" s="1"/>
  <c r="AG66" i="1"/>
  <c r="U66" i="1" s="1"/>
  <c r="X64" i="1"/>
  <c r="T60" i="1"/>
  <c r="U60" i="1" s="1"/>
  <c r="S60" i="1" s="1"/>
  <c r="AA57" i="1"/>
  <c r="X46" i="1"/>
  <c r="AA45" i="1"/>
  <c r="W45" i="1" s="1"/>
  <c r="AG38" i="1"/>
  <c r="AI38" i="1" s="1"/>
  <c r="X38" i="1"/>
  <c r="AA36" i="1"/>
  <c r="W36" i="1" s="1"/>
  <c r="AA30" i="1"/>
  <c r="T28" i="1"/>
  <c r="U28" i="1" s="1"/>
  <c r="S28" i="1" s="1"/>
  <c r="AA25" i="1"/>
  <c r="X20" i="1"/>
  <c r="AG19" i="1"/>
  <c r="AI19" i="1" s="1"/>
  <c r="W207" i="1"/>
  <c r="AI207" i="1"/>
  <c r="AI203" i="1"/>
  <c r="W194" i="1"/>
  <c r="X147" i="1"/>
  <c r="AG147" i="1"/>
  <c r="AI147" i="1" s="1"/>
  <c r="AG145" i="1"/>
  <c r="T145" i="1"/>
  <c r="AA143" i="1"/>
  <c r="AG141" i="1"/>
  <c r="T141" i="1"/>
  <c r="T140" i="1"/>
  <c r="AG140" i="1"/>
  <c r="W140" i="1" s="1"/>
  <c r="T132" i="1"/>
  <c r="X132" i="1"/>
  <c r="AG132" i="1"/>
  <c r="W128" i="1"/>
  <c r="X125" i="1"/>
  <c r="AG125" i="1"/>
  <c r="AI125" i="1" s="1"/>
  <c r="X126" i="1"/>
  <c r="AG123" i="1"/>
  <c r="AI123" i="1" s="1"/>
  <c r="T123" i="1"/>
  <c r="X123" i="1"/>
  <c r="AI136" i="1"/>
  <c r="X99" i="1"/>
  <c r="AG99" i="1"/>
  <c r="AI99" i="1" s="1"/>
  <c r="X100" i="1"/>
  <c r="T99" i="1"/>
  <c r="T188" i="1"/>
  <c r="X188" i="1"/>
  <c r="AG188" i="1"/>
  <c r="AI188" i="1" s="1"/>
  <c r="X95" i="1"/>
  <c r="X201" i="1"/>
  <c r="AG199" i="1"/>
  <c r="AI199" i="1" s="1"/>
  <c r="AI198" i="1"/>
  <c r="X196" i="1"/>
  <c r="AG195" i="1"/>
  <c r="AI195" i="1" s="1"/>
  <c r="AI194" i="1"/>
  <c r="AI190" i="1"/>
  <c r="AI184" i="1"/>
  <c r="AI183" i="1"/>
  <c r="T150" i="1"/>
  <c r="U150" i="1" s="1"/>
  <c r="S150" i="1" s="1"/>
  <c r="X150" i="1"/>
  <c r="X145" i="1"/>
  <c r="AG143" i="1"/>
  <c r="AI143" i="1" s="1"/>
  <c r="AI174" i="1"/>
  <c r="U138" i="1"/>
  <c r="S138" i="1" s="1"/>
  <c r="T125" i="1"/>
  <c r="AA189" i="1"/>
  <c r="AG139" i="1"/>
  <c r="T139" i="1"/>
  <c r="AI167" i="1"/>
  <c r="X205" i="1"/>
  <c r="AG204" i="1"/>
  <c r="AI205" i="1"/>
  <c r="X204" i="1"/>
  <c r="X199" i="1"/>
  <c r="X195" i="1"/>
  <c r="T156" i="1"/>
  <c r="U156" i="1" s="1"/>
  <c r="S156" i="1" s="1"/>
  <c r="T154" i="1"/>
  <c r="X154" i="1"/>
  <c r="AG154" i="1"/>
  <c r="T153" i="1"/>
  <c r="AA147" i="1"/>
  <c r="T147" i="1"/>
  <c r="T146" i="1"/>
  <c r="U146" i="1" s="1"/>
  <c r="S146" i="1" s="1"/>
  <c r="X146" i="1"/>
  <c r="T121" i="1"/>
  <c r="X121" i="1"/>
  <c r="AG121" i="1"/>
  <c r="X122" i="1"/>
  <c r="AI150" i="1"/>
  <c r="AI95" i="1"/>
  <c r="AI89" i="1"/>
  <c r="T133" i="1"/>
  <c r="T124" i="1"/>
  <c r="X124" i="1"/>
  <c r="T116" i="1"/>
  <c r="X116" i="1"/>
  <c r="AG116" i="1"/>
  <c r="AI116" i="1" s="1"/>
  <c r="T113" i="1"/>
  <c r="X113" i="1"/>
  <c r="U111" i="1"/>
  <c r="S111" i="1" s="1"/>
  <c r="AI142" i="1"/>
  <c r="T108" i="1"/>
  <c r="X108" i="1"/>
  <c r="AG108" i="1"/>
  <c r="W102" i="1"/>
  <c r="AG97" i="1"/>
  <c r="W97" i="1" s="1"/>
  <c r="X97" i="1"/>
  <c r="T97" i="1"/>
  <c r="T173" i="1"/>
  <c r="X173" i="1"/>
  <c r="AG173" i="1"/>
  <c r="X174" i="1"/>
  <c r="T142" i="1"/>
  <c r="U142" i="1" s="1"/>
  <c r="S142" i="1" s="1"/>
  <c r="AG133" i="1"/>
  <c r="W133" i="1" s="1"/>
  <c r="T131" i="1"/>
  <c r="T128" i="1"/>
  <c r="U128" i="1" s="1"/>
  <c r="S128" i="1" s="1"/>
  <c r="X128" i="1"/>
  <c r="X127" i="1"/>
  <c r="AA125" i="1"/>
  <c r="AG124" i="1"/>
  <c r="AI155" i="1"/>
  <c r="AA121" i="1"/>
  <c r="T120" i="1"/>
  <c r="X120" i="1"/>
  <c r="AG120" i="1"/>
  <c r="AI120" i="1" s="1"/>
  <c r="T117" i="1"/>
  <c r="X117" i="1"/>
  <c r="U115" i="1"/>
  <c r="S115" i="1" s="1"/>
  <c r="X114" i="1"/>
  <c r="AG113" i="1"/>
  <c r="AI113" i="1" s="1"/>
  <c r="T104" i="1"/>
  <c r="X104" i="1"/>
  <c r="AG104" i="1"/>
  <c r="AA184" i="1"/>
  <c r="W184" i="1" s="1"/>
  <c r="AG179" i="1"/>
  <c r="T179" i="1"/>
  <c r="X179" i="1"/>
  <c r="AI26" i="1"/>
  <c r="T136" i="1"/>
  <c r="U136" i="1" s="1"/>
  <c r="S136" i="1" s="1"/>
  <c r="X136" i="1"/>
  <c r="T112" i="1"/>
  <c r="X112" i="1"/>
  <c r="AG112" i="1"/>
  <c r="X181" i="1"/>
  <c r="AG181" i="1"/>
  <c r="AI181" i="1" s="1"/>
  <c r="X182" i="1"/>
  <c r="U170" i="1"/>
  <c r="S170" i="1" s="1"/>
  <c r="AI85" i="1"/>
  <c r="T102" i="1"/>
  <c r="U102" i="1" s="1"/>
  <c r="S102" i="1" s="1"/>
  <c r="X102" i="1"/>
  <c r="AA99" i="1"/>
  <c r="T192" i="1"/>
  <c r="T184" i="1"/>
  <c r="U184" i="1" s="1"/>
  <c r="S184" i="1" s="1"/>
  <c r="X184" i="1"/>
  <c r="AA181" i="1"/>
  <c r="AA178" i="1"/>
  <c r="AI98" i="1"/>
  <c r="T159" i="1"/>
  <c r="AG159" i="1"/>
  <c r="AI159" i="1" s="1"/>
  <c r="W89" i="1"/>
  <c r="AG84" i="1"/>
  <c r="X84" i="1"/>
  <c r="T84" i="1"/>
  <c r="X109" i="1"/>
  <c r="X105" i="1"/>
  <c r="AI132" i="1"/>
  <c r="T191" i="1"/>
  <c r="X191" i="1"/>
  <c r="X190" i="1"/>
  <c r="AI122" i="1"/>
  <c r="T185" i="1"/>
  <c r="W174" i="1"/>
  <c r="T169" i="1"/>
  <c r="X169" i="1"/>
  <c r="AG169" i="1"/>
  <c r="X170" i="1"/>
  <c r="W93" i="1"/>
  <c r="AG166" i="1"/>
  <c r="AI166" i="1" s="1"/>
  <c r="X166" i="1"/>
  <c r="T166" i="1"/>
  <c r="AI79" i="1"/>
  <c r="T61" i="1"/>
  <c r="X61" i="1"/>
  <c r="AG61" i="1"/>
  <c r="AG40" i="1"/>
  <c r="W40" i="1" s="1"/>
  <c r="X40" i="1"/>
  <c r="T40" i="1"/>
  <c r="AA35" i="1"/>
  <c r="T101" i="1"/>
  <c r="U101" i="1" s="1"/>
  <c r="S101" i="1" s="1"/>
  <c r="T98" i="1"/>
  <c r="U98" i="1" s="1"/>
  <c r="S98" i="1" s="1"/>
  <c r="X98" i="1"/>
  <c r="AA192" i="1"/>
  <c r="W192" i="1" s="1"/>
  <c r="AG191" i="1"/>
  <c r="W191" i="1" s="1"/>
  <c r="AG185" i="1"/>
  <c r="AI185" i="1" s="1"/>
  <c r="T183" i="1"/>
  <c r="U183" i="1" s="1"/>
  <c r="S183" i="1" s="1"/>
  <c r="T180" i="1"/>
  <c r="U180" i="1" s="1"/>
  <c r="S180" i="1" s="1"/>
  <c r="X180" i="1"/>
  <c r="T177" i="1"/>
  <c r="X177" i="1"/>
  <c r="AG177" i="1"/>
  <c r="X178" i="1"/>
  <c r="AA170" i="1"/>
  <c r="W170" i="1" s="1"/>
  <c r="X168" i="1"/>
  <c r="AG168" i="1"/>
  <c r="AI168" i="1" s="1"/>
  <c r="X86" i="1"/>
  <c r="AG86" i="1"/>
  <c r="X87" i="1"/>
  <c r="U79" i="1"/>
  <c r="S79" i="1" s="1"/>
  <c r="T77" i="1"/>
  <c r="X77" i="1"/>
  <c r="AG77" i="1"/>
  <c r="X176" i="1"/>
  <c r="T176" i="1"/>
  <c r="U176" i="1" s="1"/>
  <c r="S176" i="1" s="1"/>
  <c r="X172" i="1"/>
  <c r="T172" i="1"/>
  <c r="U172" i="1" s="1"/>
  <c r="S172" i="1" s="1"/>
  <c r="X93" i="1"/>
  <c r="T93" i="1"/>
  <c r="U93" i="1" s="1"/>
  <c r="S93" i="1" s="1"/>
  <c r="AA168" i="1"/>
  <c r="T164" i="1"/>
  <c r="U162" i="1"/>
  <c r="S162" i="1" s="1"/>
  <c r="T92" i="1"/>
  <c r="T89" i="1"/>
  <c r="U89" i="1" s="1"/>
  <c r="S89" i="1" s="1"/>
  <c r="X89" i="1"/>
  <c r="X88" i="1"/>
  <c r="AA86" i="1"/>
  <c r="U80" i="1"/>
  <c r="S80" i="1" s="1"/>
  <c r="AG78" i="1"/>
  <c r="X78" i="1"/>
  <c r="AA77" i="1"/>
  <c r="AA74" i="1"/>
  <c r="S66" i="1"/>
  <c r="T65" i="1"/>
  <c r="X65" i="1"/>
  <c r="AG65" i="1"/>
  <c r="W65" i="1" s="1"/>
  <c r="AA58" i="1"/>
  <c r="T25" i="1"/>
  <c r="X25" i="1"/>
  <c r="AG25" i="1"/>
  <c r="T163" i="1"/>
  <c r="X163" i="1"/>
  <c r="T81" i="1"/>
  <c r="U81" i="1" s="1"/>
  <c r="S81" i="1" s="1"/>
  <c r="X81" i="1"/>
  <c r="X79" i="1"/>
  <c r="AA78" i="1"/>
  <c r="T73" i="1"/>
  <c r="X73" i="1"/>
  <c r="AG73" i="1"/>
  <c r="AA66" i="1"/>
  <c r="W66" i="1" s="1"/>
  <c r="AI58" i="1"/>
  <c r="T57" i="1"/>
  <c r="X57" i="1"/>
  <c r="AG57" i="1"/>
  <c r="T49" i="1"/>
  <c r="X49" i="1"/>
  <c r="AG49" i="1"/>
  <c r="X50" i="1"/>
  <c r="T167" i="1"/>
  <c r="U167" i="1" s="1"/>
  <c r="S167" i="1" s="1"/>
  <c r="X167" i="1"/>
  <c r="AA164" i="1"/>
  <c r="AG163" i="1"/>
  <c r="W163" i="1" s="1"/>
  <c r="U92" i="1"/>
  <c r="S92" i="1" s="1"/>
  <c r="AI90" i="1"/>
  <c r="T88" i="1"/>
  <c r="U88" i="1" s="1"/>
  <c r="S88" i="1" s="1"/>
  <c r="T85" i="1"/>
  <c r="U85" i="1" s="1"/>
  <c r="S85" i="1" s="1"/>
  <c r="X85" i="1"/>
  <c r="T69" i="1"/>
  <c r="X69" i="1"/>
  <c r="AG69" i="1"/>
  <c r="T53" i="1"/>
  <c r="X53" i="1"/>
  <c r="AG53" i="1"/>
  <c r="AI45" i="1"/>
  <c r="X42" i="1"/>
  <c r="AG42" i="1"/>
  <c r="X43" i="1"/>
  <c r="U75" i="1"/>
  <c r="S75" i="1" s="1"/>
  <c r="U67" i="1"/>
  <c r="S67" i="1" s="1"/>
  <c r="U63" i="1"/>
  <c r="S63" i="1" s="1"/>
  <c r="U55" i="1"/>
  <c r="S55" i="1" s="1"/>
  <c r="T52" i="1"/>
  <c r="U52" i="1" s="1"/>
  <c r="S52" i="1" s="1"/>
  <c r="T45" i="1"/>
  <c r="U45" i="1" s="1"/>
  <c r="S45" i="1" s="1"/>
  <c r="X45" i="1"/>
  <c r="AA42" i="1"/>
  <c r="T33" i="1"/>
  <c r="X33" i="1"/>
  <c r="AG33" i="1"/>
  <c r="T29" i="1"/>
  <c r="X29" i="1"/>
  <c r="AG29" i="1"/>
  <c r="AA22" i="1"/>
  <c r="AI75" i="1"/>
  <c r="X74" i="1"/>
  <c r="X70" i="1"/>
  <c r="AI67" i="1"/>
  <c r="X66" i="1"/>
  <c r="AI63" i="1"/>
  <c r="X62" i="1"/>
  <c r="X58" i="1"/>
  <c r="X54" i="1"/>
  <c r="U50" i="1"/>
  <c r="S50" i="1" s="1"/>
  <c r="T46" i="1"/>
  <c r="AI41" i="1"/>
  <c r="T37" i="1"/>
  <c r="U37" i="1" s="1"/>
  <c r="S37" i="1" s="1"/>
  <c r="X37" i="1"/>
  <c r="X36" i="1"/>
  <c r="X35" i="1"/>
  <c r="AA34" i="1"/>
  <c r="T21" i="1"/>
  <c r="X21" i="1"/>
  <c r="AG21" i="1"/>
  <c r="AG46" i="1"/>
  <c r="T44" i="1"/>
  <c r="U44" i="1" s="1"/>
  <c r="S44" i="1" s="1"/>
  <c r="T41" i="1"/>
  <c r="U41" i="1" s="1"/>
  <c r="S41" i="1" s="1"/>
  <c r="X41" i="1"/>
  <c r="AA26" i="1"/>
  <c r="S18" i="1"/>
  <c r="AI18" i="1"/>
  <c r="T17" i="1"/>
  <c r="X17" i="1"/>
  <c r="AG17" i="1"/>
  <c r="AI14" i="1"/>
  <c r="U31" i="1"/>
  <c r="S31" i="1" s="1"/>
  <c r="U27" i="1"/>
  <c r="S27" i="1" s="1"/>
  <c r="U23" i="1"/>
  <c r="S23" i="1" s="1"/>
  <c r="AI31" i="1"/>
  <c r="X30" i="1"/>
  <c r="AI27" i="1"/>
  <c r="X26" i="1"/>
  <c r="X22" i="1"/>
  <c r="X18" i="1"/>
  <c r="AI15" i="1"/>
  <c r="Y16" i="3"/>
  <c r="Y20" i="3"/>
  <c r="Y43" i="3"/>
  <c r="Y15" i="3"/>
  <c r="Y35" i="3"/>
  <c r="Y12" i="3"/>
  <c r="Y24" i="3"/>
  <c r="Y23" i="3"/>
  <c r="Y25" i="3"/>
  <c r="Y29" i="3"/>
  <c r="Y27" i="3"/>
  <c r="Y40" i="3"/>
  <c r="Y28" i="3"/>
  <c r="Y34" i="3"/>
  <c r="Y31" i="3"/>
  <c r="Y44" i="3"/>
  <c r="Y21" i="3"/>
  <c r="Y9" i="3"/>
  <c r="S22" i="3"/>
  <c r="R22" i="3"/>
  <c r="S9" i="3"/>
  <c r="R9" i="3"/>
  <c r="S23" i="3"/>
  <c r="R23" i="3"/>
  <c r="S24" i="3"/>
  <c r="R24" i="3"/>
  <c r="S15" i="3"/>
  <c r="R15" i="3"/>
  <c r="S17" i="3"/>
  <c r="R17" i="3"/>
  <c r="S18" i="3"/>
  <c r="R18" i="3"/>
  <c r="S27" i="3"/>
  <c r="R27" i="3"/>
  <c r="S10" i="3"/>
  <c r="R10" i="3"/>
  <c r="S19" i="3"/>
  <c r="R19" i="3"/>
  <c r="S7" i="3"/>
  <c r="R7" i="3"/>
  <c r="S25" i="3"/>
  <c r="R25" i="3"/>
  <c r="S26" i="3"/>
  <c r="R26" i="3"/>
  <c r="S21" i="3"/>
  <c r="R21" i="3"/>
  <c r="S12" i="3"/>
  <c r="R12" i="3"/>
  <c r="S20" i="3"/>
  <c r="R20" i="3"/>
  <c r="S29" i="3"/>
  <c r="R29" i="3"/>
  <c r="S32" i="3"/>
  <c r="R32" i="3"/>
  <c r="S39" i="3"/>
  <c r="R39" i="3"/>
  <c r="S40" i="3"/>
  <c r="R40" i="3"/>
  <c r="S31" i="3"/>
  <c r="R31" i="3"/>
  <c r="S33" i="3"/>
  <c r="R33" i="3"/>
  <c r="S11" i="3"/>
  <c r="R11" i="3"/>
  <c r="S28" i="3"/>
  <c r="R28" i="3"/>
  <c r="S13" i="3"/>
  <c r="R13" i="3"/>
  <c r="S14" i="3"/>
  <c r="R14" i="3"/>
  <c r="S42" i="3"/>
  <c r="R42" i="3"/>
  <c r="S8" i="3"/>
  <c r="R8" i="3"/>
  <c r="S16" i="3"/>
  <c r="R16" i="3"/>
  <c r="S41" i="3"/>
  <c r="R41" i="3"/>
  <c r="N30" i="3"/>
  <c r="U30" i="3"/>
  <c r="V30" i="3"/>
  <c r="W30" i="3"/>
  <c r="X30" i="3"/>
  <c r="W132" i="1" l="1"/>
  <c r="AI140" i="1"/>
  <c r="U206" i="1"/>
  <c r="S206" i="1" s="1"/>
  <c r="W23" i="1"/>
  <c r="W188" i="1"/>
  <c r="W91" i="1"/>
  <c r="U22" i="1"/>
  <c r="S22" i="1" s="1"/>
  <c r="W82" i="1"/>
  <c r="U15" i="1"/>
  <c r="S15" i="1" s="1"/>
  <c r="W34" i="1"/>
  <c r="AI54" i="1"/>
  <c r="AI126" i="1"/>
  <c r="W134" i="1"/>
  <c r="W69" i="1"/>
  <c r="AI35" i="1"/>
  <c r="AI82" i="1"/>
  <c r="AI151" i="1"/>
  <c r="W30" i="1"/>
  <c r="W47" i="1"/>
  <c r="W95" i="1"/>
  <c r="W110" i="1"/>
  <c r="W137" i="1"/>
  <c r="U95" i="1"/>
  <c r="S95" i="1" s="1"/>
  <c r="AI22" i="1"/>
  <c r="AI34" i="1"/>
  <c r="W168" i="1"/>
  <c r="AI137" i="1"/>
  <c r="W118" i="1"/>
  <c r="W108" i="1"/>
  <c r="U186" i="1"/>
  <c r="S186" i="1" s="1"/>
  <c r="U110" i="1"/>
  <c r="S110" i="1" s="1"/>
  <c r="W22" i="1"/>
  <c r="W33" i="1"/>
  <c r="W58" i="1"/>
  <c r="AI66" i="1"/>
  <c r="W84" i="1"/>
  <c r="U192" i="1"/>
  <c r="S192" i="1" s="1"/>
  <c r="W179" i="1"/>
  <c r="W141" i="1"/>
  <c r="U197" i="1"/>
  <c r="S197" i="1" s="1"/>
  <c r="W63" i="1"/>
  <c r="W51" i="1"/>
  <c r="W129" i="1"/>
  <c r="W87" i="1"/>
  <c r="U118" i="1"/>
  <c r="S118" i="1" s="1"/>
  <c r="AI74" i="1"/>
  <c r="AI23" i="1"/>
  <c r="U153" i="1"/>
  <c r="S153" i="1" s="1"/>
  <c r="W139" i="1"/>
  <c r="W158" i="1"/>
  <c r="U71" i="1"/>
  <c r="S71" i="1" s="1"/>
  <c r="W55" i="1"/>
  <c r="W117" i="1"/>
  <c r="W164" i="1"/>
  <c r="W35" i="1"/>
  <c r="W74" i="1"/>
  <c r="U164" i="1"/>
  <c r="S164" i="1" s="1"/>
  <c r="U82" i="1"/>
  <c r="S82" i="1" s="1"/>
  <c r="AI109" i="1"/>
  <c r="W62" i="1"/>
  <c r="U47" i="1"/>
  <c r="S47" i="1" s="1"/>
  <c r="U87" i="1"/>
  <c r="S87" i="1" s="1"/>
  <c r="W15" i="1"/>
  <c r="W196" i="1"/>
  <c r="AI30" i="1"/>
  <c r="AI129" i="1"/>
  <c r="U135" i="1"/>
  <c r="S135" i="1" s="1"/>
  <c r="U19" i="1"/>
  <c r="S19" i="1" s="1"/>
  <c r="W54" i="1"/>
  <c r="U161" i="1"/>
  <c r="S161" i="1" s="1"/>
  <c r="W109" i="1"/>
  <c r="W123" i="1"/>
  <c r="W197" i="1"/>
  <c r="W175" i="1"/>
  <c r="W94" i="1"/>
  <c r="U202" i="1"/>
  <c r="S202" i="1" s="1"/>
  <c r="W206" i="1"/>
  <c r="W26" i="1"/>
  <c r="U38" i="1"/>
  <c r="S38" i="1" s="1"/>
  <c r="W161" i="1"/>
  <c r="W178" i="1"/>
  <c r="W99" i="1"/>
  <c r="U117" i="1"/>
  <c r="S117" i="1" s="1"/>
  <c r="U131" i="1"/>
  <c r="S131" i="1" s="1"/>
  <c r="AI201" i="1"/>
  <c r="W25" i="1"/>
  <c r="W27" i="1"/>
  <c r="W201" i="1"/>
  <c r="W202" i="1"/>
  <c r="W114" i="1"/>
  <c r="U178" i="1"/>
  <c r="S178" i="1" s="1"/>
  <c r="W61" i="1"/>
  <c r="W50" i="1"/>
  <c r="W181" i="1"/>
  <c r="W173" i="1"/>
  <c r="U189" i="1"/>
  <c r="S189" i="1" s="1"/>
  <c r="U134" i="1"/>
  <c r="S134" i="1" s="1"/>
  <c r="W19" i="1"/>
  <c r="AI87" i="1"/>
  <c r="W38" i="1"/>
  <c r="W59" i="1"/>
  <c r="U130" i="1"/>
  <c r="S130" i="1" s="1"/>
  <c r="U59" i="1"/>
  <c r="S59" i="1" s="1"/>
  <c r="W205" i="1"/>
  <c r="U106" i="1"/>
  <c r="S106" i="1" s="1"/>
  <c r="AI193" i="1"/>
  <c r="AI171" i="1"/>
  <c r="AI70" i="1"/>
  <c r="U62" i="1"/>
  <c r="S62" i="1" s="1"/>
  <c r="U51" i="1"/>
  <c r="S51" i="1" s="1"/>
  <c r="AI62" i="1"/>
  <c r="U205" i="1"/>
  <c r="S205" i="1" s="1"/>
  <c r="W152" i="1"/>
  <c r="W186" i="1"/>
  <c r="U152" i="1"/>
  <c r="S152" i="1" s="1"/>
  <c r="W130" i="1"/>
  <c r="AI51" i="1"/>
  <c r="U171" i="1"/>
  <c r="S171" i="1" s="1"/>
  <c r="AI105" i="1"/>
  <c r="W189" i="1"/>
  <c r="AI158" i="1"/>
  <c r="U158" i="1"/>
  <c r="S158" i="1" s="1"/>
  <c r="W71" i="1"/>
  <c r="W106" i="1"/>
  <c r="W193" i="1"/>
  <c r="W44" i="1"/>
  <c r="W135" i="1"/>
  <c r="W195" i="1"/>
  <c r="U165" i="1"/>
  <c r="S165" i="1" s="1"/>
  <c r="AI165" i="1"/>
  <c r="U144" i="1"/>
  <c r="S144" i="1" s="1"/>
  <c r="AI144" i="1"/>
  <c r="W151" i="1"/>
  <c r="W105" i="1"/>
  <c r="W144" i="1"/>
  <c r="U148" i="1"/>
  <c r="S148" i="1" s="1"/>
  <c r="AI148" i="1"/>
  <c r="W148" i="1"/>
  <c r="W42" i="1"/>
  <c r="W77" i="1"/>
  <c r="W165" i="1"/>
  <c r="U114" i="1"/>
  <c r="S114" i="1" s="1"/>
  <c r="W166" i="1"/>
  <c r="W147" i="1"/>
  <c r="AI191" i="1"/>
  <c r="W70" i="1"/>
  <c r="U83" i="1"/>
  <c r="S83" i="1" s="1"/>
  <c r="AI83" i="1"/>
  <c r="W83" i="1"/>
  <c r="W122" i="1"/>
  <c r="W138" i="1"/>
  <c r="W126" i="1"/>
  <c r="AI86" i="1"/>
  <c r="U86" i="1"/>
  <c r="S86" i="1" s="1"/>
  <c r="AI121" i="1"/>
  <c r="U185" i="1"/>
  <c r="S185" i="1" s="1"/>
  <c r="U17" i="1"/>
  <c r="S17" i="1" s="1"/>
  <c r="AI17" i="1"/>
  <c r="AI46" i="1"/>
  <c r="U46" i="1"/>
  <c r="S46" i="1" s="1"/>
  <c r="U21" i="1"/>
  <c r="S21" i="1" s="1"/>
  <c r="AI21" i="1"/>
  <c r="AI42" i="1"/>
  <c r="U42" i="1"/>
  <c r="S42" i="1" s="1"/>
  <c r="W46" i="1"/>
  <c r="AI49" i="1"/>
  <c r="U49" i="1"/>
  <c r="S49" i="1" s="1"/>
  <c r="AI78" i="1"/>
  <c r="U78" i="1"/>
  <c r="S78" i="1" s="1"/>
  <c r="AI102" i="1"/>
  <c r="U168" i="1"/>
  <c r="S168" i="1" s="1"/>
  <c r="U40" i="1"/>
  <c r="S40" i="1" s="1"/>
  <c r="AI40" i="1"/>
  <c r="U112" i="1"/>
  <c r="S112" i="1" s="1"/>
  <c r="AI145" i="1"/>
  <c r="U179" i="1"/>
  <c r="S179" i="1" s="1"/>
  <c r="AI115" i="1"/>
  <c r="AI146" i="1"/>
  <c r="U113" i="1"/>
  <c r="S113" i="1" s="1"/>
  <c r="U120" i="1"/>
  <c r="S120" i="1" s="1"/>
  <c r="AI153" i="1"/>
  <c r="U108" i="1"/>
  <c r="S108" i="1" s="1"/>
  <c r="AI141" i="1"/>
  <c r="U204" i="1"/>
  <c r="S204" i="1" s="1"/>
  <c r="AI204" i="1"/>
  <c r="AI192" i="1"/>
  <c r="AI133" i="1"/>
  <c r="U99" i="1"/>
  <c r="S99" i="1" s="1"/>
  <c r="AI162" i="1"/>
  <c r="U132" i="1"/>
  <c r="S132" i="1" s="1"/>
  <c r="W143" i="1"/>
  <c r="AI179" i="1"/>
  <c r="U147" i="1"/>
  <c r="S147" i="1" s="1"/>
  <c r="U57" i="1"/>
  <c r="S57" i="1" s="1"/>
  <c r="AI57" i="1"/>
  <c r="U61" i="1"/>
  <c r="S61" i="1" s="1"/>
  <c r="AI61" i="1"/>
  <c r="U124" i="1"/>
  <c r="S124" i="1" s="1"/>
  <c r="U173" i="1"/>
  <c r="S173" i="1" s="1"/>
  <c r="AI108" i="1"/>
  <c r="U97" i="1"/>
  <c r="S97" i="1" s="1"/>
  <c r="AI131" i="1"/>
  <c r="AI154" i="1"/>
  <c r="U121" i="1"/>
  <c r="S121" i="1" s="1"/>
  <c r="W17" i="1"/>
  <c r="U73" i="1"/>
  <c r="S73" i="1" s="1"/>
  <c r="AI73" i="1"/>
  <c r="U169" i="1"/>
  <c r="S169" i="1" s="1"/>
  <c r="AI104" i="1"/>
  <c r="AI93" i="1"/>
  <c r="U159" i="1"/>
  <c r="S159" i="1" s="1"/>
  <c r="AI117" i="1"/>
  <c r="U181" i="1"/>
  <c r="S181" i="1" s="1"/>
  <c r="W185" i="1"/>
  <c r="W125" i="1"/>
  <c r="U116" i="1"/>
  <c r="S116" i="1" s="1"/>
  <c r="AI149" i="1"/>
  <c r="W116" i="1"/>
  <c r="U154" i="1"/>
  <c r="S154" i="1" s="1"/>
  <c r="AI186" i="1"/>
  <c r="W154" i="1"/>
  <c r="U199" i="1"/>
  <c r="S199" i="1" s="1"/>
  <c r="AI200" i="1"/>
  <c r="W112" i="1"/>
  <c r="U141" i="1"/>
  <c r="S141" i="1" s="1"/>
  <c r="AI173" i="1"/>
  <c r="U145" i="1"/>
  <c r="S145" i="1" s="1"/>
  <c r="AI177" i="1"/>
  <c r="W199" i="1"/>
  <c r="U25" i="1"/>
  <c r="S25" i="1" s="1"/>
  <c r="AI25" i="1"/>
  <c r="U139" i="1"/>
  <c r="S139" i="1" s="1"/>
  <c r="AI169" i="1"/>
  <c r="AI175" i="1"/>
  <c r="U143" i="1"/>
  <c r="S143" i="1" s="1"/>
  <c r="U125" i="1"/>
  <c r="S125" i="1" s="1"/>
  <c r="U140" i="1"/>
  <c r="S140" i="1" s="1"/>
  <c r="AI170" i="1"/>
  <c r="W124" i="1"/>
  <c r="U29" i="1"/>
  <c r="S29" i="1" s="1"/>
  <c r="AI29" i="1"/>
  <c r="U53" i="1"/>
  <c r="S53" i="1" s="1"/>
  <c r="AI53" i="1"/>
  <c r="U69" i="1"/>
  <c r="S69" i="1" s="1"/>
  <c r="AI69" i="1"/>
  <c r="U177" i="1"/>
  <c r="S177" i="1" s="1"/>
  <c r="AI112" i="1"/>
  <c r="W29" i="1"/>
  <c r="U33" i="1"/>
  <c r="S33" i="1" s="1"/>
  <c r="AI33" i="1"/>
  <c r="U163" i="1"/>
  <c r="S163" i="1" s="1"/>
  <c r="AI97" i="1"/>
  <c r="W21" i="1"/>
  <c r="W53" i="1"/>
  <c r="W78" i="1"/>
  <c r="U65" i="1"/>
  <c r="S65" i="1" s="1"/>
  <c r="AI65" i="1"/>
  <c r="W86" i="1"/>
  <c r="W49" i="1"/>
  <c r="U77" i="1"/>
  <c r="S77" i="1" s="1"/>
  <c r="AI77" i="1"/>
  <c r="W159" i="1"/>
  <c r="U191" i="1"/>
  <c r="S191" i="1" s="1"/>
  <c r="AI128" i="1"/>
  <c r="U166" i="1"/>
  <c r="S166" i="1" s="1"/>
  <c r="AI100" i="1"/>
  <c r="W177" i="1"/>
  <c r="W57" i="1"/>
  <c r="U84" i="1"/>
  <c r="S84" i="1" s="1"/>
  <c r="AI84" i="1"/>
  <c r="W113" i="1"/>
  <c r="U104" i="1"/>
  <c r="S104" i="1" s="1"/>
  <c r="AI139" i="1"/>
  <c r="W121" i="1"/>
  <c r="AI163" i="1"/>
  <c r="U133" i="1"/>
  <c r="S133" i="1" s="1"/>
  <c r="W73" i="1"/>
  <c r="W104" i="1"/>
  <c r="W169" i="1"/>
  <c r="W120" i="1"/>
  <c r="U195" i="1"/>
  <c r="S195" i="1" s="1"/>
  <c r="AI196" i="1"/>
  <c r="AI124" i="1"/>
  <c r="U188" i="1"/>
  <c r="S188" i="1" s="1"/>
  <c r="U123" i="1"/>
  <c r="S123" i="1" s="1"/>
  <c r="AI156" i="1"/>
  <c r="W145" i="1"/>
  <c r="W204" i="1"/>
  <c r="S43" i="3"/>
  <c r="S44" i="3"/>
  <c r="R34" i="3"/>
  <c r="R36" i="3"/>
  <c r="R35" i="3"/>
  <c r="R38" i="3"/>
  <c r="R37" i="3"/>
  <c r="R44" i="3"/>
  <c r="R43" i="3"/>
  <c r="S35" i="3"/>
  <c r="S34" i="3"/>
  <c r="S36" i="3"/>
  <c r="S38" i="3"/>
  <c r="S37" i="3"/>
  <c r="Y30" i="3"/>
  <c r="S30" i="3"/>
  <c r="R30" i="3"/>
  <c r="M41" i="3" l="1"/>
  <c r="M11" i="3"/>
  <c r="M14" i="3"/>
  <c r="M22" i="3"/>
  <c r="M34" i="3"/>
  <c r="M26" i="3"/>
  <c r="M24" i="3"/>
  <c r="M36" i="3"/>
  <c r="M13" i="3"/>
  <c r="M8" i="3"/>
  <c r="M23" i="3"/>
  <c r="M16" i="3"/>
  <c r="M31" i="3"/>
  <c r="M15" i="3"/>
  <c r="M44" i="3"/>
  <c r="M21" i="3"/>
  <c r="M29" i="3"/>
  <c r="M32" i="3"/>
  <c r="M35" i="3"/>
  <c r="M43" i="3"/>
  <c r="M28" i="3"/>
  <c r="M37" i="3"/>
  <c r="M33" i="3"/>
  <c r="M38" i="3"/>
  <c r="M7" i="3"/>
  <c r="M40" i="3"/>
  <c r="M17" i="3"/>
  <c r="M19" i="3"/>
  <c r="M20" i="3"/>
  <c r="M12" i="3"/>
  <c r="M42" i="3"/>
  <c r="M39" i="3"/>
  <c r="M9" i="3"/>
  <c r="M18" i="3"/>
  <c r="M30" i="3"/>
  <c r="M10" i="3"/>
  <c r="M25" i="3"/>
  <c r="M27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8" i="1"/>
  <c r="AH19" i="1"/>
  <c r="AH20" i="1"/>
  <c r="AH21" i="1"/>
  <c r="AH22" i="1"/>
  <c r="AH23" i="1"/>
  <c r="AH43" i="1"/>
  <c r="AH44" i="1"/>
  <c r="AH53" i="1"/>
  <c r="AH54" i="1"/>
  <c r="AH55" i="1"/>
  <c r="AH56" i="1"/>
  <c r="AH63" i="1"/>
  <c r="AH79" i="1"/>
  <c r="AH91" i="1"/>
  <c r="AH92" i="1"/>
  <c r="AH115" i="1"/>
  <c r="AH116" i="1"/>
  <c r="AH117" i="1"/>
  <c r="AH118" i="1"/>
  <c r="AH119" i="1"/>
  <c r="AH120" i="1"/>
  <c r="AH121" i="1"/>
  <c r="AH122" i="1"/>
  <c r="AH133" i="1"/>
  <c r="AH134" i="1"/>
  <c r="AH137" i="1"/>
  <c r="AH144" i="1"/>
  <c r="AH168" i="1"/>
  <c r="AH169" i="1"/>
  <c r="AH185" i="1"/>
  <c r="AH189" i="1"/>
  <c r="AH190" i="1"/>
  <c r="AH191" i="1"/>
  <c r="AH195" i="1"/>
  <c r="AH196" i="1"/>
  <c r="AH197" i="1"/>
  <c r="AH198" i="1"/>
  <c r="AH199" i="1"/>
  <c r="AH207" i="1"/>
  <c r="AH129" i="1"/>
  <c r="AH138" i="1"/>
  <c r="AH146" i="1"/>
  <c r="AH154" i="1"/>
  <c r="AH170" i="1"/>
  <c r="AH172" i="1"/>
  <c r="AH173" i="1"/>
  <c r="AH182" i="1"/>
  <c r="AH192" i="1"/>
  <c r="AH200" i="1"/>
  <c r="AH161" i="1"/>
  <c r="AH165" i="1"/>
  <c r="AH177" i="1"/>
  <c r="AH183" i="1"/>
  <c r="AH206" i="1"/>
  <c r="AH15" i="1"/>
  <c r="AH24" i="1"/>
  <c r="AH31" i="1"/>
  <c r="AH32" i="1"/>
  <c r="AH34" i="1"/>
  <c r="AH35" i="1"/>
  <c r="AH36" i="1"/>
  <c r="AH37" i="1"/>
  <c r="AH38" i="1"/>
  <c r="AH39" i="1"/>
  <c r="AH40" i="1"/>
  <c r="AH45" i="1"/>
  <c r="AH46" i="1"/>
  <c r="AH47" i="1"/>
  <c r="AH48" i="1"/>
  <c r="AH49" i="1"/>
  <c r="AH50" i="1"/>
  <c r="AH51" i="1"/>
  <c r="AH57" i="1"/>
  <c r="AH58" i="1"/>
  <c r="AH59" i="1"/>
  <c r="AH60" i="1"/>
  <c r="AH61" i="1"/>
  <c r="AH62" i="1"/>
  <c r="AH64" i="1"/>
  <c r="AH67" i="1"/>
  <c r="AH75" i="1"/>
  <c r="AH80" i="1"/>
  <c r="AH82" i="1"/>
  <c r="AH83" i="1"/>
  <c r="AH84" i="1"/>
  <c r="AH85" i="1"/>
  <c r="AH86" i="1"/>
  <c r="AH87" i="1"/>
  <c r="AH93" i="1"/>
  <c r="AH102" i="1"/>
  <c r="AH103" i="1"/>
  <c r="AH109" i="1"/>
  <c r="AH123" i="1"/>
  <c r="AH124" i="1"/>
  <c r="AH125" i="1"/>
  <c r="AH126" i="1"/>
  <c r="AH127" i="1"/>
  <c r="AH128" i="1"/>
  <c r="AH135" i="1"/>
  <c r="AH145" i="1"/>
  <c r="AH147" i="1"/>
  <c r="AH153" i="1"/>
  <c r="AH155" i="1"/>
  <c r="AH171" i="1"/>
  <c r="AH181" i="1"/>
  <c r="AH186" i="1"/>
  <c r="AH193" i="1"/>
  <c r="AH201" i="1"/>
  <c r="AH162" i="1"/>
  <c r="AH166" i="1"/>
  <c r="AH178" i="1"/>
  <c r="AH184" i="1"/>
  <c r="AH16" i="1"/>
  <c r="AH41" i="1"/>
  <c r="AH52" i="1"/>
  <c r="AH65" i="1"/>
  <c r="AH66" i="1"/>
  <c r="AH68" i="1"/>
  <c r="AH69" i="1"/>
  <c r="AH70" i="1"/>
  <c r="AH71" i="1"/>
  <c r="AH72" i="1"/>
  <c r="AH73" i="1"/>
  <c r="AH76" i="1"/>
  <c r="AH81" i="1"/>
  <c r="AH88" i="1"/>
  <c r="AH90" i="1"/>
  <c r="AH94" i="1"/>
  <c r="AH95" i="1"/>
  <c r="AH96" i="1"/>
  <c r="AH97" i="1"/>
  <c r="AH98" i="1"/>
  <c r="AH99" i="1"/>
  <c r="AH100" i="1"/>
  <c r="AH104" i="1"/>
  <c r="AH136" i="1"/>
  <c r="AH139" i="1"/>
  <c r="AH140" i="1"/>
  <c r="AH148" i="1"/>
  <c r="AH149" i="1"/>
  <c r="AH150" i="1"/>
  <c r="AH151" i="1"/>
  <c r="AH156" i="1"/>
  <c r="AH157" i="1"/>
  <c r="AH158" i="1"/>
  <c r="AH174" i="1"/>
  <c r="AH175" i="1"/>
  <c r="AH187" i="1"/>
  <c r="AH188" i="1"/>
  <c r="AH194" i="1"/>
  <c r="AH202" i="1"/>
  <c r="AH203" i="1"/>
  <c r="AH141" i="1"/>
  <c r="AH143" i="1"/>
  <c r="AH159" i="1"/>
  <c r="AH163" i="1"/>
  <c r="AH167" i="1"/>
  <c r="AH179" i="1"/>
  <c r="AH204" i="1"/>
  <c r="AH17" i="1"/>
  <c r="AH25" i="1"/>
  <c r="AH26" i="1"/>
  <c r="AH27" i="1"/>
  <c r="AH28" i="1"/>
  <c r="AH29" i="1"/>
  <c r="AH30" i="1"/>
  <c r="AH33" i="1"/>
  <c r="AH42" i="1"/>
  <c r="AH74" i="1"/>
  <c r="AH77" i="1"/>
  <c r="AH78" i="1"/>
  <c r="AH89" i="1"/>
  <c r="AH101" i="1"/>
  <c r="AH105" i="1"/>
  <c r="AH106" i="1"/>
  <c r="AH107" i="1"/>
  <c r="AH108" i="1"/>
  <c r="AH110" i="1"/>
  <c r="AH111" i="1"/>
  <c r="AH112" i="1"/>
  <c r="AH113" i="1"/>
  <c r="AH114" i="1"/>
  <c r="AH130" i="1"/>
  <c r="AH131" i="1"/>
  <c r="AH132" i="1"/>
  <c r="AH142" i="1"/>
  <c r="AH152" i="1"/>
  <c r="AH160" i="1"/>
  <c r="AH164" i="1"/>
  <c r="AH176" i="1"/>
  <c r="AH180" i="1"/>
  <c r="AH205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<sst xmlns="http://schemas.openxmlformats.org/spreadsheetml/2006/main" count="2107" uniqueCount="739">
  <si>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</si>
  <si>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</si>
  <si>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</si>
  <si>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</si>
  <si>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</si>
  <si>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</si>
  <si>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</si>
  <si>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</si>
  <si>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</si>
  <si>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</si>
  <si>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</si>
  <si>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</si>
  <si>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</si>
  <si>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</si>
  <si>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</si>
  <si>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</si>
  <si>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</si>
  <si>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</si>
  <si>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</si>
  <si>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</si>
  <si>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</si>
  <si>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</si>
  <si>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</si>
  <si>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</si>
  <si>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</si>
  <si>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</si>
  <si>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</si>
  <si>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</si>
  <si>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</si>
  <si>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</si>
  <si>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</si>
  <si>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</si>
  <si>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</si>
  <si>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</si>
  <si>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</si>
  <si>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</si>
  <si>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</si>
  <si>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</si>
  <si>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</si>
  <si>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</si>
  <si>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</si>
  <si>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</si>
  <si>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</si>
  <si>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</si>
  <si>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</si>
  <si>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</si>
  <si>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</si>
  <si>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</si>
  <si>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</si>
  <si>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</si>
  <si>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</si>
  <si>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</si>
  <si>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</si>
  <si>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</si>
  <si>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</si>
  <si>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</si>
  <si>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</si>
  <si>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</si>
  <si>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</si>
  <si>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</si>
  <si>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</si>
  <si>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</si>
  <si>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</si>
  <si>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</si>
  <si>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</si>
  <si>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</si>
  <si>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</si>
  <si>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</si>
  <si>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</si>
  <si>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</si>
  <si>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</si>
  <si>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</si>
  <si>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</si>
  <si>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</si>
  <si>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</si>
  <si>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</si>
  <si>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</si>
  <si>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</si>
  <si>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</si>
  <si>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</si>
  <si>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</si>
  <si>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</si>
  <si>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</si>
  <si>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</si>
  <si>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</si>
  <si>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</si>
  <si>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</si>
  <si>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</si>
  <si>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</si>
  <si>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</si>
  <si>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</si>
  <si>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</si>
  <si>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</si>
  <si>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</si>
  <si>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</si>
  <si>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</si>
  <si>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</si>
  <si>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</si>
  <si>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</si>
  <si>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</si>
  <si>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</si>
  <si>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</si>
  <si>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</si>
  <si>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</si>
  <si>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</si>
  <si>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</si>
  <si>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</si>
  <si>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</si>
  <si>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</si>
  <si>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</si>
  <si>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</si>
  <si>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</si>
  <si>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</si>
  <si>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</si>
  <si>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</si>
  <si>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</si>
  <si>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</si>
  <si>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</si>
  <si>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</si>
  <si>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</si>
  <si>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</si>
  <si>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</si>
  <si>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</si>
  <si>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</si>
  <si>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</si>
  <si>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</si>
  <si>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</si>
  <si>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</si>
  <si>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</si>
  <si>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</si>
  <si>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</si>
  <si>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</si>
  <si>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</si>
  <si>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</si>
  <si>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</si>
  <si>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</si>
  <si>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</si>
  <si>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</si>
  <si>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</si>
  <si>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</si>
  <si>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</si>
  <si>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</si>
  <si>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</si>
  <si>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</si>
  <si>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</si>
  <si>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</si>
  <si>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</si>
  <si>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</si>
  <si>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</si>
  <si>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</si>
  <si>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</si>
  <si>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</si>
  <si>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</si>
  <si>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</si>
  <si>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</si>
  <si>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</si>
  <si>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</si>
  <si>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</si>
  <si>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</si>
  <si>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</si>
  <si>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</si>
  <si>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</si>
  <si>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</si>
  <si>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</si>
  <si>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</si>
  <si>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</si>
  <si>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</si>
  <si>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</si>
  <si>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</si>
  <si>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</si>
  <si>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</si>
  <si>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</si>
  <si>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</si>
  <si>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</si>
  <si>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</si>
  <si>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</si>
  <si>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</si>
  <si>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</si>
  <si>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</si>
  <si>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</si>
  <si>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</si>
  <si>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</si>
  <si>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</si>
  <si>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</si>
  <si>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</si>
  <si>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</si>
  <si>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</si>
  <si>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</si>
  <si>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</si>
  <si>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</si>
  <si>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</si>
  <si>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</si>
  <si>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</si>
  <si>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</si>
  <si>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</si>
  <si>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</si>
  <si>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</si>
  <si>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</si>
  <si>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</si>
  <si>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</si>
  <si>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</si>
  <si>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</si>
  <si>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</si>
  <si>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</si>
  <si>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</si>
  <si>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</si>
  <si>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</si>
  <si>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</si>
  <si>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</si>
  <si>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</si>
  <si>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</si>
  <si>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</si>
  <si>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</si>
  <si>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</si>
  <si>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</si>
  <si>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</si>
  <si>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</si>
  <si>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</si>
  <si>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</si>
  <si>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</si>
  <si>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</si>
  <si>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</si>
  <si>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</si>
  <si>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</si>
  <si>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</si>
  <si>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</si>
  <si>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</si>
  <si>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</si>
  <si>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</si>
  <si>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</si>
  <si>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</si>
  <si>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</si>
  <si>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</si>
  <si>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</si>
  <si>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</si>
  <si>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</si>
  <si>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</si>
  <si>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</si>
  <si>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204:141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</si>
  <si>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</si>
  <si>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</si>
  <si>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</si>
  <si>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</si>
  <si>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</si>
  <si>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</si>
  <si>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</si>
  <si>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</si>
  <si>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</si>
  <si>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</si>
  <si>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204:232967</t>
  </si>
  <si>
    <t>204:169</t>
  </si>
  <si>
    <t>204:475</t>
  </si>
  <si>
    <t>precipType</t>
  </si>
  <si>
    <t>rain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</si>
  <si>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</si>
  <si>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</si>
  <si>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</si>
  <si>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</si>
  <si>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</si>
  <si>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</si>
  <si>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</si>
  <si>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</si>
  <si>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</si>
  <si>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</si>
  <si>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</si>
  <si>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</si>
  <si>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</si>
  <si>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rtdc.l.rtdc.4054:itc</t>
  </si>
  <si>
    <t>rtdc.l.rtdc.4017:itc</t>
  </si>
  <si>
    <t>204:143</t>
  </si>
  <si>
    <t>204:232955</t>
  </si>
  <si>
    <t>rtdc.l.rtdc.4022:itc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</si>
  <si>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</si>
  <si>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</si>
  <si>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</si>
  <si>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</si>
  <si>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</si>
  <si>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</si>
  <si>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</si>
  <si>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</si>
  <si>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204:232959</t>
  </si>
  <si>
    <t>204:232986</t>
  </si>
  <si>
    <t>204:232998</t>
  </si>
  <si>
    <t>204:232971</t>
  </si>
  <si>
    <t>204:176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</si>
  <si>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</si>
  <si>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</si>
  <si>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</si>
  <si>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</si>
  <si>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</si>
  <si>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</si>
  <si>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</si>
  <si>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204:233305</t>
  </si>
  <si>
    <t>204:233301</t>
  </si>
  <si>
    <t>204:442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</si>
  <si>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</si>
  <si>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</si>
  <si>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</si>
  <si>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</si>
  <si>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</si>
  <si>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</si>
  <si>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</si>
  <si>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</si>
  <si>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</si>
  <si>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</si>
  <si>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</si>
  <si>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</si>
  <si>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</si>
  <si>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</si>
  <si>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</si>
  <si>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</si>
  <si>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</si>
  <si>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</si>
  <si>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300:58613</t>
  </si>
  <si>
    <t>300:58924</t>
  </si>
  <si>
    <t>rtdc.l.rtdc.4032:itc</t>
  </si>
  <si>
    <t>rtdc.l.rtdc.4045:itc</t>
  </si>
  <si>
    <t>rtdc.l.rtdc.4005:itc</t>
  </si>
  <si>
    <t>MALAVE</t>
  </si>
  <si>
    <t>rtdc.l.rtdc.4021:itc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</si>
  <si>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</si>
  <si>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</si>
  <si>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</si>
  <si>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</si>
  <si>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</si>
  <si>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</si>
  <si>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</si>
  <si>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ROBINSON</t>
  </si>
  <si>
    <t>rtdc.l.rtdc.4037:itc</t>
  </si>
  <si>
    <t>STEWART</t>
  </si>
  <si>
    <t>CLARK</t>
  </si>
  <si>
    <t>YANAI</t>
  </si>
  <si>
    <t>CHANDLER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</si>
  <si>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</si>
  <si>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</si>
  <si>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</si>
  <si>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</si>
  <si>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</si>
  <si>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</si>
  <si>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</si>
  <si>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</si>
  <si>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</si>
  <si>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</si>
  <si>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</si>
  <si>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</si>
  <si>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</si>
  <si>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</si>
  <si>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</si>
  <si>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</si>
  <si>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</si>
  <si>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</si>
  <si>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</si>
  <si>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</si>
  <si>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204:233287</t>
  </si>
  <si>
    <t>204:233268</t>
  </si>
  <si>
    <t>204:232923</t>
  </si>
  <si>
    <t>204:233285</t>
  </si>
  <si>
    <t>204:232963</t>
  </si>
  <si>
    <t>204:232947</t>
  </si>
  <si>
    <t>204:156</t>
  </si>
  <si>
    <t>204:232943</t>
  </si>
  <si>
    <t>204:440</t>
  </si>
  <si>
    <t>204:185</t>
  </si>
  <si>
    <t>204:233286</t>
  </si>
  <si>
    <t>204:233259</t>
  </si>
  <si>
    <t>204:233288</t>
  </si>
  <si>
    <t>204:232950</t>
  </si>
  <si>
    <t>204:232938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</si>
  <si>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</si>
  <si>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</si>
  <si>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</si>
  <si>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</si>
  <si>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</si>
  <si>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</si>
  <si>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</si>
  <si>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</si>
  <si>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204:233247</t>
  </si>
  <si>
    <t>204:232915</t>
  </si>
  <si>
    <t>204:233328</t>
  </si>
  <si>
    <t>204:167</t>
  </si>
  <si>
    <t>300:23312</t>
  </si>
  <si>
    <t>300:23301</t>
  </si>
  <si>
    <t>204:480</t>
  </si>
  <si>
    <t>204:504</t>
  </si>
  <si>
    <t>300:23289</t>
  </si>
  <si>
    <t>204:659</t>
  </si>
  <si>
    <t>204:953</t>
  </si>
  <si>
    <t>300:58630</t>
  </si>
  <si>
    <t>204:957</t>
  </si>
  <si>
    <t>300:58937</t>
  </si>
  <si>
    <t>204:657</t>
  </si>
  <si>
    <t>204:759</t>
  </si>
  <si>
    <t>204:964</t>
  </si>
  <si>
    <t>partly-cloudy-day</t>
  </si>
  <si>
    <t>Summary for DUS 2016-09-17: Clear throughout the day.</t>
  </si>
  <si>
    <t>302-17</t>
  </si>
  <si>
    <t>101-17</t>
  </si>
  <si>
    <t>103-17</t>
  </si>
  <si>
    <t>102-17</t>
  </si>
  <si>
    <t>rtdc.l.rtdc.4011:itc</t>
  </si>
  <si>
    <t>105-17</t>
  </si>
  <si>
    <t>STORY</t>
  </si>
  <si>
    <t>rtdc.l.rtdc.4040:itc</t>
  </si>
  <si>
    <t>107-17</t>
  </si>
  <si>
    <t>109-17</t>
  </si>
  <si>
    <t>KILLION</t>
  </si>
  <si>
    <t>104-17</t>
  </si>
  <si>
    <t>111-17</t>
  </si>
  <si>
    <t>GEBRETEKLE</t>
  </si>
  <si>
    <t>rtdc.l.rtdc.4053:itc</t>
  </si>
  <si>
    <t>113-17</t>
  </si>
  <si>
    <t>rtdc.l.rtdc.4028:itc</t>
  </si>
  <si>
    <t>106-17</t>
  </si>
  <si>
    <t>rtdc.l.rtdc.4039:itc</t>
  </si>
  <si>
    <t>108-17</t>
  </si>
  <si>
    <t>115-17</t>
  </si>
  <si>
    <t>110-17</t>
  </si>
  <si>
    <t>1800-17</t>
  </si>
  <si>
    <t>YORK</t>
  </si>
  <si>
    <t>117-17</t>
  </si>
  <si>
    <t>112-17</t>
  </si>
  <si>
    <t>1801-17</t>
  </si>
  <si>
    <t>119-17</t>
  </si>
  <si>
    <t>114-17</t>
  </si>
  <si>
    <t>121-17</t>
  </si>
  <si>
    <t>116-17</t>
  </si>
  <si>
    <t>rtdc.l.rtdc.4027:itc</t>
  </si>
  <si>
    <t>123-17</t>
  </si>
  <si>
    <t>118-17</t>
  </si>
  <si>
    <t>1802-17</t>
  </si>
  <si>
    <t>125-17</t>
  </si>
  <si>
    <t>rtdc.l.rtdc.4012:itc</t>
  </si>
  <si>
    <t>120-17</t>
  </si>
  <si>
    <t>127-17</t>
  </si>
  <si>
    <t>1803-17</t>
  </si>
  <si>
    <t>122-17</t>
  </si>
  <si>
    <t>129-17</t>
  </si>
  <si>
    <t>124-17</t>
  </si>
  <si>
    <t>131-17</t>
  </si>
  <si>
    <t>126-17</t>
  </si>
  <si>
    <t>1804-17</t>
  </si>
  <si>
    <t>133-17</t>
  </si>
  <si>
    <t>128-17</t>
  </si>
  <si>
    <t>135-17</t>
  </si>
  <si>
    <t>1805-17</t>
  </si>
  <si>
    <t>130-17</t>
  </si>
  <si>
    <t>137-17</t>
  </si>
  <si>
    <t>132-17</t>
  </si>
  <si>
    <t>139-17</t>
  </si>
  <si>
    <t>134-17</t>
  </si>
  <si>
    <t>1806-17</t>
  </si>
  <si>
    <t>141-17</t>
  </si>
  <si>
    <t>SANTIZO</t>
  </si>
  <si>
    <t>136-17</t>
  </si>
  <si>
    <t>143-17</t>
  </si>
  <si>
    <t>138-17</t>
  </si>
  <si>
    <t>145-17</t>
  </si>
  <si>
    <t>1807-17</t>
  </si>
  <si>
    <t>140-17</t>
  </si>
  <si>
    <t>147-17</t>
  </si>
  <si>
    <t>142-17</t>
  </si>
  <si>
    <t>1808-17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</si>
  <si>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</si>
  <si>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</si>
  <si>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</si>
  <si>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</si>
  <si>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</si>
  <si>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</si>
  <si>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</si>
  <si>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</si>
  <si>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150-17</t>
  </si>
  <si>
    <t>1810-17</t>
  </si>
  <si>
    <t>157-17</t>
  </si>
  <si>
    <t>152-17</t>
  </si>
  <si>
    <t>56-17</t>
  </si>
  <si>
    <t>159-17</t>
  </si>
  <si>
    <t>1811-17</t>
  </si>
  <si>
    <t>154-17</t>
  </si>
  <si>
    <t>161-17</t>
  </si>
  <si>
    <t>BARTLETT</t>
  </si>
  <si>
    <t>156-17</t>
  </si>
  <si>
    <t>163-17</t>
  </si>
  <si>
    <t>158-17</t>
  </si>
  <si>
    <t>1812-17</t>
  </si>
  <si>
    <t>55-17</t>
  </si>
  <si>
    <t>165-17</t>
  </si>
  <si>
    <t>SHOOK</t>
  </si>
  <si>
    <t>160-17</t>
  </si>
  <si>
    <t>162-17</t>
  </si>
  <si>
    <t>1813-17</t>
  </si>
  <si>
    <t>167-17</t>
  </si>
  <si>
    <t>BRUDER</t>
  </si>
  <si>
    <t>169-17</t>
  </si>
  <si>
    <t>164-17</t>
  </si>
  <si>
    <t>171-17</t>
  </si>
  <si>
    <t>166-17</t>
  </si>
  <si>
    <t>1814-17</t>
  </si>
  <si>
    <t>173-17</t>
  </si>
  <si>
    <t>168-17</t>
  </si>
  <si>
    <t>175-17</t>
  </si>
  <si>
    <t>170-17</t>
  </si>
  <si>
    <t>177-17</t>
  </si>
  <si>
    <t>1815-17</t>
  </si>
  <si>
    <t>172-17</t>
  </si>
  <si>
    <t>179-17</t>
  </si>
  <si>
    <t>1816-17</t>
  </si>
  <si>
    <t>174-17</t>
  </si>
  <si>
    <t>181-17</t>
  </si>
  <si>
    <t>176-17</t>
  </si>
  <si>
    <t>183-17</t>
  </si>
  <si>
    <t>178-17</t>
  </si>
  <si>
    <t>1817-17</t>
  </si>
  <si>
    <t>185-17</t>
  </si>
  <si>
    <t>180-17</t>
  </si>
  <si>
    <t>187-17</t>
  </si>
  <si>
    <t>182-17</t>
  </si>
  <si>
    <t>189-17</t>
  </si>
  <si>
    <t>1818-17</t>
  </si>
  <si>
    <t>184-17</t>
  </si>
  <si>
    <t>191-17</t>
  </si>
  <si>
    <t>186-17</t>
  </si>
  <si>
    <t>193-17</t>
  </si>
  <si>
    <t>1819-17</t>
  </si>
  <si>
    <t>188-17</t>
  </si>
  <si>
    <t>195-17</t>
  </si>
  <si>
    <t>190-17</t>
  </si>
  <si>
    <t>1820-17</t>
  </si>
  <si>
    <t>197-17</t>
  </si>
  <si>
    <t>192-17</t>
  </si>
  <si>
    <t>199-17</t>
  </si>
  <si>
    <t>194-17</t>
  </si>
  <si>
    <t>201-17</t>
  </si>
  <si>
    <t>1821-17</t>
  </si>
  <si>
    <t>196-17</t>
  </si>
  <si>
    <t>203-17</t>
  </si>
  <si>
    <t>198-17</t>
  </si>
  <si>
    <t>1822-17</t>
  </si>
  <si>
    <t>205-17</t>
  </si>
  <si>
    <t>200-17</t>
  </si>
  <si>
    <t>207-17</t>
  </si>
  <si>
    <t>202-17</t>
  </si>
  <si>
    <t>209-17</t>
  </si>
  <si>
    <t>204-17</t>
  </si>
  <si>
    <t>1823-17</t>
  </si>
  <si>
    <t>211-17</t>
  </si>
  <si>
    <t>206-17</t>
  </si>
  <si>
    <t>1824-17</t>
  </si>
  <si>
    <t>213-17</t>
  </si>
  <si>
    <t>208-17</t>
  </si>
  <si>
    <t>63-17</t>
  </si>
  <si>
    <t>DE LA ROSA</t>
  </si>
  <si>
    <t>215-17</t>
  </si>
  <si>
    <t>54-17</t>
  </si>
  <si>
    <t>210-17</t>
  </si>
  <si>
    <t>217-17</t>
  </si>
  <si>
    <t>1825-17</t>
  </si>
  <si>
    <t>66-17</t>
  </si>
  <si>
    <t>212-17</t>
  </si>
  <si>
    <t>219-17</t>
  </si>
  <si>
    <t>214-17</t>
  </si>
  <si>
    <t>1826-17</t>
  </si>
  <si>
    <t>303-17</t>
  </si>
  <si>
    <t>64-17</t>
  </si>
  <si>
    <t>216-17</t>
  </si>
  <si>
    <t>221-17</t>
  </si>
  <si>
    <t>218-17</t>
  </si>
  <si>
    <t>305-17</t>
  </si>
  <si>
    <t>1827-17</t>
  </si>
  <si>
    <t>220-17</t>
  </si>
  <si>
    <t>223-17</t>
  </si>
  <si>
    <t>1828-17</t>
  </si>
  <si>
    <t>307-17</t>
  </si>
  <si>
    <t>222-17</t>
  </si>
  <si>
    <t>225-17</t>
  </si>
  <si>
    <t>224-17</t>
  </si>
  <si>
    <t>1829-17</t>
  </si>
  <si>
    <t>227-17</t>
  </si>
  <si>
    <t>1830-17</t>
  </si>
  <si>
    <t>229-17</t>
  </si>
  <si>
    <t>226-17</t>
  </si>
  <si>
    <t>1831-17</t>
  </si>
  <si>
    <t>228-17</t>
  </si>
  <si>
    <t>231-17</t>
  </si>
  <si>
    <t>1832-17</t>
  </si>
  <si>
    <t>230-17</t>
  </si>
  <si>
    <t>233-17</t>
  </si>
  <si>
    <t>232-17</t>
  </si>
  <si>
    <t>1833-17</t>
  </si>
  <si>
    <t>235-17</t>
  </si>
  <si>
    <t>1902-17</t>
  </si>
  <si>
    <t>237-17</t>
  </si>
  <si>
    <t>234-17</t>
  </si>
  <si>
    <t>239-17</t>
  </si>
  <si>
    <t>236-17</t>
  </si>
  <si>
    <t>238-17</t>
  </si>
  <si>
    <t>241-17</t>
  </si>
  <si>
    <t>240-17</t>
  </si>
  <si>
    <t>243-17</t>
  </si>
  <si>
    <t>245-17</t>
  </si>
  <si>
    <t>242-17</t>
  </si>
  <si>
    <t>244-17</t>
  </si>
  <si>
    <t>311-17</t>
  </si>
  <si>
    <t>246-17</t>
  </si>
  <si>
    <t>313-17</t>
  </si>
  <si>
    <t>315-17</t>
  </si>
  <si>
    <t>SPEED RESTRICTION</t>
  </si>
  <si>
    <t>204:719</t>
  </si>
  <si>
    <t>204:232664</t>
  </si>
  <si>
    <t>204:746</t>
  </si>
  <si>
    <t>204:232624</t>
  </si>
  <si>
    <t>204:788</t>
  </si>
  <si>
    <t>204:233255</t>
  </si>
  <si>
    <t>204:232617</t>
  </si>
  <si>
    <t>204:101</t>
  </si>
  <si>
    <t>204:233187</t>
  </si>
  <si>
    <t>204:232858</t>
  </si>
  <si>
    <t>204:72</t>
  </si>
  <si>
    <t>204:422</t>
  </si>
  <si>
    <t>204:232962</t>
  </si>
  <si>
    <t>204:808</t>
  </si>
  <si>
    <t>204:233309</t>
  </si>
  <si>
    <t>204:232990</t>
  </si>
  <si>
    <t>204:233283</t>
  </si>
  <si>
    <t>204:732</t>
  </si>
  <si>
    <t>204:233282</t>
  </si>
  <si>
    <t>204:232961</t>
  </si>
  <si>
    <t>204:411</t>
  </si>
  <si>
    <t>204:233205</t>
  </si>
  <si>
    <t>204:232882</t>
  </si>
  <si>
    <t>204:232942</t>
  </si>
  <si>
    <t>204:482</t>
  </si>
  <si>
    <t>204:232944</t>
  </si>
  <si>
    <t>204:233253</t>
  </si>
  <si>
    <t>204:132</t>
  </si>
  <si>
    <t>204:233266</t>
  </si>
  <si>
    <t>204:233240</t>
  </si>
  <si>
    <t>204:233204</t>
  </si>
  <si>
    <t>204:232936</t>
  </si>
  <si>
    <t>204:233198</t>
  </si>
  <si>
    <t>204:232883</t>
  </si>
  <si>
    <t>204:233289</t>
  </si>
  <si>
    <t>204:233257</t>
  </si>
  <si>
    <t>204:233293</t>
  </si>
  <si>
    <t>204:232964</t>
  </si>
  <si>
    <t>204:233374</t>
  </si>
  <si>
    <t>204:233019</t>
  </si>
  <si>
    <t>204:804</t>
  </si>
  <si>
    <t>204:1105</t>
  </si>
  <si>
    <t>300:58928</t>
  </si>
  <si>
    <t>204:834</t>
  </si>
  <si>
    <t>204:1130</t>
  </si>
  <si>
    <t>300:58935</t>
  </si>
  <si>
    <t>300:58621</t>
  </si>
  <si>
    <t>204:813</t>
  </si>
  <si>
    <t>204:1109</t>
  </si>
  <si>
    <t>300:58929</t>
  </si>
  <si>
    <t>300:58619</t>
  </si>
  <si>
    <t>204:776</t>
  </si>
  <si>
    <t>204:1067</t>
  </si>
  <si>
    <t>300:58933</t>
  </si>
  <si>
    <t>204:769</t>
  </si>
  <si>
    <t>204:1088</t>
  </si>
  <si>
    <t>300:58939</t>
  </si>
  <si>
    <t>204:1053</t>
  </si>
  <si>
    <t>204:755</t>
  </si>
  <si>
    <t>204:1065</t>
  </si>
  <si>
    <t>300:58905</t>
  </si>
  <si>
    <t>300:58587</t>
  </si>
  <si>
    <t>204:839</t>
  </si>
  <si>
    <t>204:1125</t>
  </si>
  <si>
    <t>204:799</t>
  </si>
  <si>
    <t>300:57599</t>
  </si>
  <si>
    <t>300:57329</t>
  </si>
  <si>
    <t>204:689</t>
  </si>
  <si>
    <t>204:768</t>
  </si>
  <si>
    <t>204:1056</t>
  </si>
  <si>
    <t>300:58901</t>
  </si>
  <si>
    <t>300:58596</t>
  </si>
  <si>
    <t>204:955</t>
  </si>
  <si>
    <t>204:661</t>
  </si>
  <si>
    <t>300:58626</t>
  </si>
  <si>
    <t>204:943</t>
  </si>
  <si>
    <t>300:58931</t>
  </si>
  <si>
    <t>204:652</t>
  </si>
  <si>
    <t>300:58948</t>
  </si>
  <si>
    <t>300:58628</t>
  </si>
  <si>
    <t>204:803</t>
  </si>
  <si>
    <t>300:58941</t>
  </si>
  <si>
    <t>204:233196</t>
  </si>
  <si>
    <t>204:232872</t>
  </si>
  <si>
    <t>300:21755</t>
  </si>
  <si>
    <t>204:232921</t>
  </si>
  <si>
    <t>204:233162</t>
  </si>
  <si>
    <t>204:232849</t>
  </si>
  <si>
    <t>204:37185</t>
  </si>
  <si>
    <t>204:233385</t>
  </si>
  <si>
    <t>204:233088</t>
  </si>
  <si>
    <t>204:233362</t>
  </si>
  <si>
    <t>204:233044</t>
  </si>
  <si>
    <t>204:1020</t>
  </si>
  <si>
    <t>204:194</t>
  </si>
  <si>
    <t>204:233311</t>
  </si>
  <si>
    <t>204:232627</t>
  </si>
  <si>
    <t>204:495</t>
  </si>
  <si>
    <t>204:127861</t>
  </si>
  <si>
    <t>204:233334</t>
  </si>
  <si>
    <t>204:233011</t>
  </si>
  <si>
    <t>204:489</t>
  </si>
  <si>
    <t>204:195588</t>
  </si>
  <si>
    <t>204:233314</t>
  </si>
  <si>
    <t>204:181</t>
  </si>
  <si>
    <t>204:65898</t>
  </si>
  <si>
    <t>204:232611</t>
  </si>
  <si>
    <t>300:23302</t>
  </si>
  <si>
    <t>300:22269</t>
  </si>
  <si>
    <t>300:23299</t>
  </si>
  <si>
    <t>300:22001</t>
  </si>
  <si>
    <t>204:1326</t>
  </si>
  <si>
    <t>300:24724</t>
  </si>
  <si>
    <t>300:23374</t>
  </si>
  <si>
    <t>204:1012</t>
  </si>
  <si>
    <t>204:450</t>
  </si>
  <si>
    <t>300:24214</t>
  </si>
  <si>
    <t>204:1165</t>
  </si>
  <si>
    <t>300:23297</t>
  </si>
  <si>
    <t>204:764</t>
  </si>
  <si>
    <t>300:24239</t>
  </si>
  <si>
    <t>300:24525</t>
  </si>
  <si>
    <t>300:23932</t>
  </si>
  <si>
    <t>Onboard in-route failure</t>
  </si>
  <si>
    <t>At 2016-09-17 16:10:50, we experienced 'Multiple CPU Faults'</t>
  </si>
  <si>
    <t>At 2016-09-17 21:26:18, we experienced 'Multiple CPU Faults'</t>
  </si>
  <si>
    <t>At 2016-09-18 00:26:24 and 00:31:20, there were multiple switchovers of primary slice. This messed things up enough so that the crew got confused and cut out the train</t>
  </si>
  <si>
    <t>Consist update issue</t>
  </si>
  <si>
    <t>Train received many unsolicited consist updates. Operator felt need to acknowledge all of them, preventing a succesful train run.</t>
  </si>
  <si>
    <t>Form C</t>
  </si>
  <si>
    <t>CLI Grep</t>
  </si>
  <si>
    <t>Overspeed</t>
  </si>
  <si>
    <t>40th 4S STOP, cleared shortly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</si>
</sst>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0" borderId="0" xfId="0" applyFont="1"/>
    <xf numFmtId="169" fontId="17" fillId="0" borderId="0" xfId="0" applyFont="1" applyAlignment="1">
      <alignment horizontal="center" vertical="center"/>
    </xf>
    <xf numFmtId="169" fontId="18" fillId="0" borderId="0" xfId="0" applyFont="1" applyFill="1"/>
    <xf numFmtId="169" fontId="17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>
      <selection activeCell="A157" sqref="A15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114</v>
      </c>
      <c r="J1" s="43"/>
      <c r="K1" s="30"/>
      <c r="L1" s="30"/>
      <c r="M1" s="42"/>
      <c r="N1" s="43"/>
      <c r="O1" s="2"/>
      <c r="P1" s="2"/>
      <c r="R1" s="40" t="s">
        <v>115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42630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42630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33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COUNTIFS($N$13:$N$9398,"&gt;0",$AG$13:$AG$9398,I1)</f>
        <v>142</v>
      </c>
      <c r="K5" s="46"/>
      <c r="L5" s="46"/>
      <c r="M5" s="47">
        <f>AVERAGEIFS($N$13:$N$9398,$AG$13:$AG$9398,I1)</f>
        <v>39.270892019234402</v>
      </c>
      <c r="N5" s="45">
        <f t="array" ref="N5">MIN(IF($AG$13:$AG$9398=I1,IF(ISNUMBER($N$13:$N$9398),IF($N$13:$N$9398&gt;0,$N$13:$N$9398))))</f>
        <v>34.766666663344949</v>
      </c>
      <c r="O5" s="3">
        <f t="array" ref="O5">MAX(IF($AG$13:$AG$9398=I1,IF(ISNUMBER($N$13:$N$9398),IF($N$13:$N$9398&gt;0,$N$13:$N$9398))))</f>
        <v>48.433333329157904</v>
      </c>
      <c r="P5" s="2"/>
      <c r="R5" s="87" t="s">
        <v>17</v>
      </c>
      <c r="S5" s="57">
        <f>COUNTIFS($N$13:$N$9398,"&gt;0",$AG$13:$AG$9398,R1)</f>
        <v>33</v>
      </c>
      <c r="T5" s="46"/>
      <c r="U5" s="160"/>
      <c r="V5" s="47">
        <f>AVERAGEIFS($N$13:$N$9398,$AG$13:$AG$9398,R1)</f>
        <v>14.371078432475983</v>
      </c>
      <c r="W5" s="45">
        <f t="array" ref="W5">MIN(IF($AG$13:$AG$9398=R1,IF(ISNUMBER($N$13:$N$9398),IF($N$13:$N$9398&gt;0,$N$13:$N$9398))))</f>
        <v>12.566666670609266</v>
      </c>
      <c r="X5" s="165">
        <f t="array" ref="X5">MAX(IF($AG$13:$AG$9398=R1,IF(ISNUMBER($N$13:$N$9398),IF($N$13:$N$9398&gt;0,$N$13:$N$9398))))</f>
        <v>19.416666668839753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COUNT($O$13:$O$164)</f>
        <v>0</v>
      </c>
      <c r="K6" s="46"/>
      <c r="L6" s="46"/>
      <c r="M6" s="47">
        <f>IFERROR(AVERAGE($O$13:$O$164),0)</f>
        <v>0</v>
      </c>
      <c r="N6" s="45">
        <f>MIN($O$13:$O$164)</f>
        <v>0</v>
      </c>
      <c r="O6" s="3">
        <f>MAX($O$13:$O$164)</f>
        <v>0</v>
      </c>
      <c r="P6" s="2"/>
      <c r="R6" s="88" t="s">
        <v>43</v>
      </c>
      <c r="S6" s="57">
        <f>COUNT($O$13:$O$164)</f>
        <v>0</v>
      </c>
      <c r="T6" s="46"/>
      <c r="U6" s="160"/>
      <c r="V6" s="47">
        <f>IFERROR(AVERAGE($O$13:$O$164),0)</f>
        <v>0</v>
      </c>
      <c r="W6" s="45">
        <f>MIN($O$13:$O$164)</f>
        <v>0</v>
      </c>
      <c r="X6" s="165">
        <f>MAX($O$13:$O$164)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COUNTIFS($P$13:$P$9398,"&gt;0",$AG$13:$AG$9398,I1)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COUNTIFS($P$13:$P$9398,"&gt;0",$AG$13:$AG$9398,R1)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142</v>
      </c>
      <c r="K8" s="46"/>
      <c r="L8" s="46"/>
      <c r="M8" s="47">
        <f>M5</f>
        <v>39.270892019234402</v>
      </c>
      <c r="N8" s="45">
        <f>N5</f>
        <v>34.766666663344949</v>
      </c>
      <c r="O8" s="3">
        <f>O5</f>
        <v>48.433333329157904</v>
      </c>
      <c r="P8" s="2"/>
      <c r="R8" s="87" t="s">
        <v>16</v>
      </c>
      <c r="S8" s="57">
        <f>S5</f>
        <v>33</v>
      </c>
      <c r="T8" s="46"/>
      <c r="U8" s="160"/>
      <c r="V8" s="47">
        <f>V5</f>
        <v>14.371078432475983</v>
      </c>
      <c r="W8" s="45">
        <f>W5</f>
        <v>12.566666670609266</v>
      </c>
      <c r="X8" s="165">
        <f>X5</f>
        <v>19.416666668839753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0.9726027397260274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- 2016-09-17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AVERAGE(S13:S114)</f>
        <v>0.99264705882352944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116</v>
      </c>
      <c r="AH12" s="101" t="s">
        <v>118</v>
      </c>
      <c r="AI12" s="133" t="s">
        <v>162</v>
      </c>
      <c r="AJ12" s="53" t="s">
        <v>163</v>
      </c>
      <c r="AK12" s="53" t="s">
        <v>136</v>
      </c>
      <c r="AL12" s="53" t="s">
        <v>164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396</v>
      </c>
      <c r="B13" s="7">
        <v>4025</v>
      </c>
      <c r="C13" s="24" t="s">
        <v>106</v>
      </c>
      <c r="D13" s="24" t="s">
        <v>606</v>
      </c>
      <c r="E13" s="15">
        <v>42630.130856481483</v>
      </c>
      <c r="F13" s="15">
        <v>42630.135682870372</v>
      </c>
      <c r="G13" s="7">
        <v>1</v>
      </c>
      <c r="H13" s="15" t="s">
        <v>293</v>
      </c>
      <c r="I13" s="15">
        <v>42630.162627314814</v>
      </c>
      <c r="J13" s="7">
        <v>0</v>
      </c>
      <c r="K13" s="121" t="str">
        <f t="shared" ref="K13:K44" si="0">IF(ISEVEN(B13),(B13-1)&amp;"/"&amp;B13,B13&amp;"/"&amp;(B13+1))</f>
        <v>4025/4026</v>
      </c>
      <c r="L13" s="24" t="str">
        <f>VLOOKUP(A13,'Trips&amp;Operators'!$C$1:$E$10000,3,FALSE)</f>
        <v>MAELZER</v>
      </c>
      <c r="M13" s="6">
        <f t="shared" ref="M13:M44" si="1">I13-F13</f>
        <v>2.6944444442051463E-2</v>
      </c>
      <c r="N13" s="7">
        <f t="shared" ref="N13:N44" si="2">24*60*SUM($M13:$M13)</f>
        <v>38.799999996554106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https://search-rtdc-monitor-bjffxe2xuh6vdkpspy63sjmuny.us-east-1.es.amazonaws.com/_plugin/kibana/#/discover/Steve-Slow-Train-Analysis-(2080s-and-2083s)?_g=(refreshInterval:(display:Off,section:0,value:0),time:(from:'2016-09-17 02:08:26-0600',mode:absolute,to:'2016-09-17 04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" s="54" t="str">
        <f t="shared" ref="W13:W44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44" si="8">RIGHT(D13,LEN(D13)-4)/10000</f>
        <v>7.1900000000000006E-2</v>
      </c>
      <c r="Z13" s="69">
        <f t="shared" ref="Z13:Z44" si="9">RIGHT(H13,LEN(H13)-4)/10000</f>
        <v>23.330100000000002</v>
      </c>
      <c r="AA13" s="69">
        <f t="shared" ref="AA13:AA44" si="10">ABS(Z13-Y13)</f>
        <v>23.258200000000002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0101-17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" s="96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/stypes="app*4025*20160917*"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4025 --swversion DE.1.0.7.0 --startMP 204:719 --initTime 2016-09-17T03:08:26 --startdatetime 2016-09-17T03:15:23 --delay 1 --endMP 204:233301 --enddatetime 2016-09-17T03:54:11 --enforcementcount 0 &gt;&gt;C:\Users\stu\Documents\GitHub\eaglep3-reporting\EC\2016-09-17-refined-times.txt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ID","value":"101-17"},{"id":16,"name":"Locomotive ID","value":"4025"},{"id":130,"name":"Impact","value":""},{"id":150,"name":"Time of Event (Mountain Time)","value":"03:54:11"},{"id":151,"name":"Denver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398</v>
      </c>
      <c r="B14" s="7">
        <v>4054</v>
      </c>
      <c r="C14" s="24" t="s">
        <v>106</v>
      </c>
      <c r="D14" s="24" t="s">
        <v>607</v>
      </c>
      <c r="E14" s="15">
        <v>42630.171226851853</v>
      </c>
      <c r="F14" s="15">
        <v>42630.17459490741</v>
      </c>
      <c r="G14" s="7">
        <v>0</v>
      </c>
      <c r="H14" s="15" t="s">
        <v>269</v>
      </c>
      <c r="I14" s="15">
        <v>42630.204224537039</v>
      </c>
      <c r="J14" s="7">
        <v>0</v>
      </c>
      <c r="K14" s="121" t="str">
        <f t="shared" si="0"/>
        <v>4053/4054</v>
      </c>
      <c r="L14" s="24" t="str">
        <f>VLOOKUP(A14,'Trips&amp;Operators'!$C$1:$E$10000,3,FALSE)</f>
        <v>MAELZER</v>
      </c>
      <c r="M14" s="6">
        <f t="shared" si="1"/>
        <v>2.9629629629198462E-2</v>
      </c>
      <c r="N14" s="7">
        <f t="shared" si="2"/>
        <v>42.666666666045785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03:06:34-0600',mode:absolute,to:'2016-09-17 05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23.266400000000001</v>
      </c>
      <c r="Z14" s="69">
        <f t="shared" si="9"/>
        <v>1.43E-2</v>
      </c>
      <c r="AA14" s="69">
        <f t="shared" si="10"/>
        <v>23.252100000000002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0102-17</v>
      </c>
      <c r="AE14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4" s="96" t="str">
        <f t="shared" si="13"/>
        <v>"C:\Program Files (x86)\AstroGrep\AstroGrep.exe" /spath="%USERPROFILE%\AppData\Local\Temp\OnboardLogs" /stypes="app*4054*20160917*"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4054 --swversion DE.1.0.7.0 --startMP 204:232664 --initTime 2016-09-17T04:06:34 --startdatetime 2016-09-17T04:11:25 --delay 0 --endMP 204:143 --enddatetime 2016-09-17T04:54:05 --enforcementcount 0 &gt;&gt;C:\Users\stu\Documents\GitHub\eaglep3-reporting\EC\2016-09-17-refined-times.txt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ID","value":"102-17"},{"id":16,"name":"Locomotive ID","value":"4054"},{"id":130,"name":"Impact","value":""},{"id":150,"name":"Time of Event (Mountain Time)","value":"04:54:05"},{"id":151,"name":"Denver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397</v>
      </c>
      <c r="B15" s="7">
        <v>4042</v>
      </c>
      <c r="C15" s="24" t="s">
        <v>106</v>
      </c>
      <c r="D15" s="24" t="s">
        <v>608</v>
      </c>
      <c r="E15" s="15">
        <v>42630.155057870368</v>
      </c>
      <c r="F15" s="15">
        <v>42630.156597222223</v>
      </c>
      <c r="G15" s="7">
        <v>1</v>
      </c>
      <c r="H15" s="15" t="s">
        <v>364</v>
      </c>
      <c r="I15" s="15">
        <v>42630.183483796296</v>
      </c>
      <c r="J15" s="7">
        <v>0</v>
      </c>
      <c r="K15" s="121" t="str">
        <f t="shared" si="0"/>
        <v>4041/4042</v>
      </c>
      <c r="L15" s="24" t="str">
        <f>VLOOKUP(A15,'Trips&amp;Operators'!$C$1:$E$10000,3,FALSE)</f>
        <v>MALAVE</v>
      </c>
      <c r="M15" s="6">
        <f t="shared" si="1"/>
        <v>2.6886574072705116E-2</v>
      </c>
      <c r="N15" s="7">
        <f t="shared" si="2"/>
        <v>38.716666664695367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02:43:17-0600',mode:absolute,to:'2016-09-17 05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7.46E-2</v>
      </c>
      <c r="Z15" s="69">
        <f t="shared" si="9"/>
        <v>23.325900000000001</v>
      </c>
      <c r="AA15" s="69">
        <f t="shared" si="10"/>
        <v>23.251300000000001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0103-17</v>
      </c>
      <c r="AE15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" s="96" t="str">
        <f t="shared" si="13"/>
        <v>"C:\Program Files (x86)\AstroGrep\AstroGrep.exe" /spath="%USERPROFILE%\AppData\Local\Temp\OnboardLogs" /stypes="app*4042*20160917*"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103-17 --locoid 4042 --swversion DE.1.0.7.0 --startMP 204:746 --initTime 2016-09-17T03:43:17 --startdatetime 2016-09-17T03:45:30 --delay 1 --endMP 204:233259 --enddatetime 2016-09-17T04:24:13 --enforcementcount 0 &gt;&gt;C:\Users\stu\Documents\GitHub\eaglep3-reporting\EC\2016-09-17-refined-times.txt</v>
      </c>
      <c r="AI1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ID","value":"103-17"},{"id":16,"name":"Locomotive ID","value":"4042"},{"id":130,"name":"Impact","value":""},{"id":150,"name":"Time of Event (Mountain Time)","value":"04:24:13"},{"id":151,"name":"Denver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406</v>
      </c>
      <c r="B16" s="7">
        <v>4045</v>
      </c>
      <c r="C16" s="24" t="s">
        <v>106</v>
      </c>
      <c r="D16" s="24" t="s">
        <v>609</v>
      </c>
      <c r="E16" s="15">
        <v>42630.19327546296</v>
      </c>
      <c r="F16" s="15">
        <v>42630.195405092592</v>
      </c>
      <c r="G16" s="7">
        <v>1</v>
      </c>
      <c r="H16" s="15" t="s">
        <v>219</v>
      </c>
      <c r="I16" s="15">
        <v>42630.225868055553</v>
      </c>
      <c r="J16" s="7">
        <v>0</v>
      </c>
      <c r="K16" s="121" t="str">
        <f t="shared" si="0"/>
        <v>4045/4046</v>
      </c>
      <c r="L16" s="24" t="str">
        <f>VLOOKUP(A16,'Trips&amp;Operators'!$C$1:$E$10000,3,FALSE)</f>
        <v>MALAVE</v>
      </c>
      <c r="M16" s="6">
        <f t="shared" si="1"/>
        <v>3.0462962960882578E-2</v>
      </c>
      <c r="N16" s="7">
        <f t="shared" si="2"/>
        <v>43.866666663670912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03:38:19-0600',mode:absolute,to:'2016-09-17 06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23.2624</v>
      </c>
      <c r="Z16" s="69">
        <f t="shared" si="9"/>
        <v>1.5800000000000002E-2</v>
      </c>
      <c r="AA16" s="69">
        <f t="shared" si="10"/>
        <v>23.246600000000001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0104-17</v>
      </c>
      <c r="AE16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6" s="96" t="str">
        <f t="shared" si="13"/>
        <v>"C:\Program Files (x86)\AstroGrep\AstroGrep.exe" /spath="%USERPROFILE%\AppData\Local\Temp\OnboardLogs" /stypes="app*4045*20160917*"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104-17 --locoid 4045 --swversion DE.1.0.7.0 --startMP 204:232624 --initTime 2016-09-17T04:38:19 --startdatetime 2016-09-17T04:41:23 --delay 1 --endMP 204:158 --enddatetime 2016-09-17T05:25:15 --enforcementcount 0 &gt;&gt;C:\Users\stu\Documents\GitHub\eaglep3-reporting\EC\2016-09-17-refined-times.txt</v>
      </c>
      <c r="AI1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ID","value":"104-17"},{"id":16,"name":"Locomotive ID","value":"4045"},{"id":130,"name":"Impact","value":""},{"id":150,"name":"Time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400</v>
      </c>
      <c r="B17" s="7">
        <v>4011</v>
      </c>
      <c r="C17" s="24" t="s">
        <v>106</v>
      </c>
      <c r="D17" s="24" t="s">
        <v>610</v>
      </c>
      <c r="E17" s="15">
        <v>42630.171423611115</v>
      </c>
      <c r="F17" s="15">
        <v>42630.177395833336</v>
      </c>
      <c r="G17" s="7">
        <v>1</v>
      </c>
      <c r="H17" s="15" t="s">
        <v>611</v>
      </c>
      <c r="I17" s="15">
        <v>42630.205138888887</v>
      </c>
      <c r="J17" s="7">
        <v>0</v>
      </c>
      <c r="K17" s="121" t="str">
        <f t="shared" si="0"/>
        <v>4011/4012</v>
      </c>
      <c r="L17" s="24" t="str">
        <f>VLOOKUP(A17,'Trips&amp;Operators'!$C$1:$E$10000,3,FALSE)</f>
        <v>STORY</v>
      </c>
      <c r="M17" s="6">
        <f t="shared" si="1"/>
        <v>2.774305555067258E-2</v>
      </c>
      <c r="N17" s="7">
        <f t="shared" si="2"/>
        <v>39.949999992968515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03:06:51-0600',mode:absolute,to:'2016-09-17 05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7.8799999999999995E-2</v>
      </c>
      <c r="Z17" s="69">
        <f t="shared" si="9"/>
        <v>23.325500000000002</v>
      </c>
      <c r="AA17" s="69">
        <f t="shared" si="10"/>
        <v>23.246700000000001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0105-17</v>
      </c>
      <c r="AE17" s="99" t="str">
        <f t="shared" si="1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7" s="96" t="str">
        <f t="shared" si="13"/>
        <v>"C:\Program Files (x86)\AstroGrep\AstroGrep.exe" /spath="%USERPROFILE%\AppData\Local\Temp\OnboardLogs" /stypes="app*4011*20160917*"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105-17 --locoid 4011 --swversion DE.1.0.7.0 --startMP 204:788 --initTime 2016-09-17T04:06:51 --startdatetime 2016-09-17T04:15:27 --delay 1 --endMP 204:233255 --enddatetime 2016-09-17T04:55:24 --enforcementcount 0 &gt;&gt;C:\Users\stu\Documents\GitHub\eaglep3-reporting\EC\2016-09-17-refined-times.txt</v>
      </c>
      <c r="AI1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ID","value":"105-17"},{"id":16,"name":"Locomotive ID","value":"4011"},{"id":130,"name":"Impact","value":""},{"id":150,"name":"Time of Event (Mountain Time)","value":"04:55:24"},{"id":151,"name":"Denver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412</v>
      </c>
      <c r="B18" s="7">
        <v>4028</v>
      </c>
      <c r="C18" s="24" t="s">
        <v>106</v>
      </c>
      <c r="D18" s="24" t="s">
        <v>612</v>
      </c>
      <c r="E18" s="15">
        <v>42630.209363425929</v>
      </c>
      <c r="F18" s="15">
        <v>42630.216400462959</v>
      </c>
      <c r="G18" s="7">
        <v>3</v>
      </c>
      <c r="H18" s="15" t="s">
        <v>613</v>
      </c>
      <c r="I18" s="15">
        <v>42630.244212962964</v>
      </c>
      <c r="J18" s="7">
        <v>0</v>
      </c>
      <c r="K18" s="121" t="str">
        <f t="shared" si="0"/>
        <v>4027/4028</v>
      </c>
      <c r="L18" s="24" t="str">
        <f>VLOOKUP(A18,'Trips&amp;Operators'!$C$1:$E$10000,3,FALSE)</f>
        <v>STORY</v>
      </c>
      <c r="M18" s="6">
        <f t="shared" si="1"/>
        <v>2.7812500004074536E-2</v>
      </c>
      <c r="N18" s="7">
        <f t="shared" si="2"/>
        <v>40.050000005867332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23.261700000000001</v>
      </c>
      <c r="Z18" s="69">
        <f t="shared" si="9"/>
        <v>1.01E-2</v>
      </c>
      <c r="AA18" s="69">
        <f t="shared" si="10"/>
        <v>23.2516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0106-17</v>
      </c>
      <c r="AE18" s="99" t="str">
        <f t="shared" si="1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8" s="96" t="str">
        <f t="shared" si="13"/>
        <v>"C:\Program Files (x86)\AstroGrep\AstroGrep.exe" /spath="%USERPROFILE%\AppData\Local\Temp\OnboardLogs" /stypes="app*4028*20160917*"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106-17 --locoid 4028 --swversion DE.1.0.7.0 --startMP 204:232617 --initTime 2016-09-17T05:01:29 --startdatetime 2016-09-17T05:11:37 --delay 3 --endMP 204:101 --enddatetime 2016-09-17T05:51:40 --enforcementcount 0 &gt;&gt;C:\Users\stu\Documents\GitHub\eaglep3-reporting\EC\2016-09-17-refined-times.txt</v>
      </c>
      <c r="AI1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403</v>
      </c>
      <c r="B19" s="7">
        <v>4040</v>
      </c>
      <c r="C19" s="24" t="s">
        <v>106</v>
      </c>
      <c r="D19" s="24" t="s">
        <v>263</v>
      </c>
      <c r="E19" s="15">
        <v>42630.18246527778</v>
      </c>
      <c r="F19" s="15">
        <v>42630.187708333331</v>
      </c>
      <c r="G19" s="7">
        <v>1</v>
      </c>
      <c r="H19" s="15" t="s">
        <v>309</v>
      </c>
      <c r="I19" s="15">
        <v>42630.216504629629</v>
      </c>
      <c r="J19" s="7">
        <v>0</v>
      </c>
      <c r="K19" s="121" t="str">
        <f t="shared" si="0"/>
        <v>4039/4040</v>
      </c>
      <c r="L19" s="24" t="str">
        <f>VLOOKUP(A19,'Trips&amp;Operators'!$C$1:$E$10000,3,FALSE)</f>
        <v>DAVIS</v>
      </c>
      <c r="M19" s="6">
        <f t="shared" si="1"/>
        <v>2.8796296297514345E-2</v>
      </c>
      <c r="N19" s="7">
        <f t="shared" si="2"/>
        <v>41.466666668420658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03:22:45-0600',mode:absolute,to:'2016-09-17 06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4.6199999999999998E-2</v>
      </c>
      <c r="Z19" s="69">
        <f t="shared" si="9"/>
        <v>23.330300000000001</v>
      </c>
      <c r="AA19" s="69">
        <f t="shared" si="10"/>
        <v>23.284100000000002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0107-17</v>
      </c>
      <c r="AE19" s="99" t="str">
        <f t="shared" si="1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9" s="96" t="str">
        <f t="shared" si="13"/>
        <v>"C:\Program Files (x86)\AstroGrep\AstroGrep.exe" /spath="%USERPROFILE%\AppData\Local\Temp\OnboardLogs" /stypes="app*4040*20160917*"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107-17 --locoid 4040 --swversion DE.1.0.7.0 --startMP 204:462 --initTime 2016-09-17T04:22:45 --startdatetime 2016-09-17T04:30:18 --delay 1 --endMP 204:233303 --enddatetime 2016-09-17T05:11:46 --enforcementcount 0 &gt;&gt;C:\Users\stu\Documents\GitHub\eaglep3-reporting\EC\2016-09-17-refined-times.txt</v>
      </c>
      <c r="AI1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{"issue":{"subject":"","project_id":79,"tracker_id":40,"status_id":1,"priority_id":2,"assigned_to_id":23,"start_date":"2016-09-17","description":"","custom_fields":[{"id":1,"name":"Subdivision","value":"EC"},{"id":4,"name":"Milepost","value":"23.3303"},{"id":17,"name":"Train ID","value":"107-17"},{"id":16,"name":"Locomotive ID","value":"4040"},{"id":130,"name":"Impact","value":""},{"id":150,"name":"Time of Event (Mountain Time)","value":"05:11:46"},{"id":151,"name":"Denver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414</v>
      </c>
      <c r="B20" s="7">
        <v>4039</v>
      </c>
      <c r="C20" s="24" t="s">
        <v>106</v>
      </c>
      <c r="D20" s="24" t="s">
        <v>230</v>
      </c>
      <c r="E20" s="15">
        <v>42630.218391203707</v>
      </c>
      <c r="F20" s="15">
        <v>42630.2265625</v>
      </c>
      <c r="G20" s="7">
        <v>1</v>
      </c>
      <c r="H20" s="15" t="s">
        <v>224</v>
      </c>
      <c r="I20" s="15">
        <v>42630.255277777775</v>
      </c>
      <c r="J20" s="7">
        <v>0</v>
      </c>
      <c r="K20" s="121" t="str">
        <f t="shared" si="0"/>
        <v>4039/4040</v>
      </c>
      <c r="L20" s="24" t="str">
        <f>VLOOKUP(A20,'Trips&amp;Operators'!$C$1:$E$10000,3,FALSE)</f>
        <v>DAVIS</v>
      </c>
      <c r="M20" s="6">
        <f t="shared" si="1"/>
        <v>2.8715277774608694E-2</v>
      </c>
      <c r="N20" s="7">
        <f t="shared" si="2"/>
        <v>41.349999995436519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23.297699999999999</v>
      </c>
      <c r="Z20" s="69">
        <f t="shared" si="9"/>
        <v>1.52E-2</v>
      </c>
      <c r="AA20" s="69">
        <f t="shared" si="10"/>
        <v>23.282499999999999</v>
      </c>
      <c r="AB20" s="66" t="str">
        <f>VLOOKUP(A20,Enforcements!$C$7:$K$20,8,0)</f>
        <v>Bulletin (2)</v>
      </c>
      <c r="AC20" s="62" t="str">
        <f>VLOOKUP(A20,Enforcements!$C$7:$E$20,3,0)</f>
        <v>GRADE CROSSING</v>
      </c>
      <c r="AD20" s="63" t="str">
        <f t="shared" si="11"/>
        <v>0108-17</v>
      </c>
      <c r="AE20" s="99" t="str">
        <f t="shared" si="1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20" s="96" t="str">
        <f t="shared" si="13"/>
        <v>"C:\Program Files (x86)\AstroGrep\AstroGrep.exe" /spath="%USERPROFILE%\AppData\Local\Temp\OnboardLogs" /stypes="app*4039*20160917*"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108-17 --locoid 4039 --swversion DE.1.0.7.0 --startMP 204:232977 --initTime 2016-09-17T05:14:29 --startdatetime 2016-09-17T05:26:15 --delay 1 --endMP 204:152 --enddatetime 2016-09-17T06:07:36 --enforcementcount 0 &gt;&gt;C:\Users\stu\Documents\GitHub\eaglep3-reporting\EC\2016-09-17-refined-times.txt</v>
      </c>
      <c r="AI2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ID","value":"108-17"},{"id":16,"name":"Locomotive ID","value":"4039"},{"id":130,"name":"Impact","value":""},{"id":150,"name":"Time of Event (Mountain Time)","value":"06:07:36"},{"id":151,"name":"Denver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404</v>
      </c>
      <c r="B21" s="7">
        <v>4018</v>
      </c>
      <c r="C21" s="24" t="s">
        <v>106</v>
      </c>
      <c r="D21" s="24" t="s">
        <v>251</v>
      </c>
      <c r="E21" s="15">
        <v>42630.188576388886</v>
      </c>
      <c r="F21" s="15">
        <v>42630.198263888888</v>
      </c>
      <c r="G21" s="7">
        <v>1</v>
      </c>
      <c r="H21" s="15" t="s">
        <v>614</v>
      </c>
      <c r="I21" s="15">
        <v>42630.225428240738</v>
      </c>
      <c r="J21" s="7">
        <v>0</v>
      </c>
      <c r="K21" s="121" t="str">
        <f t="shared" si="0"/>
        <v>4017/4018</v>
      </c>
      <c r="L21" s="24" t="str">
        <f>VLOOKUP(A21,'Trips&amp;Operators'!$C$1:$E$10000,3,FALSE)</f>
        <v>KILLION</v>
      </c>
      <c r="M21" s="6">
        <f t="shared" si="1"/>
        <v>2.7164351849933155E-2</v>
      </c>
      <c r="N21" s="7">
        <f t="shared" si="2"/>
        <v>39.116666663903743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03:31:33-0600',mode:absolute,to:'2016-09-17 06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4.7500000000000001E-2</v>
      </c>
      <c r="Z21" s="69">
        <f t="shared" si="9"/>
        <v>23.3187</v>
      </c>
      <c r="AA21" s="69">
        <f t="shared" si="10"/>
        <v>23.2712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0109-17</v>
      </c>
      <c r="AE21" s="99" t="str">
        <f t="shared" si="12"/>
        <v>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 &amp; 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</v>
      </c>
      <c r="AF21" s="96" t="str">
        <f t="shared" si="13"/>
        <v>"C:\Program Files (x86)\AstroGrep\AstroGrep.exe" /spath="%USERPROFILE%\AppData\Local\Temp\OnboardLogs" /stypes="app*4018*20160917*"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109-17 --locoid 4018 --swversion DE.1.0.7.0 --startMP 204:475 --initTime 2016-09-17T04:31:33 --startdatetime 2016-09-17T04:45:30 --delay 1 --endMP 204:233187 --enddatetime 2016-09-17T05:24:37 --enforcementcount 0 &gt;&gt;C:\Users\stu\Documents\GitHub\eaglep3-reporting\EC\2016-09-17-refined-times.txt</v>
      </c>
      <c r="AI2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{"issue":{"subject":"","project_id":79,"tracker_id":40,"status_id":1,"priority_id":2,"assigned_to_id":23,"start_date":"2016-09-17","description":"","custom_fields":[{"id":1,"name":"Subdivision","value":"EC"},{"id":4,"name":"Milepost","value":"23.3187"},{"id":17,"name":"Train ID","value":"109-17"},{"id":16,"name":"Locomotive ID","value":"4018"},{"id":130,"name":"Impact","value":""},{"id":150,"name":"Time of Event (Mountain Time)","value":"05:24:37"},{"id":151,"name":"Denver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416</v>
      </c>
      <c r="B22" s="7">
        <v>4017</v>
      </c>
      <c r="C22" s="24" t="s">
        <v>106</v>
      </c>
      <c r="D22" s="24" t="s">
        <v>615</v>
      </c>
      <c r="E22" s="15">
        <v>42630.234155092592</v>
      </c>
      <c r="F22" s="15">
        <v>42630.237071759257</v>
      </c>
      <c r="G22" s="7">
        <v>1</v>
      </c>
      <c r="H22" s="15" t="s">
        <v>616</v>
      </c>
      <c r="I22" s="15">
        <v>42630.264363425929</v>
      </c>
      <c r="J22" s="7">
        <v>0</v>
      </c>
      <c r="K22" s="121" t="str">
        <f t="shared" si="0"/>
        <v>4017/4018</v>
      </c>
      <c r="L22" s="24" t="str">
        <f>VLOOKUP(A22,'Trips&amp;Operators'!$C$1:$E$10000,3,FALSE)</f>
        <v>KILLION</v>
      </c>
      <c r="M22" s="6">
        <f t="shared" si="1"/>
        <v>2.7291666672681458E-2</v>
      </c>
      <c r="N22" s="7">
        <f t="shared" si="2"/>
        <v>39.3000000086613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23.285799999999998</v>
      </c>
      <c r="Z22" s="69">
        <f t="shared" si="9"/>
        <v>7.1999999999999998E-3</v>
      </c>
      <c r="AA22" s="69">
        <f t="shared" si="10"/>
        <v>23.278599999999997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0110-17</v>
      </c>
      <c r="AE22" s="99" t="str">
        <f t="shared" si="12"/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AF22" s="96" t="str">
        <f t="shared" si="13"/>
        <v>"C:\Program Files (x86)\AstroGrep\AstroGrep.exe" /spath="%USERPROFILE%\AppData\Local\Temp\OnboardLogs" /stypes="app*4017*20160917*"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110-17 --locoid 4017 --swversion DE.1.0.7.0 --startMP 204:232858 --initTime 2016-09-17T05:37:11 --startdatetime 2016-09-17T05:41:23 --delay 1 --endMP 204:72 --enddatetime 2016-09-17T06:20:41 --enforcementcount 0 &gt;&gt;C:\Users\stu\Documents\GitHub\eaglep3-reporting\EC\2016-09-17-refined-times.txt</v>
      </c>
      <c r="AI2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{"issue":{"subject":"","project_id":79,"tracker_id":40,"status_id":1,"priority_id":2,"assigned_to_id":23,"start_date":"2016-09-17","description":"","custom_fields":[{"id":1,"name":"Subdivision","value":"EC"},{"id":4,"name":"Milepost","value":"0.0072"},{"id":17,"name":"Train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407</v>
      </c>
      <c r="B23" s="7">
        <v>4025</v>
      </c>
      <c r="C23" s="24" t="s">
        <v>106</v>
      </c>
      <c r="D23" s="24" t="s">
        <v>391</v>
      </c>
      <c r="E23" s="15">
        <v>42630.205706018518</v>
      </c>
      <c r="F23" s="15">
        <v>42630.208518518521</v>
      </c>
      <c r="G23" s="7">
        <v>1</v>
      </c>
      <c r="H23" s="15" t="s">
        <v>261</v>
      </c>
      <c r="I23" s="15">
        <v>42630.233530092592</v>
      </c>
      <c r="J23" s="7">
        <v>0</v>
      </c>
      <c r="K23" s="121" t="str">
        <f t="shared" si="0"/>
        <v>4025/4026</v>
      </c>
      <c r="L23" s="24" t="str">
        <f>VLOOKUP(A23,'Trips&amp;Operators'!$C$1:$E$10000,3,FALSE)</f>
        <v>GEBRETEKLE</v>
      </c>
      <c r="M23" s="6">
        <f t="shared" si="1"/>
        <v>2.5011574070958886E-2</v>
      </c>
      <c r="N23" s="7">
        <f t="shared" si="2"/>
        <v>36.016666662180796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03:56:13-0600',mode:absolute,to:'2016-09-17 06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7.5899999999999995E-2</v>
      </c>
      <c r="Z23" s="69">
        <f t="shared" si="9"/>
        <v>23.329899999999999</v>
      </c>
      <c r="AA23" s="69">
        <f t="shared" si="10"/>
        <v>23.253999999999998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0111-17</v>
      </c>
      <c r="AE23" s="99" t="str">
        <f t="shared" si="1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23" s="96" t="str">
        <f t="shared" si="13"/>
        <v>"C:\Program Files (x86)\AstroGrep\AstroGrep.exe" /spath="%USERPROFILE%\AppData\Local\Temp\OnboardLogs" /stypes="app*4025*20160917*"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111-17 --locoid 4025 --swversion DE.1.0.7.0 --startMP 204:759 --initTime 2016-09-17T04:56:13 --startdatetime 2016-09-17T05:00:16 --delay 1 --endMP 204:233299 --enddatetime 2016-09-17T05:36:17 --enforcementcount 0 &gt;&gt;C:\Users\stu\Documents\GitHub\eaglep3-reporting\EC\2016-09-17-refined-times.txt</v>
      </c>
      <c r="AI2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ID","value":"111-17"},{"id":16,"name":"Locomotive ID","value":"4025"},{"id":130,"name":"Impact","value":""},{"id":150,"name":"Time of Event (Mountain Time)","value":"05:36:17"},{"id":151,"name":"Denver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420</v>
      </c>
      <c r="B24" s="7">
        <v>4026</v>
      </c>
      <c r="C24" s="24" t="s">
        <v>106</v>
      </c>
      <c r="D24" s="24" t="s">
        <v>242</v>
      </c>
      <c r="E24" s="15">
        <v>42630.243206018517</v>
      </c>
      <c r="F24" s="15">
        <v>42630.247465277775</v>
      </c>
      <c r="G24" s="7">
        <v>1</v>
      </c>
      <c r="H24" s="15" t="s">
        <v>370</v>
      </c>
      <c r="I24" s="15">
        <v>42630.275069444448</v>
      </c>
      <c r="J24" s="7">
        <v>0</v>
      </c>
      <c r="K24" s="121" t="str">
        <f t="shared" si="0"/>
        <v>4025/4026</v>
      </c>
      <c r="L24" s="24" t="str">
        <f>VLOOKUP(A24,'Trips&amp;Operators'!$C$1:$E$10000,3,FALSE)</f>
        <v>GEBRETEKLE</v>
      </c>
      <c r="M24" s="6">
        <f t="shared" si="1"/>
        <v>2.7604166672972497E-2</v>
      </c>
      <c r="N24" s="7">
        <f t="shared" si="2"/>
        <v>39.750000009080395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23.297799999999999</v>
      </c>
      <c r="Z24" s="69">
        <f t="shared" si="9"/>
        <v>1.6500000000000001E-2</v>
      </c>
      <c r="AA24" s="69">
        <f t="shared" si="10"/>
        <v>23.281299999999998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0112-17</v>
      </c>
      <c r="AE24" s="99" t="str">
        <f t="shared" si="1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24" s="96" t="str">
        <f t="shared" si="13"/>
        <v>"C:\Program Files (x86)\AstroGrep\AstroGrep.exe" /spath="%USERPROFILE%\AppData\Local\Temp\OnboardLogs" /stypes="app*4026*20160917*"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112-17 --locoid 4026 --swversion DE.1.0.7.0 --startMP 204:232978 --initTime 2016-09-17T05:50:13 --startdatetime 2016-09-17T05:56:21 --delay 1 --endMP 204:165 --enddatetime 2016-09-17T06:36:06 --enforcementcount 0 &gt;&gt;C:\Users\stu\Documents\GitHub\eaglep3-reporting\EC\2016-09-17-refined-times.txt</v>
      </c>
      <c r="AI2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410</v>
      </c>
      <c r="B25" s="7">
        <v>4053</v>
      </c>
      <c r="C25" s="24" t="s">
        <v>106</v>
      </c>
      <c r="D25" s="24" t="s">
        <v>617</v>
      </c>
      <c r="E25" s="15">
        <v>42630.211319444446</v>
      </c>
      <c r="F25" s="15">
        <v>42630.219166666669</v>
      </c>
      <c r="G25" s="7">
        <v>1</v>
      </c>
      <c r="H25" s="15" t="s">
        <v>356</v>
      </c>
      <c r="I25" s="15">
        <v>42630.244444444441</v>
      </c>
      <c r="J25" s="7">
        <v>0</v>
      </c>
      <c r="K25" s="121" t="str">
        <f t="shared" si="0"/>
        <v>4053/4054</v>
      </c>
      <c r="L25" s="24" t="str">
        <f>VLOOKUP(A25,'Trips&amp;Operators'!$C$1:$E$10000,3,FALSE)</f>
        <v>MAELZER</v>
      </c>
      <c r="M25" s="6">
        <f t="shared" si="1"/>
        <v>2.5277777771407273E-2</v>
      </c>
      <c r="N25" s="7">
        <f t="shared" si="2"/>
        <v>36.399999990826473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04:04:18-0600',mode:absolute,to:'2016-09-17 06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4.2200000000000001E-2</v>
      </c>
      <c r="Z25" s="69">
        <f t="shared" si="9"/>
        <v>23.328499999999998</v>
      </c>
      <c r="AA25" s="69">
        <f t="shared" si="10"/>
        <v>23.286299999999997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0113-17</v>
      </c>
      <c r="AE25" s="99" t="str">
        <f t="shared" si="1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25" s="96" t="str">
        <f t="shared" si="13"/>
        <v>"C:\Program Files (x86)\AstroGrep\AstroGrep.exe" /spath="%USERPROFILE%\AppData\Local\Temp\OnboardLogs" /stypes="app*4053*20160917*"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113-17 --locoid 4053 --swversion DE.1.0.7.0 --startMP 204:422 --initTime 2016-09-17T05:04:18 --startdatetime 2016-09-17T05:15:36 --delay 1 --endMP 204:233285 --enddatetime 2016-09-17T05:52:00 --enforcementcount 0 &gt;&gt;C:\Users\stu\Documents\GitHub\eaglep3-reporting\EC\2016-09-17-refined-times.txt</v>
      </c>
      <c r="AI2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{"issue":{"subject":"","project_id":79,"tracker_id":40,"status_id":1,"priority_id":2,"assigned_to_id":23,"start_date":"2016-09-17","description":"","custom_fields":[{"id":1,"name":"Subdivision","value":"EC"},{"id":4,"name":"Milepost","value":"23.3285"},{"id":17,"name":"Train ID","value":"113-17"},{"id":16,"name":"Locomotive ID","value":"4053"},{"id":130,"name":"Impact","value":""},{"id":150,"name":"Time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4054</v>
      </c>
      <c r="C26" s="24" t="s">
        <v>106</v>
      </c>
      <c r="D26" s="24" t="s">
        <v>618</v>
      </c>
      <c r="E26" s="15">
        <v>42630.253067129626</v>
      </c>
      <c r="F26" s="15">
        <v>42630.257939814815</v>
      </c>
      <c r="G26" s="7">
        <v>1</v>
      </c>
      <c r="H26" s="15" t="s">
        <v>222</v>
      </c>
      <c r="I26" s="15">
        <v>42630.284675925926</v>
      </c>
      <c r="J26" s="7">
        <v>0</v>
      </c>
      <c r="K26" s="121" t="str">
        <f t="shared" si="0"/>
        <v>4053/4054</v>
      </c>
      <c r="L26" s="24" t="str">
        <f>VLOOKUP(A26,'Trips&amp;Operators'!$C$1:$E$10000,3,FALSE)</f>
        <v>MAELZER</v>
      </c>
      <c r="M26" s="6">
        <f t="shared" si="1"/>
        <v>2.6736111110949423E-2</v>
      </c>
      <c r="N26" s="7">
        <f t="shared" si="2"/>
        <v>38.499999999767169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05:04:25-0600',mode:absolute,to:'2016-09-17 07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23.296199999999999</v>
      </c>
      <c r="Z26" s="69">
        <f t="shared" si="9"/>
        <v>1.4999999999999999E-2</v>
      </c>
      <c r="AA26" s="69">
        <f t="shared" si="10"/>
        <v>23.281199999999998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0114-17</v>
      </c>
      <c r="AE26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26" s="96" t="str">
        <f t="shared" si="13"/>
        <v>"C:\Program Files (x86)\AstroGrep\AstroGrep.exe" /spath="%USERPROFILE%\AppData\Local\Temp\OnboardLogs" /stypes="app*4054*20160917*"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114-17 --locoid 4054 --swversion DE.1.0.7.0 --startMP 204:232962 --initTime 2016-09-17T06:04:25 --startdatetime 2016-09-17T06:11:26 --delay 1 --endMP 204:150 --enddatetime 2016-09-17T06:49:56 --enforcementcount 0 &gt;&gt;C:\Users\stu\Documents\GitHub\eaglep3-reporting\EC\2016-09-17-refined-times.txt</v>
      </c>
      <c r="AI2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ID","value":"114-17"},{"id":16,"name":"Locomotive ID","value":"4054"},{"id":130,"name":"Impact","value":""},{"id":150,"name":"Time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415</v>
      </c>
      <c r="B27" s="7">
        <v>4042</v>
      </c>
      <c r="C27" s="24" t="s">
        <v>106</v>
      </c>
      <c r="D27" s="24" t="s">
        <v>619</v>
      </c>
      <c r="E27" s="15">
        <v>42630.227789351855</v>
      </c>
      <c r="F27" s="15">
        <v>42630.229837962965</v>
      </c>
      <c r="G27" s="7">
        <v>1</v>
      </c>
      <c r="H27" s="15" t="s">
        <v>620</v>
      </c>
      <c r="I27" s="15">
        <v>42630.256458333337</v>
      </c>
      <c r="J27" s="7">
        <v>0</v>
      </c>
      <c r="K27" s="121" t="str">
        <f t="shared" si="0"/>
        <v>4041/4042</v>
      </c>
      <c r="L27" s="24" t="str">
        <f>VLOOKUP(A27,'Trips&amp;Operators'!$C$1:$E$10000,3,FALSE)</f>
        <v>STRICKLAND</v>
      </c>
      <c r="M27" s="6">
        <f t="shared" si="1"/>
        <v>2.662037037225673E-2</v>
      </c>
      <c r="N27" s="7">
        <f t="shared" si="2"/>
        <v>38.333333336049691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04:28:01-0600',mode:absolute,to:'2016-09-17 07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8.0799999999999997E-2</v>
      </c>
      <c r="Z27" s="69">
        <f t="shared" si="9"/>
        <v>23.3309</v>
      </c>
      <c r="AA27" s="69">
        <f t="shared" si="10"/>
        <v>23.2501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0115-17</v>
      </c>
      <c r="AE27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27" s="96" t="str">
        <f t="shared" si="13"/>
        <v>"C:\Program Files (x86)\AstroGrep\AstroGrep.exe" /spath="%USERPROFILE%\AppData\Local\Temp\OnboardLogs" /stypes="app*4042*20160917*"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115-17 --locoid 4042 --swversion DE.1.0.7.0 --startMP 204:808 --initTime 2016-09-17T05:28:01 --startdatetime 2016-09-17T05:30:58 --delay 1 --endMP 204:233309 --enddatetime 2016-09-17T06:09:18 --enforcementcount 0 &gt;&gt;C:\Users\stu\Documents\GitHub\eaglep3-reporting\EC\2016-09-17-refined-times.txt</v>
      </c>
      <c r="AI2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{"issue":{"subject":"","project_id":79,"tracker_id":40,"status_id":1,"priority_id":2,"assigned_to_id":23,"start_date":"2016-09-17","description":"","custom_fields":[{"id":1,"name":"Subdivision","value":"EC"},{"id":4,"name":"Milepost","value":"23.3309"},{"id":17,"name":"Train ID","value":"115-17"},{"id":16,"name":"Locomotive ID","value":"4042"},{"id":130,"name":"Impact","value":""},{"id":150,"name":"Time of Event (Mountain Time)","value":"06:09:18"},{"id":151,"name":"Denver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425</v>
      </c>
      <c r="B28" s="7">
        <v>4041</v>
      </c>
      <c r="C28" s="24" t="s">
        <v>106</v>
      </c>
      <c r="D28" s="24" t="s">
        <v>621</v>
      </c>
      <c r="E28" s="15">
        <v>42630.264525462961</v>
      </c>
      <c r="F28" s="15">
        <v>42630.26834490741</v>
      </c>
      <c r="G28" s="7">
        <v>1</v>
      </c>
      <c r="H28" s="15" t="s">
        <v>222</v>
      </c>
      <c r="I28" s="15">
        <v>42630.29614583333</v>
      </c>
      <c r="J28" s="7">
        <v>0</v>
      </c>
      <c r="K28" s="121" t="str">
        <f t="shared" si="0"/>
        <v>4041/4042</v>
      </c>
      <c r="L28" s="24" t="str">
        <f>VLOOKUP(A28,'Trips&amp;Operators'!$C$1:$E$10000,3,FALSE)</f>
        <v>STRICKLAND</v>
      </c>
      <c r="M28" s="6">
        <f t="shared" si="1"/>
        <v>2.7800925920018926E-2</v>
      </c>
      <c r="N28" s="7">
        <f t="shared" si="2"/>
        <v>40.033333324827254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05:20:55-0600',mode:absolute,to:'2016-09-17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23.298999999999999</v>
      </c>
      <c r="Z28" s="69">
        <f t="shared" si="9"/>
        <v>1.4999999999999999E-2</v>
      </c>
      <c r="AA28" s="69">
        <f t="shared" si="10"/>
        <v>23.283999999999999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0116-17</v>
      </c>
      <c r="AE28" s="99" t="str">
        <f t="shared" si="1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28" s="96" t="str">
        <f t="shared" si="13"/>
        <v>"C:\Program Files (x86)\AstroGrep\AstroGrep.exe" /spath="%USERPROFILE%\AppData\Local\Temp\OnboardLogs" /stypes="app*4041*20160917*"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116-17 --locoid 4041 --swversion DE.1.0.7.0 --startMP 204:232990 --initTime 2016-09-17T06:20:55 --startdatetime 2016-09-17T06:26:25 --delay 1 --endMP 204:150 --enddatetime 2016-09-17T07:06:27 --enforcementcount 0 &gt;&gt;C:\Users\stu\Documents\GitHub\eaglep3-reporting\EC\2016-09-17-refined-times.txt</v>
      </c>
      <c r="AI2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ID","value":"116-17"},{"id":16,"name":"Locomotive ID","value":"4041"},{"id":130,"name":"Impact","value":""},{"id":150,"name":"Time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419</v>
      </c>
      <c r="B29" s="7">
        <v>4046</v>
      </c>
      <c r="C29" s="24" t="s">
        <v>106</v>
      </c>
      <c r="D29" s="24" t="s">
        <v>235</v>
      </c>
      <c r="E29" s="15">
        <v>42630.238541666666</v>
      </c>
      <c r="F29" s="15">
        <v>42630.23978009259</v>
      </c>
      <c r="G29" s="7">
        <v>1</v>
      </c>
      <c r="H29" s="15" t="s">
        <v>622</v>
      </c>
      <c r="I29" s="15">
        <v>42630.2656712963</v>
      </c>
      <c r="J29" s="7">
        <v>0</v>
      </c>
      <c r="K29" s="121" t="str">
        <f t="shared" si="0"/>
        <v>4045/4046</v>
      </c>
      <c r="L29" s="24" t="str">
        <f>VLOOKUP(A29,'Trips&amp;Operators'!$C$1:$E$10000,3,FALSE)</f>
        <v>MALAVE</v>
      </c>
      <c r="M29" s="6">
        <f t="shared" si="1"/>
        <v>2.5891203709761612E-2</v>
      </c>
      <c r="N29" s="7">
        <f t="shared" si="2"/>
        <v>37.283333342056721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4.6399999999999997E-2</v>
      </c>
      <c r="Z29" s="69">
        <f t="shared" si="9"/>
        <v>23.328299999999999</v>
      </c>
      <c r="AA29" s="69">
        <f t="shared" si="10"/>
        <v>23.2819</v>
      </c>
      <c r="AB29" s="66" t="str">
        <f>VLOOKUP(A29,Enforcements!$C$7:$K$20,8,0)</f>
        <v>Speed (6)</v>
      </c>
      <c r="AC29" s="62" t="str">
        <f>VLOOKUP(A29,Enforcements!$C$7:$E$20,3,0)</f>
        <v>PERMANENT SPEED RESTRICTION</v>
      </c>
      <c r="AD29" s="63" t="str">
        <f t="shared" si="11"/>
        <v>0117-17</v>
      </c>
      <c r="AE29" s="99" t="str">
        <f t="shared" si="1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29" s="96" t="str">
        <f t="shared" si="13"/>
        <v>"C:\Program Files (x86)\AstroGrep\AstroGrep.exe" /spath="%USERPROFILE%\AppData\Local\Temp\OnboardLogs" /stypes="app*4046*20160917*"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117-17 --locoid 4046 --swversion DE.1.0.7.0 --startMP 204:464 --initTime 2016-09-17T05:43:30 --startdatetime 2016-09-17T05:45:17 --delay 1 --endMP 204:233283 --enddatetime 2016-09-17T06:22:34 --enforcementcount 0 &gt;&gt;C:\Users\stu\Documents\GitHub\eaglep3-reporting\EC\2016-09-17-refined-times.txt</v>
      </c>
      <c r="AI2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{"issue":{"subject":"","project_id":79,"tracker_id":40,"status_id":1,"priority_id":2,"assigned_to_id":23,"start_date":"2016-09-17","description":"","custom_fields":[{"id":1,"name":"Subdivision","value":"EC"},{"id":4,"name":"Milepost","value":"23.3283"},{"id":17,"name":"Train ID","value":"117-17"},{"id":16,"name":"Locomotive ID","value":"4046"},{"id":130,"name":"Impact","value":""},{"id":150,"name":"Time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428</v>
      </c>
      <c r="B30" s="7">
        <v>4045</v>
      </c>
      <c r="C30" s="24" t="s">
        <v>106</v>
      </c>
      <c r="D30" s="24" t="s">
        <v>373</v>
      </c>
      <c r="E30" s="15">
        <v>42630.272685185184</v>
      </c>
      <c r="F30" s="15">
        <v>42630.278761574074</v>
      </c>
      <c r="G30" s="7">
        <v>6</v>
      </c>
      <c r="H30" s="15" t="s">
        <v>379</v>
      </c>
      <c r="I30" s="15">
        <v>42630.306712962964</v>
      </c>
      <c r="J30" s="7">
        <v>0</v>
      </c>
      <c r="K30" s="121" t="str">
        <f t="shared" si="0"/>
        <v>4045/4046</v>
      </c>
      <c r="L30" s="24" t="str">
        <f>VLOOKUP(A30,'Trips&amp;Operators'!$C$1:$E$10000,3,FALSE)</f>
        <v>MALAVE</v>
      </c>
      <c r="M30" s="6">
        <f t="shared" si="1"/>
        <v>2.7951388889050577E-2</v>
      </c>
      <c r="N30" s="7">
        <f t="shared" si="2"/>
        <v>40.250000000232831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23.295100000000001</v>
      </c>
      <c r="Z30" s="69">
        <f t="shared" si="9"/>
        <v>1.67E-2</v>
      </c>
      <c r="AA30" s="69">
        <f t="shared" si="10"/>
        <v>23.278400000000001</v>
      </c>
      <c r="AB30" s="66" t="str">
        <f>VLOOKUP(A30,Enforcements!$C$7:$K$20,8,0)</f>
        <v>Signal based authority (5)</v>
      </c>
      <c r="AC30" s="62" t="str">
        <f>VLOOKUP(A30,Enforcements!$C$7:$E$20,3,0)</f>
        <v>SIGNAL</v>
      </c>
      <c r="AD30" s="63" t="str">
        <f t="shared" si="11"/>
        <v>0118-17</v>
      </c>
      <c r="AE30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30" s="96" t="str">
        <f t="shared" si="13"/>
        <v>"C:\Program Files (x86)\AstroGrep\AstroGrep.exe" /spath="%USERPROFILE%\AppData\Local\Temp\OnboardLogs" /stypes="app*4045*20160917*"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118-17 --locoid 4045 --swversion DE.1.0.7.0 --startMP 204:232951 --initTime 2016-09-17T06:32:40 --startdatetime 2016-09-17T06:41:25 --delay 6 --endMP 204:167 --enddatetime 2016-09-17T07:21:40 --enforcementcount 0 &gt;&gt;C:\Users\stu\Documents\GitHub\eaglep3-reporting\EC\2016-09-17-refined-times.txt</v>
      </c>
      <c r="AI3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ID","value":"118-17"},{"id":16,"name":"Locomotive ID","value":"4045"},{"id":130,"name":"Impact","value":""},{"id":150,"name":"Time of Event (Mountain Time)","value":"07:21:40"},{"id":151,"name":"Denver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422</v>
      </c>
      <c r="B31" s="7">
        <v>4011</v>
      </c>
      <c r="C31" s="24" t="s">
        <v>106</v>
      </c>
      <c r="D31" s="24" t="s">
        <v>623</v>
      </c>
      <c r="E31" s="15">
        <v>42630.248113425929</v>
      </c>
      <c r="F31" s="15">
        <v>42630.250243055554</v>
      </c>
      <c r="G31" s="7">
        <v>1</v>
      </c>
      <c r="H31" s="15" t="s">
        <v>624</v>
      </c>
      <c r="I31" s="15">
        <v>42630.275092592594</v>
      </c>
      <c r="J31" s="7">
        <v>0</v>
      </c>
      <c r="K31" s="121" t="str">
        <f t="shared" si="0"/>
        <v>4011/4012</v>
      </c>
      <c r="L31" s="24" t="str">
        <f>VLOOKUP(A31,'Trips&amp;Operators'!$C$1:$E$10000,3,FALSE)</f>
        <v>STORY</v>
      </c>
      <c r="M31" s="6">
        <f t="shared" si="1"/>
        <v>2.4849537039699499E-2</v>
      </c>
      <c r="N31" s="7">
        <f t="shared" si="2"/>
        <v>35.783333337167278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04:57:17-0600',mode:absolute,to:'2016-09-17 07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7.3200000000000001E-2</v>
      </c>
      <c r="Z31" s="69">
        <f t="shared" si="9"/>
        <v>23.328199999999999</v>
      </c>
      <c r="AA31" s="69">
        <f t="shared" si="10"/>
        <v>23.254999999999999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0119-17</v>
      </c>
      <c r="AE31" s="99" t="str">
        <f t="shared" si="1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31" s="96" t="str">
        <f t="shared" si="13"/>
        <v>"C:\Program Files (x86)\AstroGrep\AstroGrep.exe" /spath="%USERPROFILE%\AppData\Local\Temp\OnboardLogs" /stypes="app*4011*20160917*"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119-17 --locoid 4011 --swversion DE.1.0.7.0 --startMP 204:732 --initTime 2016-09-17T05:57:17 --startdatetime 2016-09-17T06:00:21 --delay 1 --endMP 204:233282 --enddatetime 2016-09-17T06:36:08 --enforcementcount 0 &gt;&gt;C:\Users\stu\Documents\GitHub\eaglep3-reporting\EC\2016-09-17-refined-times.txt</v>
      </c>
      <c r="AI3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{"issue":{"subject":"","project_id":79,"tracker_id":40,"status_id":1,"priority_id":2,"assigned_to_id":23,"start_date":"2016-09-17","description":"","custom_fields":[{"id":1,"name":"Subdivision","value":"EC"},{"id":4,"name":"Milepost","value":"23.3282"},{"id":17,"name":"Train ID","value":"119-17"},{"id":16,"name":"Locomotive ID","value":"4011"},{"id":130,"name":"Impact","value":""},{"id":150,"name":"Time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4012</v>
      </c>
      <c r="C32" s="24" t="s">
        <v>106</v>
      </c>
      <c r="D32" s="24" t="s">
        <v>625</v>
      </c>
      <c r="E32" s="15">
        <v>42630.283333333333</v>
      </c>
      <c r="F32" s="15">
        <v>42630.289305555554</v>
      </c>
      <c r="G32" s="7">
        <v>1</v>
      </c>
      <c r="H32" s="15" t="s">
        <v>217</v>
      </c>
      <c r="I32" s="15">
        <v>42630.316516203704</v>
      </c>
      <c r="J32" s="7">
        <v>0</v>
      </c>
      <c r="K32" s="121" t="str">
        <f t="shared" si="0"/>
        <v>4011/4012</v>
      </c>
      <c r="L32" s="24" t="str">
        <f>VLOOKUP(A32,'Trips&amp;Operators'!$C$1:$E$10000,3,FALSE)</f>
        <v>STORY</v>
      </c>
      <c r="M32" s="6">
        <f t="shared" si="1"/>
        <v>2.7210648149775807E-2</v>
      </c>
      <c r="N32" s="7">
        <f t="shared" si="2"/>
        <v>39.183333335677162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05:48:00-0600',mode:absolute,to:'2016-09-17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23.296099999999999</v>
      </c>
      <c r="Z32" s="69">
        <f t="shared" si="9"/>
        <v>1.6299999999999999E-2</v>
      </c>
      <c r="AA32" s="69">
        <f t="shared" si="10"/>
        <v>23.279799999999998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0120-17</v>
      </c>
      <c r="AE32" s="99" t="str">
        <f t="shared" si="1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32" s="96" t="str">
        <f t="shared" si="13"/>
        <v>"C:\Program Files (x86)\AstroGrep\AstroGrep.exe" /spath="%USERPROFILE%\AppData\Local\Temp\OnboardLogs" /stypes="app*4012*20160917*"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120-17 --locoid 4012 --swversion DE.1.0.7.0 --startMP 204:232961 --initTime 2016-09-17T06:48:00 --startdatetime 2016-09-17T06:56:36 --delay 1 --endMP 204:163 --enddatetime 2016-09-17T07:35:47 --enforcementcount 0 &gt;&gt;C:\Users\stu\Documents\GitHub\eaglep3-reporting\EC\2016-09-17-refined-times.txt</v>
      </c>
      <c r="AI3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ID","value":"120-17"},{"id":16,"name":"Locomotive ID","value":"4012"},{"id":130,"name":"Impact","value":""},{"id":150,"name":"Time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424</v>
      </c>
      <c r="B33" s="7">
        <v>4040</v>
      </c>
      <c r="C33" s="24" t="s">
        <v>106</v>
      </c>
      <c r="D33" s="24" t="s">
        <v>221</v>
      </c>
      <c r="E33" s="15">
        <v>42630.256365740737</v>
      </c>
      <c r="F33" s="15">
        <v>42630.26059027778</v>
      </c>
      <c r="G33" s="7">
        <v>1</v>
      </c>
      <c r="H33" s="15" t="s">
        <v>300</v>
      </c>
      <c r="I33" s="15">
        <v>42630.287141203706</v>
      </c>
      <c r="J33" s="7">
        <v>0</v>
      </c>
      <c r="K33" s="121" t="str">
        <f t="shared" si="0"/>
        <v>4039/4040</v>
      </c>
      <c r="L33" s="24" t="str">
        <f>VLOOKUP(A33,'Trips&amp;Operators'!$C$1:$E$10000,3,FALSE)</f>
        <v>DAVIS</v>
      </c>
      <c r="M33" s="6">
        <f t="shared" si="1"/>
        <v>2.6550925926130731E-2</v>
      </c>
      <c r="N33" s="7">
        <f t="shared" si="2"/>
        <v>38.233333333628252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05:09:10-0600',mode:absolute,to:'2016-09-17 07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4.53E-2</v>
      </c>
      <c r="Z33" s="69">
        <f t="shared" si="9"/>
        <v>23.3264</v>
      </c>
      <c r="AA33" s="69">
        <f t="shared" si="10"/>
        <v>23.281099999999999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0121-17</v>
      </c>
      <c r="AE33" s="99" t="str">
        <f t="shared" si="1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33" s="96" t="str">
        <f t="shared" si="13"/>
        <v>"C:\Program Files (x86)\AstroGrep\AstroGrep.exe" /spath="%USERPROFILE%\AppData\Local\Temp\OnboardLogs" /stypes="app*4040*20160917*"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121-17 --locoid 4040 --swversion DE.1.0.7.0 --startMP 204:453 --initTime 2016-09-17T06:09:10 --startdatetime 2016-09-17T06:15:15 --delay 1 --endMP 204:233264 --enddatetime 2016-09-17T06:53:29 --enforcementcount 0 &gt;&gt;C:\Users\stu\Documents\GitHub\eaglep3-reporting\EC\2016-09-17-refined-times.txt</v>
      </c>
      <c r="AI3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{"issue":{"subject":"","project_id":79,"tracker_id":40,"status_id":1,"priority_id":2,"assigned_to_id":23,"start_date":"2016-09-17","description":"","custom_fields":[{"id":1,"name":"Subdivision","value":"EC"},{"id":4,"name":"Milepost","value":"23.3264"},{"id":17,"name":"Train ID","value":"121-17"},{"id":16,"name":"Locomotive ID","value":"4040"},{"id":130,"name":"Impact","value":""},{"id":150,"name":"Time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435</v>
      </c>
      <c r="B34" s="7">
        <v>4039</v>
      </c>
      <c r="C34" s="24" t="s">
        <v>106</v>
      </c>
      <c r="D34" s="24" t="s">
        <v>358</v>
      </c>
      <c r="E34" s="15">
        <v>42630.293298611112</v>
      </c>
      <c r="F34" s="15">
        <v>42630.299490740741</v>
      </c>
      <c r="G34" s="7">
        <v>1</v>
      </c>
      <c r="H34" s="15" t="s">
        <v>233</v>
      </c>
      <c r="I34" s="15">
        <v>42630.326643518521</v>
      </c>
      <c r="J34" s="7">
        <v>0</v>
      </c>
      <c r="K34" s="121" t="str">
        <f t="shared" si="0"/>
        <v>4039/4040</v>
      </c>
      <c r="L34" s="24" t="str">
        <f>VLOOKUP(A34,'Trips&amp;Operators'!$C$1:$E$10000,3,FALSE)</f>
        <v>DAVIS</v>
      </c>
      <c r="M34" s="6">
        <f t="shared" si="1"/>
        <v>2.715277778042946E-2</v>
      </c>
      <c r="N34" s="7">
        <f t="shared" si="2"/>
        <v>39.100000003818423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23.294699999999999</v>
      </c>
      <c r="Z34" s="69">
        <f t="shared" si="9"/>
        <v>1.3899999999999999E-2</v>
      </c>
      <c r="AA34" s="69">
        <f t="shared" si="10"/>
        <v>23.280799999999999</v>
      </c>
      <c r="AB34" s="66" t="str">
        <f>VLOOKUP(A34,Enforcements!$C$7:$K$20,8,0)</f>
        <v>Signal based authority (5)</v>
      </c>
      <c r="AC34" s="62" t="str">
        <f>VLOOKUP(A34,Enforcements!$C$7:$E$20,3,0)</f>
        <v>SIGNAL</v>
      </c>
      <c r="AD34" s="63" t="str">
        <f t="shared" si="11"/>
        <v>0122-17</v>
      </c>
      <c r="AE34" s="99" t="str">
        <f t="shared" si="1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34" s="96" t="str">
        <f t="shared" si="13"/>
        <v>"C:\Program Files (x86)\AstroGrep\AstroGrep.exe" /spath="%USERPROFILE%\AppData\Local\Temp\OnboardLogs" /stypes="app*4039*20160917*"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122-17 --locoid 4039 --swversion DE.1.0.7.0 --startMP 204:232947 --initTime 2016-09-17T07:02:21 --startdatetime 2016-09-17T07:11:16 --delay 1 --endMP 204:139 --enddatetime 2016-09-17T07:50:22 --enforcementcount 0 &gt;&gt;C:\Users\stu\Documents\GitHub\eaglep3-reporting\EC\2016-09-17-refined-times.txt</v>
      </c>
      <c r="AI3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ID","value":"122-17"},{"id":16,"name":"Locomotive ID","value":"4039"},{"id":130,"name":"Impact","value":""},{"id":150,"name":"Time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427</v>
      </c>
      <c r="B35" s="7">
        <v>4027</v>
      </c>
      <c r="C35" s="24" t="s">
        <v>106</v>
      </c>
      <c r="D35" s="24" t="s">
        <v>626</v>
      </c>
      <c r="E35" s="15">
        <v>42630.271261574075</v>
      </c>
      <c r="F35" s="15">
        <v>42630.272719907407</v>
      </c>
      <c r="G35" s="7">
        <v>1</v>
      </c>
      <c r="H35" s="15" t="s">
        <v>627</v>
      </c>
      <c r="I35" s="15">
        <v>42630.296863425923</v>
      </c>
      <c r="J35" s="7">
        <v>0</v>
      </c>
      <c r="K35" s="121" t="str">
        <f t="shared" si="0"/>
        <v>4027/4028</v>
      </c>
      <c r="L35" s="24" t="str">
        <f>VLOOKUP(A35,'Trips&amp;Operators'!$C$1:$E$10000,3,FALSE)</f>
        <v>KILLION</v>
      </c>
      <c r="M35" s="6">
        <f t="shared" si="1"/>
        <v>2.414351851621177E-2</v>
      </c>
      <c r="N35" s="7">
        <f t="shared" si="2"/>
        <v>34.766666663344949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4.1099999999999998E-2</v>
      </c>
      <c r="Z35" s="69">
        <f t="shared" si="9"/>
        <v>23.320499999999999</v>
      </c>
      <c r="AA35" s="69">
        <f t="shared" si="10"/>
        <v>23.279399999999999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0123-17</v>
      </c>
      <c r="AE35" s="99" t="str">
        <f t="shared" si="12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35" s="96" t="str">
        <f t="shared" si="13"/>
        <v>"C:\Program Files (x86)\AstroGrep\AstroGrep.exe" /spath="%USERPROFILE%\AppData\Local\Temp\OnboardLogs" /stypes="app*4027*20160917*"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123-17 --locoid 4027 --swversion DE.1.0.7.0 --startMP 204:411 --initTime 2016-09-17T06:30:37 --startdatetime 2016-09-17T06:32:43 --delay 1 --endMP 204:233205 --enddatetime 2016-09-17T07:07:29 --enforcementcount 0 &gt;&gt;C:\Users\stu\Documents\GitHub\eaglep3-reporting\EC\2016-09-17-refined-times.txt</v>
      </c>
      <c r="AI3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{"issue":{"subject":"","project_id":79,"tracker_id":40,"status_id":1,"priority_id":2,"assigned_to_id":23,"start_date":"2016-09-17","description":"","custom_fields":[{"id":1,"name":"Subdivision","value":"EC"},{"id":4,"name":"Milepost","value":"23.3205"},{"id":17,"name":"Train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437</v>
      </c>
      <c r="B36" s="7">
        <v>4028</v>
      </c>
      <c r="C36" s="24" t="s">
        <v>106</v>
      </c>
      <c r="D36" s="24" t="s">
        <v>628</v>
      </c>
      <c r="E36" s="15">
        <v>42630.302395833336</v>
      </c>
      <c r="F36" s="15">
        <v>42630.309907407405</v>
      </c>
      <c r="G36" s="7">
        <v>2</v>
      </c>
      <c r="H36" s="15" t="s">
        <v>238</v>
      </c>
      <c r="I36" s="15">
        <v>42630.339745370373</v>
      </c>
      <c r="J36" s="7">
        <v>0</v>
      </c>
      <c r="K36" s="121" t="str">
        <f t="shared" si="0"/>
        <v>4027/4028</v>
      </c>
      <c r="L36" s="24" t="str">
        <f>VLOOKUP(A36,'Trips&amp;Operators'!$C$1:$E$10000,3,FALSE)</f>
        <v>KILLION</v>
      </c>
      <c r="M36" s="6">
        <f t="shared" si="1"/>
        <v>2.9837962967576459E-2</v>
      </c>
      <c r="N36" s="7">
        <f t="shared" si="2"/>
        <v>42.966666673310101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23.2882</v>
      </c>
      <c r="Z36" s="69">
        <f t="shared" si="9"/>
        <v>1.41E-2</v>
      </c>
      <c r="AA36" s="69">
        <f t="shared" si="10"/>
        <v>23.274100000000001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 t="shared" si="11"/>
        <v>0124-17</v>
      </c>
      <c r="AE36" s="99" t="str">
        <f t="shared" si="1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36" s="96" t="str">
        <f t="shared" si="13"/>
        <v>"C:\Program Files (x86)\AstroGrep\AstroGrep.exe" /spath="%USERPROFILE%\AppData\Local\Temp\OnboardLogs" /stypes="app*4028*20160917*"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124-17 --locoid 4028 --swversion DE.1.0.7.0 --startMP 204:232882 --initTime 2016-09-17T07:15:27 --startdatetime 2016-09-17T07:26:16 --delay 2 --endMP 204:141 --enddatetime 2016-09-17T08:09:14 --enforcementcount 0 &gt;&gt;C:\Users\stu\Documents\GitHub\eaglep3-reporting\EC\2016-09-17-refined-times.txt</v>
      </c>
      <c r="AI3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ID","value":"124-17"},{"id":16,"name":"Locomotive ID","value":"4028"},{"id":130,"name":"Impact","value":""},{"id":150,"name":"Time of Event (Mountain Time)","value":"08:09:14"},{"id":151,"name":"Denver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430</v>
      </c>
      <c r="B37" s="7">
        <v>4025</v>
      </c>
      <c r="C37" s="24" t="s">
        <v>106</v>
      </c>
      <c r="D37" s="24" t="s">
        <v>225</v>
      </c>
      <c r="E37" s="15">
        <v>42630.278171296297</v>
      </c>
      <c r="F37" s="15">
        <v>42630.281435185185</v>
      </c>
      <c r="G37" s="7">
        <v>4</v>
      </c>
      <c r="H37" s="15" t="s">
        <v>611</v>
      </c>
      <c r="I37" s="15">
        <v>42630.306192129632</v>
      </c>
      <c r="J37" s="7">
        <v>0</v>
      </c>
      <c r="K37" s="121" t="str">
        <f t="shared" si="0"/>
        <v>4025/4026</v>
      </c>
      <c r="L37" s="24" t="str">
        <f>VLOOKUP(A37,'Trips&amp;Operators'!$C$1:$E$10000,3,FALSE)</f>
        <v>GEBRETEKLE</v>
      </c>
      <c r="M37" s="6">
        <f t="shared" si="1"/>
        <v>2.4756944447290152E-2</v>
      </c>
      <c r="N37" s="7">
        <f t="shared" si="2"/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05:40:34-0600',mode:absolute,to:'2016-09-17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4.5699999999999998E-2</v>
      </c>
      <c r="Z37" s="69">
        <f t="shared" si="9"/>
        <v>23.325500000000002</v>
      </c>
      <c r="AA37" s="69">
        <f t="shared" si="10"/>
        <v>23.279800000000002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0125-17</v>
      </c>
      <c r="AE37" s="99" t="str">
        <f t="shared" si="1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37" s="96" t="str">
        <f t="shared" si="13"/>
        <v>"C:\Program Files (x86)\AstroGrep\AstroGrep.exe" /spath="%USERPROFILE%\AppData\Local\Temp\OnboardLogs" /stypes="app*4025*20160917*"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125-17 --locoid 4025 --swversion DE.1.0.7.0 --startMP 204:457 --initTime 2016-09-17T06:40:34 --startdatetime 2016-09-17T06:45:16 --delay 4 --endMP 204:233255 --enddatetime 2016-09-17T07:20:55 --enforcementcount 0 &gt;&gt;C:\Users\stu\Documents\GitHub\eaglep3-reporting\EC\2016-09-17-refined-times.txt</v>
      </c>
      <c r="AI3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ID","value":"125-17"},{"id":16,"name":"Locomotive ID","value":"4025"},{"id":130,"name":"Impact","value":""},{"id":150,"name":"Time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439</v>
      </c>
      <c r="B38" s="7">
        <v>4026</v>
      </c>
      <c r="C38" s="24" t="s">
        <v>106</v>
      </c>
      <c r="D38" s="24" t="s">
        <v>629</v>
      </c>
      <c r="E38" s="15">
        <v>42630.316481481481</v>
      </c>
      <c r="F38" s="15">
        <v>42630.320416666669</v>
      </c>
      <c r="G38" s="7">
        <v>2</v>
      </c>
      <c r="H38" s="15" t="s">
        <v>219</v>
      </c>
      <c r="I38" s="15">
        <v>42630.347777777781</v>
      </c>
      <c r="J38" s="7">
        <v>0</v>
      </c>
      <c r="K38" s="121" t="str">
        <f t="shared" si="0"/>
        <v>4025/4026</v>
      </c>
      <c r="L38" s="24" t="str">
        <f>VLOOKUP(A38,'Trips&amp;Operators'!$C$1:$E$10000,3,FALSE)</f>
        <v>GEBRETEKLE</v>
      </c>
      <c r="M38" s="6">
        <f t="shared" si="1"/>
        <v>2.73611111115315E-2</v>
      </c>
      <c r="N38" s="7">
        <f t="shared" si="2"/>
        <v>39.40000000060536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06:35:44-0600',mode:absolute,to:'2016-09-17 09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23.2942</v>
      </c>
      <c r="Z38" s="69">
        <f t="shared" si="9"/>
        <v>1.5800000000000002E-2</v>
      </c>
      <c r="AA38" s="69">
        <f t="shared" si="10"/>
        <v>23.278400000000001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0126-17</v>
      </c>
      <c r="AE38" s="99" t="str">
        <f t="shared" si="1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38" s="96" t="str">
        <f t="shared" si="13"/>
        <v>"C:\Program Files (x86)\AstroGrep\AstroGrep.exe" /spath="%USERPROFILE%\AppData\Local\Temp\OnboardLogs" /stypes="app*4026*20160917*"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126-17 --locoid 4026 --swversion DE.1.0.7.0 --startMP 204:232942 --initTime 2016-09-17T07:35:44 --startdatetime 2016-09-17T07:41:24 --delay 2 --endMP 204:158 --enddatetime 2016-09-17T08:20:48 --enforcementcount 0 &gt;&gt;C:\Users\stu\Documents\GitHub\eaglep3-reporting\EC\2016-09-17-refined-times.txt</v>
      </c>
      <c r="AI3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ID","value":"126-17"},{"id":16,"name":"Locomotive ID","value":"4026"},{"id":130,"name":"Impact","value":""},{"id":150,"name":"Time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433</v>
      </c>
      <c r="B39" s="7">
        <v>4053</v>
      </c>
      <c r="C39" s="24" t="s">
        <v>106</v>
      </c>
      <c r="D39" s="24" t="s">
        <v>229</v>
      </c>
      <c r="E39" s="15">
        <v>42630.287662037037</v>
      </c>
      <c r="F39" s="15">
        <v>42630.292245370372</v>
      </c>
      <c r="G39" s="7">
        <v>1</v>
      </c>
      <c r="H39" s="15" t="s">
        <v>354</v>
      </c>
      <c r="I39" s="15">
        <v>42630.317465277774</v>
      </c>
      <c r="J39" s="7">
        <v>0</v>
      </c>
      <c r="K39" s="121" t="str">
        <f t="shared" si="0"/>
        <v>4053/4054</v>
      </c>
      <c r="L39" s="24" t="str">
        <f>VLOOKUP(A39,'Trips&amp;Operators'!$C$1:$E$10000,3,FALSE)</f>
        <v>MAELZER</v>
      </c>
      <c r="M39" s="6">
        <f t="shared" si="1"/>
        <v>2.5219907402060926E-2</v>
      </c>
      <c r="N39" s="7">
        <f t="shared" si="2"/>
        <v>36.316666658967733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05:54:14-0600',mode:absolute,to:'2016-09-17 08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4.5499999999999999E-2</v>
      </c>
      <c r="Z39" s="69">
        <f t="shared" si="9"/>
        <v>23.326799999999999</v>
      </c>
      <c r="AA39" s="69">
        <f t="shared" si="10"/>
        <v>23.281299999999998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0127-17</v>
      </c>
      <c r="AE39" s="99" t="str">
        <f t="shared" si="1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39" s="96" t="str">
        <f t="shared" si="13"/>
        <v>"C:\Program Files (x86)\AstroGrep\AstroGrep.exe" /spath="%USERPROFILE%\AppData\Local\Temp\OnboardLogs" /stypes="app*4053*20160917*"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127-17 --locoid 4053 --swversion DE.1.0.7.0 --startMP 204:455 --initTime 2016-09-17T06:54:14 --startdatetime 2016-09-17T07:00:50 --delay 1 --endMP 204:233268 --enddatetime 2016-09-17T07:37:09 --enforcementcount 0 &gt;&gt;C:\Users\stu\Documents\GitHub\eaglep3-reporting\EC\2016-09-17-refined-times.txt</v>
      </c>
      <c r="AI3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ID","value":"127-17"},{"id":16,"name":"Locomotive ID","value":"4053"},{"id":130,"name":"Impact","value":""},{"id":150,"name":"Time of Event (Mountain Time)","value":"07:37:09"},{"id":151,"name":"Denver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442</v>
      </c>
      <c r="B40" s="7">
        <v>4054</v>
      </c>
      <c r="C40" s="24" t="s">
        <v>106</v>
      </c>
      <c r="D40" s="24" t="s">
        <v>285</v>
      </c>
      <c r="E40" s="15">
        <v>42630.323136574072</v>
      </c>
      <c r="F40" s="15">
        <v>42630.330833333333</v>
      </c>
      <c r="G40" s="7">
        <v>1</v>
      </c>
      <c r="H40" s="15" t="s">
        <v>250</v>
      </c>
      <c r="I40" s="15">
        <v>42630.357488425929</v>
      </c>
      <c r="J40" s="7">
        <v>0</v>
      </c>
      <c r="K40" s="121" t="str">
        <f t="shared" si="0"/>
        <v>4053/4054</v>
      </c>
      <c r="L40" s="24" t="str">
        <f>VLOOKUP(A40,'Trips&amp;Operators'!$C$1:$E$10000,3,FALSE)</f>
        <v>MAELZER</v>
      </c>
      <c r="M40" s="6">
        <f t="shared" si="1"/>
        <v>2.6655092595319729E-2</v>
      </c>
      <c r="N40" s="7">
        <f t="shared" si="2"/>
        <v>38.38333333726041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23.297499999999999</v>
      </c>
      <c r="Z40" s="69">
        <f t="shared" si="9"/>
        <v>1.6899999999999998E-2</v>
      </c>
      <c r="AA40" s="69">
        <f t="shared" si="10"/>
        <v>23.2806</v>
      </c>
      <c r="AB40" s="66" t="str">
        <f>VLOOKUP(A40,Enforcements!$C$7:$K$20,8,0)</f>
        <v>Signal based authority (5)</v>
      </c>
      <c r="AC40" s="62" t="str">
        <f>VLOOKUP(A40,Enforcements!$C$7:$E$20,3,0)</f>
        <v>SIGNAL</v>
      </c>
      <c r="AD40" s="63" t="str">
        <f t="shared" si="11"/>
        <v>0128-17</v>
      </c>
      <c r="AE40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40" s="96" t="str">
        <f t="shared" si="13"/>
        <v>"C:\Program Files (x86)\AstroGrep\AstroGrep.exe" /spath="%USERPROFILE%\AppData\Local\Temp\OnboardLogs" /stypes="app*4054*20160917*"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128-17 --locoid 4054 --swversion DE.1.0.7.0 --startMP 204:232975 --initTime 2016-09-17T07:45:19 --startdatetime 2016-09-17T07:56:24 --delay 1 --endMP 204:169 --enddatetime 2016-09-17T08:34:47 --enforcementcount 0 &gt;&gt;C:\Users\stu\Documents\GitHub\eaglep3-reporting\EC\2016-09-17-refined-times.txt</v>
      </c>
      <c r="AI4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ID","value":"128-17"},{"id":16,"name":"Locomotive ID","value":"4054"},{"id":130,"name":"Impact","value":""},{"id":150,"name":"Time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436</v>
      </c>
      <c r="B41" s="7">
        <v>4042</v>
      </c>
      <c r="C41" s="24" t="s">
        <v>106</v>
      </c>
      <c r="D41" s="24" t="s">
        <v>251</v>
      </c>
      <c r="E41" s="15">
        <v>42630.298819444448</v>
      </c>
      <c r="F41" s="15">
        <v>42630.30228009259</v>
      </c>
      <c r="G41" s="7">
        <v>4</v>
      </c>
      <c r="H41" s="15" t="s">
        <v>302</v>
      </c>
      <c r="I41" s="15">
        <v>42630.329305555555</v>
      </c>
      <c r="J41" s="7">
        <v>0</v>
      </c>
      <c r="K41" s="121" t="str">
        <f t="shared" si="0"/>
        <v>4041/4042</v>
      </c>
      <c r="L41" s="24" t="str">
        <f>VLOOKUP(A41,'Trips&amp;Operators'!$C$1:$E$10000,3,FALSE)</f>
        <v>STRICKLAND</v>
      </c>
      <c r="M41" s="6">
        <f t="shared" si="1"/>
        <v>2.7025462964957114E-2</v>
      </c>
      <c r="N41" s="7">
        <f t="shared" si="2"/>
        <v>38.916666669538245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4.7500000000000001E-2</v>
      </c>
      <c r="Z41" s="69">
        <f t="shared" si="9"/>
        <v>23.325099999999999</v>
      </c>
      <c r="AA41" s="69">
        <f t="shared" si="10"/>
        <v>23.2776</v>
      </c>
      <c r="AB41" s="66" t="str">
        <f>VLOOKUP(A41,Enforcements!$C$7:$K$20,8,0)</f>
        <v>Bulletin (2)</v>
      </c>
      <c r="AC41" s="62" t="str">
        <f>VLOOKUP(A41,Enforcements!$C$7:$E$20,3,0)</f>
        <v>GRADE CROSSING</v>
      </c>
      <c r="AD41" s="63" t="str">
        <f t="shared" si="11"/>
        <v>0129-17</v>
      </c>
      <c r="AE41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41" s="96" t="str">
        <f t="shared" si="13"/>
        <v>"C:\Program Files (x86)\AstroGrep\AstroGrep.exe" /spath="%USERPROFILE%\AppData\Local\Temp\OnboardLogs" /stypes="app*4042*20160917*"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129-17 --locoid 4042 --swversion DE.1.0.7.0 --startMP 204:475 --initTime 2016-09-17T07:10:18 --startdatetime 2016-09-17T07:15:17 --delay 4 --endMP 204:233251 --enddatetime 2016-09-17T07:54:12 --enforcementcount 0 &gt;&gt;C:\Users\stu\Documents\GitHub\eaglep3-reporting\EC\2016-09-17-refined-times.txt</v>
      </c>
      <c r="AI4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ID","value":"129-17"},{"id":16,"name":"Locomotive ID","value":"4042"},{"id":130,"name":"Impact","value":""},{"id":150,"name":"Time of Event (Mountain Time)","value":"07:54:12"},{"id":151,"name":"Denver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445</v>
      </c>
      <c r="B42" s="7">
        <v>4041</v>
      </c>
      <c r="C42" s="24" t="s">
        <v>106</v>
      </c>
      <c r="D42" s="24" t="s">
        <v>355</v>
      </c>
      <c r="E42" s="15">
        <v>42630.339178240742</v>
      </c>
      <c r="F42" s="15">
        <v>42630.34171296296</v>
      </c>
      <c r="G42" s="7">
        <v>1</v>
      </c>
      <c r="H42" s="15" t="s">
        <v>224</v>
      </c>
      <c r="I42" s="15">
        <v>42630.367789351854</v>
      </c>
      <c r="J42" s="7">
        <v>0</v>
      </c>
      <c r="K42" s="121" t="str">
        <f t="shared" si="0"/>
        <v>4041/4042</v>
      </c>
      <c r="L42" s="24" t="str">
        <f>VLOOKUP(A42,'Trips&amp;Operators'!$C$1:$E$10000,3,FALSE)</f>
        <v>STRICKLAND</v>
      </c>
      <c r="M42" s="6">
        <f t="shared" si="1"/>
        <v>2.6076388894580305E-2</v>
      </c>
      <c r="N42" s="7">
        <f t="shared" si="2"/>
        <v>37.550000008195639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07:08:25-0600',mode:absolute,to:'2016-09-17 09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23.292300000000001</v>
      </c>
      <c r="Z42" s="69">
        <f t="shared" si="9"/>
        <v>1.52E-2</v>
      </c>
      <c r="AA42" s="69">
        <f t="shared" si="10"/>
        <v>23.277100000000001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0130-17</v>
      </c>
      <c r="AE42" s="99" t="str">
        <f t="shared" si="1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42" s="96" t="str">
        <f t="shared" si="13"/>
        <v>"C:\Program Files (x86)\AstroGrep\AstroGrep.exe" /spath="%USERPROFILE%\AppData\Local\Temp\OnboardLogs" /stypes="app*4041*20160917*"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130-17 --locoid 4041 --swversion DE.1.0.7.0 --startMP 204:232923 --initTime 2016-09-17T08:08:25 --startdatetime 2016-09-17T08:12:04 --delay 1 --endMP 204:152 --enddatetime 2016-09-17T08:49:37 --enforcementcount 0 &gt;&gt;C:\Users\stu\Documents\GitHub\eaglep3-reporting\EC\2016-09-17-refined-times.txt</v>
      </c>
      <c r="AI4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ID","value":"130-17"},{"id":16,"name":"Locomotive ID","value":"4041"},{"id":130,"name":"Impact","value":""},{"id":150,"name":"Time of Event (Mountain Time)","value":"08:49:37"},{"id":151,"name":"Denver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438</v>
      </c>
      <c r="B43" s="7">
        <v>4046</v>
      </c>
      <c r="C43" s="24" t="s">
        <v>106</v>
      </c>
      <c r="D43" s="24" t="s">
        <v>630</v>
      </c>
      <c r="E43" s="15">
        <v>42630.311076388891</v>
      </c>
      <c r="F43" s="15">
        <v>42630.312800925924</v>
      </c>
      <c r="G43" s="7">
        <v>1</v>
      </c>
      <c r="H43" s="15" t="s">
        <v>223</v>
      </c>
      <c r="I43" s="15">
        <v>42630.337291666663</v>
      </c>
      <c r="J43" s="7">
        <v>0</v>
      </c>
      <c r="K43" s="121" t="str">
        <f t="shared" si="0"/>
        <v>4045/4046</v>
      </c>
      <c r="L43" s="24" t="str">
        <f>VLOOKUP(A43,'Trips&amp;Operators'!$C$1:$E$10000,3,FALSE)</f>
        <v>MALAVE</v>
      </c>
      <c r="M43" s="6">
        <f t="shared" si="1"/>
        <v>2.4490740739565808E-2</v>
      </c>
      <c r="N43" s="7">
        <f t="shared" si="2"/>
        <v>35.266666664974764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06:27:57-0600',mode:absolute,to:'2016-09-17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4.82E-2</v>
      </c>
      <c r="Z43" s="69">
        <f t="shared" si="9"/>
        <v>23.3291</v>
      </c>
      <c r="AA43" s="69">
        <f t="shared" si="10"/>
        <v>23.280899999999999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0131-17</v>
      </c>
      <c r="AE43" s="99" t="str">
        <f t="shared" si="1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43" s="96" t="str">
        <f t="shared" si="13"/>
        <v>"C:\Program Files (x86)\AstroGrep\AstroGrep.exe" /spath="%USERPROFILE%\AppData\Local\Temp\OnboardLogs" /stypes="app*4046*20160917*"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131-17 --locoid 4046 --swversion DE.1.0.7.0 --startMP 204:482 --initTime 2016-09-17T07:27:57 --startdatetime 2016-09-17T07:30:26 --delay 1 --endMP 204:233291 --enddatetime 2016-09-17T08:05:42 --enforcementcount 0 &gt;&gt;C:\Users\stu\Documents\GitHub\eaglep3-reporting\EC\2016-09-17-refined-times.txt</v>
      </c>
      <c r="AI4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ID","value":"131-17"},{"id":16,"name":"Locomotive ID","value":"4046"},{"id":130,"name":"Impact","value":""},{"id":150,"name":"Time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447</v>
      </c>
      <c r="B44" s="7">
        <v>4045</v>
      </c>
      <c r="C44" s="24" t="s">
        <v>106</v>
      </c>
      <c r="D44" s="24" t="s">
        <v>631</v>
      </c>
      <c r="E44" s="15">
        <v>42630.349918981483</v>
      </c>
      <c r="F44" s="15">
        <v>42630.351585648146</v>
      </c>
      <c r="G44" s="7">
        <v>0</v>
      </c>
      <c r="H44" s="15" t="s">
        <v>295</v>
      </c>
      <c r="I44" s="15">
        <v>42630.378946759258</v>
      </c>
      <c r="J44" s="7">
        <v>0</v>
      </c>
      <c r="K44" s="121" t="str">
        <f t="shared" si="0"/>
        <v>4045/4046</v>
      </c>
      <c r="L44" s="24" t="str">
        <f>VLOOKUP(A44,'Trips&amp;Operators'!$C$1:$E$10000,3,FALSE)</f>
        <v>MALAVE</v>
      </c>
      <c r="M44" s="6">
        <f t="shared" si="1"/>
        <v>2.73611111115315E-2</v>
      </c>
      <c r="N44" s="7">
        <f t="shared" si="2"/>
        <v>39.40000000060536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07:23:53-0600',mode:absolute,to:'2016-09-17 10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23.2944</v>
      </c>
      <c r="Z44" s="69">
        <f t="shared" si="9"/>
        <v>1.7000000000000001E-2</v>
      </c>
      <c r="AA44" s="69">
        <f t="shared" si="10"/>
        <v>23.2774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0132-17</v>
      </c>
      <c r="AE44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44" s="96" t="str">
        <f t="shared" si="13"/>
        <v>"C:\Program Files (x86)\AstroGrep\AstroGrep.exe" /spath="%USERPROFILE%\AppData\Local\Temp\OnboardLogs" /stypes="app*4045*20160917*"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132-17 --locoid 4045 --swversion DE.1.0.7.0 --startMP 204:232944 --initTime 2016-09-17T08:23:53 --startdatetime 2016-09-17T08:26:17 --delay 0 --endMP 204:170 --enddatetime 2016-09-17T09:05:41 --enforcementcount 0 &gt;&gt;C:\Users\stu\Documents\GitHub\eaglep3-reporting\EC\2016-09-17-refined-times.txt</v>
      </c>
      <c r="AI4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ID","value":"132-17"},{"id":16,"name":"Locomotive ID","value":"4045"},{"id":130,"name":"Impact","value":""},{"id":150,"name":"Time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441</v>
      </c>
      <c r="B45" s="7">
        <v>4011</v>
      </c>
      <c r="C45" s="24" t="s">
        <v>106</v>
      </c>
      <c r="D45" s="24" t="s">
        <v>263</v>
      </c>
      <c r="E45" s="15">
        <v>42630.31827546296</v>
      </c>
      <c r="F45" s="15">
        <v>42630.323101851849</v>
      </c>
      <c r="G45" s="7">
        <v>1</v>
      </c>
      <c r="H45" s="15" t="s">
        <v>364</v>
      </c>
      <c r="I45" s="15">
        <v>42630.347905092596</v>
      </c>
      <c r="J45" s="7">
        <v>0</v>
      </c>
      <c r="K45" s="121" t="str">
        <f t="shared" ref="K45:K76" si="19">IF(ISEVEN(B45),(B45-1)&amp;"/"&amp;B45,B45&amp;"/"&amp;(B45+1))</f>
        <v>4011/4012</v>
      </c>
      <c r="L45" s="24" t="str">
        <f>VLOOKUP(A45,'Trips&amp;Operators'!$C$1:$E$10000,3,FALSE)</f>
        <v>STORY</v>
      </c>
      <c r="M45" s="6">
        <f t="shared" ref="M45:M76" si="20">I45-F45</f>
        <v>2.4803240747132804E-2</v>
      </c>
      <c r="N45" s="7">
        <f t="shared" ref="N45:N76" si="21">24*60*SUM($M45:$M45)</f>
        <v>35.716666675871238</v>
      </c>
      <c r="O45" s="7"/>
      <c r="P45" s="7"/>
      <c r="Q45" s="25"/>
      <c r="R45" s="25"/>
      <c r="S45" s="37">
        <f t="shared" ref="S45:S76" si="22">SUM(U45:U45)/IF(AG45="EC",12,1)</f>
        <v>1</v>
      </c>
      <c r="T45" s="52" t="str">
        <f t="shared" ref="T45:T76" si="23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https://search-rtdc-monitor-bjffxe2xuh6vdkpspy63sjmuny.us-east-1.es.amazonaws.com/_plugin/kibana/#/discover/Steve-Slow-Train-Analysis-(2080s-and-2083s)?_g=(refreshInterval:(display:Off,section:0,value:0),time:(from:'2016-09-17 06:38:19-0600',mode:absolute,to:'2016-09-17 09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5" s="54" t="str">
        <f t="shared" ref="W45:W76" si="25">IF(AA45&lt;IF(AG45="EC",23,5.65),"Y","N")</f>
        <v>N</v>
      </c>
      <c r="X45" s="168">
        <f t="shared" ref="X45:X76" si="26">VALUE(LEFT(AD45,4))-VALUE(LEFT(AD44,4))</f>
        <v>1</v>
      </c>
      <c r="Y45" s="69">
        <f t="shared" ref="Y45:Y76" si="27">RIGHT(D45,LEN(D45)-4)/10000</f>
        <v>4.6199999999999998E-2</v>
      </c>
      <c r="Z45" s="69">
        <f t="shared" ref="Z45:Z76" si="28">RIGHT(H45,LEN(H45)-4)/10000</f>
        <v>23.325900000000001</v>
      </c>
      <c r="AA45" s="69">
        <f t="shared" ref="AA45:AA76" si="29">ABS(Z45-Y45)</f>
        <v>23.279700000000002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30">IF(LEN(A45)=6,"0"&amp;A45,A45)</f>
        <v>0133-17</v>
      </c>
      <c r="AE45" s="99" t="str">
        <f t="shared" ref="AE45:AE76" si="31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45" s="96" t="str">
        <f t="shared" ref="AF45:AF76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/stypes="app*4011*20160917*" /stext=" 14:.+((SYSTEM_STATE.+slice.+state.+changed )|(ment ac)|(system.+state.+changed )|(\|lc)|(penalty)|(\[timeout)|(PRM\|1\|D)|(kpr)|(kdp))" /e /r /s</v>
      </c>
      <c r="AG45" s="1" t="str">
        <f t="shared" ref="AG45:AG76" si="33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133-17 --locoid 4011 --swversion DE.1.0.7.0 --startMP 204:462 --initTime 2016-09-17T07:38:19 --startdatetime 2016-09-17T07:45:16 --delay 1 --endMP 204:233259 --enddatetime 2016-09-17T08:20:59 --enforcementcount 0 &gt;&gt;C:\Users\stu\Documents\GitHub\eaglep3-reporting\EC\2016-09-17-refined-times.txt</v>
      </c>
      <c r="AI4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ID","value":"133-17"},{"id":16,"name":"Locomotive ID","value":"4011"},{"id":130,"name":"Impact","value":""},{"id":150,"name":"Time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449</v>
      </c>
      <c r="B46" s="7">
        <v>4012</v>
      </c>
      <c r="C46" s="24" t="s">
        <v>106</v>
      </c>
      <c r="D46" s="24" t="s">
        <v>299</v>
      </c>
      <c r="E46" s="15">
        <v>42630.357523148145</v>
      </c>
      <c r="F46" s="15">
        <v>42630.36215277778</v>
      </c>
      <c r="G46" s="7">
        <v>1</v>
      </c>
      <c r="H46" s="15" t="s">
        <v>370</v>
      </c>
      <c r="I46" s="15">
        <v>42630.388692129629</v>
      </c>
      <c r="J46" s="7">
        <v>0</v>
      </c>
      <c r="K46" s="121" t="str">
        <f t="shared" si="19"/>
        <v>4011/4012</v>
      </c>
      <c r="L46" s="24" t="str">
        <f>VLOOKUP(A46,'Trips&amp;Operators'!$C$1:$E$10000,3,FALSE)</f>
        <v>STORY</v>
      </c>
      <c r="M46" s="6">
        <f t="shared" si="20"/>
        <v>2.6539351849351078E-2</v>
      </c>
      <c r="N46" s="7">
        <f t="shared" si="21"/>
        <v>38.216666663065553</v>
      </c>
      <c r="O46" s="7"/>
      <c r="P46" s="7"/>
      <c r="Q46" s="25"/>
      <c r="R46" s="25"/>
      <c r="S46" s="37">
        <f t="shared" si="22"/>
        <v>1</v>
      </c>
      <c r="T46" s="52" t="str">
        <f t="shared" si="23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07:34:50-0600',mode:absolute,to:'2016-09-17 10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6" s="54" t="str">
        <f t="shared" si="25"/>
        <v>N</v>
      </c>
      <c r="X46" s="168">
        <f t="shared" si="26"/>
        <v>1</v>
      </c>
      <c r="Y46" s="69">
        <f t="shared" si="27"/>
        <v>23.293399999999998</v>
      </c>
      <c r="Z46" s="69">
        <f t="shared" si="28"/>
        <v>1.6500000000000001E-2</v>
      </c>
      <c r="AA46" s="69">
        <f t="shared" si="29"/>
        <v>23.276899999999998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30"/>
        <v>0134-17</v>
      </c>
      <c r="AE46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46" s="96" t="str">
        <f t="shared" si="32"/>
        <v>"C:\Program Files (x86)\AstroGrep\AstroGrep.exe" /spath="%USERPROFILE%\AppData\Local\Temp\OnboardLogs" /stypes="app*4012*20160917*" /stext=" 15:.+((SYSTEM_STATE.+slice.+state.+changed )|(ment ac)|(system.+state.+changed )|(\|lc)|(penalty)|(\[timeout)|(PRM\|1\|D)|(kpr)|(kdp))" /e /r /s</v>
      </c>
      <c r="AG46" s="1" t="str">
        <f t="shared" si="33"/>
        <v>EC</v>
      </c>
      <c r="AH46" s="100" t="str">
        <f t="shared" si="17"/>
        <v>"%USERPROFILE%\Documents\GitHub\eaglep3\Utilities\RefineRTDCRunTimes.py" --tripid 134-17 --locoid 4012 --swversion DE.1.0.7.0 --startMP 204:232934 --initTime 2016-09-17T08:34:50 --startdatetime 2016-09-17T08:41:30 --delay 1 --endMP 204:165 --enddatetime 2016-09-17T09:19:43 --enforcementcount 0 &gt;&gt;C:\Users\stu\Documents\GitHub\eaglep3-reporting\EC\2016-09-17-refined-times.txt</v>
      </c>
      <c r="AI4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ID","value":"134-17"},{"id":16,"name":"Locomotive ID","value":"4012"},{"id":130,"name":"Impact","value":""},{"id":150,"name":"Time of Event (Mountain Time)","value":"09:19:43"},{"id":151,"name":"Denver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443</v>
      </c>
      <c r="B47" s="7">
        <v>4040</v>
      </c>
      <c r="C47" s="24" t="s">
        <v>106</v>
      </c>
      <c r="D47" s="24" t="s">
        <v>264</v>
      </c>
      <c r="E47" s="15">
        <v>42630.327928240738</v>
      </c>
      <c r="F47" s="15">
        <v>42630.333495370367</v>
      </c>
      <c r="G47" s="7">
        <v>1</v>
      </c>
      <c r="H47" s="15" t="s">
        <v>297</v>
      </c>
      <c r="I47" s="15">
        <v>42630.359016203707</v>
      </c>
      <c r="J47" s="7">
        <v>0</v>
      </c>
      <c r="K47" s="121" t="str">
        <f t="shared" si="19"/>
        <v>4039/4040</v>
      </c>
      <c r="L47" s="24" t="str">
        <f>VLOOKUP(A47,'Trips&amp;Operators'!$C$1:$E$10000,3,FALSE)</f>
        <v>DAVIS</v>
      </c>
      <c r="M47" s="6">
        <f t="shared" si="20"/>
        <v>2.5520833340124227E-2</v>
      </c>
      <c r="N47" s="7">
        <f t="shared" si="21"/>
        <v>36.750000009778887</v>
      </c>
      <c r="O47" s="7"/>
      <c r="P47" s="7"/>
      <c r="Q47" s="25"/>
      <c r="R47" s="25"/>
      <c r="S47" s="37">
        <f t="shared" si="22"/>
        <v>1</v>
      </c>
      <c r="T47" s="52" t="str">
        <f t="shared" si="23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06:52:13-0600',mode:absolute,to:'2016-09-17 09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 t="shared" si="25"/>
        <v>N</v>
      </c>
      <c r="X47" s="168">
        <f t="shared" si="26"/>
        <v>1</v>
      </c>
      <c r="Y47" s="69">
        <f t="shared" si="27"/>
        <v>4.4600000000000001E-2</v>
      </c>
      <c r="Z47" s="69">
        <f t="shared" si="28"/>
        <v>23.329699999999999</v>
      </c>
      <c r="AA47" s="69">
        <f t="shared" si="29"/>
        <v>23.2851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30"/>
        <v>0135-17</v>
      </c>
      <c r="AE47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47" s="96" t="str">
        <f t="shared" si="32"/>
        <v>"C:\Program Files (x86)\AstroGrep\AstroGrep.exe" /spath="%USERPROFILE%\AppData\Local\Temp\OnboardLogs" /stypes="app*4040*20160917*" /stext=" 14:.+((SYSTEM_STATE.+slice.+state.+changed )|(ment ac)|(system.+state.+changed )|(\|lc)|(penalty)|(\[timeout)|(PRM\|1\|D)|(kpr)|(kdp))" /e /r /s</v>
      </c>
      <c r="AG47" s="1" t="str">
        <f t="shared" si="33"/>
        <v>EC</v>
      </c>
      <c r="AH47" s="100" t="str">
        <f t="shared" si="17"/>
        <v>"%USERPROFILE%\Documents\GitHub\eaglep3\Utilities\RefineRTDCRunTimes.py" --tripid 135-17 --locoid 4040 --swversion DE.1.0.7.0 --startMP 204:446 --initTime 2016-09-17T07:52:13 --startdatetime 2016-09-17T08:00:14 --delay 1 --endMP 204:233297 --enddatetime 2016-09-17T08:36:59 --enforcementcount 0 &gt;&gt;C:\Users\stu\Documents\GitHub\eaglep3-reporting\EC\2016-09-17-refined-times.txt</v>
      </c>
      <c r="AI4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ID","value":"135-17"},{"id":16,"name":"Locomotive ID","value":"4040"},{"id":130,"name":"Impact","value":""},{"id":150,"name":"Time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453</v>
      </c>
      <c r="B48" s="7">
        <v>4039</v>
      </c>
      <c r="C48" s="24" t="s">
        <v>106</v>
      </c>
      <c r="D48" s="24" t="s">
        <v>285</v>
      </c>
      <c r="E48" s="15">
        <v>42630.36446759259</v>
      </c>
      <c r="F48" s="15">
        <v>42630.372430555559</v>
      </c>
      <c r="G48" s="7">
        <v>1</v>
      </c>
      <c r="H48" s="15" t="s">
        <v>220</v>
      </c>
      <c r="I48" s="15">
        <v>42630.400567129633</v>
      </c>
      <c r="J48" s="7">
        <v>0</v>
      </c>
      <c r="K48" s="121" t="str">
        <f t="shared" si="19"/>
        <v>4039/4040</v>
      </c>
      <c r="L48" s="24" t="str">
        <f>VLOOKUP(A48,'Trips&amp;Operators'!$C$1:$E$10000,3,FALSE)</f>
        <v>DAVIS</v>
      </c>
      <c r="M48" s="6">
        <f t="shared" si="20"/>
        <v>2.8136574073869269E-2</v>
      </c>
      <c r="N48" s="7">
        <f t="shared" si="21"/>
        <v>40.516666666371748</v>
      </c>
      <c r="O48" s="7"/>
      <c r="P48" s="7"/>
      <c r="Q48" s="25"/>
      <c r="R48" s="25"/>
      <c r="S48" s="37">
        <f t="shared" si="22"/>
        <v>1</v>
      </c>
      <c r="T48" s="52" t="str">
        <f t="shared" si="23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 t="shared" si="25"/>
        <v>N</v>
      </c>
      <c r="X48" s="168">
        <f t="shared" si="26"/>
        <v>1</v>
      </c>
      <c r="Y48" s="69">
        <f t="shared" si="27"/>
        <v>23.297499999999999</v>
      </c>
      <c r="Z48" s="69">
        <f t="shared" si="28"/>
        <v>1.47E-2</v>
      </c>
      <c r="AA48" s="69">
        <f t="shared" si="29"/>
        <v>23.282799999999998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30"/>
        <v>0136-17</v>
      </c>
      <c r="AE48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48" s="96" t="str">
        <f t="shared" si="32"/>
        <v>"C:\Program Files (x86)\AstroGrep\AstroGrep.exe" /spath="%USERPROFILE%\AppData\Local\Temp\OnboardLogs" /stypes="app*4039*20160917*" /stext=" 15:.+((SYSTEM_STATE.+slice.+state.+changed )|(ment ac)|(system.+state.+changed )|(\|lc)|(penalty)|(\[timeout)|(PRM\|1\|D)|(kpr)|(kdp))" /e /r /s</v>
      </c>
      <c r="AG48" s="1" t="str">
        <f t="shared" si="33"/>
        <v>EC</v>
      </c>
      <c r="AH48" s="100" t="str">
        <f t="shared" si="17"/>
        <v>"%USERPROFILE%\Documents\GitHub\eaglep3\Utilities\RefineRTDCRunTimes.py" --tripid 136-17 --locoid 4039 --swversion DE.1.0.7.0 --startMP 204:232975 --initTime 2016-09-17T08:44:50 --startdatetime 2016-09-17T08:56:18 --delay 1 --endMP 204:147 --enddatetime 2016-09-17T09:36:49 --enforcementcount 0 &gt;&gt;C:\Users\stu\Documents\GitHub\eaglep3-reporting\EC\2016-09-17-refined-times.txt</v>
      </c>
      <c r="AI4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446</v>
      </c>
      <c r="B49" s="7">
        <v>4027</v>
      </c>
      <c r="C49" s="24" t="s">
        <v>106</v>
      </c>
      <c r="D49" s="24" t="s">
        <v>221</v>
      </c>
      <c r="E49" s="15">
        <v>42630.341377314813</v>
      </c>
      <c r="F49" s="15">
        <v>42630.344328703701</v>
      </c>
      <c r="G49" s="7">
        <v>2</v>
      </c>
      <c r="H49" s="15" t="s">
        <v>632</v>
      </c>
      <c r="I49" s="15">
        <v>42630.369189814817</v>
      </c>
      <c r="J49" s="7">
        <v>0</v>
      </c>
      <c r="K49" s="121" t="str">
        <f t="shared" si="19"/>
        <v>4027/4028</v>
      </c>
      <c r="L49" s="24" t="str">
        <f>VLOOKUP(A49,'Trips&amp;Operators'!$C$1:$E$10000,3,FALSE)</f>
        <v>KILLION</v>
      </c>
      <c r="M49" s="6">
        <f t="shared" si="20"/>
        <v>2.4861111116479151E-2</v>
      </c>
      <c r="N49" s="7">
        <f t="shared" si="21"/>
        <v>35.800000007729977</v>
      </c>
      <c r="O49" s="7"/>
      <c r="P49" s="7"/>
      <c r="Q49" s="25"/>
      <c r="R49" s="25"/>
      <c r="S49" s="37">
        <f t="shared" si="22"/>
        <v>1</v>
      </c>
      <c r="T49" s="52" t="str">
        <f t="shared" si="23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07:11:35-0600',mode:absolute,to:'2016-09-17 09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25"/>
        <v>N</v>
      </c>
      <c r="X49" s="168">
        <f t="shared" si="26"/>
        <v>1</v>
      </c>
      <c r="Y49" s="69">
        <f t="shared" si="27"/>
        <v>4.53E-2</v>
      </c>
      <c r="Z49" s="69">
        <f t="shared" si="28"/>
        <v>23.325299999999999</v>
      </c>
      <c r="AA49" s="69">
        <f t="shared" si="29"/>
        <v>23.279999999999998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30"/>
        <v>0137-17</v>
      </c>
      <c r="AE49" s="99" t="str">
        <f t="shared" si="31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49" s="96" t="str">
        <f t="shared" si="32"/>
        <v>"C:\Program Files (x86)\AstroGrep\AstroGrep.exe" /spath="%USERPROFILE%\AppData\Local\Temp\OnboardLogs" /stypes="app*4027*20160917*" /stext=" 14:.+((SYSTEM_STATE.+slice.+state.+changed )|(ment ac)|(system.+state.+changed )|(\|lc)|(penalty)|(\[timeout)|(PRM\|1\|D)|(kpr)|(kdp))" /e /r /s</v>
      </c>
      <c r="AG49" s="1" t="str">
        <f t="shared" si="33"/>
        <v>EC</v>
      </c>
      <c r="AH49" s="100" t="str">
        <f t="shared" si="17"/>
        <v>"%USERPROFILE%\Documents\GitHub\eaglep3\Utilities\RefineRTDCRunTimes.py" --tripid 137-17 --locoid 4027 --swversion DE.1.0.7.0 --startMP 204:453 --initTime 2016-09-17T08:11:35 --startdatetime 2016-09-17T08:15:50 --delay 2 --endMP 204:233253 --enddatetime 2016-09-17T08:51:38 --enforcementcount 0 &gt;&gt;C:\Users\stu\Documents\GitHub\eaglep3-reporting\EC\2016-09-17-refined-times.txt</v>
      </c>
      <c r="AI4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ID","value":"137-17"},{"id":16,"name":"Locomotive ID","value":"4027"},{"id":130,"name":"Impact","value":""},{"id":150,"name":"Time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455</v>
      </c>
      <c r="B50" s="7">
        <v>4028</v>
      </c>
      <c r="C50" s="24" t="s">
        <v>106</v>
      </c>
      <c r="D50" s="24" t="s">
        <v>377</v>
      </c>
      <c r="E50" s="15">
        <v>42630.378599537034</v>
      </c>
      <c r="F50" s="15">
        <v>42630.382928240739</v>
      </c>
      <c r="G50" s="7">
        <v>1</v>
      </c>
      <c r="H50" s="15" t="s">
        <v>633</v>
      </c>
      <c r="I50" s="15">
        <v>42630.410150462965</v>
      </c>
      <c r="J50" s="7">
        <v>0</v>
      </c>
      <c r="K50" s="121" t="str">
        <f t="shared" si="19"/>
        <v>4027/4028</v>
      </c>
      <c r="L50" s="24" t="str">
        <f>VLOOKUP(A50,'Trips&amp;Operators'!$C$1:$E$10000,3,FALSE)</f>
        <v>KILLION</v>
      </c>
      <c r="M50" s="6">
        <f t="shared" si="20"/>
        <v>2.7222222226555459E-2</v>
      </c>
      <c r="N50" s="7">
        <f t="shared" si="21"/>
        <v>39.200000006239861</v>
      </c>
      <c r="O50" s="7"/>
      <c r="P50" s="7"/>
      <c r="Q50" s="25"/>
      <c r="R50" s="25"/>
      <c r="S50" s="37">
        <f t="shared" si="22"/>
        <v>1</v>
      </c>
      <c r="T50" s="52" t="str">
        <f t="shared" si="23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08:05:11-0600',mode:absolute,to:'2016-09-17 10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25"/>
        <v>N</v>
      </c>
      <c r="X50" s="168">
        <f t="shared" si="26"/>
        <v>1</v>
      </c>
      <c r="Y50" s="69">
        <f t="shared" si="27"/>
        <v>23.291499999999999</v>
      </c>
      <c r="Z50" s="69">
        <f t="shared" si="28"/>
        <v>1.32E-2</v>
      </c>
      <c r="AA50" s="69">
        <f t="shared" si="29"/>
        <v>23.278299999999998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30"/>
        <v>0138-17</v>
      </c>
      <c r="AE50" s="99" t="str">
        <f t="shared" si="31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50" s="96" t="str">
        <f t="shared" si="32"/>
        <v>"C:\Program Files (x86)\AstroGrep\AstroGrep.exe" /spath="%USERPROFILE%\AppData\Local\Temp\OnboardLogs" /stypes="app*4028*20160917*" /stext=" 15:.+((SYSTEM_STATE.+slice.+state.+changed )|(ment ac)|(system.+state.+changed )|(\|lc)|(penalty)|(\[timeout)|(PRM\|1\|D)|(kpr)|(kdp))" /e /r /s</v>
      </c>
      <c r="AG50" s="1" t="str">
        <f t="shared" si="33"/>
        <v>EC</v>
      </c>
      <c r="AH50" s="100" t="str">
        <f t="shared" si="17"/>
        <v>"%USERPROFILE%\Documents\GitHub\eaglep3\Utilities\RefineRTDCRunTimes.py" --tripid 138-17 --locoid 4028 --swversion DE.1.0.7.0 --startMP 204:232915 --initTime 2016-09-17T09:05:11 --startdatetime 2016-09-17T09:11:25 --delay 1 --endMP 204:132 --enddatetime 2016-09-17T09:50:37 --enforcementcount 0 &gt;&gt;C:\Users\stu\Documents\GitHub\eaglep3-reporting\EC\2016-09-17-refined-times.txt</v>
      </c>
      <c r="AI5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{"issue":{"subject":"","project_id":79,"tracker_id":40,"status_id":1,"priority_id":2,"assigned_to_id":23,"start_date":"2016-09-17","description":"","custom_fields":[{"id":1,"name":"Subdivision","value":"EC"},{"id":4,"name":"Milepost","value":"0.0132"},{"id":17,"name":"Train ID","value":"138-17"},{"id":16,"name":"Locomotive ID","value":"4028"},{"id":130,"name":"Impact","value":""},{"id":150,"name":"Time of Event (Mountain Time)","value":"09:50:37"},{"id":151,"name":"Denver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448</v>
      </c>
      <c r="B51" s="7">
        <v>4025</v>
      </c>
      <c r="C51" s="24" t="s">
        <v>106</v>
      </c>
      <c r="D51" s="24" t="s">
        <v>225</v>
      </c>
      <c r="E51" s="15">
        <v>42630.351724537039</v>
      </c>
      <c r="F51" s="15">
        <v>42630.354386574072</v>
      </c>
      <c r="G51" s="7">
        <v>3</v>
      </c>
      <c r="H51" s="15" t="s">
        <v>297</v>
      </c>
      <c r="I51" s="15">
        <v>42630.379444444443</v>
      </c>
      <c r="J51" s="7">
        <v>0</v>
      </c>
      <c r="K51" s="121" t="str">
        <f t="shared" si="19"/>
        <v>4025/4026</v>
      </c>
      <c r="L51" s="24" t="str">
        <f>VLOOKUP(A51,'Trips&amp;Operators'!$C$1:$E$10000,3,FALSE)</f>
        <v>GEBRETEKLE</v>
      </c>
      <c r="M51" s="6">
        <f t="shared" si="20"/>
        <v>2.5057870370801538E-2</v>
      </c>
      <c r="N51" s="7">
        <f t="shared" si="21"/>
        <v>36.083333333954215</v>
      </c>
      <c r="O51" s="7"/>
      <c r="P51" s="7"/>
      <c r="Q51" s="25"/>
      <c r="R51" s="25"/>
      <c r="S51" s="37">
        <f t="shared" si="22"/>
        <v>1</v>
      </c>
      <c r="T51" s="52" t="str">
        <f t="shared" si="23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07:26:29-0600',mode:absolute,to:'2016-09-17 10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1" s="54" t="str">
        <f t="shared" si="25"/>
        <v>N</v>
      </c>
      <c r="X51" s="168">
        <f t="shared" si="26"/>
        <v>1</v>
      </c>
      <c r="Y51" s="69">
        <f t="shared" si="27"/>
        <v>4.5699999999999998E-2</v>
      </c>
      <c r="Z51" s="69">
        <f t="shared" si="28"/>
        <v>23.329699999999999</v>
      </c>
      <c r="AA51" s="69">
        <f t="shared" si="29"/>
        <v>23.283999999999999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30"/>
        <v>0139-17</v>
      </c>
      <c r="AE51" s="99" t="str">
        <f t="shared" si="31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51" s="96" t="str">
        <f t="shared" si="32"/>
        <v>"C:\Program Files (x86)\AstroGrep\AstroGrep.exe" /spath="%USERPROFILE%\AppData\Local\Temp\OnboardLogs" /stypes="app*4025*20160917*" /stext=" 15:.+((SYSTEM_STATE.+slice.+state.+changed )|(ment ac)|(system.+state.+changed )|(\|lc)|(penalty)|(\[timeout)|(PRM\|1\|D)|(kpr)|(kdp))" /e /r /s</v>
      </c>
      <c r="AG51" s="1" t="str">
        <f t="shared" si="33"/>
        <v>EC</v>
      </c>
      <c r="AH51" s="100" t="str">
        <f t="shared" si="17"/>
        <v>"%USERPROFILE%\Documents\GitHub\eaglep3\Utilities\RefineRTDCRunTimes.py" --tripid 139-17 --locoid 4025 --swversion DE.1.0.7.0 --startMP 204:457 --initTime 2016-09-17T08:26:29 --startdatetime 2016-09-17T08:30:19 --delay 3 --endMP 204:233297 --enddatetime 2016-09-17T09:06:24 --enforcementcount 0 &gt;&gt;C:\Users\stu\Documents\GitHub\eaglep3-reporting\EC\2016-09-17-refined-times.txt</v>
      </c>
      <c r="AI5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ID","value":"139-17"},{"id":16,"name":"Locomotive ID","value":"4025"},{"id":130,"name":"Impact","value":""},{"id":150,"name":"Time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458</v>
      </c>
      <c r="B52" s="7">
        <v>4026</v>
      </c>
      <c r="C52" s="24" t="s">
        <v>106</v>
      </c>
      <c r="D52" s="24" t="s">
        <v>285</v>
      </c>
      <c r="E52" s="15">
        <v>42630.389594907407</v>
      </c>
      <c r="F52" s="15">
        <v>42630.393217592595</v>
      </c>
      <c r="G52" s="7">
        <v>1</v>
      </c>
      <c r="H52" s="15" t="s">
        <v>215</v>
      </c>
      <c r="I52" s="15">
        <v>42630.420451388891</v>
      </c>
      <c r="J52" s="7">
        <v>0</v>
      </c>
      <c r="K52" s="121" t="str">
        <f t="shared" si="19"/>
        <v>4025/4026</v>
      </c>
      <c r="L52" s="24" t="str">
        <f>VLOOKUP(A52,'Trips&amp;Operators'!$C$1:$E$10000,3,FALSE)</f>
        <v>GEBRETEKLE</v>
      </c>
      <c r="M52" s="6">
        <f t="shared" si="20"/>
        <v>2.7233796296059154E-2</v>
      </c>
      <c r="N52" s="7">
        <f t="shared" si="21"/>
        <v>39.216666666325182</v>
      </c>
      <c r="O52" s="7"/>
      <c r="P52" s="7"/>
      <c r="Q52" s="25"/>
      <c r="R52" s="25"/>
      <c r="S52" s="37">
        <f t="shared" si="22"/>
        <v>1</v>
      </c>
      <c r="T52" s="52" t="str">
        <f t="shared" si="23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08:21:01-0600',mode:absolute,to:'2016-09-17 11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2" s="54" t="str">
        <f t="shared" si="25"/>
        <v>N</v>
      </c>
      <c r="X52" s="168">
        <f t="shared" si="26"/>
        <v>1</v>
      </c>
      <c r="Y52" s="69">
        <f t="shared" si="27"/>
        <v>23.297499999999999</v>
      </c>
      <c r="Z52" s="69">
        <f t="shared" si="28"/>
        <v>1.49E-2</v>
      </c>
      <c r="AA52" s="69">
        <f t="shared" si="29"/>
        <v>23.282599999999999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30"/>
        <v>0140-17</v>
      </c>
      <c r="AE52" s="99" t="str">
        <f t="shared" si="31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52" s="96" t="str">
        <f t="shared" si="32"/>
        <v>"C:\Program Files (x86)\AstroGrep\AstroGrep.exe" /spath="%USERPROFILE%\AppData\Local\Temp\OnboardLogs" /stypes="app*4026*20160917*" /stext=" 16:.+((SYSTEM_STATE.+slice.+state.+changed )|(ment ac)|(system.+state.+changed )|(\|lc)|(penalty)|(\[timeout)|(PRM\|1\|D)|(kpr)|(kdp))" /e /r /s</v>
      </c>
      <c r="AG52" s="1" t="str">
        <f t="shared" si="33"/>
        <v>EC</v>
      </c>
      <c r="AH52" s="100" t="str">
        <f t="shared" si="17"/>
        <v>"%USERPROFILE%\Documents\GitHub\eaglep3\Utilities\RefineRTDCRunTimes.py" --tripid 140-17 --locoid 4026 --swversion DE.1.0.7.0 --startMP 204:232975 --initTime 2016-09-17T09:21:01 --startdatetime 2016-09-17T09:26:14 --delay 1 --endMP 204:149 --enddatetime 2016-09-17T10:05:27 --enforcementcount 0 &gt;&gt;C:\Users\stu\Documents\GitHub\eaglep3-reporting\EC\2016-09-17-refined-times.txt</v>
      </c>
      <c r="AI5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ID","value":"140-17"},{"id":16,"name":"Locomotive ID","value":"4026"},{"id":130,"name":"Impact","value":""},{"id":150,"name":"Time of Event (Mountain Time)","value":"10:05:27"},{"id":151,"name":"Denver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451</v>
      </c>
      <c r="B53" s="7">
        <v>4053</v>
      </c>
      <c r="C53" s="24" t="s">
        <v>106</v>
      </c>
      <c r="D53" s="24" t="s">
        <v>310</v>
      </c>
      <c r="E53" s="15">
        <v>42630.361493055556</v>
      </c>
      <c r="F53" s="15">
        <v>42630.36482638889</v>
      </c>
      <c r="G53" s="7">
        <v>2</v>
      </c>
      <c r="H53" s="15" t="s">
        <v>223</v>
      </c>
      <c r="I53" s="15">
        <v>42630.389513888891</v>
      </c>
      <c r="J53" s="7">
        <v>0</v>
      </c>
      <c r="K53" s="121" t="str">
        <f t="shared" si="19"/>
        <v>4053/4054</v>
      </c>
      <c r="L53" s="24" t="str">
        <f>VLOOKUP(A53,'Trips&amp;Operators'!$C$1:$E$10000,3,FALSE)</f>
        <v>SANTIZO</v>
      </c>
      <c r="M53" s="6">
        <f t="shared" si="20"/>
        <v>2.4687500001164153E-2</v>
      </c>
      <c r="N53" s="7">
        <f t="shared" si="21"/>
        <v>35.550000001676381</v>
      </c>
      <c r="O53" s="7"/>
      <c r="P53" s="7"/>
      <c r="Q53" s="25"/>
      <c r="R53" s="25"/>
      <c r="S53" s="37">
        <f t="shared" si="22"/>
        <v>1</v>
      </c>
      <c r="T53" s="52" t="str">
        <f t="shared" si="23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07:40:33-0600',mode:absolute,to:'2016-09-17 10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3" s="54" t="str">
        <f t="shared" si="25"/>
        <v>N</v>
      </c>
      <c r="X53" s="168">
        <f t="shared" si="26"/>
        <v>1</v>
      </c>
      <c r="Y53" s="69">
        <f t="shared" si="27"/>
        <v>4.7699999999999999E-2</v>
      </c>
      <c r="Z53" s="69">
        <f t="shared" si="28"/>
        <v>23.3291</v>
      </c>
      <c r="AA53" s="69">
        <f t="shared" si="29"/>
        <v>23.281400000000001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30"/>
        <v>0141-17</v>
      </c>
      <c r="AE53" s="99" t="str">
        <f t="shared" si="31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53" s="96" t="str">
        <f t="shared" si="32"/>
        <v>"C:\Program Files (x86)\AstroGrep\AstroGrep.exe" /spath="%USERPROFILE%\AppData\Local\Temp\OnboardLogs" /stypes="app*4053*20160917*" /stext=" 15:.+((SYSTEM_STATE.+slice.+state.+changed )|(ment ac)|(system.+state.+changed )|(\|lc)|(penalty)|(\[timeout)|(PRM\|1\|D)|(kpr)|(kdp))" /e /r /s</v>
      </c>
      <c r="AG53" s="1" t="str">
        <f t="shared" si="33"/>
        <v>EC</v>
      </c>
      <c r="AH53" s="100" t="str">
        <f t="shared" si="17"/>
        <v>"%USERPROFILE%\Documents\GitHub\eaglep3\Utilities\RefineRTDCRunTimes.py" --tripid 141-17 --locoid 4053 --swversion DE.1.0.7.0 --startMP 204:477 --initTime 2016-09-17T08:40:33 --startdatetime 2016-09-17T08:45:21 --delay 2 --endMP 204:233291 --enddatetime 2016-09-17T09:20:54 --enforcementcount 0 &gt;&gt;C:\Users\stu\Documents\GitHub\eaglep3-reporting\EC\2016-09-17-refined-times.txt</v>
      </c>
      <c r="AI5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ID","value":"141-17"},{"id":16,"name":"Locomotive ID","value":"4053"},{"id":130,"name":"Impact","value":""},{"id":150,"name":"Time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460</v>
      </c>
      <c r="B54" s="7">
        <v>4054</v>
      </c>
      <c r="C54" s="24" t="s">
        <v>106</v>
      </c>
      <c r="D54" s="24" t="s">
        <v>270</v>
      </c>
      <c r="E54" s="15">
        <v>42630.391273148147</v>
      </c>
      <c r="F54" s="15">
        <v>42630.403796296298</v>
      </c>
      <c r="G54" s="7">
        <v>1</v>
      </c>
      <c r="H54" s="15" t="s">
        <v>303</v>
      </c>
      <c r="I54" s="15">
        <v>42630.431041666663</v>
      </c>
      <c r="J54" s="7">
        <v>0</v>
      </c>
      <c r="K54" s="121" t="str">
        <f t="shared" si="19"/>
        <v>4053/4054</v>
      </c>
      <c r="L54" s="24" t="str">
        <f>VLOOKUP(A54,'Trips&amp;Operators'!$C$1:$E$10000,3,FALSE)</f>
        <v>SANTIZO</v>
      </c>
      <c r="M54" s="6">
        <f t="shared" si="20"/>
        <v>2.7245370365562849E-2</v>
      </c>
      <c r="N54" s="7">
        <f t="shared" si="21"/>
        <v>39.233333326410502</v>
      </c>
      <c r="O54" s="7"/>
      <c r="P54" s="7"/>
      <c r="Q54" s="25"/>
      <c r="R54" s="25"/>
      <c r="S54" s="37">
        <f t="shared" si="22"/>
        <v>1</v>
      </c>
      <c r="T54" s="52" t="str">
        <f t="shared" si="23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4" s="54" t="str">
        <f t="shared" si="25"/>
        <v>N</v>
      </c>
      <c r="X54" s="168">
        <f t="shared" si="26"/>
        <v>1</v>
      </c>
      <c r="Y54" s="69">
        <f t="shared" si="27"/>
        <v>23.295500000000001</v>
      </c>
      <c r="Z54" s="69">
        <f t="shared" si="28"/>
        <v>1.7399999999999999E-2</v>
      </c>
      <c r="AA54" s="69">
        <f t="shared" si="29"/>
        <v>23.278100000000002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30"/>
        <v>0142-17</v>
      </c>
      <c r="AE54" s="99" t="str">
        <f t="shared" si="31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54" s="96" t="str">
        <f t="shared" si="32"/>
        <v>"C:\Program Files (x86)\AstroGrep\AstroGrep.exe" /spath="%USERPROFILE%\AppData\Local\Temp\OnboardLogs" /stypes="app*4054*20160917*" /stext=" 16:.+((SYSTEM_STATE.+slice.+state.+changed )|(ment ac)|(system.+state.+changed )|(\|lc)|(penalty)|(\[timeout)|(PRM\|1\|D)|(kpr)|(kdp))" /e /r /s</v>
      </c>
      <c r="AG54" s="1" t="str">
        <f t="shared" si="33"/>
        <v>EC</v>
      </c>
      <c r="AH54" s="100" t="str">
        <f t="shared" si="17"/>
        <v>"%USERPROFILE%\Documents\GitHub\eaglep3\Utilities\RefineRTDCRunTimes.py" --tripid 142-17 --locoid 4054 --swversion DE.1.0.7.0 --startMP 204:232955 --initTime 2016-09-17T09:23:26 --startdatetime 2016-09-17T09:41:28 --delay 1 --endMP 204:174 --enddatetime 2016-09-17T10:20:42 --enforcementcount 0 &gt;&gt;C:\Users\stu\Documents\GitHub\eaglep3-reporting\EC\2016-09-17-refined-times.txt</v>
      </c>
      <c r="AI5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{"issue":{"subject":"","project_id":79,"tracker_id":40,"status_id":1,"priority_id":2,"assigned_to_id":23,"start_date":"2016-09-17","description":"","custom_fields":[{"id":1,"name":"Subdivision","value":"EC"},{"id":4,"name":"Milepost","value":"0.0174"},{"id":17,"name":"Train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454</v>
      </c>
      <c r="B55" s="7">
        <v>4042</v>
      </c>
      <c r="C55" s="24" t="s">
        <v>106</v>
      </c>
      <c r="D55" s="24" t="s">
        <v>279</v>
      </c>
      <c r="E55" s="15">
        <v>42630.370428240742</v>
      </c>
      <c r="F55" s="15">
        <v>42630.375254629631</v>
      </c>
      <c r="G55" s="7">
        <v>2</v>
      </c>
      <c r="H55" s="15" t="s">
        <v>293</v>
      </c>
      <c r="I55" s="15">
        <v>42630.402118055557</v>
      </c>
      <c r="J55" s="7">
        <v>0</v>
      </c>
      <c r="K55" s="121" t="str">
        <f t="shared" si="19"/>
        <v>4041/4042</v>
      </c>
      <c r="L55" s="24" t="str">
        <f>VLOOKUP(A55,'Trips&amp;Operators'!$C$1:$E$10000,3,FALSE)</f>
        <v>STRICKLAND</v>
      </c>
      <c r="M55" s="6">
        <f t="shared" si="20"/>
        <v>2.6863425926421769E-2</v>
      </c>
      <c r="N55" s="7">
        <f t="shared" si="21"/>
        <v>38.683333334047347</v>
      </c>
      <c r="O55" s="7"/>
      <c r="P55" s="7"/>
      <c r="Q55" s="25"/>
      <c r="R55" s="25"/>
      <c r="S55" s="37">
        <f t="shared" si="22"/>
        <v>1</v>
      </c>
      <c r="T55" s="52" t="str">
        <f t="shared" si="23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07:53:25-0600',mode:absolute,to:'2016-09-17 10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5" s="54" t="str">
        <f t="shared" si="25"/>
        <v>N</v>
      </c>
      <c r="X55" s="168">
        <f t="shared" si="26"/>
        <v>1</v>
      </c>
      <c r="Y55" s="69">
        <f t="shared" si="27"/>
        <v>4.3700000000000003E-2</v>
      </c>
      <c r="Z55" s="69">
        <f t="shared" si="28"/>
        <v>23.330100000000002</v>
      </c>
      <c r="AA55" s="69">
        <f t="shared" si="29"/>
        <v>23.2864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30"/>
        <v>0143-17</v>
      </c>
      <c r="AE55" s="99" t="str">
        <f t="shared" si="31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55" s="96" t="str">
        <f t="shared" si="32"/>
        <v>"C:\Program Files (x86)\AstroGrep\AstroGrep.exe" /spath="%USERPROFILE%\AppData\Local\Temp\OnboardLogs" /stypes="app*4042*20160917*" /stext=" 15:.+((SYSTEM_STATE.+slice.+state.+changed )|(ment ac)|(system.+state.+changed )|(\|lc)|(penalty)|(\[timeout)|(PRM\|1\|D)|(kpr)|(kdp))" /e /r /s</v>
      </c>
      <c r="AG55" s="1" t="str">
        <f t="shared" si="33"/>
        <v>EC</v>
      </c>
      <c r="AH55" s="100" t="str">
        <f t="shared" si="17"/>
        <v>"%USERPROFILE%\Documents\GitHub\eaglep3\Utilities\RefineRTDCRunTimes.py" --tripid 143-17 --locoid 4042 --swversion DE.1.0.7.0 --startMP 204:437 --initTime 2016-09-17T08:53:25 --startdatetime 2016-09-17T09:00:22 --delay 2 --endMP 204:233301 --enddatetime 2016-09-17T09:39:03 --enforcementcount 0 &gt;&gt;C:\Users\stu\Documents\GitHub\eaglep3-reporting\EC\2016-09-17-refined-times.txt</v>
      </c>
      <c r="AI5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ID","value":"143-17"},{"id":16,"name":"Locomotive ID","value":"4042"},{"id":130,"name":"Impact","value":""},{"id":150,"name":"Time of Event (Mountain Time)","value":"09:39:03"},{"id":151,"name":"Denver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463</v>
      </c>
      <c r="B56" s="7">
        <v>4041</v>
      </c>
      <c r="C56" s="24" t="s">
        <v>106</v>
      </c>
      <c r="D56" s="24" t="s">
        <v>242</v>
      </c>
      <c r="E56" s="15">
        <v>42630.409826388888</v>
      </c>
      <c r="F56" s="15">
        <v>42630.414293981485</v>
      </c>
      <c r="G56" s="7">
        <v>2</v>
      </c>
      <c r="H56" s="15" t="s">
        <v>215</v>
      </c>
      <c r="I56" s="15">
        <v>42630.443680555552</v>
      </c>
      <c r="J56" s="7">
        <v>0</v>
      </c>
      <c r="K56" s="121" t="str">
        <f t="shared" si="19"/>
        <v>4041/4042</v>
      </c>
      <c r="L56" s="24" t="str">
        <f>VLOOKUP(A56,'Trips&amp;Operators'!$C$1:$E$10000,3,FALSE)</f>
        <v>STRICKLAND</v>
      </c>
      <c r="M56" s="6">
        <f t="shared" si="20"/>
        <v>2.9386574067757465E-2</v>
      </c>
      <c r="N56" s="7">
        <f t="shared" si="21"/>
        <v>42.31666665757075</v>
      </c>
      <c r="O56" s="7"/>
      <c r="P56" s="7"/>
      <c r="Q56" s="25"/>
      <c r="R56" s="25"/>
      <c r="S56" s="37">
        <f t="shared" si="22"/>
        <v>1</v>
      </c>
      <c r="T56" s="52" t="str">
        <f t="shared" si="23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08:50:09-0600',mode:absolute,to:'2016-09-17 11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6" s="54" t="str">
        <f t="shared" si="25"/>
        <v>N</v>
      </c>
      <c r="X56" s="168">
        <f t="shared" si="26"/>
        <v>1</v>
      </c>
      <c r="Y56" s="69">
        <f t="shared" si="27"/>
        <v>23.297799999999999</v>
      </c>
      <c r="Z56" s="69">
        <f t="shared" si="28"/>
        <v>1.49E-2</v>
      </c>
      <c r="AA56" s="69">
        <f t="shared" si="29"/>
        <v>23.282899999999998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30"/>
        <v>0144-17</v>
      </c>
      <c r="AE56" s="99" t="str">
        <f t="shared" si="31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56" s="96" t="str">
        <f t="shared" si="32"/>
        <v>"C:\Program Files (x86)\AstroGrep\AstroGrep.exe" /spath="%USERPROFILE%\AppData\Local\Temp\OnboardLogs" /stypes="app*4041*20160917*" /stext=" 16:.+((SYSTEM_STATE.+slice.+state.+changed )|(ment ac)|(system.+state.+changed )|(\|lc)|(penalty)|(\[timeout)|(PRM\|1\|D)|(kpr)|(kdp))" /e /r /s</v>
      </c>
      <c r="AG56" s="1" t="str">
        <f t="shared" si="33"/>
        <v>EC</v>
      </c>
      <c r="AH56" s="100" t="str">
        <f t="shared" si="17"/>
        <v>"%USERPROFILE%\Documents\GitHub\eaglep3\Utilities\RefineRTDCRunTimes.py" --tripid 144-17 --locoid 4041 --swversion DE.1.0.7.0 --startMP 204:232978 --initTime 2016-09-17T09:50:09 --startdatetime 2016-09-17T09:56:35 --delay 2 --endMP 204:149 --enddatetime 2016-09-17T10:38:54 --enforcementcount 0 &gt;&gt;C:\Users\stu\Documents\GitHub\eaglep3-reporting\EC\2016-09-17-refined-times.txt</v>
      </c>
      <c r="AI5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ID","value":"144-17"},{"id":16,"name":"Locomotive ID","value":"4041"},{"id":130,"name":"Impact","value":""},{"id":150,"name":"Time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456</v>
      </c>
      <c r="B57" s="7">
        <v>4046</v>
      </c>
      <c r="C57" s="24" t="s">
        <v>106</v>
      </c>
      <c r="D57" s="24" t="s">
        <v>228</v>
      </c>
      <c r="E57" s="15">
        <v>42630.383993055555</v>
      </c>
      <c r="F57" s="15">
        <v>42630.385625000003</v>
      </c>
      <c r="G57" s="7">
        <v>1</v>
      </c>
      <c r="H57" s="15" t="s">
        <v>353</v>
      </c>
      <c r="I57" s="15">
        <v>42630.410983796297</v>
      </c>
      <c r="J57" s="7">
        <v>0</v>
      </c>
      <c r="K57" s="121" t="str">
        <f t="shared" si="19"/>
        <v>4045/4046</v>
      </c>
      <c r="L57" s="24" t="str">
        <f>VLOOKUP(A57,'Trips&amp;Operators'!$C$1:$E$10000,3,FALSE)</f>
        <v>MALAVE</v>
      </c>
      <c r="M57" s="6">
        <f t="shared" si="20"/>
        <v>2.5358796294312924E-2</v>
      </c>
      <c r="N57" s="7">
        <f t="shared" si="21"/>
        <v>36.516666663810611</v>
      </c>
      <c r="O57" s="7"/>
      <c r="P57" s="7"/>
      <c r="Q57" s="25"/>
      <c r="R57" s="25"/>
      <c r="S57" s="37">
        <f t="shared" si="22"/>
        <v>1</v>
      </c>
      <c r="T57" s="52" t="str">
        <f t="shared" si="23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08:12:57-0600',mode:absolute,to:'2016-09-17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7" s="54" t="str">
        <f t="shared" si="25"/>
        <v>N</v>
      </c>
      <c r="X57" s="168">
        <f t="shared" si="26"/>
        <v>1</v>
      </c>
      <c r="Y57" s="69">
        <f t="shared" si="27"/>
        <v>4.5100000000000001E-2</v>
      </c>
      <c r="Z57" s="69">
        <f t="shared" si="28"/>
        <v>23.328700000000001</v>
      </c>
      <c r="AA57" s="69">
        <f t="shared" si="29"/>
        <v>23.2836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30"/>
        <v>0145-17</v>
      </c>
      <c r="AE57" s="99" t="str">
        <f t="shared" si="31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57" s="96" t="str">
        <f t="shared" si="32"/>
        <v>"C:\Program Files (x86)\AstroGrep\AstroGrep.exe" /spath="%USERPROFILE%\AppData\Local\Temp\OnboardLogs" /stypes="app*4046*20160917*" /stext=" 15:.+((SYSTEM_STATE.+slice.+state.+changed )|(ment ac)|(system.+state.+changed )|(\|lc)|(penalty)|(\[timeout)|(PRM\|1\|D)|(kpr)|(kdp))" /e /r /s</v>
      </c>
      <c r="AG57" s="1" t="str">
        <f t="shared" si="33"/>
        <v>EC</v>
      </c>
      <c r="AH57" s="100" t="str">
        <f t="shared" si="17"/>
        <v>"%USERPROFILE%\Documents\GitHub\eaglep3\Utilities\RefineRTDCRunTimes.py" --tripid 145-17 --locoid 4046 --swversion DE.1.0.7.0 --startMP 204:451 --initTime 2016-09-17T09:12:57 --startdatetime 2016-09-17T09:15:18 --delay 1 --endMP 204:233287 --enddatetime 2016-09-17T09:51:49 --enforcementcount 0 &gt;&gt;C:\Users\stu\Documents\GitHub\eaglep3-reporting\EC\2016-09-17-refined-times.txt</v>
      </c>
      <c r="AI5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{"issue":{"subject":"","project_id":79,"tracker_id":40,"status_id":1,"priority_id":2,"assigned_to_id":23,"start_date":"2016-09-17","description":"","custom_fields":[{"id":1,"name":"Subdivision","value":"EC"},{"id":4,"name":"Milepost","value":"23.3287"},{"id":17,"name":"Train ID","value":"145-17"},{"id":16,"name":"Locomotive ID","value":"4046"},{"id":130,"name":"Impact","value":""},{"id":150,"name":"Time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466</v>
      </c>
      <c r="B58" s="7">
        <v>4045</v>
      </c>
      <c r="C58" s="24" t="s">
        <v>106</v>
      </c>
      <c r="D58" s="24" t="s">
        <v>280</v>
      </c>
      <c r="E58" s="15">
        <v>42630.421886574077</v>
      </c>
      <c r="F58" s="15">
        <v>42630.424583333333</v>
      </c>
      <c r="G58" s="7">
        <v>3</v>
      </c>
      <c r="H58" s="15" t="s">
        <v>215</v>
      </c>
      <c r="I58" s="15">
        <v>42630.451747685183</v>
      </c>
      <c r="J58" s="7">
        <v>0</v>
      </c>
      <c r="K58" s="121" t="str">
        <f t="shared" si="19"/>
        <v>4045/4046</v>
      </c>
      <c r="L58" s="24" t="str">
        <f>VLOOKUP(A58,'Trips&amp;Operators'!$C$1:$E$10000,3,FALSE)</f>
        <v>MALAVE</v>
      </c>
      <c r="M58" s="6">
        <f t="shared" si="20"/>
        <v>2.7164351849933155E-2</v>
      </c>
      <c r="N58" s="7">
        <f t="shared" si="21"/>
        <v>39.116666663903743</v>
      </c>
      <c r="O58" s="7"/>
      <c r="P58" s="7"/>
      <c r="Q58" s="25"/>
      <c r="R58" s="25"/>
      <c r="S58" s="37">
        <f t="shared" si="22"/>
        <v>1</v>
      </c>
      <c r="T58" s="52" t="str">
        <f t="shared" si="23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09:07:31-0600',mode:absolute,to:'2016-09-17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8" s="54" t="str">
        <f t="shared" si="25"/>
        <v>N</v>
      </c>
      <c r="X58" s="168">
        <f t="shared" si="26"/>
        <v>1</v>
      </c>
      <c r="Y58" s="69">
        <f t="shared" si="27"/>
        <v>23.2959</v>
      </c>
      <c r="Z58" s="69">
        <f t="shared" si="28"/>
        <v>1.49E-2</v>
      </c>
      <c r="AA58" s="69">
        <f t="shared" si="29"/>
        <v>23.280999999999999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30"/>
        <v>0146-17</v>
      </c>
      <c r="AE58" s="99" t="str">
        <f t="shared" si="31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58" s="96" t="str">
        <f t="shared" si="32"/>
        <v>"C:\Program Files (x86)\AstroGrep\AstroGrep.exe" /spath="%USERPROFILE%\AppData\Local\Temp\OnboardLogs" /stypes="app*4045*20160917*" /stext=" 16:.+((SYSTEM_STATE.+slice.+state.+changed )|(ment ac)|(system.+state.+changed )|(\|lc)|(penalty)|(\[timeout)|(PRM\|1\|D)|(kpr)|(kdp))" /e /r /s</v>
      </c>
      <c r="AG58" s="1" t="str">
        <f t="shared" si="33"/>
        <v>EC</v>
      </c>
      <c r="AH58" s="100" t="str">
        <f t="shared" si="17"/>
        <v>"%USERPROFILE%\Documents\GitHub\eaglep3\Utilities\RefineRTDCRunTimes.py" --tripid 146-17 --locoid 4045 --swversion DE.1.0.7.0 --startMP 204:232959 --initTime 2016-09-17T10:07:31 --startdatetime 2016-09-17T10:11:24 --delay 3 --endMP 204:149 --enddatetime 2016-09-17T10:50:31 --enforcementcount 0 &gt;&gt;C:\Users\stu\Documents\GitHub\eaglep3-reporting\EC\2016-09-17-refined-times.txt</v>
      </c>
      <c r="AI5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ID","value":"146-17"},{"id":16,"name":"Locomotive ID","value":"4045"},{"id":130,"name":"Impact","value":""},{"id":150,"name":"Time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459</v>
      </c>
      <c r="B59" s="7">
        <v>4011</v>
      </c>
      <c r="C59" s="24" t="s">
        <v>106</v>
      </c>
      <c r="D59" s="24" t="s">
        <v>264</v>
      </c>
      <c r="E59" s="15">
        <v>42630.390150462961</v>
      </c>
      <c r="F59" s="15">
        <v>42630.396192129629</v>
      </c>
      <c r="G59" s="7">
        <v>2</v>
      </c>
      <c r="H59" s="15" t="s">
        <v>632</v>
      </c>
      <c r="I59" s="15">
        <v>42630.422951388886</v>
      </c>
      <c r="J59" s="7">
        <v>0</v>
      </c>
      <c r="K59" s="121" t="str">
        <f t="shared" si="19"/>
        <v>4011/4012</v>
      </c>
      <c r="L59" s="24" t="str">
        <f>VLOOKUP(A59,'Trips&amp;Operators'!$C$1:$E$10000,3,FALSE)</f>
        <v>STORY</v>
      </c>
      <c r="M59" s="6">
        <f t="shared" si="20"/>
        <v>2.675925925723277E-2</v>
      </c>
      <c r="N59" s="7">
        <f t="shared" si="21"/>
        <v>38.533333330415189</v>
      </c>
      <c r="O59" s="7"/>
      <c r="P59" s="7"/>
      <c r="Q59" s="25"/>
      <c r="R59" s="25"/>
      <c r="S59" s="37">
        <f t="shared" si="22"/>
        <v>1</v>
      </c>
      <c r="T59" s="52" t="str">
        <f t="shared" si="23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9" s="54" t="str">
        <f t="shared" si="25"/>
        <v>N</v>
      </c>
      <c r="X59" s="168">
        <f t="shared" si="26"/>
        <v>1</v>
      </c>
      <c r="Y59" s="69">
        <f t="shared" si="27"/>
        <v>4.4600000000000001E-2</v>
      </c>
      <c r="Z59" s="69">
        <f t="shared" si="28"/>
        <v>23.325299999999999</v>
      </c>
      <c r="AA59" s="69">
        <f t="shared" si="29"/>
        <v>23.2807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30"/>
        <v>0147-17</v>
      </c>
      <c r="AE59" s="99" t="str">
        <f t="shared" si="31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59" s="96" t="str">
        <f t="shared" si="32"/>
        <v>"C:\Program Files (x86)\AstroGrep\AstroGrep.exe" /spath="%USERPROFILE%\AppData\Local\Temp\OnboardLogs" /stypes="app*4011*20160917*" /stext=" 16:.+((SYSTEM_STATE.+slice.+state.+changed )|(ment ac)|(system.+state.+changed )|(\|lc)|(penalty)|(\[timeout)|(PRM\|1\|D)|(kpr)|(kdp))" /e /r /s</v>
      </c>
      <c r="AG59" s="1" t="str">
        <f t="shared" si="33"/>
        <v>EC</v>
      </c>
      <c r="AH59" s="100" t="str">
        <f t="shared" si="17"/>
        <v>"%USERPROFILE%\Documents\GitHub\eaglep3\Utilities\RefineRTDCRunTimes.py" --tripid 147-17 --locoid 4011 --swversion DE.1.0.7.0 --startMP 204:446 --initTime 2016-09-17T09:21:49 --startdatetime 2016-09-17T09:30:31 --delay 2 --endMP 204:233253 --enddatetime 2016-09-17T10:09:03 --enforcementcount 0 &gt;&gt;C:\Users\stu\Documents\GitHub\eaglep3-reporting\EC\2016-09-17-refined-times.txt</v>
      </c>
      <c r="AI5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ID","value":"147-17"},{"id":16,"name":"Locomotive ID","value":"4011"},{"id":130,"name":"Impact","value":""},{"id":150,"name":"Time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468</v>
      </c>
      <c r="B60" s="7">
        <v>4012</v>
      </c>
      <c r="C60" s="24" t="s">
        <v>106</v>
      </c>
      <c r="D60" s="24" t="s">
        <v>306</v>
      </c>
      <c r="E60" s="15">
        <v>42630.430393518516</v>
      </c>
      <c r="F60" s="15">
        <v>42630.434918981482</v>
      </c>
      <c r="G60" s="7">
        <v>1</v>
      </c>
      <c r="H60" s="15" t="s">
        <v>362</v>
      </c>
      <c r="I60" s="15">
        <v>42630.461759259262</v>
      </c>
      <c r="J60" s="7">
        <v>0</v>
      </c>
      <c r="K60" s="121" t="str">
        <f t="shared" si="19"/>
        <v>4011/4012</v>
      </c>
      <c r="L60" s="24" t="str">
        <f>VLOOKUP(A60,'Trips&amp;Operators'!$C$1:$E$10000,3,FALSE)</f>
        <v>STORY</v>
      </c>
      <c r="M60" s="6">
        <f t="shared" si="20"/>
        <v>2.6840277780138422E-2</v>
      </c>
      <c r="N60" s="7">
        <f t="shared" si="21"/>
        <v>38.650000003399327</v>
      </c>
      <c r="O60" s="7"/>
      <c r="P60" s="7"/>
      <c r="Q60" s="25"/>
      <c r="R60" s="25"/>
      <c r="S60" s="37">
        <f t="shared" si="22"/>
        <v>1</v>
      </c>
      <c r="T60" s="52" t="str">
        <f t="shared" si="23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09:19:46-0600',mode:absolute,to:'2016-09-17 12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0" s="54" t="str">
        <f t="shared" si="25"/>
        <v>N</v>
      </c>
      <c r="X60" s="168">
        <f t="shared" si="26"/>
        <v>1</v>
      </c>
      <c r="Y60" s="69">
        <f t="shared" si="27"/>
        <v>23.2957</v>
      </c>
      <c r="Z60" s="69">
        <f t="shared" si="28"/>
        <v>1.8499999999999999E-2</v>
      </c>
      <c r="AA60" s="69">
        <f t="shared" si="29"/>
        <v>23.277200000000001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30"/>
        <v>0148-17</v>
      </c>
      <c r="AE60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60" s="96" t="str">
        <f t="shared" si="32"/>
        <v>"C:\Program Files (x86)\AstroGrep\AstroGrep.exe" /spath="%USERPROFILE%\AppData\Local\Temp\OnboardLogs" /stypes="app*4012*20160917*" /stext=" 17:.+((SYSTEM_STATE.+slice.+state.+changed )|(ment ac)|(system.+state.+changed )|(\|lc)|(penalty)|(\[timeout)|(PRM\|1\|D)|(kpr)|(kdp))" /e /r /s</v>
      </c>
      <c r="AG60" s="1" t="str">
        <f t="shared" si="33"/>
        <v>EC</v>
      </c>
      <c r="AH60" s="100" t="str">
        <f t="shared" si="17"/>
        <v>"%USERPROFILE%\Documents\GitHub\eaglep3\Utilities\RefineRTDCRunTimes.py" --tripid 148-17 --locoid 4012 --swversion DE.1.0.7.0 --startMP 204:232957 --initTime 2016-09-17T10:19:46 --startdatetime 2016-09-17T10:26:17 --delay 1 --endMP 204:185 --enddatetime 2016-09-17T11:04:56 --enforcementcount 0 &gt;&gt;C:\Users\stu\Documents\GitHub\eaglep3-reporting\EC\2016-09-17-refined-times.txt</v>
      </c>
      <c r="AI6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{"issue":{"subject":"","project_id":79,"tracker_id":40,"status_id":1,"priority_id":2,"assigned_to_id":23,"start_date":"2016-09-17","description":"","custom_fields":[{"id":1,"name":"Subdivision","value":"EC"},{"id":4,"name":"Milepost","value":"0.0185"},{"id":17,"name":"Train ID","value":"148-17"},{"id":16,"name":"Locomotive ID","value":"4012"},{"id":130,"name":"Impact","value":""},{"id":150,"name":"Time of Event (Mountain Time)","value":"11:04:56"},{"id":151,"name":"Denver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462</v>
      </c>
      <c r="B61" s="7">
        <v>4040</v>
      </c>
      <c r="C61" s="24" t="s">
        <v>106</v>
      </c>
      <c r="D61" s="24" t="s">
        <v>294</v>
      </c>
      <c r="E61" s="15">
        <v>42630.401759259257</v>
      </c>
      <c r="F61" s="15">
        <v>42630.406412037039</v>
      </c>
      <c r="G61" s="7">
        <v>2</v>
      </c>
      <c r="H61" s="15" t="s">
        <v>634</v>
      </c>
      <c r="I61" s="15">
        <v>42630.432615740741</v>
      </c>
      <c r="J61" s="7">
        <v>0</v>
      </c>
      <c r="K61" s="121" t="str">
        <f t="shared" si="19"/>
        <v>4039/4040</v>
      </c>
      <c r="L61" s="24" t="str">
        <f>VLOOKUP(A61,'Trips&amp;Operators'!$C$1:$E$10000,3,FALSE)</f>
        <v>DAVIS</v>
      </c>
      <c r="M61" s="6">
        <f t="shared" si="20"/>
        <v>2.6203703702776693E-2</v>
      </c>
      <c r="N61" s="7">
        <f t="shared" si="21"/>
        <v>37.733333331998438</v>
      </c>
      <c r="O61" s="7"/>
      <c r="P61" s="7"/>
      <c r="Q61" s="25"/>
      <c r="R61" s="25"/>
      <c r="S61" s="37">
        <f t="shared" si="22"/>
        <v>1</v>
      </c>
      <c r="T61" s="52" t="str">
        <f t="shared" si="23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08:38:32-0600',mode:absolute,to:'2016-09-17 11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 t="shared" si="25"/>
        <v>N</v>
      </c>
      <c r="X61" s="168">
        <f t="shared" si="26"/>
        <v>1</v>
      </c>
      <c r="Y61" s="69">
        <f t="shared" si="27"/>
        <v>4.4200000000000003E-2</v>
      </c>
      <c r="Z61" s="69">
        <f t="shared" si="28"/>
        <v>23.326599999999999</v>
      </c>
      <c r="AA61" s="69">
        <f t="shared" si="29"/>
        <v>23.282399999999999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30"/>
        <v>0149-17</v>
      </c>
      <c r="AE61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61" s="96" t="str">
        <f t="shared" si="32"/>
        <v>"C:\Program Files (x86)\AstroGrep\AstroGrep.exe" /spath="%USERPROFILE%\AppData\Local\Temp\OnboardLogs" /stypes="app*4040*20160917*" /stext=" 16:.+((SYSTEM_STATE.+slice.+state.+changed )|(ment ac)|(system.+state.+changed )|(\|lc)|(penalty)|(\[timeout)|(PRM\|1\|D)|(kpr)|(kdp))" /e /r /s</v>
      </c>
      <c r="AG61" s="1" t="str">
        <f t="shared" si="33"/>
        <v>EC</v>
      </c>
      <c r="AH61" s="100" t="str">
        <f t="shared" si="17"/>
        <v>"%USERPROFILE%\Documents\GitHub\eaglep3\Utilities\RefineRTDCRunTimes.py" --tripid 149-17 --locoid 4040 --swversion DE.1.0.7.0 --startMP 204:442 --initTime 2016-09-17T09:38:32 --startdatetime 2016-09-17T09:45:14 --delay 2 --endMP 204:233266 --enddatetime 2016-09-17T10:22:58 --enforcementcount 0 &gt;&gt;C:\Users\stu\Documents\GitHub\eaglep3-reporting\EC\2016-09-17-refined-times.txt</v>
      </c>
      <c r="AI6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{"issue":{"subject":"","project_id":79,"tracker_id":40,"status_id":1,"priority_id":2,"assigned_to_id":23,"start_date":"2016-09-17","description":"","custom_fields":[{"id":1,"name":"Subdivision","value":"EC"},{"id":4,"name":"Milepost","value":"23.3266"},{"id":17,"name":"Train ID","value":"149-17"},{"id":16,"name":"Locomotive ID","value":"4040"},{"id":130,"name":"Impact","value":""},{"id":150,"name":"Time of Event (Mountain Time)","value":"10:22:58"},{"id":151,"name":"Denver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470</v>
      </c>
      <c r="B62" s="7">
        <v>4039</v>
      </c>
      <c r="C62" s="24" t="s">
        <v>106</v>
      </c>
      <c r="D62" s="24" t="s">
        <v>296</v>
      </c>
      <c r="E62" s="15">
        <v>42630.43953703704</v>
      </c>
      <c r="F62" s="15">
        <v>42630.445277777777</v>
      </c>
      <c r="G62" s="7">
        <v>1</v>
      </c>
      <c r="H62" s="15" t="s">
        <v>222</v>
      </c>
      <c r="I62" s="15">
        <v>42630.472986111112</v>
      </c>
      <c r="J62" s="7">
        <v>0</v>
      </c>
      <c r="K62" s="121" t="str">
        <f t="shared" si="19"/>
        <v>4039/4040</v>
      </c>
      <c r="L62" s="24" t="str">
        <f>VLOOKUP(A62,'Trips&amp;Operators'!$C$1:$E$10000,3,FALSE)</f>
        <v>DAVIS</v>
      </c>
      <c r="M62" s="6">
        <f t="shared" si="20"/>
        <v>2.7708333334885538E-2</v>
      </c>
      <c r="N62" s="7">
        <f t="shared" si="21"/>
        <v>39.900000002235174</v>
      </c>
      <c r="O62" s="7"/>
      <c r="P62" s="7"/>
      <c r="Q62" s="25"/>
      <c r="R62" s="25"/>
      <c r="S62" s="37">
        <f t="shared" si="22"/>
        <v>1</v>
      </c>
      <c r="T62" s="52" t="str">
        <f t="shared" si="23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09:32:56-0600',mode:absolute,to:'2016-09-17 12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 t="shared" si="25"/>
        <v>N</v>
      </c>
      <c r="X62" s="168">
        <f t="shared" si="26"/>
        <v>1</v>
      </c>
      <c r="Y62" s="69">
        <f t="shared" si="27"/>
        <v>23.295300000000001</v>
      </c>
      <c r="Z62" s="69">
        <f t="shared" si="28"/>
        <v>1.4999999999999999E-2</v>
      </c>
      <c r="AA62" s="69">
        <f t="shared" si="29"/>
        <v>23.2803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30"/>
        <v>0150-17</v>
      </c>
      <c r="AE62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62" s="96" t="str">
        <f t="shared" si="32"/>
        <v>"C:\Program Files (x86)\AstroGrep\AstroGrep.exe" /spath="%USERPROFILE%\AppData\Local\Temp\OnboardLogs" /stypes="app*4039*20160917*" /stext=" 17:.+((SYSTEM_STATE.+slice.+state.+changed )|(ment ac)|(system.+state.+changed )|(\|lc)|(penalty)|(\[timeout)|(PRM\|1\|D)|(kpr)|(kdp))" /e /r /s</v>
      </c>
      <c r="AG62" s="1" t="str">
        <f t="shared" si="33"/>
        <v>EC</v>
      </c>
      <c r="AH62" s="100" t="str">
        <f t="shared" si="17"/>
        <v>"%USERPROFILE%\Documents\GitHub\eaglep3\Utilities\RefineRTDCRunTimes.py" --tripid 150-17 --locoid 4039 --swversion DE.1.0.7.0 --startMP 204:232953 --initTime 2016-09-17T10:32:56 --startdatetime 2016-09-17T10:41:12 --delay 1 --endMP 204:150 --enddatetime 2016-09-17T11:21:06 --enforcementcount 0 &gt;&gt;C:\Users\stu\Documents\GitHub\eaglep3-reporting\EC\2016-09-17-refined-times.txt</v>
      </c>
      <c r="AI6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ID","value":"150-17"},{"id":16,"name":"Locomotive ID","value":"4039"},{"id":130,"name":"Impact","value":""},{"id":150,"name":"Time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464</v>
      </c>
      <c r="B63" s="7">
        <v>4027</v>
      </c>
      <c r="C63" s="24" t="s">
        <v>106</v>
      </c>
      <c r="D63" s="24" t="s">
        <v>226</v>
      </c>
      <c r="E63" s="15">
        <v>42630.412175925929</v>
      </c>
      <c r="F63" s="15">
        <v>42630.417071759257</v>
      </c>
      <c r="G63" s="7">
        <v>1</v>
      </c>
      <c r="H63" s="15" t="s">
        <v>365</v>
      </c>
      <c r="I63" s="15">
        <v>42630.44226851852</v>
      </c>
      <c r="J63" s="7">
        <v>0</v>
      </c>
      <c r="K63" s="121" t="str">
        <f t="shared" si="19"/>
        <v>4027/4028</v>
      </c>
      <c r="L63" s="24" t="str">
        <f>VLOOKUP(A63,'Trips&amp;Operators'!$C$1:$E$10000,3,FALSE)</f>
        <v>KILLION</v>
      </c>
      <c r="M63" s="6">
        <f t="shared" si="20"/>
        <v>2.5196759263053536E-2</v>
      </c>
      <c r="N63" s="7">
        <f t="shared" si="21"/>
        <v>36.283333338797092</v>
      </c>
      <c r="O63" s="7"/>
      <c r="P63" s="7"/>
      <c r="Q63" s="25"/>
      <c r="R63" s="25"/>
      <c r="S63" s="37">
        <f t="shared" si="22"/>
        <v>1</v>
      </c>
      <c r="T63" s="52" t="str">
        <f t="shared" si="23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08:53:32-0600',mode:absolute,to:'2016-09-17 11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25"/>
        <v>N</v>
      </c>
      <c r="X63" s="168">
        <f t="shared" si="26"/>
        <v>1</v>
      </c>
      <c r="Y63" s="69">
        <f t="shared" si="27"/>
        <v>4.4699999999999997E-2</v>
      </c>
      <c r="Z63" s="69">
        <f t="shared" si="28"/>
        <v>23.328800000000001</v>
      </c>
      <c r="AA63" s="69">
        <f t="shared" si="29"/>
        <v>23.284100000000002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30"/>
        <v>0151-17</v>
      </c>
      <c r="AE63" s="99" t="str">
        <f t="shared" si="31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63" s="96" t="str">
        <f t="shared" si="32"/>
        <v>"C:\Program Files (x86)\AstroGrep\AstroGrep.exe" /spath="%USERPROFILE%\AppData\Local\Temp\OnboardLogs" /stypes="app*4027*20160917*" /stext=" 16:.+((SYSTEM_STATE.+slice.+state.+changed )|(ment ac)|(system.+state.+changed )|(\|lc)|(penalty)|(\[timeout)|(PRM\|1\|D)|(kpr)|(kdp))" /e /r /s</v>
      </c>
      <c r="AG63" s="1" t="str">
        <f t="shared" si="33"/>
        <v>EC</v>
      </c>
      <c r="AH63" s="100" t="str">
        <f t="shared" si="17"/>
        <v>"%USERPROFILE%\Documents\GitHub\eaglep3\Utilities\RefineRTDCRunTimes.py" --tripid 151-17 --locoid 4027 --swversion DE.1.0.7.0 --startMP 204:447 --initTime 2016-09-17T09:53:32 --startdatetime 2016-09-17T10:00:35 --delay 1 --endMP 204:233288 --enddatetime 2016-09-17T10:36:52 --enforcementcount 0 &gt;&gt;C:\Users\stu\Documents\GitHub\eaglep3-reporting\EC\2016-09-17-refined-times.txt</v>
      </c>
      <c r="AI6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ID","value":"151-17"},{"id":16,"name":"Locomotive ID","value":"4027"},{"id":130,"name":"Impact","value":""},{"id":150,"name":"Time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473</v>
      </c>
      <c r="B64" s="7">
        <v>4028</v>
      </c>
      <c r="C64" s="24" t="s">
        <v>106</v>
      </c>
      <c r="D64" s="24" t="s">
        <v>270</v>
      </c>
      <c r="E64" s="15">
        <v>42630.448368055557</v>
      </c>
      <c r="F64" s="15">
        <v>42630.455810185187</v>
      </c>
      <c r="G64" s="7">
        <v>1</v>
      </c>
      <c r="H64" s="15" t="s">
        <v>222</v>
      </c>
      <c r="I64" s="15">
        <v>42630.481874999998</v>
      </c>
      <c r="J64" s="7">
        <v>0</v>
      </c>
      <c r="K64" s="121" t="str">
        <f t="shared" si="19"/>
        <v>4027/4028</v>
      </c>
      <c r="L64" s="24" t="str">
        <f>VLOOKUP(A64,'Trips&amp;Operators'!$C$1:$E$10000,3,FALSE)</f>
        <v>KILLION</v>
      </c>
      <c r="M64" s="6">
        <f t="shared" si="20"/>
        <v>2.6064814810524695E-2</v>
      </c>
      <c r="N64" s="7">
        <f t="shared" si="21"/>
        <v>37.53333332715556</v>
      </c>
      <c r="O64" s="7"/>
      <c r="P64" s="7"/>
      <c r="Q64" s="25"/>
      <c r="R64" s="25"/>
      <c r="S64" s="37">
        <f t="shared" si="22"/>
        <v>1</v>
      </c>
      <c r="T64" s="52" t="str">
        <f t="shared" si="23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09:45:39-0600',mode:absolute,to:'2016-09-17 12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25"/>
        <v>N</v>
      </c>
      <c r="X64" s="168">
        <f t="shared" si="26"/>
        <v>1</v>
      </c>
      <c r="Y64" s="69">
        <f t="shared" si="27"/>
        <v>23.295500000000001</v>
      </c>
      <c r="Z64" s="69">
        <f t="shared" si="28"/>
        <v>1.4999999999999999E-2</v>
      </c>
      <c r="AA64" s="69">
        <f t="shared" si="29"/>
        <v>23.2805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30"/>
        <v>0152-17</v>
      </c>
      <c r="AE64" s="99" t="str">
        <f t="shared" si="31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64" s="96" t="str">
        <f t="shared" si="32"/>
        <v>"C:\Program Files (x86)\AstroGrep\AstroGrep.exe" /spath="%USERPROFILE%\AppData\Local\Temp\OnboardLogs" /stypes="app*4028*20160917*" /stext=" 17:.+((SYSTEM_STATE.+slice.+state.+changed )|(ment ac)|(system.+state.+changed )|(\|lc)|(penalty)|(\[timeout)|(PRM\|1\|D)|(kpr)|(kdp))" /e /r /s</v>
      </c>
      <c r="AG64" s="1" t="str">
        <f t="shared" si="33"/>
        <v>EC</v>
      </c>
      <c r="AH64" s="100" t="str">
        <f t="shared" si="17"/>
        <v>"%USERPROFILE%\Documents\GitHub\eaglep3\Utilities\RefineRTDCRunTimes.py" --tripid 152-17 --locoid 4028 --swversion DE.1.0.7.0 --startMP 204:232955 --initTime 2016-09-17T10:45:39 --startdatetime 2016-09-17T10:56:22 --delay 1 --endMP 204:150 --enddatetime 2016-09-17T11:33:54 --enforcementcount 0 &gt;&gt;C:\Users\stu\Documents\GitHub\eaglep3-reporting\EC\2016-09-17-refined-times.txt</v>
      </c>
      <c r="AI6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ID","value":"152-17"},{"id":16,"name":"Locomotive ID","value":"4028"},{"id":130,"name":"Impact","value":""},{"id":150,"name":"Time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467</v>
      </c>
      <c r="B65" s="7">
        <v>4025</v>
      </c>
      <c r="C65" s="24" t="s">
        <v>106</v>
      </c>
      <c r="D65" s="24" t="s">
        <v>235</v>
      </c>
      <c r="E65" s="15">
        <v>42630.422777777778</v>
      </c>
      <c r="F65" s="15">
        <v>42630.427268518521</v>
      </c>
      <c r="G65" s="7">
        <v>1</v>
      </c>
      <c r="H65" s="15" t="s">
        <v>635</v>
      </c>
      <c r="I65" s="15">
        <v>42630.452094907407</v>
      </c>
      <c r="J65" s="7">
        <v>0</v>
      </c>
      <c r="K65" s="121" t="str">
        <f t="shared" si="19"/>
        <v>4025/4026</v>
      </c>
      <c r="L65" s="24" t="str">
        <f>VLOOKUP(A65,'Trips&amp;Operators'!$C$1:$E$10000,3,FALSE)</f>
        <v>GEBRETEKLE</v>
      </c>
      <c r="M65" s="6">
        <f t="shared" si="20"/>
        <v>2.4826388886140194E-2</v>
      </c>
      <c r="N65" s="7">
        <f t="shared" si="21"/>
        <v>35.749999996041879</v>
      </c>
      <c r="O65" s="7"/>
      <c r="P65" s="7"/>
      <c r="Q65" s="25"/>
      <c r="R65" s="25"/>
      <c r="S65" s="37">
        <f t="shared" si="22"/>
        <v>1</v>
      </c>
      <c r="T65" s="52" t="str">
        <f t="shared" si="23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09:08:48-0600',mode:absolute,to:'2016-09-17 11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5" s="54" t="str">
        <f t="shared" si="25"/>
        <v>N</v>
      </c>
      <c r="X65" s="168">
        <f t="shared" si="26"/>
        <v>1</v>
      </c>
      <c r="Y65" s="69">
        <f t="shared" si="27"/>
        <v>4.6399999999999997E-2</v>
      </c>
      <c r="Z65" s="69">
        <f t="shared" si="28"/>
        <v>23.324000000000002</v>
      </c>
      <c r="AA65" s="69">
        <f t="shared" si="29"/>
        <v>23.277600000000003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30"/>
        <v>0153-17</v>
      </c>
      <c r="AE65" s="99" t="str">
        <f t="shared" si="31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65" s="96" t="str">
        <f t="shared" si="32"/>
        <v>"C:\Program Files (x86)\AstroGrep\AstroGrep.exe" /spath="%USERPROFILE%\AppData\Local\Temp\OnboardLogs" /stypes="app*4025*20160917*" /stext=" 16:.+((SYSTEM_STATE.+slice.+state.+changed )|(ment ac)|(system.+state.+changed )|(\|lc)|(penalty)|(\[timeout)|(PRM\|1\|D)|(kpr)|(kdp))" /e /r /s</v>
      </c>
      <c r="AG65" s="1" t="str">
        <f t="shared" si="33"/>
        <v>EC</v>
      </c>
      <c r="AH65" s="100" t="str">
        <f t="shared" si="17"/>
        <v>"%USERPROFILE%\Documents\GitHub\eaglep3\Utilities\RefineRTDCRunTimes.py" --tripid 153-17 --locoid 4025 --swversion DE.1.0.7.0 --startMP 204:464 --initTime 2016-09-17T10:08:48 --startdatetime 2016-09-17T10:15:16 --delay 1 --endMP 204:233240 --enddatetime 2016-09-17T10:51:01 --enforcementcount 0 &gt;&gt;C:\Users\stu\Documents\GitHub\eaglep3-reporting\EC\2016-09-17-refined-times.txt</v>
      </c>
      <c r="AI6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{"issue":{"subject":"","project_id":79,"tracker_id":40,"status_id":1,"priority_id":2,"assigned_to_id":23,"start_date":"2016-09-17","description":"","custom_fields":[{"id":1,"name":"Subdivision","value":"EC"},{"id":4,"name":"Milepost","value":"23.324"},{"id":17,"name":"Train ID","value":"153-17"},{"id":16,"name":"Locomotive ID","value":"4025"},{"id":130,"name":"Impact","value":""},{"id":150,"name":"Time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477</v>
      </c>
      <c r="B66" s="7">
        <v>4026</v>
      </c>
      <c r="C66" s="24" t="s">
        <v>106</v>
      </c>
      <c r="D66" s="24" t="s">
        <v>367</v>
      </c>
      <c r="E66" s="15">
        <v>42630.461678240739</v>
      </c>
      <c r="F66" s="15">
        <v>42630.466145833336</v>
      </c>
      <c r="G66" s="7">
        <v>1</v>
      </c>
      <c r="H66" s="15" t="s">
        <v>238</v>
      </c>
      <c r="I66" s="15">
        <v>42630.492754629631</v>
      </c>
      <c r="J66" s="7">
        <v>0</v>
      </c>
      <c r="K66" s="121" t="str">
        <f t="shared" si="19"/>
        <v>4025/4026</v>
      </c>
      <c r="L66" s="24" t="str">
        <f>VLOOKUP(A66,'Trips&amp;Operators'!$C$1:$E$10000,3,FALSE)</f>
        <v>GEBRETEKLE</v>
      </c>
      <c r="M66" s="6">
        <f t="shared" si="20"/>
        <v>2.6608796295477077E-2</v>
      </c>
      <c r="N66" s="7">
        <f t="shared" si="21"/>
        <v>38.316666665486991</v>
      </c>
      <c r="O66" s="7"/>
      <c r="P66" s="7"/>
      <c r="Q66" s="25"/>
      <c r="R66" s="25"/>
      <c r="S66" s="37">
        <f t="shared" si="22"/>
        <v>1</v>
      </c>
      <c r="T66" s="52" t="str">
        <f t="shared" si="23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10:04:49-0600',mode:absolute,to:'2016-09-17 12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6" s="54" t="str">
        <f t="shared" si="25"/>
        <v>N</v>
      </c>
      <c r="X66" s="168">
        <f t="shared" si="26"/>
        <v>1</v>
      </c>
      <c r="Y66" s="69">
        <f t="shared" si="27"/>
        <v>23.293800000000001</v>
      </c>
      <c r="Z66" s="69">
        <f t="shared" si="28"/>
        <v>1.41E-2</v>
      </c>
      <c r="AA66" s="69">
        <f t="shared" si="29"/>
        <v>23.279700000000002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30"/>
        <v>0154-17</v>
      </c>
      <c r="AE66" s="99" t="str">
        <f t="shared" si="31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66" s="96" t="str">
        <f t="shared" si="32"/>
        <v>"C:\Program Files (x86)\AstroGrep\AstroGrep.exe" /spath="%USERPROFILE%\AppData\Local\Temp\OnboardLogs" /stypes="app*4026*20160917*" /stext=" 17:.+((SYSTEM_STATE.+slice.+state.+changed )|(ment ac)|(system.+state.+changed )|(\|lc)|(penalty)|(\[timeout)|(PRM\|1\|D)|(kpr)|(kdp))" /e /r /s</v>
      </c>
      <c r="AG66" s="1" t="str">
        <f t="shared" si="33"/>
        <v>EC</v>
      </c>
      <c r="AH66" s="100" t="str">
        <f t="shared" si="17"/>
        <v>"%USERPROFILE%\Documents\GitHub\eaglep3\Utilities\RefineRTDCRunTimes.py" --tripid 154-17 --locoid 4026 --swversion DE.1.0.7.0 --startMP 204:232938 --initTime 2016-09-17T11:04:49 --startdatetime 2016-09-17T11:11:15 --delay 1 --endMP 204:141 --enddatetime 2016-09-17T11:49:34 --enforcementcount 0 &gt;&gt;C:\Users\stu\Documents\GitHub\eaglep3-reporting\EC\2016-09-17-refined-times.txt</v>
      </c>
      <c r="AI6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ID","value":"154-17"},{"id":16,"name":"Locomotive ID","value":"4026"},{"id":130,"name":"Impact","value":""},{"id":150,"name":"Time of Event (Mountain Time)","value":"11:49:34"},{"id":151,"name":"Denver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469</v>
      </c>
      <c r="B67" s="7">
        <v>4053</v>
      </c>
      <c r="C67" s="24" t="s">
        <v>106</v>
      </c>
      <c r="D67" s="24" t="s">
        <v>310</v>
      </c>
      <c r="E67" s="15">
        <v>42630.433379629627</v>
      </c>
      <c r="F67" s="15">
        <v>42630.437719907408</v>
      </c>
      <c r="G67" s="7">
        <v>1</v>
      </c>
      <c r="H67" s="15" t="s">
        <v>372</v>
      </c>
      <c r="I67" s="15">
        <v>42630.470127314817</v>
      </c>
      <c r="J67" s="7">
        <v>0</v>
      </c>
      <c r="K67" s="121" t="str">
        <f t="shared" si="19"/>
        <v>4053/4054</v>
      </c>
      <c r="L67" s="24" t="str">
        <f>VLOOKUP(A67,'Trips&amp;Operators'!$C$1:$E$10000,3,FALSE)</f>
        <v>CLARK</v>
      </c>
      <c r="M67" s="6">
        <f t="shared" si="20"/>
        <v>3.2407407408754807E-2</v>
      </c>
      <c r="N67" s="7">
        <f t="shared" si="21"/>
        <v>46.666666668606922</v>
      </c>
      <c r="O67" s="7"/>
      <c r="P67" s="7"/>
      <c r="Q67" s="25"/>
      <c r="R67" s="25"/>
      <c r="S67" s="37">
        <f t="shared" si="22"/>
        <v>1</v>
      </c>
      <c r="T67" s="52" t="str">
        <f t="shared" si="23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09:24:04-0600',mode:absolute,to:'2016-09-17 12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7" s="54" t="str">
        <f t="shared" si="25"/>
        <v>N</v>
      </c>
      <c r="X67" s="168">
        <f t="shared" si="26"/>
        <v>1</v>
      </c>
      <c r="Y67" s="69">
        <f t="shared" si="27"/>
        <v>4.7699999999999999E-2</v>
      </c>
      <c r="Z67" s="69">
        <f t="shared" si="28"/>
        <v>23.327200000000001</v>
      </c>
      <c r="AA67" s="69">
        <f t="shared" si="29"/>
        <v>23.279500000000002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30"/>
        <v>0155-17</v>
      </c>
      <c r="AE67" s="99" t="str">
        <f t="shared" si="31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67" s="96" t="str">
        <f t="shared" si="32"/>
        <v>"C:\Program Files (x86)\AstroGrep\AstroGrep.exe" /spath="%USERPROFILE%\AppData\Local\Temp\OnboardLogs" /stypes="app*4053*20160917*" /stext=" 17:.+((SYSTEM_STATE.+slice.+state.+changed )|(ment ac)|(system.+state.+changed )|(\|lc)|(penalty)|(\[timeout)|(PRM\|1\|D)|(kpr)|(kdp))" /e /r /s</v>
      </c>
      <c r="AG67" s="1" t="str">
        <f t="shared" si="33"/>
        <v>EC</v>
      </c>
      <c r="AH67" s="100" t="str">
        <f t="shared" si="17"/>
        <v>"%USERPROFILE%\Documents\GitHub\eaglep3\Utilities\RefineRTDCRunTimes.py" --tripid 155-17 --locoid 4053 --swversion DE.1.0.7.0 --startMP 204:477 --initTime 2016-09-17T10:24:04 --startdatetime 2016-09-17T10:30:19 --delay 1 --endMP 204:233272 --enddatetime 2016-09-17T11:16:59 --enforcementcount 0 &gt;&gt;C:\Users\stu\Documents\GitHub\eaglep3-reporting\EC\2016-09-17-refined-times.txt</v>
      </c>
      <c r="AI6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ID","value":"155-17"},{"id":16,"name":"Locomotive ID","value":"4053"},{"id":130,"name":"Impact","value":""},{"id":150,"name":"Time of Event (Mountain Time)","value":"11:16:59"},{"id":151,"name":"Denver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480</v>
      </c>
      <c r="B68" s="7">
        <v>4054</v>
      </c>
      <c r="C68" s="24" t="s">
        <v>106</v>
      </c>
      <c r="D68" s="24" t="s">
        <v>366</v>
      </c>
      <c r="E68" s="15">
        <v>42630.47388888889</v>
      </c>
      <c r="F68" s="15">
        <v>42630.4765625</v>
      </c>
      <c r="G68" s="7">
        <v>1</v>
      </c>
      <c r="H68" s="15" t="s">
        <v>216</v>
      </c>
      <c r="I68" s="15">
        <v>42630.504351851851</v>
      </c>
      <c r="J68" s="7">
        <v>0</v>
      </c>
      <c r="K68" s="121" t="str">
        <f t="shared" si="19"/>
        <v>4053/4054</v>
      </c>
      <c r="L68" s="24" t="str">
        <f>VLOOKUP(A68,'Trips&amp;Operators'!$C$1:$E$10000,3,FALSE)</f>
        <v>CLARK</v>
      </c>
      <c r="M68" s="6">
        <f t="shared" si="20"/>
        <v>2.7789351850515231E-2</v>
      </c>
      <c r="N68" s="7">
        <f t="shared" si="21"/>
        <v>40.016666664741933</v>
      </c>
      <c r="O68" s="7"/>
      <c r="P68" s="7"/>
      <c r="Q68" s="25"/>
      <c r="R68" s="25"/>
      <c r="S68" s="37">
        <f t="shared" si="22"/>
        <v>1</v>
      </c>
      <c r="T68" s="52" t="str">
        <f t="shared" si="23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10:22:24-0600',mode:absolute,to:'2016-09-17 13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8" s="54" t="str">
        <f t="shared" si="25"/>
        <v>N</v>
      </c>
      <c r="X68" s="168">
        <f t="shared" si="26"/>
        <v>1</v>
      </c>
      <c r="Y68" s="69">
        <f t="shared" si="27"/>
        <v>23.295000000000002</v>
      </c>
      <c r="Z68" s="69">
        <f t="shared" si="28"/>
        <v>1.6E-2</v>
      </c>
      <c r="AA68" s="69">
        <f t="shared" si="29"/>
        <v>23.279000000000003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30"/>
        <v>0156-17</v>
      </c>
      <c r="AE68" s="99" t="str">
        <f t="shared" si="31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68" s="96" t="str">
        <f t="shared" si="32"/>
        <v>"C:\Program Files (x86)\AstroGrep\AstroGrep.exe" /spath="%USERPROFILE%\AppData\Local\Temp\OnboardLogs" /stypes="app*4054*20160917*" /stext=" 18:.+((SYSTEM_STATE.+slice.+state.+changed )|(ment ac)|(system.+state.+changed )|(\|lc)|(penalty)|(\[timeout)|(PRM\|1\|D)|(kpr)|(kdp))" /e /r /s</v>
      </c>
      <c r="AG68" s="1" t="str">
        <f t="shared" si="33"/>
        <v>EC</v>
      </c>
      <c r="AH68" s="100" t="str">
        <f t="shared" si="17"/>
        <v>"%USERPROFILE%\Documents\GitHub\eaglep3\Utilities\RefineRTDCRunTimes.py" --tripid 156-17 --locoid 4054 --swversion DE.1.0.7.0 --startMP 204:232950 --initTime 2016-09-17T11:22:24 --startdatetime 2016-09-17T11:26:15 --delay 1 --endMP 204:160 --enddatetime 2016-09-17T12:06:16 --enforcementcount 0 &gt;&gt;C:\Users\stu\Documents\GitHub\eaglep3-reporting\EC\2016-09-17-refined-times.txt</v>
      </c>
      <c r="AI6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{"issue":{"subject":"","project_id":79,"tracker_id":40,"status_id":1,"priority_id":2,"assigned_to_id":23,"start_date":"2016-09-17","description":"","custom_fields":[{"id":1,"name":"Subdivision","value":"EC"},{"id":4,"name":"Milepost","value":"0.016"},{"id":17,"name":"Train ID","value":"156-17"},{"id":16,"name":"Locomotive ID","value":"4054"},{"id":130,"name":"Impact","value":""},{"id":150,"name":"Time of Event (Mountain Time)","value":"12:06:16"},{"id":151,"name":"Denver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472</v>
      </c>
      <c r="B69" s="7">
        <v>4042</v>
      </c>
      <c r="C69" s="24" t="s">
        <v>106</v>
      </c>
      <c r="D69" s="24" t="s">
        <v>294</v>
      </c>
      <c r="E69" s="15">
        <v>42630.445289351854</v>
      </c>
      <c r="F69" s="15">
        <v>42630.448217592595</v>
      </c>
      <c r="G69" s="7">
        <v>1</v>
      </c>
      <c r="H69" s="15" t="s">
        <v>636</v>
      </c>
      <c r="I69" s="15">
        <v>42630.473854166667</v>
      </c>
      <c r="J69" s="7">
        <v>0</v>
      </c>
      <c r="K69" s="121" t="str">
        <f t="shared" si="19"/>
        <v>4041/4042</v>
      </c>
      <c r="L69" s="24" t="str">
        <f>VLOOKUP(A69,'Trips&amp;Operators'!$C$1:$E$10000,3,FALSE)</f>
        <v>STRICKLAND</v>
      </c>
      <c r="M69" s="6">
        <f t="shared" si="20"/>
        <v>2.5636574071540963E-2</v>
      </c>
      <c r="N69" s="7">
        <f t="shared" si="21"/>
        <v>36.916666663018987</v>
      </c>
      <c r="O69" s="7"/>
      <c r="P69" s="7"/>
      <c r="Q69" s="25"/>
      <c r="R69" s="25"/>
      <c r="S69" s="37">
        <f t="shared" si="22"/>
        <v>1</v>
      </c>
      <c r="T69" s="52" t="str">
        <f t="shared" si="23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09:41:13-0600',mode:absolute,to:'2016-09-17 12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9" s="54" t="str">
        <f t="shared" si="25"/>
        <v>N</v>
      </c>
      <c r="X69" s="168">
        <f t="shared" si="26"/>
        <v>1</v>
      </c>
      <c r="Y69" s="69">
        <f t="shared" si="27"/>
        <v>4.4200000000000003E-2</v>
      </c>
      <c r="Z69" s="69">
        <f t="shared" si="28"/>
        <v>23.320399999999999</v>
      </c>
      <c r="AA69" s="69">
        <f t="shared" si="29"/>
        <v>23.276199999999999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30"/>
        <v>0157-17</v>
      </c>
      <c r="AE69" s="99" t="str">
        <f t="shared" si="31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69" s="96" t="str">
        <f t="shared" si="32"/>
        <v>"C:\Program Files (x86)\AstroGrep\AstroGrep.exe" /spath="%USERPROFILE%\AppData\Local\Temp\OnboardLogs" /stypes="app*4042*20160917*" /stext=" 17:.+((SYSTEM_STATE.+slice.+state.+changed )|(ment ac)|(system.+state.+changed )|(\|lc)|(penalty)|(\[timeout)|(PRM\|1\|D)|(kpr)|(kdp))" /e /r /s</v>
      </c>
      <c r="AG69" s="1" t="str">
        <f t="shared" si="33"/>
        <v>EC</v>
      </c>
      <c r="AH69" s="100" t="str">
        <f t="shared" si="17"/>
        <v>"%USERPROFILE%\Documents\GitHub\eaglep3\Utilities\RefineRTDCRunTimes.py" --tripid 157-17 --locoid 4042 --swversion DE.1.0.7.0 --startMP 204:442 --initTime 2016-09-17T10:41:13 --startdatetime 2016-09-17T10:45:26 --delay 1 --endMP 204:233204 --enddatetime 2016-09-17T11:22:21 --enforcementcount 0 &gt;&gt;C:\Users\stu\Documents\GitHub\eaglep3-reporting\EC\2016-09-17-refined-times.txt</v>
      </c>
      <c r="AI6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{"issue":{"subject":"","project_id":79,"tracker_id":40,"status_id":1,"priority_id":2,"assigned_to_id":23,"start_date":"2016-09-17","description":"","custom_fields":[{"id":1,"name":"Subdivision","value":"EC"},{"id":4,"name":"Milepost","value":"23.3204"},{"id":17,"name":"Train ID","value":"157-17"},{"id":16,"name":"Locomotive ID","value":"4042"},{"id":130,"name":"Impact","value":""},{"id":150,"name":"Time of Event (Mountain Time)","value":"11:22:21"},{"id":151,"name":"Denver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482</v>
      </c>
      <c r="B70" s="7">
        <v>4041</v>
      </c>
      <c r="C70" s="24" t="s">
        <v>106</v>
      </c>
      <c r="D70" s="24" t="s">
        <v>637</v>
      </c>
      <c r="E70" s="15">
        <v>42630.480775462966</v>
      </c>
      <c r="F70" s="15">
        <v>42630.487407407411</v>
      </c>
      <c r="G70" s="7">
        <v>1</v>
      </c>
      <c r="H70" s="15" t="s">
        <v>359</v>
      </c>
      <c r="I70" s="15">
        <v>42630.513969907406</v>
      </c>
      <c r="J70" s="7">
        <v>0</v>
      </c>
      <c r="K70" s="121" t="str">
        <f t="shared" si="19"/>
        <v>4041/4042</v>
      </c>
      <c r="L70" s="24" t="str">
        <f>VLOOKUP(A70,'Trips&amp;Operators'!$C$1:$E$10000,3,FALSE)</f>
        <v>STRICKLAND</v>
      </c>
      <c r="M70" s="6">
        <f t="shared" si="20"/>
        <v>2.6562499995634425E-2</v>
      </c>
      <c r="N70" s="7">
        <f t="shared" si="21"/>
        <v>38.249999993713573</v>
      </c>
      <c r="O70" s="7"/>
      <c r="P70" s="7"/>
      <c r="Q70" s="25"/>
      <c r="R70" s="25"/>
      <c r="S70" s="37">
        <f t="shared" si="22"/>
        <v>1</v>
      </c>
      <c r="T70" s="52" t="str">
        <f t="shared" si="23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10:32:19-0600',mode:absolute,to:'2016-09-17 13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0" s="54" t="str">
        <f t="shared" si="25"/>
        <v>N</v>
      </c>
      <c r="X70" s="168">
        <f t="shared" si="26"/>
        <v>1</v>
      </c>
      <c r="Y70" s="69">
        <f t="shared" si="27"/>
        <v>23.293600000000001</v>
      </c>
      <c r="Z70" s="69">
        <f t="shared" si="28"/>
        <v>1.5599999999999999E-2</v>
      </c>
      <c r="AA70" s="69">
        <f t="shared" si="29"/>
        <v>23.278000000000002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30"/>
        <v>0158-17</v>
      </c>
      <c r="AE70" s="99" t="str">
        <f t="shared" si="31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70" s="96" t="str">
        <f t="shared" si="32"/>
        <v>"C:\Program Files (x86)\AstroGrep\AstroGrep.exe" /spath="%USERPROFILE%\AppData\Local\Temp\OnboardLogs" /stypes="app*4041*20160917*" /stext=" 18:.+((SYSTEM_STATE.+slice.+state.+changed )|(ment ac)|(system.+state.+changed )|(\|lc)|(penalty)|(\[timeout)|(PRM\|1\|D)|(kpr)|(kdp))" /e /r /s</v>
      </c>
      <c r="AG70" s="1" t="str">
        <f t="shared" si="33"/>
        <v>EC</v>
      </c>
      <c r="AH70" s="100" t="str">
        <f t="shared" si="17"/>
        <v>"%USERPROFILE%\Documents\GitHub\eaglep3\Utilities\RefineRTDCRunTimes.py" --tripid 158-17 --locoid 4041 --swversion DE.1.0.7.0 --startMP 204:232936 --initTime 2016-09-17T11:32:19 --startdatetime 2016-09-17T11:41:52 --delay 1 --endMP 204:156 --enddatetime 2016-09-17T12:20:07 --enforcementcount 0 &gt;&gt;C:\Users\stu\Documents\GitHub\eaglep3-reporting\EC\2016-09-17-refined-times.txt</v>
      </c>
      <c r="AI7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ID","value":"158-17"},{"id":16,"name":"Locomotive ID","value":"4041"},{"id":130,"name":"Impact","value":""},{"id":150,"name":"Time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475</v>
      </c>
      <c r="B71" s="7">
        <v>4046</v>
      </c>
      <c r="C71" s="24" t="s">
        <v>106</v>
      </c>
      <c r="D71" s="24" t="s">
        <v>361</v>
      </c>
      <c r="E71" s="15">
        <v>42630.45417824074</v>
      </c>
      <c r="F71" s="15">
        <v>42630.458726851852</v>
      </c>
      <c r="G71" s="7">
        <v>2</v>
      </c>
      <c r="H71" s="15" t="s">
        <v>365</v>
      </c>
      <c r="I71" s="15">
        <v>42630.483831018515</v>
      </c>
      <c r="J71" s="7">
        <v>0</v>
      </c>
      <c r="K71" s="121" t="str">
        <f t="shared" si="19"/>
        <v>4045/4046</v>
      </c>
      <c r="L71" s="24" t="str">
        <f>VLOOKUP(A71,'Trips&amp;Operators'!$C$1:$E$10000,3,FALSE)</f>
        <v>STEWART</v>
      </c>
      <c r="M71" s="6">
        <f t="shared" si="20"/>
        <v>2.5104166663368233E-2</v>
      </c>
      <c r="N71" s="7">
        <f t="shared" si="21"/>
        <v>36.149999995250255</v>
      </c>
      <c r="O71" s="7"/>
      <c r="P71" s="7"/>
      <c r="Q71" s="25"/>
      <c r="R71" s="25"/>
      <c r="S71" s="37">
        <f t="shared" si="22"/>
        <v>1</v>
      </c>
      <c r="T71" s="52" t="str">
        <f t="shared" si="23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09:54:01-0600',mode:absolute,to:'2016-09-17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1" s="54" t="str">
        <f t="shared" si="25"/>
        <v>N</v>
      </c>
      <c r="X71" s="168">
        <f t="shared" si="26"/>
        <v>1</v>
      </c>
      <c r="Y71" s="69">
        <f t="shared" si="27"/>
        <v>4.3999999999999997E-2</v>
      </c>
      <c r="Z71" s="69">
        <f t="shared" si="28"/>
        <v>23.328800000000001</v>
      </c>
      <c r="AA71" s="69">
        <f t="shared" si="29"/>
        <v>23.284800000000001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30"/>
        <v>0159-17</v>
      </c>
      <c r="AE71" s="99" t="str">
        <f t="shared" si="31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71" s="96" t="str">
        <f t="shared" si="32"/>
        <v>"C:\Program Files (x86)\AstroGrep\AstroGrep.exe" /spath="%USERPROFILE%\AppData\Local\Temp\OnboardLogs" /stypes="app*4046*20160917*" /stext=" 17:.+((SYSTEM_STATE.+slice.+state.+changed )|(ment ac)|(system.+state.+changed )|(\|lc)|(penalty)|(\[timeout)|(PRM\|1\|D)|(kpr)|(kdp))" /e /r /s</v>
      </c>
      <c r="AG71" s="1" t="str">
        <f t="shared" si="33"/>
        <v>EC</v>
      </c>
      <c r="AH71" s="100" t="str">
        <f t="shared" si="17"/>
        <v>"%USERPROFILE%\Documents\GitHub\eaglep3\Utilities\RefineRTDCRunTimes.py" --tripid 159-17 --locoid 4046 --swversion DE.1.0.7.0 --startMP 204:440 --initTime 2016-09-17T10:54:01 --startdatetime 2016-09-17T11:00:34 --delay 2 --endMP 204:233288 --enddatetime 2016-09-17T11:36:43 --enforcementcount 0 &gt;&gt;C:\Users\stu\Documents\GitHub\eaglep3-reporting\EC\2016-09-17-refined-times.txt</v>
      </c>
      <c r="AI7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ID","value":"159-17"},{"id":16,"name":"Locomotive ID","value":"4046"},{"id":130,"name":"Impact","value":""},{"id":150,"name":"Time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487</v>
      </c>
      <c r="B72" s="7">
        <v>4045</v>
      </c>
      <c r="C72" s="24" t="s">
        <v>106</v>
      </c>
      <c r="D72" s="24" t="s">
        <v>283</v>
      </c>
      <c r="E72" s="15">
        <v>42630.494421296295</v>
      </c>
      <c r="F72" s="15">
        <v>42630.497465277775</v>
      </c>
      <c r="G72" s="7">
        <v>1</v>
      </c>
      <c r="H72" s="15" t="s">
        <v>269</v>
      </c>
      <c r="I72" s="15">
        <v>42630.523773148147</v>
      </c>
      <c r="J72" s="7">
        <v>0</v>
      </c>
      <c r="K72" s="121" t="str">
        <f t="shared" si="19"/>
        <v>4045/4046</v>
      </c>
      <c r="L72" s="24" t="str">
        <f>VLOOKUP(A72,'Trips&amp;Operators'!$C$1:$E$10000,3,FALSE)</f>
        <v>STEWART</v>
      </c>
      <c r="M72" s="6">
        <f t="shared" si="20"/>
        <v>2.6307870371965691E-2</v>
      </c>
      <c r="N72" s="7">
        <f t="shared" si="21"/>
        <v>37.883333335630596</v>
      </c>
      <c r="O72" s="7"/>
      <c r="P72" s="7"/>
      <c r="Q72" s="25"/>
      <c r="R72" s="25"/>
      <c r="S72" s="37">
        <f t="shared" si="22"/>
        <v>1</v>
      </c>
      <c r="T72" s="52" t="str">
        <f t="shared" si="23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10:51:58-0600',mode:absolute,to:'2016-09-17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2" s="54" t="str">
        <f t="shared" si="25"/>
        <v>N</v>
      </c>
      <c r="X72" s="168">
        <f t="shared" si="26"/>
        <v>1</v>
      </c>
      <c r="Y72" s="69">
        <f t="shared" si="27"/>
        <v>23.2971</v>
      </c>
      <c r="Z72" s="69">
        <f t="shared" si="28"/>
        <v>1.43E-2</v>
      </c>
      <c r="AA72" s="69">
        <f t="shared" si="29"/>
        <v>23.282800000000002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30"/>
        <v>0160-17</v>
      </c>
      <c r="AE72" s="99" t="str">
        <f t="shared" si="31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72" s="96" t="str">
        <f t="shared" si="32"/>
        <v>"C:\Program Files (x86)\AstroGrep\AstroGrep.exe" /spath="%USERPROFILE%\AppData\Local\Temp\OnboardLogs" /stypes="app*4045*20160917*" /stext=" 18:.+((SYSTEM_STATE.+slice.+state.+changed )|(ment ac)|(system.+state.+changed )|(\|lc)|(penalty)|(\[timeout)|(PRM\|1\|D)|(kpr)|(kdp))" /e /r /s</v>
      </c>
      <c r="AG72" s="1" t="str">
        <f t="shared" si="33"/>
        <v>EC</v>
      </c>
      <c r="AH72" s="100" t="str">
        <f t="shared" si="17"/>
        <v>"%USERPROFILE%\Documents\GitHub\eaglep3\Utilities\RefineRTDCRunTimes.py" --tripid 160-17 --locoid 4045 --swversion DE.1.0.7.0 --startMP 204:232971 --initTime 2016-09-17T11:51:58 --startdatetime 2016-09-17T11:56:21 --delay 1 --endMP 204:143 --enddatetime 2016-09-17T12:34:14 --enforcementcount 0 &gt;&gt;C:\Users\stu\Documents\GitHub\eaglep3-reporting\EC\2016-09-17-refined-times.txt</v>
      </c>
      <c r="AI7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ID","value":"160-17"},{"id":16,"name":"Locomotive ID","value":"4045"},{"id":130,"name":"Impact","value":""},{"id":150,"name":"Time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478</v>
      </c>
      <c r="B73" s="7">
        <v>4011</v>
      </c>
      <c r="C73" s="24" t="s">
        <v>106</v>
      </c>
      <c r="D73" s="24" t="s">
        <v>248</v>
      </c>
      <c r="E73" s="15">
        <v>42630.46366898148</v>
      </c>
      <c r="F73" s="15">
        <v>42630.468981481485</v>
      </c>
      <c r="G73" s="7">
        <v>1</v>
      </c>
      <c r="H73" s="15" t="s">
        <v>372</v>
      </c>
      <c r="I73" s="15">
        <v>42630.49417824074</v>
      </c>
      <c r="J73" s="7">
        <v>0</v>
      </c>
      <c r="K73" s="121" t="str">
        <f t="shared" si="19"/>
        <v>4011/4012</v>
      </c>
      <c r="L73" s="24" t="str">
        <f>VLOOKUP(A73,'Trips&amp;Operators'!$C$1:$E$10000,3,FALSE)</f>
        <v>BARTLETT</v>
      </c>
      <c r="M73" s="6">
        <f t="shared" si="20"/>
        <v>2.5196759255777579E-2</v>
      </c>
      <c r="N73" s="7">
        <f t="shared" si="21"/>
        <v>36.283333328319713</v>
      </c>
      <c r="O73" s="7"/>
      <c r="P73" s="7"/>
      <c r="Q73" s="25"/>
      <c r="R73" s="25"/>
      <c r="S73" s="37">
        <f t="shared" si="22"/>
        <v>1</v>
      </c>
      <c r="T73" s="52" t="str">
        <f t="shared" si="23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10:07:41-0600',mode:absolute,to:'2016-09-17 12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3" s="54" t="str">
        <f t="shared" si="25"/>
        <v>N</v>
      </c>
      <c r="X73" s="168">
        <f t="shared" si="26"/>
        <v>1</v>
      </c>
      <c r="Y73" s="69">
        <f t="shared" si="27"/>
        <v>4.4900000000000002E-2</v>
      </c>
      <c r="Z73" s="69">
        <f t="shared" si="28"/>
        <v>23.327200000000001</v>
      </c>
      <c r="AA73" s="69">
        <f t="shared" si="29"/>
        <v>23.282300000000003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30"/>
        <v>0161-17</v>
      </c>
      <c r="AE73" s="99" t="str">
        <f t="shared" si="31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73" s="96" t="str">
        <f t="shared" si="32"/>
        <v>"C:\Program Files (x86)\AstroGrep\AstroGrep.exe" /spath="%USERPROFILE%\AppData\Local\Temp\OnboardLogs" /stypes="app*4011*20160917*" /stext=" 17:.+((SYSTEM_STATE.+slice.+state.+changed )|(ment ac)|(system.+state.+changed )|(\|lc)|(penalty)|(\[timeout)|(PRM\|1\|D)|(kpr)|(kdp))" /e /r /s</v>
      </c>
      <c r="AG73" s="1" t="str">
        <f t="shared" si="33"/>
        <v>EC</v>
      </c>
      <c r="AH73" s="100" t="str">
        <f t="shared" si="17"/>
        <v>"%USERPROFILE%\Documents\GitHub\eaglep3\Utilities\RefineRTDCRunTimes.py" --tripid 161-17 --locoid 4011 --swversion DE.1.0.7.0 --startMP 204:449 --initTime 2016-09-17T11:07:41 --startdatetime 2016-09-17T11:15:20 --delay 1 --endMP 204:233272 --enddatetime 2016-09-17T11:51:37 --enforcementcount 0 &gt;&gt;C:\Users\stu\Documents\GitHub\eaglep3-reporting\EC\2016-09-17-refined-times.txt</v>
      </c>
      <c r="AI7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ID","value":"161-17"},{"id":16,"name":"Locomotive ID","value":"4011"},{"id":130,"name":"Impact","value":""},{"id":150,"name":"Time of Event (Mountain Time)","value":"11:51:37"},{"id":151,"name":"Denver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488</v>
      </c>
      <c r="B74" s="7">
        <v>4012</v>
      </c>
      <c r="C74" s="24" t="s">
        <v>106</v>
      </c>
      <c r="D74" s="24" t="s">
        <v>270</v>
      </c>
      <c r="E74" s="15">
        <v>42630.496215277781</v>
      </c>
      <c r="F74" s="15">
        <v>42630.507847222223</v>
      </c>
      <c r="G74" s="7">
        <v>1</v>
      </c>
      <c r="H74" s="15" t="s">
        <v>379</v>
      </c>
      <c r="I74" s="15">
        <v>42630.534548611111</v>
      </c>
      <c r="J74" s="7">
        <v>0</v>
      </c>
      <c r="K74" s="121" t="str">
        <f t="shared" si="19"/>
        <v>4011/4012</v>
      </c>
      <c r="L74" s="24" t="str">
        <f>VLOOKUP(A74,'Trips&amp;Operators'!$C$1:$E$10000,3,FALSE)</f>
        <v>BARTLETT</v>
      </c>
      <c r="M74" s="6">
        <f t="shared" si="20"/>
        <v>2.6701388887886424E-2</v>
      </c>
      <c r="N74" s="7">
        <f t="shared" si="21"/>
        <v>38.44999999855645</v>
      </c>
      <c r="O74" s="7"/>
      <c r="P74" s="7"/>
      <c r="Q74" s="25"/>
      <c r="R74" s="25"/>
      <c r="S74" s="37">
        <f t="shared" si="22"/>
        <v>1</v>
      </c>
      <c r="T74" s="52" t="str">
        <f t="shared" si="23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10:54:33-0600',mode:absolute,to:'2016-09-17 13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4" s="54" t="str">
        <f t="shared" si="25"/>
        <v>N</v>
      </c>
      <c r="X74" s="168">
        <f t="shared" si="26"/>
        <v>1</v>
      </c>
      <c r="Y74" s="69">
        <f t="shared" si="27"/>
        <v>23.295500000000001</v>
      </c>
      <c r="Z74" s="69">
        <f t="shared" si="28"/>
        <v>1.67E-2</v>
      </c>
      <c r="AA74" s="69">
        <f t="shared" si="29"/>
        <v>23.2788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30"/>
        <v>0162-17</v>
      </c>
      <c r="AE74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74" s="96" t="str">
        <f t="shared" si="32"/>
        <v>"C:\Program Files (x86)\AstroGrep\AstroGrep.exe" /spath="%USERPROFILE%\AppData\Local\Temp\OnboardLogs" /stypes="app*4012*20160917*" /stext=" 18:.+((SYSTEM_STATE.+slice.+state.+changed )|(ment ac)|(system.+state.+changed )|(\|lc)|(penalty)|(\[timeout)|(PRM\|1\|D)|(kpr)|(kdp))" /e /r /s</v>
      </c>
      <c r="AG74" s="1" t="str">
        <f t="shared" si="33"/>
        <v>EC</v>
      </c>
      <c r="AH74" s="100" t="str">
        <f t="shared" si="17"/>
        <v>"%USERPROFILE%\Documents\GitHub\eaglep3\Utilities\RefineRTDCRunTimes.py" --tripid 162-17 --locoid 4012 --swversion DE.1.0.7.0 --startMP 204:232955 --initTime 2016-09-17T11:54:33 --startdatetime 2016-09-17T12:11:18 --delay 1 --endMP 204:167 --enddatetime 2016-09-17T12:49:45 --enforcementcount 0 &gt;&gt;C:\Users\stu\Documents\GitHub\eaglep3-reporting\EC\2016-09-17-refined-times.txt</v>
      </c>
      <c r="AI7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ID","value":"162-17"},{"id":16,"name":"Locomotive ID","value":"4012"},{"id":130,"name":"Impact","value":""},{"id":150,"name":"Time of Event (Mountain Time)","value":"12:49:45"},{"id":151,"name":"Denver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481</v>
      </c>
      <c r="B75" s="7">
        <v>4040</v>
      </c>
      <c r="C75" s="24" t="s">
        <v>106</v>
      </c>
      <c r="D75" s="24" t="s">
        <v>263</v>
      </c>
      <c r="E75" s="15">
        <v>42630.476168981484</v>
      </c>
      <c r="F75" s="15">
        <v>42630.479398148149</v>
      </c>
      <c r="G75" s="7">
        <v>1</v>
      </c>
      <c r="H75" s="15" t="s">
        <v>378</v>
      </c>
      <c r="I75" s="15">
        <v>42630.504224537035</v>
      </c>
      <c r="J75" s="7">
        <v>0</v>
      </c>
      <c r="K75" s="121" t="str">
        <f t="shared" si="19"/>
        <v>4039/4040</v>
      </c>
      <c r="L75" s="24" t="str">
        <f>VLOOKUP(A75,'Trips&amp;Operators'!$C$1:$E$10000,3,FALSE)</f>
        <v>MOSES</v>
      </c>
      <c r="M75" s="6">
        <f t="shared" si="20"/>
        <v>2.4826388886140194E-2</v>
      </c>
      <c r="N75" s="7">
        <f t="shared" si="21"/>
        <v>35.749999996041879</v>
      </c>
      <c r="O75" s="7"/>
      <c r="P75" s="7"/>
      <c r="Q75" s="25"/>
      <c r="R75" s="25"/>
      <c r="S75" s="37">
        <f t="shared" si="22"/>
        <v>1</v>
      </c>
      <c r="T75" s="52" t="str">
        <f t="shared" si="23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10:25:41-0600',mode:absolute,to:'2016-09-17 13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 t="shared" si="25"/>
        <v>N</v>
      </c>
      <c r="X75" s="168">
        <f t="shared" si="26"/>
        <v>1</v>
      </c>
      <c r="Y75" s="69">
        <f t="shared" si="27"/>
        <v>4.6199999999999998E-2</v>
      </c>
      <c r="Z75" s="69">
        <f t="shared" si="28"/>
        <v>23.332799999999999</v>
      </c>
      <c r="AA75" s="69">
        <f t="shared" si="29"/>
        <v>23.2866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30"/>
        <v>0163-17</v>
      </c>
      <c r="AE75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75" s="96" t="str">
        <f t="shared" si="32"/>
        <v>"C:\Program Files (x86)\AstroGrep\AstroGrep.exe" /spath="%USERPROFILE%\AppData\Local\Temp\OnboardLogs" /stypes="app*4040*20160917*" /stext=" 18:.+((SYSTEM_STATE.+slice.+state.+changed )|(ment ac)|(system.+state.+changed )|(\|lc)|(penalty)|(\[timeout)|(PRM\|1\|D)|(kpr)|(kdp))" /e /r /s</v>
      </c>
      <c r="AG75" s="1" t="str">
        <f t="shared" si="33"/>
        <v>EC</v>
      </c>
      <c r="AH75" s="100" t="str">
        <f t="shared" si="17"/>
        <v>"%USERPROFILE%\Documents\GitHub\eaglep3\Utilities\RefineRTDCRunTimes.py" --tripid 163-17 --locoid 4040 --swversion DE.1.0.7.0 --startMP 204:462 --initTime 2016-09-17T11:25:41 --startdatetime 2016-09-17T11:30:20 --delay 1 --endMP 204:233328 --enddatetime 2016-09-17T12:06:05 --enforcementcount 0 &gt;&gt;C:\Users\stu\Documents\GitHub\eaglep3-reporting\EC\2016-09-17-refined-times.txt</v>
      </c>
      <c r="AI7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ID","value":"163-17"},{"id":16,"name":"Locomotive ID","value":"4040"},{"id":130,"name":"Impact","value":""},{"id":150,"name":"Time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493</v>
      </c>
      <c r="B76" s="7">
        <v>4039</v>
      </c>
      <c r="C76" s="24" t="s">
        <v>106</v>
      </c>
      <c r="D76" s="24" t="s">
        <v>245</v>
      </c>
      <c r="E76" s="15">
        <v>42630.514722222222</v>
      </c>
      <c r="F76" s="15">
        <v>42630.518275462964</v>
      </c>
      <c r="G76" s="7">
        <v>2</v>
      </c>
      <c r="H76" s="15" t="s">
        <v>238</v>
      </c>
      <c r="I76" s="15">
        <v>42630.545486111114</v>
      </c>
      <c r="J76" s="7">
        <v>0</v>
      </c>
      <c r="K76" s="121" t="str">
        <f t="shared" si="19"/>
        <v>4039/4040</v>
      </c>
      <c r="L76" s="24" t="str">
        <f>VLOOKUP(A76,'Trips&amp;Operators'!$C$1:$E$10000,3,FALSE)</f>
        <v>MOSES</v>
      </c>
      <c r="M76" s="6">
        <f t="shared" si="20"/>
        <v>2.7210648149775807E-2</v>
      </c>
      <c r="N76" s="7">
        <f t="shared" si="21"/>
        <v>39.183333335677162</v>
      </c>
      <c r="O76" s="7"/>
      <c r="P76" s="7"/>
      <c r="Q76" s="25"/>
      <c r="R76" s="25"/>
      <c r="S76" s="37">
        <f t="shared" si="22"/>
        <v>1</v>
      </c>
      <c r="T76" s="52" t="str">
        <f t="shared" si="23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11:21:12-0600',mode:absolute,to:'2016-09-17 14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 t="shared" si="25"/>
        <v>N</v>
      </c>
      <c r="X76" s="168">
        <f t="shared" si="26"/>
        <v>1</v>
      </c>
      <c r="Y76" s="69">
        <f t="shared" si="27"/>
        <v>23.299399999999999</v>
      </c>
      <c r="Z76" s="69">
        <f t="shared" si="28"/>
        <v>1.41E-2</v>
      </c>
      <c r="AA76" s="69">
        <f t="shared" si="29"/>
        <v>23.285299999999999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30"/>
        <v>0164-17</v>
      </c>
      <c r="AE76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76" s="96" t="str">
        <f t="shared" si="32"/>
        <v>"C:\Program Files (x86)\AstroGrep\AstroGrep.exe" /spath="%USERPROFILE%\AppData\Local\Temp\OnboardLogs" /stypes="app*4039*20160917*" /stext=" 19:.+((SYSTEM_STATE.+slice.+state.+changed )|(ment ac)|(system.+state.+changed )|(\|lc)|(penalty)|(\[timeout)|(PRM\|1\|D)|(kpr)|(kdp))" /e /r /s</v>
      </c>
      <c r="AG76" s="1" t="str">
        <f t="shared" si="33"/>
        <v>EC</v>
      </c>
      <c r="AH76" s="100" t="str">
        <f t="shared" si="17"/>
        <v>"%USERPROFILE%\Documents\GitHub\eaglep3\Utilities\RefineRTDCRunTimes.py" --tripid 164-17 --locoid 4039 --swversion DE.1.0.7.0 --startMP 204:232994 --initTime 2016-09-17T12:21:12 --startdatetime 2016-09-17T12:26:19 --delay 2 --endMP 204:141 --enddatetime 2016-09-17T13:05:30 --enforcementcount 0 &gt;&gt;C:\Users\stu\Documents\GitHub\eaglep3-reporting\EC\2016-09-17-refined-times.txt</v>
      </c>
      <c r="AI7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ID","value":"164-17"},{"id":16,"name":"Locomotive ID","value":"4039"},{"id":130,"name":"Impact","value":""},{"id":150,"name":"Time of Event (Mountain Time)","value":"13:05:30"},{"id":151,"name":"Denver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485</v>
      </c>
      <c r="B77" s="7">
        <v>4027</v>
      </c>
      <c r="C77" s="24" t="s">
        <v>106</v>
      </c>
      <c r="D77" s="24" t="s">
        <v>221</v>
      </c>
      <c r="E77" s="15">
        <v>42630.483773148146</v>
      </c>
      <c r="F77" s="15">
        <v>42630.489768518521</v>
      </c>
      <c r="G77" s="7">
        <v>1</v>
      </c>
      <c r="H77" s="15" t="s">
        <v>638</v>
      </c>
      <c r="I77" s="15">
        <v>42630.515416666669</v>
      </c>
      <c r="J77" s="7">
        <v>0</v>
      </c>
      <c r="K77" s="121" t="str">
        <f t="shared" ref="K77:K108" si="34">IF(ISEVEN(B77),(B77-1)&amp;"/"&amp;B77,B77&amp;"/"&amp;(B77+1))</f>
        <v>4027/4028</v>
      </c>
      <c r="L77" s="24" t="str">
        <f>VLOOKUP(A77,'Trips&amp;Operators'!$C$1:$E$10000,3,FALSE)</f>
        <v>SHOOK</v>
      </c>
      <c r="M77" s="6">
        <f t="shared" ref="M77:M108" si="35">I77-F77</f>
        <v>2.5648148148320615E-2</v>
      </c>
      <c r="N77" s="7">
        <f t="shared" ref="N77:N110" si="36">24*60*SUM($M77:$M77)</f>
        <v>36.933333333581686</v>
      </c>
      <c r="O77" s="7"/>
      <c r="P77" s="7"/>
      <c r="Q77" s="25"/>
      <c r="R77" s="25"/>
      <c r="S77" s="37">
        <f t="shared" ref="S77:S108" si="37">SUM(U77:U77)/IF(AG77="EC",12,1)</f>
        <v>1</v>
      </c>
      <c r="T77" s="52" t="str">
        <f t="shared" ref="T77:T108" si="3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https://search-rtdc-monitor-bjffxe2xuh6vdkpspy63sjmuny.us-east-1.es.amazonaws.com/_plugin/kibana/#/discover/Steve-Slow-Train-Analysis-(2080s-and-2083s)?_g=(refreshInterval:(display:Off,section:0,value:0),time:(from:'2016-09-17 10:36:38-0600',mode:absolute,to:'2016-09-17 13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08" si="40">IF(AA77&lt;IF(AG77="EC",23,5.65),"Y","N")</f>
        <v>N</v>
      </c>
      <c r="X77" s="168">
        <f t="shared" ref="X77:X108" si="41">VALUE(LEFT(AD77,4))-VALUE(LEFT(AD76,4))</f>
        <v>1</v>
      </c>
      <c r="Y77" s="69">
        <f t="shared" ref="Y77:Y108" si="42">RIGHT(D77,LEN(D77)-4)/10000</f>
        <v>4.53E-2</v>
      </c>
      <c r="Z77" s="69">
        <f t="shared" ref="Z77:Z108" si="43">RIGHT(H77,LEN(H77)-4)/10000</f>
        <v>23.319800000000001</v>
      </c>
      <c r="AA77" s="69">
        <f t="shared" ref="AA77:AA108" si="44">ABS(Z77-Y77)</f>
        <v>23.2745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5">IF(LEN(A77)=6,"0"&amp;A77,A77)</f>
        <v>0165-17</v>
      </c>
      <c r="AE77" s="99" t="str">
        <f t="shared" ref="AE77:AE108" si="46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77" s="96" t="str">
        <f t="shared" ref="AF77:AF108" si="4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/stypes="app*4027*20160917*" /stext=" 18:.+((SYSTEM_STATE.+slice.+state.+changed )|(ment ac)|(system.+state.+changed )|(\|lc)|(penalty)|(\[timeout)|(PRM\|1\|D)|(kpr)|(kdp))" /e /r /s</v>
      </c>
      <c r="AG77" s="1" t="str">
        <f t="shared" ref="AG77:AG108" si="48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165-17 --locoid 4027 --swversion DE.1.0.7.0 --startMP 204:453 --initTime 2016-09-17T11:36:38 --startdatetime 2016-09-17T11:45:16 --delay 1 --endMP 204:233198 --enddatetime 2016-09-17T12:22:12 --enforcementcount 0 &gt;&gt;C:\Users\stu\Documents\GitHub\eaglep3-reporting\EC\2016-09-17-refined-times.txt</v>
      </c>
      <c r="AI7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{"issue":{"subject":"","project_id":79,"tracker_id":40,"status_id":1,"priority_id":2,"assigned_to_id":23,"start_date":"2016-09-17","description":"","custom_fields":[{"id":1,"name":"Subdivision","value":"EC"},{"id":4,"name":"Milepost","value":"23.3198"},{"id":17,"name":"Train ID","value":"165-17"},{"id":16,"name":"Locomotive ID","value":"4027"},{"id":130,"name":"Impact","value":""},{"id":150,"name":"Time of Event (Mountain Time)","value":"12:22:12"},{"id":151,"name":"Denver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495</v>
      </c>
      <c r="B78" s="7">
        <v>4028</v>
      </c>
      <c r="C78" s="24" t="s">
        <v>106</v>
      </c>
      <c r="D78" s="24" t="s">
        <v>639</v>
      </c>
      <c r="E78" s="15">
        <v>42630.5234375</v>
      </c>
      <c r="F78" s="15">
        <v>42630.528680555559</v>
      </c>
      <c r="G78" s="7">
        <v>1</v>
      </c>
      <c r="H78" s="15" t="s">
        <v>215</v>
      </c>
      <c r="I78" s="15">
        <v>42630.555127314816</v>
      </c>
      <c r="J78" s="7">
        <v>0</v>
      </c>
      <c r="K78" s="121" t="str">
        <f t="shared" si="34"/>
        <v>4027/4028</v>
      </c>
      <c r="L78" s="24" t="str">
        <f>VLOOKUP(A78,'Trips&amp;Operators'!$C$1:$E$10000,3,FALSE)</f>
        <v>SHOOK</v>
      </c>
      <c r="M78" s="6">
        <f t="shared" si="35"/>
        <v>2.6446759256941732E-2</v>
      </c>
      <c r="N78" s="7">
        <f t="shared" si="36"/>
        <v>38.083333329996094</v>
      </c>
      <c r="O78" s="7"/>
      <c r="P78" s="7"/>
      <c r="Q78" s="25"/>
      <c r="R78" s="25"/>
      <c r="S78" s="37">
        <f t="shared" si="37"/>
        <v>1</v>
      </c>
      <c r="T78" s="52" t="str">
        <f t="shared" si="3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11:33:45-0600',mode:absolute,to:'2016-09-17 14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40"/>
        <v>N</v>
      </c>
      <c r="X78" s="168">
        <f t="shared" si="41"/>
        <v>1</v>
      </c>
      <c r="Y78" s="69">
        <f t="shared" si="42"/>
        <v>23.2883</v>
      </c>
      <c r="Z78" s="69">
        <f t="shared" si="43"/>
        <v>1.49E-2</v>
      </c>
      <c r="AA78" s="69">
        <f t="shared" si="44"/>
        <v>23.273399999999999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5"/>
        <v>0166-17</v>
      </c>
      <c r="AE78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78" s="96" t="str">
        <f t="shared" si="47"/>
        <v>"C:\Program Files (x86)\AstroGrep\AstroGrep.exe" /spath="%USERPROFILE%\AppData\Local\Temp\OnboardLogs" /stypes="app*4028*20160917*" /stext=" 19:.+((SYSTEM_STATE.+slice.+state.+changed )|(ment ac)|(system.+state.+changed )|(\|lc)|(penalty)|(\[timeout)|(PRM\|1\|D)|(kpr)|(kdp))" /e /r /s</v>
      </c>
      <c r="AG78" s="1" t="str">
        <f t="shared" si="48"/>
        <v>EC</v>
      </c>
      <c r="AH78" s="100" t="str">
        <f t="shared" ref="AH78:AH140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4028 --swversion DE.1.0.7.0 --startMP 204:232883 --initTime 2016-09-17T12:33:45 --startdatetime 2016-09-17T12:41:18 --delay 1 --endMP 204:149 --enddatetime 2016-09-17T13:19:23 --enforcementcount 0 &gt;&gt;C:\Users\stu\Documents\GitHub\eaglep3-reporting\EC\2016-09-17-refined-times.txt</v>
      </c>
      <c r="AI78" s="134" t="str">
        <f t="shared" ref="AI78:AI140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ID","value":"166-17"},{"id":16,"name":"Locomotive ID","value":"4028"},{"id":130,"name":"Impact","value":""},{"id":150,"name":"Time of Event (Mountain Time)","value":"13:19:23"},{"id":151,"name":"Denver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490</v>
      </c>
      <c r="B79" s="7">
        <v>4025</v>
      </c>
      <c r="C79" s="24" t="s">
        <v>106</v>
      </c>
      <c r="D79" s="24" t="s">
        <v>374</v>
      </c>
      <c r="E79" s="15">
        <v>42630.496736111112</v>
      </c>
      <c r="F79" s="15">
        <v>42630.500219907408</v>
      </c>
      <c r="G79" s="7">
        <v>4</v>
      </c>
      <c r="H79" s="15" t="s">
        <v>640</v>
      </c>
      <c r="I79" s="15">
        <v>42630.525578703702</v>
      </c>
      <c r="J79" s="7">
        <v>0</v>
      </c>
      <c r="K79" s="121" t="str">
        <f t="shared" si="34"/>
        <v>4025/4026</v>
      </c>
      <c r="L79" s="24" t="str">
        <f>VLOOKUP(A79,'Trips&amp;Operators'!$C$1:$E$10000,3,FALSE)</f>
        <v>BRUDER</v>
      </c>
      <c r="M79" s="6">
        <f t="shared" si="35"/>
        <v>2.5358796294312924E-2</v>
      </c>
      <c r="N79" s="7">
        <f t="shared" si="36"/>
        <v>36.516666663810611</v>
      </c>
      <c r="O79" s="7"/>
      <c r="P79" s="7"/>
      <c r="Q79" s="25"/>
      <c r="R79" s="25"/>
      <c r="S79" s="37">
        <f t="shared" si="37"/>
        <v>1</v>
      </c>
      <c r="T79" s="52" t="str">
        <f t="shared" si="3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10:55:18-0600',mode:absolute,to:'2016-09-17 13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9" s="54" t="str">
        <f t="shared" si="40"/>
        <v>N</v>
      </c>
      <c r="X79" s="168">
        <f t="shared" si="41"/>
        <v>1</v>
      </c>
      <c r="Y79" s="69">
        <f t="shared" si="42"/>
        <v>4.3799999999999999E-2</v>
      </c>
      <c r="Z79" s="69">
        <f t="shared" si="43"/>
        <v>23.328900000000001</v>
      </c>
      <c r="AA79" s="69">
        <f t="shared" si="44"/>
        <v>23.2851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5"/>
        <v>0167-17</v>
      </c>
      <c r="AE79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79" s="96" t="str">
        <f t="shared" si="47"/>
        <v>"C:\Program Files (x86)\AstroGrep\AstroGrep.exe" /spath="%USERPROFILE%\AppData\Local\Temp\OnboardLogs" /stypes="app*4025*20160917*" /stext=" 18:.+((SYSTEM_STATE.+slice.+state.+changed )|(ment ac)|(system.+state.+changed )|(\|lc)|(penalty)|(\[timeout)|(PRM\|1\|D)|(kpr)|(kdp))" /e /r /s</v>
      </c>
      <c r="AG79" s="1" t="str">
        <f t="shared" si="48"/>
        <v>EC</v>
      </c>
      <c r="AH79" s="100" t="str">
        <f t="shared" si="49"/>
        <v>"%USERPROFILE%\Documents\GitHub\eaglep3\Utilities\RefineRTDCRunTimes.py" --tripid 167-17 --locoid 4025 --swversion DE.1.0.7.0 --startMP 204:438 --initTime 2016-09-17T11:55:18 --startdatetime 2016-09-17T12:00:19 --delay 4 --endMP 204:233289 --enddatetime 2016-09-17T12:36:50 --enforcementcount 0 &gt;&gt;C:\Users\stu\Documents\GitHub\eaglep3-reporting\EC\2016-09-17-refined-times.txt</v>
      </c>
      <c r="AI7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{"issue":{"subject":"","project_id":79,"tracker_id":40,"status_id":1,"priority_id":2,"assigned_to_id":23,"start_date":"2016-09-17","description":"","custom_fields":[{"id":1,"name":"Subdivision","value":"EC"},{"id":4,"name":"Milepost","value":"23.3289"},{"id":17,"name":"Train ID","value":"167-17"},{"id":16,"name":"Locomotive ID","value":"4025"},{"id":130,"name":"Impact","value":""},{"id":150,"name":"Time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498</v>
      </c>
      <c r="B80" s="7">
        <v>4026</v>
      </c>
      <c r="C80" s="24" t="s">
        <v>106</v>
      </c>
      <c r="D80" s="24" t="s">
        <v>357</v>
      </c>
      <c r="E80" s="15">
        <v>42630.534733796296</v>
      </c>
      <c r="F80" s="15">
        <v>42630.539085648146</v>
      </c>
      <c r="G80" s="7">
        <v>2</v>
      </c>
      <c r="H80" s="15" t="s">
        <v>220</v>
      </c>
      <c r="I80" s="15">
        <v>42630.565405092595</v>
      </c>
      <c r="J80" s="7">
        <v>0</v>
      </c>
      <c r="K80" s="121" t="str">
        <f t="shared" si="34"/>
        <v>4025/4026</v>
      </c>
      <c r="L80" s="24" t="str">
        <f>VLOOKUP(A80,'Trips&amp;Operators'!$C$1:$E$10000,3,FALSE)</f>
        <v>BRUDER</v>
      </c>
      <c r="M80" s="6">
        <f t="shared" si="35"/>
        <v>2.6319444448745344E-2</v>
      </c>
      <c r="N80" s="7">
        <f t="shared" si="36"/>
        <v>37.900000006193295</v>
      </c>
      <c r="O80" s="7"/>
      <c r="P80" s="7"/>
      <c r="Q80" s="25"/>
      <c r="R80" s="25"/>
      <c r="S80" s="37">
        <f t="shared" si="37"/>
        <v>1</v>
      </c>
      <c r="T80" s="52" t="str">
        <f t="shared" si="3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11:50:01-0600',mode:absolute,to:'2016-09-17 14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0" s="54" t="str">
        <f t="shared" si="40"/>
        <v>N</v>
      </c>
      <c r="X80" s="168">
        <f t="shared" si="41"/>
        <v>1</v>
      </c>
      <c r="Y80" s="69">
        <f t="shared" si="42"/>
        <v>23.296299999999999</v>
      </c>
      <c r="Z80" s="69">
        <f t="shared" si="43"/>
        <v>1.47E-2</v>
      </c>
      <c r="AA80" s="69">
        <f t="shared" si="44"/>
        <v>23.281599999999997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5"/>
        <v>0168-17</v>
      </c>
      <c r="AE80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80" s="96" t="str">
        <f t="shared" si="47"/>
        <v>"C:\Program Files (x86)\AstroGrep\AstroGrep.exe" /spath="%USERPROFILE%\AppData\Local\Temp\OnboardLogs" /stypes="app*4026*20160917*" /stext=" 19:.+((SYSTEM_STATE.+slice.+state.+changed )|(ment ac)|(system.+state.+changed )|(\|lc)|(penalty)|(\[timeout)|(PRM\|1\|D)|(kpr)|(kdp))" /e /r /s</v>
      </c>
      <c r="AG80" s="1" t="str">
        <f t="shared" si="48"/>
        <v>EC</v>
      </c>
      <c r="AH80" s="100" t="str">
        <f t="shared" si="49"/>
        <v>"%USERPROFILE%\Documents\GitHub\eaglep3\Utilities\RefineRTDCRunTimes.py" --tripid 168-17 --locoid 4026 --swversion DE.1.0.7.0 --startMP 204:232963 --initTime 2016-09-17T12:50:01 --startdatetime 2016-09-17T12:56:17 --delay 2 --endMP 204:147 --enddatetime 2016-09-17T13:34:11 --enforcementcount 0 &gt;&gt;C:\Users\stu\Documents\GitHub\eaglep3-reporting\EC\2016-09-17-refined-times.txt</v>
      </c>
      <c r="AI8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ID","value":"168-17"},{"id":16,"name":"Locomotive ID","value":"4026"},{"id":130,"name":"Impact","value":""},{"id":150,"name":"Time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492</v>
      </c>
      <c r="B81" s="7">
        <v>4053</v>
      </c>
      <c r="C81" s="24" t="s">
        <v>106</v>
      </c>
      <c r="D81" s="24" t="s">
        <v>227</v>
      </c>
      <c r="E81" s="15">
        <v>42630.508576388886</v>
      </c>
      <c r="F81" s="15">
        <v>42630.51059027778</v>
      </c>
      <c r="G81" s="7">
        <v>1</v>
      </c>
      <c r="H81" s="15" t="s">
        <v>641</v>
      </c>
      <c r="I81" s="15">
        <v>42630.536261574074</v>
      </c>
      <c r="J81" s="7">
        <v>0</v>
      </c>
      <c r="K81" s="121" t="str">
        <f t="shared" si="34"/>
        <v>4053/4054</v>
      </c>
      <c r="L81" s="24" t="str">
        <f>VLOOKUP(A81,'Trips&amp;Operators'!$C$1:$E$10000,3,FALSE)</f>
        <v>CLARK</v>
      </c>
      <c r="M81" s="6">
        <f t="shared" si="35"/>
        <v>2.5671296294603962E-2</v>
      </c>
      <c r="N81" s="7">
        <f t="shared" si="36"/>
        <v>36.966666664229706</v>
      </c>
      <c r="O81" s="7"/>
      <c r="P81" s="7"/>
      <c r="Q81" s="25"/>
      <c r="R81" s="25"/>
      <c r="S81" s="37">
        <f t="shared" si="37"/>
        <v>1</v>
      </c>
      <c r="T81" s="52" t="str">
        <f t="shared" si="38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11:12:21-0600',mode:absolute,to:'2016-09-17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1" s="54" t="str">
        <f t="shared" si="40"/>
        <v>N</v>
      </c>
      <c r="X81" s="168">
        <f t="shared" si="41"/>
        <v>1</v>
      </c>
      <c r="Y81" s="69">
        <f t="shared" si="42"/>
        <v>4.6600000000000003E-2</v>
      </c>
      <c r="Z81" s="69">
        <f t="shared" si="43"/>
        <v>23.325700000000001</v>
      </c>
      <c r="AA81" s="69">
        <f t="shared" si="44"/>
        <v>23.2791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5"/>
        <v>0169-17</v>
      </c>
      <c r="AE81" s="99" t="str">
        <f t="shared" si="46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81" s="96" t="str">
        <f t="shared" si="47"/>
        <v>"C:\Program Files (x86)\AstroGrep\AstroGrep.exe" /spath="%USERPROFILE%\AppData\Local\Temp\OnboardLogs" /stypes="app*4053*20160917*" /stext=" 18:.+((SYSTEM_STATE.+slice.+state.+changed )|(ment ac)|(system.+state.+changed )|(\|lc)|(penalty)|(\[timeout)|(PRM\|1\|D)|(kpr)|(kdp))" /e /r /s</v>
      </c>
      <c r="AG81" s="1" t="str">
        <f t="shared" si="48"/>
        <v>EC</v>
      </c>
      <c r="AH81" s="100" t="str">
        <f t="shared" si="49"/>
        <v>"%USERPROFILE%\Documents\GitHub\eaglep3\Utilities\RefineRTDCRunTimes.py" --tripid 169-17 --locoid 4053 --swversion DE.1.0.7.0 --startMP 204:466 --initTime 2016-09-17T12:12:21 --startdatetime 2016-09-17T12:15:15 --delay 1 --endMP 204:233257 --enddatetime 2016-09-17T12:52:13 --enforcementcount 0 &gt;&gt;C:\Users\stu\Documents\GitHub\eaglep3-reporting\EC\2016-09-17-refined-times.txt</v>
      </c>
      <c r="AI8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ID","value":"169-17"},{"id":16,"name":"Locomotive ID","value":"4053"},{"id":130,"name":"Impact","value":""},{"id":150,"name":"Time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500</v>
      </c>
      <c r="B82" s="7">
        <v>4054</v>
      </c>
      <c r="C82" s="24" t="s">
        <v>106</v>
      </c>
      <c r="D82" s="24" t="s">
        <v>299</v>
      </c>
      <c r="E82" s="15">
        <v>42630.544930555552</v>
      </c>
      <c r="F82" s="15">
        <v>42630.549490740741</v>
      </c>
      <c r="G82" s="7">
        <v>1</v>
      </c>
      <c r="H82" s="15" t="s">
        <v>295</v>
      </c>
      <c r="I82" s="15">
        <v>42630.577164351853</v>
      </c>
      <c r="J82" s="7">
        <v>0</v>
      </c>
      <c r="K82" s="121" t="str">
        <f t="shared" si="34"/>
        <v>4053/4054</v>
      </c>
      <c r="L82" s="24" t="str">
        <f>VLOOKUP(A82,'Trips&amp;Operators'!$C$1:$E$10000,3,FALSE)</f>
        <v>CLARK</v>
      </c>
      <c r="M82" s="6">
        <f t="shared" si="35"/>
        <v>2.7673611111822538E-2</v>
      </c>
      <c r="N82" s="7">
        <f t="shared" si="36"/>
        <v>39.850000001024455</v>
      </c>
      <c r="O82" s="7"/>
      <c r="P82" s="7"/>
      <c r="Q82" s="25"/>
      <c r="R82" s="25"/>
      <c r="S82" s="37">
        <f t="shared" si="37"/>
        <v>1</v>
      </c>
      <c r="T82" s="52" t="str">
        <f t="shared" si="38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12:04:42-0600',mode:absolute,to:'2016-09-17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2" s="54" t="str">
        <f t="shared" si="40"/>
        <v>N</v>
      </c>
      <c r="X82" s="168">
        <f t="shared" si="41"/>
        <v>1</v>
      </c>
      <c r="Y82" s="69">
        <f t="shared" si="42"/>
        <v>23.293399999999998</v>
      </c>
      <c r="Z82" s="69">
        <f t="shared" si="43"/>
        <v>1.7000000000000001E-2</v>
      </c>
      <c r="AA82" s="69">
        <f t="shared" si="44"/>
        <v>23.276399999999999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5"/>
        <v>0170-17</v>
      </c>
      <c r="AE82" s="99" t="str">
        <f t="shared" si="46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82" s="96" t="str">
        <f t="shared" si="47"/>
        <v>"C:\Program Files (x86)\AstroGrep\AstroGrep.exe" /spath="%USERPROFILE%\AppData\Local\Temp\OnboardLogs" /stypes="app*4054*20160917*" /stext=" 19:.+((SYSTEM_STATE.+slice.+state.+changed )|(ment ac)|(system.+state.+changed )|(\|lc)|(penalty)|(\[timeout)|(PRM\|1\|D)|(kpr)|(kdp))" /e /r /s</v>
      </c>
      <c r="AG82" s="1" t="str">
        <f t="shared" si="48"/>
        <v>EC</v>
      </c>
      <c r="AH82" s="100" t="str">
        <f t="shared" si="49"/>
        <v>"%USERPROFILE%\Documents\GitHub\eaglep3\Utilities\RefineRTDCRunTimes.py" --tripid 170-17 --locoid 4054 --swversion DE.1.0.7.0 --startMP 204:232934 --initTime 2016-09-17T13:04:42 --startdatetime 2016-09-17T13:11:16 --delay 1 --endMP 204:170 --enddatetime 2016-09-17T13:51:07 --enforcementcount 0 &gt;&gt;C:\Users\stu\Documents\GitHub\eaglep3-reporting\EC\2016-09-17-refined-times.txt</v>
      </c>
      <c r="AI8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ID","value":"170-17"},{"id":16,"name":"Locomotive ID","value":"4054"},{"id":130,"name":"Impact","value":""},{"id":150,"name":"Time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494</v>
      </c>
      <c r="B83" s="7">
        <v>4042</v>
      </c>
      <c r="C83" s="24" t="s">
        <v>106</v>
      </c>
      <c r="D83" s="24" t="s">
        <v>226</v>
      </c>
      <c r="E83" s="15">
        <v>42630.516562500001</v>
      </c>
      <c r="F83" s="15">
        <v>42630.521018518521</v>
      </c>
      <c r="G83" s="7">
        <v>1</v>
      </c>
      <c r="H83" s="15" t="s">
        <v>642</v>
      </c>
      <c r="I83" s="15">
        <v>42630.546412037038</v>
      </c>
      <c r="J83" s="7">
        <v>0</v>
      </c>
      <c r="K83" s="121" t="str">
        <f t="shared" si="34"/>
        <v>4041/4042</v>
      </c>
      <c r="L83" s="24" t="str">
        <f>VLOOKUP(A83,'Trips&amp;Operators'!$C$1:$E$10000,3,FALSE)</f>
        <v>STRICKLAND</v>
      </c>
      <c r="M83" s="6">
        <f t="shared" si="35"/>
        <v>2.5393518517375924E-2</v>
      </c>
      <c r="N83" s="7">
        <f t="shared" si="36"/>
        <v>36.56666666502133</v>
      </c>
      <c r="O83" s="7"/>
      <c r="P83" s="7"/>
      <c r="Q83" s="25"/>
      <c r="R83" s="25"/>
      <c r="S83" s="37">
        <f t="shared" si="37"/>
        <v>1</v>
      </c>
      <c r="T83" s="52" t="str">
        <f t="shared" si="38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11:23:51-0600',mode:absolute,to:'2016-09-17 14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3" s="54" t="str">
        <f t="shared" si="40"/>
        <v>N</v>
      </c>
      <c r="X83" s="168">
        <f t="shared" si="41"/>
        <v>1</v>
      </c>
      <c r="Y83" s="69">
        <f t="shared" si="42"/>
        <v>4.4699999999999997E-2</v>
      </c>
      <c r="Z83" s="69">
        <f t="shared" si="43"/>
        <v>23.3293</v>
      </c>
      <c r="AA83" s="69">
        <f t="shared" si="44"/>
        <v>23.284600000000001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5"/>
        <v>0171-17</v>
      </c>
      <c r="AE83" s="99" t="str">
        <f t="shared" si="46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83" s="96" t="str">
        <f t="shared" si="47"/>
        <v>"C:\Program Files (x86)\AstroGrep\AstroGrep.exe" /spath="%USERPROFILE%\AppData\Local\Temp\OnboardLogs" /stypes="app*4042*20160917*" /stext=" 19:.+((SYSTEM_STATE.+slice.+state.+changed )|(ment ac)|(system.+state.+changed )|(\|lc)|(penalty)|(\[timeout)|(PRM\|1\|D)|(kpr)|(kdp))" /e /r /s</v>
      </c>
      <c r="AG83" s="1" t="str">
        <f t="shared" si="48"/>
        <v>EC</v>
      </c>
      <c r="AH83" s="100" t="str">
        <f t="shared" si="49"/>
        <v>"%USERPROFILE%\Documents\GitHub\eaglep3\Utilities\RefineRTDCRunTimes.py" --tripid 171-17 --locoid 4042 --swversion DE.1.0.7.0 --startMP 204:447 --initTime 2016-09-17T12:23:51 --startdatetime 2016-09-17T12:30:16 --delay 1 --endMP 204:233293 --enddatetime 2016-09-17T13:06:50 --enforcementcount 0 &gt;&gt;C:\Users\stu\Documents\GitHub\eaglep3-reporting\EC\2016-09-17-refined-times.txt</v>
      </c>
      <c r="AI8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ID","value":"171-17"},{"id":16,"name":"Locomotive ID","value":"4042"},{"id":130,"name":"Impact","value":""},{"id":150,"name":"Time of Event (Mountain Time)","value":"13:06:50"},{"id":151,"name":"Denver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503</v>
      </c>
      <c r="B84" s="7">
        <v>4041</v>
      </c>
      <c r="C84" s="24" t="s">
        <v>106</v>
      </c>
      <c r="D84" s="24" t="s">
        <v>352</v>
      </c>
      <c r="E84" s="15">
        <v>42630.55363425926</v>
      </c>
      <c r="F84" s="15">
        <v>42630.559895833336</v>
      </c>
      <c r="G84" s="7">
        <v>1</v>
      </c>
      <c r="H84" s="15" t="s">
        <v>243</v>
      </c>
      <c r="I84" s="15">
        <v>42630.58797453704</v>
      </c>
      <c r="J84" s="7">
        <v>0</v>
      </c>
      <c r="K84" s="121" t="str">
        <f t="shared" si="34"/>
        <v>4041/4042</v>
      </c>
      <c r="L84" s="24" t="str">
        <f>VLOOKUP(A84,'Trips&amp;Operators'!$C$1:$E$10000,3,FALSE)</f>
        <v>STRICKLAND</v>
      </c>
      <c r="M84" s="6">
        <f t="shared" si="35"/>
        <v>2.8078703704522923E-2</v>
      </c>
      <c r="N84" s="7">
        <f t="shared" si="36"/>
        <v>40.433333334513009</v>
      </c>
      <c r="O84" s="7"/>
      <c r="P84" s="7"/>
      <c r="Q84" s="25"/>
      <c r="R84" s="25"/>
      <c r="S84" s="37">
        <f t="shared" si="37"/>
        <v>1</v>
      </c>
      <c r="T84" s="52" t="str">
        <f t="shared" si="38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4" s="54" t="str">
        <f t="shared" si="40"/>
        <v>N</v>
      </c>
      <c r="X84" s="168">
        <f t="shared" si="41"/>
        <v>1</v>
      </c>
      <c r="Y84" s="69">
        <f t="shared" si="42"/>
        <v>23.2973</v>
      </c>
      <c r="Z84" s="69">
        <f t="shared" si="43"/>
        <v>1.38E-2</v>
      </c>
      <c r="AA84" s="69">
        <f t="shared" si="44"/>
        <v>23.2835</v>
      </c>
      <c r="AB84" s="66" t="str">
        <f>VLOOKUP(A84,Enforcements!$C$7:$K$20,8,0)</f>
        <v>Speed (6)</v>
      </c>
      <c r="AC84" s="62" t="str">
        <f>VLOOKUP(A84,Enforcements!$C$7:$E$20,3,0)</f>
        <v>PERMANENT SPEED RESTRICTION</v>
      </c>
      <c r="AD84" s="63" t="str">
        <f t="shared" si="45"/>
        <v>0172-17</v>
      </c>
      <c r="AE84" s="99" t="str">
        <f t="shared" si="46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84" s="96" t="str">
        <f t="shared" si="47"/>
        <v>"C:\Program Files (x86)\AstroGrep\AstroGrep.exe" /spath="%USERPROFILE%\AppData\Local\Temp\OnboardLogs" /stypes="app*4041*20160917*" /stext=" 20:.+((SYSTEM_STATE.+slice.+state.+changed )|(ment ac)|(system.+state.+changed )|(\|lc)|(penalty)|(\[timeout)|(PRM\|1\|D)|(kpr)|(kdp))" /e /r /s</v>
      </c>
      <c r="AG84" s="1" t="str">
        <f t="shared" si="48"/>
        <v>EC</v>
      </c>
      <c r="AH84" s="100" t="str">
        <f t="shared" si="49"/>
        <v>"%USERPROFILE%\Documents\GitHub\eaglep3\Utilities\RefineRTDCRunTimes.py" --tripid 172-17 --locoid 4041 --swversion DE.1.0.7.0 --startMP 204:232973 --initTime 2016-09-17T13:17:14 --startdatetime 2016-09-17T13:26:15 --delay 1 --endMP 204:138 --enddatetime 2016-09-17T14:06:41 --enforcementcount 0 &gt;&gt;C:\Users\stu\Documents\GitHub\eaglep3-reporting\EC\2016-09-17-refined-times.txt</v>
      </c>
      <c r="AI8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ID","value":"172-17"},{"id":16,"name":"Locomotive ID","value":"4041"},{"id":130,"name":"Impact","value":""},{"id":150,"name":"Time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497</v>
      </c>
      <c r="B85" s="7">
        <v>4046</v>
      </c>
      <c r="C85" s="24" t="s">
        <v>106</v>
      </c>
      <c r="D85" s="24" t="s">
        <v>248</v>
      </c>
      <c r="E85" s="15">
        <v>42630.526539351849</v>
      </c>
      <c r="F85" s="15">
        <v>42630.531828703701</v>
      </c>
      <c r="G85" s="7">
        <v>2</v>
      </c>
      <c r="H85" s="15" t="s">
        <v>372</v>
      </c>
      <c r="I85" s="15">
        <v>42630.556828703702</v>
      </c>
      <c r="J85" s="7">
        <v>0</v>
      </c>
      <c r="K85" s="121" t="str">
        <f t="shared" si="34"/>
        <v>4045/4046</v>
      </c>
      <c r="L85" s="24" t="str">
        <f>VLOOKUP(A85,'Trips&amp;Operators'!$C$1:$E$10000,3,FALSE)</f>
        <v>STEWART</v>
      </c>
      <c r="M85" s="6">
        <f t="shared" si="35"/>
        <v>2.5000000001455192E-2</v>
      </c>
      <c r="N85" s="7">
        <f t="shared" si="36"/>
        <v>36.000000002095476</v>
      </c>
      <c r="O85" s="7"/>
      <c r="P85" s="7"/>
      <c r="Q85" s="25"/>
      <c r="R85" s="25"/>
      <c r="S85" s="37">
        <f t="shared" si="37"/>
        <v>1</v>
      </c>
      <c r="T85" s="52" t="str">
        <f t="shared" si="38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11:38:13-0600',mode:absolute,to:'2016-09-17 14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5" s="54" t="str">
        <f t="shared" si="40"/>
        <v>N</v>
      </c>
      <c r="X85" s="168">
        <f t="shared" si="41"/>
        <v>1</v>
      </c>
      <c r="Y85" s="69">
        <f t="shared" si="42"/>
        <v>4.4900000000000002E-2</v>
      </c>
      <c r="Z85" s="69">
        <f t="shared" si="43"/>
        <v>23.327200000000001</v>
      </c>
      <c r="AA85" s="69">
        <f t="shared" si="44"/>
        <v>23.282300000000003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5"/>
        <v>0173-17</v>
      </c>
      <c r="AE85" s="99" t="str">
        <f t="shared" si="46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85" s="96" t="str">
        <f t="shared" si="47"/>
        <v>"C:\Program Files (x86)\AstroGrep\AstroGrep.exe" /spath="%USERPROFILE%\AppData\Local\Temp\OnboardLogs" /stypes="app*4046*20160917*" /stext=" 19:.+((SYSTEM_STATE.+slice.+state.+changed )|(ment ac)|(system.+state.+changed )|(\|lc)|(penalty)|(\[timeout)|(PRM\|1\|D)|(kpr)|(kdp))" /e /r /s</v>
      </c>
      <c r="AG85" s="1" t="str">
        <f t="shared" si="48"/>
        <v>EC</v>
      </c>
      <c r="AH85" s="100" t="str">
        <f t="shared" si="49"/>
        <v>"%USERPROFILE%\Documents\GitHub\eaglep3\Utilities\RefineRTDCRunTimes.py" --tripid 173-17 --locoid 4046 --swversion DE.1.0.7.0 --startMP 204:449 --initTime 2016-09-17T12:38:13 --startdatetime 2016-09-17T12:45:50 --delay 2 --endMP 204:233272 --enddatetime 2016-09-17T13:21:50 --enforcementcount 0 &gt;&gt;C:\Users\stu\Documents\GitHub\eaglep3-reporting\EC\2016-09-17-refined-times.txt</v>
      </c>
      <c r="AI8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ID","value":"173-17"},{"id":16,"name":"Locomotive ID","value":"4046"},{"id":130,"name":"Impact","value":""},{"id":150,"name":"Time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506</v>
      </c>
      <c r="B86" s="7">
        <v>4045</v>
      </c>
      <c r="C86" s="24" t="s">
        <v>106</v>
      </c>
      <c r="D86" s="24" t="s">
        <v>643</v>
      </c>
      <c r="E86" s="15">
        <v>42630.566701388889</v>
      </c>
      <c r="F86" s="15">
        <v>42630.570486111108</v>
      </c>
      <c r="G86" s="7">
        <v>1</v>
      </c>
      <c r="H86" s="15" t="s">
        <v>224</v>
      </c>
      <c r="I86" s="15">
        <v>42630.598414351851</v>
      </c>
      <c r="J86" s="7">
        <v>0</v>
      </c>
      <c r="K86" s="121" t="str">
        <f t="shared" si="34"/>
        <v>4045/4046</v>
      </c>
      <c r="L86" s="24" t="str">
        <f>VLOOKUP(A86,'Trips&amp;Operators'!$C$1:$E$10000,3,FALSE)</f>
        <v>STEWART</v>
      </c>
      <c r="M86" s="6">
        <f t="shared" si="35"/>
        <v>2.792824074276723E-2</v>
      </c>
      <c r="N86" s="7">
        <f t="shared" si="36"/>
        <v>40.216666669584811</v>
      </c>
      <c r="O86" s="7"/>
      <c r="P86" s="7"/>
      <c r="Q86" s="25"/>
      <c r="R86" s="25"/>
      <c r="S86" s="37">
        <f t="shared" si="37"/>
        <v>1</v>
      </c>
      <c r="T86" s="52" t="str">
        <f t="shared" si="3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6" s="54" t="str">
        <f t="shared" si="40"/>
        <v>N</v>
      </c>
      <c r="X86" s="168">
        <f t="shared" si="41"/>
        <v>1</v>
      </c>
      <c r="Y86" s="69">
        <f t="shared" si="42"/>
        <v>23.296399999999998</v>
      </c>
      <c r="Z86" s="69">
        <f t="shared" si="43"/>
        <v>1.52E-2</v>
      </c>
      <c r="AA86" s="69">
        <f t="shared" si="44"/>
        <v>23.281199999999998</v>
      </c>
      <c r="AB86" s="66" t="str">
        <f>VLOOKUP(A86,Enforcements!$C$7:$K$20,8,0)</f>
        <v>Signal based authority (5)</v>
      </c>
      <c r="AC86" s="62" t="str">
        <f>VLOOKUP(A86,Enforcements!$C$7:$E$20,3,0)</f>
        <v>SIGNAL</v>
      </c>
      <c r="AD86" s="63" t="str">
        <f t="shared" si="45"/>
        <v>0174-17</v>
      </c>
      <c r="AE86" s="99" t="str">
        <f t="shared" si="46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86" s="96" t="str">
        <f t="shared" si="47"/>
        <v>"C:\Program Files (x86)\AstroGrep\AstroGrep.exe" /spath="%USERPROFILE%\AppData\Local\Temp\OnboardLogs" /stypes="app*4045*20160917*" /stext=" 20:.+((SYSTEM_STATE.+slice.+state.+changed )|(ment ac)|(system.+state.+changed )|(\|lc)|(penalty)|(\[timeout)|(PRM\|1\|D)|(kpr)|(kdp))" /e /r /s</v>
      </c>
      <c r="AG86" s="1" t="str">
        <f t="shared" si="48"/>
        <v>EC</v>
      </c>
      <c r="AH86" s="100" t="str">
        <f t="shared" si="49"/>
        <v>"%USERPROFILE%\Documents\GitHub\eaglep3\Utilities\RefineRTDCRunTimes.py" --tripid 174-17 --locoid 4045 --swversion DE.1.0.7.0 --startMP 204:232964 --initTime 2016-09-17T13:36:03 --startdatetime 2016-09-17T13:41:30 --delay 1 --endMP 204:152 --enddatetime 2016-09-17T14:21:43 --enforcementcount 0 &gt;&gt;C:\Users\stu\Documents\GitHub\eaglep3-reporting\EC\2016-09-17-refined-times.txt</v>
      </c>
      <c r="AI8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ID","value":"174-17"},{"id":16,"name":"Locomotive ID","value":"4045"},{"id":130,"name":"Impact","value":""},{"id":150,"name":"Time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499</v>
      </c>
      <c r="B87" s="7">
        <v>4011</v>
      </c>
      <c r="C87" s="24" t="s">
        <v>106</v>
      </c>
      <c r="D87" s="24" t="s">
        <v>227</v>
      </c>
      <c r="E87" s="15">
        <v>42630.536874999998</v>
      </c>
      <c r="F87" s="15">
        <v>42630.542025462964</v>
      </c>
      <c r="G87" s="7">
        <v>2</v>
      </c>
      <c r="H87" s="15" t="s">
        <v>378</v>
      </c>
      <c r="I87" s="15">
        <v>42630.567094907405</v>
      </c>
      <c r="J87" s="7">
        <v>0</v>
      </c>
      <c r="K87" s="121" t="str">
        <f t="shared" si="34"/>
        <v>4011/4012</v>
      </c>
      <c r="L87" s="24" t="str">
        <f>VLOOKUP(A87,'Trips&amp;Operators'!$C$1:$E$10000,3,FALSE)</f>
        <v>BARTLETT</v>
      </c>
      <c r="M87" s="6">
        <f t="shared" si="35"/>
        <v>2.5069444440305233E-2</v>
      </c>
      <c r="N87" s="7">
        <f t="shared" si="36"/>
        <v>36.099999994039536</v>
      </c>
      <c r="O87" s="7"/>
      <c r="P87" s="7"/>
      <c r="Q87" s="25"/>
      <c r="R87" s="25"/>
      <c r="S87" s="37">
        <f t="shared" si="37"/>
        <v>1</v>
      </c>
      <c r="T87" s="52" t="str">
        <f t="shared" si="3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11:53:06-0600',mode:absolute,to:'2016-09-17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7" s="54" t="str">
        <f t="shared" si="40"/>
        <v>N</v>
      </c>
      <c r="X87" s="168">
        <f t="shared" si="41"/>
        <v>1</v>
      </c>
      <c r="Y87" s="69">
        <f t="shared" si="42"/>
        <v>4.6600000000000003E-2</v>
      </c>
      <c r="Z87" s="69">
        <f t="shared" si="43"/>
        <v>23.332799999999999</v>
      </c>
      <c r="AA87" s="69">
        <f t="shared" si="44"/>
        <v>23.286199999999997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5"/>
        <v>0175-17</v>
      </c>
      <c r="AE87" s="99" t="str">
        <f t="shared" si="46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87" s="96" t="str">
        <f t="shared" si="47"/>
        <v>"C:\Program Files (x86)\AstroGrep\AstroGrep.exe" /spath="%USERPROFILE%\AppData\Local\Temp\OnboardLogs" /stypes="app*4011*20160917*" /stext=" 19:.+((SYSTEM_STATE.+slice.+state.+changed )|(ment ac)|(system.+state.+changed )|(\|lc)|(penalty)|(\[timeout)|(PRM\|1\|D)|(kpr)|(kdp))" /e /r /s</v>
      </c>
      <c r="AG87" s="1" t="str">
        <f t="shared" si="48"/>
        <v>EC</v>
      </c>
      <c r="AH87" s="100" t="str">
        <f t="shared" si="49"/>
        <v>"%USERPROFILE%\Documents\GitHub\eaglep3\Utilities\RefineRTDCRunTimes.py" --tripid 175-17 --locoid 4011 --swversion DE.1.0.7.0 --startMP 204:466 --initTime 2016-09-17T12:53:06 --startdatetime 2016-09-17T13:00:31 --delay 2 --endMP 204:233328 --enddatetime 2016-09-17T13:36:37 --enforcementcount 0 &gt;&gt;C:\Users\stu\Documents\GitHub\eaglep3-reporting\EC\2016-09-17-refined-times.txt</v>
      </c>
      <c r="AI8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ID","value":"175-17"},{"id":16,"name":"Locomotive ID","value":"4011"},{"id":130,"name":"Impact","value":""},{"id":150,"name":"Time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508</v>
      </c>
      <c r="B88" s="7">
        <v>4012</v>
      </c>
      <c r="C88" s="24" t="s">
        <v>106</v>
      </c>
      <c r="D88" s="24" t="s">
        <v>282</v>
      </c>
      <c r="E88" s="15">
        <v>42630.569050925929</v>
      </c>
      <c r="F88" s="15">
        <v>42630.580752314818</v>
      </c>
      <c r="G88" s="7">
        <v>1</v>
      </c>
      <c r="H88" s="15" t="s">
        <v>128</v>
      </c>
      <c r="I88" s="15">
        <v>42630.607233796298</v>
      </c>
      <c r="J88" s="7">
        <v>0</v>
      </c>
      <c r="K88" s="121" t="str">
        <f t="shared" si="34"/>
        <v>4011/4012</v>
      </c>
      <c r="L88" s="24" t="str">
        <f>VLOOKUP(A88,'Trips&amp;Operators'!$C$1:$E$10000,3,FALSE)</f>
        <v>BARTLETT</v>
      </c>
      <c r="M88" s="6">
        <f t="shared" si="35"/>
        <v>2.6481481480004732E-2</v>
      </c>
      <c r="N88" s="7">
        <f t="shared" si="36"/>
        <v>38.133333331206813</v>
      </c>
      <c r="O88" s="7"/>
      <c r="P88" s="7"/>
      <c r="Q88" s="25"/>
      <c r="R88" s="25"/>
      <c r="S88" s="37">
        <f t="shared" si="37"/>
        <v>1</v>
      </c>
      <c r="T88" s="52" t="str">
        <f t="shared" si="3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12:39:26-0600',mode:absolute,to:'2016-09-17 15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8" s="54" t="str">
        <f t="shared" si="40"/>
        <v>N</v>
      </c>
      <c r="X88" s="168">
        <f t="shared" si="41"/>
        <v>1</v>
      </c>
      <c r="Y88" s="69">
        <f t="shared" si="42"/>
        <v>23.299800000000001</v>
      </c>
      <c r="Z88" s="69">
        <f t="shared" si="43"/>
        <v>1.54E-2</v>
      </c>
      <c r="AA88" s="69">
        <f t="shared" si="44"/>
        <v>23.284400000000002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5"/>
        <v>0176-17</v>
      </c>
      <c r="AE88" s="99" t="str">
        <f t="shared" si="46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88" s="96" t="str">
        <f t="shared" si="47"/>
        <v>"C:\Program Files (x86)\AstroGrep\AstroGrep.exe" /spath="%USERPROFILE%\AppData\Local\Temp\OnboardLogs" /stypes="app*4012*20160917*" /stext=" 20:.+((SYSTEM_STATE.+slice.+state.+changed )|(ment ac)|(system.+state.+changed )|(\|lc)|(penalty)|(\[timeout)|(PRM\|1\|D)|(kpr)|(kdp))" /e /r /s</v>
      </c>
      <c r="AG88" s="1" t="str">
        <f t="shared" si="48"/>
        <v>EC</v>
      </c>
      <c r="AH88" s="100" t="str">
        <f t="shared" si="49"/>
        <v>"%USERPROFILE%\Documents\GitHub\eaglep3\Utilities\RefineRTDCRunTimes.py" --tripid 176-17 --locoid 4012 --swversion DE.1.0.7.0 --startMP 204:232998 --initTime 2016-09-17T13:39:26 --startdatetime 2016-09-17T13:56:17 --delay 1 --endMP 204:154 --enddatetime 2016-09-17T14:34:25 --enforcementcount 0 &gt;&gt;C:\Users\stu\Documents\GitHub\eaglep3-reporting\EC\2016-09-17-refined-times.txt</v>
      </c>
      <c r="AI8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ID","value":"176-17"},{"id":16,"name":"Locomotive ID","value":"4012"},{"id":130,"name":"Impact","value":""},{"id":150,"name":"Time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501</v>
      </c>
      <c r="B89" s="7">
        <v>4040</v>
      </c>
      <c r="C89" s="24" t="s">
        <v>106</v>
      </c>
      <c r="D89" s="24" t="s">
        <v>227</v>
      </c>
      <c r="E89" s="15">
        <v>42630.549490740741</v>
      </c>
      <c r="F89" s="15">
        <v>42630.552395833336</v>
      </c>
      <c r="G89" s="7">
        <v>1</v>
      </c>
      <c r="H89" s="15" t="s">
        <v>302</v>
      </c>
      <c r="I89" s="15">
        <v>42630.577280092592</v>
      </c>
      <c r="J89" s="7">
        <v>0</v>
      </c>
      <c r="K89" s="121" t="str">
        <f t="shared" si="34"/>
        <v>4039/4040</v>
      </c>
      <c r="L89" s="24" t="str">
        <f>VLOOKUP(A89,'Trips&amp;Operators'!$C$1:$E$10000,3,FALSE)</f>
        <v>MOSES</v>
      </c>
      <c r="M89" s="6">
        <f t="shared" si="35"/>
        <v>2.488425925548654E-2</v>
      </c>
      <c r="N89" s="7">
        <f t="shared" si="36"/>
        <v>35.833333327900618</v>
      </c>
      <c r="O89" s="7"/>
      <c r="P89" s="7"/>
      <c r="Q89" s="25"/>
      <c r="R89" s="25"/>
      <c r="S89" s="37">
        <f t="shared" si="37"/>
        <v>1</v>
      </c>
      <c r="T89" s="52" t="str">
        <f t="shared" si="3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12:11:16-0600',mode:absolute,to:'2016-09-17 14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 t="shared" si="40"/>
        <v>N</v>
      </c>
      <c r="X89" s="168">
        <f t="shared" si="41"/>
        <v>1</v>
      </c>
      <c r="Y89" s="69">
        <f t="shared" si="42"/>
        <v>4.6600000000000003E-2</v>
      </c>
      <c r="Z89" s="69">
        <f t="shared" si="43"/>
        <v>23.325099999999999</v>
      </c>
      <c r="AA89" s="69">
        <f t="shared" si="44"/>
        <v>23.278499999999998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5"/>
        <v>0177-17</v>
      </c>
      <c r="AE89" s="99" t="str">
        <f t="shared" si="46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89" s="96" t="str">
        <f t="shared" si="47"/>
        <v>"C:\Program Files (x86)\AstroGrep\AstroGrep.exe" /spath="%USERPROFILE%\AppData\Local\Temp\OnboardLogs" /stypes="app*4040*20160917*" /stext=" 19:.+((SYSTEM_STATE.+slice.+state.+changed )|(ment ac)|(system.+state.+changed )|(\|lc)|(penalty)|(\[timeout)|(PRM\|1\|D)|(kpr)|(kdp))" /e /r /s</v>
      </c>
      <c r="AG89" s="1" t="str">
        <f t="shared" si="48"/>
        <v>EC</v>
      </c>
      <c r="AH89" s="100" t="str">
        <f t="shared" si="49"/>
        <v>"%USERPROFILE%\Documents\GitHub\eaglep3\Utilities\RefineRTDCRunTimes.py" --tripid 177-17 --locoid 4040 --swversion DE.1.0.7.0 --startMP 204:466 --initTime 2016-09-17T13:11:16 --startdatetime 2016-09-17T13:15:27 --delay 1 --endMP 204:233251 --enddatetime 2016-09-17T13:51:17 --enforcementcount 0 &gt;&gt;C:\Users\stu\Documents\GitHub\eaglep3-reporting\EC\2016-09-17-refined-times.txt</v>
      </c>
      <c r="AI8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ID","value":"177-17"},{"id":16,"name":"Locomotive ID","value":"4040"},{"id":130,"name":"Impact","value":""},{"id":150,"name":"Time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510</v>
      </c>
      <c r="B90" s="7">
        <v>4039</v>
      </c>
      <c r="C90" s="24" t="s">
        <v>106</v>
      </c>
      <c r="D90" s="24" t="s">
        <v>367</v>
      </c>
      <c r="E90" s="15">
        <v>42630.587222222224</v>
      </c>
      <c r="F90" s="15">
        <v>42630.591203703705</v>
      </c>
      <c r="G90" s="7">
        <v>2</v>
      </c>
      <c r="H90" s="15" t="s">
        <v>243</v>
      </c>
      <c r="I90" s="15">
        <v>42630.618969907409</v>
      </c>
      <c r="J90" s="7">
        <v>0</v>
      </c>
      <c r="K90" s="121" t="str">
        <f t="shared" si="34"/>
        <v>4039/4040</v>
      </c>
      <c r="L90" s="24" t="str">
        <f>VLOOKUP(A90,'Trips&amp;Operators'!$C$1:$E$10000,3,FALSE)</f>
        <v>MOSES</v>
      </c>
      <c r="M90" s="6">
        <f t="shared" si="35"/>
        <v>2.7766203704231884E-2</v>
      </c>
      <c r="N90" s="7">
        <f t="shared" si="36"/>
        <v>39.983333334093913</v>
      </c>
      <c r="O90" s="7"/>
      <c r="P90" s="7"/>
      <c r="Q90" s="25"/>
      <c r="R90" s="25"/>
      <c r="S90" s="37">
        <f t="shared" si="37"/>
        <v>1</v>
      </c>
      <c r="T90" s="52" t="str">
        <f t="shared" si="3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13:05:36-0600',mode:absolute,to:'2016-09-17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 t="shared" si="40"/>
        <v>N</v>
      </c>
      <c r="X90" s="168">
        <f t="shared" si="41"/>
        <v>1</v>
      </c>
      <c r="Y90" s="69">
        <f t="shared" si="42"/>
        <v>23.293800000000001</v>
      </c>
      <c r="Z90" s="69">
        <f t="shared" si="43"/>
        <v>1.38E-2</v>
      </c>
      <c r="AA90" s="69">
        <f t="shared" si="44"/>
        <v>23.28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5"/>
        <v>0178-17</v>
      </c>
      <c r="AE90" s="99" t="str">
        <f t="shared" si="46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90" s="96" t="str">
        <f t="shared" si="47"/>
        <v>"C:\Program Files (x86)\AstroGrep\AstroGrep.exe" /spath="%USERPROFILE%\AppData\Local\Temp\OnboardLogs" /stypes="app*4039*20160917*" /stext=" 20:.+((SYSTEM_STATE.+slice.+state.+changed )|(ment ac)|(system.+state.+changed )|(\|lc)|(penalty)|(\[timeout)|(PRM\|1\|D)|(kpr)|(kdp))" /e /r /s</v>
      </c>
      <c r="AG90" s="1" t="str">
        <f t="shared" si="48"/>
        <v>EC</v>
      </c>
      <c r="AH90" s="100" t="str">
        <f t="shared" si="49"/>
        <v>"%USERPROFILE%\Documents\GitHub\eaglep3\Utilities\RefineRTDCRunTimes.py" --tripid 178-17 --locoid 4039 --swversion DE.1.0.7.0 --startMP 204:232938 --initTime 2016-09-17T14:05:36 --startdatetime 2016-09-17T14:11:20 --delay 2 --endMP 204:138 --enddatetime 2016-09-17T14:51:19 --enforcementcount 0 &gt;&gt;C:\Users\stu\Documents\GitHub\eaglep3-reporting\EC\2016-09-17-refined-times.txt</v>
      </c>
      <c r="AI9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ID","value":"178-17"},{"id":16,"name":"Locomotive ID","value":"4039"},{"id":130,"name":"Impact","value":""},{"id":150,"name":"Time of Event (Mountain Time)","value":"14:51:19"},{"id":151,"name":"Denver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504</v>
      </c>
      <c r="B91" s="7">
        <v>4027</v>
      </c>
      <c r="C91" s="24" t="s">
        <v>106</v>
      </c>
      <c r="D91" s="24" t="s">
        <v>247</v>
      </c>
      <c r="E91" s="15">
        <v>42630.557175925926</v>
      </c>
      <c r="F91" s="15">
        <v>42630.562673611108</v>
      </c>
      <c r="G91" s="7">
        <v>1</v>
      </c>
      <c r="H91" s="15" t="s">
        <v>644</v>
      </c>
      <c r="I91" s="15">
        <v>42630.588090277779</v>
      </c>
      <c r="J91" s="7">
        <v>0</v>
      </c>
      <c r="K91" s="121" t="str">
        <f t="shared" si="34"/>
        <v>4027/4028</v>
      </c>
      <c r="L91" s="24" t="str">
        <f>VLOOKUP(A91,'Trips&amp;Operators'!$C$1:$E$10000,3,FALSE)</f>
        <v>SHOOK</v>
      </c>
      <c r="M91" s="6">
        <f t="shared" si="35"/>
        <v>2.5416666670935228E-2</v>
      </c>
      <c r="N91" s="7">
        <f t="shared" si="36"/>
        <v>36.600000006146729</v>
      </c>
      <c r="O91" s="7"/>
      <c r="P91" s="7"/>
      <c r="Q91" s="25"/>
      <c r="R91" s="25"/>
      <c r="S91" s="37">
        <f t="shared" si="37"/>
        <v>1</v>
      </c>
      <c r="T91" s="52" t="str">
        <f t="shared" si="38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12:22:20-0600',mode:absolute,to:'2016-09-17 15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40"/>
        <v>N</v>
      </c>
      <c r="X91" s="168">
        <f t="shared" si="41"/>
        <v>1</v>
      </c>
      <c r="Y91" s="69">
        <f t="shared" si="42"/>
        <v>4.6899999999999997E-2</v>
      </c>
      <c r="Z91" s="69">
        <f t="shared" si="43"/>
        <v>23.337399999999999</v>
      </c>
      <c r="AA91" s="69">
        <f t="shared" si="44"/>
        <v>23.290499999999998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5"/>
        <v>0179-17</v>
      </c>
      <c r="AE91" s="99" t="str">
        <f t="shared" si="46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91" s="96" t="str">
        <f t="shared" si="47"/>
        <v>"C:\Program Files (x86)\AstroGrep\AstroGrep.exe" /spath="%USERPROFILE%\AppData\Local\Temp\OnboardLogs" /stypes="app*4027*20160917*" /stext=" 20:.+((SYSTEM_STATE.+slice.+state.+changed )|(ment ac)|(system.+state.+changed )|(\|lc)|(penalty)|(\[timeout)|(PRM\|1\|D)|(kpr)|(kdp))" /e /r /s</v>
      </c>
      <c r="AG91" s="1" t="str">
        <f t="shared" si="48"/>
        <v>EC</v>
      </c>
      <c r="AH91" s="100" t="str">
        <f t="shared" si="49"/>
        <v>"%USERPROFILE%\Documents\GitHub\eaglep3\Utilities\RefineRTDCRunTimes.py" --tripid 179-17 --locoid 4027 --swversion DE.1.0.7.0 --startMP 204:469 --initTime 2016-09-17T13:22:20 --startdatetime 2016-09-17T13:30:15 --delay 1 --endMP 204:233374 --enddatetime 2016-09-17T14:06:51 --enforcementcount 0 &gt;&gt;C:\Users\stu\Documents\GitHub\eaglep3-reporting\EC\2016-09-17-refined-times.txt</v>
      </c>
      <c r="AI9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{"issue":{"subject":"","project_id":79,"tracker_id":40,"status_id":1,"priority_id":2,"assigned_to_id":23,"start_date":"2016-09-17","description":"","custom_fields":[{"id":1,"name":"Subdivision","value":"EC"},{"id":4,"name":"Milepost","value":"23.3374"},{"id":17,"name":"Train ID","value":"179-17"},{"id":16,"name":"Locomotive ID","value":"4027"},{"id":130,"name":"Impact","value":""},{"id":150,"name":"Time of Event (Mountain Time)","value":"14:06:51"},{"id":151,"name":"Denver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513</v>
      </c>
      <c r="B92" s="7">
        <v>4028</v>
      </c>
      <c r="C92" s="24" t="s">
        <v>106</v>
      </c>
      <c r="D92" s="24" t="s">
        <v>645</v>
      </c>
      <c r="E92" s="15">
        <v>42630.597060185188</v>
      </c>
      <c r="F92" s="15">
        <v>42630.601527777777</v>
      </c>
      <c r="G92" s="7">
        <v>1</v>
      </c>
      <c r="H92" s="15" t="s">
        <v>224</v>
      </c>
      <c r="I92" s="15">
        <v>42630.629571759258</v>
      </c>
      <c r="J92" s="7">
        <v>0</v>
      </c>
      <c r="K92" s="121" t="str">
        <f t="shared" si="34"/>
        <v>4027/4028</v>
      </c>
      <c r="L92" s="24" t="str">
        <f>VLOOKUP(A92,'Trips&amp;Operators'!$C$1:$E$10000,3,FALSE)</f>
        <v>SHOOK</v>
      </c>
      <c r="M92" s="6">
        <f t="shared" si="35"/>
        <v>2.8043981481459923E-2</v>
      </c>
      <c r="N92" s="7">
        <f t="shared" si="36"/>
        <v>40.383333333302289</v>
      </c>
      <c r="O92" s="7"/>
      <c r="P92" s="7"/>
      <c r="Q92" s="25"/>
      <c r="R92" s="25"/>
      <c r="S92" s="37">
        <f t="shared" si="37"/>
        <v>1</v>
      </c>
      <c r="T92" s="52" t="str">
        <f t="shared" si="38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13:19:46-0600',mode:absolute,to:'2016-09-17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40"/>
        <v>N</v>
      </c>
      <c r="X92" s="168">
        <f t="shared" si="41"/>
        <v>1</v>
      </c>
      <c r="Y92" s="69">
        <f t="shared" si="42"/>
        <v>23.3019</v>
      </c>
      <c r="Z92" s="69">
        <f t="shared" si="43"/>
        <v>1.52E-2</v>
      </c>
      <c r="AA92" s="69">
        <f t="shared" si="44"/>
        <v>23.2867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5"/>
        <v>0180-17</v>
      </c>
      <c r="AE92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92" s="96" t="str">
        <f t="shared" si="47"/>
        <v>"C:\Program Files (x86)\AstroGrep\AstroGrep.exe" /spath="%USERPROFILE%\AppData\Local\Temp\OnboardLogs" /stypes="app*4028*20160917*" /stext=" 21:.+((SYSTEM_STATE.+slice.+state.+changed )|(ment ac)|(system.+state.+changed )|(\|lc)|(penalty)|(\[timeout)|(PRM\|1\|D)|(kpr)|(kdp))" /e /r /s</v>
      </c>
      <c r="AG92" s="1" t="str">
        <f t="shared" si="48"/>
        <v>EC</v>
      </c>
      <c r="AH92" s="100" t="str">
        <f t="shared" si="49"/>
        <v>"%USERPROFILE%\Documents\GitHub\eaglep3\Utilities\RefineRTDCRunTimes.py" --tripid 180-17 --locoid 4028 --swversion DE.1.0.7.0 --startMP 204:233019 --initTime 2016-09-17T14:19:46 --startdatetime 2016-09-17T14:26:12 --delay 1 --endMP 204:152 --enddatetime 2016-09-17T15:06:35 --enforcementcount 0 &gt;&gt;C:\Users\stu\Documents\GitHub\eaglep3-reporting\EC\2016-09-17-refined-times.txt</v>
      </c>
      <c r="AI9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ID","value":"180-17"},{"id":16,"name":"Locomotive ID","value":"4028"},{"id":130,"name":"Impact","value":""},{"id":150,"name":"Time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507</v>
      </c>
      <c r="B93" s="7">
        <v>4025</v>
      </c>
      <c r="C93" s="24" t="s">
        <v>106</v>
      </c>
      <c r="D93" s="24" t="s">
        <v>234</v>
      </c>
      <c r="E93" s="15">
        <v>42630.567766203705</v>
      </c>
      <c r="F93" s="15">
        <v>42630.573136574072</v>
      </c>
      <c r="G93" s="7">
        <v>1</v>
      </c>
      <c r="H93" s="15" t="s">
        <v>369</v>
      </c>
      <c r="I93" s="15">
        <v>42630.597997685189</v>
      </c>
      <c r="J93" s="7">
        <v>0</v>
      </c>
      <c r="K93" s="121" t="str">
        <f t="shared" si="34"/>
        <v>4025/4026</v>
      </c>
      <c r="L93" s="24" t="str">
        <f>VLOOKUP(A93,'Trips&amp;Operators'!$C$1:$E$10000,3,FALSE)</f>
        <v>BRUDER</v>
      </c>
      <c r="M93" s="6">
        <f t="shared" si="35"/>
        <v>2.4861111116479151E-2</v>
      </c>
      <c r="N93" s="7">
        <f t="shared" si="36"/>
        <v>35.800000007729977</v>
      </c>
      <c r="O93" s="7"/>
      <c r="P93" s="7"/>
      <c r="Q93" s="25"/>
      <c r="R93" s="25"/>
      <c r="S93" s="37">
        <f t="shared" si="37"/>
        <v>1</v>
      </c>
      <c r="T93" s="52" t="str">
        <f t="shared" si="38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12:37:35-0600',mode:absolute,to:'2016-09-17 15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3" s="54" t="str">
        <f t="shared" si="40"/>
        <v>N</v>
      </c>
      <c r="X93" s="168">
        <f t="shared" si="41"/>
        <v>1</v>
      </c>
      <c r="Y93" s="69">
        <f t="shared" si="42"/>
        <v>4.58E-2</v>
      </c>
      <c r="Z93" s="69">
        <f t="shared" si="43"/>
        <v>23.3261</v>
      </c>
      <c r="AA93" s="69">
        <f t="shared" si="44"/>
        <v>23.2803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5"/>
        <v>0181-17</v>
      </c>
      <c r="AE93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93" s="96" t="str">
        <f t="shared" si="47"/>
        <v>"C:\Program Files (x86)\AstroGrep\AstroGrep.exe" /spath="%USERPROFILE%\AppData\Local\Temp\OnboardLogs" /stypes="app*4025*20160917*" /stext=" 20:.+((SYSTEM_STATE.+slice.+state.+changed )|(ment ac)|(system.+state.+changed )|(\|lc)|(penalty)|(\[timeout)|(PRM\|1\|D)|(kpr)|(kdp))" /e /r /s</v>
      </c>
      <c r="AG93" s="1" t="str">
        <f t="shared" si="48"/>
        <v>EC</v>
      </c>
      <c r="AH93" s="100" t="str">
        <f t="shared" si="49"/>
        <v>"%USERPROFILE%\Documents\GitHub\eaglep3\Utilities\RefineRTDCRunTimes.py" --tripid 181-17 --locoid 4025 --swversion DE.1.0.7.0 --startMP 204:458 --initTime 2016-09-17T13:37:35 --startdatetime 2016-09-17T13:45:19 --delay 1 --endMP 204:233261 --enddatetime 2016-09-17T14:21:07 --enforcementcount 0 &gt;&gt;C:\Users\stu\Documents\GitHub\eaglep3-reporting\EC\2016-09-17-refined-times.txt</v>
      </c>
      <c r="AI9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{"issue":{"subject":"","project_id":79,"tracker_id":40,"status_id":1,"priority_id":2,"assigned_to_id":23,"start_date":"2016-09-17","description":"","custom_fields":[{"id":1,"name":"Subdivision","value":"EC"},{"id":4,"name":"Milepost","value":"23.3261"},{"id":17,"name":"Train ID","value":"181-17"},{"id":16,"name":"Locomotive ID","value":"4025"},{"id":130,"name":"Impact","value":""},{"id":150,"name":"Time of Event (Mountain Time)","value":"14:21:07"},{"id":151,"name":"Denver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515</v>
      </c>
      <c r="B94" s="7">
        <v>4026</v>
      </c>
      <c r="C94" s="24" t="s">
        <v>106</v>
      </c>
      <c r="D94" s="24" t="s">
        <v>360</v>
      </c>
      <c r="E94" s="15">
        <v>42630.606898148151</v>
      </c>
      <c r="F94" s="15">
        <v>42630.612002314818</v>
      </c>
      <c r="G94" s="7">
        <v>1</v>
      </c>
      <c r="H94" s="15" t="s">
        <v>220</v>
      </c>
      <c r="I94" s="15">
        <v>42630.638379629629</v>
      </c>
      <c r="J94" s="7">
        <v>0</v>
      </c>
      <c r="K94" s="121" t="str">
        <f t="shared" si="34"/>
        <v>4025/4026</v>
      </c>
      <c r="L94" s="24" t="str">
        <f>VLOOKUP(A94,'Trips&amp;Operators'!$C$1:$E$10000,3,FALSE)</f>
        <v>BRUDER</v>
      </c>
      <c r="M94" s="6">
        <f t="shared" si="35"/>
        <v>2.6377314810815733E-2</v>
      </c>
      <c r="N94" s="7">
        <f t="shared" si="36"/>
        <v>37.983333327574655</v>
      </c>
      <c r="O94" s="7"/>
      <c r="P94" s="7"/>
      <c r="Q94" s="25"/>
      <c r="R94" s="25"/>
      <c r="S94" s="37">
        <f t="shared" si="37"/>
        <v>1</v>
      </c>
      <c r="T94" s="52" t="str">
        <f t="shared" si="38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13:33:56-0600',mode:absolute,to:'2016-09-17 16:19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4" s="54" t="str">
        <f t="shared" si="40"/>
        <v>N</v>
      </c>
      <c r="X94" s="168">
        <f t="shared" si="41"/>
        <v>1</v>
      </c>
      <c r="Y94" s="69">
        <f t="shared" si="42"/>
        <v>23.2943</v>
      </c>
      <c r="Z94" s="69">
        <f t="shared" si="43"/>
        <v>1.47E-2</v>
      </c>
      <c r="AA94" s="69">
        <f t="shared" si="44"/>
        <v>23.279599999999999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5"/>
        <v>0182-17</v>
      </c>
      <c r="AE94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94" s="96" t="str">
        <f t="shared" si="47"/>
        <v>"C:\Program Files (x86)\AstroGrep\AstroGrep.exe" /spath="%USERPROFILE%\AppData\Local\Temp\OnboardLogs" /stypes="app*4026*20160917*" /stext=" 21:.+((SYSTEM_STATE.+slice.+state.+changed )|(ment ac)|(system.+state.+changed )|(\|lc)|(penalty)|(\[timeout)|(PRM\|1\|D)|(kpr)|(kdp))" /e /r /s</v>
      </c>
      <c r="AG94" s="1" t="str">
        <f t="shared" si="48"/>
        <v>EC</v>
      </c>
      <c r="AH94" s="100" t="str">
        <f t="shared" si="49"/>
        <v>"%USERPROFILE%\Documents\GitHub\eaglep3\Utilities\RefineRTDCRunTimes.py" --tripid 182-17 --locoid 4026 --swversion DE.1.0.7.0 --startMP 204:232943 --initTime 2016-09-17T14:33:56 --startdatetime 2016-09-17T14:41:17 --delay 1 --endMP 204:147 --enddatetime 2016-09-17T15:19:16 --enforcementcount 0 &gt;&gt;C:\Users\stu\Documents\GitHub\eaglep3-reporting\EC\2016-09-17-refined-times.txt</v>
      </c>
      <c r="AI9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ID","value":"182-17"},{"id":16,"name":"Locomotive ID","value":"4026"},{"id":130,"name":"Impact","value":""},{"id":150,"name":"Time of Event (Mountain Time)","value":"15:19:16"},{"id":151,"name":"Denver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509</v>
      </c>
      <c r="B95" s="7">
        <v>4053</v>
      </c>
      <c r="C95" s="24" t="s">
        <v>106</v>
      </c>
      <c r="D95" s="24" t="s">
        <v>218</v>
      </c>
      <c r="E95" s="15">
        <v>42630.58090277778</v>
      </c>
      <c r="F95" s="15">
        <v>42630.583495370367</v>
      </c>
      <c r="G95" s="7">
        <v>1</v>
      </c>
      <c r="H95" s="15" t="s">
        <v>365</v>
      </c>
      <c r="I95" s="15">
        <v>42630.61078703704</v>
      </c>
      <c r="J95" s="7">
        <v>0</v>
      </c>
      <c r="K95" s="121" t="str">
        <f t="shared" si="34"/>
        <v>4053/4054</v>
      </c>
      <c r="L95" s="24" t="str">
        <f>VLOOKUP(A95,'Trips&amp;Operators'!$C$1:$E$10000,3,FALSE)</f>
        <v>CLARK</v>
      </c>
      <c r="M95" s="6">
        <f t="shared" si="35"/>
        <v>2.7291666672681458E-2</v>
      </c>
      <c r="N95" s="7">
        <f t="shared" si="36"/>
        <v>39.3000000086613</v>
      </c>
      <c r="O95" s="7"/>
      <c r="P95" s="7"/>
      <c r="Q95" s="25"/>
      <c r="R95" s="25"/>
      <c r="S95" s="37">
        <f t="shared" si="37"/>
        <v>1</v>
      </c>
      <c r="T95" s="52" t="str">
        <f t="shared" si="38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12:56:30-0600',mode:absolute,to:'2016-09-17 15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5" s="54" t="str">
        <f t="shared" si="40"/>
        <v>N</v>
      </c>
      <c r="X95" s="168">
        <f t="shared" si="41"/>
        <v>1</v>
      </c>
      <c r="Y95" s="69">
        <f t="shared" si="42"/>
        <v>4.7100000000000003E-2</v>
      </c>
      <c r="Z95" s="69">
        <f t="shared" si="43"/>
        <v>23.328800000000001</v>
      </c>
      <c r="AA95" s="69">
        <f t="shared" si="44"/>
        <v>23.281700000000001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5"/>
        <v>0183-17</v>
      </c>
      <c r="AE95" s="99" t="str">
        <f t="shared" si="46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95" s="96" t="str">
        <f t="shared" si="47"/>
        <v>"C:\Program Files (x86)\AstroGrep\AstroGrep.exe" /spath="%USERPROFILE%\AppData\Local\Temp\OnboardLogs" /stypes="app*4053*20160917*" /stext=" 20:.+((SYSTEM_STATE.+slice.+state.+changed )|(ment ac)|(system.+state.+changed )|(\|lc)|(penalty)|(\[timeout)|(PRM\|1\|D)|(kpr)|(kdp))" /e /r /s</v>
      </c>
      <c r="AG95" s="1" t="str">
        <f t="shared" si="48"/>
        <v>EC</v>
      </c>
      <c r="AH95" s="100" t="str">
        <f t="shared" si="49"/>
        <v>"%USERPROFILE%\Documents\GitHub\eaglep3\Utilities\RefineRTDCRunTimes.py" --tripid 183-17 --locoid 4053 --swversion DE.1.0.7.0 --startMP 204:471 --initTime 2016-09-17T13:56:30 --startdatetime 2016-09-17T14:00:14 --delay 1 --endMP 204:233288 --enddatetime 2016-09-17T14:39:32 --enforcementcount 0 &gt;&gt;C:\Users\stu\Documents\GitHub\eaglep3-reporting\EC\2016-09-17-refined-times.txt</v>
      </c>
      <c r="AI9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ID","value":"183-17"},{"id":16,"name":"Locomotive ID","value":"4053"},{"id":130,"name":"Impact","value":""},{"id":150,"name":"Time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518</v>
      </c>
      <c r="B96" s="7">
        <v>4054</v>
      </c>
      <c r="C96" s="24" t="s">
        <v>106</v>
      </c>
      <c r="D96" s="24" t="s">
        <v>280</v>
      </c>
      <c r="E96" s="15">
        <v>42630.618842592594</v>
      </c>
      <c r="F96" s="15">
        <v>42630.622442129628</v>
      </c>
      <c r="G96" s="7">
        <v>1</v>
      </c>
      <c r="H96" s="15" t="s">
        <v>284</v>
      </c>
      <c r="I96" s="15">
        <v>42630.653460648151</v>
      </c>
      <c r="J96" s="7">
        <v>0</v>
      </c>
      <c r="K96" s="121" t="str">
        <f t="shared" si="34"/>
        <v>4053/4054</v>
      </c>
      <c r="L96" s="24" t="str">
        <f>VLOOKUP(A96,'Trips&amp;Operators'!$C$1:$E$10000,3,FALSE)</f>
        <v>CLARK</v>
      </c>
      <c r="M96" s="6">
        <f t="shared" si="35"/>
        <v>3.1018518522614613E-2</v>
      </c>
      <c r="N96" s="7">
        <f t="shared" si="36"/>
        <v>44.666666672565043</v>
      </c>
      <c r="O96" s="7"/>
      <c r="P96" s="7"/>
      <c r="Q96" s="25"/>
      <c r="R96" s="25"/>
      <c r="S96" s="37">
        <f t="shared" si="37"/>
        <v>1</v>
      </c>
      <c r="T96" s="52" t="str">
        <f t="shared" si="38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13:51:08-0600',mode:absolute,to:'2016-09-17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6" s="54" t="str">
        <f t="shared" si="40"/>
        <v>N</v>
      </c>
      <c r="X96" s="168">
        <f t="shared" si="41"/>
        <v>1</v>
      </c>
      <c r="Y96" s="69">
        <f t="shared" si="42"/>
        <v>23.2959</v>
      </c>
      <c r="Z96" s="69">
        <f t="shared" si="43"/>
        <v>1.7600000000000001E-2</v>
      </c>
      <c r="AA96" s="69">
        <f t="shared" si="44"/>
        <v>23.278299999999998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5"/>
        <v>0184-17</v>
      </c>
      <c r="AE96" s="99" t="str">
        <f t="shared" si="46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96" s="96" t="str">
        <f t="shared" si="47"/>
        <v>"C:\Program Files (x86)\AstroGrep\AstroGrep.exe" /spath="%USERPROFILE%\AppData\Local\Temp\OnboardLogs" /stypes="app*4054*20160917*" /stext=" 21:.+((SYSTEM_STATE.+slice.+state.+changed )|(ment ac)|(system.+state.+changed )|(\|lc)|(penalty)|(\[timeout)|(PRM\|1\|D)|(kpr)|(kdp))" /e /r /s</v>
      </c>
      <c r="AG96" s="1" t="str">
        <f t="shared" si="48"/>
        <v>EC</v>
      </c>
      <c r="AH96" s="100" t="str">
        <f t="shared" si="49"/>
        <v>"%USERPROFILE%\Documents\GitHub\eaglep3\Utilities\RefineRTDCRunTimes.py" --tripid 184-17 --locoid 4054 --swversion DE.1.0.7.0 --startMP 204:232959 --initTime 2016-09-17T14:51:08 --startdatetime 2016-09-17T14:56:19 --delay 1 --endMP 204:176 --enddatetime 2016-09-17T15:40:59 --enforcementcount 0 &gt;&gt;C:\Users\stu\Documents\GitHub\eaglep3-reporting\EC\2016-09-17-refined-times.txt</v>
      </c>
      <c r="AI9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ID","value":"184-17"},{"id":16,"name":"Locomotive ID","value":"4054"},{"id":130,"name":"Impact","value":""},{"id":150,"name":"Time of Event (Mountain Time)","value":"15:40:59"},{"id":151,"name":"Denver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512</v>
      </c>
      <c r="B97" s="7">
        <v>4042</v>
      </c>
      <c r="C97" s="24" t="s">
        <v>106</v>
      </c>
      <c r="D97" s="24" t="s">
        <v>371</v>
      </c>
      <c r="E97" s="15">
        <v>42630.590162037035</v>
      </c>
      <c r="F97" s="15">
        <v>42630.593877314815</v>
      </c>
      <c r="G97" s="7">
        <v>1</v>
      </c>
      <c r="H97" s="15" t="s">
        <v>688</v>
      </c>
      <c r="I97" s="15">
        <v>42630.619340277779</v>
      </c>
      <c r="J97" s="7">
        <v>0</v>
      </c>
      <c r="K97" s="121" t="str">
        <f t="shared" si="34"/>
        <v>4041/4042</v>
      </c>
      <c r="L97" s="24" t="str">
        <f>VLOOKUP(A97,'Trips&amp;Operators'!$C$1:$E$10000,3,FALSE)</f>
        <v>STRICKLAND</v>
      </c>
      <c r="M97" s="6">
        <f t="shared" si="35"/>
        <v>2.5462962963501923E-2</v>
      </c>
      <c r="N97" s="7">
        <f t="shared" si="36"/>
        <v>36.666666667442769</v>
      </c>
      <c r="O97" s="7"/>
      <c r="P97" s="7"/>
      <c r="Q97" s="25"/>
      <c r="R97" s="25"/>
      <c r="S97" s="37">
        <f t="shared" si="37"/>
        <v>1</v>
      </c>
      <c r="T97" s="52" t="str">
        <f t="shared" si="38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13:09:50-0600',mode:absolute,to:'2016-09-17 15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7" s="54" t="str">
        <f t="shared" si="40"/>
        <v>N</v>
      </c>
      <c r="X97" s="168">
        <f t="shared" si="41"/>
        <v>1</v>
      </c>
      <c r="Y97" s="69">
        <f t="shared" si="42"/>
        <v>4.24E-2</v>
      </c>
      <c r="Z97" s="69">
        <f t="shared" si="43"/>
        <v>23.319600000000001</v>
      </c>
      <c r="AA97" s="69">
        <f t="shared" si="44"/>
        <v>23.277200000000001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5"/>
        <v>0185-17</v>
      </c>
      <c r="AE97" s="99" t="str">
        <f t="shared" si="46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97" s="96" t="str">
        <f t="shared" si="47"/>
        <v>"C:\Program Files (x86)\AstroGrep\AstroGrep.exe" /spath="%USERPROFILE%\AppData\Local\Temp\OnboardLogs" /stypes="app*4042*20160917*" /stext=" 20:.+((SYSTEM_STATE.+slice.+state.+changed )|(ment ac)|(system.+state.+changed )|(\|lc)|(penalty)|(\[timeout)|(PRM\|1\|D)|(kpr)|(kdp))" /e /r /s</v>
      </c>
      <c r="AG97" s="1" t="str">
        <f t="shared" si="48"/>
        <v>EC</v>
      </c>
      <c r="AH97" s="100" t="str">
        <f t="shared" si="49"/>
        <v>"%USERPROFILE%\Documents\GitHub\eaglep3\Utilities\RefineRTDCRunTimes.py" --tripid 185-17 --locoid 4042 --swversion DE.1.0.7.0 --startMP 204:424 --initTime 2016-09-17T14:09:50 --startdatetime 2016-09-17T14:15:11 --delay 1 --endMP 204:233196 --enddatetime 2016-09-17T14:51:51 --enforcementcount 0 &gt;&gt;C:\Users\stu\Documents\GitHub\eaglep3-reporting\EC\2016-09-17-refined-times.txt</v>
      </c>
      <c r="AI9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{"issue":{"subject":"","project_id":79,"tracker_id":40,"status_id":1,"priority_id":2,"assigned_to_id":23,"start_date":"2016-09-17","description":"","custom_fields":[{"id":1,"name":"Subdivision","value":"EC"},{"id":4,"name":"Milepost","value":"23.3196"},{"id":17,"name":"Train ID","value":"185-17"},{"id":16,"name":"Locomotive ID","value":"4042"},{"id":130,"name":"Impact","value":""},{"id":150,"name":"Time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520</v>
      </c>
      <c r="B98" s="7">
        <v>4041</v>
      </c>
      <c r="C98" s="24" t="s">
        <v>106</v>
      </c>
      <c r="D98" s="24" t="s">
        <v>689</v>
      </c>
      <c r="E98" s="15">
        <v>42630.622627314813</v>
      </c>
      <c r="F98" s="15">
        <v>42630.632777777777</v>
      </c>
      <c r="G98" s="7">
        <v>1</v>
      </c>
      <c r="H98" s="15" t="s">
        <v>233</v>
      </c>
      <c r="I98" s="15">
        <v>42630.662291666667</v>
      </c>
      <c r="J98" s="7">
        <v>0</v>
      </c>
      <c r="K98" s="121" t="str">
        <f t="shared" si="34"/>
        <v>4041/4042</v>
      </c>
      <c r="L98" s="24" t="str">
        <f>VLOOKUP(A98,'Trips&amp;Operators'!$C$1:$E$10000,3,FALSE)</f>
        <v>STRICKLAND</v>
      </c>
      <c r="M98" s="6">
        <f t="shared" si="35"/>
        <v>2.9513888890505768E-2</v>
      </c>
      <c r="N98" s="7">
        <f t="shared" si="36"/>
        <v>42.500000002328306</v>
      </c>
      <c r="O98" s="7"/>
      <c r="P98" s="7"/>
      <c r="Q98" s="25"/>
      <c r="R98" s="25"/>
      <c r="S98" s="37">
        <f t="shared" si="37"/>
        <v>1</v>
      </c>
      <c r="T98" s="52" t="str">
        <f t="shared" si="38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13:56:35-0600',mode:absolute,to:'2016-09-17 16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8" s="54" t="str">
        <f t="shared" si="40"/>
        <v>N</v>
      </c>
      <c r="X98" s="168">
        <f t="shared" si="41"/>
        <v>1</v>
      </c>
      <c r="Y98" s="69">
        <f t="shared" si="42"/>
        <v>23.287199999999999</v>
      </c>
      <c r="Z98" s="69">
        <f t="shared" si="43"/>
        <v>1.3899999999999999E-2</v>
      </c>
      <c r="AA98" s="69">
        <f t="shared" si="44"/>
        <v>23.273299999999999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5"/>
        <v>0186-17</v>
      </c>
      <c r="AE98" s="99" t="str">
        <f t="shared" si="46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98" s="96" t="str">
        <f t="shared" si="47"/>
        <v>"C:\Program Files (x86)\AstroGrep\AstroGrep.exe" /spath="%USERPROFILE%\AppData\Local\Temp\OnboardLogs" /stypes="app*4041*20160917*" /stext=" 21:.+((SYSTEM_STATE.+slice.+state.+changed )|(ment ac)|(system.+state.+changed )|(\|lc)|(penalty)|(\[timeout)|(PRM\|1\|D)|(kpr)|(kdp))" /e /r /s</v>
      </c>
      <c r="AG98" s="1" t="str">
        <f t="shared" si="48"/>
        <v>EC</v>
      </c>
      <c r="AH98" s="100" t="str">
        <f t="shared" si="49"/>
        <v>"%USERPROFILE%\Documents\GitHub\eaglep3\Utilities\RefineRTDCRunTimes.py" --tripid 186-17 --locoid 4041 --swversion DE.1.0.7.0 --startMP 204:232872 --initTime 2016-09-17T14:56:35 --startdatetime 2016-09-17T15:11:12 --delay 1 --endMP 204:139 --enddatetime 2016-09-17T15:53:42 --enforcementcount 0 &gt;&gt;C:\Users\stu\Documents\GitHub\eaglep3-reporting\EC\2016-09-17-refined-times.txt</v>
      </c>
      <c r="AI9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ID","value":"186-17"},{"id":16,"name":"Locomotive ID","value":"4041"},{"id":130,"name":"Impact","value":""},{"id":150,"name":"Time of Event (Mountain Time)","value":"15:53:42"},{"id":151,"name":"Denver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514</v>
      </c>
      <c r="B99" s="7">
        <v>4046</v>
      </c>
      <c r="C99" s="24" t="s">
        <v>106</v>
      </c>
      <c r="D99" s="24" t="s">
        <v>263</v>
      </c>
      <c r="E99" s="15">
        <v>42630.601863425924</v>
      </c>
      <c r="F99" s="15">
        <v>42630.604467592595</v>
      </c>
      <c r="G99" s="7">
        <v>1</v>
      </c>
      <c r="H99" s="15" t="s">
        <v>293</v>
      </c>
      <c r="I99" s="15">
        <v>42630.629236111112</v>
      </c>
      <c r="J99" s="7">
        <v>0</v>
      </c>
      <c r="K99" s="121" t="str">
        <f t="shared" si="34"/>
        <v>4045/4046</v>
      </c>
      <c r="L99" s="24" t="str">
        <f>VLOOKUP(A99,'Trips&amp;Operators'!$C$1:$E$10000,3,FALSE)</f>
        <v>STEWART</v>
      </c>
      <c r="M99" s="6">
        <f t="shared" si="35"/>
        <v>2.4768518516793847E-2</v>
      </c>
      <c r="N99" s="7">
        <f t="shared" si="36"/>
        <v>35.66666666418314</v>
      </c>
      <c r="O99" s="7"/>
      <c r="P99" s="7"/>
      <c r="Q99" s="25"/>
      <c r="R99" s="25"/>
      <c r="S99" s="37">
        <f t="shared" si="37"/>
        <v>1</v>
      </c>
      <c r="T99" s="52" t="str">
        <f t="shared" si="38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13:26:41-0600',mode:absolute,to:'2016-09-17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9" s="54" t="str">
        <f t="shared" si="40"/>
        <v>N</v>
      </c>
      <c r="X99" s="168">
        <f t="shared" si="41"/>
        <v>1</v>
      </c>
      <c r="Y99" s="69">
        <f t="shared" si="42"/>
        <v>4.6199999999999998E-2</v>
      </c>
      <c r="Z99" s="69">
        <f t="shared" si="43"/>
        <v>23.330100000000002</v>
      </c>
      <c r="AA99" s="69">
        <f t="shared" si="44"/>
        <v>23.283900000000003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5"/>
        <v>0187-17</v>
      </c>
      <c r="AE99" s="99" t="str">
        <f t="shared" si="46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99" s="96" t="str">
        <f t="shared" si="47"/>
        <v>"C:\Program Files (x86)\AstroGrep\AstroGrep.exe" /spath="%USERPROFILE%\AppData\Local\Temp\OnboardLogs" /stypes="app*4046*20160917*" /stext=" 21:.+((SYSTEM_STATE.+slice.+state.+changed )|(ment ac)|(system.+state.+changed )|(\|lc)|(penalty)|(\[timeout)|(PRM\|1\|D)|(kpr)|(kdp))" /e /r /s</v>
      </c>
      <c r="AG99" s="1" t="str">
        <f t="shared" si="48"/>
        <v>EC</v>
      </c>
      <c r="AH99" s="100" t="str">
        <f t="shared" si="49"/>
        <v>"%USERPROFILE%\Documents\GitHub\eaglep3\Utilities\RefineRTDCRunTimes.py" --tripid 187-17 --locoid 4046 --swversion DE.1.0.7.0 --startMP 204:462 --initTime 2016-09-17T14:26:41 --startdatetime 2016-09-17T14:30:26 --delay 1 --endMP 204:233301 --enddatetime 2016-09-17T15:06:06 --enforcementcount 0 &gt;&gt;C:\Users\stu\Documents\GitHub\eaglep3-reporting\EC\2016-09-17-refined-times.txt</v>
      </c>
      <c r="AI9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ID","value":"187-17"},{"id":16,"name":"Locomotive ID","value":"4046"},{"id":130,"name":"Impact","value":""},{"id":150,"name":"Time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523</v>
      </c>
      <c r="B100" s="7">
        <v>4045</v>
      </c>
      <c r="C100" s="24" t="s">
        <v>106</v>
      </c>
      <c r="D100" s="24" t="s">
        <v>236</v>
      </c>
      <c r="E100" s="15">
        <v>42630.639398148145</v>
      </c>
      <c r="F100" s="15">
        <v>42630.643321759257</v>
      </c>
      <c r="G100" s="7">
        <v>3</v>
      </c>
      <c r="H100" s="15" t="s">
        <v>219</v>
      </c>
      <c r="I100" s="15">
        <v>42630.672905092593</v>
      </c>
      <c r="J100" s="7">
        <v>0</v>
      </c>
      <c r="K100" s="121" t="str">
        <f t="shared" si="34"/>
        <v>4045/4046</v>
      </c>
      <c r="L100" s="24" t="str">
        <f>VLOOKUP(A100,'Trips&amp;Operators'!$C$1:$E$10000,3,FALSE)</f>
        <v>STEWART</v>
      </c>
      <c r="M100" s="6">
        <f t="shared" si="35"/>
        <v>2.9583333336631767E-2</v>
      </c>
      <c r="N100" s="7">
        <f t="shared" si="36"/>
        <v>42.600000004749745</v>
      </c>
      <c r="O100" s="7"/>
      <c r="P100" s="7"/>
      <c r="Q100" s="25"/>
      <c r="R100" s="25"/>
      <c r="S100" s="37">
        <f t="shared" si="37"/>
        <v>1</v>
      </c>
      <c r="T100" s="52" t="str">
        <f t="shared" si="38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14:20:44-0600',mode:absolute,to:'2016-09-17 17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0" s="54" t="str">
        <f t="shared" si="40"/>
        <v>N</v>
      </c>
      <c r="X100" s="168">
        <f t="shared" si="41"/>
        <v>1</v>
      </c>
      <c r="Y100" s="69">
        <f t="shared" si="42"/>
        <v>23.298400000000001</v>
      </c>
      <c r="Z100" s="69">
        <f t="shared" si="43"/>
        <v>1.5800000000000002E-2</v>
      </c>
      <c r="AA100" s="69">
        <f t="shared" si="44"/>
        <v>23.282600000000002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5"/>
        <v>0188-17</v>
      </c>
      <c r="AE100" s="99" t="str">
        <f t="shared" si="46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00" s="96" t="str">
        <f t="shared" si="47"/>
        <v>"C:\Program Files (x86)\AstroGrep\AstroGrep.exe" /spath="%USERPROFILE%\AppData\Local\Temp\OnboardLogs" /stypes="app*4045*20160917*" /stext=" 22:.+((SYSTEM_STATE.+slice.+state.+changed )|(ment ac)|(system.+state.+changed )|(\|lc)|(penalty)|(\[timeout)|(PRM\|1\|D)|(kpr)|(kdp))" /e /r /s</v>
      </c>
      <c r="AG100" s="1" t="str">
        <f t="shared" si="48"/>
        <v>EC</v>
      </c>
      <c r="AH100" s="100" t="str">
        <f t="shared" si="49"/>
        <v>"%USERPROFILE%\Documents\GitHub\eaglep3\Utilities\RefineRTDCRunTimes.py" --tripid 188-17 --locoid 4045 --swversion DE.1.0.7.0 --startMP 204:232984 --initTime 2016-09-17T15:20:44 --startdatetime 2016-09-17T15:26:23 --delay 3 --endMP 204:158 --enddatetime 2016-09-17T16:08:59 --enforcementcount 0 &gt;&gt;C:\Users\stu\Documents\GitHub\eaglep3-reporting\EC\2016-09-17-refined-times.txt</v>
      </c>
      <c r="AI10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ID","value":"188-17"},{"id":16,"name":"Locomotive ID","value":"4045"},{"id":130,"name":"Impact","value":""},{"id":150,"name":"Time of Event (Mountain Time)","value":"16:08:59"},{"id":151,"name":"Denver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516</v>
      </c>
      <c r="B101" s="7">
        <v>4011</v>
      </c>
      <c r="C101" s="24" t="s">
        <v>106</v>
      </c>
      <c r="D101" s="24" t="s">
        <v>221</v>
      </c>
      <c r="E101" s="15">
        <v>42630.609050925923</v>
      </c>
      <c r="F101" s="15">
        <v>42630.614988425928</v>
      </c>
      <c r="G101" s="7">
        <v>1</v>
      </c>
      <c r="H101" s="15" t="s">
        <v>354</v>
      </c>
      <c r="I101" s="15">
        <v>42630.640011574076</v>
      </c>
      <c r="J101" s="7">
        <v>0</v>
      </c>
      <c r="K101" s="121" t="str">
        <f t="shared" si="34"/>
        <v>4011/4012</v>
      </c>
      <c r="L101" s="24" t="str">
        <f>VLOOKUP(A101,'Trips&amp;Operators'!$C$1:$E$10000,3,FALSE)</f>
        <v>BARTLETT</v>
      </c>
      <c r="M101" s="6">
        <f t="shared" si="35"/>
        <v>2.5023148147738539E-2</v>
      </c>
      <c r="N101" s="7">
        <f t="shared" si="36"/>
        <v>36.033333332743496</v>
      </c>
      <c r="O101" s="7"/>
      <c r="P101" s="7"/>
      <c r="Q101" s="25"/>
      <c r="R101" s="25"/>
      <c r="S101" s="37">
        <f t="shared" si="37"/>
        <v>1</v>
      </c>
      <c r="T101" s="52" t="str">
        <f t="shared" si="38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13:37:02-0600',mode:absolute,to:'2016-09-17 16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1" s="54" t="str">
        <f t="shared" si="40"/>
        <v>N</v>
      </c>
      <c r="X101" s="168">
        <f t="shared" si="41"/>
        <v>1</v>
      </c>
      <c r="Y101" s="69">
        <f t="shared" si="42"/>
        <v>4.53E-2</v>
      </c>
      <c r="Z101" s="69">
        <f t="shared" si="43"/>
        <v>23.326799999999999</v>
      </c>
      <c r="AA101" s="69">
        <f t="shared" si="44"/>
        <v>23.281499999999998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5"/>
        <v>0189-17</v>
      </c>
      <c r="AE101" s="99" t="str">
        <f t="shared" si="46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01" s="96" t="str">
        <f t="shared" si="47"/>
        <v>"C:\Program Files (x86)\AstroGrep\AstroGrep.exe" /spath="%USERPROFILE%\AppData\Local\Temp\OnboardLogs" /stypes="app*4011*20160917*" /stext=" 21:.+((SYSTEM_STATE.+slice.+state.+changed )|(ment ac)|(system.+state.+changed )|(\|lc)|(penalty)|(\[timeout)|(PRM\|1\|D)|(kpr)|(kdp))" /e /r /s</v>
      </c>
      <c r="AG101" s="1" t="str">
        <f t="shared" si="48"/>
        <v>EC</v>
      </c>
      <c r="AH101" s="100" t="str">
        <f t="shared" si="49"/>
        <v>"%USERPROFILE%\Documents\GitHub\eaglep3\Utilities\RefineRTDCRunTimes.py" --tripid 189-17 --locoid 4011 --swversion DE.1.0.7.0 --startMP 204:453 --initTime 2016-09-17T14:37:02 --startdatetime 2016-09-17T14:45:35 --delay 1 --endMP 204:233268 --enddatetime 2016-09-17T15:21:37 --enforcementcount 0 &gt;&gt;C:\Users\stu\Documents\GitHub\eaglep3-reporting\EC\2016-09-17-refined-times.txt</v>
      </c>
      <c r="AI10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ID","value":"189-17"},{"id":16,"name":"Locomotive ID","value":"4011"},{"id":130,"name":"Impact","value":""},{"id":150,"name":"Time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525</v>
      </c>
      <c r="B102" s="7">
        <v>4012</v>
      </c>
      <c r="C102" s="24" t="s">
        <v>106</v>
      </c>
      <c r="D102" s="24" t="s">
        <v>280</v>
      </c>
      <c r="E102" s="15">
        <v>42630.641458333332</v>
      </c>
      <c r="F102" s="15">
        <v>42630.653703703705</v>
      </c>
      <c r="G102" s="7">
        <v>1</v>
      </c>
      <c r="H102" s="15" t="s">
        <v>308</v>
      </c>
      <c r="I102" s="15">
        <v>42630.680497685185</v>
      </c>
      <c r="J102" s="7">
        <v>0</v>
      </c>
      <c r="K102" s="121" t="str">
        <f t="shared" si="34"/>
        <v>4011/4012</v>
      </c>
      <c r="L102" s="24" t="str">
        <f>VLOOKUP(A102,'Trips&amp;Operators'!$C$1:$E$10000,3,FALSE)</f>
        <v>BARTLETT</v>
      </c>
      <c r="M102" s="6">
        <f t="shared" si="35"/>
        <v>2.679398148029577E-2</v>
      </c>
      <c r="N102" s="7">
        <f t="shared" si="36"/>
        <v>38.583333331625909</v>
      </c>
      <c r="O102" s="7"/>
      <c r="P102" s="7"/>
      <c r="Q102" s="25"/>
      <c r="R102" s="25"/>
      <c r="S102" s="37">
        <f t="shared" si="37"/>
        <v>1</v>
      </c>
      <c r="T102" s="52" t="str">
        <f t="shared" si="38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14:23:42-0600',mode:absolute,to:'2016-09-17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2" s="54" t="str">
        <f t="shared" si="40"/>
        <v>N</v>
      </c>
      <c r="X102" s="168">
        <f t="shared" si="41"/>
        <v>1</v>
      </c>
      <c r="Y102" s="69">
        <f t="shared" si="42"/>
        <v>23.2959</v>
      </c>
      <c r="Z102" s="69">
        <f t="shared" si="43"/>
        <v>1.61E-2</v>
      </c>
      <c r="AA102" s="69">
        <f t="shared" si="44"/>
        <v>23.279799999999998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5"/>
        <v>0190-17</v>
      </c>
      <c r="AE102" s="99" t="str">
        <f t="shared" si="46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02" s="96" t="str">
        <f t="shared" si="47"/>
        <v>"C:\Program Files (x86)\AstroGrep\AstroGrep.exe" /spath="%USERPROFILE%\AppData\Local\Temp\OnboardLogs" /stypes="app*4012*20160917*" /stext=" 22:.+((SYSTEM_STATE.+slice.+state.+changed )|(ment ac)|(system.+state.+changed )|(\|lc)|(penalty)|(\[timeout)|(PRM\|1\|D)|(kpr)|(kdp))" /e /r /s</v>
      </c>
      <c r="AG102" s="1" t="str">
        <f t="shared" si="48"/>
        <v>EC</v>
      </c>
      <c r="AH102" s="100" t="str">
        <f t="shared" si="49"/>
        <v>"%USERPROFILE%\Documents\GitHub\eaglep3\Utilities\RefineRTDCRunTimes.py" --tripid 190-17 --locoid 4012 --swversion DE.1.0.7.0 --startMP 204:232959 --initTime 2016-09-17T15:23:42 --startdatetime 2016-09-17T15:41:20 --delay 1 --endMP 204:161 --enddatetime 2016-09-17T16:19:55 --enforcementcount 0 &gt;&gt;C:\Users\stu\Documents\GitHub\eaglep3-reporting\EC\2016-09-17-refined-times.txt</v>
      </c>
      <c r="AI10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ID","value":"190-17"},{"id":16,"name":"Locomotive ID","value":"4012"},{"id":130,"name":"Impact","value":""},{"id":150,"name":"Time of Event (Mountain Time)","value":"16:19:55"},{"id":151,"name":"Denver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519</v>
      </c>
      <c r="B103" s="7">
        <v>4040</v>
      </c>
      <c r="C103" s="24" t="s">
        <v>106</v>
      </c>
      <c r="D103" s="24" t="s">
        <v>228</v>
      </c>
      <c r="E103" s="15">
        <v>42630.622083333335</v>
      </c>
      <c r="F103" s="15">
        <v>42630.625208333331</v>
      </c>
      <c r="G103" s="7">
        <v>1</v>
      </c>
      <c r="H103" s="15" t="s">
        <v>292</v>
      </c>
      <c r="I103" s="15">
        <v>42630.650740740741</v>
      </c>
      <c r="J103" s="7">
        <v>0</v>
      </c>
      <c r="K103" s="121" t="str">
        <f t="shared" si="34"/>
        <v>4039/4040</v>
      </c>
      <c r="L103" s="24" t="str">
        <f>VLOOKUP(A103,'Trips&amp;Operators'!$C$1:$E$10000,3,FALSE)</f>
        <v>MOSES</v>
      </c>
      <c r="M103" s="6">
        <f t="shared" si="35"/>
        <v>2.5532407409627922E-2</v>
      </c>
      <c r="N103" s="7">
        <f t="shared" si="36"/>
        <v>36.766666669864208</v>
      </c>
      <c r="O103" s="7"/>
      <c r="P103" s="7"/>
      <c r="Q103" s="25"/>
      <c r="R103" s="25"/>
      <c r="S103" s="37">
        <f t="shared" si="37"/>
        <v>1</v>
      </c>
      <c r="T103" s="52" t="str">
        <f t="shared" si="38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13:55:48-0600',mode:absolute,to:'2016-09-17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 t="shared" si="40"/>
        <v>N</v>
      </c>
      <c r="X103" s="168">
        <f t="shared" si="41"/>
        <v>1</v>
      </c>
      <c r="Y103" s="69">
        <f t="shared" si="42"/>
        <v>4.5100000000000001E-2</v>
      </c>
      <c r="Z103" s="69">
        <f t="shared" si="43"/>
        <v>23.330500000000001</v>
      </c>
      <c r="AA103" s="69">
        <f t="shared" si="44"/>
        <v>23.285399999999999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5"/>
        <v>0191-17</v>
      </c>
      <c r="AE103" s="99" t="str">
        <f t="shared" si="46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03" s="96" t="str">
        <f t="shared" si="47"/>
        <v>"C:\Program Files (x86)\AstroGrep\AstroGrep.exe" /spath="%USERPROFILE%\AppData\Local\Temp\OnboardLogs" /stypes="app*4040*20160917*" /stext=" 21:.+((SYSTEM_STATE.+slice.+state.+changed )|(ment ac)|(system.+state.+changed )|(\|lc)|(penalty)|(\[timeout)|(PRM\|1\|D)|(kpr)|(kdp))" /e /r /s</v>
      </c>
      <c r="AG103" s="1" t="str">
        <f t="shared" si="48"/>
        <v>EC</v>
      </c>
      <c r="AH103" s="100" t="str">
        <f t="shared" si="49"/>
        <v>"%USERPROFILE%\Documents\GitHub\eaglep3\Utilities\RefineRTDCRunTimes.py" --tripid 191-17 --locoid 4040 --swversion DE.1.0.7.0 --startMP 204:451 --initTime 2016-09-17T14:55:48 --startdatetime 2016-09-17T15:00:18 --delay 1 --endMP 204:233305 --enddatetime 2016-09-17T15:37:04 --enforcementcount 0 &gt;&gt;C:\Users\stu\Documents\GitHub\eaglep3-reporting\EC\2016-09-17-refined-times.txt</v>
      </c>
      <c r="AI10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{"issue":{"subject":"","project_id":79,"tracker_id":40,"status_id":1,"priority_id":2,"assigned_to_id":23,"start_date":"2016-09-17","description":"","custom_fields":[{"id":1,"name":"Subdivision","value":"EC"},{"id":4,"name":"Milepost","value":"23.3305"},{"id":17,"name":"Train ID","value":"191-17"},{"id":16,"name":"Locomotive ID","value":"4040"},{"id":130,"name":"Impact","value":""},{"id":150,"name":"Time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528</v>
      </c>
      <c r="B104" s="7">
        <v>4039</v>
      </c>
      <c r="C104" s="24" t="s">
        <v>106</v>
      </c>
      <c r="D104" s="24" t="s">
        <v>281</v>
      </c>
      <c r="E104" s="15">
        <v>42630.659861111111</v>
      </c>
      <c r="F104" s="15">
        <v>42630.664212962962</v>
      </c>
      <c r="G104" s="7">
        <v>2</v>
      </c>
      <c r="H104" s="15" t="s">
        <v>308</v>
      </c>
      <c r="I104" s="15">
        <v>42630.691747685189</v>
      </c>
      <c r="J104" s="7">
        <v>0</v>
      </c>
      <c r="K104" s="121" t="str">
        <f t="shared" si="34"/>
        <v>4039/4040</v>
      </c>
      <c r="L104" s="24" t="str">
        <f>VLOOKUP(A104,'Trips&amp;Operators'!$C$1:$E$10000,3,FALSE)</f>
        <v>MOSES</v>
      </c>
      <c r="M104" s="6">
        <f t="shared" si="35"/>
        <v>2.7534722226846498E-2</v>
      </c>
      <c r="N104" s="7">
        <f t="shared" si="36"/>
        <v>39.650000006658956</v>
      </c>
      <c r="O104" s="7"/>
      <c r="P104" s="7"/>
      <c r="Q104" s="25"/>
      <c r="R104" s="25"/>
      <c r="S104" s="37">
        <f t="shared" si="37"/>
        <v>1</v>
      </c>
      <c r="T104" s="52" t="str">
        <f t="shared" si="38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14:50:12-0600',mode:absolute,to:'2016-09-17 17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 t="shared" si="40"/>
        <v>N</v>
      </c>
      <c r="X104" s="168">
        <f t="shared" si="41"/>
        <v>1</v>
      </c>
      <c r="Y104" s="69">
        <f t="shared" si="42"/>
        <v>23.2986</v>
      </c>
      <c r="Z104" s="69">
        <f t="shared" si="43"/>
        <v>1.61E-2</v>
      </c>
      <c r="AA104" s="69">
        <f t="shared" si="44"/>
        <v>23.282499999999999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5"/>
        <v>0192-17</v>
      </c>
      <c r="AE104" s="99" t="str">
        <f t="shared" si="46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04" s="96" t="str">
        <f t="shared" si="47"/>
        <v>"C:\Program Files (x86)\AstroGrep\AstroGrep.exe" /spath="%USERPROFILE%\AppData\Local\Temp\OnboardLogs" /stypes="app*4039*20160917*" /stext=" 22:.+((SYSTEM_STATE.+slice.+state.+changed )|(ment ac)|(system.+state.+changed )|(\|lc)|(penalty)|(\[timeout)|(PRM\|1\|D)|(kpr)|(kdp))" /e /r /s</v>
      </c>
      <c r="AG104" s="1" t="str">
        <f t="shared" si="48"/>
        <v>EC</v>
      </c>
      <c r="AH104" s="100" t="str">
        <f t="shared" si="49"/>
        <v>"%USERPROFILE%\Documents\GitHub\eaglep3\Utilities\RefineRTDCRunTimes.py" --tripid 192-17 --locoid 4039 --swversion DE.1.0.7.0 --startMP 204:232986 --initTime 2016-09-17T15:50:12 --startdatetime 2016-09-17T15:56:28 --delay 2 --endMP 204:161 --enddatetime 2016-09-17T16:36:07 --enforcementcount 0 &gt;&gt;C:\Users\stu\Documents\GitHub\eaglep3-reporting\EC\2016-09-17-refined-times.txt</v>
      </c>
      <c r="AI10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ID","value":"192-17"},{"id":16,"name":"Locomotive ID","value":"4039"},{"id":130,"name":"Impact","value":""},{"id":150,"name":"Time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521</v>
      </c>
      <c r="B105" s="7">
        <v>4027</v>
      </c>
      <c r="C105" s="24" t="s">
        <v>106</v>
      </c>
      <c r="D105" s="24" t="s">
        <v>239</v>
      </c>
      <c r="E105" s="15">
        <v>42630.631423611114</v>
      </c>
      <c r="F105" s="15">
        <v>42630.635613425926</v>
      </c>
      <c r="G105" s="7">
        <v>1</v>
      </c>
      <c r="H105" s="15" t="s">
        <v>376</v>
      </c>
      <c r="I105" s="15">
        <v>42630.668043981481</v>
      </c>
      <c r="J105" s="7">
        <v>0</v>
      </c>
      <c r="K105" s="121" t="str">
        <f t="shared" si="34"/>
        <v>4027/4028</v>
      </c>
      <c r="L105" s="24" t="str">
        <f>VLOOKUP(A105,'Trips&amp;Operators'!$C$1:$E$10000,3,FALSE)</f>
        <v>SHOOK</v>
      </c>
      <c r="M105" s="6">
        <f t="shared" si="35"/>
        <v>3.2430555555038154E-2</v>
      </c>
      <c r="N105" s="7">
        <f t="shared" si="36"/>
        <v>46.699999999254942</v>
      </c>
      <c r="O105" s="7"/>
      <c r="P105" s="7"/>
      <c r="Q105" s="25"/>
      <c r="R105" s="25"/>
      <c r="S105" s="37">
        <f t="shared" si="37"/>
        <v>1</v>
      </c>
      <c r="T105" s="52" t="str">
        <f t="shared" si="38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14:09:15-0600',mode:absolute,to:'2016-09-17 17:01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40"/>
        <v>N</v>
      </c>
      <c r="X105" s="168">
        <f t="shared" si="41"/>
        <v>1</v>
      </c>
      <c r="Y105" s="69">
        <f t="shared" si="42"/>
        <v>4.5999999999999999E-2</v>
      </c>
      <c r="Z105" s="69">
        <f t="shared" si="43"/>
        <v>23.3247</v>
      </c>
      <c r="AA105" s="69">
        <f t="shared" si="44"/>
        <v>23.278700000000001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5"/>
        <v>0193-17</v>
      </c>
      <c r="AE105" s="99" t="str">
        <f t="shared" si="46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05" s="96" t="str">
        <f t="shared" si="47"/>
        <v>"C:\Program Files (x86)\AstroGrep\AstroGrep.exe" /spath="%USERPROFILE%\AppData\Local\Temp\OnboardLogs" /stypes="app*4027*20160917*" /stext=" 22:.+((SYSTEM_STATE.+slice.+state.+changed )|(ment ac)|(system.+state.+changed )|(\|lc)|(penalty)|(\[timeout)|(PRM\|1\|D)|(kpr)|(kdp))" /e /r /s</v>
      </c>
      <c r="AG105" s="1" t="str">
        <f t="shared" si="48"/>
        <v>EC</v>
      </c>
      <c r="AH105" s="100" t="str">
        <f t="shared" si="49"/>
        <v>"%USERPROFILE%\Documents\GitHub\eaglep3\Utilities\RefineRTDCRunTimes.py" --tripid 193-17 --locoid 4027 --swversion DE.1.0.7.0 --startMP 204:460 --initTime 2016-09-17T15:09:15 --startdatetime 2016-09-17T15:15:17 --delay 1 --endMP 204:233247 --enddatetime 2016-09-17T16:01:59 --enforcementcount 0 &gt;&gt;C:\Users\stu\Documents\GitHub\eaglep3-reporting\EC\2016-09-17-refined-times.txt</v>
      </c>
      <c r="AI10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{"issue":{"subject":"","project_id":79,"tracker_id":40,"status_id":1,"priority_id":2,"assigned_to_id":23,"start_date":"2016-09-17","description":"","custom_fields":[{"id":1,"name":"Subdivision","value":"EC"},{"id":4,"name":"Milepost","value":"23.3247"},{"id":17,"name":"Train ID","value":"193-17"},{"id":16,"name":"Locomotive ID","value":"4027"},{"id":130,"name":"Impact","value":""},{"id":150,"name":"Time of Event (Mountain Time)","value":"16:01:59"},{"id":151,"name":"Denver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530</v>
      </c>
      <c r="B106" s="7">
        <v>4028</v>
      </c>
      <c r="C106" s="24" t="s">
        <v>106</v>
      </c>
      <c r="D106" s="24" t="s">
        <v>691</v>
      </c>
      <c r="E106" s="15">
        <v>42630.671539351853</v>
      </c>
      <c r="F106" s="15">
        <v>42630.674525462964</v>
      </c>
      <c r="G106" s="7">
        <v>1</v>
      </c>
      <c r="H106" s="15" t="s">
        <v>128</v>
      </c>
      <c r="I106" s="15">
        <v>42630.704988425925</v>
      </c>
      <c r="J106" s="7">
        <v>0</v>
      </c>
      <c r="K106" s="121" t="str">
        <f t="shared" si="34"/>
        <v>4027/4028</v>
      </c>
      <c r="L106" s="24" t="str">
        <f>VLOOKUP(A106,'Trips&amp;Operators'!$C$1:$E$10000,3,FALSE)</f>
        <v>SHOOK</v>
      </c>
      <c r="M106" s="6">
        <f t="shared" si="35"/>
        <v>3.0462962960882578E-2</v>
      </c>
      <c r="N106" s="7">
        <f t="shared" si="36"/>
        <v>43.866666663670912</v>
      </c>
      <c r="O106" s="7"/>
      <c r="P106" s="7"/>
      <c r="Q106" s="25"/>
      <c r="R106" s="25"/>
      <c r="S106" s="37">
        <f t="shared" si="37"/>
        <v>1</v>
      </c>
      <c r="T106" s="52" t="str">
        <f t="shared" si="38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40"/>
        <v>N</v>
      </c>
      <c r="X106" s="168">
        <f t="shared" si="41"/>
        <v>1</v>
      </c>
      <c r="Y106" s="69">
        <f t="shared" si="42"/>
        <v>23.292100000000001</v>
      </c>
      <c r="Z106" s="69">
        <f t="shared" si="43"/>
        <v>1.54E-2</v>
      </c>
      <c r="AA106" s="69">
        <f t="shared" si="44"/>
        <v>23.276700000000002</v>
      </c>
      <c r="AB106" s="66" t="str">
        <f>VLOOKUP(A106,Enforcements!$C$7:$K$20,8,0)</f>
        <v>Bulletin (2)</v>
      </c>
      <c r="AC106" s="62" t="str">
        <f>VLOOKUP(A106,Enforcements!$C$7:$E$20,3,0)</f>
        <v>GRADE CROSSING</v>
      </c>
      <c r="AD106" s="63" t="str">
        <f t="shared" si="45"/>
        <v>0194-17</v>
      </c>
      <c r="AE106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06" s="96" t="str">
        <f t="shared" si="47"/>
        <v>"C:\Program Files (x86)\AstroGrep\AstroGrep.exe" /spath="%USERPROFILE%\AppData\Local\Temp\OnboardLogs" /stypes="app*4028*20160917*" /stext=" 22:.+((SYSTEM_STATE.+slice.+state.+changed )|(ment ac)|(system.+state.+changed )|(\|lc)|(penalty)|(\[timeout)|(PRM\|1\|D)|(kpr)|(kdp))" /e /r /s</v>
      </c>
      <c r="AG106" s="1" t="str">
        <f t="shared" si="48"/>
        <v>EC</v>
      </c>
      <c r="AH106" s="100" t="str">
        <f t="shared" si="49"/>
        <v>"%USERPROFILE%\Documents\GitHub\eaglep3\Utilities\RefineRTDCRunTimes.py" --tripid 194-17 --locoid 4028 --swversion DE.1.0.7.0 --startMP 204:232921 --initTime 2016-09-17T16:07:01 --startdatetime 2016-09-17T16:11:19 --delay 1 --endMP 204:154 --enddatetime 2016-09-17T16:55:11 --enforcementcount 0 &gt;&gt;C:\Users\stu\Documents\GitHub\eaglep3-reporting\EC\2016-09-17-refined-times.txt</v>
      </c>
      <c r="AI10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ID","value":"194-17"},{"id":16,"name":"Locomotive ID","value":"4028"},{"id":130,"name":"Impact","value":""},{"id":150,"name":"Time of Event (Mountain Time)","value":"16:55:11"},{"id":151,"name":"Denver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524</v>
      </c>
      <c r="B107" s="7">
        <v>4025</v>
      </c>
      <c r="C107" s="24" t="s">
        <v>106</v>
      </c>
      <c r="D107" s="24" t="s">
        <v>234</v>
      </c>
      <c r="E107" s="15">
        <v>42630.640914351854</v>
      </c>
      <c r="F107" s="15">
        <v>42630.64603009259</v>
      </c>
      <c r="G107" s="7">
        <v>2</v>
      </c>
      <c r="H107" s="15" t="s">
        <v>261</v>
      </c>
      <c r="I107" s="15">
        <v>42630.671493055554</v>
      </c>
      <c r="J107" s="7">
        <v>0</v>
      </c>
      <c r="K107" s="121" t="str">
        <f t="shared" si="34"/>
        <v>4025/4026</v>
      </c>
      <c r="L107" s="24" t="str">
        <f>VLOOKUP(A107,'Trips&amp;Operators'!$C$1:$E$10000,3,FALSE)</f>
        <v>BRUDER</v>
      </c>
      <c r="M107" s="6">
        <f t="shared" si="35"/>
        <v>2.5462962963501923E-2</v>
      </c>
      <c r="N107" s="7">
        <f t="shared" si="36"/>
        <v>36.666666667442769</v>
      </c>
      <c r="O107" s="7"/>
      <c r="P107" s="7"/>
      <c r="Q107" s="25"/>
      <c r="R107" s="25"/>
      <c r="S107" s="37">
        <f t="shared" si="37"/>
        <v>1</v>
      </c>
      <c r="T107" s="52" t="str">
        <f t="shared" si="38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14:22:55-0600',mode:absolute,to:'2016-09-17 17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7" s="54" t="str">
        <f t="shared" si="40"/>
        <v>N</v>
      </c>
      <c r="X107" s="168">
        <f t="shared" si="41"/>
        <v>1</v>
      </c>
      <c r="Y107" s="69">
        <f t="shared" si="42"/>
        <v>4.58E-2</v>
      </c>
      <c r="Z107" s="69">
        <f t="shared" si="43"/>
        <v>23.329899999999999</v>
      </c>
      <c r="AA107" s="69">
        <f t="shared" si="44"/>
        <v>23.284099999999999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5"/>
        <v>0195-17</v>
      </c>
      <c r="AE107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07" s="96" t="str">
        <f t="shared" si="47"/>
        <v>"C:\Program Files (x86)\AstroGrep\AstroGrep.exe" /spath="%USERPROFILE%\AppData\Local\Temp\OnboardLogs" /stypes="app*4025*20160917*" /stext=" 22:.+((SYSTEM_STATE.+slice.+state.+changed )|(ment ac)|(system.+state.+changed )|(\|lc)|(penalty)|(\[timeout)|(PRM\|1\|D)|(kpr)|(kdp))" /e /r /s</v>
      </c>
      <c r="AG107" s="1" t="str">
        <f t="shared" si="48"/>
        <v>EC</v>
      </c>
      <c r="AH107" s="100" t="str">
        <f t="shared" si="49"/>
        <v>"%USERPROFILE%\Documents\GitHub\eaglep3\Utilities\RefineRTDCRunTimes.py" --tripid 195-17 --locoid 4025 --swversion DE.1.0.7.0 --startMP 204:458 --initTime 2016-09-17T15:22:55 --startdatetime 2016-09-17T15:30:17 --delay 2 --endMP 204:233299 --enddatetime 2016-09-17T16:06:57 --enforcementcount 0 &gt;&gt;C:\Users\stu\Documents\GitHub\eaglep3-reporting\EC\2016-09-17-refined-times.txt</v>
      </c>
      <c r="AI10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ID","value":"195-17"},{"id":16,"name":"Locomotive ID","value":"4025"},{"id":130,"name":"Impact","value":""},{"id":150,"name":"Time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533</v>
      </c>
      <c r="B108" s="7">
        <v>4026</v>
      </c>
      <c r="C108" s="24" t="s">
        <v>106</v>
      </c>
      <c r="D108" s="24" t="s">
        <v>242</v>
      </c>
      <c r="E108" s="15">
        <v>42630.677916666667</v>
      </c>
      <c r="F108" s="15">
        <v>42630.684918981482</v>
      </c>
      <c r="G108" s="7">
        <v>1</v>
      </c>
      <c r="H108" s="15" t="s">
        <v>238</v>
      </c>
      <c r="I108" s="15">
        <v>42630.711724537039</v>
      </c>
      <c r="J108" s="7">
        <v>0</v>
      </c>
      <c r="K108" s="121" t="str">
        <f t="shared" si="34"/>
        <v>4025/4026</v>
      </c>
      <c r="L108" s="24" t="str">
        <f>VLOOKUP(A108,'Trips&amp;Operators'!$C$1:$E$10000,3,FALSE)</f>
        <v>BRUDER</v>
      </c>
      <c r="M108" s="6">
        <f t="shared" si="35"/>
        <v>2.6805555557075422E-2</v>
      </c>
      <c r="N108" s="7">
        <f t="shared" si="36"/>
        <v>38.600000002188608</v>
      </c>
      <c r="O108" s="7"/>
      <c r="P108" s="7"/>
      <c r="Q108" s="25"/>
      <c r="R108" s="25"/>
      <c r="S108" s="37">
        <f t="shared" si="37"/>
        <v>1</v>
      </c>
      <c r="T108" s="52" t="str">
        <f t="shared" si="38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15:16:12-0600',mode:absolute,to:'2016-09-17 18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8" s="54" t="str">
        <f t="shared" si="40"/>
        <v>N</v>
      </c>
      <c r="X108" s="168">
        <f t="shared" si="41"/>
        <v>1</v>
      </c>
      <c r="Y108" s="69">
        <f t="shared" si="42"/>
        <v>23.297799999999999</v>
      </c>
      <c r="Z108" s="69">
        <f t="shared" si="43"/>
        <v>1.41E-2</v>
      </c>
      <c r="AA108" s="69">
        <f t="shared" si="44"/>
        <v>23.2837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5"/>
        <v>0196-17</v>
      </c>
      <c r="AE108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08" s="96" t="str">
        <f t="shared" si="47"/>
        <v>"C:\Program Files (x86)\AstroGrep\AstroGrep.exe" /spath="%USERPROFILE%\AppData\Local\Temp\OnboardLogs" /stypes="app*4026*20160917*" /stext=" 23:.+((SYSTEM_STATE.+slice.+state.+changed )|(ment ac)|(system.+state.+changed )|(\|lc)|(penalty)|(\[timeout)|(PRM\|1\|D)|(kpr)|(kdp))" /e /r /s</v>
      </c>
      <c r="AG108" s="1" t="str">
        <f t="shared" si="48"/>
        <v>EC</v>
      </c>
      <c r="AH108" s="100" t="str">
        <f t="shared" si="49"/>
        <v>"%USERPROFILE%\Documents\GitHub\eaglep3\Utilities\RefineRTDCRunTimes.py" --tripid 196-17 --locoid 4026 --swversion DE.1.0.7.0 --startMP 204:232978 --initTime 2016-09-17T16:16:12 --startdatetime 2016-09-17T16:26:17 --delay 1 --endMP 204:141 --enddatetime 2016-09-17T17:04:53 --enforcementcount 0 &gt;&gt;C:\Users\stu\Documents\GitHub\eaglep3-reporting\EC\2016-09-17-refined-times.txt</v>
      </c>
      <c r="AI10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ID","value":"196-17"},{"id":16,"name":"Locomotive ID","value":"4026"},{"id":130,"name":"Impact","value":""},{"id":150,"name":"Time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527</v>
      </c>
      <c r="B109" s="7">
        <v>4053</v>
      </c>
      <c r="C109" s="24" t="s">
        <v>106</v>
      </c>
      <c r="D109" s="24" t="s">
        <v>630</v>
      </c>
      <c r="E109" s="15">
        <v>42630.654756944445</v>
      </c>
      <c r="F109" s="15">
        <v>42630.656689814816</v>
      </c>
      <c r="G109" s="7">
        <v>1</v>
      </c>
      <c r="H109" s="15" t="s">
        <v>692</v>
      </c>
      <c r="I109" s="15">
        <v>42630.683182870373</v>
      </c>
      <c r="J109" s="7">
        <v>0</v>
      </c>
      <c r="K109" s="121" t="str">
        <f t="shared" ref="K109:K140" si="51">IF(ISEVEN(B109),(B109-1)&amp;"/"&amp;B109,B109&amp;"/"&amp;(B109+1))</f>
        <v>4053/4054</v>
      </c>
      <c r="L109" s="24" t="str">
        <f>VLOOKUP(A109,'Trips&amp;Operators'!$C$1:$E$10000,3,FALSE)</f>
        <v>CLARK</v>
      </c>
      <c r="M109" s="6">
        <f t="shared" ref="M109:M140" si="52">I109-F109</f>
        <v>2.6493055556784384E-2</v>
      </c>
      <c r="N109" s="7">
        <f t="shared" si="36"/>
        <v>38.150000001769513</v>
      </c>
      <c r="O109" s="7"/>
      <c r="P109" s="7"/>
      <c r="Q109" s="25"/>
      <c r="R109" s="25"/>
      <c r="S109" s="37">
        <f t="shared" ref="S109:S140" si="53">SUM(U109:U109)/IF(AG109="EC",12,1)</f>
        <v>1</v>
      </c>
      <c r="T109" s="52" t="str">
        <f t="shared" ref="T109:T140" si="54"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5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https://search-rtdc-monitor-bjffxe2xuh6vdkpspy63sjmuny.us-east-1.es.amazonaws.com/_plugin/kibana/#/discover/Steve-Slow-Train-Analysis-(2080s-and-2083s)?_g=(refreshInterval:(display:Off,section:0,value:0),time:(from:'2016-09-17 14:42:51-0600',mode:absolute,to:'2016-09-17 17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9" s="54" t="str">
        <f t="shared" ref="W109:W140" si="56">IF(AA109&lt;IF(AG109="EC",23,5.65),"Y","N")</f>
        <v>N</v>
      </c>
      <c r="X109" s="168">
        <f t="shared" ref="X109:X138" si="57">VALUE(LEFT(AD109,4))-VALUE(LEFT(AD108,4))</f>
        <v>1</v>
      </c>
      <c r="Y109" s="69">
        <f t="shared" ref="Y109:Y140" si="58">RIGHT(D109,LEN(D109)-4)/10000</f>
        <v>4.82E-2</v>
      </c>
      <c r="Z109" s="69">
        <f t="shared" ref="Z109:Z140" si="59">RIGHT(H109,LEN(H109)-4)/10000</f>
        <v>23.316199999999998</v>
      </c>
      <c r="AA109" s="69">
        <f t="shared" ref="AA109:AA140" si="60">ABS(Z109-Y109)</f>
        <v>23.267999999999997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1">IF(LEN(A109)=6,"0"&amp;A109,A109)</f>
        <v>0197-17</v>
      </c>
      <c r="AE109" s="99" t="str">
        <f t="shared" ref="AE109:AE140" si="62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09" s="96" t="str">
        <f t="shared" ref="AF109:AF140" si="63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/stypes="app*4053*20160917*" /stext=" 22:.+((SYSTEM_STATE.+slice.+state.+changed )|(ment ac)|(system.+state.+changed )|(\|lc)|(penalty)|(\[timeout)|(PRM\|1\|D)|(kpr)|(kdp))" /e /r /s</v>
      </c>
      <c r="AG109" s="1" t="str">
        <f t="shared" ref="AG109:AG140" si="64">IFERROR(IF(VALUE(LEFT(AD109,2))&lt;=2,"EC",IF(OR(VALUE(LEFT(AD109,2))=8,VALUE(LEFT(AD109,2))=18),"NW","Other")),"Other")</f>
        <v>EC</v>
      </c>
      <c r="AH109" s="100" t="str">
        <f t="shared" si="49"/>
        <v>"%USERPROFILE%\Documents\GitHub\eaglep3\Utilities\RefineRTDCRunTimes.py" --tripid 197-17 --locoid 4053 --swversion DE.1.0.7.0 --startMP 204:482 --initTime 2016-09-17T15:42:51 --startdatetime 2016-09-17T15:45:38 --delay 1 --endMP 204:233162 --enddatetime 2016-09-17T16:23:47 --enforcementcount 0 &gt;&gt;C:\Users\stu\Documents\GitHub\eaglep3-reporting\EC\2016-09-17-refined-times.txt</v>
      </c>
      <c r="AI10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{"issue":{"subject":"","project_id":79,"tracker_id":40,"status_id":1,"priority_id":2,"assigned_to_id":23,"start_date":"2016-09-17","description":"","custom_fields":[{"id":1,"name":"Subdivision","value":"EC"},{"id":4,"name":"Milepost","value":"23.3162"},{"id":17,"name":"Train ID","value":"197-17"},{"id":16,"name":"Locomotive ID","value":"4053"},{"id":130,"name":"Impact","value":""},{"id":150,"name":"Time of Event (Mountain Time)","value":"16:23:47"},{"id":151,"name":"Denver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535</v>
      </c>
      <c r="B110" s="7">
        <v>4054</v>
      </c>
      <c r="C110" s="24" t="s">
        <v>106</v>
      </c>
      <c r="D110" s="24" t="s">
        <v>693</v>
      </c>
      <c r="E110" s="15">
        <v>42630.690949074073</v>
      </c>
      <c r="F110" s="15">
        <v>42630.695324074077</v>
      </c>
      <c r="G110" s="7">
        <v>1</v>
      </c>
      <c r="H110" s="15" t="s">
        <v>265</v>
      </c>
      <c r="I110" s="15">
        <v>42630.724907407406</v>
      </c>
      <c r="J110" s="7">
        <v>0</v>
      </c>
      <c r="K110" s="121" t="str">
        <f t="shared" si="51"/>
        <v>4053/4054</v>
      </c>
      <c r="L110" s="24" t="str">
        <f>VLOOKUP(A110,'Trips&amp;Operators'!$C$1:$E$10000,3,FALSE)</f>
        <v>CLARK</v>
      </c>
      <c r="M110" s="6">
        <f t="shared" si="52"/>
        <v>2.958333332935581E-2</v>
      </c>
      <c r="N110" s="7">
        <f t="shared" si="36"/>
        <v>42.599999994272366</v>
      </c>
      <c r="O110" s="7"/>
      <c r="P110" s="7"/>
      <c r="Q110" s="25"/>
      <c r="R110" s="25"/>
      <c r="S110" s="37">
        <f t="shared" si="53"/>
        <v>1</v>
      </c>
      <c r="T110" s="52" t="str">
        <f t="shared" si="54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15:34:58-0600',mode:absolute,to:'2016-09-17 18:23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0" s="54" t="str">
        <f t="shared" si="56"/>
        <v>N</v>
      </c>
      <c r="X110" s="168">
        <f t="shared" si="57"/>
        <v>1</v>
      </c>
      <c r="Y110" s="69">
        <f t="shared" si="58"/>
        <v>23.2849</v>
      </c>
      <c r="Z110" s="69">
        <f t="shared" si="59"/>
        <v>1.72E-2</v>
      </c>
      <c r="AA110" s="69">
        <f t="shared" si="60"/>
        <v>23.267700000000001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1"/>
        <v>0198-17</v>
      </c>
      <c r="AE110" s="99" t="str">
        <f t="shared" si="6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10" s="96" t="str">
        <f t="shared" si="63"/>
        <v>"C:\Program Files (x86)\AstroGrep\AstroGrep.exe" /spath="%USERPROFILE%\AppData\Local\Temp\OnboardLogs" /stypes="app*4054*20160917*" /stext=" 23:.+((SYSTEM_STATE.+slice.+state.+changed )|(ment ac)|(system.+state.+changed )|(\|lc)|(penalty)|(\[timeout)|(PRM\|1\|D)|(kpr)|(kdp))" /e /r /s</v>
      </c>
      <c r="AG110" s="1" t="str">
        <f t="shared" si="64"/>
        <v>EC</v>
      </c>
      <c r="AH110" s="100" t="str">
        <f t="shared" si="49"/>
        <v>"%USERPROFILE%\Documents\GitHub\eaglep3\Utilities\RefineRTDCRunTimes.py" --tripid 198-17 --locoid 4054 --swversion DE.1.0.7.0 --startMP 204:232849 --initTime 2016-09-17T16:34:58 --startdatetime 2016-09-17T16:41:16 --delay 1 --endMP 204:172 --enddatetime 2016-09-17T17:23:52 --enforcementcount 0 &gt;&gt;C:\Users\stu\Documents\GitHub\eaglep3-reporting\EC\2016-09-17-refined-times.txt</v>
      </c>
      <c r="AI11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{"issue":{"subject":"","project_id":79,"tracker_id":40,"status_id":1,"priority_id":2,"assigned_to_id":23,"start_date":"2016-09-17","description":"","custom_fields":[{"id":1,"name":"Subdivision","value":"EC"},{"id":4,"name":"Milepost","value":"0.0172"},{"id":17,"name":"Train ID","value":"198-17"},{"id":16,"name":"Locomotive ID","value":"4054"},{"id":130,"name":"Impact","value":""},{"id":150,"name":"Time of Event (Mountain Time)","value":"17:23:52"},{"id":151,"name":"Denver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529</v>
      </c>
      <c r="B111" s="7">
        <v>4042</v>
      </c>
      <c r="C111" s="24" t="s">
        <v>106</v>
      </c>
      <c r="D111" s="24" t="s">
        <v>239</v>
      </c>
      <c r="E111" s="15">
        <v>42630.663564814815</v>
      </c>
      <c r="F111" s="15">
        <v>42630.667175925926</v>
      </c>
      <c r="G111" s="7">
        <v>1</v>
      </c>
      <c r="H111" s="15" t="s">
        <v>694</v>
      </c>
      <c r="I111" s="15">
        <v>42630.673634259256</v>
      </c>
      <c r="J111" s="7">
        <v>0</v>
      </c>
      <c r="K111" s="121" t="str">
        <f t="shared" si="51"/>
        <v>4041/4042</v>
      </c>
      <c r="L111" s="24" t="str">
        <f>VLOOKUP(A111,'Trips&amp;Operators'!$C$1:$E$10000,3,FALSE)</f>
        <v>STRICKLAND</v>
      </c>
      <c r="M111" s="6">
        <f t="shared" si="52"/>
        <v>6.4583333296468481E-3</v>
      </c>
      <c r="N111" s="7"/>
      <c r="O111" s="7"/>
      <c r="P111" s="7">
        <f>24*60*SUM($M111:$M111)</f>
        <v>9.2999999946914613</v>
      </c>
      <c r="Q111" s="25"/>
      <c r="R111" s="25" t="s">
        <v>729</v>
      </c>
      <c r="S111" s="37">
        <f t="shared" si="53"/>
        <v>0.25</v>
      </c>
      <c r="T111" s="52" t="str">
        <f t="shared" si="54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14:55:32-0600',mode:absolute,to:'2016-09-17 17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1" s="54" t="str">
        <f t="shared" si="56"/>
        <v>Y</v>
      </c>
      <c r="X111" s="168">
        <f t="shared" si="57"/>
        <v>1</v>
      </c>
      <c r="Y111" s="69">
        <f t="shared" si="58"/>
        <v>4.5999999999999999E-2</v>
      </c>
      <c r="Z111" s="69">
        <f t="shared" si="59"/>
        <v>3.7185000000000001</v>
      </c>
      <c r="AA111" s="69">
        <f t="shared" si="60"/>
        <v>3.6725000000000003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61"/>
        <v>0199-17</v>
      </c>
      <c r="AE111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11" s="96" t="str">
        <f t="shared" si="63"/>
        <v>"C:\Program Files (x86)\AstroGrep\AstroGrep.exe" /spath="%USERPROFILE%\AppData\Local\Temp\OnboardLogs" /stypes="app*4042*20160917*" /stext=" 22:.+((SYSTEM_STATE.+slice.+state.+changed )|(ment ac)|(system.+state.+changed )|(\|lc)|(penalty)|(\[timeout)|(PRM\|1\|D)|(kpr)|(kdp))" /e /r /s</v>
      </c>
      <c r="AG111" s="1" t="str">
        <f t="shared" si="64"/>
        <v>EC</v>
      </c>
      <c r="AH111" s="100" t="str">
        <f t="shared" si="49"/>
        <v>"%USERPROFILE%\Documents\GitHub\eaglep3\Utilities\RefineRTDCRunTimes.py" --tripid 199-17 --locoid 4042 --swversion DE.1.0.7.0 --startMP 204:460 --initTime 2016-09-17T15:55:32 --startdatetime 2016-09-17T16:00:44 --delay 1 --endMP 204:37185 --enddatetime 2016-09-17T16:10:02 --enforcementcount 0 &gt;&gt;C:\Users\stu\Documents\GitHub\eaglep3-reporting\EC\2016-09-17-refined-times.txt</v>
      </c>
      <c r="AI111" s="134" t="str">
        <f t="shared" si="50"/>
        <v>echo {"issue":{"subject":"Onboard in-route failure","project_id":79,"tracker_id":40,"status_id":1,"priority_id":2,"assigned_to_id":23,"start_date":"2016-09-17","description":"At 2016-09-17 16:10:50, we experienced 'Multiple CPU Faults'","custom_fields":[{"id":1,"name":"Subdivision","value":"EC"},{"id":4,"name":"Milepost","value":"3.7185"},{"id":17,"name":"Train ID","value":"199-17"},{"id":16,"name":"Locomotive ID","value":"4042"},{"id":130,"name":"Impact","value":"Failed State"},{"id":150,"name":"Time of Event (Mountain Time)","value":"16:10:02"},{"id":151,"name":"Denver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1" s="55" t="s">
        <v>730</v>
      </c>
      <c r="AK111" s="55" t="s">
        <v>142</v>
      </c>
      <c r="AL111" s="55" t="s">
        <v>290</v>
      </c>
    </row>
    <row r="112" spans="1:38" s="23" customFormat="1" x14ac:dyDescent="0.25">
      <c r="A112" s="39" t="s">
        <v>538</v>
      </c>
      <c r="B112" s="7">
        <v>4041</v>
      </c>
      <c r="C112" s="24" t="s">
        <v>106</v>
      </c>
      <c r="D112" s="24" t="s">
        <v>281</v>
      </c>
      <c r="E112" s="15">
        <v>42630.701793981483</v>
      </c>
      <c r="F112" s="15">
        <v>42630.705729166664</v>
      </c>
      <c r="G112" s="7">
        <v>1</v>
      </c>
      <c r="H112" s="15" t="s">
        <v>224</v>
      </c>
      <c r="I112" s="15">
        <v>42630.734733796293</v>
      </c>
      <c r="J112" s="7">
        <v>0</v>
      </c>
      <c r="K112" s="121" t="str">
        <f t="shared" si="51"/>
        <v>4041/4042</v>
      </c>
      <c r="L112" s="24" t="str">
        <f>VLOOKUP(A112,'Trips&amp;Operators'!$C$1:$E$10000,3,FALSE)</f>
        <v>STRICKLAND</v>
      </c>
      <c r="M112" s="6">
        <f t="shared" si="52"/>
        <v>2.9004629628616385E-2</v>
      </c>
      <c r="N112" s="7">
        <f t="shared" ref="N112:N139" si="65">24*60*SUM($M112:$M112)</f>
        <v>41.766666665207595</v>
      </c>
      <c r="O112" s="7"/>
      <c r="P112" s="7"/>
      <c r="Q112" s="25"/>
      <c r="R112" s="25"/>
      <c r="S112" s="37">
        <f t="shared" si="53"/>
        <v>1</v>
      </c>
      <c r="T112" s="52" t="str">
        <f t="shared" si="54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15:50:35-0600',mode:absolute,to:'2016-09-17 18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2" s="54" t="str">
        <f t="shared" si="56"/>
        <v>N</v>
      </c>
      <c r="X112" s="168">
        <f t="shared" si="57"/>
        <v>1</v>
      </c>
      <c r="Y112" s="69">
        <f t="shared" si="58"/>
        <v>23.2986</v>
      </c>
      <c r="Z112" s="69">
        <f t="shared" si="59"/>
        <v>1.52E-2</v>
      </c>
      <c r="AA112" s="69">
        <f t="shared" si="60"/>
        <v>23.2834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1"/>
        <v>0200-17</v>
      </c>
      <c r="AE112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12" s="96" t="str">
        <f t="shared" si="63"/>
        <v>"C:\Program Files (x86)\AstroGrep\AstroGrep.exe" /spath="%USERPROFILE%\AppData\Local\Temp\OnboardLogs" /stypes="app*4041*20160917*" /stext=" 23:.+((SYSTEM_STATE.+slice.+state.+changed )|(ment ac)|(system.+state.+changed )|(\|lc)|(penalty)|(\[timeout)|(PRM\|1\|D)|(kpr)|(kdp))" /e /r /s</v>
      </c>
      <c r="AG112" s="1" t="str">
        <f t="shared" si="64"/>
        <v>EC</v>
      </c>
      <c r="AH112" s="100" t="str">
        <f t="shared" si="49"/>
        <v>"%USERPROFILE%\Documents\GitHub\eaglep3\Utilities\RefineRTDCRunTimes.py" --tripid 200-17 --locoid 4041 --swversion DE.1.0.7.0 --startMP 204:232986 --initTime 2016-09-17T16:50:35 --startdatetime 2016-09-17T16:56:15 --delay 1 --endMP 204:152 --enddatetime 2016-09-17T17:38:01 --enforcementcount 0 &gt;&gt;C:\Users\stu\Documents\GitHub\eaglep3-reporting\EC\2016-09-17-refined-times.txt</v>
      </c>
      <c r="AI11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ID","value":"200-17"},{"id":16,"name":"Locomotive ID","value":"4041"},{"id":130,"name":"Impact","value":""},{"id":150,"name":"Time of Event (Mountain Time)","value":"17:38:01"},{"id":151,"name":"Denver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531</v>
      </c>
      <c r="B113" s="7">
        <v>4046</v>
      </c>
      <c r="C113" s="24" t="s">
        <v>106</v>
      </c>
      <c r="D113" s="24" t="s">
        <v>229</v>
      </c>
      <c r="E113" s="15">
        <v>42630.674849537034</v>
      </c>
      <c r="F113" s="15">
        <v>42630.677337962959</v>
      </c>
      <c r="G113" s="7">
        <v>1</v>
      </c>
      <c r="H113" s="15" t="s">
        <v>223</v>
      </c>
      <c r="I113" s="15">
        <v>42630.702881944446</v>
      </c>
      <c r="J113" s="7">
        <v>0</v>
      </c>
      <c r="K113" s="121" t="str">
        <f t="shared" si="51"/>
        <v>4045/4046</v>
      </c>
      <c r="L113" s="24" t="str">
        <f>VLOOKUP(A113,'Trips&amp;Operators'!$C$1:$E$10000,3,FALSE)</f>
        <v>STEWART</v>
      </c>
      <c r="M113" s="6">
        <f t="shared" si="52"/>
        <v>2.5543981486407574E-2</v>
      </c>
      <c r="N113" s="7">
        <f t="shared" si="65"/>
        <v>36.783333340426907</v>
      </c>
      <c r="O113" s="7"/>
      <c r="P113" s="7"/>
      <c r="Q113" s="25"/>
      <c r="R113" s="25"/>
      <c r="S113" s="37">
        <f t="shared" si="53"/>
        <v>1</v>
      </c>
      <c r="T113" s="52" t="str">
        <f t="shared" si="54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15:11:47-0600',mode:absolute,to:'2016-09-17 17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 t="shared" si="56"/>
        <v>N</v>
      </c>
      <c r="X113" s="168">
        <f t="shared" si="57"/>
        <v>1</v>
      </c>
      <c r="Y113" s="69">
        <f t="shared" si="58"/>
        <v>4.5499999999999999E-2</v>
      </c>
      <c r="Z113" s="69">
        <f t="shared" si="59"/>
        <v>23.3291</v>
      </c>
      <c r="AA113" s="69">
        <f t="shared" si="60"/>
        <v>23.2836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1"/>
        <v>0201-17</v>
      </c>
      <c r="AE113" s="99" t="str">
        <f t="shared" si="6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13" s="96" t="str">
        <f t="shared" si="63"/>
        <v>"C:\Program Files (x86)\AstroGrep\AstroGrep.exe" /spath="%USERPROFILE%\AppData\Local\Temp\OnboardLogs" /stypes="app*4046*20160917*" /stext=" 22:.+((SYSTEM_STATE.+slice.+state.+changed )|(ment ac)|(system.+state.+changed )|(\|lc)|(penalty)|(\[timeout)|(PRM\|1\|D)|(kpr)|(kdp))" /e /r /s</v>
      </c>
      <c r="AG113" s="1" t="str">
        <f t="shared" si="64"/>
        <v>EC</v>
      </c>
      <c r="AH113" s="100" t="str">
        <f t="shared" si="49"/>
        <v>"%USERPROFILE%\Documents\GitHub\eaglep3\Utilities\RefineRTDCRunTimes.py" --tripid 201-17 --locoid 4046 --swversion DE.1.0.7.0 --startMP 204:455 --initTime 2016-09-17T16:11:47 --startdatetime 2016-09-17T16:15:22 --delay 1 --endMP 204:233291 --enddatetime 2016-09-17T16:52:09 --enforcementcount 0 &gt;&gt;C:\Users\stu\Documents\GitHub\eaglep3-reporting\EC\2016-09-17-refined-times.txt</v>
      </c>
      <c r="AI11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ID","value":"201-17"},{"id":16,"name":"Locomotive ID","value":"4046"},{"id":130,"name":"Impact","value":""},{"id":150,"name":"Time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540</v>
      </c>
      <c r="B114" s="7">
        <v>4045</v>
      </c>
      <c r="C114" s="24" t="s">
        <v>106</v>
      </c>
      <c r="D114" s="24" t="s">
        <v>301</v>
      </c>
      <c r="E114" s="15">
        <v>42630.712546296294</v>
      </c>
      <c r="F114" s="15">
        <v>42630.716273148151</v>
      </c>
      <c r="G114" s="7">
        <v>2</v>
      </c>
      <c r="H114" s="15" t="s">
        <v>359</v>
      </c>
      <c r="I114" s="15">
        <v>42630.746377314812</v>
      </c>
      <c r="J114" s="7">
        <v>0</v>
      </c>
      <c r="K114" s="121" t="str">
        <f t="shared" si="51"/>
        <v>4045/4046</v>
      </c>
      <c r="L114" s="24" t="str">
        <f>VLOOKUP(A114,'Trips&amp;Operators'!$C$1:$E$10000,3,FALSE)</f>
        <v>STEWART</v>
      </c>
      <c r="M114" s="6">
        <f t="shared" si="52"/>
        <v>3.0104166660748888E-2</v>
      </c>
      <c r="N114" s="7">
        <f t="shared" si="65"/>
        <v>43.349999991478398</v>
      </c>
      <c r="O114" s="7"/>
      <c r="P114" s="7"/>
      <c r="Q114" s="25"/>
      <c r="R114" s="25"/>
      <c r="S114" s="37">
        <f t="shared" si="53"/>
        <v>1</v>
      </c>
      <c r="T114" s="52" t="str">
        <f t="shared" si="54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16:06:04-0600',mode:absolute,to:'2016-09-17 18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4" s="54" t="str">
        <f t="shared" si="56"/>
        <v>N</v>
      </c>
      <c r="X114" s="168">
        <f t="shared" si="57"/>
        <v>1</v>
      </c>
      <c r="Y114" s="69">
        <f t="shared" si="58"/>
        <v>23.297599999999999</v>
      </c>
      <c r="Z114" s="69">
        <f t="shared" si="59"/>
        <v>1.5599999999999999E-2</v>
      </c>
      <c r="AA114" s="69">
        <f t="shared" si="60"/>
        <v>23.282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1"/>
        <v>0202-17</v>
      </c>
      <c r="AE114" s="99" t="str">
        <f t="shared" si="6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14" s="96" t="str">
        <f t="shared" si="63"/>
        <v>"C:\Program Files (x86)\AstroGrep\AstroGrep.exe" /spath="%USERPROFILE%\AppData\Local\Temp\OnboardLogs" /stypes="app*4045*20160917*" /stext=" 23:.+((SYSTEM_STATE.+slice.+state.+changed )|(ment ac)|(system.+state.+changed )|(\|lc)|(penalty)|(\[timeout)|(PRM\|1\|D)|(kpr)|(kdp))" /e /r /s</v>
      </c>
      <c r="AG114" s="1" t="str">
        <f t="shared" si="64"/>
        <v>EC</v>
      </c>
      <c r="AH114" s="100" t="str">
        <f t="shared" si="49"/>
        <v>"%USERPROFILE%\Documents\GitHub\eaglep3\Utilities\RefineRTDCRunTimes.py" --tripid 202-17 --locoid 4045 --swversion DE.1.0.7.0 --startMP 204:232976 --initTime 2016-09-17T17:06:04 --startdatetime 2016-09-17T17:11:26 --delay 2 --endMP 204:156 --enddatetime 2016-09-17T17:54:47 --enforcementcount 0 &gt;&gt;C:\Users\stu\Documents\GitHub\eaglep3-reporting\EC\2016-09-17-refined-times.txt</v>
      </c>
      <c r="AI11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ID","value":"202-17"},{"id":16,"name":"Locomotive ID","value":"4045"},{"id":130,"name":"Impact","value":""},{"id":150,"name":"Time of Event (Mountain Time)","value":"17:54:47"},{"id":151,"name":"Denver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534</v>
      </c>
      <c r="B115" s="7">
        <v>4011</v>
      </c>
      <c r="C115" s="24" t="s">
        <v>106</v>
      </c>
      <c r="D115" s="24" t="s">
        <v>227</v>
      </c>
      <c r="E115" s="15">
        <v>42630.68209490741</v>
      </c>
      <c r="F115" s="15">
        <v>42630.687708333331</v>
      </c>
      <c r="G115" s="7">
        <v>1</v>
      </c>
      <c r="H115" s="15" t="s">
        <v>695</v>
      </c>
      <c r="I115" s="15">
        <v>42630.713113425925</v>
      </c>
      <c r="J115" s="7">
        <v>0</v>
      </c>
      <c r="K115" s="121" t="str">
        <f t="shared" si="51"/>
        <v>4011/4012</v>
      </c>
      <c r="L115" s="24" t="str">
        <f>VLOOKUP(A115,'Trips&amp;Operators'!$C$1:$E$10000,3,FALSE)</f>
        <v>BARTLETT</v>
      </c>
      <c r="M115" s="6">
        <f t="shared" si="52"/>
        <v>2.5405092594155576E-2</v>
      </c>
      <c r="N115" s="7">
        <f t="shared" si="65"/>
        <v>36.58333333558403</v>
      </c>
      <c r="O115" s="7"/>
      <c r="P115" s="7"/>
      <c r="Q115" s="25"/>
      <c r="R115" s="25"/>
      <c r="S115" s="37">
        <f t="shared" si="53"/>
        <v>1</v>
      </c>
      <c r="T115" s="52" t="str">
        <f t="shared" si="54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5" s="54" t="str">
        <f t="shared" si="56"/>
        <v>N</v>
      </c>
      <c r="X115" s="168">
        <f t="shared" si="57"/>
        <v>1</v>
      </c>
      <c r="Y115" s="69">
        <f t="shared" si="58"/>
        <v>4.6600000000000003E-2</v>
      </c>
      <c r="Z115" s="69">
        <f t="shared" si="59"/>
        <v>23.3385</v>
      </c>
      <c r="AA115" s="69">
        <f t="shared" si="60"/>
        <v>23.291899999999998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1"/>
        <v>0203-17</v>
      </c>
      <c r="AE115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15" s="96" t="str">
        <f t="shared" si="63"/>
        <v>"C:\Program Files (x86)\AstroGrep\AstroGrep.exe" /spath="%USERPROFILE%\AppData\Local\Temp\OnboardLogs" /stypes="app*4011*20160917*" /stext=" 23:.+((SYSTEM_STATE.+slice.+state.+changed )|(ment ac)|(system.+state.+changed )|(\|lc)|(penalty)|(\[timeout)|(PRM\|1\|D)|(kpr)|(kdp))" /e /r /s</v>
      </c>
      <c r="AG115" s="1" t="str">
        <f t="shared" si="64"/>
        <v>EC</v>
      </c>
      <c r="AH115" s="100" t="str">
        <f t="shared" si="49"/>
        <v>"%USERPROFILE%\Documents\GitHub\eaglep3\Utilities\RefineRTDCRunTimes.py" --tripid 203-17 --locoid 4011 --swversion DE.1.0.7.0 --startMP 204:466 --initTime 2016-09-17T16:22:13 --startdatetime 2016-09-17T16:30:18 --delay 1 --endMP 204:233385 --enddatetime 2016-09-17T17:06:53 --enforcementcount 0 &gt;&gt;C:\Users\stu\Documents\GitHub\eaglep3-reporting\EC\2016-09-17-refined-times.txt</v>
      </c>
      <c r="AI11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{"issue":{"subject":"","project_id":79,"tracker_id":40,"status_id":1,"priority_id":2,"assigned_to_id":23,"start_date":"2016-09-17","description":"","custom_fields":[{"id":1,"name":"Subdivision","value":"EC"},{"id":4,"name":"Milepost","value":"23.3385"},{"id":17,"name":"Train ID","value":"203-17"},{"id":16,"name":"Locomotive ID","value":"4011"},{"id":130,"name":"Impact","value":""},{"id":150,"name":"Time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542</v>
      </c>
      <c r="B116" s="7">
        <v>4012</v>
      </c>
      <c r="C116" s="24" t="s">
        <v>106</v>
      </c>
      <c r="D116" s="24" t="s">
        <v>696</v>
      </c>
      <c r="E116" s="15">
        <v>42630.715046296296</v>
      </c>
      <c r="F116" s="15">
        <v>42630.726736111108</v>
      </c>
      <c r="G116" s="7">
        <v>1</v>
      </c>
      <c r="H116" s="15" t="s">
        <v>220</v>
      </c>
      <c r="I116" s="15">
        <v>42630.756562499999</v>
      </c>
      <c r="J116" s="7">
        <v>0</v>
      </c>
      <c r="K116" s="121" t="str">
        <f t="shared" si="51"/>
        <v>4011/4012</v>
      </c>
      <c r="L116" s="24" t="str">
        <f>VLOOKUP(A116,'Trips&amp;Operators'!$C$1:$E$10000,3,FALSE)</f>
        <v>BARTLETT</v>
      </c>
      <c r="M116" s="6">
        <f t="shared" si="52"/>
        <v>2.9826388890796807E-2</v>
      </c>
      <c r="N116" s="7">
        <f t="shared" si="65"/>
        <v>42.950000002747402</v>
      </c>
      <c r="O116" s="7"/>
      <c r="P116" s="7"/>
      <c r="Q116" s="25"/>
      <c r="R116" s="25"/>
      <c r="S116" s="37">
        <f t="shared" si="53"/>
        <v>1</v>
      </c>
      <c r="T116" s="52" t="str">
        <f t="shared" si="54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16:09:40-0600',mode:absolute,to:'2016-09-17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6" s="54" t="str">
        <f t="shared" si="56"/>
        <v>N</v>
      </c>
      <c r="X116" s="168">
        <f t="shared" si="57"/>
        <v>1</v>
      </c>
      <c r="Y116" s="69">
        <f t="shared" si="58"/>
        <v>23.308800000000002</v>
      </c>
      <c r="Z116" s="69">
        <f t="shared" si="59"/>
        <v>1.47E-2</v>
      </c>
      <c r="AA116" s="69">
        <f t="shared" si="60"/>
        <v>23.2941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1"/>
        <v>0204-17</v>
      </c>
      <c r="AE116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16" s="96" t="str">
        <f t="shared" si="63"/>
        <v>"C:\Program Files (x86)\AstroGrep\AstroGrep.exe" /spath="%USERPROFILE%\AppData\Local\Temp\OnboardLogs" /stypes="app*4012*20160918*" /stext=" 00:.+((SYSTEM_STATE.+slice.+state.+changed )|(ment ac)|(system.+state.+changed )|(\|lc)|(penalty)|(\[timeout)|(PRM\|1\|D)|(kpr)|(kdp))" /e /r /s</v>
      </c>
      <c r="AG116" s="1" t="str">
        <f t="shared" si="64"/>
        <v>EC</v>
      </c>
      <c r="AH116" s="100" t="str">
        <f t="shared" si="49"/>
        <v>"%USERPROFILE%\Documents\GitHub\eaglep3\Utilities\RefineRTDCRunTimes.py" --tripid 204-17 --locoid 4012 --swversion DE.1.0.7.0 --startMP 204:233088 --initTime 2016-09-17T17:09:40 --startdatetime 2016-09-17T17:26:30 --delay 1 --endMP 204:147 --enddatetime 2016-09-17T18:09:27 --enforcementcount 0 &gt;&gt;C:\Users\stu\Documents\GitHub\eaglep3-reporting\EC\2016-09-17-refined-times.txt</v>
      </c>
      <c r="AI11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ID","value":"204-17"},{"id":16,"name":"Locomotive ID","value":"4012"},{"id":130,"name":"Impact","value":""},{"id":150,"name":"Time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537</v>
      </c>
      <c r="B117" s="7">
        <v>4040</v>
      </c>
      <c r="C117" s="24" t="s">
        <v>106</v>
      </c>
      <c r="D117" s="24" t="s">
        <v>310</v>
      </c>
      <c r="E117" s="15">
        <v>42630.694166666668</v>
      </c>
      <c r="F117" s="15">
        <v>42630.698217592595</v>
      </c>
      <c r="G117" s="7">
        <v>5</v>
      </c>
      <c r="H117" s="15" t="s">
        <v>298</v>
      </c>
      <c r="I117" s="15">
        <v>42630.724444444444</v>
      </c>
      <c r="J117" s="7">
        <v>0</v>
      </c>
      <c r="K117" s="121" t="str">
        <f t="shared" si="51"/>
        <v>4039/4040</v>
      </c>
      <c r="L117" s="24" t="str">
        <f>VLOOKUP(A117,'Trips&amp;Operators'!$C$1:$E$10000,3,FALSE)</f>
        <v>MOSES</v>
      </c>
      <c r="M117" s="6">
        <f t="shared" si="52"/>
        <v>2.622685184906004E-2</v>
      </c>
      <c r="N117" s="7">
        <f t="shared" si="65"/>
        <v>37.766666662646458</v>
      </c>
      <c r="O117" s="7"/>
      <c r="P117" s="7"/>
      <c r="Q117" s="25"/>
      <c r="R117" s="25"/>
      <c r="S117" s="37">
        <f t="shared" si="53"/>
        <v>1</v>
      </c>
      <c r="T117" s="52" t="str">
        <f t="shared" si="54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7" s="54" t="str">
        <f t="shared" si="56"/>
        <v>N</v>
      </c>
      <c r="X117" s="168">
        <f t="shared" si="57"/>
        <v>1</v>
      </c>
      <c r="Y117" s="69">
        <f t="shared" si="58"/>
        <v>4.7699999999999999E-2</v>
      </c>
      <c r="Z117" s="69">
        <f t="shared" si="59"/>
        <v>23.324400000000001</v>
      </c>
      <c r="AA117" s="69">
        <f t="shared" si="60"/>
        <v>23.276700000000002</v>
      </c>
      <c r="AB117" s="66" t="str">
        <f>VLOOKUP(A117,Enforcements!$C$7:$K$20,8,0)</f>
        <v>Speed (6)</v>
      </c>
      <c r="AC117" s="62" t="str">
        <f>VLOOKUP(A117,Enforcements!$C$7:$E$20,3,0)</f>
        <v>PERMANENT SPEED RESTRICTION</v>
      </c>
      <c r="AD117" s="63" t="str">
        <f t="shared" si="61"/>
        <v>0205-17</v>
      </c>
      <c r="AE117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17" s="96" t="str">
        <f t="shared" si="63"/>
        <v>"C:\Program Files (x86)\AstroGrep\AstroGrep.exe" /spath="%USERPROFILE%\AppData\Local\Temp\OnboardLogs" /stypes="app*4040*20160917*" /stext=" 23:.+((SYSTEM_STATE.+slice.+state.+changed )|(ment ac)|(system.+state.+changed )|(\|lc)|(penalty)|(\[timeout)|(PRM\|1\|D)|(kpr)|(kdp))" /e /r /s</v>
      </c>
      <c r="AG117" s="1" t="str">
        <f t="shared" si="64"/>
        <v>EC</v>
      </c>
      <c r="AH117" s="100" t="str">
        <f t="shared" si="49"/>
        <v>"%USERPROFILE%\Documents\GitHub\eaglep3\Utilities\RefineRTDCRunTimes.py" --tripid 205-17 --locoid 4040 --swversion DE.1.0.7.0 --startMP 204:477 --initTime 2016-09-17T16:39:36 --startdatetime 2016-09-17T16:45:26 --delay 5 --endMP 204:233244 --enddatetime 2016-09-17T17:23:12 --enforcementcount 0 &gt;&gt;C:\Users\stu\Documents\GitHub\eaglep3-reporting\EC\2016-09-17-refined-times.txt</v>
      </c>
      <c r="AI11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{"issue":{"subject":"","project_id":79,"tracker_id":40,"status_id":1,"priority_id":2,"assigned_to_id":23,"start_date":"2016-09-17","description":"","custom_fields":[{"id":1,"name":"Subdivision","value":"EC"},{"id":4,"name":"Milepost","value":"23.3244"},{"id":17,"name":"Train ID","value":"205-17"},{"id":16,"name":"Locomotive ID","value":"4040"},{"id":130,"name":"Impact","value":""},{"id":150,"name":"Time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545</v>
      </c>
      <c r="B118" s="7">
        <v>4039</v>
      </c>
      <c r="C118" s="24" t="s">
        <v>106</v>
      </c>
      <c r="D118" s="24" t="s">
        <v>373</v>
      </c>
      <c r="E118" s="15">
        <v>42630.733148148145</v>
      </c>
      <c r="F118" s="15">
        <v>42630.73710648148</v>
      </c>
      <c r="G118" s="7">
        <v>1</v>
      </c>
      <c r="H118" s="15" t="s">
        <v>269</v>
      </c>
      <c r="I118" s="15">
        <v>42630.769421296296</v>
      </c>
      <c r="J118" s="7">
        <v>0</v>
      </c>
      <c r="K118" s="121" t="str">
        <f t="shared" si="51"/>
        <v>4039/4040</v>
      </c>
      <c r="L118" s="24" t="str">
        <f>VLOOKUP(A118,'Trips&amp;Operators'!$C$1:$E$10000,3,FALSE)</f>
        <v>MOSES</v>
      </c>
      <c r="M118" s="6">
        <f t="shared" si="52"/>
        <v>3.2314814816345461E-2</v>
      </c>
      <c r="N118" s="7">
        <f t="shared" si="65"/>
        <v>46.533333335537463</v>
      </c>
      <c r="O118" s="7"/>
      <c r="P118" s="7"/>
      <c r="Q118" s="25"/>
      <c r="R118" s="25"/>
      <c r="S118" s="37">
        <f t="shared" si="53"/>
        <v>1</v>
      </c>
      <c r="T118" s="52" t="str">
        <f t="shared" si="54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 t="shared" si="56"/>
        <v>N</v>
      </c>
      <c r="X118" s="168">
        <f t="shared" si="57"/>
        <v>1</v>
      </c>
      <c r="Y118" s="69">
        <f t="shared" si="58"/>
        <v>23.295100000000001</v>
      </c>
      <c r="Z118" s="69">
        <f t="shared" si="59"/>
        <v>1.43E-2</v>
      </c>
      <c r="AA118" s="69">
        <f t="shared" si="60"/>
        <v>23.280800000000003</v>
      </c>
      <c r="AB118" s="66" t="str">
        <f>VLOOKUP(A118,Enforcements!$C$7:$K$20,8,0)</f>
        <v>Speed (6)</v>
      </c>
      <c r="AC118" s="62" t="str">
        <f>VLOOKUP(A118,Enforcements!$C$7:$E$20,3,0)</f>
        <v>PERMANENT SPEED RESTRICTION</v>
      </c>
      <c r="AD118" s="63" t="str">
        <f t="shared" si="61"/>
        <v>0206-17</v>
      </c>
      <c r="AE118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18" s="96" t="str">
        <f t="shared" si="63"/>
        <v>"C:\Program Files (x86)\AstroGrep\AstroGrep.exe" /spath="%USERPROFILE%\AppData\Local\Temp\OnboardLogs" /stypes="app*4039*20160918*" /stext=" 00:.+((SYSTEM_STATE.+slice.+state.+changed )|(ment ac)|(system.+state.+changed )|(\|lc)|(penalty)|(\[timeout)|(PRM\|1\|D)|(kpr)|(kdp))" /e /r /s</v>
      </c>
      <c r="AG118" s="1" t="str">
        <f t="shared" si="64"/>
        <v>EC</v>
      </c>
      <c r="AH118" s="100" t="str">
        <f t="shared" si="49"/>
        <v>"%USERPROFILE%\Documents\GitHub\eaglep3\Utilities\RefineRTDCRunTimes.py" --tripid 206-17 --locoid 4039 --swversion DE.1.0.7.0 --startMP 204:232951 --initTime 2016-09-17T17:35:44 --startdatetime 2016-09-17T17:41:26 --delay 1 --endMP 204:143 --enddatetime 2016-09-17T18:27:58 --enforcementcount 0 &gt;&gt;C:\Users\stu\Documents\GitHub\eaglep3-reporting\EC\2016-09-17-refined-times.txt</v>
      </c>
      <c r="AI11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ID","value":"206-17"},{"id":16,"name":"Locomotive ID","value":"4039"},{"id":130,"name":"Impact","value":""},{"id":150,"name":"Time of Event (Mountain Time)","value":"18:27:58"},{"id":151,"name":"Denver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539</v>
      </c>
      <c r="B119" s="7">
        <v>4027</v>
      </c>
      <c r="C119" s="24" t="s">
        <v>106</v>
      </c>
      <c r="D119" s="24" t="s">
        <v>235</v>
      </c>
      <c r="E119" s="15">
        <v>42630.706296296295</v>
      </c>
      <c r="F119" s="15">
        <v>42630.708541666667</v>
      </c>
      <c r="G119" s="7">
        <v>1</v>
      </c>
      <c r="H119" s="15" t="s">
        <v>697</v>
      </c>
      <c r="I119" s="15">
        <v>42630.734189814815</v>
      </c>
      <c r="J119" s="7">
        <v>0</v>
      </c>
      <c r="K119" s="121" t="str">
        <f t="shared" si="51"/>
        <v>4027/4028</v>
      </c>
      <c r="L119" s="24" t="str">
        <f>VLOOKUP(A119,'Trips&amp;Operators'!$C$1:$E$10000,3,FALSE)</f>
        <v>SHOOK</v>
      </c>
      <c r="M119" s="6">
        <f t="shared" si="52"/>
        <v>2.5648148148320615E-2</v>
      </c>
      <c r="N119" s="7">
        <f t="shared" si="65"/>
        <v>36.933333333581686</v>
      </c>
      <c r="O119" s="7"/>
      <c r="P119" s="7"/>
      <c r="Q119" s="25"/>
      <c r="R119" s="25"/>
      <c r="S119" s="37">
        <f t="shared" si="53"/>
        <v>1</v>
      </c>
      <c r="T119" s="52" t="str">
        <f t="shared" si="54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15:57:04-0600',mode:absolute,to:'2016-09-17 18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56"/>
        <v>N</v>
      </c>
      <c r="X119" s="168">
        <f t="shared" si="57"/>
        <v>1</v>
      </c>
      <c r="Y119" s="69">
        <f t="shared" si="58"/>
        <v>4.6399999999999997E-2</v>
      </c>
      <c r="Z119" s="69">
        <f t="shared" si="59"/>
        <v>23.336200000000002</v>
      </c>
      <c r="AA119" s="69">
        <f t="shared" si="60"/>
        <v>23.289800000000003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1"/>
        <v>0207-17</v>
      </c>
      <c r="AE119" s="99" t="str">
        <f t="shared" si="62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19" s="96" t="str">
        <f t="shared" si="63"/>
        <v>"C:\Program Files (x86)\AstroGrep\AstroGrep.exe" /spath="%USERPROFILE%\AppData\Local\Temp\OnboardLogs" /stypes="app*4027*20160917*" /stext=" 23:.+((SYSTEM_STATE.+slice.+state.+changed )|(ment ac)|(system.+state.+changed )|(\|lc)|(penalty)|(\[timeout)|(PRM\|1\|D)|(kpr)|(kdp))" /e /r /s</v>
      </c>
      <c r="AG119" s="1" t="str">
        <f t="shared" si="64"/>
        <v>EC</v>
      </c>
      <c r="AH119" s="100" t="str">
        <f t="shared" si="49"/>
        <v>"%USERPROFILE%\Documents\GitHub\eaglep3\Utilities\RefineRTDCRunTimes.py" --tripid 207-17 --locoid 4027 --swversion DE.1.0.7.0 --startMP 204:464 --initTime 2016-09-17T16:57:04 --startdatetime 2016-09-17T17:00:18 --delay 1 --endMP 204:233362 --enddatetime 2016-09-17T17:37:14 --enforcementcount 0 &gt;&gt;C:\Users\stu\Documents\GitHub\eaglep3-reporting\EC\2016-09-17-refined-times.txt</v>
      </c>
      <c r="AI11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{"issue":{"subject":"","project_id":79,"tracker_id":40,"status_id":1,"priority_id":2,"assigned_to_id":23,"start_date":"2016-09-17","description":"","custom_fields":[{"id":1,"name":"Subdivision","value":"EC"},{"id":4,"name":"Milepost","value":"23.3362"},{"id":17,"name":"Train ID","value":"207-17"},{"id":16,"name":"Locomotive ID","value":"4027"},{"id":130,"name":"Impact","value":""},{"id":150,"name":"Time of Event (Mountain Time)","value":"17:37:14"},{"id":151,"name":"Denver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548</v>
      </c>
      <c r="B120" s="7">
        <v>4028</v>
      </c>
      <c r="C120" s="24" t="s">
        <v>106</v>
      </c>
      <c r="D120" s="24" t="s">
        <v>698</v>
      </c>
      <c r="E120" s="15">
        <v>42630.741087962961</v>
      </c>
      <c r="F120" s="15">
        <v>42630.747696759259</v>
      </c>
      <c r="G120" s="7">
        <v>1</v>
      </c>
      <c r="H120" s="15" t="s">
        <v>269</v>
      </c>
      <c r="I120" s="15">
        <v>42630.776620370372</v>
      </c>
      <c r="J120" s="7">
        <v>0</v>
      </c>
      <c r="K120" s="121" t="str">
        <f t="shared" si="51"/>
        <v>4027/4028</v>
      </c>
      <c r="L120" s="24" t="str">
        <f>VLOOKUP(A120,'Trips&amp;Operators'!$C$1:$E$10000,3,FALSE)</f>
        <v>SHOOK</v>
      </c>
      <c r="M120" s="6">
        <f t="shared" si="52"/>
        <v>2.8923611112986691E-2</v>
      </c>
      <c r="N120" s="7">
        <f t="shared" si="65"/>
        <v>41.650000002700835</v>
      </c>
      <c r="O120" s="7"/>
      <c r="P120" s="7"/>
      <c r="Q120" s="25"/>
      <c r="R120" s="25"/>
      <c r="S120" s="37">
        <f t="shared" si="53"/>
        <v>1</v>
      </c>
      <c r="T120" s="52" t="str">
        <f t="shared" si="54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16:47:10-0600',mode:absolute,to:'2016-09-17 19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56"/>
        <v>N</v>
      </c>
      <c r="X120" s="168">
        <f t="shared" si="57"/>
        <v>1</v>
      </c>
      <c r="Y120" s="69">
        <f t="shared" si="58"/>
        <v>23.304400000000001</v>
      </c>
      <c r="Z120" s="69">
        <f t="shared" si="59"/>
        <v>1.43E-2</v>
      </c>
      <c r="AA120" s="69">
        <f t="shared" si="60"/>
        <v>23.290100000000002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1"/>
        <v>0208-17</v>
      </c>
      <c r="AE120" s="99" t="str">
        <f t="shared" si="6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20" s="96" t="str">
        <f t="shared" si="63"/>
        <v>"C:\Program Files (x86)\AstroGrep\AstroGrep.exe" /spath="%USERPROFILE%\AppData\Local\Temp\OnboardLogs" /stypes="app*4028*20160918*" /stext=" 00:.+((SYSTEM_STATE.+slice.+state.+changed )|(ment ac)|(system.+state.+changed )|(\|lc)|(penalty)|(\[timeout)|(PRM\|1\|D)|(kpr)|(kdp))" /e /r /s</v>
      </c>
      <c r="AG120" s="1" t="str">
        <f t="shared" si="64"/>
        <v>EC</v>
      </c>
      <c r="AH120" s="100" t="str">
        <f t="shared" si="49"/>
        <v>"%USERPROFILE%\Documents\GitHub\eaglep3\Utilities\RefineRTDCRunTimes.py" --tripid 208-17 --locoid 4028 --swversion DE.1.0.7.0 --startMP 204:233044 --initTime 2016-09-17T17:47:10 --startdatetime 2016-09-17T17:56:41 --delay 1 --endMP 204:143 --enddatetime 2016-09-17T18:38:20 --enforcementcount 0 &gt;&gt;C:\Users\stu\Documents\GitHub\eaglep3-reporting\EC\2016-09-17-refined-times.txt</v>
      </c>
      <c r="AI12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ID","value":"208-17"},{"id":16,"name":"Locomotive ID","value":"4028"},{"id":130,"name":"Impact","value":""},{"id":150,"name":"Time of Event (Mountain Time)","value":"18:38:20"},{"id":151,"name":"Denver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541</v>
      </c>
      <c r="B121" s="7">
        <v>4025</v>
      </c>
      <c r="C121" s="24" t="s">
        <v>106</v>
      </c>
      <c r="D121" s="24" t="s">
        <v>226</v>
      </c>
      <c r="E121" s="15">
        <v>42630.714328703703</v>
      </c>
      <c r="F121" s="15">
        <v>42630.718958333331</v>
      </c>
      <c r="G121" s="7">
        <v>5</v>
      </c>
      <c r="H121" s="15" t="s">
        <v>641</v>
      </c>
      <c r="I121" s="15">
        <v>42630.745937500003</v>
      </c>
      <c r="J121" s="7">
        <v>0</v>
      </c>
      <c r="K121" s="121" t="str">
        <f t="shared" si="51"/>
        <v>4025/4026</v>
      </c>
      <c r="L121" s="24" t="str">
        <f>VLOOKUP(A121,'Trips&amp;Operators'!$C$1:$E$10000,3,FALSE)</f>
        <v>BRUDER</v>
      </c>
      <c r="M121" s="6">
        <f t="shared" si="52"/>
        <v>2.697916667239042E-2</v>
      </c>
      <c r="N121" s="7">
        <f t="shared" si="65"/>
        <v>38.850000008242205</v>
      </c>
      <c r="O121" s="7"/>
      <c r="P121" s="7"/>
      <c r="Q121" s="25"/>
      <c r="R121" s="25"/>
      <c r="S121" s="37">
        <f t="shared" si="53"/>
        <v>1</v>
      </c>
      <c r="T121" s="52" t="str">
        <f t="shared" si="54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16:08:38-0600',mode:absolute,to:'2016-09-17 18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1" s="54" t="str">
        <f t="shared" si="56"/>
        <v>N</v>
      </c>
      <c r="X121" s="168">
        <f t="shared" si="57"/>
        <v>1</v>
      </c>
      <c r="Y121" s="69">
        <f t="shared" si="58"/>
        <v>4.4699999999999997E-2</v>
      </c>
      <c r="Z121" s="69">
        <f t="shared" si="59"/>
        <v>23.325700000000001</v>
      </c>
      <c r="AA121" s="69">
        <f t="shared" si="60"/>
        <v>23.281000000000002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1"/>
        <v>0209-17</v>
      </c>
      <c r="AE121" s="99" t="str">
        <f t="shared" si="6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21" s="96" t="str">
        <f t="shared" si="63"/>
        <v>"C:\Program Files (x86)\AstroGrep\AstroGrep.exe" /spath="%USERPROFILE%\AppData\Local\Temp\OnboardLogs" /stypes="app*4025*20160917*" /stext=" 23:.+((SYSTEM_STATE.+slice.+state.+changed )|(ment ac)|(system.+state.+changed )|(\|lc)|(penalty)|(\[timeout)|(PRM\|1\|D)|(kpr)|(kdp))" /e /r /s</v>
      </c>
      <c r="AG121" s="1" t="str">
        <f t="shared" si="64"/>
        <v>EC</v>
      </c>
      <c r="AH121" s="100" t="str">
        <f t="shared" si="49"/>
        <v>"%USERPROFILE%\Documents\GitHub\eaglep3\Utilities\RefineRTDCRunTimes.py" --tripid 209-17 --locoid 4025 --swversion DE.1.0.7.0 --startMP 204:447 --initTime 2016-09-17T17:08:38 --startdatetime 2016-09-17T17:15:18 --delay 5 --endMP 204:233257 --enddatetime 2016-09-17T17:54:09 --enforcementcount 0 &gt;&gt;C:\Users\stu\Documents\GitHub\eaglep3-reporting\EC\2016-09-17-refined-times.txt</v>
      </c>
      <c r="AI12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ID","value":"209-17"},{"id":16,"name":"Locomotive ID","value":"4025"},{"id":130,"name":"Impact","value":""},{"id":150,"name":"Time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553</v>
      </c>
      <c r="B122" s="7">
        <v>4026</v>
      </c>
      <c r="C122" s="24" t="s">
        <v>106</v>
      </c>
      <c r="D122" s="24" t="s">
        <v>368</v>
      </c>
      <c r="E122" s="15">
        <v>42630.753645833334</v>
      </c>
      <c r="F122" s="15">
        <v>42630.7578125</v>
      </c>
      <c r="G122" s="7">
        <v>1</v>
      </c>
      <c r="H122" s="15" t="s">
        <v>359</v>
      </c>
      <c r="I122" s="15">
        <v>42630.784872685188</v>
      </c>
      <c r="J122" s="7">
        <v>0</v>
      </c>
      <c r="K122" s="121" t="str">
        <f t="shared" si="51"/>
        <v>4025/4026</v>
      </c>
      <c r="L122" s="24" t="str">
        <f>VLOOKUP(A122,'Trips&amp;Operators'!$C$1:$E$10000,3,FALSE)</f>
        <v>BRUDER</v>
      </c>
      <c r="M122" s="6">
        <f t="shared" si="52"/>
        <v>2.7060185188020114E-2</v>
      </c>
      <c r="N122" s="7">
        <f t="shared" si="65"/>
        <v>38.966666670748964</v>
      </c>
      <c r="O122" s="7"/>
      <c r="P122" s="7"/>
      <c r="Q122" s="25"/>
      <c r="R122" s="25"/>
      <c r="S122" s="37">
        <f t="shared" si="53"/>
        <v>1</v>
      </c>
      <c r="T122" s="52" t="str">
        <f t="shared" si="54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17:05:15-0600',mode:absolute,to:'2016-09-17 19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2" s="54" t="str">
        <f t="shared" si="56"/>
        <v>N</v>
      </c>
      <c r="X122" s="168">
        <f t="shared" si="57"/>
        <v>1</v>
      </c>
      <c r="Y122" s="69">
        <f t="shared" si="58"/>
        <v>23.294</v>
      </c>
      <c r="Z122" s="69">
        <f t="shared" si="59"/>
        <v>1.5599999999999999E-2</v>
      </c>
      <c r="AA122" s="69">
        <f t="shared" si="60"/>
        <v>23.278400000000001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1"/>
        <v>0210-17</v>
      </c>
      <c r="AE122" s="99" t="str">
        <f t="shared" si="6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22" s="96" t="str">
        <f t="shared" si="63"/>
        <v>"C:\Program Files (x86)\AstroGrep\AstroGrep.exe" /spath="%USERPROFILE%\AppData\Local\Temp\OnboardLogs" /stypes="app*4026*20160918*" /stext=" 00:.+((SYSTEM_STATE.+slice.+state.+changed )|(ment ac)|(system.+state.+changed )|(\|lc)|(penalty)|(\[timeout)|(PRM\|1\|D)|(kpr)|(kdp))" /e /r /s</v>
      </c>
      <c r="AG122" s="1" t="str">
        <f t="shared" si="64"/>
        <v>EC</v>
      </c>
      <c r="AH122" s="100" t="str">
        <f t="shared" si="49"/>
        <v>"%USERPROFILE%\Documents\GitHub\eaglep3\Utilities\RefineRTDCRunTimes.py" --tripid 210-17 --locoid 4026 --swversion DE.1.0.7.0 --startMP 204:232940 --initTime 2016-09-17T18:05:15 --startdatetime 2016-09-17T18:11:15 --delay 1 --endMP 204:156 --enddatetime 2016-09-17T18:50:13 --enforcementcount 0 &gt;&gt;C:\Users\stu\Documents\GitHub\eaglep3-reporting\EC\2016-09-17-refined-times.txt</v>
      </c>
      <c r="AI12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ID","value":"210-17"},{"id":16,"name":"Locomotive ID","value":"4026"},{"id":130,"name":"Impact","value":""},{"id":150,"name":"Time of Event (Mountain Time)","value":"18:50:13"},{"id":151,"name":"Denver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544</v>
      </c>
      <c r="B123" s="7">
        <v>4053</v>
      </c>
      <c r="C123" s="24" t="s">
        <v>106</v>
      </c>
      <c r="D123" s="24" t="s">
        <v>251</v>
      </c>
      <c r="E123" s="15">
        <v>42630.728032407409</v>
      </c>
      <c r="F123" s="15">
        <v>42630.729930555557</v>
      </c>
      <c r="G123" s="7">
        <v>1</v>
      </c>
      <c r="H123" s="15" t="s">
        <v>364</v>
      </c>
      <c r="I123" s="15">
        <v>42630.763564814813</v>
      </c>
      <c r="J123" s="7">
        <v>0</v>
      </c>
      <c r="K123" s="121" t="str">
        <f t="shared" si="51"/>
        <v>4053/4054</v>
      </c>
      <c r="L123" s="24" t="str">
        <f>VLOOKUP(A123,'Trips&amp;Operators'!$C$1:$E$10000,3,FALSE)</f>
        <v>CLARK</v>
      </c>
      <c r="M123" s="6">
        <f t="shared" si="52"/>
        <v>3.3634259256359655E-2</v>
      </c>
      <c r="N123" s="7">
        <f t="shared" si="65"/>
        <v>48.433333329157904</v>
      </c>
      <c r="O123" s="7"/>
      <c r="P123" s="7"/>
      <c r="Q123" s="25"/>
      <c r="R123" s="25"/>
      <c r="S123" s="37">
        <f t="shared" si="53"/>
        <v>1</v>
      </c>
      <c r="T123" s="52" t="str">
        <f t="shared" si="54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16:28:22-0600',mode:absolute,to:'2016-09-17 19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3" s="54" t="str">
        <f t="shared" si="56"/>
        <v>N</v>
      </c>
      <c r="X123" s="168">
        <f t="shared" si="57"/>
        <v>1</v>
      </c>
      <c r="Y123" s="69">
        <f t="shared" si="58"/>
        <v>4.7500000000000001E-2</v>
      </c>
      <c r="Z123" s="69">
        <f t="shared" si="59"/>
        <v>23.325900000000001</v>
      </c>
      <c r="AA123" s="69">
        <f t="shared" si="60"/>
        <v>23.278400000000001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1"/>
        <v>0211-17</v>
      </c>
      <c r="AE123" s="99" t="str">
        <f t="shared" si="6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23" s="96" t="str">
        <f t="shared" si="63"/>
        <v>"C:\Program Files (x86)\AstroGrep\AstroGrep.exe" /spath="%USERPROFILE%\AppData\Local\Temp\OnboardLogs" /stypes="app*4053*20160918*" /stext=" 00:.+((SYSTEM_STATE.+slice.+state.+changed )|(ment ac)|(system.+state.+changed )|(\|lc)|(penalty)|(\[timeout)|(PRM\|1\|D)|(kpr)|(kdp))" /e /r /s</v>
      </c>
      <c r="AG123" s="1" t="str">
        <f t="shared" si="64"/>
        <v>EC</v>
      </c>
      <c r="AH123" s="100" t="str">
        <f t="shared" si="49"/>
        <v>"%USERPROFILE%\Documents\GitHub\eaglep3\Utilities\RefineRTDCRunTimes.py" --tripid 211-17 --locoid 4053 --swversion DE.1.0.7.0 --startMP 204:475 --initTime 2016-09-17T17:28:22 --startdatetime 2016-09-17T17:31:06 --delay 1 --endMP 204:233259 --enddatetime 2016-09-17T18:19:32 --enforcementcount 0 &gt;&gt;C:\Users\stu\Documents\GitHub\eaglep3-reporting\EC\2016-09-17-refined-times.txt</v>
      </c>
      <c r="AI12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ID","value":"211-17"},{"id":16,"name":"Locomotive ID","value":"4053"},{"id":130,"name":"Impact","value":""},{"id":150,"name":"Time of Event (Mountain Time)","value":"18:19:32"},{"id":151,"name":"Denver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557</v>
      </c>
      <c r="B124" s="7">
        <v>4054</v>
      </c>
      <c r="C124" s="24" t="s">
        <v>106</v>
      </c>
      <c r="D124" s="24" t="s">
        <v>367</v>
      </c>
      <c r="E124" s="15">
        <v>42630.76803240741</v>
      </c>
      <c r="F124" s="15">
        <v>42630.769895833335</v>
      </c>
      <c r="G124" s="7">
        <v>0</v>
      </c>
      <c r="H124" s="15" t="s">
        <v>295</v>
      </c>
      <c r="I124" s="15">
        <v>42630.800358796296</v>
      </c>
      <c r="J124" s="7">
        <v>0</v>
      </c>
      <c r="K124" s="121" t="str">
        <f t="shared" si="51"/>
        <v>4053/4054</v>
      </c>
      <c r="L124" s="24" t="str">
        <f>VLOOKUP(A124,'Trips&amp;Operators'!$C$1:$E$10000,3,FALSE)</f>
        <v>CLARK</v>
      </c>
      <c r="M124" s="6">
        <f t="shared" si="52"/>
        <v>3.0462962960882578E-2</v>
      </c>
      <c r="N124" s="7">
        <f t="shared" si="65"/>
        <v>43.866666663670912</v>
      </c>
      <c r="O124" s="7"/>
      <c r="P124" s="7"/>
      <c r="Q124" s="25"/>
      <c r="R124" s="25"/>
      <c r="S124" s="37">
        <f t="shared" si="53"/>
        <v>1</v>
      </c>
      <c r="T124" s="52" t="str">
        <f t="shared" si="54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17:25:58-0600',mode:absolute,to:'2016-09-17 20:12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4" s="54" t="str">
        <f t="shared" si="56"/>
        <v>N</v>
      </c>
      <c r="X124" s="168">
        <f t="shared" si="57"/>
        <v>1</v>
      </c>
      <c r="Y124" s="69">
        <f t="shared" si="58"/>
        <v>23.293800000000001</v>
      </c>
      <c r="Z124" s="69">
        <f t="shared" si="59"/>
        <v>1.7000000000000001E-2</v>
      </c>
      <c r="AA124" s="69">
        <f t="shared" si="60"/>
        <v>23.276800000000001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1"/>
        <v>0212-17</v>
      </c>
      <c r="AE124" s="99" t="str">
        <f t="shared" si="6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24" s="96" t="str">
        <f t="shared" si="63"/>
        <v>"C:\Program Files (x86)\AstroGrep\AstroGrep.exe" /spath="%USERPROFILE%\AppData\Local\Temp\OnboardLogs" /stypes="app*4054*20160918*" /stext=" 01:.+((SYSTEM_STATE.+slice.+state.+changed )|(ment ac)|(system.+state.+changed )|(\|lc)|(penalty)|(\[timeout)|(PRM\|1\|D)|(kpr)|(kdp))" /e /r /s</v>
      </c>
      <c r="AG124" s="1" t="str">
        <f t="shared" si="64"/>
        <v>EC</v>
      </c>
      <c r="AH124" s="100" t="str">
        <f t="shared" si="49"/>
        <v>"%USERPROFILE%\Documents\GitHub\eaglep3\Utilities\RefineRTDCRunTimes.py" --tripid 212-17 --locoid 4054 --swversion DE.1.0.7.0 --startMP 204:232938 --initTime 2016-09-17T18:25:58 --startdatetime 2016-09-17T18:28:39 --delay 0 --endMP 204:170 --enddatetime 2016-09-17T19:12:31 --enforcementcount 0 &gt;&gt;C:\Users\stu\Documents\GitHub\eaglep3-reporting\EC\2016-09-17-refined-times.txt</v>
      </c>
      <c r="AI12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ID","value":"212-17"},{"id":16,"name":"Locomotive ID","value":"4054"},{"id":130,"name":"Impact","value":""},{"id":150,"name":"Time of Event (Mountain Time)","value":"19:12:31"},{"id":151,"name":"Denver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547</v>
      </c>
      <c r="B125" s="7">
        <v>4042</v>
      </c>
      <c r="C125" s="24" t="s">
        <v>106</v>
      </c>
      <c r="D125" s="24" t="s">
        <v>263</v>
      </c>
      <c r="E125" s="15">
        <v>42630.738263888888</v>
      </c>
      <c r="F125" s="15">
        <v>42630.740081018521</v>
      </c>
      <c r="G125" s="7">
        <v>1</v>
      </c>
      <c r="H125" s="15" t="s">
        <v>641</v>
      </c>
      <c r="I125" s="15">
        <v>42630.773379629631</v>
      </c>
      <c r="J125" s="7">
        <v>0</v>
      </c>
      <c r="K125" s="121" t="str">
        <f t="shared" si="51"/>
        <v>4041/4042</v>
      </c>
      <c r="L125" s="24" t="str">
        <f>VLOOKUP(A125,'Trips&amp;Operators'!$C$1:$E$10000,3,FALSE)</f>
        <v>NEWELL</v>
      </c>
      <c r="M125" s="6">
        <f t="shared" si="52"/>
        <v>3.329861110978527E-2</v>
      </c>
      <c r="N125" s="7">
        <f t="shared" si="65"/>
        <v>47.949999998090789</v>
      </c>
      <c r="O125" s="7"/>
      <c r="P125" s="7"/>
      <c r="Q125" s="25"/>
      <c r="R125" s="25"/>
      <c r="S125" s="37">
        <f t="shared" si="53"/>
        <v>1</v>
      </c>
      <c r="T125" s="52" t="str">
        <f t="shared" si="54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16:43:06-0600',mode:absolute,to:'2016-09-17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5" s="54" t="str">
        <f t="shared" si="56"/>
        <v>N</v>
      </c>
      <c r="X125" s="168">
        <f t="shared" si="57"/>
        <v>1</v>
      </c>
      <c r="Y125" s="69">
        <f t="shared" si="58"/>
        <v>4.6199999999999998E-2</v>
      </c>
      <c r="Z125" s="69">
        <f t="shared" si="59"/>
        <v>23.325700000000001</v>
      </c>
      <c r="AA125" s="69">
        <f t="shared" si="60"/>
        <v>23.279500000000002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1"/>
        <v>0213-17</v>
      </c>
      <c r="AE125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25" s="96" t="str">
        <f t="shared" si="63"/>
        <v>"C:\Program Files (x86)\AstroGrep\AstroGrep.exe" /spath="%USERPROFILE%\AppData\Local\Temp\OnboardLogs" /stypes="app*4042*20160918*" /stext=" 00:.+((SYSTEM_STATE.+slice.+state.+changed )|(ment ac)|(system.+state.+changed )|(\|lc)|(penalty)|(\[timeout)|(PRM\|1\|D)|(kpr)|(kdp))" /e /r /s</v>
      </c>
      <c r="AG125" s="1" t="str">
        <f t="shared" si="64"/>
        <v>EC</v>
      </c>
      <c r="AH125" s="100" t="str">
        <f t="shared" si="49"/>
        <v>"%USERPROFILE%\Documents\GitHub\eaglep3\Utilities\RefineRTDCRunTimes.py" --tripid 213-17 --locoid 4042 --swversion DE.1.0.7.0 --startMP 204:462 --initTime 2016-09-17T17:43:06 --startdatetime 2016-09-17T17:45:43 --delay 1 --endMP 204:233257 --enddatetime 2016-09-17T18:33:40 --enforcementcount 0 &gt;&gt;C:\Users\stu\Documents\GitHub\eaglep3-reporting\EC\2016-09-17-refined-times.txt</v>
      </c>
      <c r="AI12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ID","value":"213-17"},{"id":16,"name":"Locomotive ID","value":"4042"},{"id":130,"name":"Impact","value":""},{"id":150,"name":"Time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559</v>
      </c>
      <c r="B126" s="7">
        <v>4041</v>
      </c>
      <c r="C126" s="24" t="s">
        <v>106</v>
      </c>
      <c r="D126" s="24" t="s">
        <v>368</v>
      </c>
      <c r="E126" s="15">
        <v>42630.775104166663</v>
      </c>
      <c r="F126" s="15">
        <v>42630.778622685182</v>
      </c>
      <c r="G126" s="7">
        <v>1</v>
      </c>
      <c r="H126" s="15" t="s">
        <v>220</v>
      </c>
      <c r="I126" s="15">
        <v>42630.806238425925</v>
      </c>
      <c r="J126" s="7">
        <v>0</v>
      </c>
      <c r="K126" s="121" t="str">
        <f t="shared" si="51"/>
        <v>4041/4042</v>
      </c>
      <c r="L126" s="24" t="str">
        <f>VLOOKUP(A126,'Trips&amp;Operators'!$C$1:$E$10000,3,FALSE)</f>
        <v>NEWELL</v>
      </c>
      <c r="M126" s="6">
        <f t="shared" si="52"/>
        <v>2.7615740742476191E-2</v>
      </c>
      <c r="N126" s="7">
        <f t="shared" si="65"/>
        <v>39.766666669165716</v>
      </c>
      <c r="O126" s="7"/>
      <c r="P126" s="7"/>
      <c r="Q126" s="25"/>
      <c r="R126" s="25"/>
      <c r="S126" s="37">
        <f t="shared" si="53"/>
        <v>1</v>
      </c>
      <c r="T126" s="52" t="str">
        <f t="shared" si="54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17:36:09-0600',mode:absolute,to:'2016-09-17 20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6" s="54" t="str">
        <f t="shared" si="56"/>
        <v>N</v>
      </c>
      <c r="X126" s="168">
        <f t="shared" si="57"/>
        <v>1</v>
      </c>
      <c r="Y126" s="69">
        <f t="shared" si="58"/>
        <v>23.294</v>
      </c>
      <c r="Z126" s="69">
        <f t="shared" si="59"/>
        <v>1.47E-2</v>
      </c>
      <c r="AA126" s="69">
        <f t="shared" si="60"/>
        <v>23.279299999999999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1"/>
        <v>0214-17</v>
      </c>
      <c r="AE126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26" s="96" t="str">
        <f t="shared" si="63"/>
        <v>"C:\Program Files (x86)\AstroGrep\AstroGrep.exe" /spath="%USERPROFILE%\AppData\Local\Temp\OnboardLogs" /stypes="app*4041*20160918*" /stext=" 01:.+((SYSTEM_STATE.+slice.+state.+changed )|(ment ac)|(system.+state.+changed )|(\|lc)|(penalty)|(\[timeout)|(PRM\|1\|D)|(kpr)|(kdp))" /e /r /s</v>
      </c>
      <c r="AG126" s="1" t="str">
        <f t="shared" si="64"/>
        <v>EC</v>
      </c>
      <c r="AH126" s="100" t="str">
        <f t="shared" si="49"/>
        <v>"%USERPROFILE%\Documents\GitHub\eaglep3\Utilities\RefineRTDCRunTimes.py" --tripid 214-17 --locoid 4041 --swversion DE.1.0.7.0 --startMP 204:232940 --initTime 2016-09-17T18:36:09 --startdatetime 2016-09-17T18:41:13 --delay 1 --endMP 204:147 --enddatetime 2016-09-17T19:20:59 --enforcementcount 0 &gt;&gt;C:\Users\stu\Documents\GitHub\eaglep3-reporting\EC\2016-09-17-refined-times.txt</v>
      </c>
      <c r="AI12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ID","value":"214-17"},{"id":16,"name":"Locomotive ID","value":"4041"},{"id":130,"name":"Impact","value":""},{"id":150,"name":"Time of Event (Mountain Time)","value":"19:20:59"},{"id":151,"name":"Denver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551</v>
      </c>
      <c r="B127" s="7">
        <v>4046</v>
      </c>
      <c r="C127" s="24" t="s">
        <v>106</v>
      </c>
      <c r="D127" s="24" t="s">
        <v>235</v>
      </c>
      <c r="E127" s="15">
        <v>42630.748402777775</v>
      </c>
      <c r="F127" s="15">
        <v>42630.750173611108</v>
      </c>
      <c r="G127" s="7">
        <v>1</v>
      </c>
      <c r="H127" s="15" t="s">
        <v>363</v>
      </c>
      <c r="I127" s="15">
        <v>42630.783761574072</v>
      </c>
      <c r="J127" s="7">
        <v>0</v>
      </c>
      <c r="K127" s="121" t="str">
        <f t="shared" si="51"/>
        <v>4045/4046</v>
      </c>
      <c r="L127" s="24" t="str">
        <f>VLOOKUP(A127,'Trips&amp;Operators'!$C$1:$E$10000,3,FALSE)</f>
        <v>STEWART</v>
      </c>
      <c r="M127" s="6">
        <f t="shared" si="52"/>
        <v>3.3587962963792961E-2</v>
      </c>
      <c r="N127" s="7">
        <f t="shared" si="65"/>
        <v>48.366666667861864</v>
      </c>
      <c r="O127" s="7"/>
      <c r="P127" s="7"/>
      <c r="Q127" s="25"/>
      <c r="R127" s="25"/>
      <c r="S127" s="37">
        <f t="shared" si="53"/>
        <v>1</v>
      </c>
      <c r="T127" s="52" t="str">
        <f t="shared" si="54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16:57:42-0600',mode:absolute,to:'2016-09-17 19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7" s="54" t="str">
        <f t="shared" si="56"/>
        <v>N</v>
      </c>
      <c r="X127" s="168">
        <f t="shared" si="57"/>
        <v>1</v>
      </c>
      <c r="Y127" s="69">
        <f t="shared" si="58"/>
        <v>4.6399999999999997E-2</v>
      </c>
      <c r="Z127" s="69">
        <f t="shared" si="59"/>
        <v>23.328600000000002</v>
      </c>
      <c r="AA127" s="69">
        <f t="shared" si="60"/>
        <v>23.282200000000003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1"/>
        <v>0215-17</v>
      </c>
      <c r="AE127" s="99" t="str">
        <f t="shared" si="6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27" s="96" t="str">
        <f t="shared" si="63"/>
        <v>"C:\Program Files (x86)\AstroGrep\AstroGrep.exe" /spath="%USERPROFILE%\AppData\Local\Temp\OnboardLogs" /stypes="app*4046*20160918*" /stext=" 00:.+((SYSTEM_STATE.+slice.+state.+changed )|(ment ac)|(system.+state.+changed )|(\|lc)|(penalty)|(\[timeout)|(PRM\|1\|D)|(kpr)|(kdp))" /e /r /s</v>
      </c>
      <c r="AG127" s="1" t="str">
        <f t="shared" si="64"/>
        <v>EC</v>
      </c>
      <c r="AH127" s="100" t="str">
        <f t="shared" si="49"/>
        <v>"%USERPROFILE%\Documents\GitHub\eaglep3\Utilities\RefineRTDCRunTimes.py" --tripid 215-17 --locoid 4046 --swversion DE.1.0.7.0 --startMP 204:464 --initTime 2016-09-17T17:57:42 --startdatetime 2016-09-17T18:00:15 --delay 1 --endMP 204:233286 --enddatetime 2016-09-17T18:48:37 --enforcementcount 0 &gt;&gt;C:\Users\stu\Documents\GitHub\eaglep3-reporting\EC\2016-09-17-refined-times.txt</v>
      </c>
      <c r="AI12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ID","value":"215-17"},{"id":16,"name":"Locomotive ID","value":"4046"},{"id":130,"name":"Impact","value":""},{"id":150,"name":"Time of Event (Mountain Time)","value":"18:48:37"},{"id":151,"name":"Denver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563</v>
      </c>
      <c r="B128" s="7">
        <v>4045</v>
      </c>
      <c r="C128" s="24" t="s">
        <v>106</v>
      </c>
      <c r="D128" s="24" t="s">
        <v>307</v>
      </c>
      <c r="E128" s="15">
        <v>42630.785995370374</v>
      </c>
      <c r="F128" s="15">
        <v>42630.7890625</v>
      </c>
      <c r="G128" s="7">
        <v>1</v>
      </c>
      <c r="H128" s="15" t="s">
        <v>224</v>
      </c>
      <c r="I128" s="15">
        <v>42630.817199074074</v>
      </c>
      <c r="J128" s="7">
        <v>0</v>
      </c>
      <c r="K128" s="121" t="str">
        <f t="shared" si="51"/>
        <v>4045/4046</v>
      </c>
      <c r="L128" s="24" t="str">
        <f>VLOOKUP(A128,'Trips&amp;Operators'!$C$1:$E$10000,3,FALSE)</f>
        <v>ROBINSON</v>
      </c>
      <c r="M128" s="6">
        <f t="shared" si="52"/>
        <v>2.8136574073869269E-2</v>
      </c>
      <c r="N128" s="7">
        <f t="shared" si="65"/>
        <v>40.516666666371748</v>
      </c>
      <c r="O128" s="7"/>
      <c r="P128" s="7"/>
      <c r="Q128" s="25"/>
      <c r="R128" s="25"/>
      <c r="S128" s="37">
        <f t="shared" si="53"/>
        <v>1</v>
      </c>
      <c r="T128" s="52" t="str">
        <f t="shared" si="54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17:51:50-0600',mode:absolute,to:'2016-09-17 20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8" s="54" t="str">
        <f t="shared" si="56"/>
        <v>N</v>
      </c>
      <c r="X128" s="168">
        <f t="shared" si="57"/>
        <v>1</v>
      </c>
      <c r="Y128" s="69">
        <f t="shared" si="58"/>
        <v>23.296500000000002</v>
      </c>
      <c r="Z128" s="69">
        <f t="shared" si="59"/>
        <v>1.52E-2</v>
      </c>
      <c r="AA128" s="69">
        <f t="shared" si="60"/>
        <v>23.281300000000002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1"/>
        <v>0216-17</v>
      </c>
      <c r="AE128" s="99" t="str">
        <f t="shared" si="6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28" s="96" t="str">
        <f t="shared" si="63"/>
        <v>"C:\Program Files (x86)\AstroGrep\AstroGrep.exe" /spath="%USERPROFILE%\AppData\Local\Temp\OnboardLogs" /stypes="app*4045*20160918*" /stext=" 01:.+((SYSTEM_STATE.+slice.+state.+changed )|(ment ac)|(system.+state.+changed )|(\|lc)|(penalty)|(\[timeout)|(PRM\|1\|D)|(kpr)|(kdp))" /e /r /s</v>
      </c>
      <c r="AG128" s="1" t="str">
        <f t="shared" si="64"/>
        <v>EC</v>
      </c>
      <c r="AH128" s="100" t="str">
        <f t="shared" si="49"/>
        <v>"%USERPROFILE%\Documents\GitHub\eaglep3\Utilities\RefineRTDCRunTimes.py" --tripid 216-17 --locoid 4045 --swversion DE.1.0.7.0 --startMP 204:232965 --initTime 2016-09-17T18:51:50 --startdatetime 2016-09-17T18:56:15 --delay 1 --endMP 204:152 --enddatetime 2016-09-17T19:36:46 --enforcementcount 0 &gt;&gt;C:\Users\stu\Documents\GitHub\eaglep3-reporting\EC\2016-09-17-refined-times.txt</v>
      </c>
      <c r="AI12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ID","value":"216-17"},{"id":16,"name":"Locomotive ID","value":"4045"},{"id":130,"name":"Impact","value":""},{"id":150,"name":"Time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554</v>
      </c>
      <c r="B129" s="7">
        <v>4011</v>
      </c>
      <c r="C129" s="24" t="s">
        <v>106</v>
      </c>
      <c r="D129" s="24" t="s">
        <v>699</v>
      </c>
      <c r="E129" s="15">
        <v>42630.759988425925</v>
      </c>
      <c r="F129" s="15">
        <v>42630.761377314811</v>
      </c>
      <c r="G129" s="7">
        <v>1</v>
      </c>
      <c r="H129" s="15" t="s">
        <v>311</v>
      </c>
      <c r="I129" s="15">
        <v>42630.793715277781</v>
      </c>
      <c r="J129" s="7">
        <v>0</v>
      </c>
      <c r="K129" s="121" t="str">
        <f t="shared" si="51"/>
        <v>4011/4012</v>
      </c>
      <c r="L129" s="24" t="str">
        <f>VLOOKUP(A129,'Trips&amp;Operators'!$C$1:$E$10000,3,FALSE)</f>
        <v>CHANDLER</v>
      </c>
      <c r="M129" s="6">
        <f t="shared" si="52"/>
        <v>3.2337962969904765E-2</v>
      </c>
      <c r="N129" s="7">
        <f t="shared" si="65"/>
        <v>46.566666676662862</v>
      </c>
      <c r="O129" s="7"/>
      <c r="P129" s="7"/>
      <c r="Q129" s="25"/>
      <c r="R129" s="25"/>
      <c r="S129" s="37">
        <f t="shared" si="53"/>
        <v>1</v>
      </c>
      <c r="T129" s="52" t="str">
        <f t="shared" si="54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17:14:23-0600',mode:absolute,to:'2016-09-17 20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9" s="54" t="str">
        <f t="shared" si="56"/>
        <v>N</v>
      </c>
      <c r="X129" s="168">
        <f t="shared" si="57"/>
        <v>1</v>
      </c>
      <c r="Y129" s="69">
        <f t="shared" si="58"/>
        <v>0.10199999999999999</v>
      </c>
      <c r="Z129" s="69">
        <f t="shared" si="59"/>
        <v>23.3263</v>
      </c>
      <c r="AA129" s="69">
        <f t="shared" si="60"/>
        <v>23.224299999999999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61"/>
        <v>0217-17</v>
      </c>
      <c r="AE129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29" s="96" t="str">
        <f t="shared" si="63"/>
        <v>"C:\Program Files (x86)\AstroGrep\AstroGrep.exe" /spath="%USERPROFILE%\AppData\Local\Temp\OnboardLogs" /stypes="app*4011*20160918*" /stext=" 01:.+((SYSTEM_STATE.+slice.+state.+changed )|(ment ac)|(system.+state.+changed )|(\|lc)|(penalty)|(\[timeout)|(PRM\|1\|D)|(kpr)|(kdp))" /e /r /s</v>
      </c>
      <c r="AG129" s="1" t="str">
        <f t="shared" si="64"/>
        <v>EC</v>
      </c>
      <c r="AH129" s="100" t="str">
        <f t="shared" si="49"/>
        <v>"%USERPROFILE%\Documents\GitHub\eaglep3\Utilities\RefineRTDCRunTimes.py" --tripid 217-17 --locoid 4011 --swversion DE.1.0.7.0 --startMP 204:1020 --initTime 2016-09-17T18:14:23 --startdatetime 2016-09-17T18:16:23 --delay 1 --endMP 204:233263 --enddatetime 2016-09-17T19:02:57 --enforcementcount 0 &gt;&gt;C:\Users\stu\Documents\GitHub\eaglep3-reporting\EC\2016-09-17-refined-times.txt</v>
      </c>
      <c r="AI12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{"issue":{"subject":"","project_id":79,"tracker_id":40,"status_id":1,"priority_id":2,"assigned_to_id":23,"start_date":"2016-09-17","description":"","custom_fields":[{"id":1,"name":"Subdivision","value":"EC"},{"id":4,"name":"Milepost","value":"23.3263"},{"id":17,"name":"Train ID","value":"217-17"},{"id":16,"name":"Locomotive ID","value":"4011"},{"id":130,"name":"Impact","value":""},{"id":150,"name":"Time of Event (Mountain Time)","value":"19:02:57"},{"id":151,"name":"Denver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565</v>
      </c>
      <c r="B130" s="7">
        <v>4012</v>
      </c>
      <c r="C130" s="24" t="s">
        <v>106</v>
      </c>
      <c r="D130" s="24" t="s">
        <v>358</v>
      </c>
      <c r="E130" s="15">
        <v>42630.798692129632</v>
      </c>
      <c r="F130" s="15">
        <v>42630.80028935185</v>
      </c>
      <c r="G130" s="7">
        <v>1</v>
      </c>
      <c r="H130" s="15" t="s">
        <v>217</v>
      </c>
      <c r="I130" s="15">
        <v>42630.828344907408</v>
      </c>
      <c r="J130" s="7">
        <v>0</v>
      </c>
      <c r="K130" s="121" t="str">
        <f t="shared" si="51"/>
        <v>4011/4012</v>
      </c>
      <c r="L130" s="24" t="str">
        <f>VLOOKUP(A130,'Trips&amp;Operators'!$C$1:$E$10000,3,FALSE)</f>
        <v>CHANDLER</v>
      </c>
      <c r="M130" s="6">
        <f t="shared" si="52"/>
        <v>2.8055555558239575E-2</v>
      </c>
      <c r="N130" s="7">
        <f t="shared" si="65"/>
        <v>40.400000003864989</v>
      </c>
      <c r="O130" s="7"/>
      <c r="P130" s="7"/>
      <c r="Q130" s="25"/>
      <c r="R130" s="25"/>
      <c r="S130" s="37">
        <f t="shared" si="53"/>
        <v>1</v>
      </c>
      <c r="T130" s="52" t="str">
        <f t="shared" si="54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18:10:07-0600',mode:absolute,to:'2016-09-17 20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0" s="54" t="str">
        <f t="shared" si="56"/>
        <v>N</v>
      </c>
      <c r="X130" s="168">
        <f t="shared" si="57"/>
        <v>1</v>
      </c>
      <c r="Y130" s="69">
        <f t="shared" si="58"/>
        <v>23.294699999999999</v>
      </c>
      <c r="Z130" s="69">
        <f t="shared" si="59"/>
        <v>1.6299999999999999E-2</v>
      </c>
      <c r="AA130" s="69">
        <f t="shared" si="60"/>
        <v>23.278399999999998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1"/>
        <v>0218-17</v>
      </c>
      <c r="AE130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0" s="96" t="str">
        <f t="shared" si="63"/>
        <v>"C:\Program Files (x86)\AstroGrep\AstroGrep.exe" /spath="%USERPROFILE%\AppData\Local\Temp\OnboardLogs" /stypes="app*4012*20160918*" /stext=" 01:.+((SYSTEM_STATE.+slice.+state.+changed )|(ment ac)|(system.+state.+changed )|(\|lc)|(penalty)|(\[timeout)|(PRM\|1\|D)|(kpr)|(kdp))" /e /r /s</v>
      </c>
      <c r="AG130" s="1" t="str">
        <f t="shared" si="64"/>
        <v>EC</v>
      </c>
      <c r="AH130" s="100" t="str">
        <f t="shared" si="49"/>
        <v>"%USERPROFILE%\Documents\GitHub\eaglep3\Utilities\RefineRTDCRunTimes.py" --tripid 218-17 --locoid 4012 --swversion DE.1.0.7.0 --startMP 204:232947 --initTime 2016-09-17T19:10:07 --startdatetime 2016-09-17T19:12:25 --delay 1 --endMP 204:163 --enddatetime 2016-09-17T19:52:49 --enforcementcount 0 &gt;&gt;C:\Users\stu\Documents\GitHub\eaglep3-reporting\EC\2016-09-17-refined-times.txt</v>
      </c>
      <c r="AI13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ID","value":"218-17"},{"id":16,"name":"Locomotive ID","value":"4012"},{"id":130,"name":"Impact","value":""},{"id":150,"name":"Time of Event (Mountain Time)","value":"19:52:49"},{"id":151,"name":"Denver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558</v>
      </c>
      <c r="B131" s="7">
        <v>4040</v>
      </c>
      <c r="C131" s="24" t="s">
        <v>106</v>
      </c>
      <c r="D131" s="24" t="s">
        <v>668</v>
      </c>
      <c r="E131" s="15">
        <v>42630.770949074074</v>
      </c>
      <c r="F131" s="15">
        <v>42630.772997685184</v>
      </c>
      <c r="G131" s="7">
        <v>2</v>
      </c>
      <c r="H131" s="15" t="s">
        <v>611</v>
      </c>
      <c r="I131" s="15">
        <v>42630.802685185183</v>
      </c>
      <c r="J131" s="7">
        <v>0</v>
      </c>
      <c r="K131" s="121" t="str">
        <f t="shared" si="51"/>
        <v>4039/4040</v>
      </c>
      <c r="L131" s="24" t="str">
        <f>VLOOKUP(A131,'Trips&amp;Operators'!$C$1:$E$10000,3,FALSE)</f>
        <v>STURGEON</v>
      </c>
      <c r="M131" s="6">
        <f t="shared" si="52"/>
        <v>2.9687499998544808E-2</v>
      </c>
      <c r="N131" s="7">
        <f t="shared" si="65"/>
        <v>42.749999997904524</v>
      </c>
      <c r="O131" s="7"/>
      <c r="P131" s="7"/>
      <c r="Q131" s="25"/>
      <c r="R131" s="25"/>
      <c r="S131" s="37">
        <f t="shared" si="53"/>
        <v>1</v>
      </c>
      <c r="T131" s="52" t="str">
        <f t="shared" si="54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17:30:10-0600',mode:absolute,to:'2016-09-17 20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1" s="54" t="str">
        <f t="shared" si="56"/>
        <v>N</v>
      </c>
      <c r="X131" s="168">
        <f t="shared" si="57"/>
        <v>1</v>
      </c>
      <c r="Y131" s="69">
        <f t="shared" si="58"/>
        <v>8.3900000000000002E-2</v>
      </c>
      <c r="Z131" s="69">
        <f t="shared" si="59"/>
        <v>23.325500000000002</v>
      </c>
      <c r="AA131" s="69">
        <f t="shared" si="60"/>
        <v>23.241600000000002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1"/>
        <v>0219-17</v>
      </c>
      <c r="AE131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1" s="96" t="str">
        <f t="shared" si="63"/>
        <v>"C:\Program Files (x86)\AstroGrep\AstroGrep.exe" /spath="%USERPROFILE%\AppData\Local\Temp\OnboardLogs" /stypes="app*4040*20160918*" /stext=" 01:.+((SYSTEM_STATE.+slice.+state.+changed )|(ment ac)|(system.+state.+changed )|(\|lc)|(penalty)|(\[timeout)|(PRM\|1\|D)|(kpr)|(kdp))" /e /r /s</v>
      </c>
      <c r="AG131" s="1" t="str">
        <f t="shared" si="64"/>
        <v>EC</v>
      </c>
      <c r="AH131" s="100" t="str">
        <f t="shared" si="49"/>
        <v>"%USERPROFILE%\Documents\GitHub\eaglep3\Utilities\RefineRTDCRunTimes.py" --tripid 219-17 --locoid 4040 --swversion DE.1.0.7.0 --startMP 204:839 --initTime 2016-09-17T18:30:10 --startdatetime 2016-09-17T18:33:07 --delay 2 --endMP 204:233255 --enddatetime 2016-09-17T19:15:52 --enforcementcount 0 &gt;&gt;C:\Users\stu\Documents\GitHub\eaglep3-reporting\EC\2016-09-17-refined-times.txt</v>
      </c>
      <c r="AI13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ID","value":"219-17"},{"id":16,"name":"Locomotive ID","value":"4040"},{"id":130,"name":"Impact","value":""},{"id":150,"name":"Time of Event (Mountain Time)","value":"19:15:52"},{"id":151,"name":"Denver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568</v>
      </c>
      <c r="B132" s="7">
        <v>4039</v>
      </c>
      <c r="C132" s="24" t="s">
        <v>106</v>
      </c>
      <c r="D132" s="24" t="s">
        <v>625</v>
      </c>
      <c r="E132" s="15">
        <v>42630.804861111108</v>
      </c>
      <c r="F132" s="15">
        <v>42630.809918981482</v>
      </c>
      <c r="G132" s="7">
        <v>6</v>
      </c>
      <c r="H132" s="15" t="s">
        <v>700</v>
      </c>
      <c r="I132" s="15">
        <v>42630.838888888888</v>
      </c>
      <c r="J132" s="7">
        <v>0</v>
      </c>
      <c r="K132" s="121" t="str">
        <f t="shared" si="51"/>
        <v>4039/4040</v>
      </c>
      <c r="L132" s="24" t="str">
        <f>VLOOKUP(A132,'Trips&amp;Operators'!$C$1:$E$10000,3,FALSE)</f>
        <v>STURGEON</v>
      </c>
      <c r="M132" s="6">
        <f t="shared" si="52"/>
        <v>2.8969907405553386E-2</v>
      </c>
      <c r="N132" s="7">
        <f t="shared" si="65"/>
        <v>41.716666663996875</v>
      </c>
      <c r="O132" s="7"/>
      <c r="P132" s="7"/>
      <c r="Q132" s="25"/>
      <c r="R132" s="25"/>
      <c r="S132" s="37">
        <f t="shared" si="53"/>
        <v>1</v>
      </c>
      <c r="T132" s="52" t="str">
        <f t="shared" si="54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18:19:00-0600',mode:absolute,to:'2016-09-17 21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 t="shared" si="56"/>
        <v>N</v>
      </c>
      <c r="X132" s="168">
        <f t="shared" si="57"/>
        <v>1</v>
      </c>
      <c r="Y132" s="69">
        <f t="shared" si="58"/>
        <v>23.296099999999999</v>
      </c>
      <c r="Z132" s="69">
        <f t="shared" si="59"/>
        <v>1.9400000000000001E-2</v>
      </c>
      <c r="AA132" s="69">
        <f t="shared" si="60"/>
        <v>23.276699999999998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1"/>
        <v>0220-17</v>
      </c>
      <c r="AE132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32" s="96" t="str">
        <f t="shared" si="63"/>
        <v>"C:\Program Files (x86)\AstroGrep\AstroGrep.exe" /spath="%USERPROFILE%\AppData\Local\Temp\OnboardLogs" /stypes="app*4039*20160918*" /stext=" 02:.+((SYSTEM_STATE.+slice.+state.+changed )|(ment ac)|(system.+state.+changed )|(\|lc)|(penalty)|(\[timeout)|(PRM\|1\|D)|(kpr)|(kdp))" /e /r /s</v>
      </c>
      <c r="AG132" s="1" t="str">
        <f t="shared" si="64"/>
        <v>EC</v>
      </c>
      <c r="AH132" s="100" t="str">
        <f t="shared" si="49"/>
        <v>"%USERPROFILE%\Documents\GitHub\eaglep3\Utilities\RefineRTDCRunTimes.py" --tripid 220-17 --locoid 4039 --swversion DE.1.0.7.0 --startMP 204:232961 --initTime 2016-09-17T19:19:00 --startdatetime 2016-09-17T19:26:17 --delay 6 --endMP 204:194 --enddatetime 2016-09-17T20:08:00 --enforcementcount 0 &gt;&gt;C:\Users\stu\Documents\GitHub\eaglep3-reporting\EC\2016-09-17-refined-times.txt</v>
      </c>
      <c r="AI13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{"issue":{"subject":"","project_id":79,"tracker_id":40,"status_id":1,"priority_id":2,"assigned_to_id":23,"start_date":"2016-09-17","description":"","custom_fields":[{"id":1,"name":"Subdivision","value":"EC"},{"id":4,"name":"Milepost","value":"0.0194"},{"id":17,"name":"Train ID","value":"220-17"},{"id":16,"name":"Locomotive ID","value":"4039"},{"id":130,"name":"Impact","value":""},{"id":150,"name":"Time of Event (Mountain Time)","value":"20:08:00"},{"id":151,"name":"Denver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564</v>
      </c>
      <c r="B133" s="7">
        <v>4025</v>
      </c>
      <c r="C133" s="24" t="s">
        <v>106</v>
      </c>
      <c r="D133" s="24" t="s">
        <v>229</v>
      </c>
      <c r="E133" s="15">
        <v>42630.78738425926</v>
      </c>
      <c r="F133" s="15">
        <v>42630.79184027778</v>
      </c>
      <c r="G133" s="7">
        <v>6</v>
      </c>
      <c r="H133" s="15" t="s">
        <v>262</v>
      </c>
      <c r="I133" s="15">
        <v>42630.817523148151</v>
      </c>
      <c r="J133" s="7">
        <v>0</v>
      </c>
      <c r="K133" s="121" t="str">
        <f t="shared" si="51"/>
        <v>4025/4026</v>
      </c>
      <c r="L133" s="24" t="str">
        <f>VLOOKUP(A133,'Trips&amp;Operators'!$C$1:$E$10000,3,FALSE)</f>
        <v>LEVIN</v>
      </c>
      <c r="M133" s="6">
        <f t="shared" si="52"/>
        <v>2.5682870371383615E-2</v>
      </c>
      <c r="N133" s="7">
        <f t="shared" si="65"/>
        <v>36.983333334792405</v>
      </c>
      <c r="O133" s="7"/>
      <c r="P133" s="7"/>
      <c r="Q133" s="25"/>
      <c r="R133" s="25"/>
      <c r="S133" s="37">
        <f t="shared" si="53"/>
        <v>1</v>
      </c>
      <c r="T133" s="52" t="str">
        <f t="shared" si="54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17:53:50-0600',mode:absolute,to:'2016-09-17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3" s="54" t="str">
        <f t="shared" si="56"/>
        <v>N</v>
      </c>
      <c r="X133" s="168">
        <f t="shared" si="57"/>
        <v>1</v>
      </c>
      <c r="Y133" s="69">
        <f t="shared" si="58"/>
        <v>4.5499999999999999E-2</v>
      </c>
      <c r="Z133" s="69">
        <f t="shared" si="59"/>
        <v>23.3278</v>
      </c>
      <c r="AA133" s="69">
        <f t="shared" si="60"/>
        <v>23.282299999999999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1"/>
        <v>0221-17</v>
      </c>
      <c r="AE133" s="99" t="str">
        <f t="shared" si="6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3" s="96" t="str">
        <f t="shared" si="63"/>
        <v>"C:\Program Files (x86)\AstroGrep\AstroGrep.exe" /spath="%USERPROFILE%\AppData\Local\Temp\OnboardLogs" /stypes="app*4025*20160918*" /stext=" 01:.+((SYSTEM_STATE.+slice.+state.+changed )|(ment ac)|(system.+state.+changed )|(\|lc)|(penalty)|(\[timeout)|(PRM\|1\|D)|(kpr)|(kdp))" /e /r /s</v>
      </c>
      <c r="AG133" s="1" t="str">
        <f t="shared" si="64"/>
        <v>EC</v>
      </c>
      <c r="AH133" s="100" t="str">
        <f t="shared" si="49"/>
        <v>"%USERPROFILE%\Documents\GitHub\eaglep3\Utilities\RefineRTDCRunTimes.py" --tripid 221-17 --locoid 4025 --swversion DE.1.0.7.0 --startMP 204:455 --initTime 2016-09-17T18:53:50 --startdatetime 2016-09-17T19:00:15 --delay 6 --endMP 204:233278 --enddatetime 2016-09-17T19:37:14 --enforcementcount 0 &gt;&gt;C:\Users\stu\Documents\GitHub\eaglep3-reporting\EC\2016-09-17-refined-times.txt</v>
      </c>
      <c r="AI13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{"issue":{"subject":"","project_id":79,"tracker_id":40,"status_id":1,"priority_id":2,"assigned_to_id":23,"start_date":"2016-09-17","description":"","custom_fields":[{"id":1,"name":"Subdivision","value":"EC"},{"id":4,"name":"Milepost","value":"23.3278"},{"id":17,"name":"Train ID","value":"221-17"},{"id":16,"name":"Locomotive ID","value":"4025"},{"id":130,"name":"Impact","value":""},{"id":150,"name":"Time of Event (Mountain Time)","value":"19:37:14"},{"id":151,"name":"Denver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572</v>
      </c>
      <c r="B134" s="7">
        <v>4026</v>
      </c>
      <c r="C134" s="24" t="s">
        <v>106</v>
      </c>
      <c r="D134" s="24" t="s">
        <v>358</v>
      </c>
      <c r="E134" s="15">
        <v>42630.826331018521</v>
      </c>
      <c r="F134" s="15">
        <v>42630.830717592595</v>
      </c>
      <c r="G134" s="7">
        <v>1</v>
      </c>
      <c r="H134" s="15" t="s">
        <v>233</v>
      </c>
      <c r="I134" s="15">
        <v>42630.858553240738</v>
      </c>
      <c r="J134" s="7">
        <v>0</v>
      </c>
      <c r="K134" s="121" t="str">
        <f t="shared" si="51"/>
        <v>4025/4026</v>
      </c>
      <c r="L134" s="24" t="str">
        <f>VLOOKUP(A134,'Trips&amp;Operators'!$C$1:$E$10000,3,FALSE)</f>
        <v>LEVIN</v>
      </c>
      <c r="M134" s="6">
        <f t="shared" si="52"/>
        <v>2.7835648143081926E-2</v>
      </c>
      <c r="N134" s="7">
        <f t="shared" si="65"/>
        <v>40.083333326037973</v>
      </c>
      <c r="O134" s="7"/>
      <c r="P134" s="7"/>
      <c r="Q134" s="25"/>
      <c r="R134" s="25"/>
      <c r="S134" s="37">
        <f t="shared" si="53"/>
        <v>1</v>
      </c>
      <c r="T134" s="52" t="str">
        <f t="shared" si="54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18:49:55-0600',mode:absolute,to:'2016-09-17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4" s="54" t="str">
        <f t="shared" si="56"/>
        <v>N</v>
      </c>
      <c r="X134" s="168">
        <f t="shared" si="57"/>
        <v>1</v>
      </c>
      <c r="Y134" s="69">
        <f t="shared" si="58"/>
        <v>23.294699999999999</v>
      </c>
      <c r="Z134" s="69">
        <f t="shared" si="59"/>
        <v>1.3899999999999999E-2</v>
      </c>
      <c r="AA134" s="69">
        <f t="shared" si="60"/>
        <v>23.280799999999999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61"/>
        <v>0222-17</v>
      </c>
      <c r="AE134" s="99" t="str">
        <f t="shared" si="6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34" s="96" t="str">
        <f t="shared" si="63"/>
        <v>"C:\Program Files (x86)\AstroGrep\AstroGrep.exe" /spath="%USERPROFILE%\AppData\Local\Temp\OnboardLogs" /stypes="app*4026*20160918*" /stext=" 02:.+((SYSTEM_STATE.+slice.+state.+changed )|(ment ac)|(system.+state.+changed )|(\|lc)|(penalty)|(\[timeout)|(PRM\|1\|D)|(kpr)|(kdp))" /e /r /s</v>
      </c>
      <c r="AG134" s="1" t="str">
        <f t="shared" si="64"/>
        <v>EC</v>
      </c>
      <c r="AH134" s="100" t="str">
        <f t="shared" si="49"/>
        <v>"%USERPROFILE%\Documents\GitHub\eaglep3\Utilities\RefineRTDCRunTimes.py" --tripid 222-17 --locoid 4026 --swversion DE.1.0.7.0 --startMP 204:232947 --initTime 2016-09-17T19:49:55 --startdatetime 2016-09-17T19:56:14 --delay 1 --endMP 204:139 --enddatetime 2016-09-17T20:36:19 --enforcementcount 0 &gt;&gt;C:\Users\stu\Documents\GitHub\eaglep3-reporting\EC\2016-09-17-refined-times.txt</v>
      </c>
      <c r="AI13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ID","value":"222-17"},{"id":16,"name":"Locomotive ID","value":"4026"},{"id":130,"name":"Impact","value":""},{"id":150,"name":"Time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569</v>
      </c>
      <c r="B135" s="7">
        <v>4042</v>
      </c>
      <c r="C135" s="24" t="s">
        <v>106</v>
      </c>
      <c r="D135" s="24" t="s">
        <v>264</v>
      </c>
      <c r="E135" s="15">
        <v>42630.809571759259</v>
      </c>
      <c r="F135" s="15">
        <v>42630.812650462962</v>
      </c>
      <c r="G135" s="7">
        <v>1</v>
      </c>
      <c r="H135" s="15" t="s">
        <v>701</v>
      </c>
      <c r="I135" s="15">
        <v>42630.838078703702</v>
      </c>
      <c r="J135" s="7">
        <v>0</v>
      </c>
      <c r="K135" s="121" t="str">
        <f t="shared" si="51"/>
        <v>4041/4042</v>
      </c>
      <c r="L135" s="24" t="str">
        <f>VLOOKUP(A135,'Trips&amp;Operators'!$C$1:$E$10000,3,FALSE)</f>
        <v>NEWELL</v>
      </c>
      <c r="M135" s="6">
        <f t="shared" si="52"/>
        <v>2.5428240740438923E-2</v>
      </c>
      <c r="N135" s="7">
        <f t="shared" si="65"/>
        <v>36.616666666232049</v>
      </c>
      <c r="O135" s="7"/>
      <c r="P135" s="7"/>
      <c r="Q135" s="25"/>
      <c r="R135" s="25"/>
      <c r="S135" s="37">
        <f t="shared" si="53"/>
        <v>1</v>
      </c>
      <c r="T135" s="52" t="str">
        <f t="shared" si="54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18:25:47-0600',mode:absolute,to:'2016-09-17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5" s="54" t="str">
        <f t="shared" si="56"/>
        <v>N</v>
      </c>
      <c r="X135" s="168">
        <f t="shared" si="57"/>
        <v>1</v>
      </c>
      <c r="Y135" s="69">
        <f t="shared" si="58"/>
        <v>4.4600000000000001E-2</v>
      </c>
      <c r="Z135" s="69">
        <f t="shared" si="59"/>
        <v>23.331099999999999</v>
      </c>
      <c r="AA135" s="69">
        <f t="shared" si="60"/>
        <v>23.2865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1"/>
        <v>0223-17</v>
      </c>
      <c r="AE135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35" s="96" t="str">
        <f t="shared" si="63"/>
        <v>"C:\Program Files (x86)\AstroGrep\AstroGrep.exe" /spath="%USERPROFILE%\AppData\Local\Temp\OnboardLogs" /stypes="app*4042*20160918*" /stext=" 02:.+((SYSTEM_STATE.+slice.+state.+changed )|(ment ac)|(system.+state.+changed )|(\|lc)|(penalty)|(\[timeout)|(PRM\|1\|D)|(kpr)|(kdp))" /e /r /s</v>
      </c>
      <c r="AG135" s="1" t="str">
        <f t="shared" si="64"/>
        <v>EC</v>
      </c>
      <c r="AH135" s="100" t="str">
        <f t="shared" si="49"/>
        <v>"%USERPROFILE%\Documents\GitHub\eaglep3\Utilities\RefineRTDCRunTimes.py" --tripid 223-17 --locoid 4042 --swversion DE.1.0.7.0 --startMP 204:446 --initTime 2016-09-17T19:25:47 --startdatetime 2016-09-17T19:30:13 --delay 1 --endMP 204:233311 --enddatetime 2016-09-17T20:06:50 --enforcementcount 0 &gt;&gt;C:\Users\stu\Documents\GitHub\eaglep3-reporting\EC\2016-09-17-refined-times.txt</v>
      </c>
      <c r="AI13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{"issue":{"subject":"","project_id":79,"tracker_id":40,"status_id":1,"priority_id":2,"assigned_to_id":23,"start_date":"2016-09-17","description":"","custom_fields":[{"id":1,"name":"Subdivision","value":"EC"},{"id":4,"name":"Milepost","value":"23.3311"},{"id":17,"name":"Train ID","value":"223-17"},{"id":16,"name":"Locomotive ID","value":"4042"},{"id":130,"name":"Impact","value":""},{"id":150,"name":"Time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574</v>
      </c>
      <c r="B136" s="7">
        <v>4041</v>
      </c>
      <c r="C136" s="24" t="s">
        <v>106</v>
      </c>
      <c r="D136" s="24" t="s">
        <v>281</v>
      </c>
      <c r="E136" s="15">
        <v>42630.839097222219</v>
      </c>
      <c r="F136" s="15">
        <v>42630.851759259262</v>
      </c>
      <c r="G136" s="7">
        <v>1</v>
      </c>
      <c r="H136" s="15" t="s">
        <v>238</v>
      </c>
      <c r="I136" s="15">
        <v>42630.879652777781</v>
      </c>
      <c r="J136" s="7">
        <v>0</v>
      </c>
      <c r="K136" s="121" t="str">
        <f t="shared" si="51"/>
        <v>4041/4042</v>
      </c>
      <c r="L136" s="24" t="str">
        <f>VLOOKUP(A136,'Trips&amp;Operators'!$C$1:$E$10000,3,FALSE)</f>
        <v>NEWELL</v>
      </c>
      <c r="M136" s="6">
        <f t="shared" si="52"/>
        <v>2.789351851970423E-2</v>
      </c>
      <c r="N136" s="7">
        <f t="shared" si="65"/>
        <v>40.166666668374091</v>
      </c>
      <c r="O136" s="7"/>
      <c r="P136" s="7"/>
      <c r="Q136" s="25"/>
      <c r="R136" s="25"/>
      <c r="S136" s="37">
        <f t="shared" si="53"/>
        <v>1</v>
      </c>
      <c r="T136" s="52" t="str">
        <f t="shared" si="54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19:08:18-0600',mode:absolute,to:'2016-09-17 22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6" s="54" t="str">
        <f t="shared" si="56"/>
        <v>N</v>
      </c>
      <c r="X136" s="168">
        <f t="shared" si="57"/>
        <v>1</v>
      </c>
      <c r="Y136" s="69">
        <f t="shared" si="58"/>
        <v>23.2986</v>
      </c>
      <c r="Z136" s="69">
        <f t="shared" si="59"/>
        <v>1.41E-2</v>
      </c>
      <c r="AA136" s="69">
        <f t="shared" si="60"/>
        <v>23.284500000000001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1"/>
        <v>0224-17</v>
      </c>
      <c r="AE136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36" s="96" t="str">
        <f t="shared" si="63"/>
        <v>"C:\Program Files (x86)\AstroGrep\AstroGrep.exe" /spath="%USERPROFILE%\AppData\Local\Temp\OnboardLogs" /stypes="app*4041*20160918*" /stext=" 03:.+((SYSTEM_STATE.+slice.+state.+changed )|(ment ac)|(system.+state.+changed )|(\|lc)|(penalty)|(\[timeout)|(PRM\|1\|D)|(kpr)|(kdp))" /e /r /s</v>
      </c>
      <c r="AG136" s="1" t="str">
        <f t="shared" si="64"/>
        <v>EC</v>
      </c>
      <c r="AH136" s="100" t="str">
        <f t="shared" si="49"/>
        <v>"%USERPROFILE%\Documents\GitHub\eaglep3\Utilities\RefineRTDCRunTimes.py" --tripid 224-17 --locoid 4041 --swversion DE.1.0.7.0 --startMP 204:232986 --initTime 2016-09-17T20:08:18 --startdatetime 2016-09-17T20:26:32 --delay 1 --endMP 204:141 --enddatetime 2016-09-17T21:06:42 --enforcementcount 0 &gt;&gt;C:\Users\stu\Documents\GitHub\eaglep3-reporting\EC\2016-09-17-refined-times.txt</v>
      </c>
      <c r="AI13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ID","value":"224-17"},{"id":16,"name":"Locomotive ID","value":"4041"},{"id":130,"name":"Impact","value":""},{"id":150,"name":"Time of Event (Mountain Time)","value":"21:06:42"},{"id":151,"name":"Denver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573</v>
      </c>
      <c r="B137" s="7">
        <v>4011</v>
      </c>
      <c r="C137" s="24" t="s">
        <v>106</v>
      </c>
      <c r="D137" s="24" t="s">
        <v>218</v>
      </c>
      <c r="E137" s="15">
        <v>42630.831817129627</v>
      </c>
      <c r="F137" s="15">
        <v>42630.833622685182</v>
      </c>
      <c r="G137" s="7">
        <v>1</v>
      </c>
      <c r="H137" s="15" t="s">
        <v>304</v>
      </c>
      <c r="I137" s="15">
        <v>42630.860277777778</v>
      </c>
      <c r="J137" s="7">
        <v>0</v>
      </c>
      <c r="K137" s="121" t="str">
        <f t="shared" si="51"/>
        <v>4011/4012</v>
      </c>
      <c r="L137" s="24" t="str">
        <f>VLOOKUP(A137,'Trips&amp;Operators'!$C$1:$E$10000,3,FALSE)</f>
        <v>CHANDLER</v>
      </c>
      <c r="M137" s="6">
        <f t="shared" si="52"/>
        <v>2.6655092595319729E-2</v>
      </c>
      <c r="N137" s="7">
        <f t="shared" si="65"/>
        <v>38.38333333726041</v>
      </c>
      <c r="O137" s="7"/>
      <c r="P137" s="7"/>
      <c r="Q137" s="25"/>
      <c r="R137" s="25"/>
      <c r="S137" s="37">
        <f t="shared" si="53"/>
        <v>1</v>
      </c>
      <c r="T137" s="52" t="str">
        <f t="shared" si="54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18:57:49-0600',mode:absolute,to:'2016-09-17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7" s="54" t="str">
        <f t="shared" si="56"/>
        <v>N</v>
      </c>
      <c r="X137" s="168">
        <f t="shared" si="57"/>
        <v>1</v>
      </c>
      <c r="Y137" s="69">
        <f t="shared" si="58"/>
        <v>4.7100000000000003E-2</v>
      </c>
      <c r="Z137" s="69">
        <f t="shared" si="59"/>
        <v>23.327400000000001</v>
      </c>
      <c r="AA137" s="69">
        <f t="shared" si="60"/>
        <v>23.2803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1"/>
        <v>0225-17</v>
      </c>
      <c r="AE137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37" s="96" t="str">
        <f t="shared" si="63"/>
        <v>"C:\Program Files (x86)\AstroGrep\AstroGrep.exe" /spath="%USERPROFILE%\AppData\Local\Temp\OnboardLogs" /stypes="app*4011*20160918*" /stext=" 02:.+((SYSTEM_STATE.+slice.+state.+changed )|(ment ac)|(system.+state.+changed )|(\|lc)|(penalty)|(\[timeout)|(PRM\|1\|D)|(kpr)|(kdp))" /e /r /s</v>
      </c>
      <c r="AG137" s="1" t="str">
        <f t="shared" si="64"/>
        <v>EC</v>
      </c>
      <c r="AH137" s="100" t="str">
        <f t="shared" si="49"/>
        <v>"%USERPROFILE%\Documents\GitHub\eaglep3\Utilities\RefineRTDCRunTimes.py" --tripid 225-17 --locoid 4011 --swversion DE.1.0.7.0 --startMP 204:471 --initTime 2016-09-17T19:57:49 --startdatetime 2016-09-17T20:00:25 --delay 1 --endMP 204:233274 --enddatetime 2016-09-17T20:38:48 --enforcementcount 0 &gt;&gt;C:\Users\stu\Documents\GitHub\eaglep3-reporting\EC\2016-09-17-refined-times.txt</v>
      </c>
      <c r="AI13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{"issue":{"subject":"","project_id":79,"tracker_id":40,"status_id":1,"priority_id":2,"assigned_to_id":23,"start_date":"2016-09-17","description":"","custom_fields":[{"id":1,"name":"Subdivision","value":"EC"},{"id":4,"name":"Milepost","value":"23.3274"},{"id":17,"name":"Train ID","value":"225-17"},{"id":16,"name":"Locomotive ID","value":"4011"},{"id":130,"name":"Impact","value":""},{"id":150,"name":"Time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579</v>
      </c>
      <c r="B138" s="7">
        <v>4012</v>
      </c>
      <c r="C138" s="24" t="s">
        <v>106</v>
      </c>
      <c r="D138" s="24" t="s">
        <v>702</v>
      </c>
      <c r="E138" s="15">
        <v>42630.871168981481</v>
      </c>
      <c r="F138" s="15">
        <v>42630.87363425926</v>
      </c>
      <c r="G138" s="7">
        <v>3</v>
      </c>
      <c r="H138" s="15" t="s">
        <v>215</v>
      </c>
      <c r="I138" s="15">
        <v>42630.90283564815</v>
      </c>
      <c r="J138" s="7">
        <v>0</v>
      </c>
      <c r="K138" s="121" t="str">
        <f t="shared" si="51"/>
        <v>4011/4012</v>
      </c>
      <c r="L138" s="24" t="str">
        <f>VLOOKUP(A138,'Trips&amp;Operators'!$C$1:$E$10000,3,FALSE)</f>
        <v>CHANDLER</v>
      </c>
      <c r="M138" s="6">
        <f t="shared" si="52"/>
        <v>2.920138889021473E-2</v>
      </c>
      <c r="N138" s="7">
        <f t="shared" si="65"/>
        <v>42.050000001909211</v>
      </c>
      <c r="O138" s="7"/>
      <c r="P138" s="7"/>
      <c r="Q138" s="25"/>
      <c r="R138" s="25"/>
      <c r="S138" s="37">
        <f t="shared" si="53"/>
        <v>1</v>
      </c>
      <c r="T138" s="52" t="str">
        <f t="shared" si="54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19:54:29-0600',mode:absolute,to:'2016-09-17 22:40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8" s="54" t="str">
        <f t="shared" si="56"/>
        <v>N</v>
      </c>
      <c r="X138" s="168">
        <f t="shared" si="57"/>
        <v>1</v>
      </c>
      <c r="Y138" s="69">
        <f t="shared" si="58"/>
        <v>23.262699999999999</v>
      </c>
      <c r="Z138" s="69">
        <f t="shared" si="59"/>
        <v>1.49E-2</v>
      </c>
      <c r="AA138" s="69">
        <f t="shared" si="60"/>
        <v>23.247799999999998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1"/>
        <v>0226-17</v>
      </c>
      <c r="AE138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8" s="96" t="str">
        <f t="shared" si="63"/>
        <v>"C:\Program Files (x86)\AstroGrep\AstroGrep.exe" /spath="%USERPROFILE%\AppData\Local\Temp\OnboardLogs" /stypes="app*4012*20160918*" /stext=" 03:.+((SYSTEM_STATE.+slice.+state.+changed )|(ment ac)|(system.+state.+changed )|(\|lc)|(penalty)|(\[timeout)|(PRM\|1\|D)|(kpr)|(kdp))" /e /r /s</v>
      </c>
      <c r="AG138" s="1" t="str">
        <f t="shared" si="64"/>
        <v>EC</v>
      </c>
      <c r="AH138" s="100" t="str">
        <f t="shared" si="49"/>
        <v>"%USERPROFILE%\Documents\GitHub\eaglep3\Utilities\RefineRTDCRunTimes.py" --tripid 226-17 --locoid 4012 --swversion DE.1.0.7.0 --startMP 204:232627 --initTime 2016-09-17T20:54:29 --startdatetime 2016-09-17T20:58:02 --delay 3 --endMP 204:149 --enddatetime 2016-09-17T21:40:05 --enforcementcount 0 &gt;&gt;C:\Users\stu\Documents\GitHub\eaglep3-reporting\EC\2016-09-17-refined-times.txt</v>
      </c>
      <c r="AI13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ID","value":"226-17"},{"id":16,"name":"Locomotive ID","value":"4012"},{"id":130,"name":"Impact","value":""},{"id":150,"name":"Time of Event (Mountain Time)","value":"21:40:05"},{"id":151,"name":"Denver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576</v>
      </c>
      <c r="B139" s="7">
        <v>4040</v>
      </c>
      <c r="C139" s="24" t="s">
        <v>106</v>
      </c>
      <c r="D139" s="24" t="s">
        <v>703</v>
      </c>
      <c r="E139" s="15">
        <v>42630.849687499998</v>
      </c>
      <c r="F139" s="15">
        <v>42630.854490740741</v>
      </c>
      <c r="G139" s="7">
        <v>1</v>
      </c>
      <c r="H139" s="15" t="s">
        <v>642</v>
      </c>
      <c r="I139" s="15">
        <v>42630.880902777775</v>
      </c>
      <c r="J139" s="7">
        <v>0</v>
      </c>
      <c r="K139" s="121" t="str">
        <f t="shared" si="51"/>
        <v>4039/4040</v>
      </c>
      <c r="L139" s="24" t="str">
        <f>VLOOKUP(A139,'Trips&amp;Operators'!$C$1:$E$10000,3,FALSE)</f>
        <v>STURGEON</v>
      </c>
      <c r="M139" s="6">
        <f t="shared" si="52"/>
        <v>2.6412037033878732E-2</v>
      </c>
      <c r="N139" s="7">
        <f t="shared" si="65"/>
        <v>38.033333328785375</v>
      </c>
      <c r="O139" s="7"/>
      <c r="P139" s="7"/>
      <c r="Q139" s="25"/>
      <c r="R139" s="25"/>
      <c r="S139" s="37">
        <f t="shared" si="53"/>
        <v>1</v>
      </c>
      <c r="T139" s="52" t="str">
        <f t="shared" si="54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19:23:33-0600',mode:absolute,to:'2016-09-17 22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 t="shared" si="56"/>
        <v>N</v>
      </c>
      <c r="X139" s="168">
        <f t="shared" ref="X139:X144" si="66">VALUE(LEFT(AD139,4))-VALUE(LEFT(AD138,4))</f>
        <v>1</v>
      </c>
      <c r="Y139" s="69">
        <f t="shared" si="58"/>
        <v>4.9500000000000002E-2</v>
      </c>
      <c r="Z139" s="69">
        <f t="shared" si="59"/>
        <v>23.3293</v>
      </c>
      <c r="AA139" s="69">
        <f t="shared" si="60"/>
        <v>23.279800000000002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1"/>
        <v>0227-17</v>
      </c>
      <c r="AE139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9" s="96" t="str">
        <f t="shared" si="63"/>
        <v>"C:\Program Files (x86)\AstroGrep\AstroGrep.exe" /spath="%USERPROFILE%\AppData\Local\Temp\OnboardLogs" /stypes="app*4040*20160918*" /stext=" 03:.+((SYSTEM_STATE.+slice.+state.+changed )|(ment ac)|(system.+state.+changed )|(\|lc)|(penalty)|(\[timeout)|(PRM\|1\|D)|(kpr)|(kdp))" /e /r /s</v>
      </c>
      <c r="AG139" s="1" t="str">
        <f t="shared" si="64"/>
        <v>EC</v>
      </c>
      <c r="AH139" s="100" t="str">
        <f t="shared" si="49"/>
        <v>"%USERPROFILE%\Documents\GitHub\eaglep3\Utilities\RefineRTDCRunTimes.py" --tripid 227-17 --locoid 4040 --swversion DE.1.0.7.0 --startMP 204:495 --initTime 2016-09-17T20:23:33 --startdatetime 2016-09-17T20:30:28 --delay 1 --endMP 204:233293 --enddatetime 2016-09-17T21:08:30 --enforcementcount 0 &gt;&gt;C:\Users\stu\Documents\GitHub\eaglep3-reporting\EC\2016-09-17-refined-times.txt</v>
      </c>
      <c r="AI13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ID","value":"227-17"},{"id":16,"name":"Locomotive ID","value":"4040"},{"id":130,"name":"Impact","value":""},{"id":150,"name":"Time of Event (Mountain Time)","value":"21:08:30"},{"id":151,"name":"Denver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581</v>
      </c>
      <c r="B140" s="7">
        <v>4039</v>
      </c>
      <c r="C140" s="24" t="s">
        <v>106</v>
      </c>
      <c r="D140" s="24" t="s">
        <v>704</v>
      </c>
      <c r="E140" s="15">
        <v>42630.904490740744</v>
      </c>
      <c r="F140" s="15">
        <v>42630.906435185185</v>
      </c>
      <c r="G140" s="7">
        <v>2</v>
      </c>
      <c r="H140" s="15" t="s">
        <v>370</v>
      </c>
      <c r="I140" s="15">
        <v>42630.925659722219</v>
      </c>
      <c r="J140" s="7">
        <v>0</v>
      </c>
      <c r="K140" s="121" t="str">
        <f t="shared" si="51"/>
        <v>4039/4040</v>
      </c>
      <c r="L140" s="24" t="str">
        <f>VLOOKUP(A140,'Trips&amp;Operators'!$C$1:$E$10000,3,FALSE)</f>
        <v>STURGEON</v>
      </c>
      <c r="M140" s="6">
        <f t="shared" si="52"/>
        <v>1.9224537034460809E-2</v>
      </c>
      <c r="N140" s="7"/>
      <c r="O140" s="7"/>
      <c r="P140" s="7">
        <f>24*60*SUM($M140:$M140)</f>
        <v>27.683333329623565</v>
      </c>
      <c r="Q140" s="25"/>
      <c r="R140" s="25" t="s">
        <v>729</v>
      </c>
      <c r="S140" s="37">
        <f t="shared" si="53"/>
        <v>1</v>
      </c>
      <c r="T140" s="52" t="str">
        <f t="shared" si="54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20:42:28-0600',mode:absolute,to:'2016-09-17 23:12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 t="shared" si="56"/>
        <v>Y</v>
      </c>
      <c r="X140" s="168">
        <f t="shared" si="66"/>
        <v>1</v>
      </c>
      <c r="Y140" s="69">
        <f t="shared" si="58"/>
        <v>12.786099999999999</v>
      </c>
      <c r="Z140" s="69">
        <f t="shared" si="59"/>
        <v>1.6500000000000001E-2</v>
      </c>
      <c r="AA140" s="69">
        <f t="shared" si="60"/>
        <v>12.769599999999999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1"/>
        <v>0228-17</v>
      </c>
      <c r="AE140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0" s="96" t="str">
        <f t="shared" si="63"/>
        <v>"C:\Program Files (x86)\AstroGrep\AstroGrep.exe" /spath="%USERPROFILE%\AppData\Local\Temp\OnboardLogs" /stypes="app*4039*20160918*" /stext=" 04:.+((SYSTEM_STATE.+slice.+state.+changed )|(ment ac)|(system.+state.+changed )|(\|lc)|(penalty)|(\[timeout)|(PRM\|1\|D)|(kpr)|(kdp))" /e /r /s</v>
      </c>
      <c r="AG140" s="1" t="str">
        <f t="shared" si="64"/>
        <v>EC</v>
      </c>
      <c r="AH140" s="100" t="str">
        <f t="shared" si="49"/>
        <v>"%USERPROFILE%\Documents\GitHub\eaglep3\Utilities\RefineRTDCRunTimes.py" --tripid 228-17 --locoid 4039 --swversion DE.1.0.7.0 --startMP 204:127861 --initTime 2016-09-17T21:42:28 --startdatetime 2016-09-17T21:45:16 --delay 2 --endMP 204:165 --enddatetime 2016-09-17T22:12:57 --enforcementcount 0 &gt;&gt;C:\Users\stu\Documents\GitHub\eaglep3-reporting\EC\2016-09-17-refined-times.txt</v>
      </c>
      <c r="AI140" s="134" t="str">
        <f t="shared" si="50"/>
        <v>echo {"issue":{"subject":"Onboard in-route failure","project_id":79,"tracker_id":40,"status_id":1,"priority_id":2,"assigned_to_id":23,"start_date":"2016-09-17","description":"At 2016-09-17 21:26:18, we experienced 'Multiple CPU Faults'","custom_fields":[{"id":1,"name":"Subdivision","value":"EC"},{"id":4,"name":"Milepost","value":"0.0165"},{"id":17,"name":"Train ID","value":"228-17"},{"id":16,"name":"Locomotive ID","value":"4039"},{"id":130,"name":"Impact","value":"Failed State"},{"id":150,"name":"Time of Event (Mountain Time)","value":"22:12:57"},{"id":151,"name":"Denver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0" s="55" t="s">
        <v>731</v>
      </c>
      <c r="AK140" s="55" t="s">
        <v>142</v>
      </c>
      <c r="AL140" s="55" t="s">
        <v>290</v>
      </c>
    </row>
    <row r="141" spans="1:38" s="23" customFormat="1" x14ac:dyDescent="0.25">
      <c r="A141" s="39" t="s">
        <v>578</v>
      </c>
      <c r="B141" s="7">
        <v>4025</v>
      </c>
      <c r="C141" s="24" t="s">
        <v>106</v>
      </c>
      <c r="D141" s="24" t="s">
        <v>225</v>
      </c>
      <c r="E141" s="15">
        <v>42630.870520833334</v>
      </c>
      <c r="F141" s="15">
        <v>42630.875173611108</v>
      </c>
      <c r="G141" s="7">
        <v>1</v>
      </c>
      <c r="H141" s="15" t="s">
        <v>705</v>
      </c>
      <c r="I141" s="15">
        <v>42630.901018518518</v>
      </c>
      <c r="J141" s="7">
        <v>0</v>
      </c>
      <c r="K141" s="121" t="str">
        <f t="shared" ref="K141:K172" si="67">IF(ISEVEN(B141),(B141-1)&amp;"/"&amp;B141,B141&amp;"/"&amp;(B141+1))</f>
        <v>4025/4026</v>
      </c>
      <c r="L141" s="24" t="str">
        <f>VLOOKUP(A141,'Trips&amp;Operators'!$C$1:$E$10000,3,FALSE)</f>
        <v>LEVIN</v>
      </c>
      <c r="M141" s="6">
        <f t="shared" ref="M141:M172" si="68">I141-F141</f>
        <v>2.584490740991896E-2</v>
      </c>
      <c r="N141" s="7">
        <f t="shared" ref="N141:N151" si="69">24*60*SUM($M141:$M141)</f>
        <v>37.216666670283303</v>
      </c>
      <c r="O141" s="7"/>
      <c r="P141" s="7"/>
      <c r="Q141" s="25"/>
      <c r="R141" s="25"/>
      <c r="S141" s="37">
        <f t="shared" ref="S141:S172" si="70">SUM(U141:U141)/IF(AG141="EC",12,1)</f>
        <v>1</v>
      </c>
      <c r="T141" s="52" t="str">
        <f t="shared" ref="T141:T172" si="71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2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https://search-rtdc-monitor-bjffxe2xuh6vdkpspy63sjmuny.us-east-1.es.amazonaws.com/_plugin/kibana/#/discover/Steve-Slow-Train-Analysis-(2080s-and-2083s)?_g=(refreshInterval:(display:Off,section:0,value:0),time:(from:'2016-09-17 19:53:33-0600',mode:absolute,to:'2016-09-17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1" s="54" t="str">
        <f t="shared" ref="W141:W172" si="73">IF(AA141&lt;IF(AG141="EC",23,5.65),"Y","N")</f>
        <v>N</v>
      </c>
      <c r="X141" s="168">
        <f t="shared" si="66"/>
        <v>1</v>
      </c>
      <c r="Y141" s="69">
        <f t="shared" ref="Y141:Y172" si="74">RIGHT(D141,LEN(D141)-4)/10000</f>
        <v>4.5699999999999998E-2</v>
      </c>
      <c r="Z141" s="69">
        <f t="shared" ref="Z141:Z172" si="75">RIGHT(H141,LEN(H141)-4)/10000</f>
        <v>23.333400000000001</v>
      </c>
      <c r="AA141" s="69">
        <f t="shared" ref="AA141:AA172" si="76">ABS(Z141-Y141)</f>
        <v>23.287700000000001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77">IF(LEN(A141)=6,"0"&amp;A141,A141)</f>
        <v>0229-17</v>
      </c>
      <c r="AE141" s="99" t="str">
        <f t="shared" ref="AE141:AE172" si="7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1" s="96" t="str">
        <f t="shared" ref="AF141:AF172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/stypes="app*4025*20160918*" /stext=" 03:.+((SYSTEM_STATE.+slice.+state.+changed )|(ment ac)|(system.+state.+changed )|(\|lc)|(penalty)|(\[timeout)|(PRM\|1\|D)|(kpr)|(kdp))" /e /r /s</v>
      </c>
      <c r="AG141" s="1" t="str">
        <f t="shared" ref="AG141:AG172" si="80">IFERROR(IF(VALUE(LEFT(AD141,2))&lt;=2,"EC",IF(OR(VALUE(LEFT(AD141,2))=8,VALUE(LEFT(AD141,2))=18),"NW","Other")),"Other")</f>
        <v>EC</v>
      </c>
      <c r="AH141" s="100" t="str">
        <f t="shared" ref="AH141:AH200" si="8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229-17 --locoid 4025 --swversion DE.1.0.7.0 --startMP 204:457 --initTime 2016-09-17T20:53:33 --startdatetime 2016-09-17T21:00:15 --delay 1 --endMP 204:233334 --enddatetime 2016-09-17T21:37:28 --enforcementcount 0 &gt;&gt;C:\Users\stu\Documents\GitHub\eaglep3-reporting\EC\2016-09-17-refined-times.txt</v>
      </c>
      <c r="AI141" s="134" t="str">
        <f t="shared" ref="AI141:AI200" si="8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{"issue":{"subject":"","project_id":79,"tracker_id":40,"status_id":1,"priority_id":2,"assigned_to_id":23,"start_date":"2016-09-17","description":"","custom_fields":[{"id":1,"name":"Subdivision","value":"EC"},{"id":4,"name":"Milepost","value":"23.3334"},{"id":17,"name":"Train ID","value":"229-17"},{"id":16,"name":"Locomotive ID","value":"4025"},{"id":130,"name":"Impact","value":""},{"id":150,"name":"Time of Event (Mountain Time)","value":"21:37:28"},{"id":151,"name":"Denver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584</v>
      </c>
      <c r="B142" s="7">
        <v>4026</v>
      </c>
      <c r="C142" s="24" t="s">
        <v>106</v>
      </c>
      <c r="D142" s="24" t="s">
        <v>706</v>
      </c>
      <c r="E142" s="15">
        <v>42630.910439814812</v>
      </c>
      <c r="F142" s="15">
        <v>42630.914247685185</v>
      </c>
      <c r="G142" s="7">
        <v>1</v>
      </c>
      <c r="H142" s="15" t="s">
        <v>269</v>
      </c>
      <c r="I142" s="15">
        <v>42630.94259259259</v>
      </c>
      <c r="J142" s="7">
        <v>0</v>
      </c>
      <c r="K142" s="121" t="str">
        <f t="shared" si="67"/>
        <v>4025/4026</v>
      </c>
      <c r="L142" s="24" t="str">
        <f>VLOOKUP(A142,'Trips&amp;Operators'!$C$1:$E$10000,3,FALSE)</f>
        <v>LEVIN</v>
      </c>
      <c r="M142" s="6">
        <f t="shared" si="68"/>
        <v>2.8344907404971309E-2</v>
      </c>
      <c r="N142" s="7">
        <f t="shared" si="69"/>
        <v>40.816666663158685</v>
      </c>
      <c r="O142" s="7"/>
      <c r="P142" s="7"/>
      <c r="Q142" s="25"/>
      <c r="R142" s="25"/>
      <c r="S142" s="37">
        <f t="shared" si="70"/>
        <v>1</v>
      </c>
      <c r="T142" s="52" t="str">
        <f t="shared" si="71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20:51:02-0600',mode:absolute,to:'2016-09-17 23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2" s="54" t="str">
        <f t="shared" si="73"/>
        <v>N</v>
      </c>
      <c r="X142" s="168">
        <f t="shared" si="66"/>
        <v>1</v>
      </c>
      <c r="Y142" s="69">
        <f t="shared" si="74"/>
        <v>23.301100000000002</v>
      </c>
      <c r="Z142" s="69">
        <f t="shared" si="75"/>
        <v>1.43E-2</v>
      </c>
      <c r="AA142" s="69">
        <f t="shared" si="76"/>
        <v>23.286800000000003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77"/>
        <v>0230-17</v>
      </c>
      <c r="AE142" s="99" t="str">
        <f t="shared" si="78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42" s="96" t="str">
        <f t="shared" si="79"/>
        <v>"C:\Program Files (x86)\AstroGrep\AstroGrep.exe" /spath="%USERPROFILE%\AppData\Local\Temp\OnboardLogs" /stypes="app*4026*20160918*" /stext=" 04:.+((SYSTEM_STATE.+slice.+state.+changed )|(ment ac)|(system.+state.+changed )|(\|lc)|(penalty)|(\[timeout)|(PRM\|1\|D)|(kpr)|(kdp))" /e /r /s</v>
      </c>
      <c r="AG142" s="1" t="str">
        <f t="shared" si="80"/>
        <v>EC</v>
      </c>
      <c r="AH142" s="100" t="str">
        <f t="shared" si="81"/>
        <v>"%USERPROFILE%\Documents\GitHub\eaglep3\Utilities\RefineRTDCRunTimes.py" --tripid 230-17 --locoid 4026 --swversion DE.1.0.7.0 --startMP 204:233011 --initTime 2016-09-17T21:51:02 --startdatetime 2016-09-17T21:56:31 --delay 1 --endMP 204:143 --enddatetime 2016-09-17T22:37:20 --enforcementcount 0 &gt;&gt;C:\Users\stu\Documents\GitHub\eaglep3-reporting\EC\2016-09-17-refined-times.txt</v>
      </c>
      <c r="AI142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ID","value":"230-17"},{"id":16,"name":"Locomotive ID","value":"4026"},{"id":130,"name":"Impact","value":""},{"id":150,"name":"Time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582</v>
      </c>
      <c r="B143" s="7">
        <v>4042</v>
      </c>
      <c r="C143" s="24" t="s">
        <v>106</v>
      </c>
      <c r="D143" s="24" t="s">
        <v>227</v>
      </c>
      <c r="E143" s="15">
        <v>42630.889664351853</v>
      </c>
      <c r="F143" s="15">
        <v>42630.896273148152</v>
      </c>
      <c r="G143" s="7">
        <v>1</v>
      </c>
      <c r="H143" s="15" t="s">
        <v>363</v>
      </c>
      <c r="I143" s="15">
        <v>42630.922199074077</v>
      </c>
      <c r="J143" s="7">
        <v>0</v>
      </c>
      <c r="K143" s="121" t="str">
        <f t="shared" si="67"/>
        <v>4041/4042</v>
      </c>
      <c r="L143" s="24" t="str">
        <f>VLOOKUP(A143,'Trips&amp;Operators'!$C$1:$E$10000,3,FALSE)</f>
        <v>NEWELL</v>
      </c>
      <c r="M143" s="6">
        <f t="shared" si="68"/>
        <v>2.5925925925548654E-2</v>
      </c>
      <c r="N143" s="7">
        <f t="shared" si="69"/>
        <v>37.333333332790062</v>
      </c>
      <c r="O143" s="7"/>
      <c r="P143" s="7"/>
      <c r="Q143" s="25"/>
      <c r="R143" s="25"/>
      <c r="S143" s="37">
        <f t="shared" si="70"/>
        <v>1</v>
      </c>
      <c r="T143" s="52" t="str">
        <f t="shared" si="71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20:21:07-0600',mode:absolute,to:'2016-09-17 23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3" s="54" t="str">
        <f t="shared" si="73"/>
        <v>N</v>
      </c>
      <c r="X143" s="168">
        <f t="shared" si="66"/>
        <v>1</v>
      </c>
      <c r="Y143" s="69">
        <f t="shared" si="74"/>
        <v>4.6600000000000003E-2</v>
      </c>
      <c r="Z143" s="69">
        <f t="shared" si="75"/>
        <v>23.328600000000002</v>
      </c>
      <c r="AA143" s="69">
        <f t="shared" si="76"/>
        <v>23.282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77"/>
        <v>0231-17</v>
      </c>
      <c r="AE143" s="99" t="str">
        <f t="shared" si="78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43" s="96" t="str">
        <f t="shared" si="79"/>
        <v>"C:\Program Files (x86)\AstroGrep\AstroGrep.exe" /spath="%USERPROFILE%\AppData\Local\Temp\OnboardLogs" /stypes="app*4042*20160918*" /stext=" 04:.+((SYSTEM_STATE.+slice.+state.+changed )|(ment ac)|(system.+state.+changed )|(\|lc)|(penalty)|(\[timeout)|(PRM\|1\|D)|(kpr)|(kdp))" /e /r /s</v>
      </c>
      <c r="AG143" s="1" t="str">
        <f t="shared" si="80"/>
        <v>EC</v>
      </c>
      <c r="AH143" s="100" t="str">
        <f t="shared" si="81"/>
        <v>"%USERPROFILE%\Documents\GitHub\eaglep3\Utilities\RefineRTDCRunTimes.py" --tripid 231-17 --locoid 4042 --swversion DE.1.0.7.0 --startMP 204:466 --initTime 2016-09-17T21:21:07 --startdatetime 2016-09-17T21:30:38 --delay 1 --endMP 204:233286 --enddatetime 2016-09-17T22:07:58 --enforcementcount 0 &gt;&gt;C:\Users\stu\Documents\GitHub\eaglep3-reporting\EC\2016-09-17-refined-times.txt</v>
      </c>
      <c r="AI143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ID","value":"231-17"},{"id":16,"name":"Locomotive ID","value":"4042"},{"id":130,"name":"Impact","value":""},{"id":150,"name":"Time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586</v>
      </c>
      <c r="B144" s="7">
        <v>4041</v>
      </c>
      <c r="C144" s="24" t="s">
        <v>106</v>
      </c>
      <c r="D144" s="24" t="s">
        <v>352</v>
      </c>
      <c r="E144" s="15">
        <v>42630.925821759258</v>
      </c>
      <c r="F144" s="15">
        <v>42630.934918981482</v>
      </c>
      <c r="G144" s="7">
        <v>1</v>
      </c>
      <c r="H144" s="15" t="s">
        <v>233</v>
      </c>
      <c r="I144" s="15">
        <v>42630.964212962965</v>
      </c>
      <c r="J144" s="7">
        <v>0</v>
      </c>
      <c r="K144" s="121" t="str">
        <f t="shared" si="67"/>
        <v>4041/4042</v>
      </c>
      <c r="L144" s="24" t="str">
        <f>VLOOKUP(A144,'Trips&amp;Operators'!$C$1:$E$10000,3,FALSE)</f>
        <v>NEWELL</v>
      </c>
      <c r="M144" s="6">
        <f t="shared" si="68"/>
        <v>2.9293981482624076E-2</v>
      </c>
      <c r="N144" s="7">
        <f t="shared" si="69"/>
        <v>42.18333333497867</v>
      </c>
      <c r="O144" s="7"/>
      <c r="P144" s="7"/>
      <c r="Q144" s="25"/>
      <c r="R144" s="25"/>
      <c r="S144" s="37">
        <f t="shared" si="70"/>
        <v>1</v>
      </c>
      <c r="T144" s="52" t="str">
        <f t="shared" si="71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21:13:11-0600',mode:absolute,to:'2016-09-18 00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4" s="54" t="str">
        <f t="shared" si="73"/>
        <v>N</v>
      </c>
      <c r="X144" s="168">
        <f t="shared" si="66"/>
        <v>1</v>
      </c>
      <c r="Y144" s="69">
        <f t="shared" si="74"/>
        <v>23.2973</v>
      </c>
      <c r="Z144" s="69">
        <f t="shared" si="75"/>
        <v>1.3899999999999999E-2</v>
      </c>
      <c r="AA144" s="69">
        <f t="shared" si="76"/>
        <v>23.2834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77"/>
        <v>0232-17</v>
      </c>
      <c r="AE144" s="99" t="str">
        <f t="shared" si="78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44" s="96" t="str">
        <f t="shared" si="79"/>
        <v>"C:\Program Files (x86)\AstroGrep\AstroGrep.exe" /spath="%USERPROFILE%\AppData\Local\Temp\OnboardLogs" /stypes="app*4041*20160918*" /stext=" 05:.+((SYSTEM_STATE.+slice.+state.+changed )|(ment ac)|(system.+state.+changed )|(\|lc)|(penalty)|(\[timeout)|(PRM\|1\|D)|(kpr)|(kdp))" /e /r /s</v>
      </c>
      <c r="AG144" s="1" t="str">
        <f t="shared" si="80"/>
        <v>EC</v>
      </c>
      <c r="AH144" s="100" t="str">
        <f t="shared" si="81"/>
        <v>"%USERPROFILE%\Documents\GitHub\eaglep3\Utilities\RefineRTDCRunTimes.py" --tripid 232-17 --locoid 4041 --swversion DE.1.0.7.0 --startMP 204:232973 --initTime 2016-09-17T22:13:11 --startdatetime 2016-09-17T22:26:17 --delay 1 --endMP 204:139 --enddatetime 2016-09-17T23:08:28 --enforcementcount 0 &gt;&gt;C:\Users\stu\Documents\GitHub\eaglep3-reporting\EC\2016-09-17-refined-times.txt</v>
      </c>
      <c r="AI144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ID","value":"232-17"},{"id":16,"name":"Locomotive ID","value":"4041"},{"id":130,"name":"Impact","value":""},{"id":150,"name":"Time of Event (Mountain Time)","value":"23:08:28"},{"id":151,"name":"Denver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585</v>
      </c>
      <c r="B145" s="7">
        <v>4011</v>
      </c>
      <c r="C145" s="24" t="s">
        <v>106</v>
      </c>
      <c r="D145" s="24" t="s">
        <v>229</v>
      </c>
      <c r="E145" s="15">
        <v>42630.915196759262</v>
      </c>
      <c r="F145" s="15">
        <v>42630.917037037034</v>
      </c>
      <c r="G145" s="7">
        <v>1</v>
      </c>
      <c r="H145" s="15" t="s">
        <v>302</v>
      </c>
      <c r="I145" s="15">
        <v>42630.944722222222</v>
      </c>
      <c r="J145" s="7">
        <v>0</v>
      </c>
      <c r="K145" s="121" t="str">
        <f t="shared" si="67"/>
        <v>4011/4012</v>
      </c>
      <c r="L145" s="24" t="str">
        <f>VLOOKUP(A145,'Trips&amp;Operators'!$C$1:$E$10000,3,FALSE)</f>
        <v>CHANDLER</v>
      </c>
      <c r="M145" s="6">
        <f t="shared" si="68"/>
        <v>2.768518518860219E-2</v>
      </c>
      <c r="N145" s="7">
        <f t="shared" si="69"/>
        <v>39.866666671587154</v>
      </c>
      <c r="O145" s="7"/>
      <c r="P145" s="7"/>
      <c r="Q145" s="25"/>
      <c r="R145" s="25"/>
      <c r="S145" s="37">
        <f t="shared" si="70"/>
        <v>1</v>
      </c>
      <c r="T145" s="52" t="str">
        <f t="shared" si="71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5" s="54" t="str">
        <f t="shared" si="73"/>
        <v>N</v>
      </c>
      <c r="X145" s="168">
        <f t="shared" ref="X145:X155" si="83">VALUE(LEFT(AD145,4))-VALUE(LEFT(AD144,4))</f>
        <v>1</v>
      </c>
      <c r="Y145" s="69">
        <f t="shared" si="74"/>
        <v>4.5499999999999999E-2</v>
      </c>
      <c r="Z145" s="69">
        <f t="shared" si="75"/>
        <v>23.325099999999999</v>
      </c>
      <c r="AA145" s="69">
        <f t="shared" si="76"/>
        <v>23.279599999999999</v>
      </c>
      <c r="AB145" s="66" t="str">
        <f>VLOOKUP(A145,Enforcements!$C$7:$K$20,8,0)</f>
        <v>Bulletin (2)</v>
      </c>
      <c r="AC145" s="62" t="str">
        <f>VLOOKUP(A145,Enforcements!$C$7:$E$20,3,0)</f>
        <v>GRADE CROSSING</v>
      </c>
      <c r="AD145" s="63" t="str">
        <f t="shared" si="77"/>
        <v>0233-17</v>
      </c>
      <c r="AE145" s="99" t="str">
        <f t="shared" si="78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45" s="96" t="str">
        <f t="shared" si="79"/>
        <v>"C:\Program Files (x86)\AstroGrep\AstroGrep.exe" /spath="%USERPROFILE%\AppData\Local\Temp\OnboardLogs" /stypes="app*4011*20160918*" /stext=" 04:.+((SYSTEM_STATE.+slice.+state.+changed )|(ment ac)|(system.+state.+changed )|(\|lc)|(penalty)|(\[timeout)|(PRM\|1\|D)|(kpr)|(kdp))" /e /r /s</v>
      </c>
      <c r="AG145" s="1" t="str">
        <f t="shared" si="80"/>
        <v>EC</v>
      </c>
      <c r="AH145" s="100" t="str">
        <f t="shared" si="81"/>
        <v>"%USERPROFILE%\Documents\GitHub\eaglep3\Utilities\RefineRTDCRunTimes.py" --tripid 233-17 --locoid 4011 --swversion DE.1.0.7.0 --startMP 204:455 --initTime 2016-09-17T21:57:53 --startdatetime 2016-09-17T22:00:32 --delay 1 --endMP 204:233251 --enddatetime 2016-09-17T22:40:24 --enforcementcount 0 &gt;&gt;C:\Users\stu\Documents\GitHub\eaglep3-reporting\EC\2016-09-17-refined-times.txt</v>
      </c>
      <c r="AI145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ID","value":"233-17"},{"id":16,"name":"Locomotive ID","value":"4011"},{"id":130,"name":"Impact","value":""},{"id":150,"name":"Time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591</v>
      </c>
      <c r="B146" s="7">
        <v>4012</v>
      </c>
      <c r="C146" s="24" t="s">
        <v>106</v>
      </c>
      <c r="D146" s="24" t="s">
        <v>249</v>
      </c>
      <c r="E146" s="15">
        <v>42630.954351851855</v>
      </c>
      <c r="F146" s="15">
        <v>42630.95585648148</v>
      </c>
      <c r="G146" s="7">
        <v>1</v>
      </c>
      <c r="H146" s="15" t="s">
        <v>217</v>
      </c>
      <c r="I146" s="15">
        <v>42630.98678240741</v>
      </c>
      <c r="J146" s="7">
        <v>0</v>
      </c>
      <c r="K146" s="121" t="str">
        <f t="shared" si="67"/>
        <v>4011/4012</v>
      </c>
      <c r="L146" s="24" t="str">
        <f>VLOOKUP(A146,'Trips&amp;Operators'!$C$1:$E$10000,3,FALSE)</f>
        <v>CHANDLER</v>
      </c>
      <c r="M146" s="6">
        <f t="shared" si="68"/>
        <v>3.0925925930205267E-2</v>
      </c>
      <c r="N146" s="7">
        <f t="shared" si="69"/>
        <v>44.533333339495584</v>
      </c>
      <c r="O146" s="7"/>
      <c r="P146" s="7"/>
      <c r="Q146" s="25"/>
      <c r="R146" s="25"/>
      <c r="S146" s="37">
        <f t="shared" si="70"/>
        <v>1</v>
      </c>
      <c r="T146" s="52" t="str">
        <f t="shared" si="71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21:54:16-0600',mode:absolute,to:'2016-09-18 00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6" s="54" t="str">
        <f t="shared" si="73"/>
        <v>N</v>
      </c>
      <c r="X146" s="168">
        <f t="shared" si="83"/>
        <v>1</v>
      </c>
      <c r="Y146" s="69">
        <f t="shared" si="74"/>
        <v>23.296700000000001</v>
      </c>
      <c r="Z146" s="69">
        <f t="shared" si="75"/>
        <v>1.6299999999999999E-2</v>
      </c>
      <c r="AA146" s="69">
        <f t="shared" si="76"/>
        <v>23.2804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77"/>
        <v>0234-17</v>
      </c>
      <c r="AE146" s="99" t="str">
        <f t="shared" si="78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46" s="96" t="str">
        <f t="shared" si="79"/>
        <v>"C:\Program Files (x86)\AstroGrep\AstroGrep.exe" /spath="%USERPROFILE%\AppData\Local\Temp\OnboardLogs" /stypes="app*4012*20160918*" /stext=" 05:.+((SYSTEM_STATE.+slice.+state.+changed )|(ment ac)|(system.+state.+changed )|(\|lc)|(penalty)|(\[timeout)|(PRM\|1\|D)|(kpr)|(kdp))" /e /r /s</v>
      </c>
      <c r="AG146" s="1" t="str">
        <f t="shared" si="80"/>
        <v>EC</v>
      </c>
      <c r="AH146" s="100" t="str">
        <f t="shared" si="81"/>
        <v>"%USERPROFILE%\Documents\GitHub\eaglep3\Utilities\RefineRTDCRunTimes.py" --tripid 234-17 --locoid 4012 --swversion DE.1.0.7.0 --startMP 204:232967 --initTime 2016-09-17T22:54:16 --startdatetime 2016-09-17T22:56:26 --delay 1 --endMP 204:163 --enddatetime 2016-09-17T23:40:58 --enforcementcount 0 &gt;&gt;C:\Users\stu\Documents\GitHub\eaglep3-reporting\EC\2016-09-17-refined-times.txt</v>
      </c>
      <c r="AI146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ID","value":"234-17"},{"id":16,"name":"Locomotive ID","value":"4012"},{"id":130,"name":"Impact","value":""},{"id":150,"name":"Time of Event (Mountain Time)","value":"23:40:58"},{"id":151,"name":"Denver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588</v>
      </c>
      <c r="B147" s="7">
        <v>4040</v>
      </c>
      <c r="C147" s="24" t="s">
        <v>106</v>
      </c>
      <c r="D147" s="24" t="s">
        <v>707</v>
      </c>
      <c r="E147" s="15">
        <v>42630.932847222219</v>
      </c>
      <c r="F147" s="15">
        <v>42630.937858796293</v>
      </c>
      <c r="G147" s="7">
        <v>1</v>
      </c>
      <c r="H147" s="15" t="s">
        <v>286</v>
      </c>
      <c r="I147" s="15">
        <v>42630.964571759258</v>
      </c>
      <c r="J147" s="7">
        <v>0</v>
      </c>
      <c r="K147" s="121" t="str">
        <f t="shared" si="67"/>
        <v>4039/4040</v>
      </c>
      <c r="L147" s="24" t="str">
        <f>VLOOKUP(A147,'Trips&amp;Operators'!$C$1:$E$10000,3,FALSE)</f>
        <v>STURGEON</v>
      </c>
      <c r="M147" s="6">
        <f t="shared" si="68"/>
        <v>2.6712962964666076E-2</v>
      </c>
      <c r="N147" s="7">
        <f t="shared" si="69"/>
        <v>38.466666669119149</v>
      </c>
      <c r="O147" s="7"/>
      <c r="P147" s="7"/>
      <c r="Q147" s="25"/>
      <c r="R147" s="25"/>
      <c r="S147" s="37">
        <f t="shared" si="70"/>
        <v>1</v>
      </c>
      <c r="T147" s="52" t="str">
        <f t="shared" si="71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21:23:18-0600',mode:absolute,to:'2016-09-18 00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 t="shared" si="73"/>
        <v>N</v>
      </c>
      <c r="X147" s="168">
        <f t="shared" si="83"/>
        <v>1</v>
      </c>
      <c r="Y147" s="69">
        <f t="shared" si="74"/>
        <v>4.8899999999999999E-2</v>
      </c>
      <c r="Z147" s="69">
        <f t="shared" si="75"/>
        <v>23.327999999999999</v>
      </c>
      <c r="AA147" s="69">
        <f t="shared" si="76"/>
        <v>23.2791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77"/>
        <v>0235-17</v>
      </c>
      <c r="AE147" s="99" t="str">
        <f t="shared" si="78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47" s="96" t="str">
        <f t="shared" si="79"/>
        <v>"C:\Program Files (x86)\AstroGrep\AstroGrep.exe" /spath="%USERPROFILE%\AppData\Local\Temp\OnboardLogs" /stypes="app*4040*20160918*" /stext=" 05:.+((SYSTEM_STATE.+slice.+state.+changed )|(ment ac)|(system.+state.+changed )|(\|lc)|(penalty)|(\[timeout)|(PRM\|1\|D)|(kpr)|(kdp))" /e /r /s</v>
      </c>
      <c r="AG147" s="1" t="str">
        <f t="shared" si="80"/>
        <v>EC</v>
      </c>
      <c r="AH147" s="100" t="str">
        <f t="shared" si="81"/>
        <v>"%USERPROFILE%\Documents\GitHub\eaglep3\Utilities\RefineRTDCRunTimes.py" --tripid 235-17 --locoid 4040 --swversion DE.1.0.7.0 --startMP 204:489 --initTime 2016-09-17T22:23:18 --startdatetime 2016-09-17T22:30:31 --delay 1 --endMP 204:233280 --enddatetime 2016-09-17T23:08:59 --enforcementcount 0 &gt;&gt;C:\Users\stu\Documents\GitHub\eaglep3-reporting\EC\2016-09-17-refined-times.txt</v>
      </c>
      <c r="AI147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{"issue":{"subject":"","project_id":79,"tracker_id":40,"status_id":1,"priority_id":2,"assigned_to_id":23,"start_date":"2016-09-17","description":"","custom_fields":[{"id":1,"name":"Subdivision","value":"EC"},{"id":4,"name":"Milepost","value":"23.328"},{"id":17,"name":"Train ID","value":"235-17"},{"id":16,"name":"Locomotive ID","value":"4040"},{"id":130,"name":"Impact","value":""},{"id":150,"name":"Time of Event (Mountain Time)","value":"23:08:59"},{"id":151,"name":"Denver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593</v>
      </c>
      <c r="B148" s="7">
        <v>4039</v>
      </c>
      <c r="C148" s="24" t="s">
        <v>106</v>
      </c>
      <c r="D148" s="24" t="s">
        <v>270</v>
      </c>
      <c r="E148" s="15">
        <v>42630.969363425924</v>
      </c>
      <c r="F148" s="15">
        <v>42630.976574074077</v>
      </c>
      <c r="G148" s="7">
        <v>1</v>
      </c>
      <c r="H148" s="15" t="s">
        <v>284</v>
      </c>
      <c r="I148" s="15">
        <v>42631.005520833336</v>
      </c>
      <c r="J148" s="7">
        <v>0</v>
      </c>
      <c r="K148" s="121" t="str">
        <f t="shared" si="67"/>
        <v>4039/4040</v>
      </c>
      <c r="L148" s="24" t="str">
        <f>VLOOKUP(A148,'Trips&amp;Operators'!$C$1:$E$10000,3,FALSE)</f>
        <v>STURGEON</v>
      </c>
      <c r="M148" s="6">
        <f t="shared" si="68"/>
        <v>2.8946759259270038E-2</v>
      </c>
      <c r="N148" s="7">
        <f t="shared" si="69"/>
        <v>41.683333333348855</v>
      </c>
      <c r="O148" s="7"/>
      <c r="P148" s="7"/>
      <c r="Q148" s="25"/>
      <c r="R148" s="25"/>
      <c r="S148" s="37">
        <f t="shared" si="70"/>
        <v>1</v>
      </c>
      <c r="T148" s="52" t="str">
        <f t="shared" si="71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22:15:53-0600',mode:absolute,to:'2016-09-18 01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 t="shared" si="73"/>
        <v>N</v>
      </c>
      <c r="X148" s="168">
        <f t="shared" si="83"/>
        <v>1</v>
      </c>
      <c r="Y148" s="69">
        <f t="shared" si="74"/>
        <v>23.295500000000001</v>
      </c>
      <c r="Z148" s="69">
        <f t="shared" si="75"/>
        <v>1.7600000000000001E-2</v>
      </c>
      <c r="AA148" s="69">
        <f t="shared" si="76"/>
        <v>23.277899999999999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77"/>
        <v>0236-17</v>
      </c>
      <c r="AE148" s="99" t="str">
        <f t="shared" si="78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8" s="96" t="str">
        <f t="shared" si="79"/>
        <v>"C:\Program Files (x86)\AstroGrep\AstroGrep.exe" /spath="%USERPROFILE%\AppData\Local\Temp\OnboardLogs" /stypes="app*4039*20160918*" /stext=" 06:.+((SYSTEM_STATE.+slice.+state.+changed )|(ment ac)|(system.+state.+changed )|(\|lc)|(penalty)|(\[timeout)|(PRM\|1\|D)|(kpr)|(kdp))" /e /r /s</v>
      </c>
      <c r="AG148" s="1" t="str">
        <f t="shared" si="80"/>
        <v>EC</v>
      </c>
      <c r="AH148" s="100" t="str">
        <f t="shared" si="81"/>
        <v>"%USERPROFILE%\Documents\GitHub\eaglep3\Utilities\RefineRTDCRunTimes.py" --tripid 236-17 --locoid 4039 --swversion DE.1.0.7.0 --startMP 204:232955 --initTime 2016-09-17T23:15:53 --startdatetime 2016-09-17T23:26:16 --delay 1 --endMP 204:176 --enddatetime 2016-09-18T00:07:57 --enforcementcount 0 &gt;&gt;C:\Users\stu\Documents\GitHub\eaglep3-reporting\EC\2016-09-17-refined-times.txt</v>
      </c>
      <c r="AI148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{"issue":{"subject":"","project_id":79,"tracker_id":40,"status_id":1,"priority_id":2,"assigned_to_id":23,"start_date":"2016-09-18","description":"","custom_fields":[{"id":1,"name":"Subdivision","value":"EC"},{"id":4,"name":"Milepost","value":"0.0176"},{"id":17,"name":"Train ID","value":"236-17"},{"id":16,"name":"Locomotive ID","value":"4039"},{"id":130,"name":"Impact","value":""},{"id":150,"name":"Time of Event (Mountain Time)","value":"00:07:57"},{"id":151,"name":"Denver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590</v>
      </c>
      <c r="B149" s="7">
        <v>4025</v>
      </c>
      <c r="C149" s="24" t="s">
        <v>106</v>
      </c>
      <c r="D149" s="24" t="s">
        <v>237</v>
      </c>
      <c r="E149" s="15">
        <v>42630.953136574077</v>
      </c>
      <c r="F149" s="15">
        <v>42630.95853009259</v>
      </c>
      <c r="G149" s="7">
        <v>2</v>
      </c>
      <c r="H149" s="15" t="s">
        <v>261</v>
      </c>
      <c r="I149" s="15">
        <v>42630.983981481484</v>
      </c>
      <c r="J149" s="7">
        <v>0</v>
      </c>
      <c r="K149" s="121" t="str">
        <f t="shared" si="67"/>
        <v>4025/4026</v>
      </c>
      <c r="L149" s="24" t="str">
        <f>VLOOKUP(A149,'Trips&amp;Operators'!$C$1:$E$10000,3,FALSE)</f>
        <v>LEVIN</v>
      </c>
      <c r="M149" s="6">
        <f t="shared" si="68"/>
        <v>2.5451388893998228E-2</v>
      </c>
      <c r="N149" s="7">
        <f t="shared" si="69"/>
        <v>36.650000007357448</v>
      </c>
      <c r="O149" s="7"/>
      <c r="P149" s="7"/>
      <c r="Q149" s="25"/>
      <c r="R149" s="25"/>
      <c r="S149" s="37">
        <f t="shared" si="70"/>
        <v>1</v>
      </c>
      <c r="T149" s="52" t="str">
        <f t="shared" si="71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21:52:31-0600',mode:absolute,to:'2016-09-18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9" s="54" t="str">
        <f t="shared" si="73"/>
        <v>N</v>
      </c>
      <c r="X149" s="168">
        <f t="shared" si="83"/>
        <v>1</v>
      </c>
      <c r="Y149" s="69">
        <f t="shared" si="74"/>
        <v>4.6699999999999998E-2</v>
      </c>
      <c r="Z149" s="69">
        <f t="shared" si="75"/>
        <v>23.329899999999999</v>
      </c>
      <c r="AA149" s="69">
        <f t="shared" si="76"/>
        <v>23.283199999999997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77"/>
        <v>0237-17</v>
      </c>
      <c r="AE149" s="99" t="str">
        <f t="shared" si="78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9" s="96" t="str">
        <f t="shared" si="79"/>
        <v>"C:\Program Files (x86)\AstroGrep\AstroGrep.exe" /spath="%USERPROFILE%\AppData\Local\Temp\OnboardLogs" /stypes="app*4025*20160918*" /stext=" 05:.+((SYSTEM_STATE.+slice.+state.+changed )|(ment ac)|(system.+state.+changed )|(\|lc)|(penalty)|(\[timeout)|(PRM\|1\|D)|(kpr)|(kdp))" /e /r /s</v>
      </c>
      <c r="AG149" s="1" t="str">
        <f t="shared" si="80"/>
        <v>EC</v>
      </c>
      <c r="AH149" s="100" t="str">
        <f t="shared" si="81"/>
        <v>"%USERPROFILE%\Documents\GitHub\eaglep3\Utilities\RefineRTDCRunTimes.py" --tripid 237-17 --locoid 4025 --swversion DE.1.0.7.0 --startMP 204:467 --initTime 2016-09-17T22:52:31 --startdatetime 2016-09-17T23:00:17 --delay 2 --endMP 204:233299 --enddatetime 2016-09-17T23:36:56 --enforcementcount 0 &gt;&gt;C:\Users\stu\Documents\GitHub\eaglep3-reporting\EC\2016-09-17-refined-times.txt</v>
      </c>
      <c r="AI149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ID","value":"237-17"},{"id":16,"name":"Locomotive ID","value":"4025"},{"id":130,"name":"Impact","value":""},{"id":150,"name":"Time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594</v>
      </c>
      <c r="B150" s="7">
        <v>4026</v>
      </c>
      <c r="C150" s="24" t="s">
        <v>106</v>
      </c>
      <c r="D150" s="24" t="s">
        <v>706</v>
      </c>
      <c r="E150" s="15">
        <v>42630.994270833333</v>
      </c>
      <c r="F150" s="15">
        <v>42630.997499999998</v>
      </c>
      <c r="G150" s="7">
        <v>1</v>
      </c>
      <c r="H150" s="15" t="s">
        <v>243</v>
      </c>
      <c r="I150" s="15">
        <v>42631.025370370371</v>
      </c>
      <c r="J150" s="7">
        <v>0</v>
      </c>
      <c r="K150" s="121" t="str">
        <f t="shared" si="67"/>
        <v>4025/4026</v>
      </c>
      <c r="L150" s="24" t="str">
        <f>VLOOKUP(A150,'Trips&amp;Operators'!$C$1:$E$10000,3,FALSE)</f>
        <v>LEVIN</v>
      </c>
      <c r="M150" s="6">
        <f t="shared" si="68"/>
        <v>2.7870370373420883E-2</v>
      </c>
      <c r="N150" s="7">
        <f t="shared" si="69"/>
        <v>40.133333337726071</v>
      </c>
      <c r="O150" s="7"/>
      <c r="P150" s="7"/>
      <c r="Q150" s="25"/>
      <c r="R150" s="25"/>
      <c r="S150" s="37">
        <f t="shared" si="70"/>
        <v>1</v>
      </c>
      <c r="T150" s="52" t="str">
        <f t="shared" si="71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22:51:45-0600',mode:absolute,to:'2016-09-18 01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0" s="54" t="str">
        <f t="shared" si="73"/>
        <v>N</v>
      </c>
      <c r="X150" s="168">
        <f t="shared" si="83"/>
        <v>1</v>
      </c>
      <c r="Y150" s="69">
        <f t="shared" si="74"/>
        <v>23.301100000000002</v>
      </c>
      <c r="Z150" s="69">
        <f t="shared" si="75"/>
        <v>1.38E-2</v>
      </c>
      <c r="AA150" s="69">
        <f t="shared" si="76"/>
        <v>23.287300000000002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77"/>
        <v>0238-17</v>
      </c>
      <c r="AE150" s="99" t="str">
        <f t="shared" si="78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50" s="96" t="str">
        <f t="shared" si="79"/>
        <v>"C:\Program Files (x86)\AstroGrep\AstroGrep.exe" /spath="%USERPROFILE%\AppData\Local\Temp\OnboardLogs" /stypes="app*4026*20160918*" /stext=" 06:.+((SYSTEM_STATE.+slice.+state.+changed )|(ment ac)|(system.+state.+changed )|(\|lc)|(penalty)|(\[timeout)|(PRM\|1\|D)|(kpr)|(kdp))" /e /r /s</v>
      </c>
      <c r="AG150" s="1" t="str">
        <f t="shared" si="80"/>
        <v>EC</v>
      </c>
      <c r="AH150" s="100" t="str">
        <f t="shared" si="81"/>
        <v>"%USERPROFILE%\Documents\GitHub\eaglep3\Utilities\RefineRTDCRunTimes.py" --tripid 238-17 --locoid 4026 --swversion DE.1.0.7.0 --startMP 204:233011 --initTime 2016-09-17T23:51:45 --startdatetime 2016-09-17T23:56:24 --delay 1 --endMP 204:138 --enddatetime 2016-09-18T00:36:32 --enforcementcount 0 &gt;&gt;C:\Users\stu\Documents\GitHub\eaglep3-reporting\EC\2016-09-17-refined-times.txt</v>
      </c>
      <c r="AI150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ID","value":"238-17"},{"id":16,"name":"Locomotive ID","value":"4026"},{"id":130,"name":"Impact","value":""},{"id":150,"name":"Time of Event (Mountain Time)","value":"00:36:32"},{"id":151,"name":"Denver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592</v>
      </c>
      <c r="B151" s="7">
        <v>4042</v>
      </c>
      <c r="C151" s="24" t="s">
        <v>106</v>
      </c>
      <c r="D151" s="24" t="s">
        <v>382</v>
      </c>
      <c r="E151" s="15">
        <v>42630.968101851853</v>
      </c>
      <c r="F151" s="15">
        <v>42630.97934027778</v>
      </c>
      <c r="G151" s="7">
        <v>12</v>
      </c>
      <c r="H151" s="15" t="s">
        <v>701</v>
      </c>
      <c r="I151" s="15">
        <v>42631.004652777781</v>
      </c>
      <c r="J151" s="7">
        <v>0</v>
      </c>
      <c r="K151" s="121" t="str">
        <f t="shared" si="67"/>
        <v>4041/4042</v>
      </c>
      <c r="L151" s="24" t="str">
        <f>VLOOKUP(A151,'Trips&amp;Operators'!$C$1:$E$10000,3,FALSE)</f>
        <v>NEWELL</v>
      </c>
      <c r="M151" s="6">
        <f t="shared" si="68"/>
        <v>2.531250000174623E-2</v>
      </c>
      <c r="N151" s="7">
        <f t="shared" si="69"/>
        <v>36.450000002514571</v>
      </c>
      <c r="O151" s="7"/>
      <c r="P151" s="7"/>
      <c r="Q151" s="25"/>
      <c r="R151" s="25"/>
      <c r="S151" s="37">
        <f t="shared" si="70"/>
        <v>1</v>
      </c>
      <c r="T151" s="52" t="str">
        <f t="shared" si="71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22:14:04-0600',mode:absolute,to:'2016-09-18 01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1" s="54" t="str">
        <f t="shared" si="73"/>
        <v>N</v>
      </c>
      <c r="X151" s="168">
        <f t="shared" si="83"/>
        <v>1</v>
      </c>
      <c r="Y151" s="69">
        <f t="shared" si="74"/>
        <v>4.8000000000000001E-2</v>
      </c>
      <c r="Z151" s="69">
        <f t="shared" si="75"/>
        <v>23.331099999999999</v>
      </c>
      <c r="AA151" s="69">
        <f t="shared" si="76"/>
        <v>23.283100000000001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77"/>
        <v>0239-17</v>
      </c>
      <c r="AE151" s="99" t="str">
        <f t="shared" si="78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1" s="96" t="str">
        <f t="shared" si="79"/>
        <v>"C:\Program Files (x86)\AstroGrep\AstroGrep.exe" /spath="%USERPROFILE%\AppData\Local\Temp\OnboardLogs" /stypes="app*4042*20160918*" /stext=" 06:.+((SYSTEM_STATE.+slice.+state.+changed )|(ment ac)|(system.+state.+changed )|(\|lc)|(penalty)|(\[timeout)|(PRM\|1\|D)|(kpr)|(kdp))" /e /r /s</v>
      </c>
      <c r="AG151" s="1" t="str">
        <f t="shared" si="80"/>
        <v>EC</v>
      </c>
      <c r="AH151" s="100" t="str">
        <f t="shared" si="81"/>
        <v>"%USERPROFILE%\Documents\GitHub\eaglep3\Utilities\RefineRTDCRunTimes.py" --tripid 239-17 --locoid 4042 --swversion DE.1.0.7.0 --startMP 204:480 --initTime 2016-09-17T23:14:04 --startdatetime 2016-09-17T23:30:15 --delay 12 --endMP 204:233311 --enddatetime 2016-09-18T00:06:42 --enforcementcount 0 &gt;&gt;C:\Users\stu\Documents\GitHub\eaglep3-reporting\EC\2016-09-17-refined-times.txt</v>
      </c>
      <c r="AI151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ID","value":"239-17"},{"id":16,"name":"Locomotive ID","value":"4042"},{"id":130,"name":"Impact","value":""},{"id":150,"name":"Time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596</v>
      </c>
      <c r="B152" s="7">
        <v>4041</v>
      </c>
      <c r="C152" s="24" t="s">
        <v>106</v>
      </c>
      <c r="D152" s="24" t="s">
        <v>244</v>
      </c>
      <c r="E152" s="15">
        <v>42631.00613425926</v>
      </c>
      <c r="F152" s="15">
        <v>42631.018206018518</v>
      </c>
      <c r="G152" s="7">
        <v>1</v>
      </c>
      <c r="H152" s="15" t="s">
        <v>708</v>
      </c>
      <c r="I152" s="15">
        <v>42631.021898148145</v>
      </c>
      <c r="J152" s="7">
        <v>0</v>
      </c>
      <c r="K152" s="121" t="str">
        <f t="shared" si="67"/>
        <v>4041/4042</v>
      </c>
      <c r="L152" s="24" t="str">
        <f>VLOOKUP(A152,'Trips&amp;Operators'!$C$1:$E$10000,3,FALSE)</f>
        <v>NEWELL</v>
      </c>
      <c r="M152" s="6">
        <f t="shared" si="68"/>
        <v>3.6921296268701553E-3</v>
      </c>
      <c r="N152" s="7"/>
      <c r="O152" s="7"/>
      <c r="P152" s="7">
        <f>24*60*SUM($M152:$M152)</f>
        <v>5.3166666626930237</v>
      </c>
      <c r="Q152" s="25"/>
      <c r="R152" s="25" t="s">
        <v>729</v>
      </c>
      <c r="S152" s="37">
        <f t="shared" si="70"/>
        <v>0</v>
      </c>
      <c r="T152" s="52" t="str">
        <f t="shared" si="71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23:08:50-0600',mode:absolute,to:'2016-09-18 01:31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2" s="54" t="str">
        <f t="shared" si="73"/>
        <v>Y</v>
      </c>
      <c r="X152" s="168">
        <f t="shared" si="83"/>
        <v>1</v>
      </c>
      <c r="Y152" s="69">
        <f t="shared" si="74"/>
        <v>23.297999999999998</v>
      </c>
      <c r="Z152" s="69">
        <f t="shared" si="75"/>
        <v>19.558800000000002</v>
      </c>
      <c r="AA152" s="69">
        <f t="shared" si="76"/>
        <v>3.7391999999999967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77"/>
        <v>0240-17</v>
      </c>
      <c r="AE152" s="99" t="str">
        <f t="shared" si="78"/>
        <v>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 &amp; 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</v>
      </c>
      <c r="AF152" s="96" t="str">
        <f t="shared" si="79"/>
        <v>"C:\Program Files (x86)\AstroGrep\AstroGrep.exe" /spath="%USERPROFILE%\AppData\Local\Temp\OnboardLogs" /stypes="app*4041*20160918*" /stext=" 06:.+((SYSTEM_STATE.+slice.+state.+changed )|(ment ac)|(system.+state.+changed )|(\|lc)|(penalty)|(\[timeout)|(PRM\|1\|D)|(kpr)|(kdp))" /e /r /s</v>
      </c>
      <c r="AG152" s="1" t="str">
        <f t="shared" si="80"/>
        <v>EC</v>
      </c>
      <c r="AH152" s="100" t="str">
        <f t="shared" si="81"/>
        <v>"%USERPROFILE%\Documents\GitHub\eaglep3\Utilities\RefineRTDCRunTimes.py" --tripid 240-17 --locoid 4041 --swversion DE.1.0.7.0 --startMP 204:232980 --initTime 2016-09-18T00:08:50 --startdatetime 2016-09-18T00:26:13 --delay 1 --endMP 204:195588 --enddatetime 2016-09-18T00:31:32 --enforcementcount 0 &gt;&gt;C:\Users\stu\Documents\GitHub\eaglep3-reporting\EC\2016-09-17-refined-times.txt</v>
      </c>
      <c r="AI152" s="134" t="str">
        <f t="shared" si="82"/>
        <v>echo {"issue":{"subject":"Onboard in-route failure","project_id":79,"tracker_id":40,"status_id":1,"priority_id":2,"assigned_to_id":23,"start_date":"2016-09-18","description":"At 2016-09-18 00:26:24 and 00:31:20, there were multiple switchovers of primary slice. This messed things up enough so that the crew got confused and cut out the train","custom_fields":[{"id":1,"name":"Subdivision","value":"EC"},{"id":4,"name":"Milepost","value":"19.5588"},{"id":17,"name":"Train ID","value":"240-17"},{"id":16,"name":"Locomotive ID","value":"4041"},{"id":130,"name":"Impact","value":"Failed State"},{"id":150,"name":"Time of Event (Mountain Time)","value":"00:31:32"},{"id":151,"name":"Denver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2" s="55" t="s">
        <v>732</v>
      </c>
      <c r="AK152" s="55" t="s">
        <v>142</v>
      </c>
      <c r="AL152" s="55" t="s">
        <v>290</v>
      </c>
    </row>
    <row r="153" spans="1:38" x14ac:dyDescent="0.25">
      <c r="A153" s="39" t="s">
        <v>595</v>
      </c>
      <c r="B153" s="7">
        <v>4011</v>
      </c>
      <c r="C153" s="24" t="s">
        <v>106</v>
      </c>
      <c r="D153" s="24" t="s">
        <v>239</v>
      </c>
      <c r="E153" s="15">
        <v>42630.99931712963</v>
      </c>
      <c r="F153" s="15">
        <v>42631.000381944446</v>
      </c>
      <c r="G153" s="7">
        <v>1</v>
      </c>
      <c r="H153" s="15" t="s">
        <v>709</v>
      </c>
      <c r="I153" s="15">
        <v>42631.027812499997</v>
      </c>
      <c r="J153" s="7">
        <v>0</v>
      </c>
      <c r="K153" s="121" t="str">
        <f t="shared" si="67"/>
        <v>4011/4012</v>
      </c>
      <c r="L153" s="24" t="str">
        <f>VLOOKUP(A153,'Trips&amp;Operators'!$C$1:$E$10000,3,FALSE)</f>
        <v>CHANDLER</v>
      </c>
      <c r="M153" s="6">
        <f t="shared" si="68"/>
        <v>2.7430555550381541E-2</v>
      </c>
      <c r="N153" s="7">
        <f>24*60*SUM($M153:$M153)</f>
        <v>39.499999992549419</v>
      </c>
      <c r="O153" s="7"/>
      <c r="P153" s="7"/>
      <c r="Q153" s="25"/>
      <c r="R153" s="25"/>
      <c r="S153" s="37">
        <f t="shared" si="70"/>
        <v>1</v>
      </c>
      <c r="T153" s="52" t="str">
        <f t="shared" si="71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22:59:01-0600',mode:absolute,to:'2016-09-18 01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3" s="54" t="str">
        <f t="shared" si="73"/>
        <v>N</v>
      </c>
      <c r="X153" s="168">
        <f t="shared" si="83"/>
        <v>1</v>
      </c>
      <c r="Y153" s="69">
        <f t="shared" si="74"/>
        <v>4.5999999999999999E-2</v>
      </c>
      <c r="Z153" s="69">
        <f t="shared" si="75"/>
        <v>23.331399999999999</v>
      </c>
      <c r="AA153" s="69">
        <f t="shared" si="76"/>
        <v>23.285399999999999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77"/>
        <v>0241-17</v>
      </c>
      <c r="AE153" s="99" t="str">
        <f t="shared" si="78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53" s="96" t="str">
        <f t="shared" si="79"/>
        <v>"C:\Program Files (x86)\AstroGrep\AstroGrep.exe" /spath="%USERPROFILE%\AppData\Local\Temp\OnboardLogs" /stypes="app*4011*20160918*" /stext=" 06:.+((SYSTEM_STATE.+slice.+state.+changed )|(ment ac)|(system.+state.+changed )|(\|lc)|(penalty)|(\[timeout)|(PRM\|1\|D)|(kpr)|(kdp))" /e /r /s</v>
      </c>
      <c r="AG153" s="1" t="str">
        <f t="shared" si="80"/>
        <v>EC</v>
      </c>
      <c r="AH153" s="100" t="str">
        <f t="shared" si="81"/>
        <v>"%USERPROFILE%\Documents\GitHub\eaglep3\Utilities\RefineRTDCRunTimes.py" --tripid 241-17 --locoid 4011 --swversion DE.1.0.7.0 --startMP 204:460 --initTime 2016-09-17T23:59:01 --startdatetime 2016-09-18T00:00:33 --delay 1 --endMP 204:233314 --enddatetime 2016-09-18T00:40:03 --enforcementcount 0 &gt;&gt;C:\Users\stu\Documents\GitHub\eaglep3-reporting\EC\2016-09-17-refined-times.txt</v>
      </c>
      <c r="AI153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ID","value":"241-17"},{"id":16,"name":"Locomotive ID","value":"4011"},{"id":130,"name":"Impact","value":""},{"id":150,"name":"Time of Event (Mountain Time)","value":"00:40:03"},{"id":151,"name":"Denver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599</v>
      </c>
      <c r="B154" s="7">
        <v>4012</v>
      </c>
      <c r="C154" s="24" t="s">
        <v>106</v>
      </c>
      <c r="D154" s="24" t="s">
        <v>249</v>
      </c>
      <c r="E154" s="15">
        <v>42631.037812499999</v>
      </c>
      <c r="F154" s="15">
        <v>42631.041666666664</v>
      </c>
      <c r="G154" s="7">
        <v>2</v>
      </c>
      <c r="H154" s="15" t="s">
        <v>308</v>
      </c>
      <c r="I154" s="15">
        <v>42631.071666666663</v>
      </c>
      <c r="J154" s="7">
        <v>0</v>
      </c>
      <c r="K154" s="121" t="str">
        <f t="shared" si="67"/>
        <v>4011/4012</v>
      </c>
      <c r="L154" s="24" t="str">
        <f>VLOOKUP(A154,'Trips&amp;Operators'!$C$1:$E$10000,3,FALSE)</f>
        <v>CHANDLER</v>
      </c>
      <c r="M154" s="6">
        <f t="shared" si="68"/>
        <v>2.9999999998835847E-2</v>
      </c>
      <c r="N154" s="7">
        <f>24*60*SUM($M154:$M154)</f>
        <v>43.199999998323619</v>
      </c>
      <c r="O154" s="7"/>
      <c r="P154" s="7"/>
      <c r="Q154" s="25"/>
      <c r="R154" s="25"/>
      <c r="S154" s="37">
        <f t="shared" si="70"/>
        <v>1</v>
      </c>
      <c r="T154" s="52" t="str">
        <f t="shared" si="71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23:54:27-0600',mode:absolute,to:'2016-09-18 02:43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4" s="54" t="str">
        <f t="shared" si="73"/>
        <v>N</v>
      </c>
      <c r="X154" s="168">
        <f t="shared" si="83"/>
        <v>1</v>
      </c>
      <c r="Y154" s="69">
        <f t="shared" si="74"/>
        <v>23.296700000000001</v>
      </c>
      <c r="Z154" s="69">
        <f t="shared" si="75"/>
        <v>1.61E-2</v>
      </c>
      <c r="AA154" s="69">
        <f t="shared" si="76"/>
        <v>23.2806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77"/>
        <v>0242-17</v>
      </c>
      <c r="AE154" s="99" t="str">
        <f t="shared" si="78"/>
        <v>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 &amp; 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</v>
      </c>
      <c r="AF154" s="96" t="str">
        <f t="shared" si="79"/>
        <v>"C:\Program Files (x86)\AstroGrep\AstroGrep.exe" /spath="%USERPROFILE%\AppData\Local\Temp\OnboardLogs" /stypes="app*4012*20160918*" /stext=" 07:.+((SYSTEM_STATE.+slice.+state.+changed )|(ment ac)|(system.+state.+changed )|(\|lc)|(penalty)|(\[timeout)|(PRM\|1\|D)|(kpr)|(kdp))" /e /r /s</v>
      </c>
      <c r="AG154" s="1" t="str">
        <f t="shared" si="80"/>
        <v>EC</v>
      </c>
      <c r="AH154" s="100" t="str">
        <f t="shared" si="81"/>
        <v>"%USERPROFILE%\Documents\GitHub\eaglep3\Utilities\RefineRTDCRunTimes.py" --tripid 242-17 --locoid 4012 --swversion DE.1.0.7.0 --startMP 204:232967 --initTime 2016-09-18T00:54:27 --startdatetime 2016-09-18T01:00:00 --delay 2 --endMP 204:161 --enddatetime 2016-09-18T01:43:12 --enforcementcount 0 &gt;&gt;C:\Users\stu\Documents\GitHub\eaglep3-reporting\EC\2016-09-17-refined-times.txt</v>
      </c>
      <c r="AI154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ID","value":"242-17"},{"id":16,"name":"Locomotive ID","value":"4012"},{"id":130,"name":"Impact","value":""},{"id":150,"name":"Time of Event (Mountain Time)","value":"01:43:12"},{"id":151,"name":"Denver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597</v>
      </c>
      <c r="B155" s="7">
        <v>4040</v>
      </c>
      <c r="C155" s="24" t="s">
        <v>106</v>
      </c>
      <c r="D155" s="24" t="s">
        <v>310</v>
      </c>
      <c r="E155" s="15">
        <v>42631.014710648145</v>
      </c>
      <c r="F155" s="15">
        <v>42631.021087962959</v>
      </c>
      <c r="G155" s="7">
        <v>2</v>
      </c>
      <c r="H155" s="15" t="s">
        <v>278</v>
      </c>
      <c r="I155" s="15">
        <v>42631.04923611111</v>
      </c>
      <c r="J155" s="7">
        <v>0</v>
      </c>
      <c r="K155" s="121" t="str">
        <f t="shared" si="67"/>
        <v>4039/4040</v>
      </c>
      <c r="L155" s="24" t="str">
        <f>VLOOKUP(A155,'Trips&amp;Operators'!$C$1:$E$10000,3,FALSE)</f>
        <v>STURGEON</v>
      </c>
      <c r="M155" s="6">
        <f t="shared" si="68"/>
        <v>2.8148148150648922E-2</v>
      </c>
      <c r="N155" s="7">
        <f>24*60*SUM($M155:$M155)</f>
        <v>40.533333336934447</v>
      </c>
      <c r="O155" s="7"/>
      <c r="P155" s="7"/>
      <c r="Q155" s="25"/>
      <c r="R155" s="25"/>
      <c r="S155" s="37">
        <f t="shared" si="70"/>
        <v>1</v>
      </c>
      <c r="T155" s="52" t="str">
        <f t="shared" si="71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23:21:11-0600',mode:absolute,to:'2016-09-18 02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 t="shared" si="73"/>
        <v>N</v>
      </c>
      <c r="X155" s="168">
        <f t="shared" si="83"/>
        <v>1</v>
      </c>
      <c r="Y155" s="69">
        <f t="shared" si="74"/>
        <v>4.7699999999999999E-2</v>
      </c>
      <c r="Z155" s="69">
        <f t="shared" si="75"/>
        <v>23.3276</v>
      </c>
      <c r="AA155" s="69">
        <f t="shared" si="76"/>
        <v>23.279900000000001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77"/>
        <v>0243-17</v>
      </c>
      <c r="AE155" s="99" t="str">
        <f t="shared" si="78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55" s="96" t="str">
        <f t="shared" si="79"/>
        <v>"C:\Program Files (x86)\AstroGrep\AstroGrep.exe" /spath="%USERPROFILE%\AppData\Local\Temp\OnboardLogs" /stypes="app*4040*20160918*" /stext=" 07:.+((SYSTEM_STATE.+slice.+state.+changed )|(ment ac)|(system.+state.+changed )|(\|lc)|(penalty)|(\[timeout)|(PRM\|1\|D)|(kpr)|(kdp))" /e /r /s</v>
      </c>
      <c r="AG155" s="1" t="str">
        <f t="shared" si="80"/>
        <v>EC</v>
      </c>
      <c r="AH155" s="100" t="str">
        <f t="shared" si="81"/>
        <v>"%USERPROFILE%\Documents\GitHub\eaglep3\Utilities\RefineRTDCRunTimes.py" --tripid 243-17 --locoid 4040 --swversion DE.1.0.7.0 --startMP 204:477 --initTime 2016-09-18T00:21:11 --startdatetime 2016-09-18T00:30:22 --delay 2 --endMP 204:233276 --enddatetime 2016-09-18T01:10:54 --enforcementcount 0 &gt;&gt;C:\Users\stu\Documents\GitHub\eaglep3-reporting\EC\2016-09-17-refined-times.txt</v>
      </c>
      <c r="AI155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ID","value":"243-17"},{"id":16,"name":"Locomotive ID","value":"4040"},{"id":130,"name":"Impact","value":""},{"id":150,"name":"Time of Event (Mountain Time)","value":"01:10:54"},{"id":151,"name":"Denver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600</v>
      </c>
      <c r="B156" s="7">
        <v>4039</v>
      </c>
      <c r="C156" s="24" t="s">
        <v>106</v>
      </c>
      <c r="D156" s="24" t="s">
        <v>270</v>
      </c>
      <c r="E156" s="15">
        <v>42631.053263888891</v>
      </c>
      <c r="F156" s="15">
        <v>42631.059988425928</v>
      </c>
      <c r="G156" s="7">
        <v>2</v>
      </c>
      <c r="H156" s="15" t="s">
        <v>710</v>
      </c>
      <c r="I156" s="15">
        <v>42631.089247685188</v>
      </c>
      <c r="J156" s="7">
        <v>0</v>
      </c>
      <c r="K156" s="121" t="str">
        <f t="shared" si="67"/>
        <v>4039/4040</v>
      </c>
      <c r="L156" s="24" t="str">
        <f>VLOOKUP(A156,'Trips&amp;Operators'!$C$1:$E$10000,3,FALSE)</f>
        <v>STURGEON</v>
      </c>
      <c r="M156" s="6">
        <f t="shared" si="68"/>
        <v>2.9259259259561077E-2</v>
      </c>
      <c r="N156" s="7">
        <f>24*60*SUM($M156:$M156)</f>
        <v>42.133333333767951</v>
      </c>
      <c r="O156" s="7"/>
      <c r="P156" s="7"/>
      <c r="Q156" s="25"/>
      <c r="R156" s="25"/>
      <c r="S156" s="37">
        <f t="shared" si="70"/>
        <v>1</v>
      </c>
      <c r="T156" s="52" t="str">
        <f t="shared" si="71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00:16:42-0600',mode:absolute,to:'2016-09-18 03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 t="shared" si="73"/>
        <v>N</v>
      </c>
      <c r="X156" s="168">
        <f t="shared" ref="X156:X161" si="84">VALUE(LEFT(AD156,4))-VALUE(LEFT(AD155,4))</f>
        <v>1</v>
      </c>
      <c r="Y156" s="69">
        <f t="shared" si="74"/>
        <v>23.295500000000001</v>
      </c>
      <c r="Z156" s="69">
        <f t="shared" si="75"/>
        <v>1.8100000000000002E-2</v>
      </c>
      <c r="AA156" s="69">
        <f t="shared" si="76"/>
        <v>23.2774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77"/>
        <v>0244-17</v>
      </c>
      <c r="AE156" s="99" t="str">
        <f t="shared" si="78"/>
        <v>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 &amp; 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</v>
      </c>
      <c r="AF156" s="96" t="str">
        <f t="shared" si="79"/>
        <v>"C:\Program Files (x86)\AstroGrep\AstroGrep.exe" /spath="%USERPROFILE%\AppData\Local\Temp\OnboardLogs" /stypes="app*4039*20160918*" /stext=" 08:.+((SYSTEM_STATE.+slice.+state.+changed )|(ment ac)|(system.+state.+changed )|(\|lc)|(penalty)|(\[timeout)|(PRM\|1\|D)|(kpr)|(kdp))" /e /r /s</v>
      </c>
      <c r="AG156" s="1" t="str">
        <f t="shared" si="80"/>
        <v>EC</v>
      </c>
      <c r="AH156" s="100" t="str">
        <f t="shared" si="81"/>
        <v>"%USERPROFILE%\Documents\GitHub\eaglep3\Utilities\RefineRTDCRunTimes.py" --tripid 244-17 --locoid 4039 --swversion DE.1.0.7.0 --startMP 204:232955 --initTime 2016-09-18T01:16:42 --startdatetime 2016-09-18T01:26:23 --delay 2 --endMP 204:181 --enddatetime 2016-09-18T02:08:31 --enforcementcount 0 &gt;&gt;C:\Users\stu\Documents\GitHub\eaglep3-reporting\EC\2016-09-17-refined-times.txt</v>
      </c>
      <c r="AI156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{"issue":{"subject":"","project_id":79,"tracker_id":40,"status_id":1,"priority_id":2,"assigned_to_id":23,"start_date":"2016-09-18","description":"","custom_fields":[{"id":1,"name":"Subdivision","value":"EC"},{"id":4,"name":"Milepost","value":"0.0181"},{"id":17,"name":"Train ID","value":"244-17"},{"id":16,"name":"Locomotive ID","value":"4039"},{"id":130,"name":"Impact","value":""},{"id":150,"name":"Time of Event (Mountain Time)","value":"02:08:31"},{"id":151,"name":"Denver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598</v>
      </c>
      <c r="B157" s="7">
        <v>4025</v>
      </c>
      <c r="C157" s="24" t="s">
        <v>106</v>
      </c>
      <c r="D157" s="24" t="s">
        <v>711</v>
      </c>
      <c r="E157" s="15">
        <v>42631.051666666666</v>
      </c>
      <c r="F157" s="15">
        <v>42631.052766203706</v>
      </c>
      <c r="G157" s="7">
        <v>1</v>
      </c>
      <c r="H157" s="15" t="s">
        <v>375</v>
      </c>
      <c r="I157" s="15">
        <v>42631.069363425922</v>
      </c>
      <c r="J157" s="7">
        <v>0</v>
      </c>
      <c r="K157" s="121" t="str">
        <f t="shared" si="67"/>
        <v>4025/4026</v>
      </c>
      <c r="L157" s="24" t="str">
        <f>VLOOKUP(A157,'Trips&amp;Operators'!$C$1:$E$10000,3,FALSE)</f>
        <v>LEVIN</v>
      </c>
      <c r="M157" s="6">
        <f t="shared" si="68"/>
        <v>1.6597222216660157E-2</v>
      </c>
      <c r="N157" s="7"/>
      <c r="O157" s="7"/>
      <c r="P157" s="7">
        <f>24*60*SUM($M157:$M157)</f>
        <v>23.899999991990626</v>
      </c>
      <c r="Q157" s="25"/>
      <c r="R157" s="25" t="s">
        <v>733</v>
      </c>
      <c r="S157" s="37">
        <f t="shared" si="70"/>
        <v>0.25</v>
      </c>
      <c r="T157" s="52" t="str">
        <f t="shared" si="71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7" s="54" t="str">
        <f t="shared" si="73"/>
        <v>Y</v>
      </c>
      <c r="X157" s="168">
        <f t="shared" si="84"/>
        <v>1</v>
      </c>
      <c r="Y157" s="69">
        <f t="shared" si="74"/>
        <v>6.5898000000000003</v>
      </c>
      <c r="Z157" s="69">
        <f t="shared" si="75"/>
        <v>23.2925</v>
      </c>
      <c r="AA157" s="69">
        <f t="shared" si="76"/>
        <v>16.7027</v>
      </c>
      <c r="AB157" s="66" t="str">
        <f>VLOOKUP(A157,Enforcements!$C$7:$K$20,8,0)</f>
        <v>Signal based authority (5)</v>
      </c>
      <c r="AC157" s="62" t="str">
        <f>VLOOKUP(A157,Enforcements!$C$7:$E$20,3,0)</f>
        <v>SIGNAL</v>
      </c>
      <c r="AD157" s="63" t="str">
        <f t="shared" si="77"/>
        <v>0245-17</v>
      </c>
      <c r="AE157" s="99" t="str">
        <f t="shared" si="78"/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AF157" s="96" t="str">
        <f t="shared" si="79"/>
        <v>"C:\Program Files (x86)\AstroGrep\AstroGrep.exe" /spath="%USERPROFILE%\AppData\Local\Temp\OnboardLogs" /stypes="app*4025*20160918*" /stext=" 07:.+((SYSTEM_STATE.+slice.+state.+changed )|(ment ac)|(system.+state.+changed )|(\|lc)|(penalty)|(\[timeout)|(PRM\|1\|D)|(kpr)|(kdp))" /e /r /s</v>
      </c>
      <c r="AG157" s="1" t="str">
        <f t="shared" si="80"/>
        <v>EC</v>
      </c>
      <c r="AH157" s="100" t="str">
        <f t="shared" si="81"/>
        <v>"%USERPROFILE%\Documents\GitHub\eaglep3\Utilities\RefineRTDCRunTimes.py" --tripid 245-17 --locoid 4025 --swversion DE.1.0.7.0 --startMP 204:65898 --initTime 2016-09-18T01:14:24 --startdatetime 2016-09-18T01:15:59 --delay 1 --endMP 204:232925 --enddatetime 2016-09-18T01:39:53 --enforcementcount 0 &gt;&gt;C:\Users\stu\Documents\GitHub\eaglep3-reporting\EC\2016-09-17-refined-times.txt</v>
      </c>
      <c r="AI157" s="134" t="str">
        <f t="shared" si="82"/>
        <v>echo {"issue":{"subject":"Consist update issue","project_id":79,"tracker_id":40,"status_id":1,"priority_id":2,"assigned_to_id":23,"start_date":"2016-09-18","description":"Train received many unsolicited consist updates. Operator felt need to acknowledge all of them, preventing a succesful train run.","custom_fields":[{"id":1,"name":"Subdivision","value":"EC"},{"id":4,"name":"Milepost","value":"23.2925"},{"id":17,"name":"Train ID","value":"245-17"},{"id":16,"name":"Locomotive ID","value":"4025"},{"id":130,"name":"Impact","value":"Unexpected Cut-Out or Disengaged"},{"id":150,"name":"Time of Event (Mountain Time)","value":"01:39:53"},{"id":151,"name":"Denver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7" s="55" t="s">
        <v>734</v>
      </c>
      <c r="AK157" s="55" t="s">
        <v>145</v>
      </c>
      <c r="AL157" s="55" t="s">
        <v>148</v>
      </c>
    </row>
    <row r="158" spans="1:38" s="23" customFormat="1" x14ac:dyDescent="0.25">
      <c r="A158" s="39" t="s">
        <v>602</v>
      </c>
      <c r="B158" s="7">
        <v>4026</v>
      </c>
      <c r="C158" s="24" t="s">
        <v>106</v>
      </c>
      <c r="D158" s="24" t="s">
        <v>712</v>
      </c>
      <c r="E158" s="15">
        <v>42631.076215277775</v>
      </c>
      <c r="F158" s="15">
        <v>42631.080729166664</v>
      </c>
      <c r="G158" s="7">
        <v>1</v>
      </c>
      <c r="H158" s="15" t="s">
        <v>305</v>
      </c>
      <c r="I158" s="15">
        <v>42631.106944444444</v>
      </c>
      <c r="J158" s="7">
        <v>0</v>
      </c>
      <c r="K158" s="121" t="str">
        <f t="shared" si="67"/>
        <v>4025/4026</v>
      </c>
      <c r="L158" s="24" t="str">
        <f>VLOOKUP(A158,'Trips&amp;Operators'!$C$1:$E$10000,3,FALSE)</f>
        <v>LEVIN</v>
      </c>
      <c r="M158" s="6">
        <f t="shared" si="68"/>
        <v>2.6215277779556345E-2</v>
      </c>
      <c r="N158" s="7">
        <f t="shared" ref="N158:N189" si="85">24*60*SUM($M158:$M158)</f>
        <v>37.750000002561137</v>
      </c>
      <c r="O158" s="7"/>
      <c r="P158" s="7"/>
      <c r="Q158" s="25"/>
      <c r="R158" s="25"/>
      <c r="S158" s="37">
        <f t="shared" si="70"/>
        <v>1</v>
      </c>
      <c r="T158" s="52" t="str">
        <f t="shared" si="71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00:49:45-0600',mode:absolute,to:'2016-09-18 03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8" s="54" t="str">
        <f t="shared" si="73"/>
        <v>N</v>
      </c>
      <c r="X158" s="168">
        <f t="shared" si="84"/>
        <v>1</v>
      </c>
      <c r="Y158" s="69">
        <f t="shared" si="74"/>
        <v>23.261099999999999</v>
      </c>
      <c r="Z158" s="69">
        <f t="shared" si="75"/>
        <v>1.2999999999999999E-2</v>
      </c>
      <c r="AA158" s="69">
        <f t="shared" si="76"/>
        <v>23.248099999999997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77"/>
        <v>0246-17</v>
      </c>
      <c r="AE158" s="99" t="str">
        <f t="shared" si="78"/>
        <v>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 &amp; 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</v>
      </c>
      <c r="AF158" s="96" t="str">
        <f t="shared" si="79"/>
        <v>"C:\Program Files (x86)\AstroGrep\AstroGrep.exe" /spath="%USERPROFILE%\AppData\Local\Temp\OnboardLogs" /stypes="app*4026*20160918*" /stext=" 08:.+((SYSTEM_STATE.+slice.+state.+changed )|(ment ac)|(system.+state.+changed )|(\|lc)|(penalty)|(\[timeout)|(PRM\|1\|D)|(kpr)|(kdp))" /e /r /s</v>
      </c>
      <c r="AG158" s="1" t="str">
        <f t="shared" si="80"/>
        <v>EC</v>
      </c>
      <c r="AH158" s="100" t="str">
        <f t="shared" si="81"/>
        <v>"%USERPROFILE%\Documents\GitHub\eaglep3\Utilities\RefineRTDCRunTimes.py" --tripid 246-17 --locoid 4026 --swversion DE.1.0.7.0 --startMP 204:232611 --initTime 2016-09-18T01:49:45 --startdatetime 2016-09-18T01:56:15 --delay 1 --endMP 204:130 --enddatetime 2016-09-18T02:34:00 --enforcementcount 0 &gt;&gt;C:\Users\stu\Documents\GitHub\eaglep3-reporting\EC\2016-09-17-refined-times.txt</v>
      </c>
      <c r="AI158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{"issue":{"subject":"","project_id":79,"tracker_id":40,"status_id":1,"priority_id":2,"assigned_to_id":23,"start_date":"2016-09-18","description":"","custom_fields":[{"id":1,"name":"Subdivision","value":"EC"},{"id":4,"name":"Milepost","value":"0.013"},{"id":17,"name":"Train ID","value":"246-17"},{"id":16,"name":"Locomotive ID","value":"4026"},{"id":130,"name":"Impact","value":""},{"id":150,"name":"Time of Event (Mountain Time)","value":"02:34:00"},{"id":151,"name":"Denver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417</v>
      </c>
      <c r="B159" s="7">
        <v>4032</v>
      </c>
      <c r="C159" s="24" t="s">
        <v>106</v>
      </c>
      <c r="D159" s="24" t="s">
        <v>387</v>
      </c>
      <c r="E159" s="15">
        <v>42630.236585648148</v>
      </c>
      <c r="F159" s="15">
        <v>42630.237881944442</v>
      </c>
      <c r="G159" s="7">
        <v>1</v>
      </c>
      <c r="H159" s="15" t="s">
        <v>646</v>
      </c>
      <c r="I159" s="15">
        <v>42630.246782407405</v>
      </c>
      <c r="J159" s="7">
        <v>0</v>
      </c>
      <c r="K159" s="121" t="str">
        <f t="shared" si="67"/>
        <v>4031/4032</v>
      </c>
      <c r="L159" s="24" t="str">
        <f>VLOOKUP(A159,'Trips&amp;Operators'!$C$1:$E$10000,3,FALSE)</f>
        <v>YORK</v>
      </c>
      <c r="M159" s="6">
        <f t="shared" si="68"/>
        <v>8.9004629626288079E-3</v>
      </c>
      <c r="N159" s="7">
        <f t="shared" si="85"/>
        <v>12.816666666185483</v>
      </c>
      <c r="O159" s="7"/>
      <c r="P159" s="7"/>
      <c r="Q159" s="25"/>
      <c r="R159" s="25"/>
      <c r="S159" s="37">
        <f t="shared" si="70"/>
        <v>1</v>
      </c>
      <c r="T159" s="52" t="str">
        <f t="shared" si="71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9" s="54" t="str">
        <f t="shared" si="73"/>
        <v>N</v>
      </c>
      <c r="X159" s="168">
        <f t="shared" si="84"/>
        <v>1554</v>
      </c>
      <c r="Y159" s="69">
        <f t="shared" si="74"/>
        <v>5.8630000000000004</v>
      </c>
      <c r="Z159" s="69">
        <f t="shared" si="75"/>
        <v>8.0399999999999999E-2</v>
      </c>
      <c r="AA159" s="69">
        <f t="shared" si="76"/>
        <v>5.7826000000000004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77"/>
        <v>1800-17</v>
      </c>
      <c r="AE159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59" s="96" t="str">
        <f t="shared" si="79"/>
        <v>"C:\Program Files (x86)\AstroGrep\AstroGrep.exe" /spath="%USERPROFILE%\AppData\Local\Temp\OnboardLogs" /stypes="app*4032*20160917*" /stext=" 11:.+((SYSTEM_STATE.+slice.+state.+changed )|(ment ac)|(system.+state.+changed )|(\|lc)|(penalty)|(\[timeout)|(PRM\|1\|D)|(kpr)|(kdp))" /e /r /s</v>
      </c>
      <c r="AG159" s="1" t="str">
        <f t="shared" si="80"/>
        <v>NW</v>
      </c>
      <c r="AH159" s="100" t="str">
        <f t="shared" si="81"/>
        <v>"%USERPROFILE%\Documents\GitHub\eaglep3\Utilities\RefineRTDCRunTimes.py" --tripid 1800-17 --locoid 4032 --swversion DE.1.0.7.0 --startMP 300:58630 --initTime 2016-09-17T05:40:41 --startdatetime 2016-09-17T05:42:33 --delay 1 --endMP 204:804 --enddatetime 2016-09-17T05:55:22 --enforcementcount 0 &gt;&gt;C:\Users\stu\Documents\GitHub\eaglep3-reporting\EC\2016-09-17-refined-times.txt</v>
      </c>
      <c r="AI15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{"issue":{"subject":"","project_id":79,"tracker_id":40,"status_id":1,"priority_id":2,"assigned_to_id":23,"start_date":"2016-09-17","description":"","custom_fields":[{"id":1,"name":"Subdivision","value":"NW"},{"id":4,"name":"Milepost","value":"0.0804"},{"id":17,"name":"Train ID","value":"1800-17"},{"id":16,"name":"Locomotive ID","value":"4032"},{"id":130,"name":"Impact","value":""},{"id":150,"name":"Time of Event (Mountain Time)","value":"05:55:22"},{"id":151,"name":"Denver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421</v>
      </c>
      <c r="B160" s="7">
        <v>4031</v>
      </c>
      <c r="C160" s="24" t="s">
        <v>106</v>
      </c>
      <c r="D160" s="24" t="s">
        <v>647</v>
      </c>
      <c r="E160" s="15">
        <v>42630.247800925928</v>
      </c>
      <c r="F160" s="15">
        <v>42630.264803240738</v>
      </c>
      <c r="G160" s="7">
        <v>1</v>
      </c>
      <c r="H160" s="15" t="s">
        <v>648</v>
      </c>
      <c r="I160" s="15">
        <v>42630.273692129631</v>
      </c>
      <c r="J160" s="7">
        <v>0</v>
      </c>
      <c r="K160" s="121" t="str">
        <f t="shared" si="67"/>
        <v>4031/4032</v>
      </c>
      <c r="L160" s="24" t="str">
        <f>VLOOKUP(A160,'Trips&amp;Operators'!$C$1:$E$10000,3,FALSE)</f>
        <v>YORK</v>
      </c>
      <c r="M160" s="6">
        <f t="shared" si="68"/>
        <v>8.8888888931251131E-3</v>
      </c>
      <c r="N160" s="7">
        <f t="shared" si="85"/>
        <v>12.800000006100163</v>
      </c>
      <c r="O160" s="7"/>
      <c r="P160" s="7"/>
      <c r="Q160" s="25"/>
      <c r="R160" s="25"/>
      <c r="S160" s="37">
        <f t="shared" si="70"/>
        <v>1</v>
      </c>
      <c r="T160" s="52" t="str">
        <f t="shared" si="71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04:56:50-0600',mode:absolute,to:'2016-09-17 07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0" s="54" t="str">
        <f t="shared" si="73"/>
        <v>N</v>
      </c>
      <c r="X160" s="168">
        <f t="shared" si="84"/>
        <v>1</v>
      </c>
      <c r="Y160" s="69">
        <f t="shared" si="74"/>
        <v>0.1105</v>
      </c>
      <c r="Z160" s="69">
        <f t="shared" si="75"/>
        <v>5.8928000000000003</v>
      </c>
      <c r="AA160" s="69">
        <f t="shared" si="76"/>
        <v>5.7823000000000002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77"/>
        <v>1801-17</v>
      </c>
      <c r="AE160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0" s="96" t="str">
        <f t="shared" si="79"/>
        <v>"C:\Program Files (x86)\AstroGrep\AstroGrep.exe" /spath="%USERPROFILE%\AppData\Local\Temp\OnboardLogs" /stypes="app*4031*20160917*" /stext=" 12:.+((SYSTEM_STATE.+slice.+state.+changed )|(ment ac)|(system.+state.+changed )|(\|lc)|(penalty)|(\[timeout)|(PRM\|1\|D)|(kpr)|(kdp))" /e /r /s</v>
      </c>
      <c r="AG160" s="1" t="str">
        <f t="shared" si="80"/>
        <v>NW</v>
      </c>
      <c r="AH160" s="100" t="str">
        <f t="shared" si="81"/>
        <v>"%USERPROFILE%\Documents\GitHub\eaglep3\Utilities\RefineRTDCRunTimes.py" --tripid 1801-17 --locoid 4031 --swversion DE.1.0.7.0 --startMP 204:1105 --initTime 2016-09-17T05:56:50 --startdatetime 2016-09-17T06:21:19 --delay 1 --endMP 300:58928 --enddatetime 2016-09-17T06:34:07 --enforcementcount 0 &gt;&gt;C:\Users\stu\Documents\GitHub\eaglep3-reporting\EC\2016-09-17-refined-times.txt</v>
      </c>
      <c r="AI16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{"issue":{"subject":"","project_id":79,"tracker_id":40,"status_id":1,"priority_id":2,"assigned_to_id":23,"start_date":"2016-09-17","description":"","custom_fields":[{"id":1,"name":"Subdivision","value":"NW"},{"id":4,"name":"Milepost","value":"5.8928"},{"id":17,"name":"Train ID","value":"1801-17"},{"id":16,"name":"Locomotive ID","value":"4031"},{"id":130,"name":"Impact","value":""},{"id":150,"name":"Time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429</v>
      </c>
      <c r="B161" s="7">
        <v>4032</v>
      </c>
      <c r="C161" s="24" t="s">
        <v>106</v>
      </c>
      <c r="D161" s="24" t="s">
        <v>313</v>
      </c>
      <c r="E161" s="15">
        <v>42630.276655092595</v>
      </c>
      <c r="F161" s="15">
        <v>42630.277569444443</v>
      </c>
      <c r="G161" s="7">
        <v>0</v>
      </c>
      <c r="H161" s="15" t="s">
        <v>649</v>
      </c>
      <c r="I161" s="15">
        <v>42630.287534722222</v>
      </c>
      <c r="J161" s="7">
        <v>0</v>
      </c>
      <c r="K161" s="121" t="str">
        <f t="shared" si="67"/>
        <v>4031/4032</v>
      </c>
      <c r="L161" s="24" t="str">
        <f>VLOOKUP(A161,'Trips&amp;Operators'!$C$1:$E$10000,3,FALSE)</f>
        <v>YORK</v>
      </c>
      <c r="M161" s="6">
        <f t="shared" si="68"/>
        <v>9.9652777789742686E-3</v>
      </c>
      <c r="N161" s="7">
        <f t="shared" si="85"/>
        <v>14.350000001722947</v>
      </c>
      <c r="O161" s="7"/>
      <c r="P161" s="7"/>
      <c r="Q161" s="25"/>
      <c r="R161" s="25"/>
      <c r="S161" s="37">
        <f t="shared" si="70"/>
        <v>1</v>
      </c>
      <c r="T161" s="52" t="str">
        <f t="shared" si="71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05:38:23-0600',mode:absolute,to:'2016-09-17 07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1" s="54" t="str">
        <f t="shared" si="73"/>
        <v>N</v>
      </c>
      <c r="X161" s="168">
        <f t="shared" si="84"/>
        <v>1</v>
      </c>
      <c r="Y161" s="69">
        <f t="shared" si="74"/>
        <v>5.8613</v>
      </c>
      <c r="Z161" s="69">
        <f t="shared" si="75"/>
        <v>8.3400000000000002E-2</v>
      </c>
      <c r="AA161" s="69">
        <f t="shared" si="76"/>
        <v>5.7778999999999998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77"/>
        <v>1802-17</v>
      </c>
      <c r="AE161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1" s="96" t="str">
        <f t="shared" si="79"/>
        <v>"C:\Program Files (x86)\AstroGrep\AstroGrep.exe" /spath="%USERPROFILE%\AppData\Local\Temp\OnboardLogs" /stypes="app*4032*20160917*" /stext=" 12:.+((SYSTEM_STATE.+slice.+state.+changed )|(ment ac)|(system.+state.+changed )|(\|lc)|(penalty)|(\[timeout)|(PRM\|1\|D)|(kpr)|(kdp))" /e /r /s</v>
      </c>
      <c r="AG161" s="1" t="str">
        <f t="shared" si="80"/>
        <v>NW</v>
      </c>
      <c r="AH161" s="100" t="str">
        <f t="shared" si="81"/>
        <v>"%USERPROFILE%\Documents\GitHub\eaglep3\Utilities\RefineRTDCRunTimes.py" --tripid 1802-17 --locoid 4032 --swversion DE.1.0.7.0 --startMP 300:58613 --initTime 2016-09-17T06:38:23 --startdatetime 2016-09-17T06:39:42 --delay 0 --endMP 204:834 --enddatetime 2016-09-17T06:54:03 --enforcementcount 0 &gt;&gt;C:\Users\stu\Documents\GitHub\eaglep3-reporting\EC\2016-09-17-refined-times.txt</v>
      </c>
      <c r="AI16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{"issue":{"subject":"","project_id":79,"tracker_id":40,"status_id":1,"priority_id":2,"assigned_to_id":23,"start_date":"2016-09-17","description":"","custom_fields":[{"id":1,"name":"Subdivision","value":"NW"},{"id":4,"name":"Milepost","value":"0.0834"},{"id":17,"name":"Train ID","value":"1802-17"},{"id":16,"name":"Locomotive ID","value":"4032"},{"id":130,"name":"Impact","value":""},{"id":150,"name":"Time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434</v>
      </c>
      <c r="B162" s="7">
        <v>4031</v>
      </c>
      <c r="C162" s="24" t="s">
        <v>106</v>
      </c>
      <c r="D162" s="24" t="s">
        <v>650</v>
      </c>
      <c r="E162" s="15">
        <v>42630.289502314816</v>
      </c>
      <c r="F162" s="15">
        <v>42630.30673611111</v>
      </c>
      <c r="G162" s="7">
        <v>1</v>
      </c>
      <c r="H162" s="15" t="s">
        <v>651</v>
      </c>
      <c r="I162" s="15">
        <v>42630.316041666665</v>
      </c>
      <c r="J162" s="7">
        <v>0</v>
      </c>
      <c r="K162" s="121" t="str">
        <f t="shared" si="67"/>
        <v>4031/4032</v>
      </c>
      <c r="L162" s="24" t="str">
        <f>VLOOKUP(A162,'Trips&amp;Operators'!$C$1:$E$10000,3,FALSE)</f>
        <v>YORK</v>
      </c>
      <c r="M162" s="6">
        <f t="shared" si="68"/>
        <v>9.3055555553291924E-3</v>
      </c>
      <c r="N162" s="7">
        <f t="shared" si="85"/>
        <v>13.399999999674037</v>
      </c>
      <c r="O162" s="7"/>
      <c r="P162" s="7"/>
      <c r="Q162" s="25"/>
      <c r="R162" s="25"/>
      <c r="S162" s="37">
        <f t="shared" si="70"/>
        <v>1</v>
      </c>
      <c r="T162" s="52" t="str">
        <f t="shared" si="71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2" s="54" t="str">
        <f t="shared" si="73"/>
        <v>N</v>
      </c>
      <c r="X162" s="168">
        <f t="shared" ref="X162:X207" si="86">VALUE(LEFT(AD162,4))-VALUE(LEFT(AD161,4))</f>
        <v>1</v>
      </c>
      <c r="Y162" s="69">
        <f t="shared" si="74"/>
        <v>0.113</v>
      </c>
      <c r="Z162" s="69">
        <f t="shared" si="75"/>
        <v>5.8935000000000004</v>
      </c>
      <c r="AA162" s="69">
        <f t="shared" si="76"/>
        <v>5.7805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77"/>
        <v>1803-17</v>
      </c>
      <c r="AE162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2" s="96" t="str">
        <f t="shared" si="79"/>
        <v>"C:\Program Files (x86)\AstroGrep\AstroGrep.exe" /spath="%USERPROFILE%\AppData\Local\Temp\OnboardLogs" /stypes="app*4031*20160917*" /stext=" 13:.+((SYSTEM_STATE.+slice.+state.+changed )|(ment ac)|(system.+state.+changed )|(\|lc)|(penalty)|(\[timeout)|(PRM\|1\|D)|(kpr)|(kdp))" /e /r /s</v>
      </c>
      <c r="AG162" s="1" t="str">
        <f t="shared" si="80"/>
        <v>NW</v>
      </c>
      <c r="AH162" s="100" t="str">
        <f t="shared" si="81"/>
        <v>"%USERPROFILE%\Documents\GitHub\eaglep3\Utilities\RefineRTDCRunTimes.py" --tripid 1803-17 --locoid 4031 --swversion DE.1.0.7.0 --startMP 204:1130 --initTime 2016-09-17T06:56:53 --startdatetime 2016-09-17T07:21:42 --delay 1 --endMP 300:58935 --enddatetime 2016-09-17T07:35:06 --enforcementcount 0 &gt;&gt;C:\Users\stu\Documents\GitHub\eaglep3-reporting\EC\2016-09-17-refined-times.txt</v>
      </c>
      <c r="AI16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{"issue":{"subject":"","project_id":79,"tracker_id":40,"status_id":1,"priority_id":2,"assigned_to_id":23,"start_date":"2016-09-17","description":"","custom_fields":[{"id":1,"name":"Subdivision","value":"NW"},{"id":4,"name":"Milepost","value":"5.8935"},{"id":17,"name":"Train ID","value":"1803-17"},{"id":16,"name":"Locomotive ID","value":"4031"},{"id":130,"name":"Impact","value":""},{"id":150,"name":"Time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440</v>
      </c>
      <c r="B163" s="7">
        <v>4032</v>
      </c>
      <c r="C163" s="24" t="s">
        <v>106</v>
      </c>
      <c r="D163" s="24" t="s">
        <v>652</v>
      </c>
      <c r="E163" s="15">
        <v>42630.317488425928</v>
      </c>
      <c r="F163" s="15">
        <v>42630.318749999999</v>
      </c>
      <c r="G163" s="7">
        <v>1</v>
      </c>
      <c r="H163" s="15" t="s">
        <v>653</v>
      </c>
      <c r="I163" s="15">
        <v>42630.329085648147</v>
      </c>
      <c r="J163" s="7">
        <v>0</v>
      </c>
      <c r="K163" s="121" t="str">
        <f t="shared" si="67"/>
        <v>4031/4032</v>
      </c>
      <c r="L163" s="24" t="str">
        <f>VLOOKUP(A163,'Trips&amp;Operators'!$C$1:$E$10000,3,FALSE)</f>
        <v>YORK</v>
      </c>
      <c r="M163" s="6">
        <f t="shared" si="68"/>
        <v>1.0335648148611654E-2</v>
      </c>
      <c r="N163" s="7">
        <f t="shared" si="85"/>
        <v>14.883333334000781</v>
      </c>
      <c r="O163" s="7"/>
      <c r="P163" s="7"/>
      <c r="Q163" s="25"/>
      <c r="R163" s="25"/>
      <c r="S163" s="37">
        <f t="shared" si="70"/>
        <v>1</v>
      </c>
      <c r="T163" s="52" t="str">
        <f t="shared" si="71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06:37:11-0600',mode:absolute,to:'2016-09-17 08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3" s="54" t="str">
        <f t="shared" si="73"/>
        <v>N</v>
      </c>
      <c r="X163" s="168">
        <f t="shared" si="86"/>
        <v>1</v>
      </c>
      <c r="Y163" s="69">
        <f t="shared" si="74"/>
        <v>5.8620999999999999</v>
      </c>
      <c r="Z163" s="69">
        <f t="shared" si="75"/>
        <v>8.1299999999999997E-2</v>
      </c>
      <c r="AA163" s="69">
        <f t="shared" si="76"/>
        <v>5.7808000000000002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77"/>
        <v>1804-17</v>
      </c>
      <c r="AE163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3" s="96" t="str">
        <f t="shared" si="79"/>
        <v>"C:\Program Files (x86)\AstroGrep\AstroGrep.exe" /spath="%USERPROFILE%\AppData\Local\Temp\OnboardLogs" /stypes="app*4032*20160917*" /stext=" 13:.+((SYSTEM_STATE.+slice.+state.+changed )|(ment ac)|(system.+state.+changed )|(\|lc)|(penalty)|(\[timeout)|(PRM\|1\|D)|(kpr)|(kdp))" /e /r /s</v>
      </c>
      <c r="AG163" s="1" t="str">
        <f t="shared" si="80"/>
        <v>NW</v>
      </c>
      <c r="AH163" s="100" t="str">
        <f t="shared" si="81"/>
        <v>"%USERPROFILE%\Documents\GitHub\eaglep3\Utilities\RefineRTDCRunTimes.py" --tripid 1804-17 --locoid 4032 --swversion DE.1.0.7.0 --startMP 300:58621 --initTime 2016-09-17T07:37:11 --startdatetime 2016-09-17T07:39:00 --delay 1 --endMP 204:813 --enddatetime 2016-09-17T07:53:53 --enforcementcount 0 &gt;&gt;C:\Users\stu\Documents\GitHub\eaglep3-reporting\EC\2016-09-17-refined-times.txt</v>
      </c>
      <c r="AI16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{"issue":{"subject":"","project_id":79,"tracker_id":40,"status_id":1,"priority_id":2,"assigned_to_id":23,"start_date":"2016-09-17","description":"","custom_fields":[{"id":1,"name":"Subdivision","value":"NW"},{"id":4,"name":"Milepost","value":"0.0813"},{"id":17,"name":"Train ID","value":"1804-17"},{"id":16,"name":"Locomotive ID","value":"4032"},{"id":130,"name":"Impact","value":""},{"id":150,"name":"Time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444</v>
      </c>
      <c r="B164" s="7">
        <v>4031</v>
      </c>
      <c r="C164" s="24" t="s">
        <v>106</v>
      </c>
      <c r="D164" s="24" t="s">
        <v>654</v>
      </c>
      <c r="E164" s="15">
        <v>42630.330011574071</v>
      </c>
      <c r="F164" s="15">
        <v>42630.348136574074</v>
      </c>
      <c r="G164" s="7">
        <v>0</v>
      </c>
      <c r="H164" s="15" t="s">
        <v>655</v>
      </c>
      <c r="I164" s="15">
        <v>42630.357060185182</v>
      </c>
      <c r="J164" s="7">
        <v>0</v>
      </c>
      <c r="K164" s="121" t="str">
        <f t="shared" si="67"/>
        <v>4031/4032</v>
      </c>
      <c r="L164" s="24" t="str">
        <f>VLOOKUP(A164,'Trips&amp;Operators'!$C$1:$E$10000,3,FALSE)</f>
        <v>YORK</v>
      </c>
      <c r="M164" s="6">
        <f t="shared" si="68"/>
        <v>8.923611108912155E-3</v>
      </c>
      <c r="N164" s="7">
        <f t="shared" si="85"/>
        <v>12.849999996833503</v>
      </c>
      <c r="O164" s="7"/>
      <c r="P164" s="7"/>
      <c r="Q164" s="25"/>
      <c r="R164" s="25"/>
      <c r="S164" s="37">
        <f t="shared" si="70"/>
        <v>1</v>
      </c>
      <c r="T164" s="52" t="str">
        <f t="shared" si="71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06:55:13-0600',mode:absolute,to:'2016-09-17 09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4" s="54" t="str">
        <f t="shared" si="73"/>
        <v>N</v>
      </c>
      <c r="X164" s="168">
        <f t="shared" si="86"/>
        <v>1</v>
      </c>
      <c r="Y164" s="69">
        <f t="shared" si="74"/>
        <v>0.1109</v>
      </c>
      <c r="Z164" s="69">
        <f t="shared" si="75"/>
        <v>5.8929</v>
      </c>
      <c r="AA164" s="69">
        <f t="shared" si="76"/>
        <v>5.782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77"/>
        <v>1805-17</v>
      </c>
      <c r="AE164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4" s="96" t="str">
        <f t="shared" si="79"/>
        <v>"C:\Program Files (x86)\AstroGrep\AstroGrep.exe" /spath="%USERPROFILE%\AppData\Local\Temp\OnboardLogs" /stypes="app*4031*20160917*" /stext=" 14:.+((SYSTEM_STATE.+slice.+state.+changed )|(ment ac)|(system.+state.+changed )|(\|lc)|(penalty)|(\[timeout)|(PRM\|1\|D)|(kpr)|(kdp))" /e /r /s</v>
      </c>
      <c r="AG164" s="1" t="str">
        <f t="shared" si="80"/>
        <v>NW</v>
      </c>
      <c r="AH164" s="100" t="str">
        <f t="shared" si="81"/>
        <v>"%USERPROFILE%\Documents\GitHub\eaglep3\Utilities\RefineRTDCRunTimes.py" --tripid 1805-17 --locoid 4031 --swversion DE.1.0.7.0 --startMP 204:1109 --initTime 2016-09-17T07:55:13 --startdatetime 2016-09-17T08:21:19 --delay 0 --endMP 300:58929 --enddatetime 2016-09-17T08:34:10 --enforcementcount 0 &gt;&gt;C:\Users\stu\Documents\GitHub\eaglep3-reporting\EC\2016-09-17-refined-times.txt</v>
      </c>
      <c r="AI16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ID","value":"1805-17"},{"id":16,"name":"Locomotive ID","value":"4031"},{"id":130,"name":"Impact","value":""},{"id":150,"name":"Time of Event (Mountain Time)","value":"08:34:10"},{"id":151,"name":"Denver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450</v>
      </c>
      <c r="B165" s="7">
        <v>4032</v>
      </c>
      <c r="C165" s="24" t="s">
        <v>106</v>
      </c>
      <c r="D165" s="24" t="s">
        <v>656</v>
      </c>
      <c r="E165" s="15">
        <v>42630.358229166668</v>
      </c>
      <c r="F165" s="15">
        <v>42630.359502314815</v>
      </c>
      <c r="G165" s="7">
        <v>0</v>
      </c>
      <c r="H165" s="15" t="s">
        <v>657</v>
      </c>
      <c r="I165" s="15">
        <v>42630.370648148149</v>
      </c>
      <c r="J165" s="7">
        <v>0</v>
      </c>
      <c r="K165" s="121" t="str">
        <f t="shared" si="67"/>
        <v>4031/4032</v>
      </c>
      <c r="L165" s="24" t="str">
        <f>VLOOKUP(A165,'Trips&amp;Operators'!$C$1:$E$10000,3,FALSE)</f>
        <v>YORK</v>
      </c>
      <c r="M165" s="6">
        <f t="shared" si="68"/>
        <v>1.1145833334012423E-2</v>
      </c>
      <c r="N165" s="7">
        <f t="shared" si="85"/>
        <v>16.050000000977889</v>
      </c>
      <c r="O165" s="7"/>
      <c r="P165" s="7"/>
      <c r="Q165" s="25"/>
      <c r="R165" s="25"/>
      <c r="S165" s="37">
        <f t="shared" si="70"/>
        <v>1</v>
      </c>
      <c r="T165" s="52" t="str">
        <f t="shared" si="71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07:35:51-0600',mode:absolute,to:'2016-09-17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5" s="54" t="str">
        <f t="shared" si="73"/>
        <v>N</v>
      </c>
      <c r="X165" s="168">
        <f t="shared" si="86"/>
        <v>1</v>
      </c>
      <c r="Y165" s="69">
        <f t="shared" si="74"/>
        <v>5.8619000000000003</v>
      </c>
      <c r="Z165" s="69">
        <f t="shared" si="75"/>
        <v>7.7600000000000002E-2</v>
      </c>
      <c r="AA165" s="69">
        <f t="shared" si="76"/>
        <v>5.7843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77"/>
        <v>1806-17</v>
      </c>
      <c r="AE165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5" s="96" t="str">
        <f t="shared" si="79"/>
        <v>"C:\Program Files (x86)\AstroGrep\AstroGrep.exe" /spath="%USERPROFILE%\AppData\Local\Temp\OnboardLogs" /stypes="app*4032*20160917*" /stext=" 14:.+((SYSTEM_STATE.+slice.+state.+changed )|(ment ac)|(system.+state.+changed )|(\|lc)|(penalty)|(\[timeout)|(PRM\|1\|D)|(kpr)|(kdp))" /e /r /s</v>
      </c>
      <c r="AG165" s="1" t="str">
        <f t="shared" si="80"/>
        <v>NW</v>
      </c>
      <c r="AH165" s="100" t="str">
        <f t="shared" si="81"/>
        <v>"%USERPROFILE%\Documents\GitHub\eaglep3\Utilities\RefineRTDCRunTimes.py" --tripid 1806-17 --locoid 4032 --swversion DE.1.0.7.0 --startMP 300:58619 --initTime 2016-09-17T08:35:51 --startdatetime 2016-09-17T08:37:41 --delay 0 --endMP 204:776 --enddatetime 2016-09-17T08:53:44 --enforcementcount 0 &gt;&gt;C:\Users\stu\Documents\GitHub\eaglep3-reporting\EC\2016-09-17-refined-times.txt</v>
      </c>
      <c r="AI16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{"issue":{"subject":"","project_id":79,"tracker_id":40,"status_id":1,"priority_id":2,"assigned_to_id":23,"start_date":"2016-09-17","description":"","custom_fields":[{"id":1,"name":"Subdivision","value":"NW"},{"id":4,"name":"Milepost","value":"0.0776"},{"id":17,"name":"Train ID","value":"1806-17"},{"id":16,"name":"Locomotive ID","value":"4032"},{"id":130,"name":"Impact","value":""},{"id":150,"name":"Time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457</v>
      </c>
      <c r="B166" s="7">
        <v>4031</v>
      </c>
      <c r="C166" s="24" t="s">
        <v>106</v>
      </c>
      <c r="D166" s="24" t="s">
        <v>658</v>
      </c>
      <c r="E166" s="15">
        <v>42630.386087962965</v>
      </c>
      <c r="F166" s="15">
        <v>42630.390011574076</v>
      </c>
      <c r="G166" s="7">
        <v>1</v>
      </c>
      <c r="H166" s="15" t="s">
        <v>659</v>
      </c>
      <c r="I166" s="15">
        <v>42630.398888888885</v>
      </c>
      <c r="J166" s="7">
        <v>0</v>
      </c>
      <c r="K166" s="121" t="str">
        <f t="shared" si="67"/>
        <v>4031/4032</v>
      </c>
      <c r="L166" s="24" t="str">
        <f>VLOOKUP(A166,'Trips&amp;Operators'!$C$1:$E$10000,3,FALSE)</f>
        <v>YORK</v>
      </c>
      <c r="M166" s="6">
        <f t="shared" si="68"/>
        <v>8.8773148090695031E-3</v>
      </c>
      <c r="N166" s="7">
        <f t="shared" si="85"/>
        <v>12.783333325060084</v>
      </c>
      <c r="O166" s="7"/>
      <c r="P166" s="7"/>
      <c r="Q166" s="25"/>
      <c r="R166" s="25"/>
      <c r="S166" s="37">
        <f t="shared" si="70"/>
        <v>1</v>
      </c>
      <c r="T166" s="52" t="str">
        <f t="shared" si="71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08:15:58-0600',mode:absolute,to:'2016-09-17 10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6" s="54" t="str">
        <f t="shared" si="73"/>
        <v>N</v>
      </c>
      <c r="X166" s="168">
        <f t="shared" si="86"/>
        <v>1</v>
      </c>
      <c r="Y166" s="69">
        <f t="shared" si="74"/>
        <v>0.1067</v>
      </c>
      <c r="Z166" s="69">
        <f t="shared" si="75"/>
        <v>5.8933</v>
      </c>
      <c r="AA166" s="69">
        <f t="shared" si="76"/>
        <v>5.7866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77"/>
        <v>1807-17</v>
      </c>
      <c r="AE166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6" s="96" t="str">
        <f t="shared" si="79"/>
        <v>"C:\Program Files (x86)\AstroGrep\AstroGrep.exe" /spath="%USERPROFILE%\AppData\Local\Temp\OnboardLogs" /stypes="app*4031*20160917*" /stext=" 15:.+((SYSTEM_STATE.+slice.+state.+changed )|(ment ac)|(system.+state.+changed )|(\|lc)|(penalty)|(\[timeout)|(PRM\|1\|D)|(kpr)|(kdp))" /e /r /s</v>
      </c>
      <c r="AG166" s="1" t="str">
        <f t="shared" si="80"/>
        <v>NW</v>
      </c>
      <c r="AH166" s="100" t="str">
        <f t="shared" si="81"/>
        <v>"%USERPROFILE%\Documents\GitHub\eaglep3\Utilities\RefineRTDCRunTimes.py" --tripid 1807-17 --locoid 4031 --swversion DE.1.0.7.0 --startMP 204:1067 --initTime 2016-09-17T09:15:58 --startdatetime 2016-09-17T09:21:37 --delay 1 --endMP 300:58933 --enddatetime 2016-09-17T09:34:24 --enforcementcount 0 &gt;&gt;C:\Users\stu\Documents\GitHub\eaglep3-reporting\EC\2016-09-17-refined-times.txt</v>
      </c>
      <c r="AI16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ID","value":"1807-17"},{"id":16,"name":"Locomotive ID","value":"4031"},{"id":130,"name":"Impact","value":""},{"id":150,"name":"Time of Event (Mountain Time)","value":"09:34:24"},{"id":151,"name":"Denver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461</v>
      </c>
      <c r="B167" s="7">
        <v>4032</v>
      </c>
      <c r="C167" s="24" t="s">
        <v>106</v>
      </c>
      <c r="D167" s="24" t="s">
        <v>313</v>
      </c>
      <c r="E167" s="15">
        <v>42630.400104166663</v>
      </c>
      <c r="F167" s="15">
        <v>42630.44253472222</v>
      </c>
      <c r="G167" s="7">
        <v>1</v>
      </c>
      <c r="H167" s="15" t="s">
        <v>660</v>
      </c>
      <c r="I167" s="15">
        <v>42630.454108796293</v>
      </c>
      <c r="J167" s="7">
        <v>0</v>
      </c>
      <c r="K167" s="121" t="str">
        <f t="shared" si="67"/>
        <v>4031/4032</v>
      </c>
      <c r="L167" s="24" t="str">
        <f>VLOOKUP(A167,'Trips&amp;Operators'!$C$1:$E$10000,3,FALSE)</f>
        <v>YORK</v>
      </c>
      <c r="M167" s="6">
        <f t="shared" si="68"/>
        <v>1.1574074072996154E-2</v>
      </c>
      <c r="N167" s="7">
        <f t="shared" si="85"/>
        <v>16.666666665114462</v>
      </c>
      <c r="O167" s="7"/>
      <c r="P167" s="7"/>
      <c r="Q167" s="25"/>
      <c r="R167" s="25"/>
      <c r="S167" s="37">
        <f t="shared" si="70"/>
        <v>1</v>
      </c>
      <c r="T167" s="52" t="str">
        <f t="shared" si="71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08:36:09-0600',mode:absolute,to:'2016-09-17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7" s="54" t="str">
        <f t="shared" si="73"/>
        <v>N</v>
      </c>
      <c r="X167" s="168">
        <f t="shared" si="86"/>
        <v>1</v>
      </c>
      <c r="Y167" s="69">
        <f t="shared" si="74"/>
        <v>5.8613</v>
      </c>
      <c r="Z167" s="69">
        <f t="shared" si="75"/>
        <v>7.6899999999999996E-2</v>
      </c>
      <c r="AA167" s="69">
        <f t="shared" si="76"/>
        <v>5.7843999999999998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77"/>
        <v>1808-17</v>
      </c>
      <c r="AE167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7" s="96" t="str">
        <f t="shared" si="79"/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7" s="1" t="str">
        <f t="shared" si="80"/>
        <v>NW</v>
      </c>
      <c r="AH167" s="100" t="str">
        <f t="shared" si="81"/>
        <v>"%USERPROFILE%\Documents\GitHub\eaglep3\Utilities\RefineRTDCRunTimes.py" --tripid 1808-17 --locoid 4032 --swversion DE.1.0.7.0 --startMP 300:58613 --initTime 2016-09-17T09:36:09 --startdatetime 2016-09-17T10:37:15 --delay 1 --endMP 204:769 --enddatetime 2016-09-17T10:53:55 --enforcementcount 0 &gt;&gt;C:\Users\stu\Documents\GitHub\eaglep3-reporting\EC\2016-09-17-refined-times.txt</v>
      </c>
      <c r="AI16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ID","value":"1808-17"},{"id":16,"name":"Locomotive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465</v>
      </c>
      <c r="B168" s="7">
        <v>4031</v>
      </c>
      <c r="C168" s="24" t="s">
        <v>106</v>
      </c>
      <c r="D168" s="24" t="s">
        <v>661</v>
      </c>
      <c r="E168" s="15">
        <v>42630.415578703702</v>
      </c>
      <c r="F168" s="15">
        <v>42630.431481481479</v>
      </c>
      <c r="G168" s="7">
        <v>1</v>
      </c>
      <c r="H168" s="15" t="s">
        <v>662</v>
      </c>
      <c r="I168" s="15">
        <v>42630.440208333333</v>
      </c>
      <c r="J168" s="7">
        <v>0</v>
      </c>
      <c r="K168" s="121" t="str">
        <f t="shared" si="67"/>
        <v>4031/4032</v>
      </c>
      <c r="L168" s="24" t="str">
        <f>VLOOKUP(A168,'Trips&amp;Operators'!$C$1:$E$10000,3,FALSE)</f>
        <v>YORK</v>
      </c>
      <c r="M168" s="6">
        <f t="shared" si="68"/>
        <v>8.7268518545897678E-3</v>
      </c>
      <c r="N168" s="7">
        <f t="shared" si="85"/>
        <v>12.566666670609266</v>
      </c>
      <c r="O168" s="7"/>
      <c r="P168" s="7"/>
      <c r="Q168" s="25"/>
      <c r="R168" s="25"/>
      <c r="S168" s="37">
        <f t="shared" si="70"/>
        <v>1</v>
      </c>
      <c r="T168" s="52" t="str">
        <f t="shared" si="71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08:58:26-0600',mode:absolute,to:'2016-09-17 11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8" s="54" t="str">
        <f t="shared" si="73"/>
        <v>N</v>
      </c>
      <c r="X168" s="168">
        <f t="shared" si="86"/>
        <v>1</v>
      </c>
      <c r="Y168" s="69">
        <f t="shared" si="74"/>
        <v>0.10879999999999999</v>
      </c>
      <c r="Z168" s="69">
        <f t="shared" si="75"/>
        <v>5.8939000000000004</v>
      </c>
      <c r="AA168" s="69">
        <f t="shared" si="76"/>
        <v>5.7851000000000008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77"/>
        <v>1809-17</v>
      </c>
      <c r="AE168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8" s="96" t="str">
        <f t="shared" si="79"/>
        <v>"C:\Program Files (x86)\AstroGrep\AstroGrep.exe" /spath="%USERPROFILE%\AppData\Local\Temp\OnboardLogs" /stypes="app*4031*20160917*" /stext=" 16:.+((SYSTEM_STATE.+slice.+state.+changed )|(ment ac)|(system.+state.+changed )|(\|lc)|(penalty)|(\[timeout)|(PRM\|1\|D)|(kpr)|(kdp))" /e /r /s</v>
      </c>
      <c r="AG168" s="1" t="str">
        <f t="shared" si="80"/>
        <v>NW</v>
      </c>
      <c r="AH168" s="100" t="str">
        <f t="shared" si="81"/>
        <v>"%USERPROFILE%\Documents\GitHub\eaglep3\Utilities\RefineRTDCRunTimes.py" --tripid 1809-17 --locoid 4031 --swversion DE.1.0.7.0 --startMP 204:1088 --initTime 2016-09-17T09:58:26 --startdatetime 2016-09-17T10:21:20 --delay 1 --endMP 300:58939 --enddatetime 2016-09-17T10:33:54 --enforcementcount 0 &gt;&gt;C:\Users\stu\Documents\GitHub\eaglep3-reporting\EC\2016-09-17-refined-times.txt</v>
      </c>
      <c r="AI16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{"issue":{"subject":"","project_id":79,"tracker_id":40,"status_id":1,"priority_id":2,"assigned_to_id":23,"start_date":"2016-09-17","description":"","custom_fields":[{"id":1,"name":"Subdivision","value":"NW"},{"id":4,"name":"Milepost","value":"5.8939"},{"id":17,"name":"Train ID","value":"1809-17"},{"id":16,"name":"Locomotive ID","value":"4031"},{"id":130,"name":"Impact","value":""},{"id":150,"name":"Time of Event (Mountain Time)","value":"10:33:54"},{"id":151,"name":"Denver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471</v>
      </c>
      <c r="B169" s="7">
        <v>4032</v>
      </c>
      <c r="C169" s="24" t="s">
        <v>106</v>
      </c>
      <c r="D169" s="24" t="s">
        <v>313</v>
      </c>
      <c r="E169" s="15">
        <v>42630.441284722219</v>
      </c>
      <c r="F169" s="15">
        <v>42630.44253472222</v>
      </c>
      <c r="G169" s="7">
        <v>1</v>
      </c>
      <c r="H169" s="15" t="s">
        <v>660</v>
      </c>
      <c r="I169" s="15">
        <v>42630.454108796293</v>
      </c>
      <c r="J169" s="7">
        <v>0</v>
      </c>
      <c r="K169" s="121" t="str">
        <f t="shared" si="67"/>
        <v>4031/4032</v>
      </c>
      <c r="L169" s="24" t="str">
        <f>VLOOKUP(A169,'Trips&amp;Operators'!$C$1:$E$10000,3,FALSE)</f>
        <v>YORK</v>
      </c>
      <c r="M169" s="6">
        <f t="shared" si="68"/>
        <v>1.1574074072996154E-2</v>
      </c>
      <c r="N169" s="7">
        <f t="shared" si="85"/>
        <v>16.666666665114462</v>
      </c>
      <c r="O169" s="7"/>
      <c r="P169" s="7"/>
      <c r="Q169" s="25"/>
      <c r="R169" s="25"/>
      <c r="S169" s="37">
        <f t="shared" si="70"/>
        <v>1</v>
      </c>
      <c r="T169" s="52" t="str">
        <f t="shared" si="71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09:35:27-0600',mode:absolute,to:'2016-09-17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9" s="54" t="str">
        <f t="shared" si="73"/>
        <v>N</v>
      </c>
      <c r="X169" s="168">
        <f t="shared" si="86"/>
        <v>1</v>
      </c>
      <c r="Y169" s="69">
        <f t="shared" si="74"/>
        <v>5.8613</v>
      </c>
      <c r="Z169" s="69">
        <f t="shared" si="75"/>
        <v>7.6899999999999996E-2</v>
      </c>
      <c r="AA169" s="69">
        <f t="shared" si="76"/>
        <v>5.7843999999999998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77"/>
        <v>1810-17</v>
      </c>
      <c r="AE169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9" s="96" t="str">
        <f t="shared" si="79"/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9" s="1" t="str">
        <f t="shared" si="80"/>
        <v>NW</v>
      </c>
      <c r="AH169" s="100" t="str">
        <f t="shared" si="81"/>
        <v>"%USERPROFILE%\Documents\GitHub\eaglep3\Utilities\RefineRTDCRunTimes.py" --tripid 1810-17 --locoid 4032 --swversion DE.1.0.7.0 --startMP 300:58613 --initTime 2016-09-17T10:35:27 --startdatetime 2016-09-17T10:37:15 --delay 1 --endMP 204:769 --enddatetime 2016-09-17T10:53:55 --enforcementcount 0 &gt;&gt;C:\Users\stu\Documents\GitHub\eaglep3-reporting\EC\2016-09-17-refined-times.txt</v>
      </c>
      <c r="AI16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ID","value":"1810-17"},{"id":16,"name":"Locomotive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476</v>
      </c>
      <c r="B170" s="7">
        <v>4031</v>
      </c>
      <c r="C170" s="24" t="s">
        <v>106</v>
      </c>
      <c r="D170" s="24" t="s">
        <v>663</v>
      </c>
      <c r="E170" s="15">
        <v>42630.455208333333</v>
      </c>
      <c r="F170" s="15">
        <v>42630.473101851851</v>
      </c>
      <c r="G170" s="7">
        <v>1</v>
      </c>
      <c r="H170" s="15" t="s">
        <v>655</v>
      </c>
      <c r="I170" s="15">
        <v>42630.481828703705</v>
      </c>
      <c r="J170" s="7">
        <v>0</v>
      </c>
      <c r="K170" s="121" t="str">
        <f t="shared" si="67"/>
        <v>4031/4032</v>
      </c>
      <c r="L170" s="24" t="str">
        <f>VLOOKUP(A170,'Trips&amp;Operators'!$C$1:$E$10000,3,FALSE)</f>
        <v>YORK</v>
      </c>
      <c r="M170" s="6">
        <f t="shared" si="68"/>
        <v>8.7268518545897678E-3</v>
      </c>
      <c r="N170" s="7">
        <f t="shared" si="85"/>
        <v>12.566666670609266</v>
      </c>
      <c r="O170" s="7"/>
      <c r="P170" s="7"/>
      <c r="Q170" s="25"/>
      <c r="R170" s="25"/>
      <c r="S170" s="37">
        <f t="shared" si="70"/>
        <v>1</v>
      </c>
      <c r="T170" s="52" t="str">
        <f t="shared" si="71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09:55:30-0600',mode:absolute,to:'2016-09-17 12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0" s="54" t="str">
        <f t="shared" si="73"/>
        <v>N</v>
      </c>
      <c r="X170" s="168">
        <f t="shared" si="86"/>
        <v>1</v>
      </c>
      <c r="Y170" s="69">
        <f t="shared" si="74"/>
        <v>0.1053</v>
      </c>
      <c r="Z170" s="69">
        <f t="shared" si="75"/>
        <v>5.8929</v>
      </c>
      <c r="AA170" s="69">
        <f t="shared" si="76"/>
        <v>5.7876000000000003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77"/>
        <v>1811-17</v>
      </c>
      <c r="AE170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0" s="96" t="str">
        <f t="shared" si="79"/>
        <v>"C:\Program Files (x86)\AstroGrep\AstroGrep.exe" /spath="%USERPROFILE%\AppData\Local\Temp\OnboardLogs" /stypes="app*4031*20160917*" /stext=" 17:.+((SYSTEM_STATE.+slice.+state.+changed )|(ment ac)|(system.+state.+changed )|(\|lc)|(penalty)|(\[timeout)|(PRM\|1\|D)|(kpr)|(kdp))" /e /r /s</v>
      </c>
      <c r="AG170" s="1" t="str">
        <f t="shared" si="80"/>
        <v>NW</v>
      </c>
      <c r="AH170" s="100" t="str">
        <f t="shared" si="81"/>
        <v>"%USERPROFILE%\Documents\GitHub\eaglep3\Utilities\RefineRTDCRunTimes.py" --tripid 1811-17 --locoid 4031 --swversion DE.1.0.7.0 --startMP 204:1053 --initTime 2016-09-17T10:55:30 --startdatetime 2016-09-17T11:21:16 --delay 1 --endMP 300:58929 --enddatetime 2016-09-17T11:33:50 --enforcementcount 0 &gt;&gt;C:\Users\stu\Documents\GitHub\eaglep3-reporting\EC\2016-09-17-refined-times.txt</v>
      </c>
      <c r="AI17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ID","value":"1811-17"},{"id":16,"name":"Locomotive ID","value":"4031"},{"id":130,"name":"Impact","value":""},{"id":150,"name":"Time of Event (Mountain Time)","value":"11:33:50"},{"id":151,"name":"Denver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483</v>
      </c>
      <c r="B171" s="7">
        <v>4032</v>
      </c>
      <c r="C171" s="24" t="s">
        <v>106</v>
      </c>
      <c r="D171" s="24" t="s">
        <v>652</v>
      </c>
      <c r="E171" s="15">
        <v>42630.483067129629</v>
      </c>
      <c r="F171" s="15">
        <v>42630.484502314815</v>
      </c>
      <c r="G171" s="7">
        <v>1</v>
      </c>
      <c r="H171" s="15" t="s">
        <v>664</v>
      </c>
      <c r="I171" s="15">
        <v>42630.495648148149</v>
      </c>
      <c r="J171" s="7">
        <v>0</v>
      </c>
      <c r="K171" s="121" t="str">
        <f t="shared" si="67"/>
        <v>4031/4032</v>
      </c>
      <c r="L171" s="24" t="str">
        <f>VLOOKUP(A171,'Trips&amp;Operators'!$C$1:$E$10000,3,FALSE)</f>
        <v>YORK</v>
      </c>
      <c r="M171" s="6">
        <f t="shared" si="68"/>
        <v>1.1145833334012423E-2</v>
      </c>
      <c r="N171" s="7">
        <f t="shared" si="85"/>
        <v>16.050000000977889</v>
      </c>
      <c r="O171" s="7"/>
      <c r="P171" s="7"/>
      <c r="Q171" s="25"/>
      <c r="R171" s="25"/>
      <c r="S171" s="37">
        <f t="shared" si="70"/>
        <v>1</v>
      </c>
      <c r="T171" s="52" t="str">
        <f t="shared" si="71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10:35:37-0600',mode:absolute,to:'2016-09-17 12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1" s="54" t="str">
        <f t="shared" si="73"/>
        <v>N</v>
      </c>
      <c r="X171" s="168">
        <f t="shared" si="86"/>
        <v>1</v>
      </c>
      <c r="Y171" s="69">
        <f t="shared" si="74"/>
        <v>5.8620999999999999</v>
      </c>
      <c r="Z171" s="69">
        <f t="shared" si="75"/>
        <v>7.5499999999999998E-2</v>
      </c>
      <c r="AA171" s="69">
        <f t="shared" si="76"/>
        <v>5.7866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77"/>
        <v>1812-17</v>
      </c>
      <c r="AE171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1" s="96" t="str">
        <f t="shared" si="79"/>
        <v>"C:\Program Files (x86)\AstroGrep\AstroGrep.exe" /spath="%USERPROFILE%\AppData\Local\Temp\OnboardLogs" /stypes="app*4032*20160917*" /stext=" 17:.+((SYSTEM_STATE.+slice.+state.+changed )|(ment ac)|(system.+state.+changed )|(\|lc)|(penalty)|(\[timeout)|(PRM\|1\|D)|(kpr)|(kdp))" /e /r /s</v>
      </c>
      <c r="AG171" s="1" t="str">
        <f t="shared" si="80"/>
        <v>NW</v>
      </c>
      <c r="AH171" s="100" t="str">
        <f t="shared" si="81"/>
        <v>"%USERPROFILE%\Documents\GitHub\eaglep3\Utilities\RefineRTDCRunTimes.py" --tripid 1812-17 --locoid 4032 --swversion DE.1.0.7.0 --startMP 300:58621 --initTime 2016-09-17T11:35:37 --startdatetime 2016-09-17T11:37:41 --delay 1 --endMP 204:755 --enddatetime 2016-09-17T11:53:44 --enforcementcount 0 &gt;&gt;C:\Users\stu\Documents\GitHub\eaglep3-reporting\EC\2016-09-17-refined-times.txt</v>
      </c>
      <c r="AI17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{"issue":{"subject":"","project_id":79,"tracker_id":40,"status_id":1,"priority_id":2,"assigned_to_id":23,"start_date":"2016-09-17","description":"","custom_fields":[{"id":1,"name":"Subdivision","value":"NW"},{"id":4,"name":"Milepost","value":"0.0755"},{"id":17,"name":"Train ID","value":"1812-17"},{"id":16,"name":"Locomotive ID","value":"4032"},{"id":130,"name":"Impact","value":""},{"id":150,"name":"Time of Event (Mountain Time)","value":"11:53:44"},{"id":151,"name":"Denver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489</v>
      </c>
      <c r="B172" s="7">
        <v>4031</v>
      </c>
      <c r="C172" s="24" t="s">
        <v>106</v>
      </c>
      <c r="D172" s="24" t="s">
        <v>665</v>
      </c>
      <c r="E172" s="15">
        <v>42630.496828703705</v>
      </c>
      <c r="F172" s="15">
        <v>42630.514733796299</v>
      </c>
      <c r="G172" s="7">
        <v>0</v>
      </c>
      <c r="H172" s="15" t="s">
        <v>666</v>
      </c>
      <c r="I172" s="15">
        <v>42630.524131944447</v>
      </c>
      <c r="J172" s="7">
        <v>0</v>
      </c>
      <c r="K172" s="121" t="str">
        <f t="shared" si="67"/>
        <v>4031/4032</v>
      </c>
      <c r="L172" s="24" t="str">
        <f>VLOOKUP(A172,'Trips&amp;Operators'!$C$1:$E$10000,3,FALSE)</f>
        <v>YORK</v>
      </c>
      <c r="M172" s="6">
        <f t="shared" si="68"/>
        <v>9.3981481477385387E-3</v>
      </c>
      <c r="N172" s="7">
        <f t="shared" si="85"/>
        <v>13.533333332743496</v>
      </c>
      <c r="O172" s="7"/>
      <c r="P172" s="7"/>
      <c r="Q172" s="25"/>
      <c r="R172" s="25"/>
      <c r="S172" s="37">
        <f t="shared" si="70"/>
        <v>1</v>
      </c>
      <c r="T172" s="52" t="str">
        <f t="shared" si="71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2" s="54" t="str">
        <f t="shared" si="73"/>
        <v>N</v>
      </c>
      <c r="X172" s="168">
        <f t="shared" si="86"/>
        <v>1</v>
      </c>
      <c r="Y172" s="69">
        <f t="shared" si="74"/>
        <v>0.1065</v>
      </c>
      <c r="Z172" s="69">
        <f t="shared" si="75"/>
        <v>5.8905000000000003</v>
      </c>
      <c r="AA172" s="69">
        <f t="shared" si="76"/>
        <v>5.7840000000000007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77"/>
        <v>1813-17</v>
      </c>
      <c r="AE172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2" s="96" t="str">
        <f t="shared" si="79"/>
        <v>"C:\Program Files (x86)\AstroGrep\AstroGrep.exe" /spath="%USERPROFILE%\AppData\Local\Temp\OnboardLogs" /stypes="app*4031*20160917*" /stext=" 18:.+((SYSTEM_STATE.+slice.+state.+changed )|(ment ac)|(system.+state.+changed )|(\|lc)|(penalty)|(\[timeout)|(PRM\|1\|D)|(kpr)|(kdp))" /e /r /s</v>
      </c>
      <c r="AG172" s="1" t="str">
        <f t="shared" si="80"/>
        <v>NW</v>
      </c>
      <c r="AH172" s="100" t="str">
        <f t="shared" si="81"/>
        <v>"%USERPROFILE%\Documents\GitHub\eaglep3\Utilities\RefineRTDCRunTimes.py" --tripid 1813-17 --locoid 4031 --swversion DE.1.0.7.0 --startMP 204:1065 --initTime 2016-09-17T11:55:26 --startdatetime 2016-09-17T12:21:13 --delay 0 --endMP 300:58905 --enddatetime 2016-09-17T12:34:45 --enforcementcount 0 &gt;&gt;C:\Users\stu\Documents\GitHub\eaglep3-reporting\EC\2016-09-17-refined-times.txt</v>
      </c>
      <c r="AI17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{"issue":{"subject":"","project_id":79,"tracker_id":40,"status_id":1,"priority_id":2,"assigned_to_id":23,"start_date":"2016-09-17","description":"","custom_fields":[{"id":1,"name":"Subdivision","value":"NW"},{"id":4,"name":"Milepost","value":"5.8905"},{"id":17,"name":"Train ID","value":"1813-17"},{"id":16,"name":"Locomotive ID","value":"4031"},{"id":130,"name":"Impact","value":""},{"id":150,"name":"Time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496</v>
      </c>
      <c r="B173" s="7">
        <v>4032</v>
      </c>
      <c r="C173" s="24" t="s">
        <v>106</v>
      </c>
      <c r="D173" s="24" t="s">
        <v>667</v>
      </c>
      <c r="E173" s="15">
        <v>42630.525462962964</v>
      </c>
      <c r="F173" s="15">
        <v>42630.526921296296</v>
      </c>
      <c r="G173" s="7">
        <v>1</v>
      </c>
      <c r="H173" s="15" t="s">
        <v>668</v>
      </c>
      <c r="I173" s="15">
        <v>42630.537453703706</v>
      </c>
      <c r="J173" s="7">
        <v>0</v>
      </c>
      <c r="K173" s="121" t="str">
        <f t="shared" ref="K173:K207" si="87">IF(ISEVEN(B173),(B173-1)&amp;"/"&amp;B173,B173&amp;"/"&amp;(B173+1))</f>
        <v>4031/4032</v>
      </c>
      <c r="L173" s="24" t="str">
        <f>VLOOKUP(A173,'Trips&amp;Operators'!$C$1:$E$10000,3,FALSE)</f>
        <v>YORK</v>
      </c>
      <c r="M173" s="6">
        <f t="shared" ref="M173:M207" si="88">I173-F173</f>
        <v>1.0532407410209998E-2</v>
      </c>
      <c r="N173" s="7">
        <f t="shared" si="85"/>
        <v>15.166666670702398</v>
      </c>
      <c r="O173" s="7"/>
      <c r="P173" s="7"/>
      <c r="Q173" s="25"/>
      <c r="R173" s="25"/>
      <c r="S173" s="37">
        <f t="shared" ref="S173:S207" si="89">SUM(U173:U173)/IF(AG173="EC",12,1)</f>
        <v>1</v>
      </c>
      <c r="T173" s="52" t="str">
        <f t="shared" ref="T173:T207" si="90">IF(ISEVEN(LEFT(AD173,4)),"Southbound","NorthBound")</f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7" si="91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https://search-rtdc-monitor-bjffxe2xuh6vdkpspy63sjmuny.us-east-1.es.amazonaws.com/_plugin/kibana/#/discover/Steve-Slow-Train-Analysis-(2080s-and-2083s)?_g=(refreshInterval:(display:Off,section:0,value:0),time:(from:'2016-09-17 11:36:40-0600',mode:absolute,to:'2016-09-17 13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3" s="54" t="str">
        <f t="shared" ref="W173:W207" si="92">IF(AA173&lt;IF(AG173="EC",23,5.65),"Y","N")</f>
        <v>N</v>
      </c>
      <c r="X173" s="168">
        <f t="shared" si="86"/>
        <v>1</v>
      </c>
      <c r="Y173" s="69">
        <f t="shared" ref="Y173:Y207" si="93">RIGHT(D173,LEN(D173)-4)/10000</f>
        <v>5.8586999999999998</v>
      </c>
      <c r="Z173" s="69">
        <f t="shared" ref="Z173:Z207" si="94">RIGHT(H173,LEN(H173)-4)/10000</f>
        <v>8.3900000000000002E-2</v>
      </c>
      <c r="AA173" s="69">
        <f t="shared" ref="AA173:AA204" si="95">ABS(Z173-Y173)</f>
        <v>5.7747999999999999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ref="AD173:AD207" si="96">IF(LEN(A173)=6,"0"&amp;A173,A173)</f>
        <v>1814-17</v>
      </c>
      <c r="AE173" s="99" t="str">
        <f t="shared" ref="AE173:AE207" si="97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3" s="96" t="str">
        <f t="shared" ref="AF173:AF207" si="98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/stypes="app*4032*20160917*" /stext=" 18:.+((SYSTEM_STATE.+slice.+state.+changed )|(ment ac)|(system.+state.+changed )|(\|lc)|(penalty)|(\[timeout)|(PRM\|1\|D)|(kpr)|(kdp))" /e /r /s</v>
      </c>
      <c r="AG173" s="1" t="str">
        <f t="shared" ref="AG173:AG207" si="99">IFERROR(IF(VALUE(LEFT(AD173,2))&lt;=2,"EC",IF(OR(VALUE(LEFT(AD173,2))=8,VALUE(LEFT(AD173,2))=18),"NW","Other")),"Other")</f>
        <v>NW</v>
      </c>
      <c r="AH173" s="100" t="str">
        <f t="shared" si="81"/>
        <v>"%USERPROFILE%\Documents\GitHub\eaglep3\Utilities\RefineRTDCRunTimes.py" --tripid 1814-17 --locoid 4032 --swversion DE.1.0.7.0 --startMP 300:58587 --initTime 2016-09-17T12:36:40 --startdatetime 2016-09-17T12:38:46 --delay 1 --endMP 204:839 --enddatetime 2016-09-17T12:53:56 --enforcementcount 0 &gt;&gt;C:\Users\stu\Documents\GitHub\eaglep3-reporting\EC\2016-09-17-refined-times.txt</v>
      </c>
      <c r="AI17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{"issue":{"subject":"","project_id":79,"tracker_id":40,"status_id":1,"priority_id":2,"assigned_to_id":23,"start_date":"2016-09-17","description":"","custom_fields":[{"id":1,"name":"Subdivision","value":"NW"},{"id":4,"name":"Milepost","value":"0.0839"},{"id":17,"name":"Train ID","value":"1814-17"},{"id":16,"name":"Locomotive ID","value":"4032"},{"id":130,"name":"Impact","value":""},{"id":150,"name":"Time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502</v>
      </c>
      <c r="B174" s="7">
        <v>4031</v>
      </c>
      <c r="C174" s="24" t="s">
        <v>106</v>
      </c>
      <c r="D174" s="24" t="s">
        <v>669</v>
      </c>
      <c r="E174" s="15">
        <v>42630.550868055558</v>
      </c>
      <c r="F174" s="15">
        <v>42630.556539351855</v>
      </c>
      <c r="G174" s="7">
        <v>1</v>
      </c>
      <c r="H174" s="15" t="s">
        <v>314</v>
      </c>
      <c r="I174" s="15">
        <v>42630.56527777778</v>
      </c>
      <c r="J174" s="7">
        <v>0</v>
      </c>
      <c r="K174" s="121" t="str">
        <f t="shared" si="87"/>
        <v>4031/4032</v>
      </c>
      <c r="L174" s="24" t="str">
        <f>VLOOKUP(A174,'Trips&amp;Operators'!$C$1:$E$10000,3,FALSE)</f>
        <v>YORK</v>
      </c>
      <c r="M174" s="6">
        <f t="shared" si="88"/>
        <v>8.7384259240934625E-3</v>
      </c>
      <c r="N174" s="7">
        <f t="shared" si="85"/>
        <v>12.583333330694586</v>
      </c>
      <c r="O174" s="7"/>
      <c r="P174" s="7"/>
      <c r="Q174" s="25"/>
      <c r="R174" s="25"/>
      <c r="S174" s="37">
        <f t="shared" si="89"/>
        <v>1</v>
      </c>
      <c r="T174" s="52" t="str">
        <f t="shared" si="90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12:13:15-0600',mode:absolute,to:'2016-09-17 14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4" s="54" t="str">
        <f t="shared" si="92"/>
        <v>N</v>
      </c>
      <c r="X174" s="168">
        <f t="shared" si="86"/>
        <v>1</v>
      </c>
      <c r="Y174" s="69">
        <f t="shared" si="93"/>
        <v>0.1125</v>
      </c>
      <c r="Z174" s="69">
        <f t="shared" si="94"/>
        <v>5.8924000000000003</v>
      </c>
      <c r="AA174" s="69">
        <f t="shared" si="95"/>
        <v>5.7799000000000005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6"/>
        <v>1815-17</v>
      </c>
      <c r="AE174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4" s="96" t="str">
        <f t="shared" si="98"/>
        <v>"C:\Program Files (x86)\AstroGrep\AstroGrep.exe" /spath="%USERPROFILE%\AppData\Local\Temp\OnboardLogs" /stypes="app*4031*20160917*" /stext=" 19:.+((SYSTEM_STATE.+slice.+state.+changed )|(ment ac)|(system.+state.+changed )|(\|lc)|(penalty)|(\[timeout)|(PRM\|1\|D)|(kpr)|(kdp))" /e /r /s</v>
      </c>
      <c r="AG174" s="1" t="str">
        <f t="shared" si="99"/>
        <v>NW</v>
      </c>
      <c r="AH174" s="100" t="str">
        <f t="shared" si="81"/>
        <v>"%USERPROFILE%\Documents\GitHub\eaglep3\Utilities\RefineRTDCRunTimes.py" --tripid 1815-17 --locoid 4031 --swversion DE.1.0.7.0 --startMP 204:1125 --initTime 2016-09-17T13:13:15 --startdatetime 2016-09-17T13:21:25 --delay 1 --endMP 300:58924 --enddatetime 2016-09-17T13:34:00 --enforcementcount 0 &gt;&gt;C:\Users\stu\Documents\GitHub\eaglep3-reporting\EC\2016-09-17-refined-times.txt</v>
      </c>
      <c r="AI17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{"issue":{"subject":"","project_id":79,"tracker_id":40,"status_id":1,"priority_id":2,"assigned_to_id":23,"start_date":"2016-09-17","description":"","custom_fields":[{"id":1,"name":"Subdivision","value":"NW"},{"id":4,"name":"Milepost","value":"5.8924"},{"id":17,"name":"Train ID","value":"1815-17"},{"id":16,"name":"Locomotive ID","value":"4031"},{"id":130,"name":"Impact","value":""},{"id":150,"name":"Time of Event (Mountain Time)","value":"13:34:00"},{"id":151,"name":"Denver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505</v>
      </c>
      <c r="B175" s="7">
        <v>4032</v>
      </c>
      <c r="C175" s="24" t="s">
        <v>106</v>
      </c>
      <c r="D175" s="24" t="s">
        <v>313</v>
      </c>
      <c r="E175" s="15">
        <v>42630.566365740742</v>
      </c>
      <c r="F175" s="15">
        <v>42630.567627314813</v>
      </c>
      <c r="G175" s="7">
        <v>1</v>
      </c>
      <c r="H175" s="15" t="s">
        <v>670</v>
      </c>
      <c r="I175" s="15">
        <v>42630.578946759262</v>
      </c>
      <c r="J175" s="7">
        <v>0</v>
      </c>
      <c r="K175" s="121" t="str">
        <f t="shared" si="87"/>
        <v>4031/4032</v>
      </c>
      <c r="L175" s="24" t="str">
        <f>VLOOKUP(A175,'Trips&amp;Operators'!$C$1:$E$10000,3,FALSE)</f>
        <v>YORK</v>
      </c>
      <c r="M175" s="6">
        <f t="shared" si="88"/>
        <v>1.131944444932742E-2</v>
      </c>
      <c r="N175" s="7">
        <f t="shared" si="85"/>
        <v>16.300000007031485</v>
      </c>
      <c r="O175" s="7"/>
      <c r="P175" s="7"/>
      <c r="Q175" s="25"/>
      <c r="R175" s="25"/>
      <c r="S175" s="37">
        <f t="shared" si="89"/>
        <v>1</v>
      </c>
      <c r="T175" s="52" t="str">
        <f t="shared" si="90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12:35:34-0600',mode:absolute,to:'2016-09-17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5" s="54" t="str">
        <f t="shared" si="92"/>
        <v>N</v>
      </c>
      <c r="X175" s="168">
        <f t="shared" si="86"/>
        <v>1</v>
      </c>
      <c r="Y175" s="69">
        <f t="shared" si="93"/>
        <v>5.8613</v>
      </c>
      <c r="Z175" s="69">
        <f t="shared" si="94"/>
        <v>7.9899999999999999E-2</v>
      </c>
      <c r="AA175" s="69">
        <f t="shared" si="95"/>
        <v>5.7813999999999997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6"/>
        <v>1816-17</v>
      </c>
      <c r="AE175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5" s="96" t="str">
        <f t="shared" si="98"/>
        <v>"C:\Program Files (x86)\AstroGrep\AstroGrep.exe" /spath="%USERPROFILE%\AppData\Local\Temp\OnboardLogs" /stypes="app*4032*20160917*" /stext=" 19:.+((SYSTEM_STATE.+slice.+state.+changed )|(ment ac)|(system.+state.+changed )|(\|lc)|(penalty)|(\[timeout)|(PRM\|1\|D)|(kpr)|(kdp))" /e /r /s</v>
      </c>
      <c r="AG175" s="1" t="str">
        <f t="shared" si="99"/>
        <v>NW</v>
      </c>
      <c r="AH175" s="100" t="str">
        <f t="shared" si="81"/>
        <v>"%USERPROFILE%\Documents\GitHub\eaglep3\Utilities\RefineRTDCRunTimes.py" --tripid 1816-17 --locoid 4032 --swversion DE.1.0.7.0 --startMP 300:58613 --initTime 2016-09-17T13:35:34 --startdatetime 2016-09-17T13:37:23 --delay 1 --endMP 204:799 --enddatetime 2016-09-17T13:53:41 --enforcementcount 0 &gt;&gt;C:\Users\stu\Documents\GitHub\eaglep3-reporting\EC\2016-09-17-refined-times.txt</v>
      </c>
      <c r="AI17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{"issue":{"subject":"","project_id":79,"tracker_id":40,"status_id":1,"priority_id":2,"assigned_to_id":23,"start_date":"2016-09-17","description":"","custom_fields":[{"id":1,"name":"Subdivision","value":"NW"},{"id":4,"name":"Milepost","value":"0.0799"},{"id":17,"name":"Train ID","value":"1816-17"},{"id":16,"name":"Locomotive ID","value":"4032"},{"id":130,"name":"Impact","value":""},{"id":150,"name":"Time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511</v>
      </c>
      <c r="B176" s="7">
        <v>4031</v>
      </c>
      <c r="C176" s="24" t="s">
        <v>106</v>
      </c>
      <c r="D176" s="24" t="s">
        <v>661</v>
      </c>
      <c r="E176" s="15">
        <v>42630.587650462963</v>
      </c>
      <c r="F176" s="15">
        <v>42630.598171296297</v>
      </c>
      <c r="G176" s="7">
        <v>1</v>
      </c>
      <c r="H176" s="15" t="s">
        <v>671</v>
      </c>
      <c r="I176" s="15">
        <v>42630.609525462962</v>
      </c>
      <c r="J176" s="7">
        <v>0</v>
      </c>
      <c r="K176" s="121" t="str">
        <f t="shared" si="87"/>
        <v>4031/4032</v>
      </c>
      <c r="L176" s="24" t="str">
        <f>VLOOKUP(A176,'Trips&amp;Operators'!$C$1:$E$10000,3,FALSE)</f>
        <v>OUN</v>
      </c>
      <c r="M176" s="6">
        <f t="shared" si="88"/>
        <v>1.1354166665114462E-2</v>
      </c>
      <c r="N176" s="7">
        <f t="shared" si="85"/>
        <v>16.349999997764826</v>
      </c>
      <c r="O176" s="7"/>
      <c r="P176" s="7"/>
      <c r="Q176" s="25"/>
      <c r="R176" s="25"/>
      <c r="S176" s="37">
        <f t="shared" si="89"/>
        <v>1</v>
      </c>
      <c r="T176" s="52" t="str">
        <f t="shared" si="90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13:06:13-0600',mode:absolute,to:'2016-09-17 15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6" s="54" t="str">
        <f t="shared" si="92"/>
        <v>N</v>
      </c>
      <c r="X176" s="168">
        <f t="shared" si="86"/>
        <v>1</v>
      </c>
      <c r="Y176" s="69">
        <f t="shared" si="93"/>
        <v>0.10879999999999999</v>
      </c>
      <c r="Z176" s="69">
        <f t="shared" si="94"/>
        <v>5.7599</v>
      </c>
      <c r="AA176" s="69">
        <f t="shared" si="95"/>
        <v>5.6511000000000005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6"/>
        <v>1817-17</v>
      </c>
      <c r="AE176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6" s="96" t="str">
        <f t="shared" si="98"/>
        <v>"C:\Program Files (x86)\AstroGrep\AstroGrep.exe" /spath="%USERPROFILE%\AppData\Local\Temp\OnboardLogs" /stypes="app*4031*20160917*" /stext=" 20:.+((SYSTEM_STATE.+slice.+state.+changed )|(ment ac)|(system.+state.+changed )|(\|lc)|(penalty)|(\[timeout)|(PRM\|1\|D)|(kpr)|(kdp))" /e /r /s</v>
      </c>
      <c r="AG176" s="1" t="str">
        <f t="shared" si="99"/>
        <v>NW</v>
      </c>
      <c r="AH176" s="100" t="str">
        <f t="shared" si="81"/>
        <v>"%USERPROFILE%\Documents\GitHub\eaglep3\Utilities\RefineRTDCRunTimes.py" --tripid 1817-17 --locoid 4031 --swversion DE.1.0.7.0 --startMP 204:1088 --initTime 2016-09-17T14:06:13 --startdatetime 2016-09-17T14:21:22 --delay 1 --endMP 300:57599 --enddatetime 2016-09-17T14:37:43 --enforcementcount 0 &gt;&gt;C:\Users\stu\Documents\GitHub\eaglep3-reporting\EC\2016-09-17-refined-times.txt</v>
      </c>
      <c r="AI17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{"issue":{"subject":"","project_id":79,"tracker_id":40,"status_id":1,"priority_id":2,"assigned_to_id":23,"start_date":"2016-09-17","description":"","custom_fields":[{"id":1,"name":"Subdivision","value":"NW"},{"id":4,"name":"Milepost","value":"5.7599"},{"id":17,"name":"Train ID","value":"1817-17"},{"id":16,"name":"Locomotive ID","value":"4031"},{"id":130,"name":"Impact","value":""},{"id":150,"name":"Time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517</v>
      </c>
      <c r="B177" s="7">
        <v>4032</v>
      </c>
      <c r="C177" s="24" t="s">
        <v>106</v>
      </c>
      <c r="D177" s="24" t="s">
        <v>672</v>
      </c>
      <c r="E177" s="15">
        <v>42630.616076388891</v>
      </c>
      <c r="F177" s="15">
        <v>42630.6171875</v>
      </c>
      <c r="G177" s="7">
        <v>1</v>
      </c>
      <c r="H177" s="15" t="s">
        <v>673</v>
      </c>
      <c r="I177" s="15">
        <v>42630.626747685186</v>
      </c>
      <c r="J177" s="7">
        <v>0</v>
      </c>
      <c r="K177" s="121" t="str">
        <f t="shared" si="87"/>
        <v>4031/4032</v>
      </c>
      <c r="L177" s="24" t="str">
        <f>VLOOKUP(A177,'Trips&amp;Operators'!$C$1:$E$10000,3,FALSE)</f>
        <v>OUN</v>
      </c>
      <c r="M177" s="6">
        <f t="shared" si="88"/>
        <v>9.560185186273884E-3</v>
      </c>
      <c r="N177" s="7">
        <f t="shared" si="85"/>
        <v>13.766666668234393</v>
      </c>
      <c r="O177" s="7"/>
      <c r="P177" s="7"/>
      <c r="Q177" s="25"/>
      <c r="R177" s="25"/>
      <c r="S177" s="37">
        <f t="shared" si="89"/>
        <v>1</v>
      </c>
      <c r="T177" s="52" t="str">
        <f t="shared" si="90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13:47:09-0600',mode:absolute,to:'2016-09-17 16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7" s="54" t="str">
        <f t="shared" si="92"/>
        <v>N</v>
      </c>
      <c r="X177" s="168">
        <f t="shared" si="86"/>
        <v>1</v>
      </c>
      <c r="Y177" s="69">
        <f t="shared" si="93"/>
        <v>5.7328999999999999</v>
      </c>
      <c r="Z177" s="69">
        <f t="shared" si="94"/>
        <v>6.8900000000000003E-2</v>
      </c>
      <c r="AA177" s="69">
        <f t="shared" si="95"/>
        <v>5.6639999999999997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6"/>
        <v>1818-17</v>
      </c>
      <c r="AE177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7" s="96" t="str">
        <f t="shared" si="98"/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7" s="1" t="str">
        <f t="shared" si="99"/>
        <v>NW</v>
      </c>
      <c r="AH177" s="100" t="str">
        <f t="shared" si="81"/>
        <v>"%USERPROFILE%\Documents\GitHub\eaglep3\Utilities\RefineRTDCRunTimes.py" --tripid 1818-17 --locoid 4032 --swversion DE.1.0.7.0 --startMP 300:57329 --initTime 2016-09-17T14:47:09 --startdatetime 2016-09-17T14:48:45 --delay 1 --endMP 204:689 --enddatetime 2016-09-17T15:02:31 --enforcementcount 0 &gt;&gt;C:\Users\stu\Documents\GitHub\eaglep3-reporting\EC\2016-09-17-refined-times.txt</v>
      </c>
      <c r="AI17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{"issue":{"subject":"","project_id":79,"tracker_id":40,"status_id":1,"priority_id":2,"assigned_to_id":23,"start_date":"2016-09-17","description":"","custom_fields":[{"id":1,"name":"Subdivision","value":"NW"},{"id":4,"name":"Milepost","value":"0.0689"},{"id":17,"name":"Train ID","value":"1818-17"},{"id":16,"name":"Locomotive ID","value":"4032"},{"id":130,"name":"Impact","value":""},{"id":150,"name":"Time of Event (Mountain Time)","value":"15:02:31"},{"id":151,"name":"Denver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522</v>
      </c>
      <c r="B178" s="7">
        <v>4031</v>
      </c>
      <c r="C178" s="24" t="s">
        <v>106</v>
      </c>
      <c r="D178" s="24" t="s">
        <v>388</v>
      </c>
      <c r="E178" s="15">
        <v>42630.632708333331</v>
      </c>
      <c r="F178" s="15">
        <v>42630.639791666668</v>
      </c>
      <c r="G178" s="7">
        <v>1</v>
      </c>
      <c r="H178" s="15" t="s">
        <v>659</v>
      </c>
      <c r="I178" s="15">
        <v>42630.649537037039</v>
      </c>
      <c r="J178" s="7">
        <v>0</v>
      </c>
      <c r="K178" s="121" t="str">
        <f t="shared" si="87"/>
        <v>4031/4032</v>
      </c>
      <c r="L178" s="24" t="str">
        <f>VLOOKUP(A178,'Trips&amp;Operators'!$C$1:$E$10000,3,FALSE)</f>
        <v>OUN</v>
      </c>
      <c r="M178" s="6">
        <f t="shared" si="88"/>
        <v>9.7453703710925765E-3</v>
      </c>
      <c r="N178" s="7">
        <f t="shared" si="85"/>
        <v>14.03333333437331</v>
      </c>
      <c r="O178" s="7"/>
      <c r="P178" s="7"/>
      <c r="Q178" s="25"/>
      <c r="R178" s="25"/>
      <c r="S178" s="37">
        <f t="shared" si="89"/>
        <v>1</v>
      </c>
      <c r="T178" s="52" t="str">
        <f t="shared" si="90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14:11:06-0600',mode:absolute,to:'2016-09-17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8" s="54" t="str">
        <f t="shared" si="92"/>
        <v>N</v>
      </c>
      <c r="X178" s="168">
        <f t="shared" si="86"/>
        <v>1</v>
      </c>
      <c r="Y178" s="69">
        <f t="shared" si="93"/>
        <v>9.5699999999999993E-2</v>
      </c>
      <c r="Z178" s="69">
        <f t="shared" si="94"/>
        <v>5.8933</v>
      </c>
      <c r="AA178" s="69">
        <f t="shared" si="95"/>
        <v>5.7976000000000001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6"/>
        <v>1819-17</v>
      </c>
      <c r="AE178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8" s="96" t="str">
        <f t="shared" si="98"/>
        <v>"C:\Program Files (x86)\AstroGrep\AstroGrep.exe" /spath="%USERPROFILE%\AppData\Local\Temp\OnboardLogs" /stypes="app*4031*20160917*" /stext=" 21:.+((SYSTEM_STATE.+slice.+state.+changed )|(ment ac)|(system.+state.+changed )|(\|lc)|(penalty)|(\[timeout)|(PRM\|1\|D)|(kpr)|(kdp))" /e /r /s</v>
      </c>
      <c r="AG178" s="1" t="str">
        <f t="shared" si="99"/>
        <v>NW</v>
      </c>
      <c r="AH178" s="100" t="str">
        <f t="shared" si="81"/>
        <v>"%USERPROFILE%\Documents\GitHub\eaglep3\Utilities\RefineRTDCRunTimes.py" --tripid 1819-17 --locoid 4031 --swversion DE.1.0.7.0 --startMP 204:957 --initTime 2016-09-17T15:11:06 --startdatetime 2016-09-17T15:21:18 --delay 1 --endMP 300:58933 --enddatetime 2016-09-17T15:35:20 --enforcementcount 0 &gt;&gt;C:\Users\stu\Documents\GitHub\eaglep3-reporting\EC\2016-09-17-refined-times.txt</v>
      </c>
      <c r="AI17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ID","value":"1819-17"},{"id":16,"name":"Locomotive ID","value":"4031"},{"id":130,"name":"Impact","value":""},{"id":150,"name":"Time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526</v>
      </c>
      <c r="B179" s="7">
        <v>4032</v>
      </c>
      <c r="C179" s="24" t="s">
        <v>106</v>
      </c>
      <c r="D179" s="24" t="s">
        <v>313</v>
      </c>
      <c r="E179" s="15">
        <v>42630.650787037041</v>
      </c>
      <c r="F179" s="15">
        <v>42630.652129629627</v>
      </c>
      <c r="G179" s="7">
        <v>1</v>
      </c>
      <c r="H179" s="15" t="s">
        <v>674</v>
      </c>
      <c r="I179" s="15">
        <v>42630.663043981483</v>
      </c>
      <c r="J179" s="7">
        <v>0</v>
      </c>
      <c r="K179" s="121" t="str">
        <f t="shared" si="87"/>
        <v>4031/4032</v>
      </c>
      <c r="L179" s="24" t="str">
        <f>VLOOKUP(A179,'Trips&amp;Operators'!$C$1:$E$10000,3,FALSE)</f>
        <v>OUN</v>
      </c>
      <c r="M179" s="6">
        <f t="shared" si="88"/>
        <v>1.0914351856627036E-2</v>
      </c>
      <c r="N179" s="7">
        <f t="shared" si="85"/>
        <v>15.716666673542932</v>
      </c>
      <c r="O179" s="7"/>
      <c r="P179" s="7"/>
      <c r="Q179" s="25"/>
      <c r="R179" s="25"/>
      <c r="S179" s="37">
        <f t="shared" si="89"/>
        <v>1</v>
      </c>
      <c r="T179" s="52" t="str">
        <f t="shared" si="90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9" s="54" t="str">
        <f t="shared" si="92"/>
        <v>N</v>
      </c>
      <c r="X179" s="168">
        <f t="shared" si="86"/>
        <v>1</v>
      </c>
      <c r="Y179" s="69">
        <f t="shared" si="93"/>
        <v>5.8613</v>
      </c>
      <c r="Z179" s="69">
        <f t="shared" si="94"/>
        <v>7.6799999999999993E-2</v>
      </c>
      <c r="AA179" s="69">
        <f t="shared" si="95"/>
        <v>5.7844999999999995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6"/>
        <v>1820-17</v>
      </c>
      <c r="AE179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9" s="96" t="str">
        <f t="shared" si="98"/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9" s="1" t="str">
        <f t="shared" si="99"/>
        <v>NW</v>
      </c>
      <c r="AH179" s="100" t="str">
        <f t="shared" si="81"/>
        <v>"%USERPROFILE%\Documents\GitHub\eaglep3\Utilities\RefineRTDCRunTimes.py" --tripid 1820-17 --locoid 4032 --swversion DE.1.0.7.0 --startMP 300:58613 --initTime 2016-09-17T15:37:08 --startdatetime 2016-09-17T15:39:04 --delay 1 --endMP 204:768 --enddatetime 2016-09-17T15:54:47 --enforcementcount 0 &gt;&gt;C:\Users\stu\Documents\GitHub\eaglep3-reporting\EC\2016-09-17-refined-times.txt</v>
      </c>
      <c r="AI17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{"issue":{"subject":"","project_id":79,"tracker_id":40,"status_id":1,"priority_id":2,"assigned_to_id":23,"start_date":"2016-09-17","description":"","custom_fields":[{"id":1,"name":"Subdivision","value":"NW"},{"id":4,"name":"Milepost","value":"0.0768"},{"id":17,"name":"Train ID","value":"1820-17"},{"id":16,"name":"Locomotive ID","value":"4032"},{"id":130,"name":"Impact","value":""},{"id":150,"name":"Time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532</v>
      </c>
      <c r="B180" s="7">
        <v>4031</v>
      </c>
      <c r="C180" s="24" t="s">
        <v>106</v>
      </c>
      <c r="D180" s="24" t="s">
        <v>675</v>
      </c>
      <c r="E180" s="15">
        <v>42630.67633101852</v>
      </c>
      <c r="F180" s="15">
        <v>42630.681516203702</v>
      </c>
      <c r="G180" s="7">
        <v>1</v>
      </c>
      <c r="H180" s="15" t="s">
        <v>676</v>
      </c>
      <c r="I180" s="15">
        <v>42630.69127314815</v>
      </c>
      <c r="J180" s="7">
        <v>0</v>
      </c>
      <c r="K180" s="121" t="str">
        <f t="shared" si="87"/>
        <v>4031/4032</v>
      </c>
      <c r="L180" s="24" t="str">
        <f>VLOOKUP(A180,'Trips&amp;Operators'!$C$1:$E$10000,3,FALSE)</f>
        <v>OUN</v>
      </c>
      <c r="M180" s="6">
        <f t="shared" si="88"/>
        <v>9.7569444478722289E-3</v>
      </c>
      <c r="N180" s="7">
        <f t="shared" si="85"/>
        <v>14.05000000493601</v>
      </c>
      <c r="O180" s="7"/>
      <c r="P180" s="7"/>
      <c r="Q180" s="25"/>
      <c r="R180" s="25"/>
      <c r="S180" s="37">
        <f t="shared" si="89"/>
        <v>1</v>
      </c>
      <c r="T180" s="52" t="str">
        <f t="shared" si="90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0" s="54" t="str">
        <f t="shared" si="92"/>
        <v>N</v>
      </c>
      <c r="X180" s="168">
        <f t="shared" si="86"/>
        <v>1</v>
      </c>
      <c r="Y180" s="69">
        <f t="shared" si="93"/>
        <v>0.1056</v>
      </c>
      <c r="Z180" s="69">
        <f t="shared" si="94"/>
        <v>5.8901000000000003</v>
      </c>
      <c r="AA180" s="69">
        <f t="shared" si="95"/>
        <v>5.7845000000000004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6"/>
        <v>1821-17</v>
      </c>
      <c r="AE180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0" s="96" t="str">
        <f t="shared" si="98"/>
        <v>"C:\Program Files (x86)\AstroGrep\AstroGrep.exe" /spath="%USERPROFILE%\AppData\Local\Temp\OnboardLogs" /stypes="app*4031*20160917*" /stext=" 22:.+((SYSTEM_STATE.+slice.+state.+changed )|(ment ac)|(system.+state.+changed )|(\|lc)|(penalty)|(\[timeout)|(PRM\|1\|D)|(kpr)|(kdp))" /e /r /s</v>
      </c>
      <c r="AG180" s="1" t="str">
        <f t="shared" si="99"/>
        <v>NW</v>
      </c>
      <c r="AH180" s="100" t="str">
        <f t="shared" si="81"/>
        <v>"%USERPROFILE%\Documents\GitHub\eaglep3\Utilities\RefineRTDCRunTimes.py" --tripid 1821-17 --locoid 4031 --swversion DE.1.0.7.0 --startMP 204:1056 --initTime 2016-09-17T16:13:55 --startdatetime 2016-09-17T16:21:23 --delay 1 --endMP 300:58901 --enddatetime 2016-09-17T16:35:26 --enforcementcount 0 &gt;&gt;C:\Users\stu\Documents\GitHub\eaglep3-reporting\EC\2016-09-17-refined-times.txt</v>
      </c>
      <c r="AI18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{"issue":{"subject":"","project_id":79,"tracker_id":40,"status_id":1,"priority_id":2,"assigned_to_id":23,"start_date":"2016-09-17","description":"","custom_fields":[{"id":1,"name":"Subdivision","value":"NW"},{"id":4,"name":"Milepost","value":"5.8901"},{"id":17,"name":"Train ID","value":"1821-17"},{"id":16,"name":"Locomotive ID","value":"4031"},{"id":130,"name":"Impact","value":""},{"id":150,"name":"Time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536</v>
      </c>
      <c r="B181" s="7">
        <v>4032</v>
      </c>
      <c r="C181" s="24" t="s">
        <v>106</v>
      </c>
      <c r="D181" s="24" t="s">
        <v>677</v>
      </c>
      <c r="E181" s="15">
        <v>42630.692696759259</v>
      </c>
      <c r="F181" s="15">
        <v>42630.693865740737</v>
      </c>
      <c r="G181" s="7">
        <v>1</v>
      </c>
      <c r="H181" s="15" t="s">
        <v>385</v>
      </c>
      <c r="I181" s="15">
        <v>42630.704814814817</v>
      </c>
      <c r="J181" s="7">
        <v>0</v>
      </c>
      <c r="K181" s="121" t="str">
        <f t="shared" si="87"/>
        <v>4031/4032</v>
      </c>
      <c r="L181" s="24" t="str">
        <f>VLOOKUP(A181,'Trips&amp;Operators'!$C$1:$E$10000,3,FALSE)</f>
        <v>OUN</v>
      </c>
      <c r="M181" s="6">
        <f t="shared" si="88"/>
        <v>1.0949074079690035E-2</v>
      </c>
      <c r="N181" s="7">
        <f t="shared" si="85"/>
        <v>15.766666674753651</v>
      </c>
      <c r="O181" s="7"/>
      <c r="P181" s="7"/>
      <c r="Q181" s="25"/>
      <c r="R181" s="25"/>
      <c r="S181" s="37">
        <f t="shared" si="89"/>
        <v>1</v>
      </c>
      <c r="T181" s="52" t="str">
        <f t="shared" si="90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15:37:29-0600',mode:absolute,to:'2016-09-17 17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1" s="54" t="str">
        <f t="shared" si="92"/>
        <v>N</v>
      </c>
      <c r="X181" s="168">
        <f t="shared" si="86"/>
        <v>1</v>
      </c>
      <c r="Y181" s="69">
        <f t="shared" si="93"/>
        <v>5.8596000000000004</v>
      </c>
      <c r="Z181" s="69">
        <f t="shared" si="94"/>
        <v>6.59E-2</v>
      </c>
      <c r="AA181" s="69">
        <f t="shared" si="95"/>
        <v>5.7937000000000003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6"/>
        <v>1822-17</v>
      </c>
      <c r="AE181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1" s="96" t="str">
        <f t="shared" si="98"/>
        <v>"C:\Program Files (x86)\AstroGrep\AstroGrep.exe" /spath="%USERPROFILE%\AppData\Local\Temp\OnboardLogs" /stypes="app*4032*20160917*" /stext=" 22:.+((SYSTEM_STATE.+slice.+state.+changed )|(ment ac)|(system.+state.+changed )|(\|lc)|(penalty)|(\[timeout)|(PRM\|1\|D)|(kpr)|(kdp))" /e /r /s</v>
      </c>
      <c r="AG181" s="1" t="str">
        <f t="shared" si="99"/>
        <v>NW</v>
      </c>
      <c r="AH181" s="100" t="str">
        <f t="shared" si="81"/>
        <v>"%USERPROFILE%\Documents\GitHub\eaglep3\Utilities\RefineRTDCRunTimes.py" --tripid 1822-17 --locoid 4032 --swversion DE.1.0.7.0 --startMP 300:58596 --initTime 2016-09-17T16:37:29 --startdatetime 2016-09-17T16:39:10 --delay 1 --endMP 204:659 --enddatetime 2016-09-17T16:54:56 --enforcementcount 0 &gt;&gt;C:\Users\stu\Documents\GitHub\eaglep3-reporting\EC\2016-09-17-refined-times.txt</v>
      </c>
      <c r="AI18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ID","value":"1822-17"},{"id":16,"name":"Locomotive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543</v>
      </c>
      <c r="B182" s="7">
        <v>4031</v>
      </c>
      <c r="C182" s="24" t="s">
        <v>106</v>
      </c>
      <c r="D182" s="24" t="s">
        <v>678</v>
      </c>
      <c r="E182" s="15">
        <v>42630.718900462962</v>
      </c>
      <c r="F182" s="15">
        <v>42630.723252314812</v>
      </c>
      <c r="G182" s="7">
        <v>1</v>
      </c>
      <c r="H182" s="15" t="s">
        <v>389</v>
      </c>
      <c r="I182" s="15">
        <v>42630.732638888891</v>
      </c>
      <c r="J182" s="7">
        <v>0</v>
      </c>
      <c r="K182" s="121" t="str">
        <f t="shared" si="87"/>
        <v>4031/4032</v>
      </c>
      <c r="L182" s="24" t="str">
        <f>VLOOKUP(A182,'Trips&amp;Operators'!$C$1:$E$10000,3,FALSE)</f>
        <v>OUN</v>
      </c>
      <c r="M182" s="6">
        <f t="shared" si="88"/>
        <v>9.3865740782348439E-3</v>
      </c>
      <c r="N182" s="7">
        <f t="shared" si="85"/>
        <v>13.516666672658175</v>
      </c>
      <c r="O182" s="7"/>
      <c r="P182" s="7"/>
      <c r="Q182" s="25"/>
      <c r="R182" s="25"/>
      <c r="S182" s="37">
        <f t="shared" si="89"/>
        <v>1</v>
      </c>
      <c r="T182" s="52" t="str">
        <f t="shared" si="90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16:15:13-0600',mode:absolute,to:'2016-09-17 18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2" s="54" t="str">
        <f t="shared" si="92"/>
        <v>N</v>
      </c>
      <c r="X182" s="168">
        <f t="shared" si="86"/>
        <v>1</v>
      </c>
      <c r="Y182" s="69">
        <f t="shared" si="93"/>
        <v>9.5500000000000002E-2</v>
      </c>
      <c r="Z182" s="69">
        <f t="shared" si="94"/>
        <v>5.8936999999999999</v>
      </c>
      <c r="AA182" s="69">
        <f t="shared" si="95"/>
        <v>5.7981999999999996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6"/>
        <v>1823-17</v>
      </c>
      <c r="AE182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2" s="96" t="str">
        <f t="shared" si="98"/>
        <v>"C:\Program Files (x86)\AstroGrep\AstroGrep.exe" /spath="%USERPROFILE%\AppData\Local\Temp\OnboardLogs" /stypes="app*4031*20160917*" /stext=" 23:.+((SYSTEM_STATE.+slice.+state.+changed )|(ment ac)|(system.+state.+changed )|(\|lc)|(penalty)|(\[timeout)|(PRM\|1\|D)|(kpr)|(kdp))" /e /r /s</v>
      </c>
      <c r="AG182" s="1" t="str">
        <f t="shared" si="99"/>
        <v>NW</v>
      </c>
      <c r="AH182" s="100" t="str">
        <f t="shared" si="81"/>
        <v>"%USERPROFILE%\Documents\GitHub\eaglep3\Utilities\RefineRTDCRunTimes.py" --tripid 1823-17 --locoid 4031 --swversion DE.1.0.7.0 --startMP 204:955 --initTime 2016-09-17T17:15:13 --startdatetime 2016-09-17T17:21:29 --delay 1 --endMP 300:58937 --enddatetime 2016-09-17T17:35:00 --enforcementcount 0 &gt;&gt;C:\Users\stu\Documents\GitHub\eaglep3-reporting\EC\2016-09-17-refined-times.txt</v>
      </c>
      <c r="AI18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{"issue":{"subject":"","project_id":79,"tracker_id":40,"status_id":1,"priority_id":2,"assigned_to_id":23,"start_date":"2016-09-17","description":"","custom_fields":[{"id":1,"name":"Subdivision","value":"NW"},{"id":4,"name":"Milepost","value":"5.8937"},{"id":17,"name":"Train ID","value":"1823-17"},{"id":16,"name":"Locomotive ID","value":"4031"},{"id":130,"name":"Impact","value":""},{"id":150,"name":"Time of Event (Mountain Time)","value":"17:35:00"},{"id":151,"name":"Denver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546</v>
      </c>
      <c r="B183" s="7">
        <v>4032</v>
      </c>
      <c r="C183" s="24" t="s">
        <v>106</v>
      </c>
      <c r="D183" s="24" t="s">
        <v>656</v>
      </c>
      <c r="E183" s="15">
        <v>42630.7343287037</v>
      </c>
      <c r="F183" s="15">
        <v>42630.735833333332</v>
      </c>
      <c r="G183" s="7">
        <v>1</v>
      </c>
      <c r="H183" s="15" t="s">
        <v>679</v>
      </c>
      <c r="I183" s="15">
        <v>42630.746493055558</v>
      </c>
      <c r="J183" s="7">
        <v>0</v>
      </c>
      <c r="K183" s="121" t="str">
        <f t="shared" si="87"/>
        <v>4031/4032</v>
      </c>
      <c r="L183" s="24" t="str">
        <f>VLOOKUP(A183,'Trips&amp;Operators'!$C$1:$E$10000,3,FALSE)</f>
        <v>OUN</v>
      </c>
      <c r="M183" s="6">
        <f t="shared" si="88"/>
        <v>1.0659722225682344E-2</v>
      </c>
      <c r="N183" s="7">
        <f t="shared" si="85"/>
        <v>15.350000004982576</v>
      </c>
      <c r="O183" s="7"/>
      <c r="P183" s="7"/>
      <c r="Q183" s="25"/>
      <c r="R183" s="25"/>
      <c r="S183" s="37">
        <f t="shared" si="89"/>
        <v>1</v>
      </c>
      <c r="T183" s="52" t="str">
        <f t="shared" si="90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16:37:26-0600',mode:absolute,to:'2016-09-17 18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3" s="54" t="str">
        <f t="shared" si="92"/>
        <v>N</v>
      </c>
      <c r="X183" s="168">
        <f t="shared" si="86"/>
        <v>1</v>
      </c>
      <c r="Y183" s="69">
        <f t="shared" si="93"/>
        <v>5.8619000000000003</v>
      </c>
      <c r="Z183" s="69">
        <f t="shared" si="94"/>
        <v>6.6100000000000006E-2</v>
      </c>
      <c r="AA183" s="69">
        <f t="shared" si="95"/>
        <v>5.7958000000000007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6"/>
        <v>1824-17</v>
      </c>
      <c r="AE183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3" s="96" t="str">
        <f t="shared" si="98"/>
        <v>"C:\Program Files (x86)\AstroGrep\AstroGrep.exe" /spath="%USERPROFILE%\AppData\Local\Temp\OnboardLogs" /stypes="app*4032*20160917*" /stext=" 23:.+((SYSTEM_STATE.+slice.+state.+changed )|(ment ac)|(system.+state.+changed )|(\|lc)|(penalty)|(\[timeout)|(PRM\|1\|D)|(kpr)|(kdp))" /e /r /s</v>
      </c>
      <c r="AG183" s="1" t="str">
        <f t="shared" si="99"/>
        <v>NW</v>
      </c>
      <c r="AH183" s="100" t="str">
        <f t="shared" si="81"/>
        <v>"%USERPROFILE%\Documents\GitHub\eaglep3\Utilities\RefineRTDCRunTimes.py" --tripid 1824-17 --locoid 4032 --swversion DE.1.0.7.0 --startMP 300:58619 --initTime 2016-09-17T17:37:26 --startdatetime 2016-09-17T17:39:36 --delay 1 --endMP 204:661 --enddatetime 2016-09-17T17:54:57 --enforcementcount 0 &gt;&gt;C:\Users\stu\Documents\GitHub\eaglep3-reporting\EC\2016-09-17-refined-times.txt</v>
      </c>
      <c r="AI18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{"issue":{"subject":"","project_id":79,"tracker_id":40,"status_id":1,"priority_id":2,"assigned_to_id":23,"start_date":"2016-09-17","description":"","custom_fields":[{"id":1,"name":"Subdivision","value":"NW"},{"id":4,"name":"Milepost","value":"0.0661"},{"id":17,"name":"Train ID","value":"1824-17"},{"id":16,"name":"Locomotive ID","value":"4032"},{"id":130,"name":"Impact","value":""},{"id":150,"name":"Time of Event (Mountain Time)","value":"17:54:57"},{"id":151,"name":"Denver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555</v>
      </c>
      <c r="B184" s="7">
        <v>4031</v>
      </c>
      <c r="C184" s="24" t="s">
        <v>106</v>
      </c>
      <c r="D184" s="24" t="s">
        <v>386</v>
      </c>
      <c r="E184" s="15">
        <v>42630.761099537034</v>
      </c>
      <c r="F184" s="15">
        <v>42630.764814814815</v>
      </c>
      <c r="G184" s="7">
        <v>1</v>
      </c>
      <c r="H184" s="15" t="s">
        <v>287</v>
      </c>
      <c r="I184" s="15">
        <v>42630.774756944447</v>
      </c>
      <c r="J184" s="7">
        <v>0</v>
      </c>
      <c r="K184" s="121" t="str">
        <f t="shared" si="87"/>
        <v>4031/4032</v>
      </c>
      <c r="L184" s="24" t="str">
        <f>VLOOKUP(A184,'Trips&amp;Operators'!$C$1:$E$10000,3,FALSE)</f>
        <v>OUN</v>
      </c>
      <c r="M184" s="6">
        <f t="shared" si="88"/>
        <v>9.9421296326909214E-3</v>
      </c>
      <c r="N184" s="7">
        <f t="shared" si="85"/>
        <v>14.316666671074927</v>
      </c>
      <c r="O184" s="7"/>
      <c r="P184" s="7"/>
      <c r="Q184" s="25"/>
      <c r="R184" s="25"/>
      <c r="S184" s="37">
        <f t="shared" si="89"/>
        <v>1</v>
      </c>
      <c r="T184" s="52" t="str">
        <f t="shared" si="90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4" s="54" t="str">
        <f t="shared" si="92"/>
        <v>N</v>
      </c>
      <c r="X184" s="168">
        <f t="shared" si="86"/>
        <v>1</v>
      </c>
      <c r="Y184" s="69">
        <f t="shared" si="93"/>
        <v>9.5299999999999996E-2</v>
      </c>
      <c r="Z184" s="69">
        <f t="shared" si="94"/>
        <v>5.8943000000000003</v>
      </c>
      <c r="AA184" s="69">
        <f t="shared" si="95"/>
        <v>5.7990000000000004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6"/>
        <v>1825-17</v>
      </c>
      <c r="AE184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4" s="96" t="str">
        <f t="shared" si="98"/>
        <v>"C:\Program Files (x86)\AstroGrep\AstroGrep.exe" /spath="%USERPROFILE%\AppData\Local\Temp\OnboardLogs" /stypes="app*4031*20160918*" /stext=" 00:.+((SYSTEM_STATE.+slice.+state.+changed )|(ment ac)|(system.+state.+changed )|(\|lc)|(penalty)|(\[timeout)|(PRM\|1\|D)|(kpr)|(kdp))" /e /r /s</v>
      </c>
      <c r="AG184" s="1" t="str">
        <f t="shared" si="99"/>
        <v>NW</v>
      </c>
      <c r="AH184" s="100" t="str">
        <f t="shared" si="81"/>
        <v>"%USERPROFILE%\Documents\GitHub\eaglep3\Utilities\RefineRTDCRunTimes.py" --tripid 1825-17 --locoid 4031 --swversion DE.1.0.7.0 --startMP 204:953 --initTime 2016-09-17T18:15:59 --startdatetime 2016-09-17T18:21:20 --delay 1 --endMP 300:58943 --enddatetime 2016-09-17T18:35:39 --enforcementcount 0 &gt;&gt;C:\Users\stu\Documents\GitHub\eaglep3-reporting\EC\2016-09-17-refined-times.txt</v>
      </c>
      <c r="AI18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{"issue":{"subject":"","project_id":79,"tracker_id":40,"status_id":1,"priority_id":2,"assigned_to_id":23,"start_date":"2016-09-17","description":"","custom_fields":[{"id":1,"name":"Subdivision","value":"NW"},{"id":4,"name":"Milepost","value":"5.8943"},{"id":17,"name":"Train ID","value":"1825-17"},{"id":16,"name":"Locomotive ID","value":"4031"},{"id":130,"name":"Impact","value":""},{"id":150,"name":"Time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560</v>
      </c>
      <c r="B185" s="7">
        <v>4032</v>
      </c>
      <c r="C185" s="24" t="s">
        <v>106</v>
      </c>
      <c r="D185" s="24" t="s">
        <v>680</v>
      </c>
      <c r="E185" s="15">
        <v>42630.77615740741</v>
      </c>
      <c r="F185" s="15">
        <v>42630.777291666665</v>
      </c>
      <c r="G185" s="7">
        <v>0</v>
      </c>
      <c r="H185" s="15" t="s">
        <v>385</v>
      </c>
      <c r="I185" s="15">
        <v>42630.790775462963</v>
      </c>
      <c r="J185" s="7">
        <v>0</v>
      </c>
      <c r="K185" s="121" t="str">
        <f t="shared" si="87"/>
        <v>4031/4032</v>
      </c>
      <c r="L185" s="24" t="str">
        <f>VLOOKUP(A185,'Trips&amp;Operators'!$C$1:$E$10000,3,FALSE)</f>
        <v>OUN</v>
      </c>
      <c r="M185" s="6">
        <f t="shared" si="88"/>
        <v>1.3483796297805384E-2</v>
      </c>
      <c r="N185" s="7">
        <f t="shared" si="85"/>
        <v>19.416666668839753</v>
      </c>
      <c r="O185" s="7"/>
      <c r="P185" s="7"/>
      <c r="Q185" s="25"/>
      <c r="R185" s="25"/>
      <c r="S185" s="37">
        <f t="shared" si="89"/>
        <v>1</v>
      </c>
      <c r="T185" s="52" t="str">
        <f t="shared" si="90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5" s="54" t="str">
        <f t="shared" si="92"/>
        <v>N</v>
      </c>
      <c r="X185" s="168">
        <f t="shared" si="86"/>
        <v>1</v>
      </c>
      <c r="Y185" s="69">
        <f t="shared" si="93"/>
        <v>5.8625999999999996</v>
      </c>
      <c r="Z185" s="69">
        <f t="shared" si="94"/>
        <v>6.59E-2</v>
      </c>
      <c r="AA185" s="69">
        <f t="shared" si="95"/>
        <v>5.7966999999999995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6"/>
        <v>1826-17</v>
      </c>
      <c r="AE185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5" s="96" t="str">
        <f t="shared" si="98"/>
        <v>"C:\Program Files (x86)\AstroGrep\AstroGrep.exe" /spath="%USERPROFILE%\AppData\Local\Temp\OnboardLogs" /stypes="app*4032*20160918*" /stext=" 00:.+((SYSTEM_STATE.+slice.+state.+changed )|(ment ac)|(system.+state.+changed )|(\|lc)|(penalty)|(\[timeout)|(PRM\|1\|D)|(kpr)|(kdp))" /e /r /s</v>
      </c>
      <c r="AG185" s="1" t="str">
        <f t="shared" si="99"/>
        <v>NW</v>
      </c>
      <c r="AH185" s="100" t="str">
        <f t="shared" si="81"/>
        <v>"%USERPROFILE%\Documents\GitHub\eaglep3\Utilities\RefineRTDCRunTimes.py" --tripid 1826-17 --locoid 4032 --swversion DE.1.0.7.0 --startMP 300:58626 --initTime 2016-09-17T18:37:40 --startdatetime 2016-09-17T18:39:18 --delay 0 --endMP 204:659 --enddatetime 2016-09-17T18:58:43 --enforcementcount 0 &gt;&gt;C:\Users\stu\Documents\GitHub\eaglep3-reporting\EC\2016-09-17-refined-times.txt</v>
      </c>
      <c r="AI18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ID","value":"1826-17"},{"id":16,"name":"Locomotive ID","value":"4032"},{"id":130,"name":"Impact","value":""},{"id":150,"name":"Time of Event (Mountain Time)","value":"18:58:43"},{"id":151,"name":"Denver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567</v>
      </c>
      <c r="B186" s="7">
        <v>4031</v>
      </c>
      <c r="C186" s="24" t="s">
        <v>106</v>
      </c>
      <c r="D186" s="24" t="s">
        <v>681</v>
      </c>
      <c r="E186" s="15">
        <v>42630.803726851853</v>
      </c>
      <c r="F186" s="15">
        <v>42630.806481481479</v>
      </c>
      <c r="G186" s="7">
        <v>1</v>
      </c>
      <c r="H186" s="15" t="s">
        <v>682</v>
      </c>
      <c r="I186" s="15">
        <v>42630.816863425927</v>
      </c>
      <c r="J186" s="7">
        <v>0</v>
      </c>
      <c r="K186" s="121" t="str">
        <f t="shared" si="87"/>
        <v>4031/4032</v>
      </c>
      <c r="L186" s="24" t="str">
        <f>VLOOKUP(A186,'Trips&amp;Operators'!$C$1:$E$10000,3,FALSE)</f>
        <v>OUN</v>
      </c>
      <c r="M186" s="6">
        <f t="shared" si="88"/>
        <v>1.0381944448454306E-2</v>
      </c>
      <c r="N186" s="7">
        <f t="shared" si="85"/>
        <v>14.9500000057742</v>
      </c>
      <c r="O186" s="7"/>
      <c r="P186" s="7"/>
      <c r="Q186" s="25"/>
      <c r="R186" s="25"/>
      <c r="S186" s="37">
        <f t="shared" si="89"/>
        <v>1</v>
      </c>
      <c r="T186" s="52" t="str">
        <f t="shared" si="90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18:17:22-0600',mode:absolute,to:'2016-09-17 20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6" s="54" t="str">
        <f t="shared" si="92"/>
        <v>N</v>
      </c>
      <c r="X186" s="168">
        <f t="shared" si="86"/>
        <v>1</v>
      </c>
      <c r="Y186" s="69">
        <f t="shared" si="93"/>
        <v>9.4299999999999995E-2</v>
      </c>
      <c r="Z186" s="69">
        <f t="shared" si="94"/>
        <v>5.8930999999999996</v>
      </c>
      <c r="AA186" s="69">
        <f t="shared" si="95"/>
        <v>5.7988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6"/>
        <v>1827-17</v>
      </c>
      <c r="AE186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6" s="96" t="str">
        <f t="shared" si="98"/>
        <v>"C:\Program Files (x86)\AstroGrep\AstroGrep.exe" /spath="%USERPROFILE%\AppData\Local\Temp\OnboardLogs" /stypes="app*4031*20160918*" /stext=" 01:.+((SYSTEM_STATE.+slice.+state.+changed )|(ment ac)|(system.+state.+changed )|(\|lc)|(penalty)|(\[timeout)|(PRM\|1\|D)|(kpr)|(kdp))" /e /r /s</v>
      </c>
      <c r="AG186" s="1" t="str">
        <f t="shared" si="99"/>
        <v>NW</v>
      </c>
      <c r="AH186" s="100" t="str">
        <f t="shared" si="81"/>
        <v>"%USERPROFILE%\Documents\GitHub\eaglep3\Utilities\RefineRTDCRunTimes.py" --tripid 1827-17 --locoid 4031 --swversion DE.1.0.7.0 --startMP 204:943 --initTime 2016-09-17T19:17:22 --startdatetime 2016-09-17T19:21:20 --delay 1 --endMP 300:58931 --enddatetime 2016-09-17T19:36:17 --enforcementcount 0 &gt;&gt;C:\Users\stu\Documents\GitHub\eaglep3-reporting\EC\2016-09-17-refined-times.txt</v>
      </c>
      <c r="AI18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{"issue":{"subject":"","project_id":79,"tracker_id":40,"status_id":1,"priority_id":2,"assigned_to_id":23,"start_date":"2016-09-17","description":"","custom_fields":[{"id":1,"name":"Subdivision","value":"NW"},{"id":4,"name":"Milepost","value":"5.8931"},{"id":17,"name":"Train ID","value":"1827-17"},{"id":16,"name":"Locomotive ID","value":"4031"},{"id":130,"name":"Impact","value":""},{"id":150,"name":"Time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570</v>
      </c>
      <c r="B187" s="7">
        <v>4032</v>
      </c>
      <c r="C187" s="24" t="s">
        <v>106</v>
      </c>
      <c r="D187" s="24" t="s">
        <v>266</v>
      </c>
      <c r="E187" s="15">
        <v>42630.817986111113</v>
      </c>
      <c r="F187" s="15">
        <v>42630.820104166669</v>
      </c>
      <c r="G187" s="7">
        <v>1</v>
      </c>
      <c r="H187" s="15" t="s">
        <v>683</v>
      </c>
      <c r="I187" s="15">
        <v>42630.832511574074</v>
      </c>
      <c r="J187" s="7">
        <v>0</v>
      </c>
      <c r="K187" s="121" t="str">
        <f t="shared" si="87"/>
        <v>4031/4032</v>
      </c>
      <c r="L187" s="24" t="str">
        <f>VLOOKUP(A187,'Trips&amp;Operators'!$C$1:$E$10000,3,FALSE)</f>
        <v>OUN</v>
      </c>
      <c r="M187" s="6">
        <f t="shared" si="88"/>
        <v>1.2407407404680271E-2</v>
      </c>
      <c r="N187" s="7">
        <f t="shared" si="85"/>
        <v>17.86666666273959</v>
      </c>
      <c r="O187" s="7"/>
      <c r="P187" s="7"/>
      <c r="Q187" s="25"/>
      <c r="R187" s="25"/>
      <c r="S187" s="37">
        <f t="shared" si="89"/>
        <v>1</v>
      </c>
      <c r="T187" s="52" t="str">
        <f t="shared" si="90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7" s="54" t="str">
        <f t="shared" si="92"/>
        <v>N</v>
      </c>
      <c r="X187" s="168">
        <f t="shared" si="86"/>
        <v>1</v>
      </c>
      <c r="Y187" s="69">
        <f t="shared" si="93"/>
        <v>5.8616999999999999</v>
      </c>
      <c r="Z187" s="69">
        <f t="shared" si="94"/>
        <v>6.5199999999999994E-2</v>
      </c>
      <c r="AA187" s="69">
        <f t="shared" si="95"/>
        <v>5.7965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6"/>
        <v>1828-17</v>
      </c>
      <c r="AE187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7" s="96" t="str">
        <f t="shared" si="98"/>
        <v>"C:\Program Files (x86)\AstroGrep\AstroGrep.exe" /spath="%USERPROFILE%\AppData\Local\Temp\OnboardLogs" /stypes="app*4032*20160918*" /stext=" 01:.+((SYSTEM_STATE.+slice.+state.+changed )|(ment ac)|(system.+state.+changed )|(\|lc)|(penalty)|(\[timeout)|(PRM\|1\|D)|(kpr)|(kdp))" /e /r /s</v>
      </c>
      <c r="AG187" s="1" t="str">
        <f t="shared" si="99"/>
        <v>NW</v>
      </c>
      <c r="AH187" s="100" t="str">
        <f t="shared" si="81"/>
        <v>"%USERPROFILE%\Documents\GitHub\eaglep3\Utilities\RefineRTDCRunTimes.py" --tripid 1828-17 --locoid 4032 --swversion DE.1.0.7.0 --startMP 300:58617 --initTime 2016-09-17T19:37:54 --startdatetime 2016-09-17T19:40:57 --delay 1 --endMP 204:652 --enddatetime 2016-09-17T19:58:49 --enforcementcount 0 &gt;&gt;C:\Users\stu\Documents\GitHub\eaglep3-reporting\EC\2016-09-17-refined-times.txt</v>
      </c>
      <c r="AI18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{"issue":{"subject":"","project_id":79,"tracker_id":40,"status_id":1,"priority_id":2,"assigned_to_id":23,"start_date":"2016-09-17","description":"","custom_fields":[{"id":1,"name":"Subdivision","value":"NW"},{"id":4,"name":"Milepost","value":"0.0652"},{"id":17,"name":"Train ID","value":"1828-17"},{"id":16,"name":"Locomotive ID","value":"4032"},{"id":130,"name":"Impact","value":""},{"id":150,"name":"Time of Event (Mountain Time)","value":"19:58:49"},{"id":151,"name":"Denver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575</v>
      </c>
      <c r="B188" s="7">
        <v>4031</v>
      </c>
      <c r="C188" s="24" t="s">
        <v>106</v>
      </c>
      <c r="D188" s="24" t="s">
        <v>678</v>
      </c>
      <c r="E188" s="15">
        <v>42630.842881944445</v>
      </c>
      <c r="F188" s="15">
        <v>42630.84814814815</v>
      </c>
      <c r="G188" s="7">
        <v>1</v>
      </c>
      <c r="H188" s="15" t="s">
        <v>684</v>
      </c>
      <c r="I188" s="15">
        <v>42630.857604166667</v>
      </c>
      <c r="J188" s="7">
        <v>0</v>
      </c>
      <c r="K188" s="121" t="str">
        <f t="shared" si="87"/>
        <v>4031/4032</v>
      </c>
      <c r="L188" s="24" t="str">
        <f>VLOOKUP(A188,'Trips&amp;Operators'!$C$1:$E$10000,3,FALSE)</f>
        <v>OUN</v>
      </c>
      <c r="M188" s="6">
        <f t="shared" si="88"/>
        <v>9.4560185170848854E-3</v>
      </c>
      <c r="N188" s="7">
        <f t="shared" si="85"/>
        <v>13.616666664602235</v>
      </c>
      <c r="O188" s="7"/>
      <c r="P188" s="7"/>
      <c r="Q188" s="25"/>
      <c r="R188" s="25"/>
      <c r="S188" s="37">
        <f t="shared" si="89"/>
        <v>1</v>
      </c>
      <c r="T188" s="52" t="str">
        <f t="shared" si="90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19:13:45-0600',mode:absolute,to:'2016-09-17 21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8" s="54" t="str">
        <f t="shared" si="92"/>
        <v>N</v>
      </c>
      <c r="X188" s="168">
        <f t="shared" si="86"/>
        <v>1</v>
      </c>
      <c r="Y188" s="69">
        <f t="shared" si="93"/>
        <v>9.5500000000000002E-2</v>
      </c>
      <c r="Z188" s="69">
        <f t="shared" si="94"/>
        <v>5.8948</v>
      </c>
      <c r="AA188" s="69">
        <f t="shared" si="95"/>
        <v>5.7992999999999997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6"/>
        <v>1829-17</v>
      </c>
      <c r="AE188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8" s="96" t="str">
        <f t="shared" si="98"/>
        <v>"C:\Program Files (x86)\AstroGrep\AstroGrep.exe" /spath="%USERPROFILE%\AppData\Local\Temp\OnboardLogs" /stypes="app*4031*20160918*" /stext=" 02:.+((SYSTEM_STATE.+slice.+state.+changed )|(ment ac)|(system.+state.+changed )|(\|lc)|(penalty)|(\[timeout)|(PRM\|1\|D)|(kpr)|(kdp))" /e /r /s</v>
      </c>
      <c r="AG188" s="1" t="str">
        <f t="shared" si="99"/>
        <v>NW</v>
      </c>
      <c r="AH188" s="100" t="str">
        <f t="shared" si="81"/>
        <v>"%USERPROFILE%\Documents\GitHub\eaglep3\Utilities\RefineRTDCRunTimes.py" --tripid 1829-17 --locoid 4031 --swversion DE.1.0.7.0 --startMP 204:955 --initTime 2016-09-17T20:13:45 --startdatetime 2016-09-17T20:21:20 --delay 1 --endMP 300:58948 --enddatetime 2016-09-17T20:34:57 --enforcementcount 0 &gt;&gt;C:\Users\stu\Documents\GitHub\eaglep3-reporting\EC\2016-09-17-refined-times.txt</v>
      </c>
      <c r="AI18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{"issue":{"subject":"","project_id":79,"tracker_id":40,"status_id":1,"priority_id":2,"assigned_to_id":23,"start_date":"2016-09-17","description":"","custom_fields":[{"id":1,"name":"Subdivision","value":"NW"},{"id":4,"name":"Milepost","value":"5.8948"},{"id":17,"name":"Train ID","value":"1829-17"},{"id":16,"name":"Locomotive ID","value":"4031"},{"id":130,"name":"Impact","value":""},{"id":150,"name":"Time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577</v>
      </c>
      <c r="B189" s="7">
        <v>4032</v>
      </c>
      <c r="C189" s="24" t="s">
        <v>106</v>
      </c>
      <c r="D189" s="24" t="s">
        <v>685</v>
      </c>
      <c r="E189" s="15">
        <v>42630.858715277776</v>
      </c>
      <c r="F189" s="15">
        <v>42630.86010416667</v>
      </c>
      <c r="G189" s="7">
        <v>1</v>
      </c>
      <c r="H189" s="15" t="s">
        <v>686</v>
      </c>
      <c r="I189" s="15">
        <v>42630.871736111112</v>
      </c>
      <c r="J189" s="7">
        <v>0</v>
      </c>
      <c r="K189" s="121" t="str">
        <f t="shared" si="87"/>
        <v>4031/4032</v>
      </c>
      <c r="L189" s="24" t="str">
        <f>VLOOKUP(A189,'Trips&amp;Operators'!$C$1:$E$10000,3,FALSE)</f>
        <v>OUN</v>
      </c>
      <c r="M189" s="6">
        <f t="shared" si="88"/>
        <v>1.1631944442342501E-2</v>
      </c>
      <c r="N189" s="7">
        <f t="shared" si="85"/>
        <v>16.749999996973202</v>
      </c>
      <c r="O189" s="7"/>
      <c r="P189" s="7"/>
      <c r="Q189" s="25"/>
      <c r="R189" s="25"/>
      <c r="S189" s="37">
        <f t="shared" si="89"/>
        <v>1</v>
      </c>
      <c r="T189" s="52" t="str">
        <f t="shared" si="90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9" s="54" t="str">
        <f t="shared" si="92"/>
        <v>N</v>
      </c>
      <c r="X189" s="168">
        <f t="shared" si="86"/>
        <v>1</v>
      </c>
      <c r="Y189" s="69">
        <f t="shared" si="93"/>
        <v>5.8628</v>
      </c>
      <c r="Z189" s="69">
        <f t="shared" si="94"/>
        <v>8.0299999999999996E-2</v>
      </c>
      <c r="AA189" s="69">
        <f t="shared" si="95"/>
        <v>5.7824999999999998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6"/>
        <v>1830-17</v>
      </c>
      <c r="AE189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9" s="96" t="str">
        <f t="shared" si="98"/>
        <v>"C:\Program Files (x86)\AstroGrep\AstroGrep.exe" /spath="%USERPROFILE%\AppData\Local\Temp\OnboardLogs" /stypes="app*4032*20160918*" /stext=" 02:.+((SYSTEM_STATE.+slice.+state.+changed )|(ment ac)|(system.+state.+changed )|(\|lc)|(penalty)|(\[timeout)|(PRM\|1\|D)|(kpr)|(kdp))" /e /r /s</v>
      </c>
      <c r="AG189" s="1" t="str">
        <f t="shared" si="99"/>
        <v>NW</v>
      </c>
      <c r="AH189" s="100" t="str">
        <f t="shared" si="81"/>
        <v>"%USERPROFILE%\Documents\GitHub\eaglep3\Utilities\RefineRTDCRunTimes.py" --tripid 1830-17 --locoid 4032 --swversion DE.1.0.7.0 --startMP 300:58628 --initTime 2016-09-17T20:36:33 --startdatetime 2016-09-17T20:38:33 --delay 1 --endMP 204:803 --enddatetime 2016-09-17T20:55:18 --enforcementcount 0 &gt;&gt;C:\Users\stu\Documents\GitHub\eaglep3-reporting\EC\2016-09-17-refined-times.txt</v>
      </c>
      <c r="AI18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{"issue":{"subject":"","project_id":79,"tracker_id":40,"status_id":1,"priority_id":2,"assigned_to_id":23,"start_date":"2016-09-17","description":"","custom_fields":[{"id":1,"name":"Subdivision","value":"NW"},{"id":4,"name":"Milepost","value":"0.0803"},{"id":17,"name":"Train ID","value":"1830-17"},{"id":16,"name":"Locomotive ID","value":"4032"},{"id":130,"name":"Impact","value":""},{"id":150,"name":"Time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580</v>
      </c>
      <c r="B190" s="7">
        <v>4031</v>
      </c>
      <c r="C190" s="24" t="s">
        <v>106</v>
      </c>
      <c r="D190" s="24" t="s">
        <v>661</v>
      </c>
      <c r="E190" s="15">
        <v>42630.885057870371</v>
      </c>
      <c r="F190" s="15">
        <v>25568.958333333332</v>
      </c>
      <c r="G190" s="7">
        <v>0</v>
      </c>
      <c r="H190" s="15" t="s">
        <v>662</v>
      </c>
      <c r="I190" s="15">
        <v>25568.958333333332</v>
      </c>
      <c r="J190" s="7">
        <v>0</v>
      </c>
      <c r="K190" s="121" t="str">
        <f t="shared" si="87"/>
        <v>4031/4032</v>
      </c>
      <c r="L190" s="24" t="str">
        <f>VLOOKUP(A190,'Trips&amp;Operators'!$C$1:$E$10000,3,FALSE)</f>
        <v>OUN</v>
      </c>
      <c r="M190" s="6">
        <f t="shared" si="88"/>
        <v>0</v>
      </c>
      <c r="N190" s="7">
        <f t="shared" ref="N190:N207" si="100">24*60*SUM($M190:$M190)</f>
        <v>0</v>
      </c>
      <c r="O190" s="7"/>
      <c r="P190" s="7"/>
      <c r="Q190" s="25"/>
      <c r="R190" s="25"/>
      <c r="S190" s="37">
        <f t="shared" si="89"/>
        <v>1</v>
      </c>
      <c r="T190" s="52" t="str">
        <f t="shared" si="90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20:14:29-0600',mode:absolute,to:'1970-01-01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0" s="54" t="str">
        <f t="shared" si="92"/>
        <v>N</v>
      </c>
      <c r="X190" s="168">
        <f t="shared" si="86"/>
        <v>1</v>
      </c>
      <c r="Y190" s="69">
        <f t="shared" si="93"/>
        <v>0.10879999999999999</v>
      </c>
      <c r="Z190" s="69">
        <f t="shared" si="94"/>
        <v>5.8939000000000004</v>
      </c>
      <c r="AA190" s="69">
        <f t="shared" si="95"/>
        <v>5.7851000000000008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6"/>
        <v>1831-17</v>
      </c>
      <c r="AE190" s="99" t="str">
        <f t="shared" si="9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190" s="96" t="str">
        <f t="shared" si="98"/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190" s="1" t="str">
        <f t="shared" si="99"/>
        <v>NW</v>
      </c>
      <c r="AH190" s="100" t="str">
        <f t="shared" si="81"/>
        <v>"%USERPROFILE%\Documents\GitHub\eaglep3\Utilities\RefineRTDCRunTimes.py" --tripid 1831-17 --locoid 4031 --swversion DE.1.0.7.0 --startMP 204:1088 --initTime 2016-09-17T21:14:29 --startdatetime 1969-12-31T23:00:00 --delay 0 --endMP 300:58939 --enddatetime 1969-12-31T23:00:00 --enforcementcount 0 &gt;&gt;C:\Users\stu\Documents\GitHub\eaglep3-reporting\EC\2016-09-17-refined-times.txt</v>
      </c>
      <c r="AI190" s="134" t="str">
        <f t="shared" si="82"/>
        <v>echo {"issue":{"subject":"","project_id":79,"tracker_id":40,"status_id":1,"priority_id":2,"assigned_to_id":23,"start_date":"1969-12-31","description":"","custom_fields":[{"id":1,"name":"Subdivision","value":"NW"},{"id":4,"name":"Milepost","value":"5.8939"},{"id":17,"name":"Train ID","value":"1831-17"},{"id":16,"name":"Locomotive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583</v>
      </c>
      <c r="B191" s="7">
        <v>4032</v>
      </c>
      <c r="C191" s="24" t="s">
        <v>106</v>
      </c>
      <c r="D191" s="24" t="s">
        <v>656</v>
      </c>
      <c r="E191" s="15">
        <v>42630.90121527778</v>
      </c>
      <c r="F191" s="15">
        <v>42630.902708333335</v>
      </c>
      <c r="G191" s="7">
        <v>1</v>
      </c>
      <c r="H191" s="15" t="s">
        <v>390</v>
      </c>
      <c r="I191" s="15">
        <v>42630.914027777777</v>
      </c>
      <c r="J191" s="7">
        <v>0</v>
      </c>
      <c r="K191" s="121" t="str">
        <f t="shared" si="87"/>
        <v>4031/4032</v>
      </c>
      <c r="L191" s="24" t="str">
        <f>VLOOKUP(A191,'Trips&amp;Operators'!$C$1:$E$10000,3,FALSE)</f>
        <v>OUN</v>
      </c>
      <c r="M191" s="6">
        <f t="shared" si="88"/>
        <v>1.1319444442051463E-2</v>
      </c>
      <c r="N191" s="7">
        <f t="shared" si="100"/>
        <v>16.299999996554106</v>
      </c>
      <c r="O191" s="7"/>
      <c r="P191" s="7"/>
      <c r="Q191" s="25"/>
      <c r="R191" s="25"/>
      <c r="S191" s="37">
        <f t="shared" si="89"/>
        <v>1</v>
      </c>
      <c r="T191" s="52" t="str">
        <f t="shared" si="90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20:37:45-0600',mode:absolute,to:'2016-09-17 22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1" s="54" t="str">
        <f t="shared" si="92"/>
        <v>N</v>
      </c>
      <c r="X191" s="168">
        <f t="shared" si="86"/>
        <v>1</v>
      </c>
      <c r="Y191" s="69">
        <f t="shared" si="93"/>
        <v>5.8619000000000003</v>
      </c>
      <c r="Z191" s="69">
        <f t="shared" si="94"/>
        <v>6.5699999999999995E-2</v>
      </c>
      <c r="AA191" s="69">
        <f t="shared" si="95"/>
        <v>5.7962000000000007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6"/>
        <v>1832-17</v>
      </c>
      <c r="AE191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91" s="96" t="str">
        <f t="shared" si="98"/>
        <v>"C:\Program Files (x86)\AstroGrep\AstroGrep.exe" /spath="%USERPROFILE%\AppData\Local\Temp\OnboardLogs" /stypes="app*4032*20160918*" /stext=" 03:.+((SYSTEM_STATE.+slice.+state.+changed )|(ment ac)|(system.+state.+changed )|(\|lc)|(penalty)|(\[timeout)|(PRM\|1\|D)|(kpr)|(kdp))" /e /r /s</v>
      </c>
      <c r="AG191" s="1" t="str">
        <f t="shared" si="99"/>
        <v>NW</v>
      </c>
      <c r="AH191" s="100" t="str">
        <f t="shared" si="81"/>
        <v>"%USERPROFILE%\Documents\GitHub\eaglep3\Utilities\RefineRTDCRunTimes.py" --tripid 1832-17 --locoid 4032 --swversion DE.1.0.7.0 --startMP 300:58619 --initTime 2016-09-17T21:37:45 --startdatetime 2016-09-17T21:39:54 --delay 1 --endMP 204:657 --enddatetime 2016-09-17T21:56:12 --enforcementcount 0 &gt;&gt;C:\Users\stu\Documents\GitHub\eaglep3-reporting\EC\2016-09-17-refined-times.txt</v>
      </c>
      <c r="AI19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{"issue":{"subject":"","project_id":79,"tracker_id":40,"status_id":1,"priority_id":2,"assigned_to_id":23,"start_date":"2016-09-17","description":"","custom_fields":[{"id":1,"name":"Subdivision","value":"NW"},{"id":4,"name":"Milepost","value":"0.0657"},{"id":17,"name":"Train ID","value":"1832-17"},{"id":16,"name":"Locomotive ID","value":"4032"},{"id":130,"name":"Impact","value":""},{"id":150,"name":"Time of Event (Mountain Time)","value":"21:56:12"},{"id":151,"name":"Denver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587</v>
      </c>
      <c r="B192" s="7">
        <v>4031</v>
      </c>
      <c r="C192" s="24" t="s">
        <v>106</v>
      </c>
      <c r="D192" s="24" t="s">
        <v>392</v>
      </c>
      <c r="E192" s="15">
        <v>42630.927604166667</v>
      </c>
      <c r="F192" s="15">
        <v>42630.931469907409</v>
      </c>
      <c r="G192" s="7">
        <v>1</v>
      </c>
      <c r="H192" s="15" t="s">
        <v>687</v>
      </c>
      <c r="I192" s="15">
        <v>42630.941759259258</v>
      </c>
      <c r="J192" s="7">
        <v>0</v>
      </c>
      <c r="K192" s="121" t="str">
        <f t="shared" si="87"/>
        <v>4031/4032</v>
      </c>
      <c r="L192" s="24" t="str">
        <f>VLOOKUP(A192,'Trips&amp;Operators'!$C$1:$E$10000,3,FALSE)</f>
        <v>OUN</v>
      </c>
      <c r="M192" s="6">
        <f t="shared" si="88"/>
        <v>1.0289351848769002E-2</v>
      </c>
      <c r="N192" s="7">
        <f t="shared" si="100"/>
        <v>14.816666662227362</v>
      </c>
      <c r="O192" s="7"/>
      <c r="P192" s="7"/>
      <c r="Q192" s="25"/>
      <c r="R192" s="25"/>
      <c r="S192" s="37">
        <f t="shared" si="89"/>
        <v>1</v>
      </c>
      <c r="T192" s="52" t="str">
        <f t="shared" si="90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21:15:45-0600',mode:absolute,to:'2016-09-17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2" s="54" t="str">
        <f t="shared" si="92"/>
        <v>N</v>
      </c>
      <c r="X192" s="168">
        <f t="shared" si="86"/>
        <v>1</v>
      </c>
      <c r="Y192" s="69">
        <f t="shared" si="93"/>
        <v>9.64E-2</v>
      </c>
      <c r="Z192" s="69">
        <f t="shared" si="94"/>
        <v>5.8940999999999999</v>
      </c>
      <c r="AA192" s="69">
        <f t="shared" si="95"/>
        <v>5.7976999999999999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6"/>
        <v>1833-17</v>
      </c>
      <c r="AE192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92" s="96" t="str">
        <f t="shared" si="98"/>
        <v>"C:\Program Files (x86)\AstroGrep\AstroGrep.exe" /spath="%USERPROFILE%\AppData\Local\Temp\OnboardLogs" /stypes="app*4031*20160918*" /stext=" 04:.+((SYSTEM_STATE.+slice.+state.+changed )|(ment ac)|(system.+state.+changed )|(\|lc)|(penalty)|(\[timeout)|(PRM\|1\|D)|(kpr)|(kdp))" /e /r /s</v>
      </c>
      <c r="AG192" s="1" t="str">
        <f t="shared" si="99"/>
        <v>NW</v>
      </c>
      <c r="AH192" s="100" t="str">
        <f t="shared" si="81"/>
        <v>"%USERPROFILE%\Documents\GitHub\eaglep3\Utilities\RefineRTDCRunTimes.py" --tripid 1833-17 --locoid 4031 --swversion DE.1.0.7.0 --startMP 204:964 --initTime 2016-09-17T22:15:45 --startdatetime 2016-09-17T22:21:19 --delay 1 --endMP 300:58941 --enddatetime 2016-09-17T22:36:08 --enforcementcount 0 &gt;&gt;C:\Users\stu\Documents\GitHub\eaglep3-reporting\EC\2016-09-17-refined-times.txt</v>
      </c>
      <c r="AI19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{"issue":{"subject":"","project_id":79,"tracker_id":40,"status_id":1,"priority_id":2,"assigned_to_id":23,"start_date":"2016-09-17","description":"","custom_fields":[{"id":1,"name":"Subdivision","value":"NW"},{"id":4,"name":"Milepost","value":"5.8941"},{"id":17,"name":"Train ID","value":"1833-17"},{"id":16,"name":"Locomotive ID","value":"4031"},{"id":130,"name":"Impact","value":""},{"id":150,"name":"Time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561</v>
      </c>
      <c r="B193" s="7">
        <v>4027</v>
      </c>
      <c r="C193" s="24" t="s">
        <v>106</v>
      </c>
      <c r="D193" s="24" t="s">
        <v>234</v>
      </c>
      <c r="E193" s="15">
        <v>42630.779004629629</v>
      </c>
      <c r="F193" s="15">
        <v>42630.780717592592</v>
      </c>
      <c r="G193" s="7">
        <v>1</v>
      </c>
      <c r="H193" s="15" t="s">
        <v>713</v>
      </c>
      <c r="I193" s="15">
        <v>42630.787395833337</v>
      </c>
      <c r="J193" s="7">
        <v>0</v>
      </c>
      <c r="K193" s="121" t="str">
        <f t="shared" si="87"/>
        <v>4027/4028</v>
      </c>
      <c r="L193" s="24" t="str">
        <f>VLOOKUP(A193,'Trips&amp;Operators'!$C$1:$E$10000,3,FALSE)</f>
        <v>SHOOK</v>
      </c>
      <c r="M193" s="6">
        <f t="shared" si="88"/>
        <v>6.6782407448044978E-3</v>
      </c>
      <c r="N193" s="7">
        <f t="shared" si="100"/>
        <v>9.6166666725184768</v>
      </c>
      <c r="O193" s="7"/>
      <c r="P193" s="7"/>
      <c r="Q193" s="25"/>
      <c r="R193" s="25"/>
      <c r="S193" s="37">
        <f t="shared" si="89"/>
        <v>1</v>
      </c>
      <c r="T193" s="52" t="str">
        <f t="shared" si="90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17:41:46-0600',mode:absolute,to:'2016-09-17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93" s="54" t="str">
        <f t="shared" si="92"/>
        <v>Y</v>
      </c>
      <c r="X193" s="168">
        <f t="shared" si="86"/>
        <v>-1530</v>
      </c>
      <c r="Y193" s="69">
        <f t="shared" si="93"/>
        <v>4.58E-2</v>
      </c>
      <c r="Z193" s="69">
        <f t="shared" si="94"/>
        <v>2.3302</v>
      </c>
      <c r="AA193" s="69">
        <f t="shared" si="95"/>
        <v>2.2844000000000002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6"/>
        <v>0303-17</v>
      </c>
      <c r="AE193" s="99" t="str">
        <f t="shared" si="97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93" s="96" t="str">
        <f t="shared" si="98"/>
        <v>"C:\Program Files (x86)\AstroGrep\AstroGrep.exe" /spath="%USERPROFILE%\AppData\Local\Temp\OnboardLogs" /stypes="app*4027*20160918*" /stext=" 00:.+((SYSTEM_STATE.+slice.+state.+changed )|(ment ac)|(system.+state.+changed )|(\|lc)|(penalty)|(\[timeout)|(PRM\|1\|D)|(kpr)|(kdp))" /e /r /s</v>
      </c>
      <c r="AG193" s="1" t="str">
        <f t="shared" si="99"/>
        <v>Other</v>
      </c>
      <c r="AH193" s="100" t="str">
        <f t="shared" si="81"/>
        <v>"%USERPROFILE%\Documents\GitHub\eaglep3\Utilities\RefineRTDCRunTimes.py" --tripid 303-17 --locoid 4027 --swversion DE.1.0.7.0 --startMP 204:458 --initTime 2016-09-17T18:41:46 --startdatetime 2016-09-17T18:44:14 --delay 1 --endMP 300:23302 --enddatetime 2016-09-17T18:53:51 --enforcementcount 0 &gt;&gt;C:\Users\stu\Documents\GitHub\eaglep3-reporting\EC\2016-09-17-refined-times.txt</v>
      </c>
      <c r="AI193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{"issue":{"subject":"","project_id":79,"tracker_id":40,"status_id":1,"priority_id":2,"assigned_to_id":23,"start_date":"2016-09-17","description":"","custom_fields":[{"id":1,"name":"Subdivision","value":"Other"},{"id":4,"name":"Milepost","value":"2.3302"},{"id":17,"name":"Train ID","value":"303-17"},{"id":16,"name":"Locomotive ID","value":"4027"},{"id":130,"name":"Impact","value":""},{"id":150,"name":"Time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566</v>
      </c>
      <c r="B194" s="7">
        <v>4053</v>
      </c>
      <c r="C194" s="24" t="s">
        <v>106</v>
      </c>
      <c r="D194" s="24" t="s">
        <v>707</v>
      </c>
      <c r="E194" s="15">
        <v>42630.803217592591</v>
      </c>
      <c r="F194" s="15">
        <v>42630.805231481485</v>
      </c>
      <c r="G194" s="7">
        <v>1</v>
      </c>
      <c r="H194" s="15" t="s">
        <v>381</v>
      </c>
      <c r="I194" s="15">
        <v>42630.812430555554</v>
      </c>
      <c r="J194" s="7">
        <v>0</v>
      </c>
      <c r="K194" s="121" t="str">
        <f t="shared" si="87"/>
        <v>4053/4054</v>
      </c>
      <c r="L194" s="24" t="str">
        <f>VLOOKUP(A194,'Trips&amp;Operators'!$C$1:$E$10000,3,FALSE)</f>
        <v>CLARK</v>
      </c>
      <c r="M194" s="6">
        <f t="shared" si="88"/>
        <v>7.1990740689216182E-3</v>
      </c>
      <c r="N194" s="7">
        <f t="shared" si="100"/>
        <v>10.36666665924713</v>
      </c>
      <c r="O194" s="7"/>
      <c r="P194" s="7"/>
      <c r="Q194" s="25"/>
      <c r="R194" s="25"/>
      <c r="S194" s="37">
        <f t="shared" si="89"/>
        <v>1</v>
      </c>
      <c r="T194" s="52" t="str">
        <f t="shared" si="90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94" s="54" t="str">
        <f t="shared" si="92"/>
        <v>Y</v>
      </c>
      <c r="X194" s="168">
        <f t="shared" si="86"/>
        <v>2</v>
      </c>
      <c r="Y194" s="69">
        <f t="shared" si="93"/>
        <v>4.8899999999999999E-2</v>
      </c>
      <c r="Z194" s="69">
        <f t="shared" si="94"/>
        <v>2.3300999999999998</v>
      </c>
      <c r="AA194" s="69">
        <f t="shared" si="95"/>
        <v>2.2811999999999997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6"/>
        <v>0305-17</v>
      </c>
      <c r="AE194" s="99" t="str">
        <f t="shared" si="97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94" s="96" t="str">
        <f t="shared" si="98"/>
        <v>"C:\Program Files (x86)\AstroGrep\AstroGrep.exe" /spath="%USERPROFILE%\AppData\Local\Temp\OnboardLogs" /stypes="app*4053*20160918*" /stext=" 01:.+((SYSTEM_STATE.+slice.+state.+changed )|(ment ac)|(system.+state.+changed )|(\|lc)|(penalty)|(\[timeout)|(PRM\|1\|D)|(kpr)|(kdp))" /e /r /s</v>
      </c>
      <c r="AG194" s="1" t="str">
        <f t="shared" si="99"/>
        <v>Other</v>
      </c>
      <c r="AH194" s="100" t="str">
        <f t="shared" si="81"/>
        <v>"%USERPROFILE%\Documents\GitHub\eaglep3\Utilities\RefineRTDCRunTimes.py" --tripid 305-17 --locoid 4053 --swversion DE.1.0.7.0 --startMP 204:489 --initTime 2016-09-17T19:16:38 --startdatetime 2016-09-17T19:19:32 --delay 1 --endMP 300:23301 --enddatetime 2016-09-17T19:29:54 --enforcementcount 0 &gt;&gt;C:\Users\stu\Documents\GitHub\eaglep3-reporting\EC\2016-09-17-refined-times.txt</v>
      </c>
      <c r="AI194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ID","value":"305-17"},{"id":16,"name":"Locomotive ID","value":"4053"},{"id":130,"name":"Impact","value":""},{"id":150,"name":"Time of Event (Mountain Time)","value":"19:29:54"},{"id":151,"name":"Denver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571</v>
      </c>
      <c r="B195" s="7">
        <v>4046</v>
      </c>
      <c r="C195" s="24" t="s">
        <v>106</v>
      </c>
      <c r="D195" s="24" t="s">
        <v>218</v>
      </c>
      <c r="E195" s="15">
        <v>42630.819247685184</v>
      </c>
      <c r="F195" s="15">
        <v>42630.821562500001</v>
      </c>
      <c r="G195" s="7">
        <v>1</v>
      </c>
      <c r="H195" s="15" t="s">
        <v>380</v>
      </c>
      <c r="I195" s="15">
        <v>42630.826793981483</v>
      </c>
      <c r="J195" s="7">
        <v>0</v>
      </c>
      <c r="K195" s="121" t="str">
        <f t="shared" si="87"/>
        <v>4045/4046</v>
      </c>
      <c r="L195" s="24" t="str">
        <f>VLOOKUP(A195,'Trips&amp;Operators'!$C$1:$E$10000,3,FALSE)</f>
        <v>STEWART</v>
      </c>
      <c r="M195" s="6">
        <f t="shared" si="88"/>
        <v>5.2314814820419997E-3</v>
      </c>
      <c r="N195" s="7">
        <f t="shared" si="100"/>
        <v>7.5333333341404796</v>
      </c>
      <c r="O195" s="7"/>
      <c r="P195" s="7"/>
      <c r="Q195" s="25"/>
      <c r="R195" s="25"/>
      <c r="S195" s="37">
        <f t="shared" si="89"/>
        <v>1</v>
      </c>
      <c r="T195" s="52" t="str">
        <f t="shared" si="90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18:39:43-0600',mode:absolute,to:'2016-09-17 20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5" s="54" t="str">
        <f t="shared" si="92"/>
        <v>Y</v>
      </c>
      <c r="X195" s="168">
        <f t="shared" si="86"/>
        <v>2</v>
      </c>
      <c r="Y195" s="69">
        <f t="shared" si="93"/>
        <v>4.7100000000000003E-2</v>
      </c>
      <c r="Z195" s="69">
        <f t="shared" si="94"/>
        <v>2.3311999999999999</v>
      </c>
      <c r="AA195" s="69">
        <f t="shared" si="95"/>
        <v>2.2841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6"/>
        <v>0307-17</v>
      </c>
      <c r="AE195" s="99" t="str">
        <f t="shared" si="97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95" s="96" t="str">
        <f t="shared" si="98"/>
        <v>"C:\Program Files (x86)\AstroGrep\AstroGrep.exe" /spath="%USERPROFILE%\AppData\Local\Temp\OnboardLogs" /stypes="app*4046*20160918*" /stext=" 01:.+((SYSTEM_STATE.+slice.+state.+changed )|(ment ac)|(system.+state.+changed )|(\|lc)|(penalty)|(\[timeout)|(PRM\|1\|D)|(kpr)|(kdp))" /e /r /s</v>
      </c>
      <c r="AG195" s="1" t="str">
        <f t="shared" si="99"/>
        <v>Other</v>
      </c>
      <c r="AH195" s="100" t="str">
        <f t="shared" si="81"/>
        <v>"%USERPROFILE%\Documents\GitHub\eaglep3\Utilities\RefineRTDCRunTimes.py" --tripid 307-17 --locoid 4046 --swversion DE.1.0.7.0 --startMP 204:471 --initTime 2016-09-17T19:39:43 --startdatetime 2016-09-17T19:43:03 --delay 1 --endMP 300:23312 --enddatetime 2016-09-17T19:50:35 --enforcementcount 0 &gt;&gt;C:\Users\stu\Documents\GitHub\eaglep3-reporting\EC\2016-09-17-refined-times.txt</v>
      </c>
      <c r="AI195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{"issue":{"subject":"","project_id":79,"tracker_id":40,"status_id":1,"priority_id":2,"assigned_to_id":23,"start_date":"2016-09-17","description":"","custom_fields":[{"id":1,"name":"Subdivision","value":"Other"},{"id":4,"name":"Milepost","value":"2.3312"},{"id":17,"name":"Train ID","value":"307-17"},{"id":16,"name":"Locomotive ID","value":"4046"},{"id":130,"name":"Impact","value":""},{"id":150,"name":"Time of Event (Mountain Time)","value":"19:50:35"},{"id":151,"name":"Denver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349</v>
      </c>
      <c r="B196" s="7">
        <v>4044</v>
      </c>
      <c r="C196" s="24" t="s">
        <v>106</v>
      </c>
      <c r="D196" s="24" t="s">
        <v>383</v>
      </c>
      <c r="E196" s="15">
        <v>42630.078726851854</v>
      </c>
      <c r="F196" s="15">
        <v>42630.080150462964</v>
      </c>
      <c r="G196" s="7">
        <v>1</v>
      </c>
      <c r="H196" s="15" t="s">
        <v>381</v>
      </c>
      <c r="I196" s="15">
        <v>42630.086770833332</v>
      </c>
      <c r="J196" s="7">
        <v>0</v>
      </c>
      <c r="K196" s="121" t="str">
        <f t="shared" si="87"/>
        <v>4043/4044</v>
      </c>
      <c r="L196" s="24" t="str">
        <f>VLOOKUP(A196,'Trips&amp;Operators'!$C$1:$E$10000,3,FALSE)</f>
        <v>CHANDLER</v>
      </c>
      <c r="M196" s="6">
        <f t="shared" si="88"/>
        <v>6.6203703681821935E-3</v>
      </c>
      <c r="N196" s="7">
        <f t="shared" si="100"/>
        <v>9.5333333301823586</v>
      </c>
      <c r="O196" s="7"/>
      <c r="P196" s="7"/>
      <c r="Q196" s="25"/>
      <c r="R196" s="25"/>
      <c r="S196" s="37">
        <f t="shared" si="89"/>
        <v>1</v>
      </c>
      <c r="T196" s="52" t="str">
        <f t="shared" si="90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54" t="str">
        <f t="shared" si="92"/>
        <v>Y</v>
      </c>
      <c r="X196" s="168">
        <f t="shared" si="86"/>
        <v>4</v>
      </c>
      <c r="Y196" s="69">
        <f t="shared" si="93"/>
        <v>5.04E-2</v>
      </c>
      <c r="Z196" s="69">
        <f t="shared" si="94"/>
        <v>2.3300999999999998</v>
      </c>
      <c r="AA196" s="69">
        <f t="shared" si="95"/>
        <v>2.2797000000000001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6"/>
        <v>0311-16</v>
      </c>
      <c r="AE196" s="99" t="str">
        <f t="shared" si="97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96" s="96" t="str">
        <f t="shared" si="98"/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196" s="1" t="str">
        <f t="shared" si="99"/>
        <v>Other</v>
      </c>
      <c r="AH196" s="100" t="str">
        <f t="shared" si="81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&gt;&gt;C:\Users\stu\Documents\GitHub\eaglep3-reporting\EC\2016-09-17-refined-times.txt</v>
      </c>
      <c r="AI196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601</v>
      </c>
      <c r="B197" s="7">
        <v>4011</v>
      </c>
      <c r="C197" s="24" t="s">
        <v>106</v>
      </c>
      <c r="D197" s="24" t="s">
        <v>251</v>
      </c>
      <c r="E197" s="15">
        <v>42631.074745370373</v>
      </c>
      <c r="F197" s="15">
        <v>42631.077094907407</v>
      </c>
      <c r="G197" s="7">
        <v>1</v>
      </c>
      <c r="H197" s="15" t="s">
        <v>714</v>
      </c>
      <c r="I197" s="15">
        <v>42631.083692129629</v>
      </c>
      <c r="J197" s="7">
        <v>0</v>
      </c>
      <c r="K197" s="121" t="str">
        <f t="shared" si="87"/>
        <v>4011/4012</v>
      </c>
      <c r="L197" s="24" t="str">
        <f>VLOOKUP(A197,'Trips&amp;Operators'!$C$1:$E$10000,3,FALSE)</f>
        <v>CHANDLER</v>
      </c>
      <c r="M197" s="6">
        <f t="shared" si="88"/>
        <v>6.5972222218988463E-3</v>
      </c>
      <c r="N197" s="7">
        <f t="shared" si="100"/>
        <v>9.4999999995343387</v>
      </c>
      <c r="O197" s="7"/>
      <c r="P197" s="7"/>
      <c r="Q197" s="25"/>
      <c r="R197" s="25"/>
      <c r="S197" s="37">
        <f t="shared" si="89"/>
        <v>1</v>
      </c>
      <c r="T197" s="52" t="str">
        <f t="shared" si="90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92"/>
        <v>Y</v>
      </c>
      <c r="X197" s="168">
        <f t="shared" si="86"/>
        <v>0</v>
      </c>
      <c r="Y197" s="69">
        <f t="shared" si="93"/>
        <v>4.7500000000000001E-2</v>
      </c>
      <c r="Z197" s="69">
        <f t="shared" si="94"/>
        <v>2.2269000000000001</v>
      </c>
      <c r="AA197" s="69">
        <f t="shared" si="95"/>
        <v>2.1794000000000002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6"/>
        <v>0311-17</v>
      </c>
      <c r="AE197" s="99" t="str">
        <f t="shared" si="97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97" s="96" t="str">
        <f t="shared" si="98"/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197" s="1" t="str">
        <f t="shared" si="99"/>
        <v>Other</v>
      </c>
      <c r="AH197" s="100" t="str">
        <f t="shared" si="81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&gt;&gt;C:\Users\stu\Documents\GitHub\eaglep3-reporting\EC\2016-09-17-refined-times.txt</v>
      </c>
      <c r="AI197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350</v>
      </c>
      <c r="B198" s="7">
        <v>4009</v>
      </c>
      <c r="C198" s="24" t="s">
        <v>106</v>
      </c>
      <c r="D198" s="24" t="s">
        <v>251</v>
      </c>
      <c r="E198" s="15">
        <v>42630.09337962963</v>
      </c>
      <c r="F198" s="15">
        <v>42630.095034722224</v>
      </c>
      <c r="G198" s="7">
        <v>1</v>
      </c>
      <c r="H198" s="15" t="s">
        <v>384</v>
      </c>
      <c r="I198" s="15">
        <v>42630.101666666669</v>
      </c>
      <c r="J198" s="7">
        <v>0</v>
      </c>
      <c r="K198" s="121" t="str">
        <f t="shared" si="87"/>
        <v>4009/4010</v>
      </c>
      <c r="L198" s="24" t="str">
        <f>VLOOKUP(A198,'Trips&amp;Operators'!$C$1:$E$10000,3,FALSE)</f>
        <v>STURGEON</v>
      </c>
      <c r="M198" s="6">
        <f t="shared" si="88"/>
        <v>6.6319444449618459E-3</v>
      </c>
      <c r="N198" s="7">
        <f t="shared" si="100"/>
        <v>9.5500000007450581</v>
      </c>
      <c r="O198" s="7"/>
      <c r="P198" s="7"/>
      <c r="Q198" s="25"/>
      <c r="R198" s="25"/>
      <c r="S198" s="37">
        <f t="shared" si="89"/>
        <v>1</v>
      </c>
      <c r="T198" s="52" t="str">
        <f t="shared" si="90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8" s="54" t="str">
        <f t="shared" si="92"/>
        <v>Y</v>
      </c>
      <c r="X198" s="168">
        <f t="shared" si="86"/>
        <v>2</v>
      </c>
      <c r="Y198" s="69">
        <f t="shared" si="93"/>
        <v>4.7500000000000001E-2</v>
      </c>
      <c r="Z198" s="69">
        <f t="shared" si="94"/>
        <v>2.3289</v>
      </c>
      <c r="AA198" s="69">
        <f t="shared" si="95"/>
        <v>2.2814000000000001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6"/>
        <v>0313-16</v>
      </c>
      <c r="AE198" s="99" t="str">
        <f t="shared" si="97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98" s="96" t="str">
        <f t="shared" si="98"/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198" s="1" t="str">
        <f t="shared" si="99"/>
        <v>Other</v>
      </c>
      <c r="AH198" s="100" t="str">
        <f t="shared" si="81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&gt;&gt;C:\Users\stu\Documents\GitHub\eaglep3-reporting\EC\2016-09-17-refined-times.txt</v>
      </c>
      <c r="AI198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603</v>
      </c>
      <c r="B199" s="7">
        <v>4040</v>
      </c>
      <c r="C199" s="24" t="s">
        <v>106</v>
      </c>
      <c r="D199" s="24" t="s">
        <v>312</v>
      </c>
      <c r="E199" s="15">
        <v>42631.091574074075</v>
      </c>
      <c r="F199" s="15">
        <v>42631.093206018515</v>
      </c>
      <c r="G199" s="7">
        <v>2</v>
      </c>
      <c r="H199" s="15" t="s">
        <v>715</v>
      </c>
      <c r="I199" s="15">
        <v>42631.099386574075</v>
      </c>
      <c r="J199" s="7">
        <v>0</v>
      </c>
      <c r="K199" s="121" t="str">
        <f t="shared" si="87"/>
        <v>4039/4040</v>
      </c>
      <c r="L199" s="24" t="str">
        <f>VLOOKUP(A199,'Trips&amp;Operators'!$C$1:$E$10000,3,FALSE)</f>
        <v>STURGEON</v>
      </c>
      <c r="M199" s="6">
        <f t="shared" si="88"/>
        <v>6.180555559694767E-3</v>
      </c>
      <c r="N199" s="7">
        <f t="shared" si="100"/>
        <v>8.9000000059604645</v>
      </c>
      <c r="O199" s="7"/>
      <c r="P199" s="7"/>
      <c r="Q199" s="25"/>
      <c r="R199" s="25"/>
      <c r="S199" s="37">
        <f t="shared" si="89"/>
        <v>1</v>
      </c>
      <c r="T199" s="52" t="str">
        <f t="shared" si="90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9" s="54" t="str">
        <f t="shared" si="92"/>
        <v>Y</v>
      </c>
      <c r="X199" s="168">
        <f t="shared" si="86"/>
        <v>0</v>
      </c>
      <c r="Y199" s="69">
        <f t="shared" si="93"/>
        <v>4.7800000000000002E-2</v>
      </c>
      <c r="Z199" s="69">
        <f t="shared" si="94"/>
        <v>2.3298999999999999</v>
      </c>
      <c r="AA199" s="69">
        <f t="shared" si="95"/>
        <v>2.2820999999999998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6"/>
        <v>0313-17</v>
      </c>
      <c r="AE199" s="99" t="str">
        <f t="shared" si="97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99" s="96" t="str">
        <f t="shared" si="98"/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199" s="1" t="str">
        <f t="shared" si="99"/>
        <v>Other</v>
      </c>
      <c r="AH199" s="100" t="str">
        <f t="shared" si="81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&gt;&gt;C:\Users\stu\Documents\GitHub\eaglep3-reporting\EC\2016-09-17-refined-times.txt</v>
      </c>
      <c r="AI199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589</v>
      </c>
      <c r="B200" s="7">
        <v>4032</v>
      </c>
      <c r="C200" s="24" t="s">
        <v>106</v>
      </c>
      <c r="D200" s="24" t="s">
        <v>685</v>
      </c>
      <c r="E200" s="15">
        <v>42630.943368055552</v>
      </c>
      <c r="F200" s="15">
        <v>42630.945625</v>
      </c>
      <c r="G200" s="7">
        <v>1</v>
      </c>
      <c r="H200" s="15" t="s">
        <v>690</v>
      </c>
      <c r="I200" s="15">
        <v>42630.950462962966</v>
      </c>
      <c r="J200" s="7">
        <v>0</v>
      </c>
      <c r="K200" s="121" t="str">
        <f t="shared" si="87"/>
        <v>4031/4032</v>
      </c>
      <c r="L200" s="24" t="str">
        <f>VLOOKUP(A200,'Trips&amp;Operators'!$C$1:$E$10000,3,FALSE)</f>
        <v>OUN</v>
      </c>
      <c r="M200" s="6">
        <f t="shared" si="88"/>
        <v>4.8379629661212675E-3</v>
      </c>
      <c r="N200" s="7">
        <f t="shared" si="100"/>
        <v>6.9666666712146252</v>
      </c>
      <c r="O200" s="7"/>
      <c r="P200" s="7"/>
      <c r="Q200" s="25"/>
      <c r="R200" s="25"/>
      <c r="S200" s="37">
        <f t="shared" si="89"/>
        <v>0</v>
      </c>
      <c r="T200" s="52" t="str">
        <f t="shared" si="90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21:38:27-0600',mode:absolute,to:'2016-09-17 23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00" s="54" t="str">
        <f t="shared" si="92"/>
        <v>Y</v>
      </c>
      <c r="X200" s="168">
        <f t="shared" si="86"/>
        <v>1589</v>
      </c>
      <c r="Y200" s="69">
        <f t="shared" si="93"/>
        <v>5.8628</v>
      </c>
      <c r="Z200" s="69">
        <f t="shared" si="94"/>
        <v>2.1755</v>
      </c>
      <c r="AA200" s="69">
        <f t="shared" si="95"/>
        <v>3.6873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6"/>
        <v>1902-17</v>
      </c>
      <c r="AE200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200" s="96" t="str">
        <f t="shared" si="98"/>
        <v>"C:\Program Files (x86)\AstroGrep\AstroGrep.exe" /spath="%USERPROFILE%\AppData\Local\Temp\OnboardLogs" /stypes="app*4032*20160918*" /stext=" 04:.+((SYSTEM_STATE.+slice.+state.+changed )|(ment ac)|(system.+state.+changed )|(\|lc)|(penalty)|(\[timeout)|(PRM\|1\|D)|(kpr)|(kdp))" /e /r /s</v>
      </c>
      <c r="AG200" s="1" t="str">
        <f t="shared" si="99"/>
        <v>Other</v>
      </c>
      <c r="AH200" s="100" t="str">
        <f t="shared" si="81"/>
        <v>"%USERPROFILE%\Documents\GitHub\eaglep3\Utilities\RefineRTDCRunTimes.py" --tripid 1902-17 --locoid 4032 --swversion DE.1.0.7.0 --startMP 300:58628 --initTime 2016-09-17T22:38:27 --startdatetime 2016-09-17T22:41:42 --delay 1 --endMP 300:21755 --enddatetime 2016-09-17T22:48:40 --enforcementcount 0 &gt;&gt;C:\Users\stu\Documents\GitHub\eaglep3-reporting\EC\2016-09-17-refined-times.txt</v>
      </c>
      <c r="AI200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{"issue":{"subject":"","project_id":79,"tracker_id":40,"status_id":1,"priority_id":2,"assigned_to_id":23,"start_date":"2016-09-17","description":"","custom_fields":[{"id":1,"name":"Subdivision","value":"Other"},{"id":4,"name":"Milepost","value":"2.1755"},{"id":17,"name":"Train ID","value":"1902-17"},{"id":16,"name":"Locomotive ID","value":"4032"},{"id":130,"name":"Impact","value":""},{"id":150,"name":"Time of Event (Mountain Time)","value":"22:48:40"},{"id":151,"name":"Denver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552</v>
      </c>
      <c r="B201" s="7">
        <v>4005</v>
      </c>
      <c r="C201" s="24" t="s">
        <v>106</v>
      </c>
      <c r="D201" s="24" t="s">
        <v>716</v>
      </c>
      <c r="E201" s="15">
        <v>42630.751875000002</v>
      </c>
      <c r="F201" s="15">
        <v>42630.752986111111</v>
      </c>
      <c r="G201" s="7">
        <v>1</v>
      </c>
      <c r="H201" s="15" t="s">
        <v>219</v>
      </c>
      <c r="I201" s="15">
        <v>42630.759895833333</v>
      </c>
      <c r="J201" s="7">
        <v>0</v>
      </c>
      <c r="K201" s="121" t="str">
        <f t="shared" si="87"/>
        <v>4005/4006</v>
      </c>
      <c r="L201" s="24" t="str">
        <f>VLOOKUP(A201,'Trips&amp;Operators'!$C$1:$E$10000,3,FALSE)</f>
        <v>STURGEON</v>
      </c>
      <c r="M201" s="6">
        <f t="shared" si="88"/>
        <v>6.9097222221898846E-3</v>
      </c>
      <c r="N201" s="7">
        <f t="shared" si="100"/>
        <v>9.9499999999534339</v>
      </c>
      <c r="O201" s="7"/>
      <c r="P201" s="7"/>
      <c r="Q201" s="25"/>
      <c r="R201" s="25"/>
      <c r="S201" s="37">
        <f t="shared" si="89"/>
        <v>0</v>
      </c>
      <c r="T201" s="52" t="e">
        <f t="shared" si="90"/>
        <v>#VALUE!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17:02:42-0600',mode:absolute,to:'2016-09-17 19:14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1" s="54" t="str">
        <f t="shared" si="92"/>
        <v>Y</v>
      </c>
      <c r="X201" s="168" t="e">
        <f t="shared" si="86"/>
        <v>#VALUE!</v>
      </c>
      <c r="Y201" s="69">
        <f t="shared" si="93"/>
        <v>2.2000999999999999</v>
      </c>
      <c r="Z201" s="69">
        <f t="shared" si="94"/>
        <v>1.5800000000000002E-2</v>
      </c>
      <c r="AA201" s="69">
        <f t="shared" si="95"/>
        <v>2.1842999999999999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6"/>
        <v>54-17</v>
      </c>
      <c r="AE201" s="99" t="str">
        <f t="shared" si="97"/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1" s="96" t="str">
        <f t="shared" si="98"/>
        <v>"C:\Program Files (x86)\AstroGrep\AstroGrep.exe" /spath="%USERPROFILE%\AppData\Local\Temp\OnboardLogs" /stypes="app*4005*20160918*" /stext=" 00:.+((SYSTEM_STATE.+slice.+state.+changed )|(ment ac)|(system.+state.+changed )|(\|lc)|(penalty)|(\[timeout)|(PRM\|1\|D)|(kpr)|(kdp))" /e /r /s</v>
      </c>
      <c r="AG201" s="1" t="str">
        <f t="shared" si="99"/>
        <v>Other</v>
      </c>
      <c r="AH201" s="100" t="str">
        <f t="shared" ref="AH201:AH207" si="101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54-17 --locoid 4005 --swversion DE.1.0.7.0 --startMP 300:22001 --initTime 2016-09-17T18:02:42 --startdatetime 2016-09-17T18:04:18 --delay 1 --endMP 204:158 --enddatetime 2016-09-17T18:14:15 --enforcementcount 0 &gt;&gt;C:\Users\stu\Documents\GitHub\eaglep3-reporting\EC\2016-09-17-refined-times.txt</v>
      </c>
      <c r="AI201" s="134" t="str">
        <f t="shared" ref="AI201:AI207" si="102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{"issue":{"subject":"","project_id":79,"tracker_id":40,"status_id":1,"priority_id":2,"assigned_to_id":23,"start_date":"2016-09-17","description":"","custom_fields":[{"id":1,"name":"Subdivision","value":"Other"},{"id":4,"name":"Milepost","value":"0.0158"},{"id":17,"name":"Train ID","value":"54-17"},{"id":16,"name":"Locomotive ID","value":"4005"},{"id":130,"name":"Impact","value":""},{"id":150,"name":"Time of Event (Mountain Time)","value":"18:14:15"},{"id":151,"name":"Denver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484</v>
      </c>
      <c r="B202" s="7">
        <v>4006</v>
      </c>
      <c r="C202" s="24" t="s">
        <v>106</v>
      </c>
      <c r="D202" s="24" t="s">
        <v>717</v>
      </c>
      <c r="E202" s="15">
        <v>42630.483611111114</v>
      </c>
      <c r="F202" s="15">
        <v>42630.486967592595</v>
      </c>
      <c r="G202" s="7">
        <v>1</v>
      </c>
      <c r="H202" s="15" t="s">
        <v>718</v>
      </c>
      <c r="I202" s="15">
        <v>42630.494108796294</v>
      </c>
      <c r="J202" s="7">
        <v>0</v>
      </c>
      <c r="K202" s="121" t="str">
        <f t="shared" si="87"/>
        <v>4005/4006</v>
      </c>
      <c r="L202" s="24" t="str">
        <f>VLOOKUP(A202,'Trips&amp;Operators'!$C$1:$E$10000,3,FALSE)</f>
        <v>DAVIS</v>
      </c>
      <c r="M202" s="6">
        <f t="shared" si="88"/>
        <v>7.1412036995752715E-3</v>
      </c>
      <c r="N202" s="7">
        <f t="shared" si="100"/>
        <v>10.283333327388391</v>
      </c>
      <c r="O202" s="7"/>
      <c r="P202" s="7"/>
      <c r="Q202" s="25"/>
      <c r="R202" s="25"/>
      <c r="S202" s="37">
        <f t="shared" si="89"/>
        <v>0</v>
      </c>
      <c r="T202" s="52" t="e">
        <f t="shared" si="90"/>
        <v>#VALUE!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10:36:24-0600',mode:absolute,to:'2016-09-17 12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2" s="54" t="str">
        <f t="shared" si="92"/>
        <v>Y</v>
      </c>
      <c r="X202" s="168" t="e">
        <f t="shared" si="86"/>
        <v>#VALUE!</v>
      </c>
      <c r="Y202" s="69">
        <f t="shared" si="93"/>
        <v>0.1326</v>
      </c>
      <c r="Z202" s="69">
        <f t="shared" si="94"/>
        <v>2.4723999999999999</v>
      </c>
      <c r="AA202" s="69">
        <f t="shared" si="95"/>
        <v>2.3397999999999999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6"/>
        <v>55-17</v>
      </c>
      <c r="AE202" s="99" t="str">
        <f t="shared" si="97"/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2" s="96" t="str">
        <f t="shared" si="98"/>
        <v>"C:\Program Files (x86)\AstroGrep\AstroGrep.exe" /spath="%USERPROFILE%\AppData\Local\Temp\OnboardLogs" /stypes="app*4006*20160917*" /stext=" 17:.+((SYSTEM_STATE.+slice.+state.+changed )|(ment ac)|(system.+state.+changed )|(\|lc)|(penalty)|(\[timeout)|(PRM\|1\|D)|(kpr)|(kdp))" /e /r /s</v>
      </c>
      <c r="AG202" s="1" t="str">
        <f t="shared" si="99"/>
        <v>Other</v>
      </c>
      <c r="AH202" s="100" t="str">
        <f t="shared" si="101"/>
        <v>"%USERPROFILE%\Documents\GitHub\eaglep3\Utilities\RefineRTDCRunTimes.py" --tripid 55-17 --locoid 4006 --swversion DE.1.0.7.0 --startMP 204:1326 --initTime 2016-09-17T11:36:24 --startdatetime 2016-09-17T11:41:14 --delay 1 --endMP 300:24724 --enddatetime 2016-09-17T11:51:31 --enforcementcount 0 &gt;&gt;C:\Users\stu\Documents\GitHub\eaglep3-reporting\EC\2016-09-17-refined-times.txt</v>
      </c>
      <c r="AI202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{"issue":{"subject":"","project_id":79,"tracker_id":40,"status_id":1,"priority_id":2,"assigned_to_id":23,"start_date":"2016-09-17","description":"","custom_fields":[{"id":1,"name":"Subdivision","value":"Other"},{"id":4,"name":"Milepost","value":"2.4724"},{"id":17,"name":"Train ID","value":"55-17"},{"id":16,"name":"Locomotive ID","value":"4006"},{"id":130,"name":"Impact","value":""},{"id":150,"name":"Time of Event (Mountain Time)","value":"11:51:31"},{"id":151,"name":"Denver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474</v>
      </c>
      <c r="B203" s="7">
        <v>4005</v>
      </c>
      <c r="C203" s="24" t="s">
        <v>106</v>
      </c>
      <c r="D203" s="24" t="s">
        <v>719</v>
      </c>
      <c r="E203" s="15">
        <v>42630.452685185184</v>
      </c>
      <c r="F203" s="15">
        <v>42630.455671296295</v>
      </c>
      <c r="G203" s="7">
        <v>3</v>
      </c>
      <c r="H203" s="15" t="s">
        <v>720</v>
      </c>
      <c r="I203" s="15">
        <v>42630.462118055555</v>
      </c>
      <c r="J203" s="7">
        <v>0</v>
      </c>
      <c r="K203" s="121" t="str">
        <f t="shared" si="87"/>
        <v>4005/4006</v>
      </c>
      <c r="L203" s="24" t="str">
        <f>VLOOKUP(A203,'Trips&amp;Operators'!$C$1:$E$10000,3,FALSE)</f>
        <v>MOSES</v>
      </c>
      <c r="M203" s="6">
        <f t="shared" si="88"/>
        <v>6.4467592601431534E-3</v>
      </c>
      <c r="N203" s="7">
        <f t="shared" si="100"/>
        <v>9.2833333346061409</v>
      </c>
      <c r="O203" s="7"/>
      <c r="P203" s="7"/>
      <c r="Q203" s="25"/>
      <c r="R203" s="25"/>
      <c r="S203" s="37">
        <f t="shared" si="89"/>
        <v>0</v>
      </c>
      <c r="T203" s="52" t="e">
        <f t="shared" si="90"/>
        <v>#VALUE!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3" s="54" t="str">
        <f t="shared" si="92"/>
        <v>Y</v>
      </c>
      <c r="X203" s="168" t="e">
        <f t="shared" si="86"/>
        <v>#VALUE!</v>
      </c>
      <c r="Y203" s="69">
        <f t="shared" si="93"/>
        <v>2.3374000000000001</v>
      </c>
      <c r="Z203" s="69">
        <f t="shared" si="94"/>
        <v>0.1012</v>
      </c>
      <c r="AA203" s="69">
        <f t="shared" si="95"/>
        <v>2.2362000000000002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6"/>
        <v>56-17</v>
      </c>
      <c r="AE203" s="99" t="str">
        <f t="shared" si="97"/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3" s="96" t="str">
        <f t="shared" si="98"/>
        <v>"C:\Program Files (x86)\AstroGrep\AstroGrep.exe" /spath="%USERPROFILE%\AppData\Local\Temp\OnboardLogs" /stypes="app*4005*20160917*" /stext=" 17:.+((SYSTEM_STATE.+slice.+state.+changed )|(ment ac)|(system.+state.+changed )|(\|lc)|(penalty)|(\[timeout)|(PRM\|1\|D)|(kpr)|(kdp))" /e /r /s</v>
      </c>
      <c r="AG203" s="1" t="str">
        <f t="shared" si="99"/>
        <v>Other</v>
      </c>
      <c r="AH203" s="100" t="str">
        <f t="shared" si="101"/>
        <v>"%USERPROFILE%\Documents\GitHub\eaglep3\Utilities\RefineRTDCRunTimes.py" --tripid 56-17 --locoid 4005 --swversion DE.1.0.7.0 --startMP 300:23374 --initTime 2016-09-17T10:51:52 --startdatetime 2016-09-17T10:56:10 --delay 3 --endMP 204:1012 --enddatetime 2016-09-17T11:05:27 --enforcementcount 0 &gt;&gt;C:\Users\stu\Documents\GitHub\eaglep3-reporting\EC\2016-09-17-refined-times.txt</v>
      </c>
      <c r="AI203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{"issue":{"subject":"","project_id":79,"tracker_id":40,"status_id":1,"priority_id":2,"assigned_to_id":23,"start_date":"2016-09-17","description":"","custom_fields":[{"id":1,"name":"Subdivision","value":"Other"},{"id":4,"name":"Milepost","value":"0.1012"},{"id":17,"name":"Train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474</v>
      </c>
      <c r="B204" s="7">
        <v>4006</v>
      </c>
      <c r="C204" s="24" t="s">
        <v>106</v>
      </c>
      <c r="D204" s="24" t="s">
        <v>721</v>
      </c>
      <c r="E204" s="15">
        <v>42630.791180555556</v>
      </c>
      <c r="F204" s="15">
        <v>42630.793240740742</v>
      </c>
      <c r="G204" s="7">
        <v>1</v>
      </c>
      <c r="H204" s="15" t="s">
        <v>722</v>
      </c>
      <c r="I204" s="15">
        <v>42630.798344907409</v>
      </c>
      <c r="J204" s="7">
        <v>0</v>
      </c>
      <c r="K204" s="121" t="str">
        <f t="shared" si="87"/>
        <v>4005/4006</v>
      </c>
      <c r="L204" s="24" t="str">
        <f>VLOOKUP(A204,'Trips&amp;Operators'!$C$1:$E$10000,3,FALSE)</f>
        <v>MOSES</v>
      </c>
      <c r="M204" s="6">
        <f t="shared" si="88"/>
        <v>5.1041666665696539E-3</v>
      </c>
      <c r="N204" s="7">
        <f t="shared" si="100"/>
        <v>7.3499999998603016</v>
      </c>
      <c r="O204" s="7"/>
      <c r="P204" s="7"/>
      <c r="Q204" s="25"/>
      <c r="R204" s="25"/>
      <c r="S204" s="37">
        <f t="shared" si="89"/>
        <v>0</v>
      </c>
      <c r="T204" s="52" t="e">
        <f t="shared" si="90"/>
        <v>#VALUE!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17:59:18-0600',mode:absolute,to:'2016-09-17 20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4" s="54" t="str">
        <f t="shared" si="92"/>
        <v>Y</v>
      </c>
      <c r="X204" s="168" t="e">
        <f t="shared" si="86"/>
        <v>#VALUE!</v>
      </c>
      <c r="Y204" s="69">
        <f t="shared" si="93"/>
        <v>4.4999999999999998E-2</v>
      </c>
      <c r="Z204" s="69">
        <f t="shared" si="94"/>
        <v>2.4214000000000002</v>
      </c>
      <c r="AA204" s="69">
        <f t="shared" si="95"/>
        <v>2.3764000000000003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6"/>
        <v>56-17</v>
      </c>
      <c r="AE204" s="99" t="str">
        <f t="shared" si="97"/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4" s="96" t="str">
        <f t="shared" si="98"/>
        <v>"C:\Program Files (x86)\AstroGrep\AstroGrep.exe" /spath="%USERPROFILE%\AppData\Local\Temp\OnboardLogs" /stypes="app*4006*20160918*" /stext=" 01:.+((SYSTEM_STATE.+slice.+state.+changed )|(ment ac)|(system.+state.+changed )|(\|lc)|(penalty)|(\[timeout)|(PRM\|1\|D)|(kpr)|(kdp))" /e /r /s</v>
      </c>
      <c r="AG204" s="1" t="str">
        <f t="shared" si="99"/>
        <v>Other</v>
      </c>
      <c r="AH204" s="100" t="str">
        <f t="shared" si="101"/>
        <v>"%USERPROFILE%\Documents\GitHub\eaglep3\Utilities\RefineRTDCRunTimes.py" --tripid 56-17 --locoid 4006 --swversion DE.1.0.7.0 --startMP 204:450 --initTime 2016-09-17T18:59:18 --startdatetime 2016-09-17T19:02:16 --delay 1 --endMP 300:24214 --enddatetime 2016-09-17T19:09:37 --enforcementcount 0 &gt;&gt;C:\Users\stu\Documents\GitHub\eaglep3-reporting\EC\2016-09-17-refined-times.txt</v>
      </c>
      <c r="AI204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{"issue":{"subject":"","project_id":79,"tracker_id":40,"status_id":1,"priority_id":2,"assigned_to_id":23,"start_date":"2016-09-17","description":"","custom_fields":[{"id":1,"name":"Subdivision","value":"Other"},{"id":4,"name":"Milepost","value":"2.4214"},{"id":17,"name":"Train ID","value":"56-17"},{"id":16,"name":"Locomotive ID","value":"4006"},{"id":130,"name":"Impact","value":""},{"id":150,"name":"Time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549</v>
      </c>
      <c r="B205" s="7">
        <v>4016</v>
      </c>
      <c r="C205" s="24" t="s">
        <v>106</v>
      </c>
      <c r="D205" s="24" t="s">
        <v>723</v>
      </c>
      <c r="E205" s="15">
        <v>42630.738136574073</v>
      </c>
      <c r="F205" s="15">
        <v>42630.747164351851</v>
      </c>
      <c r="G205" s="7">
        <v>11</v>
      </c>
      <c r="H205" s="15" t="s">
        <v>724</v>
      </c>
      <c r="I205" s="15">
        <v>42630.75204861111</v>
      </c>
      <c r="J205" s="7">
        <v>0</v>
      </c>
      <c r="K205" s="121" t="str">
        <f t="shared" si="87"/>
        <v>4015/4016</v>
      </c>
      <c r="L205" s="24" t="str">
        <f>VLOOKUP(A205,'Trips&amp;Operators'!$C$1:$E$10000,3,FALSE)</f>
        <v>DE LA ROSA</v>
      </c>
      <c r="M205" s="6">
        <f t="shared" si="88"/>
        <v>4.8842592586879618E-3</v>
      </c>
      <c r="N205" s="7">
        <f t="shared" si="100"/>
        <v>7.0333333325106651</v>
      </c>
      <c r="O205" s="7"/>
      <c r="P205" s="7"/>
      <c r="Q205" s="25"/>
      <c r="R205" s="25"/>
      <c r="S205" s="37">
        <f t="shared" si="89"/>
        <v>0</v>
      </c>
      <c r="T205" s="52" t="e">
        <f t="shared" si="90"/>
        <v>#VALUE!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16:42:55-0600',mode:absolute,to:'2016-09-17 19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 t="shared" si="92"/>
        <v>Y</v>
      </c>
      <c r="X205" s="168" t="e">
        <f t="shared" si="86"/>
        <v>#VALUE!</v>
      </c>
      <c r="Y205" s="69">
        <f t="shared" si="93"/>
        <v>0.11650000000000001</v>
      </c>
      <c r="Z205" s="69">
        <f t="shared" si="94"/>
        <v>2.3296999999999999</v>
      </c>
      <c r="AA205" s="69">
        <f t="shared" ref="AA205:AA236" si="103">ABS(Z205-Y205)</f>
        <v>2.2132000000000001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si="96"/>
        <v>63-17</v>
      </c>
      <c r="AE205" s="99" t="str">
        <f t="shared" si="97"/>
        <v>aws s3 cp s3://rtdc.mdm.uploadarchive/RTDC4016/2016-09-17/ "%USERPROFILE%\AppData\Local\Temp\OnboardLogs"\RTDC4016\2016-09-17 --recursive &amp; "%USERPROFILE%\Documents\GitHub\mrs-test-scripts\Headless Mode &amp; Sideloading\WalkAndUnGZ.bat" "%USERPROFILE%\AppData\Local\Temp\OnboardLogs"\RTDC4016\2016-09-17 &amp; 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</v>
      </c>
      <c r="AF205" s="96" t="str">
        <f t="shared" si="98"/>
        <v>"C:\Program Files (x86)\AstroGrep\AstroGrep.exe" /spath="%USERPROFILE%\AppData\Local\Temp\OnboardLogs" /stypes="app*4016*20160918*" /stext=" 00:.+((SYSTEM_STATE.+slice.+state.+changed )|(ment ac)|(system.+state.+changed )|(\|lc)|(penalty)|(\[timeout)|(PRM\|1\|D)|(kpr)|(kdp))" /e /r /s</v>
      </c>
      <c r="AG205" s="1" t="str">
        <f t="shared" si="99"/>
        <v>Other</v>
      </c>
      <c r="AH205" s="100" t="str">
        <f t="shared" si="101"/>
        <v>"%USERPROFILE%\Documents\GitHub\eaglep3\Utilities\RefineRTDCRunTimes.py" --tripid 63-17 --locoid 4016 --swversion DE.1.0.7.0 --startMP 204:1165 --initTime 2016-09-17T17:42:55 --startdatetime 2016-09-17T17:55:55 --delay 11 --endMP 300:23297 --enddatetime 2016-09-17T18:02:57 --enforcementcount 0 &gt;&gt;C:\Users\stu\Documents\GitHub\eaglep3-reporting\EC\2016-09-17-refined-times.txt</v>
      </c>
      <c r="AI205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{"issue":{"subject":"","project_id":79,"tracker_id":40,"status_id":1,"priority_id":2,"assigned_to_id":23,"start_date":"2016-09-17","description":"","custom_fields":[{"id":1,"name":"Subdivision","value":"Other"},{"id":4,"name":"Milepost","value":"2.3297"},{"id":17,"name":"Train ID","value":"63-17"},{"id":16,"name":"Locomotive ID","value":"4016"},{"id":130,"name":"Impact","value":""},{"id":150,"name":"Time of Event (Mountain Time)","value":"18:02:57"},{"id":151,"name":"Denver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562</v>
      </c>
      <c r="B206" s="7">
        <v>4022</v>
      </c>
      <c r="C206" s="24" t="s">
        <v>106</v>
      </c>
      <c r="D206" s="24" t="s">
        <v>725</v>
      </c>
      <c r="E206" s="15">
        <v>42630.779039351852</v>
      </c>
      <c r="F206" s="15">
        <v>25568.958333333332</v>
      </c>
      <c r="G206" s="7">
        <v>1</v>
      </c>
      <c r="H206" s="15" t="s">
        <v>726</v>
      </c>
      <c r="I206" s="15">
        <v>25568.958333333332</v>
      </c>
      <c r="J206" s="7">
        <v>0</v>
      </c>
      <c r="K206" s="121" t="str">
        <f t="shared" si="87"/>
        <v>4021/4022</v>
      </c>
      <c r="L206" s="24" t="str">
        <f>VLOOKUP(A206,'Trips&amp;Operators'!$C$1:$E$10000,3,FALSE)</f>
        <v>MOSES</v>
      </c>
      <c r="M206" s="6">
        <f t="shared" si="88"/>
        <v>0</v>
      </c>
      <c r="N206" s="7">
        <f t="shared" si="100"/>
        <v>0</v>
      </c>
      <c r="O206" s="7"/>
      <c r="P206" s="7"/>
      <c r="Q206" s="25"/>
      <c r="R206" s="25"/>
      <c r="S206" s="37">
        <f t="shared" si="89"/>
        <v>0</v>
      </c>
      <c r="T206" s="52" t="e">
        <f t="shared" si="90"/>
        <v>#VALUE!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17:41:49-0600',mode:absolute,to:'1970-01-01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06" s="54" t="str">
        <f t="shared" si="92"/>
        <v>Y</v>
      </c>
      <c r="X206" s="168" t="e">
        <f t="shared" si="86"/>
        <v>#VALUE!</v>
      </c>
      <c r="Y206" s="69">
        <f t="shared" si="93"/>
        <v>7.6399999999999996E-2</v>
      </c>
      <c r="Z206" s="69">
        <f t="shared" si="94"/>
        <v>2.4239000000000002</v>
      </c>
      <c r="AA206" s="69">
        <f t="shared" si="103"/>
        <v>2.3475000000000001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96"/>
        <v>64-17</v>
      </c>
      <c r="AE206" s="99" t="str">
        <f t="shared" si="97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06" s="96" t="str">
        <f t="shared" si="98"/>
        <v>"C:\Program Files (x86)\AstroGrep\AstroGrep.exe" /spath="%USERPROFILE%\AppData\Local\Temp\OnboardLogs" /stypes="app*4022*19700101*" /stext=" 05:.+((SYSTEM_STATE.+slice.+state.+changed )|(ment ac)|(system.+state.+changed )|(\|lc)|(penalty)|(\[timeout)|(PRM\|1\|D)|(kpr)|(kdp))" /e /r /s</v>
      </c>
      <c r="AG206" s="1" t="str">
        <f t="shared" si="99"/>
        <v>Other</v>
      </c>
      <c r="AH206" s="100" t="str">
        <f t="shared" si="101"/>
        <v>"%USERPROFILE%\Documents\GitHub\eaglep3\Utilities\RefineRTDCRunTimes.py" --tripid 64-17 --locoid 4022 --swversion DE.1.0.7.0 --startMP 204:764 --initTime 2016-09-17T18:41:49 --startdatetime 1969-12-31T23:00:00 --delay 1 --endMP 300:24239 --enddatetime 1969-12-31T23:00:00 --enforcementcount 0 &gt;&gt;C:\Users\stu\Documents\GitHub\eaglep3-reporting\EC\2016-09-17-refined-times.txt</v>
      </c>
      <c r="AI206" s="134" t="str">
        <f t="shared" si="102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ID","value":"64-17"},{"id":16,"name":"Locomotive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556</v>
      </c>
      <c r="B207" s="7">
        <v>4021</v>
      </c>
      <c r="C207" s="24" t="s">
        <v>106</v>
      </c>
      <c r="D207" s="24" t="s">
        <v>727</v>
      </c>
      <c r="E207" s="15">
        <v>42630.766250000001</v>
      </c>
      <c r="F207" s="15">
        <v>42630.769328703704</v>
      </c>
      <c r="G207" s="7">
        <v>4</v>
      </c>
      <c r="H207" s="15" t="s">
        <v>728</v>
      </c>
      <c r="I207" s="15">
        <v>42630.769490740742</v>
      </c>
      <c r="J207" s="7">
        <v>0</v>
      </c>
      <c r="K207" s="121" t="str">
        <f t="shared" si="87"/>
        <v>4021/4022</v>
      </c>
      <c r="L207" s="24" t="str">
        <f>VLOOKUP(A207,'Trips&amp;Operators'!$C$1:$E$10000,3,FALSE)</f>
        <v>LEVIN</v>
      </c>
      <c r="M207" s="6">
        <f t="shared" si="88"/>
        <v>1.6203703853534535E-4</v>
      </c>
      <c r="N207" s="7">
        <f t="shared" si="100"/>
        <v>0.2333333354908973</v>
      </c>
      <c r="O207" s="7"/>
      <c r="P207" s="7"/>
      <c r="Q207" s="25"/>
      <c r="R207" s="25"/>
      <c r="S207" s="37">
        <f t="shared" si="89"/>
        <v>0</v>
      </c>
      <c r="T207" s="52" t="e">
        <f t="shared" si="90"/>
        <v>#VALUE!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07" s="54" t="str">
        <f t="shared" si="92"/>
        <v>Y</v>
      </c>
      <c r="X207" s="168" t="e">
        <f t="shared" si="86"/>
        <v>#VALUE!</v>
      </c>
      <c r="Y207" s="69">
        <f t="shared" si="93"/>
        <v>2.4525000000000001</v>
      </c>
      <c r="Z207" s="69">
        <f t="shared" si="94"/>
        <v>2.3932000000000002</v>
      </c>
      <c r="AA207" s="69">
        <f t="shared" si="103"/>
        <v>5.9299999999999908E-2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96"/>
        <v>66-17</v>
      </c>
      <c r="AE207" s="99" t="str">
        <f t="shared" si="97"/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AF207" s="96" t="str">
        <f t="shared" si="98"/>
        <v>"C:\Program Files (x86)\AstroGrep\AstroGrep.exe" /spath="%USERPROFILE%\AppData\Local\Temp\OnboardLogs" /stypes="app*4021*20160918*" /stext=" 00:.+((SYSTEM_STATE.+slice.+state.+changed )|(ment ac)|(system.+state.+changed )|(\|lc)|(penalty)|(\[timeout)|(PRM\|1\|D)|(kpr)|(kdp))" /e /r /s</v>
      </c>
      <c r="AG207" s="1" t="str">
        <f t="shared" si="99"/>
        <v>Other</v>
      </c>
      <c r="AH207" s="100" t="str">
        <f t="shared" si="101"/>
        <v>"%USERPROFILE%\Documents\GitHub\eaglep3\Utilities\RefineRTDCRunTimes.py" --tripid 66-17 --locoid 4021 --swversion DE.1.0.7.0 --startMP 300:24525 --initTime 2016-09-17T18:23:24 --startdatetime 2016-09-17T18:27:50 --delay 4 --endMP 300:23932 --enddatetime 2016-09-17T18:28:04 --enforcementcount 0 &gt;&gt;C:\Users\stu\Documents\GitHub\eaglep3-reporting\EC\2016-09-17-refined-times.txt</v>
      </c>
      <c r="AI207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{"issue":{"subject":"","project_id":79,"tracker_id":40,"status_id":1,"priority_id":2,"assigned_to_id":23,"start_date":"2016-09-17","description":"","custom_fields":[{"id":1,"name":"Subdivision","value":"Other"},{"id":4,"name":"Milepost","value":"2.3932"},{"id":17,"name":"Train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1"/>
      <c r="L208" s="24"/>
      <c r="M208" s="6"/>
      <c r="N208" s="7"/>
      <c r="O208" s="7"/>
      <c r="P208" s="7"/>
      <c r="Q208" s="25"/>
      <c r="R208" s="25"/>
      <c r="S208" s="37"/>
      <c r="T208" s="52"/>
      <c r="U208" s="163"/>
      <c r="V208" s="106"/>
      <c r="W208" s="54"/>
      <c r="X208" s="168"/>
      <c r="Y208" s="69"/>
      <c r="Z208" s="69"/>
      <c r="AA208" s="69"/>
      <c r="AB208" s="66"/>
      <c r="AC208" s="62"/>
      <c r="AD208" s="63"/>
      <c r="AE208" s="99"/>
      <c r="AF208" s="96"/>
      <c r="AG208" s="1"/>
      <c r="AI208" s="134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1"/>
      <c r="L209" s="24"/>
      <c r="M209" s="6"/>
      <c r="N209" s="7"/>
      <c r="O209" s="7"/>
      <c r="P209" s="7"/>
      <c r="Q209" s="25"/>
      <c r="R209" s="25"/>
      <c r="S209" s="37"/>
      <c r="T209" s="52"/>
      <c r="U209" s="163"/>
      <c r="V209" s="106"/>
      <c r="W209" s="54"/>
      <c r="X209" s="168"/>
      <c r="Y209" s="69"/>
      <c r="Z209" s="69"/>
      <c r="AA209" s="69"/>
      <c r="AB209" s="66"/>
      <c r="AC209" s="62"/>
      <c r="AD209" s="63"/>
      <c r="AE209" s="99"/>
      <c r="AF209" s="96"/>
      <c r="AG209" s="1"/>
      <c r="AI209" s="134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1"/>
      <c r="L210" s="24"/>
      <c r="M210" s="6"/>
      <c r="N210" s="7"/>
      <c r="O210" s="7"/>
      <c r="P210" s="7"/>
      <c r="Q210" s="25"/>
      <c r="R210" s="25"/>
      <c r="S210" s="37"/>
      <c r="T210" s="52"/>
      <c r="U210" s="163"/>
      <c r="V210" s="106"/>
      <c r="W210" s="54"/>
      <c r="X210" s="168"/>
      <c r="Y210" s="69"/>
      <c r="Z210" s="69"/>
      <c r="AA210" s="69"/>
      <c r="AB210" s="66"/>
      <c r="AC210" s="62"/>
      <c r="AD210" s="63"/>
      <c r="AE210" s="99"/>
      <c r="AF210" s="96"/>
      <c r="AG210" s="1"/>
      <c r="AI210" s="134"/>
      <c r="AJ210" s="55"/>
      <c r="AK210" s="55"/>
      <c r="AL210" s="55"/>
    </row>
    <row r="211" spans="1:38" s="23" customFormat="1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1"/>
      <c r="L211" s="24"/>
      <c r="M211" s="6"/>
      <c r="N211" s="7"/>
      <c r="O211" s="7"/>
      <c r="P211" s="7"/>
      <c r="Q211" s="25"/>
      <c r="R211" s="25"/>
      <c r="S211" s="37"/>
      <c r="T211" s="52"/>
      <c r="U211" s="163"/>
      <c r="V211" s="106"/>
      <c r="W211" s="54"/>
      <c r="X211" s="168"/>
      <c r="Y211" s="69"/>
      <c r="Z211" s="69"/>
      <c r="AA211" s="69"/>
      <c r="AB211" s="66"/>
      <c r="AC211" s="62"/>
      <c r="AD211" s="63"/>
      <c r="AE211" s="99"/>
      <c r="AF211" s="96"/>
      <c r="AG211" s="1"/>
      <c r="AH211" s="100"/>
      <c r="AI211" s="134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s="23" customFormat="1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H213" s="100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5">
    <cfRule type="expression" dxfId="6" priority="262">
      <formula>$O13&gt;0</formula>
    </cfRule>
  </conditionalFormatting>
  <conditionalFormatting sqref="A13:S255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A220:S255 S13:S219 A13:Q219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P14" sqref="P1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0</v>
      </c>
      <c r="P2" s="123"/>
      <c r="R2" s="97"/>
      <c r="S2" s="109"/>
      <c r="T2" s="94"/>
      <c r="V2" s="50"/>
      <c r="AC2" s="175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38</v>
      </c>
      <c r="P3" s="123"/>
      <c r="R3" s="97"/>
      <c r="S3" s="109"/>
      <c r="T3" s="94"/>
      <c r="V3" s="50"/>
      <c r="AC3" s="175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5"/>
    </row>
    <row r="5" spans="1:29" s="11" customFormat="1" ht="15" customHeight="1" x14ac:dyDescent="0.25">
      <c r="A5" s="179" t="str">
        <f>"Eagle P3 Braking Events - "&amp;TEXT(Variables!$A$2,"YYYY-mm-dd")</f>
        <v>Eagle P3 Braking Events - 2016-09-17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6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180</v>
      </c>
      <c r="J6" s="136" t="s">
        <v>30</v>
      </c>
      <c r="K6" s="137" t="s">
        <v>29</v>
      </c>
      <c r="L6" s="149" t="s">
        <v>28</v>
      </c>
      <c r="M6" s="137" t="s">
        <v>181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162</v>
      </c>
      <c r="Z6" s="145" t="s">
        <v>163</v>
      </c>
      <c r="AA6" s="145" t="s">
        <v>136</v>
      </c>
      <c r="AB6" s="145" t="s">
        <v>164</v>
      </c>
      <c r="AC6" s="177" t="s">
        <v>736</v>
      </c>
    </row>
    <row r="7" spans="1:29" s="1" customFormat="1" x14ac:dyDescent="0.25">
      <c r="A7" s="38">
        <v>42630.311898148146</v>
      </c>
      <c r="B7" s="33" t="s">
        <v>179</v>
      </c>
      <c r="C7" s="33" t="s">
        <v>436</v>
      </c>
      <c r="D7" s="33" t="s">
        <v>49</v>
      </c>
      <c r="E7" s="33" t="s">
        <v>170</v>
      </c>
      <c r="F7" s="49">
        <v>0</v>
      </c>
      <c r="G7" s="49">
        <v>394</v>
      </c>
      <c r="H7" s="49">
        <v>62453</v>
      </c>
      <c r="I7" s="49">
        <v>63251</v>
      </c>
      <c r="J7" s="33" t="s">
        <v>169</v>
      </c>
      <c r="K7" s="49">
        <v>63069</v>
      </c>
      <c r="L7" s="150" t="s">
        <v>52</v>
      </c>
      <c r="M7" s="153">
        <f t="shared" ref="M7:M44" si="0">CONVERT((I7-K7)/10000,"mi","ft")*IF(L7="Increasing Mileposts (1)",-1,1)</f>
        <v>-96.096000000000004</v>
      </c>
      <c r="N7" s="92" t="str">
        <f>VLOOKUP(C7,'Trips&amp;Operators'!$C$1:$E$99999,3,FALSE)</f>
        <v>STRICKLAND</v>
      </c>
      <c r="O7" s="174" t="s">
        <v>86</v>
      </c>
      <c r="P7" s="10" t="s">
        <v>258</v>
      </c>
      <c r="Q7" s="33"/>
      <c r="R7" s="108" t="str">
        <f>VLOOKUP(C7,'Train Runs'!$A$13:$AE$10018,31,0)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S7" s="111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7" s="113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/stypes="*4042*201609171*" /stext=" 13:.+((SYSTEM_STATE.+slice.+state.+changed )|(ment ac)|(system.+state.+changed )|(\|lc)|(penalty)|(\[timeout)|(PRM\|1\|D)|(kpr)|(kdp))" /e /r /s</v>
      </c>
      <c r="U7" s="9" t="str">
        <f t="shared" ref="U7:U44" si="2">MID(B7,13,4)</f>
        <v>4042</v>
      </c>
      <c r="V7" s="38">
        <f t="shared" ref="V7:V44" si="3">A7+6/24</f>
        <v>42630.561898148146</v>
      </c>
      <c r="W7" s="52" t="str">
        <f t="shared" ref="W7:W44" si="4">IF(VALUE(LEFT(IF(LEN(C7)=6,"0"&amp;C7,C7),2))&lt;=2,"EC",IF(OR(VALUE(LEFT(IF(LEN(C7)=6,"0"&amp;C7,C7),2))=8,VALUE(LEFT(IF(LEN(C7)=6,"0"&amp;C7,C7),2))=18),"NW","Other"))</f>
        <v>EC</v>
      </c>
      <c r="X7" s="52" t="str">
        <f t="shared" ref="X7:X44" si="5">IF(AND(E7="TRACK WARRANT AUTHORITY",G7&lt;10),"OMIT","KEEP")</f>
        <v>KEEP</v>
      </c>
      <c r="Y7" s="134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arrival","project_id":79,"tracker_id":40,"status_id":1,"priority_id":2,"assigned_to_id":23,"start_date":"2016-09-17","description":"","custom_fields":[{"id":1,"name":"Subdivision","value":"EC"},{"id":4,"name":"Milepost","value":"6.3069"},{"id":17,"name":"Train ID","value":"129-17"},{"id":16,"name":"Locomotive ID","value":"4042"},{"id":130,"name":"Impact","value":""},{"id":150,"name":"Time of Event (Mountain Time)","value":"07:29:08"},{"id":151,"name":"Denver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"%USERPROFILE%\AppData\Local\Temp\OnboardLogs"\RTDC4042\*4042*201609171* | grep -SE "((Enforcement Ac)|(PRM))" -</v>
      </c>
    </row>
    <row r="8" spans="1:29" s="1" customFormat="1" x14ac:dyDescent="0.25">
      <c r="A8" s="38">
        <v>42630.929270833331</v>
      </c>
      <c r="B8" s="33" t="s">
        <v>399</v>
      </c>
      <c r="C8" s="33" t="s">
        <v>585</v>
      </c>
      <c r="D8" s="33" t="s">
        <v>49</v>
      </c>
      <c r="E8" s="33" t="s">
        <v>170</v>
      </c>
      <c r="F8" s="49">
        <v>0</v>
      </c>
      <c r="G8" s="49">
        <v>296</v>
      </c>
      <c r="H8" s="49">
        <v>77126</v>
      </c>
      <c r="I8" s="49">
        <v>77691</v>
      </c>
      <c r="J8" s="33" t="s">
        <v>169</v>
      </c>
      <c r="K8" s="49">
        <v>78349</v>
      </c>
      <c r="L8" s="150" t="s">
        <v>52</v>
      </c>
      <c r="M8" s="153">
        <f t="shared" si="0"/>
        <v>347.42399999999998</v>
      </c>
      <c r="N8" s="92" t="str">
        <f>VLOOKUP(C8,'Trips&amp;Operators'!$C$1:$E$99999,3,FALSE)</f>
        <v>CHANDLER</v>
      </c>
      <c r="O8" s="174" t="s">
        <v>86</v>
      </c>
      <c r="P8" s="10" t="s">
        <v>735</v>
      </c>
      <c r="Q8" s="33"/>
      <c r="R8" s="108" t="str">
        <f>VLOOKUP(C8,'Train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8" s="111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8" s="113" t="str">
        <f t="shared" si="1"/>
        <v>"C:\Program Files (x86)\AstroGrep\AstroGrep.exe" /spath="%USERPROFILE%\AppData\Local\Temp\OnboardLogs" /stypes="*4011*201609180*" /stext=" 04:.+((SYSTEM_STATE.+slice.+state.+changed )|(ment ac)|(system.+state.+changed )|(\|lc)|(penalty)|(\[timeout)|(PRM\|1\|D)|(kpr)|(kdp))" /e /r /s</v>
      </c>
      <c r="U8" s="9" t="str">
        <f t="shared" si="2"/>
        <v>4011</v>
      </c>
      <c r="V8" s="38">
        <f t="shared" si="3"/>
        <v>42631.179270833331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C","project_id":79,"tracker_id":40,"status_id":1,"priority_id":2,"assigned_to_id":23,"start_date":"2016-09-17","description":"","custom_fields":[{"id":1,"name":"Subdivision","value":"EC"},{"id":4,"name":"Milepost","value":"7.8349"},{"id":17,"name":"Train ID","value":"233-17"},{"id":16,"name":"Locomotive ID","value":"4011"},{"id":130,"name":"Impact","value":""},{"id":150,"name":"Time of Event (Mountain Time)","value":"22:18:09"},{"id":151,"name":"Denver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8" t="str">
        <f t="shared" si="7"/>
        <v>grep -hSE -A100 "Enforcement Action" "%USERPROFILE%\AppData\Local\Temp\OnboardLogs"\RTDC4011\*4011*201609180* | grep -SE "((Enforcement Ac)|(PRM))" -</v>
      </c>
    </row>
    <row r="9" spans="1:29" s="1" customFormat="1" x14ac:dyDescent="0.25">
      <c r="A9" s="38">
        <v>42630.242291666669</v>
      </c>
      <c r="B9" s="33" t="s">
        <v>413</v>
      </c>
      <c r="C9" s="33" t="s">
        <v>414</v>
      </c>
      <c r="D9" s="33" t="s">
        <v>105</v>
      </c>
      <c r="E9" s="33" t="s">
        <v>170</v>
      </c>
      <c r="F9" s="49">
        <v>0</v>
      </c>
      <c r="G9" s="49">
        <v>331</v>
      </c>
      <c r="H9" s="49">
        <v>78440</v>
      </c>
      <c r="I9" s="49">
        <v>77882</v>
      </c>
      <c r="J9" s="33" t="s">
        <v>169</v>
      </c>
      <c r="K9" s="49">
        <v>78469</v>
      </c>
      <c r="L9" s="150" t="s">
        <v>53</v>
      </c>
      <c r="M9" s="153">
        <f t="shared" si="0"/>
        <v>-309.93599999999998</v>
      </c>
      <c r="N9" s="92" t="str">
        <f>VLOOKUP(C9,'Trips&amp;Operators'!$C$1:$E$99999,3,FALSE)</f>
        <v>DAVIS</v>
      </c>
      <c r="O9" s="174" t="s">
        <v>86</v>
      </c>
      <c r="P9" s="10" t="s">
        <v>258</v>
      </c>
      <c r="Q9" s="33"/>
      <c r="R9" s="108" t="str">
        <f>VLOOKUP(C9,'Train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9" s="111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9" s="113" t="str">
        <f t="shared" si="1"/>
        <v>"C:\Program Files (x86)\AstroGrep\AstroGrep.exe" /spath="%USERPROFILE%\AppData\Local\Temp\OnboardLogs" /stypes="*4039*201609171*" /stext=" 11:.+((SYSTEM_STATE.+slice.+state.+changed )|(ment ac)|(system.+state.+changed )|(\|lc)|(penalty)|(\[timeout)|(PRM\|1\|D)|(kpr)|(kdp))" /e /r /s</v>
      </c>
      <c r="U9" s="9" t="str">
        <f t="shared" si="2"/>
        <v>4039</v>
      </c>
      <c r="V9" s="38">
        <f t="shared" si="3"/>
        <v>42630.492291666669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ID","value":"108-17"},{"id":16,"name":"Locomotive ID","value":"4039"},{"id":130,"name":"Impact","value":""},{"id":150,"name":"Time of Event (Mountain Time)","value":"05:48:54"},{"id":151,"name":"Denver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8" t="str">
        <f t="shared" si="7"/>
        <v>grep -hSE -A100 "Enforcement Action" "%USERPROFILE%\AppData\Local\Temp\OnboardLogs"\RTDC4039\*4039*201609171* | grep -SE "((Enforcement Ac)|(PRM))" -</v>
      </c>
    </row>
    <row r="10" spans="1:29" s="1" customFormat="1" x14ac:dyDescent="0.25">
      <c r="A10" s="38">
        <v>42630.325173611112</v>
      </c>
      <c r="B10" s="33" t="s">
        <v>411</v>
      </c>
      <c r="C10" s="33" t="s">
        <v>437</v>
      </c>
      <c r="D10" s="33" t="s">
        <v>260</v>
      </c>
      <c r="E10" s="33" t="s">
        <v>170</v>
      </c>
      <c r="F10" s="49">
        <v>0</v>
      </c>
      <c r="G10" s="49">
        <v>254</v>
      </c>
      <c r="H10" s="49">
        <v>78419</v>
      </c>
      <c r="I10" s="49">
        <v>77874</v>
      </c>
      <c r="J10" s="33" t="s">
        <v>169</v>
      </c>
      <c r="K10" s="49">
        <v>78469</v>
      </c>
      <c r="L10" s="150" t="s">
        <v>53</v>
      </c>
      <c r="M10" s="153">
        <f t="shared" si="0"/>
        <v>-314.16000000000003</v>
      </c>
      <c r="N10" s="92" t="str">
        <f>VLOOKUP(C10,'Trips&amp;Operators'!$C$1:$E$99999,3,FALSE)</f>
        <v>KILLION</v>
      </c>
      <c r="O10" s="174" t="s">
        <v>86</v>
      </c>
      <c r="P10" s="10" t="s">
        <v>258</v>
      </c>
      <c r="Q10" s="33"/>
      <c r="R10" s="108" t="str">
        <f>VLOOKUP(C10,'Train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0" s="111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0" s="113" t="str">
        <f t="shared" si="1"/>
        <v>"C:\Program Files (x86)\AstroGrep\AstroGrep.exe" /spath="%USERPROFILE%\AppData\Local\Temp\OnboardLogs" /stypes="*4028*201609171*" /stext=" 13:.+((SYSTEM_STATE.+slice.+state.+changed )|(ment ac)|(system.+state.+changed )|(\|lc)|(penalty)|(\[timeout)|(PRM\|1\|D)|(kpr)|(kdp))" /e /r /s</v>
      </c>
      <c r="U10" s="9" t="str">
        <f t="shared" si="2"/>
        <v>4028</v>
      </c>
      <c r="V10" s="38">
        <f t="shared" si="3"/>
        <v>42630.575173611112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ID","value":"124-17"},{"id":16,"name":"Locomotive ID","value":"4028"},{"id":130,"name":"Impact","value":""},{"id":150,"name":"Time of Event (Mountain Time)","value":"07:48:15"},{"id":151,"name":"Denver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8" t="str">
        <f t="shared" si="7"/>
        <v>grep -hSE -A100 "Enforcement Action" "%USERPROFILE%\AppData\Local\Temp\OnboardLogs"\RTDC4028\*4028*201609171* | grep -SE "((Enforcement Ac)|(PRM))" -</v>
      </c>
    </row>
    <row r="11" spans="1:29" s="1" customFormat="1" x14ac:dyDescent="0.25">
      <c r="A11" s="38">
        <v>42630.687835648147</v>
      </c>
      <c r="B11" s="33" t="s">
        <v>411</v>
      </c>
      <c r="C11" s="33" t="s">
        <v>530</v>
      </c>
      <c r="D11" s="33" t="s">
        <v>49</v>
      </c>
      <c r="E11" s="33" t="s">
        <v>170</v>
      </c>
      <c r="F11" s="49">
        <v>0</v>
      </c>
      <c r="G11" s="49">
        <v>413</v>
      </c>
      <c r="H11" s="49">
        <v>109147</v>
      </c>
      <c r="I11" s="49">
        <v>108466</v>
      </c>
      <c r="J11" s="33" t="s">
        <v>169</v>
      </c>
      <c r="K11" s="49">
        <v>109135</v>
      </c>
      <c r="L11" s="150" t="s">
        <v>53</v>
      </c>
      <c r="M11" s="153">
        <f t="shared" si="0"/>
        <v>-353.23200000000003</v>
      </c>
      <c r="N11" s="92" t="str">
        <f>VLOOKUP(C11,'Trips&amp;Operators'!$C$1:$E$99999,3,FALSE)</f>
        <v>SHOOK</v>
      </c>
      <c r="O11" s="174" t="s">
        <v>86</v>
      </c>
      <c r="P11" s="10" t="s">
        <v>258</v>
      </c>
      <c r="Q11" s="33"/>
      <c r="R11" s="108" t="str">
        <f>VLOOKUP(C11,'Train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1" s="111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1" s="113" t="str">
        <f t="shared" si="1"/>
        <v>"C:\Program Files (x86)\AstroGrep\AstroGrep.exe" /spath="%USERPROFILE%\AppData\Local\Temp\OnboardLogs" /stypes="*4028*201609172*" /stext=" 22:.+((SYSTEM_STATE.+slice.+state.+changed )|(ment ac)|(system.+state.+changed )|(\|lc)|(penalty)|(\[timeout)|(PRM\|1\|D)|(kpr)|(kdp))" /e /r /s</v>
      </c>
      <c r="U11" s="9" t="str">
        <f t="shared" si="2"/>
        <v>4028</v>
      </c>
      <c r="V11" s="38">
        <f t="shared" si="3"/>
        <v>42630.937835648147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arrival","project_id":79,"tracker_id":40,"status_id":1,"priority_id":2,"assigned_to_id":23,"start_date":"2016-09-17","description":"","custom_fields":[{"id":1,"name":"Subdivision","value":"EC"},{"id":4,"name":"Milepost","value":"10.9135"},{"id":17,"name":"Train ID","value":"194-17"},{"id":16,"name":"Locomotive ID","value":"4028"},{"id":130,"name":"Impact","value":""},{"id":150,"name":"Time of Event (Mountain Time)","value":"16:30:29"},{"id":151,"name":"Denver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8" t="str">
        <f t="shared" si="7"/>
        <v>grep -hSE -A100 "Enforcement Action" "%USERPROFILE%\AppData\Local\Temp\OnboardLogs"\RTDC4028\*4028*201609172* | grep -SE "((Enforcement Ac)|(PRM))" -</v>
      </c>
    </row>
    <row r="12" spans="1:29" s="1" customFormat="1" x14ac:dyDescent="0.25">
      <c r="A12" s="38">
        <v>42630.584039351852</v>
      </c>
      <c r="B12" s="33" t="s">
        <v>177</v>
      </c>
      <c r="C12" s="33" t="s">
        <v>503</v>
      </c>
      <c r="D12" s="33" t="s">
        <v>49</v>
      </c>
      <c r="E12" s="33" t="s">
        <v>56</v>
      </c>
      <c r="F12" s="49">
        <v>450</v>
      </c>
      <c r="G12" s="49">
        <v>504</v>
      </c>
      <c r="H12" s="49">
        <v>17294</v>
      </c>
      <c r="I12" s="49">
        <v>14553</v>
      </c>
      <c r="J12" s="33" t="s">
        <v>57</v>
      </c>
      <c r="K12" s="49">
        <v>15167</v>
      </c>
      <c r="L12" s="150" t="s">
        <v>53</v>
      </c>
      <c r="M12" s="153">
        <f t="shared" si="0"/>
        <v>-324.19200000000001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Runs'!$A$13:$AE$10018,31,0)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S12" s="111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2" s="113" t="str">
        <f t="shared" si="1"/>
        <v>"C:\Program Files (x86)\AstroGrep\AstroGrep.exe" /spath="%USERPROFILE%\AppData\Local\Temp\OnboardLogs" /stypes="*4041*201609172*" /stext=" 20:.+((SYSTEM_STATE.+slice.+state.+changed )|(ment ac)|(system.+state.+changed )|(\|lc)|(penalty)|(\[timeout)|(PRM\|1\|D)|(kpr)|(kdp))" /e /r /s</v>
      </c>
      <c r="U12" s="9" t="str">
        <f t="shared" si="2"/>
        <v>4041</v>
      </c>
      <c r="V12" s="38">
        <f t="shared" si="3"/>
        <v>42630.834039351852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{"issue":{"subject":"","project_id":79,"tracker_id":40,"status_id":1,"priority_id":2,"assigned_to_id":23,"start_date":"2016-09-17","description":"","custom_fields":[{"id":1,"name":"Subdivision","value":"EC"},{"id":4,"name":"Milepost","value":"1.5167"},{"id":17,"name":"Train ID","value":"172-17"},{"id":16,"name":"Locomotive ID","value":"4041"},{"id":130,"name":"Impact","value":""},{"id":150,"name":"Time of Event (Mountain Time)","value":"14:01:01"},{"id":151,"name":"Denver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8" t="str">
        <f t="shared" si="7"/>
        <v>grep -hSE -A100 "Enforcement Action" "%USERPROFILE%\AppData\Local\Temp\OnboardLogs"\RTDC4041\*4041*201609172* | grep -SE "((Enforcement Ac)|(PRM))" -</v>
      </c>
    </row>
    <row r="13" spans="1:29" s="1" customFormat="1" x14ac:dyDescent="0.25">
      <c r="A13" s="38">
        <v>42630.70076388889</v>
      </c>
      <c r="B13" s="33" t="s">
        <v>402</v>
      </c>
      <c r="C13" s="33" t="s">
        <v>537</v>
      </c>
      <c r="D13" s="33" t="s">
        <v>49</v>
      </c>
      <c r="E13" s="33" t="s">
        <v>56</v>
      </c>
      <c r="F13" s="49">
        <v>400</v>
      </c>
      <c r="G13" s="49">
        <v>505</v>
      </c>
      <c r="H13" s="49">
        <v>17020</v>
      </c>
      <c r="I13" s="49">
        <v>17955</v>
      </c>
      <c r="J13" s="33" t="s">
        <v>57</v>
      </c>
      <c r="K13" s="49">
        <v>17867</v>
      </c>
      <c r="L13" s="150" t="s">
        <v>52</v>
      </c>
      <c r="M13" s="153">
        <f t="shared" si="0"/>
        <v>-46.463999999999999</v>
      </c>
      <c r="N13" s="92" t="str">
        <f>VLOOKUP(C13,'Trips&amp;Operators'!$C$1:$E$99999,3,FALSE)</f>
        <v>MOSES</v>
      </c>
      <c r="O13" s="174" t="s">
        <v>86</v>
      </c>
      <c r="P13" s="10"/>
      <c r="Q13" s="33"/>
      <c r="R13" s="108" t="str">
        <f>VLOOKUP(C13,'Train Runs'!$A$13:$AE$10018,31,0)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S13" s="111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3" s="113" t="str">
        <f t="shared" si="1"/>
        <v>"C:\Program Files (x86)\AstroGrep\AstroGrep.exe" /spath="%USERPROFILE%\AppData\Local\Temp\OnboardLogs" /stypes="*4040*201609172*" /stext=" 22:.+((SYSTEM_STATE.+slice.+state.+changed )|(ment ac)|(system.+state.+changed )|(\|lc)|(penalty)|(\[timeout)|(PRM\|1\|D)|(kpr)|(kdp))" /e /r /s</v>
      </c>
      <c r="U13" s="9" t="str">
        <f t="shared" si="2"/>
        <v>4040</v>
      </c>
      <c r="V13" s="38">
        <f t="shared" si="3"/>
        <v>42630.95076388889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{"issue":{"subject":"","project_id":79,"tracker_id":40,"status_id":1,"priority_id":2,"assigned_to_id":23,"start_date":"2016-09-17","description":"","custom_fields":[{"id":1,"name":"Subdivision","value":"EC"},{"id":4,"name":"Milepost","value":"1.7867"},{"id":17,"name":"Train ID","value":"205-17"},{"id":16,"name":"Locomotive ID","value":"4040"},{"id":130,"name":"Impact","value":""},{"id":150,"name":"Time of Event (Mountain Time)","value":"16:49:06"},{"id":151,"name":"Denver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8" t="str">
        <f t="shared" si="7"/>
        <v>grep -hSE -A100 "Enforcement Action" "%USERPROFILE%\AppData\Local\Temp\OnboardLogs"\RTDC4040\*4040*201609172* | grep -SE "((Enforcement Ac)|(PRM))" -</v>
      </c>
    </row>
    <row r="14" spans="1:29" s="1" customFormat="1" x14ac:dyDescent="0.25">
      <c r="A14" s="38">
        <v>42630.764560185184</v>
      </c>
      <c r="B14" s="33" t="s">
        <v>413</v>
      </c>
      <c r="C14" s="33" t="s">
        <v>545</v>
      </c>
      <c r="D14" s="33" t="s">
        <v>49</v>
      </c>
      <c r="E14" s="33" t="s">
        <v>56</v>
      </c>
      <c r="F14" s="49">
        <v>300</v>
      </c>
      <c r="G14" s="49">
        <v>446</v>
      </c>
      <c r="H14" s="49">
        <v>23529</v>
      </c>
      <c r="I14" s="49">
        <v>22015</v>
      </c>
      <c r="J14" s="33" t="s">
        <v>57</v>
      </c>
      <c r="K14" s="49">
        <v>21848</v>
      </c>
      <c r="L14" s="150" t="s">
        <v>53</v>
      </c>
      <c r="M14" s="153">
        <f t="shared" si="0"/>
        <v>88.176000000000002</v>
      </c>
      <c r="N14" s="92" t="str">
        <f>VLOOKUP(C14,'Trips&amp;Operators'!$C$1:$E$99999,3,FALSE)</f>
        <v>MOSES</v>
      </c>
      <c r="O14" s="174" t="s">
        <v>86</v>
      </c>
      <c r="P14" s="10"/>
      <c r="Q14" s="33"/>
      <c r="R14" s="108" t="str">
        <f>VLOOKUP(C14,'Train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4" s="111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4" s="113" t="str">
        <f t="shared" si="1"/>
        <v>"C:\Program Files (x86)\AstroGrep\AstroGrep.exe" /spath="%USERPROFILE%\AppData\Local\Temp\OnboardLogs" /stypes="*4039*201609180*" /stext=" 00:.+((SYSTEM_STATE.+slice.+state.+changed )|(ment ac)|(system.+state.+changed )|(\|lc)|(penalty)|(\[timeout)|(PRM\|1\|D)|(kpr)|(kdp))" /e /r /s</v>
      </c>
      <c r="U14" s="9" t="str">
        <f t="shared" si="2"/>
        <v>4039</v>
      </c>
      <c r="V14" s="38">
        <f t="shared" si="3"/>
        <v>42631.014560185184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{"issue":{"subject":"","project_id":79,"tracker_id":40,"status_id":1,"priority_id":2,"assigned_to_id":23,"start_date":"2016-09-17","description":"","custom_fields":[{"id":1,"name":"Subdivision","value":"EC"},{"id":4,"name":"Milepost","value":"2.1848"},{"id":17,"name":"Train ID","value":"206-17"},{"id":16,"name":"Locomotive ID","value":"4039"},{"id":130,"name":"Impact","value":""},{"id":150,"name":"Time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8" t="str">
        <f t="shared" si="7"/>
        <v>grep -hSE -A100 "Enforcement Action" "%USERPROFILE%\AppData\Local\Temp\OnboardLogs"\RTDC4039\*4039*201609180* | grep -SE "((Enforcement Ac)|(PRM))" -</v>
      </c>
    </row>
    <row r="15" spans="1:29" s="1" customFormat="1" x14ac:dyDescent="0.25">
      <c r="A15" s="38">
        <v>42630.255219907405</v>
      </c>
      <c r="B15" s="33" t="s">
        <v>182</v>
      </c>
      <c r="C15" s="33" t="s">
        <v>419</v>
      </c>
      <c r="D15" s="33" t="s">
        <v>49</v>
      </c>
      <c r="E15" s="33" t="s">
        <v>56</v>
      </c>
      <c r="F15" s="49">
        <v>400</v>
      </c>
      <c r="G15" s="49">
        <v>561</v>
      </c>
      <c r="H15" s="49">
        <v>115599</v>
      </c>
      <c r="I15" s="49">
        <v>117190</v>
      </c>
      <c r="J15" s="33" t="s">
        <v>57</v>
      </c>
      <c r="K15" s="49">
        <v>116838</v>
      </c>
      <c r="L15" s="150" t="s">
        <v>52</v>
      </c>
      <c r="M15" s="153">
        <f t="shared" si="0"/>
        <v>-185.85599999999999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Runs'!$A$13:$AE$10018,31,0)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S15" s="111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5" s="113" t="str">
        <f t="shared" si="1"/>
        <v>"C:\Program Files (x86)\AstroGrep\AstroGrep.exe" /spath="%USERPROFILE%\AppData\Local\Temp\OnboardLogs" /stypes="*4046*201609171*" /stext=" 12:.+((SYSTEM_STATE.+slice.+state.+changed )|(ment ac)|(system.+state.+changed )|(\|lc)|(penalty)|(\[timeout)|(PRM\|1\|D)|(kpr)|(kdp))" /e /r /s</v>
      </c>
      <c r="U15" s="9" t="str">
        <f t="shared" si="2"/>
        <v>4046</v>
      </c>
      <c r="V15" s="38">
        <f t="shared" si="3"/>
        <v>42630.505219907405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{"issue":{"subject":"","project_id":79,"tracker_id":40,"status_id":1,"priority_id":2,"assigned_to_id":23,"start_date":"2016-09-17","description":"","custom_fields":[{"id":1,"name":"Subdivision","value":"EC"},{"id":4,"name":"Milepost","value":"11.6838"},{"id":17,"name":"Train ID","value":"117-17"},{"id":16,"name":"Locomotive ID","value":"4046"},{"id":130,"name":"Impact","value":""},{"id":150,"name":"Time of Event (Mountain Time)","value":"06:07:31"},{"id":151,"name":"Denver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8" t="str">
        <f t="shared" si="7"/>
        <v>grep -hSE -A100 "Enforcement Action" "%USERPROFILE%\AppData\Local\Temp\OnboardLogs"\RTDC4046\*4046*201609171* | grep -SE "((Enforcement Ac)|(PRM))" -</v>
      </c>
    </row>
    <row r="16" spans="1:29" s="1" customFormat="1" x14ac:dyDescent="0.25">
      <c r="A16" s="38">
        <v>42631.052997685183</v>
      </c>
      <c r="B16" s="33" t="s">
        <v>172</v>
      </c>
      <c r="C16" s="33" t="s">
        <v>598</v>
      </c>
      <c r="D16" s="33" t="s">
        <v>105</v>
      </c>
      <c r="E16" s="33" t="s">
        <v>54</v>
      </c>
      <c r="F16" s="49">
        <v>200</v>
      </c>
      <c r="G16" s="49">
        <v>382</v>
      </c>
      <c r="H16" s="49">
        <v>67225</v>
      </c>
      <c r="I16" s="49">
        <v>68454</v>
      </c>
      <c r="J16" s="33" t="s">
        <v>55</v>
      </c>
      <c r="K16" s="49">
        <v>63995</v>
      </c>
      <c r="L16" s="150" t="s">
        <v>52</v>
      </c>
      <c r="M16" s="153">
        <f t="shared" si="0"/>
        <v>-2354.3519999999999</v>
      </c>
      <c r="N16" s="92" t="str">
        <f>VLOOKUP(C16,'Trips&amp;Operators'!$C$1:$E$99999,3,FALSE)</f>
        <v>LEVIN</v>
      </c>
      <c r="O16" s="174" t="s">
        <v>86</v>
      </c>
      <c r="P16" s="10" t="s">
        <v>737</v>
      </c>
      <c r="Q16" s="33"/>
      <c r="R16" s="108" t="str">
        <f>VLOOKUP(C16,'Train Runs'!$A$13:$AE$10018,31,0)</f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S16" s="111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6" s="113" t="str">
        <f t="shared" si="1"/>
        <v>"C:\Program Files (x86)\AstroGrep\AstroGrep.exe" /spath="%USERPROFILE%\AppData\Local\Temp\OnboardLogs" /stypes="*4025*201609180*" /stext=" 07:.+((SYSTEM_STATE.+slice.+state.+changed )|(ment ac)|(system.+state.+changed )|(\|lc)|(penalty)|(\[timeout)|(PRM\|1\|D)|(kpr)|(kdp))" /e /r /s</v>
      </c>
      <c r="U16" s="9" t="str">
        <f t="shared" si="2"/>
        <v>4025</v>
      </c>
      <c r="V16" s="38">
        <f t="shared" si="3"/>
        <v>42631.302997685183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Overspeed","project_id":79,"tracker_id":40,"status_id":1,"priority_id":2,"assigned_to_id":23,"start_date":"2016-09-18","description":"","custom_fields":[{"id":1,"name":"Subdivision","value":"EC"},{"id":4,"name":"Milepost","value":"6.3995"},{"id":17,"name":"Train ID","value":"245-17"},{"id":16,"name":"Locomotive ID","value":"4025"},{"id":130,"name":"Impact","value":""},{"id":150,"name":"Time of Event (Mountain Time)","value":"01:16:19"},{"id":151,"name":"Denver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8" t="str">
        <f t="shared" si="7"/>
        <v>grep -hSE -A100 "Enforcement Action" "%USERPROFILE%\AppData\Local\Temp\OnboardLogs"\RTDC4025\*4025*201609180* | grep -SE "((Enforcement Ac)|(PRM))" -</v>
      </c>
    </row>
    <row r="17" spans="1:29" s="1" customFormat="1" x14ac:dyDescent="0.25">
      <c r="A17" s="38">
        <v>42630.288518518515</v>
      </c>
      <c r="B17" s="33" t="s">
        <v>316</v>
      </c>
      <c r="C17" s="33" t="s">
        <v>428</v>
      </c>
      <c r="D17" s="33" t="s">
        <v>49</v>
      </c>
      <c r="E17" s="33" t="s">
        <v>54</v>
      </c>
      <c r="F17" s="49">
        <v>0</v>
      </c>
      <c r="G17" s="49">
        <v>598</v>
      </c>
      <c r="H17" s="49">
        <v>131121</v>
      </c>
      <c r="I17" s="49">
        <v>129008</v>
      </c>
      <c r="J17" s="33" t="s">
        <v>55</v>
      </c>
      <c r="K17" s="49">
        <v>127587</v>
      </c>
      <c r="L17" s="150" t="s">
        <v>53</v>
      </c>
      <c r="M17" s="153">
        <f t="shared" si="0"/>
        <v>750.28800000000001</v>
      </c>
      <c r="N17" s="92" t="str">
        <f>VLOOKUP(C17,'Trips&amp;Operators'!$C$1:$E$99999,3,FALSE)</f>
        <v>MALAVE</v>
      </c>
      <c r="O17" s="174" t="s">
        <v>86</v>
      </c>
      <c r="P17" s="10" t="s">
        <v>738</v>
      </c>
      <c r="Q17" s="33"/>
      <c r="R17" s="108" t="str">
        <f>VLOOKUP(C17,'Train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17" s="111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7" s="113" t="str">
        <f t="shared" si="1"/>
        <v>"C:\Program Files (x86)\AstroGrep\AstroGrep.exe" /spath="%USERPROFILE%\AppData\Local\Temp\OnboardLogs" /stypes="*4045*201609171*" /stext=" 12:.+((SYSTEM_STATE.+slice.+state.+changed )|(ment ac)|(system.+state.+changed )|(\|lc)|(penalty)|(\[timeout)|(PRM\|1\|D)|(kpr)|(kdp))" /e /r /s</v>
      </c>
      <c r="U17" s="9" t="str">
        <f t="shared" si="2"/>
        <v>4045</v>
      </c>
      <c r="V17" s="38">
        <f t="shared" si="3"/>
        <v>42630.538518518515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ID","value":"118-17"},{"id":16,"name":"Locomotive ID","value":"4045"},{"id":130,"name":"Impact","value":""},{"id":150,"name":"Time of Event (Mountain Time)","value":"06:55:28"},{"id":151,"name":"Denver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8" t="str">
        <f t="shared" si="7"/>
        <v>grep -hSE -A100 "Enforcement Action" "%USERPROFILE%\AppData\Local\Temp\OnboardLogs"\RTDC4045\*4045*201609171* | grep -SE "((Enforcement Ac)|(PRM))" -</v>
      </c>
    </row>
    <row r="18" spans="1:29" s="1" customFormat="1" x14ac:dyDescent="0.25">
      <c r="A18" s="38">
        <v>42630.308599537035</v>
      </c>
      <c r="B18" s="33" t="s">
        <v>413</v>
      </c>
      <c r="C18" s="33" t="s">
        <v>435</v>
      </c>
      <c r="D18" s="33" t="s">
        <v>49</v>
      </c>
      <c r="E18" s="33" t="s">
        <v>54</v>
      </c>
      <c r="F18" s="49">
        <v>0</v>
      </c>
      <c r="G18" s="49">
        <v>75</v>
      </c>
      <c r="H18" s="49">
        <v>127970</v>
      </c>
      <c r="I18" s="49">
        <v>127913</v>
      </c>
      <c r="J18" s="33" t="s">
        <v>55</v>
      </c>
      <c r="K18" s="49">
        <v>127587</v>
      </c>
      <c r="L18" s="150" t="s">
        <v>53</v>
      </c>
      <c r="M18" s="153">
        <f t="shared" si="0"/>
        <v>172.12799999999999</v>
      </c>
      <c r="N18" s="92" t="str">
        <f>VLOOKUP(C18,'Trips&amp;Operators'!$C$1:$E$99999,3,FALSE)</f>
        <v>DAVIS</v>
      </c>
      <c r="O18" s="174" t="s">
        <v>86</v>
      </c>
      <c r="P18" s="10" t="s">
        <v>738</v>
      </c>
      <c r="Q18" s="33"/>
      <c r="R18" s="108" t="str">
        <f>VLOOKUP(C18,'Train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8" s="111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8" s="113" t="str">
        <f t="shared" si="1"/>
        <v>"C:\Program Files (x86)\AstroGrep\AstroGrep.exe" /spath="%USERPROFILE%\AppData\Local\Temp\OnboardLogs" /stypes="*4039*201609171*" /stext=" 13:.+((SYSTEM_STATE.+slice.+state.+changed )|(ment ac)|(system.+state.+changed )|(\|lc)|(penalty)|(\[timeout)|(PRM\|1\|D)|(kpr)|(kdp))" /e /r /s</v>
      </c>
      <c r="U18" s="9" t="str">
        <f t="shared" si="2"/>
        <v>4039</v>
      </c>
      <c r="V18" s="38">
        <f t="shared" si="3"/>
        <v>42630.558599537035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ID","value":"122-17"},{"id":16,"name":"Locomotive ID","value":"4039"},{"id":130,"name":"Impact","value":""},{"id":150,"name":"Time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8" t="str">
        <f t="shared" si="7"/>
        <v>grep -hSE -A100 "Enforcement Action" "%USERPROFILE%\AppData\Local\Temp\OnboardLogs"\RTDC4039\*4039*201609171* | grep -SE "((Enforcement Ac)|(PRM))" -</v>
      </c>
    </row>
    <row r="19" spans="1:29" s="1" customFormat="1" x14ac:dyDescent="0.25">
      <c r="A19" s="38">
        <v>42630.335104166668</v>
      </c>
      <c r="B19" s="33" t="s">
        <v>267</v>
      </c>
      <c r="C19" s="33" t="s">
        <v>442</v>
      </c>
      <c r="D19" s="33" t="s">
        <v>49</v>
      </c>
      <c r="E19" s="33" t="s">
        <v>54</v>
      </c>
      <c r="F19" s="49">
        <v>0</v>
      </c>
      <c r="G19" s="49">
        <v>479</v>
      </c>
      <c r="H19" s="49">
        <v>194428</v>
      </c>
      <c r="I19" s="49">
        <v>192782</v>
      </c>
      <c r="J19" s="33" t="s">
        <v>55</v>
      </c>
      <c r="K19" s="49">
        <v>191723</v>
      </c>
      <c r="L19" s="150" t="s">
        <v>53</v>
      </c>
      <c r="M19" s="153">
        <f t="shared" si="0"/>
        <v>559.15200000000004</v>
      </c>
      <c r="N19" s="92" t="str">
        <f>VLOOKUP(C19,'Trips&amp;Operators'!$C$1:$E$99999,3,FALSE)</f>
        <v>MAELZER</v>
      </c>
      <c r="O19" s="174" t="s">
        <v>86</v>
      </c>
      <c r="P19" s="10" t="s">
        <v>259</v>
      </c>
      <c r="Q19" s="33"/>
      <c r="R19" s="108" t="str">
        <f>VLOOKUP(C19,'Train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19" s="111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9" s="113" t="str">
        <f t="shared" si="1"/>
        <v>"C:\Program Files (x86)\AstroGrep\AstroGrep.exe" /spath="%USERPROFILE%\AppData\Local\Temp\OnboardLogs" /stypes="*4054*201609171*" /stext=" 14:.+((SYSTEM_STATE.+slice.+state.+changed )|(ment ac)|(system.+state.+changed )|(\|lc)|(penalty)|(\[timeout)|(PRM\|1\|D)|(kpr)|(kdp))" /e /r /s</v>
      </c>
      <c r="U19" s="9" t="str">
        <f t="shared" si="2"/>
        <v>4054</v>
      </c>
      <c r="V19" s="38">
        <f t="shared" si="3"/>
        <v>42630.585104166668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ID","value":"128-17"},{"id":16,"name":"Locomotive ID","value":"4054"},{"id":130,"name":"Impact","value":""},{"id":150,"name":"Time of Event (Mountain Time)","value":"08:02:33"},{"id":151,"name":"Denver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8" t="str">
        <f t="shared" si="7"/>
        <v>grep -hSE -A100 "Enforcement Action" "%USERPROFILE%\AppData\Local\Temp\OnboardLogs"\RTDC4054\*4054*201609171* | grep -SE "((Enforcement Ac)|(PRM))" -</v>
      </c>
    </row>
    <row r="20" spans="1:29" s="1" customFormat="1" x14ac:dyDescent="0.25">
      <c r="A20" s="38">
        <v>42630.574062500003</v>
      </c>
      <c r="B20" s="33" t="s">
        <v>316</v>
      </c>
      <c r="C20" s="33" t="s">
        <v>506</v>
      </c>
      <c r="D20" s="33" t="s">
        <v>49</v>
      </c>
      <c r="E20" s="33" t="s">
        <v>54</v>
      </c>
      <c r="F20" s="49">
        <v>0</v>
      </c>
      <c r="G20" s="49">
        <v>402</v>
      </c>
      <c r="H20" s="49">
        <v>194776</v>
      </c>
      <c r="I20" s="49">
        <v>193720</v>
      </c>
      <c r="J20" s="33" t="s">
        <v>55</v>
      </c>
      <c r="K20" s="49">
        <v>191723</v>
      </c>
      <c r="L20" s="150" t="s">
        <v>53</v>
      </c>
      <c r="M20" s="153">
        <f t="shared" si="0"/>
        <v>1054.4159999999999</v>
      </c>
      <c r="N20" s="92" t="str">
        <f>VLOOKUP(C20,'Trips&amp;Operators'!$C$1:$E$99999,3,FALSE)</f>
        <v>STEWART</v>
      </c>
      <c r="O20" s="174" t="s">
        <v>86</v>
      </c>
      <c r="P20" s="10" t="s">
        <v>259</v>
      </c>
      <c r="Q20" s="33"/>
      <c r="R20" s="108" t="str">
        <f>VLOOKUP(C20,'Train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20" s="111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0" s="113" t="str">
        <f t="shared" si="1"/>
        <v>"C:\Program Files (x86)\AstroGrep\AstroGrep.exe" /spath="%USERPROFILE%\AppData\Local\Temp\OnboardLogs" /stypes="*4045*201609171*" /stext=" 19:.+((SYSTEM_STATE.+slice.+state.+changed )|(ment ac)|(system.+state.+changed )|(\|lc)|(penalty)|(\[timeout)|(PRM\|1\|D)|(kpr)|(kdp))" /e /r /s</v>
      </c>
      <c r="U20" s="9" t="str">
        <f t="shared" si="2"/>
        <v>4045</v>
      </c>
      <c r="V20" s="38">
        <f t="shared" si="3"/>
        <v>42630.824062500003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ID","value":"174-17"},{"id":16,"name":"Locomotive ID","value":"4045"},{"id":130,"name":"Impact","value":""},{"id":150,"name":"Time of Event (Mountain Time)","value":"13:46:39"},{"id":151,"name":"Denver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8" t="str">
        <f t="shared" si="7"/>
        <v>grep -hSE -A100 "Enforcement Action" "%USERPROFILE%\AppData\Local\Temp\OnboardLogs"\RTDC4045\*4045*201609171* | grep -SE "((Enforcement Ac)|(PRM))" -</v>
      </c>
    </row>
    <row r="21" spans="1:29" x14ac:dyDescent="0.25">
      <c r="A21" s="38">
        <v>42630.415324074071</v>
      </c>
      <c r="B21" s="33" t="s">
        <v>399</v>
      </c>
      <c r="C21" s="33" t="s">
        <v>459</v>
      </c>
      <c r="D21" s="33" t="s">
        <v>105</v>
      </c>
      <c r="E21" s="33" t="s">
        <v>605</v>
      </c>
      <c r="F21" s="49">
        <v>790</v>
      </c>
      <c r="G21" s="49">
        <v>840</v>
      </c>
      <c r="H21" s="49">
        <v>143931</v>
      </c>
      <c r="I21" s="49">
        <v>148262</v>
      </c>
      <c r="J21" s="33" t="s">
        <v>57</v>
      </c>
      <c r="K21" s="49">
        <v>110617</v>
      </c>
      <c r="L21" s="150" t="s">
        <v>52</v>
      </c>
      <c r="M21" s="153">
        <f t="shared" si="0"/>
        <v>-19876.560000000001</v>
      </c>
      <c r="N21" s="92" t="str">
        <f>VLOOKUP(C21,'Trips&amp;Operators'!$C$1:$E$99999,3,FALSE)</f>
        <v>STORY</v>
      </c>
      <c r="O21" s="174" t="s">
        <v>86</v>
      </c>
      <c r="P21" s="10"/>
      <c r="Q21" s="33"/>
      <c r="R21" s="108" t="str">
        <f>VLOOKUP(C21,'Train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1" s="111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13" t="str">
        <f t="shared" si="1"/>
        <v>"C:\Program Files (x86)\AstroGrep\AstroGrep.exe" /spath="%USERPROFILE%\AppData\Local\Temp\OnboardLogs" /stypes="*4011*201609171*" /stext=" 15:.+((SYSTEM_STATE.+slice.+state.+changed )|(ment ac)|(system.+state.+changed )|(\|lc)|(penalty)|(\[timeout)|(PRM\|1\|D)|(kpr)|(kdp))" /e /r /s</v>
      </c>
      <c r="U21" s="9" t="str">
        <f t="shared" si="2"/>
        <v>4011</v>
      </c>
      <c r="V21" s="38">
        <f t="shared" si="3"/>
        <v>42630.665324074071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{"issue":{"subject":"","project_id":79,"tracker_id":40,"status_id":1,"priority_id":2,"assigned_to_id":23,"start_date":"2016-09-17","description":"","custom_fields":[{"id":1,"name":"Subdivision","value":"EC"},{"id":4,"name":"Milepost","value":"11.0617"},{"id":17,"name":"Train ID","value":"147-17"},{"id":16,"name":"Locomotive ID","value":"4011"},{"id":130,"name":"Impact","value":""},{"id":150,"name":"Time of Event (Mountain Time)","value":"09:58:04"},{"id":151,"name":"Denver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8" t="str">
        <f t="shared" si="7"/>
        <v>grep -hSE -A100 "Enforcement Action" "%USERPROFILE%\AppData\Local\Temp\OnboardLogs"\RTDC4011\*4011*201609171* | grep -SE "((Enforcement Ac)|(PRM))" -</v>
      </c>
    </row>
    <row r="22" spans="1:29" x14ac:dyDescent="0.25">
      <c r="A22" s="38">
        <v>42630.244212962964</v>
      </c>
      <c r="B22" s="33" t="s">
        <v>411</v>
      </c>
      <c r="C22" s="33" t="s">
        <v>412</v>
      </c>
      <c r="D22" s="33" t="s">
        <v>49</v>
      </c>
      <c r="E22" s="33" t="s">
        <v>50</v>
      </c>
      <c r="F22" s="49">
        <v>0</v>
      </c>
      <c r="G22" s="49">
        <v>60</v>
      </c>
      <c r="H22" s="49">
        <v>214</v>
      </c>
      <c r="I22" s="49">
        <v>156</v>
      </c>
      <c r="J22" s="33" t="s">
        <v>51</v>
      </c>
      <c r="K22" s="49">
        <v>1</v>
      </c>
      <c r="L22" s="150" t="s">
        <v>53</v>
      </c>
      <c r="M22" s="153">
        <f t="shared" si="0"/>
        <v>81.84</v>
      </c>
      <c r="N22" s="92" t="str">
        <f>VLOOKUP(C22,'Trips&amp;Operators'!$C$1:$E$99999,3,FALSE)</f>
        <v>STORY</v>
      </c>
      <c r="O22" s="174" t="s">
        <v>86</v>
      </c>
      <c r="P22" s="10"/>
      <c r="Q22" s="33"/>
      <c r="R22" s="108" t="str">
        <f>VLOOKUP(C22,'Train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22" s="111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2" s="113" t="str">
        <f t="shared" si="1"/>
        <v>"C:\Program Files (x86)\AstroGrep\AstroGrep.exe" /spath="%USERPROFILE%\AppData\Local\Temp\OnboardLogs" /stypes="*4028*201609171*" /stext=" 11:.+((SYSTEM_STATE.+slice.+state.+changed )|(ment ac)|(system.+state.+changed )|(\|lc)|(penalty)|(\[timeout)|(PRM\|1\|D)|(kpr)|(kdp))" /e /r /s</v>
      </c>
      <c r="U22" s="9" t="str">
        <f t="shared" si="2"/>
        <v>4028</v>
      </c>
      <c r="V22" s="38">
        <f t="shared" si="3"/>
        <v>42630.494212962964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8" t="str">
        <f t="shared" si="7"/>
        <v>grep -hSE -A100 "Enforcement Action" "%USERPROFILE%\AppData\Local\Temp\OnboardLogs"\RTDC4028\*4028*201609171* | grep -SE "((Enforcement Ac)|(PRM))" -</v>
      </c>
    </row>
    <row r="23" spans="1:29" x14ac:dyDescent="0.25">
      <c r="A23" s="38">
        <v>42630.264363425929</v>
      </c>
      <c r="B23" s="33" t="s">
        <v>268</v>
      </c>
      <c r="C23" s="33" t="s">
        <v>416</v>
      </c>
      <c r="D23" s="33" t="s">
        <v>49</v>
      </c>
      <c r="E23" s="33" t="s">
        <v>50</v>
      </c>
      <c r="F23" s="49">
        <v>0</v>
      </c>
      <c r="G23" s="49">
        <v>24</v>
      </c>
      <c r="H23" s="49">
        <v>61</v>
      </c>
      <c r="I23" s="49">
        <v>39</v>
      </c>
      <c r="J23" s="33" t="s">
        <v>51</v>
      </c>
      <c r="K23" s="49">
        <v>1</v>
      </c>
      <c r="L23" s="150" t="s">
        <v>53</v>
      </c>
      <c r="M23" s="153">
        <f t="shared" si="0"/>
        <v>20.064</v>
      </c>
      <c r="N23" s="92" t="str">
        <f>VLOOKUP(C23,'Trips&amp;Operators'!$C$1:$E$99999,3,FALSE)</f>
        <v>KILLION</v>
      </c>
      <c r="O23" s="174" t="s">
        <v>86</v>
      </c>
      <c r="P23" s="10"/>
      <c r="Q23" s="33"/>
      <c r="R23" s="108" t="str">
        <f>VLOOKUP(C23,'Train Runs'!$A$13:$AE$10018,31,0)</f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S23" s="111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3" s="113" t="str">
        <f t="shared" si="1"/>
        <v>"C:\Program Files (x86)\AstroGrep\AstroGrep.exe" /spath="%USERPROFILE%\AppData\Local\Temp\OnboardLogs" /stypes="*4017*201609171*" /stext=" 12:.+((SYSTEM_STATE.+slice.+state.+changed )|(ment ac)|(system.+state.+changed )|(\|lc)|(penalty)|(\[timeout)|(PRM\|1\|D)|(kpr)|(kdp))" /e /r /s</v>
      </c>
      <c r="U23" s="9" t="str">
        <f t="shared" si="2"/>
        <v>4017</v>
      </c>
      <c r="V23" s="38">
        <f t="shared" si="3"/>
        <v>42630.514363425929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8" t="str">
        <f t="shared" si="7"/>
        <v>grep -hSE -A100 "Enforcement Action" "%USERPROFILE%\AppData\Local\Temp\OnboardLogs"\RTDC4017\*4017*201609171* | grep -SE "((Enforcement Ac)|(PRM))" -</v>
      </c>
    </row>
    <row r="24" spans="1:29" ht="15" customHeight="1" x14ac:dyDescent="0.25">
      <c r="A24" s="38">
        <v>42630.275069444448</v>
      </c>
      <c r="B24" s="33" t="s">
        <v>173</v>
      </c>
      <c r="C24" s="33" t="s">
        <v>420</v>
      </c>
      <c r="D24" s="33" t="s">
        <v>49</v>
      </c>
      <c r="E24" s="33" t="s">
        <v>50</v>
      </c>
      <c r="F24" s="49">
        <v>0</v>
      </c>
      <c r="G24" s="49">
        <v>47</v>
      </c>
      <c r="H24" s="49">
        <v>165</v>
      </c>
      <c r="I24" s="49">
        <v>136</v>
      </c>
      <c r="J24" s="33" t="s">
        <v>51</v>
      </c>
      <c r="K24" s="49">
        <v>1</v>
      </c>
      <c r="L24" s="150" t="s">
        <v>53</v>
      </c>
      <c r="M24" s="153">
        <f t="shared" si="0"/>
        <v>71.28</v>
      </c>
      <c r="N24" s="92" t="str">
        <f>VLOOKUP(C24,'Trips&amp;Operators'!$C$1:$E$99999,3,FALSE)</f>
        <v>GEBRETEKLE</v>
      </c>
      <c r="O24" s="174" t="s">
        <v>86</v>
      </c>
      <c r="P24" s="10"/>
      <c r="Q24" s="33"/>
      <c r="R24" s="108" t="str">
        <f>VLOOKUP(C24,'Train Runs'!$A$13:$AE$10018,31,0)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S24" s="111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4" s="113" t="str">
        <f t="shared" si="1"/>
        <v>"C:\Program Files (x86)\AstroGrep\AstroGrep.exe" /spath="%USERPROFILE%\AppData\Local\Temp\OnboardLogs" /stypes="*4026*201609171*" /stext=" 12:.+((SYSTEM_STATE.+slice.+state.+changed )|(ment ac)|(system.+state.+changed )|(\|lc)|(penalty)|(\[timeout)|(PRM\|1\|D)|(kpr)|(kdp))" /e /r /s</v>
      </c>
      <c r="U24" s="9" t="str">
        <f t="shared" si="2"/>
        <v>4026</v>
      </c>
      <c r="V24" s="38">
        <f t="shared" si="3"/>
        <v>42630.525069444448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8" t="str">
        <f t="shared" si="7"/>
        <v>grep -hSE -A100 "Enforcement Action" "%USERPROFILE%\AppData\Local\Temp\OnboardLogs"\RTDC4026\*4026*201609171* | grep -SE "((Enforcement Ac)|(PRM))" -</v>
      </c>
    </row>
    <row r="25" spans="1:29" x14ac:dyDescent="0.25">
      <c r="A25" s="38">
        <v>42630.400567129633</v>
      </c>
      <c r="B25" s="33" t="s">
        <v>413</v>
      </c>
      <c r="C25" s="33" t="s">
        <v>453</v>
      </c>
      <c r="D25" s="33" t="s">
        <v>49</v>
      </c>
      <c r="E25" s="33" t="s">
        <v>50</v>
      </c>
      <c r="F25" s="49">
        <v>0</v>
      </c>
      <c r="G25" s="49">
        <v>61</v>
      </c>
      <c r="H25" s="49">
        <v>207</v>
      </c>
      <c r="I25" s="49">
        <v>119</v>
      </c>
      <c r="J25" s="33" t="s">
        <v>51</v>
      </c>
      <c r="K25" s="49">
        <v>1</v>
      </c>
      <c r="L25" s="150" t="s">
        <v>53</v>
      </c>
      <c r="M25" s="153">
        <f t="shared" si="0"/>
        <v>62.304000000000002</v>
      </c>
      <c r="N25" s="92" t="str">
        <f>VLOOKUP(C25,'Trips&amp;Operators'!$C$1:$E$99999,3,FALSE)</f>
        <v>DAVIS</v>
      </c>
      <c r="O25" s="174" t="s">
        <v>86</v>
      </c>
      <c r="P25" s="10"/>
      <c r="Q25" s="33"/>
      <c r="R25" s="108" t="str">
        <f>VLOOKUP(C25,'Train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25" s="111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5" s="113" t="str">
        <f t="shared" si="1"/>
        <v>"C:\Program Files (x86)\AstroGrep\AstroGrep.exe" /spath="%USERPROFILE%\AppData\Local\Temp\OnboardLogs" /stypes="*4039*201609171*" /stext=" 15:.+((SYSTEM_STATE.+slice.+state.+changed )|(ment ac)|(system.+state.+changed )|(\|lc)|(penalty)|(\[timeout)|(PRM\|1\|D)|(kpr)|(kdp))" /e /r /s</v>
      </c>
      <c r="U25" s="9" t="str">
        <f t="shared" si="2"/>
        <v>4039</v>
      </c>
      <c r="V25" s="38">
        <f t="shared" si="3"/>
        <v>42630.650567129633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8" t="str">
        <f t="shared" si="7"/>
        <v>grep -hSE -A100 "Enforcement Action" "%USERPROFILE%\AppData\Local\Temp\OnboardLogs"\RTDC4039\*4039*201609171* | grep -SE "((Enforcement Ac)|(PRM))" -</v>
      </c>
    </row>
    <row r="26" spans="1:29" x14ac:dyDescent="0.25">
      <c r="A26" s="38">
        <v>42630.431041666663</v>
      </c>
      <c r="B26" s="33" t="s">
        <v>267</v>
      </c>
      <c r="C26" s="33" t="s">
        <v>460</v>
      </c>
      <c r="D26" s="33" t="s">
        <v>49</v>
      </c>
      <c r="E26" s="33" t="s">
        <v>50</v>
      </c>
      <c r="F26" s="49">
        <v>0</v>
      </c>
      <c r="G26" s="49">
        <v>51</v>
      </c>
      <c r="H26" s="49">
        <v>187</v>
      </c>
      <c r="I26" s="49">
        <v>143</v>
      </c>
      <c r="J26" s="33" t="s">
        <v>51</v>
      </c>
      <c r="K26" s="49">
        <v>1</v>
      </c>
      <c r="L26" s="150" t="s">
        <v>53</v>
      </c>
      <c r="M26" s="153">
        <f t="shared" si="0"/>
        <v>74.975999999999999</v>
      </c>
      <c r="N26" s="92" t="str">
        <f>VLOOKUP(C26,'Trips&amp;Operators'!$C$1:$E$99999,3,FALSE)</f>
        <v>SANTIZO</v>
      </c>
      <c r="O26" s="174" t="s">
        <v>86</v>
      </c>
      <c r="P26" s="10"/>
      <c r="Q26" s="33"/>
      <c r="R26" s="108" t="str">
        <f>VLOOKUP(C26,'Train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26" s="111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6" s="113" t="str">
        <f t="shared" si="1"/>
        <v>"C:\Program Files (x86)\AstroGrep\AstroGrep.exe" /spath="%USERPROFILE%\AppData\Local\Temp\OnboardLogs" /stypes="*4054*201609171*" /stext=" 16:.+((SYSTEM_STATE.+slice.+state.+changed )|(ment ac)|(system.+state.+changed )|(\|lc)|(penalty)|(\[timeout)|(PRM\|1\|D)|(kpr)|(kdp))" /e /r /s</v>
      </c>
      <c r="U26" s="9" t="str">
        <f t="shared" si="2"/>
        <v>4054</v>
      </c>
      <c r="V26" s="38">
        <f t="shared" si="3"/>
        <v>42630.681041666663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8" t="str">
        <f t="shared" si="7"/>
        <v>grep -hSE -A100 "Enforcement Action" "%USERPROFILE%\AppData\Local\Temp\OnboardLogs"\RTDC4054\*4054*201609171* | grep -SE "((Enforcement Ac)|(PRM))" -</v>
      </c>
    </row>
    <row r="27" spans="1:29" x14ac:dyDescent="0.25">
      <c r="A27" s="38">
        <v>42630.296863425923</v>
      </c>
      <c r="B27" s="33" t="s">
        <v>426</v>
      </c>
      <c r="C27" s="33" t="s">
        <v>427</v>
      </c>
      <c r="D27" s="33" t="s">
        <v>49</v>
      </c>
      <c r="E27" s="33" t="s">
        <v>50</v>
      </c>
      <c r="F27" s="49">
        <v>0</v>
      </c>
      <c r="G27" s="49">
        <v>89</v>
      </c>
      <c r="H27" s="49">
        <v>233130</v>
      </c>
      <c r="I27" s="49">
        <v>233238</v>
      </c>
      <c r="J27" s="33" t="s">
        <v>51</v>
      </c>
      <c r="K27" s="49">
        <v>233491</v>
      </c>
      <c r="L27" s="150" t="s">
        <v>52</v>
      </c>
      <c r="M27" s="153">
        <f t="shared" si="0"/>
        <v>133.584</v>
      </c>
      <c r="N27" s="92" t="str">
        <f>VLOOKUP(C27,'Trips&amp;Operators'!$C$1:$E$99999,3,FALSE)</f>
        <v>KILLION</v>
      </c>
      <c r="O27" s="174" t="s">
        <v>86</v>
      </c>
      <c r="P27" s="10"/>
      <c r="Q27" s="33"/>
      <c r="R27" s="108" t="str">
        <f>VLOOKUP(C27,'Train Runs'!$A$13:$AE$10018,31,0)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S27" s="111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7" s="113" t="str">
        <f t="shared" si="1"/>
        <v>"C:\Program Files (x86)\AstroGrep\AstroGrep.exe" /spath="%USERPROFILE%\AppData\Local\Temp\OnboardLogs" /stypes="*4027*201609171*" /stext=" 13:.+((SYSTEM_STATE.+slice.+state.+changed )|(ment ac)|(system.+state.+changed )|(\|lc)|(penalty)|(\[timeout)|(PRM\|1\|D)|(kpr)|(kdp))" /e /r /s</v>
      </c>
      <c r="U27" s="9" t="str">
        <f t="shared" si="2"/>
        <v>4027</v>
      </c>
      <c r="V27" s="38">
        <f t="shared" si="3"/>
        <v>42630.546863425923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8" t="str">
        <f t="shared" si="7"/>
        <v>grep -hSE -A100 "Enforcement Action" "%USERPROFILE%\AppData\Local\Temp\OnboardLogs"\RTDC4027\*4027*201609171* | grep -SE "((Enforcement Ac)|(PRM))" -</v>
      </c>
    </row>
    <row r="28" spans="1:29" x14ac:dyDescent="0.25">
      <c r="A28" s="38">
        <v>42630.713101851848</v>
      </c>
      <c r="B28" s="33" t="s">
        <v>399</v>
      </c>
      <c r="C28" s="33" t="s">
        <v>534</v>
      </c>
      <c r="D28" s="33" t="s">
        <v>49</v>
      </c>
      <c r="E28" s="33" t="s">
        <v>50</v>
      </c>
      <c r="F28" s="49">
        <v>0</v>
      </c>
      <c r="G28" s="49">
        <v>26</v>
      </c>
      <c r="H28" s="49">
        <v>233401</v>
      </c>
      <c r="I28" s="49">
        <v>233420</v>
      </c>
      <c r="J28" s="33" t="s">
        <v>51</v>
      </c>
      <c r="K28" s="49">
        <v>233491</v>
      </c>
      <c r="L28" s="150" t="s">
        <v>52</v>
      </c>
      <c r="M28" s="153">
        <f t="shared" si="0"/>
        <v>37.488</v>
      </c>
      <c r="N28" s="92" t="str">
        <f>VLOOKUP(C28,'Trips&amp;Operators'!$C$1:$E$99999,3,FALSE)</f>
        <v>BARTLETT</v>
      </c>
      <c r="O28" s="174" t="s">
        <v>86</v>
      </c>
      <c r="P28" s="10"/>
      <c r="Q28" s="33"/>
      <c r="R28" s="108" t="str">
        <f>VLOOKUP(C28,'Train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8" s="111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8" s="113" t="str">
        <f t="shared" si="1"/>
        <v>"C:\Program Files (x86)\AstroGrep\AstroGrep.exe" /spath="%USERPROFILE%\AppData\Local\Temp\OnboardLogs" /stypes="*4011*201609172*" /stext=" 23:.+((SYSTEM_STATE.+slice.+state.+changed )|(ment ac)|(system.+state.+changed )|(\|lc)|(penalty)|(\[timeout)|(PRM\|1\|D)|(kpr)|(kdp))" /e /r /s</v>
      </c>
      <c r="U28" s="9" t="str">
        <f t="shared" si="2"/>
        <v>4011</v>
      </c>
      <c r="V28" s="38">
        <f t="shared" si="3"/>
        <v>42630.963101851848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ID","value":"203-17"},{"id":16,"name":"Locomotive ID","value":"4011"},{"id":130,"name":"Impact","value":""},{"id":150,"name":"Time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8" t="str">
        <f t="shared" si="7"/>
        <v>grep -hSE -A100 "Enforcement Action" "%USERPROFILE%\AppData\Local\Temp\OnboardLogs"\RTDC4011\*4011*201609172* | grep -SE "((Enforcement Ac)|(PRM))" -</v>
      </c>
    </row>
    <row r="29" spans="1:29" x14ac:dyDescent="0.25">
      <c r="A29" s="38">
        <v>42630.312881944446</v>
      </c>
      <c r="B29" s="33" t="s">
        <v>107</v>
      </c>
      <c r="C29" s="33" t="s">
        <v>434</v>
      </c>
      <c r="D29" s="33" t="s">
        <v>105</v>
      </c>
      <c r="E29" s="33" t="s">
        <v>56</v>
      </c>
      <c r="F29" s="49">
        <v>400</v>
      </c>
      <c r="G29" s="49">
        <v>453</v>
      </c>
      <c r="H29" s="49">
        <v>43403</v>
      </c>
      <c r="I29" s="49">
        <v>44737</v>
      </c>
      <c r="J29" s="33" t="s">
        <v>57</v>
      </c>
      <c r="K29" s="49">
        <v>41797</v>
      </c>
      <c r="L29" s="150" t="s">
        <v>52</v>
      </c>
      <c r="M29" s="153">
        <f t="shared" si="0"/>
        <v>-1552.32</v>
      </c>
      <c r="N29" s="92" t="str">
        <f>VLOOKUP(C29,'Trips&amp;Operators'!$C$1:$E$99999,3,FALSE)</f>
        <v>YORK</v>
      </c>
      <c r="O29" s="174" t="s">
        <v>86</v>
      </c>
      <c r="P29" s="10"/>
      <c r="Q29" s="33"/>
      <c r="R29" s="108" t="str">
        <f>VLOOKUP(C29,'Train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29" s="111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9" s="113" t="str">
        <f t="shared" si="1"/>
        <v>"C:\Program Files (x86)\AstroGrep\AstroGrep.exe" /spath="%USERPROFILE%\AppData\Local\Temp\OnboardLogs" /stypes="*4031*201609171*" /stext=" 13:.+((SYSTEM_STATE.+slice.+state.+changed )|(ment ac)|(system.+state.+changed )|(\|lc)|(penalty)|(\[timeout)|(PRM\|1\|D)|(kpr)|(kdp))" /e /r /s</v>
      </c>
      <c r="U29" s="9" t="str">
        <f t="shared" si="2"/>
        <v>4031</v>
      </c>
      <c r="V29" s="38">
        <f t="shared" si="3"/>
        <v>42630.562881944446</v>
      </c>
      <c r="W29" s="52" t="str">
        <f t="shared" si="4"/>
        <v>NW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{"issue":{"subject":"","project_id":79,"tracker_id":40,"status_id":1,"priority_id":2,"assigned_to_id":23,"start_date":"2016-09-17","description":"","custom_fields":[{"id":1,"name":"Subdivision","value":"NW"},{"id":4,"name":"Milepost","value":"4.1797"},{"id":17,"name":"Train ID","value":"1803-17"},{"id":16,"name":"Locomotive ID","value":"4031"},{"id":130,"name":"Impact","value":""},{"id":150,"name":"Time of Event (Mountain Time)","value":"07:30:33"},{"id":151,"name":"Denver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8" t="str">
        <f t="shared" si="7"/>
        <v>grep -hSE -A100 "Enforcement Action" "%USERPROFILE%\AppData\Local\Temp\OnboardLogs"\RTDC4031\*4031*201609171* | grep -SE "((Enforcement Ac)|(PRM))" -</v>
      </c>
    </row>
    <row r="30" spans="1:29" x14ac:dyDescent="0.25">
      <c r="A30" s="38">
        <v>42630.238993055558</v>
      </c>
      <c r="B30" s="33" t="s">
        <v>315</v>
      </c>
      <c r="C30" s="33" t="s">
        <v>417</v>
      </c>
      <c r="D30" s="33" t="s">
        <v>105</v>
      </c>
      <c r="E30" s="33" t="s">
        <v>56</v>
      </c>
      <c r="F30" s="49">
        <v>150</v>
      </c>
      <c r="G30" s="49">
        <v>200</v>
      </c>
      <c r="H30" s="49">
        <v>56972</v>
      </c>
      <c r="I30" s="49">
        <v>56513</v>
      </c>
      <c r="J30" s="33" t="s">
        <v>57</v>
      </c>
      <c r="K30" s="49">
        <v>59050</v>
      </c>
      <c r="L30" s="150" t="s">
        <v>53</v>
      </c>
      <c r="M30" s="153">
        <f t="shared" si="0"/>
        <v>-1339.5359999999998</v>
      </c>
      <c r="N30" s="92" t="str">
        <f>VLOOKUP(C30,'Trips&amp;Operators'!$C$1:$E$99999,3,FALSE)</f>
        <v>YORK</v>
      </c>
      <c r="O30" s="174" t="s">
        <v>86</v>
      </c>
      <c r="P30" s="10"/>
      <c r="Q30" s="33"/>
      <c r="R30" s="108" t="str">
        <f>VLOOKUP(C30,'Train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0" s="111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13" t="str">
        <f t="shared" si="1"/>
        <v>"C:\Program Files (x86)\AstroGrep\AstroGrep.exe" /spath="%USERPROFILE%\AppData\Local\Temp\OnboardLogs" /stypes="*4032*201609171*" /stext=" 11:.+((SYSTEM_STATE.+slice.+state.+changed )|(ment ac)|(system.+state.+changed )|(\|lc)|(penalty)|(\[timeout)|(PRM\|1\|D)|(kpr)|(kdp))" /e /r /s</v>
      </c>
      <c r="U30" s="9" t="str">
        <f t="shared" si="2"/>
        <v>4032</v>
      </c>
      <c r="V30" s="38">
        <f t="shared" si="3"/>
        <v>42630.488993055558</v>
      </c>
      <c r="W30" s="52" t="str">
        <f t="shared" si="4"/>
        <v>NW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{"issue":{"subject":"","project_id":79,"tracker_id":40,"status_id":1,"priority_id":2,"assigned_to_id":23,"start_date":"2016-09-17","description":"","custom_fields":[{"id":1,"name":"Subdivision","value":"NW"},{"id":4,"name":"Milepost","value":"5.905"},{"id":17,"name":"Train ID","value":"1800-17"},{"id":16,"name":"Locomotive ID","value":"4032"},{"id":130,"name":"Impact","value":""},{"id":150,"name":"Time of Event (Mountain Time)","value":"05:44:09"},{"id":151,"name":"Denver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8" t="str">
        <f t="shared" si="7"/>
        <v>grep -hSE -A100 "Enforcement Action" "%USERPROFILE%\AppData\Local\Temp\OnboardLogs"\RTDC4032\*4032*201609171* | grep -SE "((Enforcement Ac)|(PRM))" -</v>
      </c>
    </row>
    <row r="31" spans="1:29" ht="15" customHeight="1" x14ac:dyDescent="0.25">
      <c r="A31" s="38">
        <v>42630.785740740743</v>
      </c>
      <c r="B31" s="33" t="s">
        <v>315</v>
      </c>
      <c r="C31" s="33" t="s">
        <v>560</v>
      </c>
      <c r="D31" s="33" t="s">
        <v>105</v>
      </c>
      <c r="E31" s="33" t="s">
        <v>54</v>
      </c>
      <c r="F31" s="49">
        <v>200</v>
      </c>
      <c r="G31" s="49">
        <v>250</v>
      </c>
      <c r="H31" s="49">
        <v>17405</v>
      </c>
      <c r="I31" s="49">
        <v>16580</v>
      </c>
      <c r="J31" s="33" t="s">
        <v>55</v>
      </c>
      <c r="K31" s="49">
        <v>19000</v>
      </c>
      <c r="L31" s="150" t="s">
        <v>53</v>
      </c>
      <c r="M31" s="153">
        <f t="shared" si="0"/>
        <v>-1277.76</v>
      </c>
      <c r="N31" s="92" t="str">
        <f>VLOOKUP(C31,'Trips&amp;Operators'!$C$1:$E$99999,3,FALSE)</f>
        <v>OUN</v>
      </c>
      <c r="O31" s="174" t="s">
        <v>86</v>
      </c>
      <c r="P31" s="10" t="s">
        <v>737</v>
      </c>
      <c r="Q31" s="33"/>
      <c r="R31" s="108" t="str">
        <f>VLOOKUP(C31,'Train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1" s="111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13" t="str">
        <f t="shared" si="1"/>
        <v>"C:\Program Files (x86)\AstroGrep\AstroGrep.exe" /spath="%USERPROFILE%\AppData\Local\Temp\OnboardLogs" /stypes="*4032*201609180*" /stext=" 00:.+((SYSTEM_STATE.+slice.+state.+changed )|(ment ac)|(system.+state.+changed )|(\|lc)|(penalty)|(\[timeout)|(PRM\|1\|D)|(kpr)|(kdp))" /e /r /s</v>
      </c>
      <c r="U31" s="9" t="str">
        <f t="shared" si="2"/>
        <v>4032</v>
      </c>
      <c r="V31" s="38">
        <f t="shared" si="3"/>
        <v>42631.035740740743</v>
      </c>
      <c r="W31" s="52" t="str">
        <f t="shared" si="4"/>
        <v>NW</v>
      </c>
      <c r="X31" s="52" t="str">
        <f t="shared" si="5"/>
        <v>KEEP</v>
      </c>
      <c r="Y31" s="134" t="str">
        <f t="shared" si="6"/>
        <v>echo {"issue":{"subject":"Overspeed","project_id":79,"tracker_id":40,"status_id":1,"priority_id":2,"assigned_to_id":23,"start_date":"2016-09-17","description":"","custom_fields":[{"id":1,"name":"Subdivision","value":"NW"},{"id":4,"name":"Milepost","value":"1.9"},{"id":17,"name":"Train ID","value":"1826-17"},{"id":16,"name":"Locomotive ID","value":"4032"},{"id":130,"name":"Impact","value":""},{"id":150,"name":"Time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8" t="str">
        <f t="shared" si="7"/>
        <v>grep -hSE -A100 "Enforcement Action" "%USERPROFILE%\AppData\Local\Temp\OnboardLogs"\RTDC4032\*4032*201609180* | grep -SE "((Enforcement Ac)|(PRM))" -</v>
      </c>
    </row>
    <row r="32" spans="1:29" x14ac:dyDescent="0.25">
      <c r="A32" s="38">
        <v>42630.663055555553</v>
      </c>
      <c r="B32" s="33" t="s">
        <v>315</v>
      </c>
      <c r="C32" s="33" t="s">
        <v>526</v>
      </c>
      <c r="D32" s="33" t="s">
        <v>49</v>
      </c>
      <c r="E32" s="33" t="s">
        <v>50</v>
      </c>
      <c r="F32" s="49">
        <v>0</v>
      </c>
      <c r="G32" s="49">
        <v>59</v>
      </c>
      <c r="H32" s="49">
        <v>799</v>
      </c>
      <c r="I32" s="49">
        <v>740</v>
      </c>
      <c r="J32" s="33" t="s">
        <v>51</v>
      </c>
      <c r="K32" s="49">
        <v>575</v>
      </c>
      <c r="L32" s="150" t="s">
        <v>53</v>
      </c>
      <c r="M32" s="153">
        <f t="shared" si="0"/>
        <v>87.12</v>
      </c>
      <c r="N32" s="92" t="str">
        <f>VLOOKUP(C32,'Trips&amp;Operators'!$C$1:$E$99999,3,FALSE)</f>
        <v>OUN</v>
      </c>
      <c r="O32" s="174" t="s">
        <v>86</v>
      </c>
      <c r="P32" s="10"/>
      <c r="Q32" s="33"/>
      <c r="R32" s="108" t="str">
        <f>VLOOKUP(C32,'Train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2" s="111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 t="shared" si="1"/>
        <v>"C:\Program Files (x86)\AstroGrep\AstroGrep.exe" /spath="%USERPROFILE%\AppData\Local\Temp\OnboardLogs" /stypes="*4032*201609172*" /stext=" 21:.+((SYSTEM_STATE.+slice.+state.+changed )|(ment ac)|(system.+state.+changed )|(\|lc)|(penalty)|(\[timeout)|(PRM\|1\|D)|(kpr)|(kdp))" /e /r /s</v>
      </c>
      <c r="U32" s="9" t="str">
        <f t="shared" si="2"/>
        <v>4032</v>
      </c>
      <c r="V32" s="38">
        <f t="shared" si="3"/>
        <v>42630.913055555553</v>
      </c>
      <c r="W32" s="52" t="str">
        <f t="shared" si="4"/>
        <v>NW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ID","value":"1820-17"},{"id":16,"name":"Locomotive ID","value":"4032"},{"id":130,"name":"Impact","value":""},{"id":150,"name":"Time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8" t="str">
        <f t="shared" si="7"/>
        <v>grep -hSE -A100 "Enforcement Action" "%USERPROFILE%\AppData\Local\Temp\OnboardLogs"\RTDC4032\*4032*201609172* | grep -SE "((Enforcement Ac)|(PRM))" -</v>
      </c>
    </row>
    <row r="33" spans="1:29" ht="15" customHeight="1" x14ac:dyDescent="0.25">
      <c r="A33" s="38">
        <v>42630.83252314815</v>
      </c>
      <c r="B33" s="33" t="s">
        <v>315</v>
      </c>
      <c r="C33" s="33" t="s">
        <v>570</v>
      </c>
      <c r="D33" s="33" t="s">
        <v>49</v>
      </c>
      <c r="E33" s="33" t="s">
        <v>50</v>
      </c>
      <c r="F33" s="49">
        <v>0</v>
      </c>
      <c r="G33" s="49">
        <v>38</v>
      </c>
      <c r="H33" s="49">
        <v>680</v>
      </c>
      <c r="I33" s="49">
        <v>633</v>
      </c>
      <c r="J33" s="33" t="s">
        <v>51</v>
      </c>
      <c r="K33" s="49">
        <v>575</v>
      </c>
      <c r="L33" s="150" t="s">
        <v>53</v>
      </c>
      <c r="M33" s="153">
        <f t="shared" si="0"/>
        <v>30.623999999999999</v>
      </c>
      <c r="N33" s="92" t="str">
        <f>VLOOKUP(C33,'Trips&amp;Operators'!$C$1:$E$99999,3,FALSE)</f>
        <v>OUN</v>
      </c>
      <c r="O33" s="174" t="s">
        <v>86</v>
      </c>
      <c r="P33" s="10"/>
      <c r="Q33" s="33"/>
      <c r="R33" s="108" t="str">
        <f>VLOOKUP(C33,'Train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3" s="111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3" s="113" t="str">
        <f t="shared" si="1"/>
        <v>"C:\Program Files (x86)\AstroGrep\AstroGrep.exe" /spath="%USERPROFILE%\AppData\Local\Temp\OnboardLogs" /stypes="*4032*201609180*" /stext=" 01:.+((SYSTEM_STATE.+slice.+state.+changed )|(ment ac)|(system.+state.+changed )|(\|lc)|(penalty)|(\[timeout)|(PRM\|1\|D)|(kpr)|(kdp))" /e /r /s</v>
      </c>
      <c r="U33" s="9" t="str">
        <f t="shared" si="2"/>
        <v>4032</v>
      </c>
      <c r="V33" s="38">
        <f t="shared" si="3"/>
        <v>42631.08252314815</v>
      </c>
      <c r="W33" s="52" t="str">
        <f t="shared" si="4"/>
        <v>NW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ID","value":"1828-17"},{"id":16,"name":"Locomotive ID","value":"4032"},{"id":130,"name":"Impact","value":""},{"id":150,"name":"Time of Event (Mountain Time)","value":"19:58:50"},{"id":151,"name":"Denver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8" t="str">
        <f t="shared" si="7"/>
        <v>grep -hSE -A100 "Enforcement Action" "%USERPROFILE%\AppData\Local\Temp\OnboardLogs"\RTDC4032\*4032*201609180* | grep -SE "((Enforcement Ac)|(PRM))" -</v>
      </c>
    </row>
    <row r="34" spans="1:29" x14ac:dyDescent="0.25">
      <c r="A34" s="38">
        <v>42630.871747685182</v>
      </c>
      <c r="B34" s="33" t="s">
        <v>315</v>
      </c>
      <c r="C34" s="33" t="s">
        <v>577</v>
      </c>
      <c r="D34" s="33" t="s">
        <v>49</v>
      </c>
      <c r="E34" s="33" t="s">
        <v>50</v>
      </c>
      <c r="F34" s="49">
        <v>0</v>
      </c>
      <c r="G34" s="49">
        <v>138</v>
      </c>
      <c r="H34" s="49">
        <v>1455</v>
      </c>
      <c r="I34" s="49">
        <v>1252</v>
      </c>
      <c r="J34" s="33" t="s">
        <v>51</v>
      </c>
      <c r="K34" s="49">
        <v>575</v>
      </c>
      <c r="L34" s="150" t="s">
        <v>53</v>
      </c>
      <c r="M34" s="153">
        <f t="shared" si="0"/>
        <v>357.45600000000002</v>
      </c>
      <c r="N34" s="92" t="str">
        <f>VLOOKUP(C34,'Trips&amp;Operators'!$C$1:$E$99999,3,FALSE)</f>
        <v>OUN</v>
      </c>
      <c r="O34" s="174" t="s">
        <v>86</v>
      </c>
      <c r="P34" s="10"/>
      <c r="Q34" s="33"/>
      <c r="R34" s="108" t="str">
        <f>VLOOKUP(C34,'Train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4" s="111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4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4" s="9" t="str">
        <f t="shared" si="2"/>
        <v>4032</v>
      </c>
      <c r="V34" s="38">
        <f t="shared" si="3"/>
        <v>42631.121747685182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8" t="str">
        <f t="shared" si="7"/>
        <v>grep -hSE -A100 "Enforcement Action" "%USERPROFILE%\AppData\Local\Temp\OnboardLogs"\RTDC4032\*4032*201609180* | grep -SE "((Enforcement Ac)|(PRM))" -</v>
      </c>
    </row>
    <row r="35" spans="1:29" x14ac:dyDescent="0.25">
      <c r="A35" s="38">
        <v>42630.872129629628</v>
      </c>
      <c r="B35" s="33" t="s">
        <v>315</v>
      </c>
      <c r="C35" s="33" t="s">
        <v>577</v>
      </c>
      <c r="D35" s="33" t="s">
        <v>49</v>
      </c>
      <c r="E35" s="33" t="s">
        <v>50</v>
      </c>
      <c r="F35" s="49">
        <v>0</v>
      </c>
      <c r="G35" s="49">
        <v>69</v>
      </c>
      <c r="H35" s="49">
        <v>1207</v>
      </c>
      <c r="I35" s="49">
        <v>1098</v>
      </c>
      <c r="J35" s="33" t="s">
        <v>51</v>
      </c>
      <c r="K35" s="49">
        <v>575</v>
      </c>
      <c r="L35" s="150" t="s">
        <v>53</v>
      </c>
      <c r="M35" s="153">
        <f t="shared" si="0"/>
        <v>276.14400000000001</v>
      </c>
      <c r="N35" s="92" t="str">
        <f>VLOOKUP(C35,'Trips&amp;Operators'!$C$1:$E$99999,3,FALSE)</f>
        <v>OUN</v>
      </c>
      <c r="O35" s="174" t="s">
        <v>86</v>
      </c>
      <c r="P35" s="10"/>
      <c r="Q35" s="33"/>
      <c r="R35" s="108" t="str">
        <f>VLOOKUP(C35,'Train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5" s="111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5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5" s="9" t="str">
        <f t="shared" si="2"/>
        <v>4032</v>
      </c>
      <c r="V35" s="38">
        <f t="shared" si="3"/>
        <v>42631.122129629628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8" t="str">
        <f t="shared" si="7"/>
        <v>grep -hSE -A100 "Enforcement Action" "%USERPROFILE%\AppData\Local\Temp\OnboardLogs"\RTDC4032\*4032*201609180* | grep -SE "((Enforcement Ac)|(PRM))" -</v>
      </c>
    </row>
    <row r="36" spans="1:29" x14ac:dyDescent="0.25">
      <c r="A36" s="38">
        <v>42630.872743055559</v>
      </c>
      <c r="B36" s="33" t="s">
        <v>315</v>
      </c>
      <c r="C36" s="33" t="s">
        <v>577</v>
      </c>
      <c r="D36" s="33" t="s">
        <v>49</v>
      </c>
      <c r="E36" s="33" t="s">
        <v>50</v>
      </c>
      <c r="F36" s="49">
        <v>0</v>
      </c>
      <c r="G36" s="49">
        <v>64</v>
      </c>
      <c r="H36" s="49">
        <v>832</v>
      </c>
      <c r="I36" s="49">
        <v>771</v>
      </c>
      <c r="J36" s="33" t="s">
        <v>51</v>
      </c>
      <c r="K36" s="49">
        <v>575</v>
      </c>
      <c r="L36" s="150" t="s">
        <v>53</v>
      </c>
      <c r="M36" s="153">
        <f t="shared" si="0"/>
        <v>103.488</v>
      </c>
      <c r="N36" s="92" t="str">
        <f>VLOOKUP(C36,'Trips&amp;Operators'!$C$1:$E$99999,3,FALSE)</f>
        <v>OUN</v>
      </c>
      <c r="O36" s="174" t="s">
        <v>86</v>
      </c>
      <c r="P36" s="10"/>
      <c r="Q36" s="33"/>
      <c r="R36" s="108" t="str">
        <f>VLOOKUP(C36,'Train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6" s="111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6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6" s="9" t="str">
        <f t="shared" si="2"/>
        <v>4032</v>
      </c>
      <c r="V36" s="38">
        <f t="shared" si="3"/>
        <v>42631.122743055559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8" t="str">
        <f t="shared" si="7"/>
        <v>grep -hSE -A100 "Enforcement Action" "%USERPROFILE%\AppData\Local\Temp\OnboardLogs"\RTDC4032\*4032*201609180* | grep -SE "((Enforcement Ac)|(PRM))" -</v>
      </c>
    </row>
    <row r="37" spans="1:29" ht="15" customHeight="1" x14ac:dyDescent="0.25">
      <c r="A37" s="38">
        <v>42630.523518518516</v>
      </c>
      <c r="B37" s="33" t="s">
        <v>107</v>
      </c>
      <c r="C37" s="33" t="s">
        <v>489</v>
      </c>
      <c r="D37" s="33" t="s">
        <v>49</v>
      </c>
      <c r="E37" s="33" t="s">
        <v>50</v>
      </c>
      <c r="F37" s="49">
        <v>0</v>
      </c>
      <c r="G37" s="49">
        <v>127</v>
      </c>
      <c r="H37" s="49">
        <v>57821</v>
      </c>
      <c r="I37" s="49">
        <v>58058</v>
      </c>
      <c r="J37" s="33" t="s">
        <v>51</v>
      </c>
      <c r="K37" s="49">
        <v>59048</v>
      </c>
      <c r="L37" s="150" t="s">
        <v>52</v>
      </c>
      <c r="M37" s="153">
        <f t="shared" si="0"/>
        <v>522.72</v>
      </c>
      <c r="N37" s="92" t="str">
        <f>VLOOKUP(C37,'Trips&amp;Operators'!$C$1:$E$99999,3,FALSE)</f>
        <v>YORK</v>
      </c>
      <c r="O37" s="174" t="s">
        <v>86</v>
      </c>
      <c r="P37" s="10"/>
      <c r="Q37" s="33"/>
      <c r="R37" s="108" t="str">
        <f>VLOOKUP(C37,'Train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7" s="111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7" s="113" t="str">
        <f t="shared" si="1"/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7" s="9" t="str">
        <f t="shared" si="2"/>
        <v>4031</v>
      </c>
      <c r="V37" s="38">
        <f t="shared" si="3"/>
        <v>42630.773518518516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8" t="str">
        <f t="shared" si="7"/>
        <v>grep -hSE -A100 "Enforcement Action" "%USERPROFILE%\AppData\Local\Temp\OnboardLogs"\RTDC4031\*4031*201609171* | grep -SE "((Enforcement Ac)|(PRM))" -</v>
      </c>
    </row>
    <row r="38" spans="1:29" x14ac:dyDescent="0.25">
      <c r="A38" s="38">
        <v>42630.524895833332</v>
      </c>
      <c r="B38" s="33" t="s">
        <v>107</v>
      </c>
      <c r="C38" s="33" t="s">
        <v>489</v>
      </c>
      <c r="D38" s="33" t="s">
        <v>49</v>
      </c>
      <c r="E38" s="33" t="s">
        <v>50</v>
      </c>
      <c r="F38" s="49">
        <v>0</v>
      </c>
      <c r="G38" s="49">
        <v>27</v>
      </c>
      <c r="H38" s="49">
        <v>58922</v>
      </c>
      <c r="I38" s="49">
        <v>58937</v>
      </c>
      <c r="J38" s="33" t="s">
        <v>51</v>
      </c>
      <c r="K38" s="49">
        <v>59048</v>
      </c>
      <c r="L38" s="150" t="s">
        <v>52</v>
      </c>
      <c r="M38" s="153">
        <f t="shared" si="0"/>
        <v>58.607999999999997</v>
      </c>
      <c r="N38" s="92" t="str">
        <f>VLOOKUP(C38,'Trips&amp;Operators'!$C$1:$E$99999,3,FALSE)</f>
        <v>YORK</v>
      </c>
      <c r="O38" s="174" t="s">
        <v>86</v>
      </c>
      <c r="P38" s="10"/>
      <c r="Q38" s="33"/>
      <c r="R38" s="108" t="str">
        <f>VLOOKUP(C38,'Train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8" s="111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 t="shared" si="1"/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8" s="9" t="str">
        <f t="shared" si="2"/>
        <v>4031</v>
      </c>
      <c r="V38" s="38">
        <f t="shared" si="3"/>
        <v>42630.774895833332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8" t="str">
        <f t="shared" si="7"/>
        <v>grep -hSE -A100 "Enforcement Action" "%USERPROFILE%\AppData\Local\Temp\OnboardLogs"\RTDC4031\*4031*201609171* | grep -SE "((Enforcement Ac)|(PRM))" -</v>
      </c>
    </row>
    <row r="39" spans="1:29" x14ac:dyDescent="0.25">
      <c r="A39" s="38">
        <v>42630.691284722219</v>
      </c>
      <c r="B39" s="33" t="s">
        <v>107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49</v>
      </c>
      <c r="H39" s="49">
        <v>58892</v>
      </c>
      <c r="I39" s="49">
        <v>58933</v>
      </c>
      <c r="J39" s="33" t="s">
        <v>51</v>
      </c>
      <c r="K39" s="49">
        <v>59048</v>
      </c>
      <c r="L39" s="150" t="s">
        <v>52</v>
      </c>
      <c r="M39" s="153">
        <f t="shared" si="0"/>
        <v>60.72</v>
      </c>
      <c r="N39" s="92" t="str">
        <f>VLOOKUP(C39,'Trips&amp;Operators'!$C$1:$E$99999,3,FALSE)</f>
        <v>OUN</v>
      </c>
      <c r="O39" s="174" t="s">
        <v>86</v>
      </c>
      <c r="P39" s="10"/>
      <c r="Q39" s="33"/>
      <c r="R39" s="108" t="str">
        <f>VLOOKUP(C39,'Train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9" s="111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9" s="113" t="str">
        <f t="shared" si="1"/>
        <v>"C:\Program Files (x86)\AstroGrep\AstroGrep.exe" /spath="%USERPROFILE%\AppData\Local\Temp\OnboardLogs" /stypes="*4031*201609172*" /stext=" 22:.+((SYSTEM_STATE.+slice.+state.+changed )|(ment ac)|(system.+state.+changed )|(\|lc)|(penalty)|(\[timeout)|(PRM\|1\|D)|(kpr)|(kdp))" /e /r /s</v>
      </c>
      <c r="U39" s="9" t="str">
        <f t="shared" si="2"/>
        <v>4031</v>
      </c>
      <c r="V39" s="38">
        <f t="shared" si="3"/>
        <v>42630.941284722219</v>
      </c>
      <c r="W39" s="52" t="str">
        <f t="shared" si="4"/>
        <v>NW</v>
      </c>
      <c r="X39" s="52" t="str">
        <f t="shared" si="5"/>
        <v>KEEP</v>
      </c>
      <c r="Y39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ID","value":"1821-17"},{"id":16,"name":"Locomotive ID","value":"4031"},{"id":130,"name":"Impact","value":""},{"id":150,"name":"Time of Event (Mountain Time)","value":"16:35:27"},{"id":151,"name":"Denver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8" t="str">
        <f t="shared" si="7"/>
        <v>grep -hSE -A100 "Enforcement Action" "%USERPROFILE%\AppData\Local\Temp\OnboardLogs"\RTDC4031\*4031*201609172* | grep -SE "((Enforcement Ac)|(PRM))" -</v>
      </c>
    </row>
    <row r="40" spans="1:29" x14ac:dyDescent="0.25">
      <c r="A40" s="38">
        <v>42630.774282407408</v>
      </c>
      <c r="B40" s="33" t="s">
        <v>107</v>
      </c>
      <c r="C40" s="33" t="s">
        <v>555</v>
      </c>
      <c r="D40" s="33" t="s">
        <v>49</v>
      </c>
      <c r="E40" s="33" t="s">
        <v>50</v>
      </c>
      <c r="F40" s="49">
        <v>0</v>
      </c>
      <c r="G40" s="49">
        <v>47</v>
      </c>
      <c r="H40" s="49">
        <v>58882</v>
      </c>
      <c r="I40" s="49">
        <v>58914</v>
      </c>
      <c r="J40" s="33" t="s">
        <v>51</v>
      </c>
      <c r="K40" s="49">
        <v>59048</v>
      </c>
      <c r="L40" s="150" t="s">
        <v>52</v>
      </c>
      <c r="M40" s="153">
        <f t="shared" si="0"/>
        <v>70.751999999999995</v>
      </c>
      <c r="N40" s="92" t="str">
        <f>VLOOKUP(C40,'Trips&amp;Operators'!$C$1:$E$99999,3,FALSE)</f>
        <v>OUN</v>
      </c>
      <c r="O40" s="174" t="s">
        <v>86</v>
      </c>
      <c r="P40" s="10"/>
      <c r="Q40" s="33"/>
      <c r="R40" s="108" t="str">
        <f>VLOOKUP(C40,'Train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40" s="111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0" s="113" t="str">
        <f t="shared" si="1"/>
        <v>"C:\Program Files (x86)\AstroGrep\AstroGrep.exe" /spath="%USERPROFILE%\AppData\Local\Temp\OnboardLogs" /stypes="*4031*201609180*" /stext=" 00:.+((SYSTEM_STATE.+slice.+state.+changed )|(ment ac)|(system.+state.+changed )|(\|lc)|(penalty)|(\[timeout)|(PRM\|1\|D)|(kpr)|(kdp))" /e /r /s</v>
      </c>
      <c r="U40" s="9" t="str">
        <f t="shared" si="2"/>
        <v>4031</v>
      </c>
      <c r="V40" s="38">
        <f t="shared" si="3"/>
        <v>42631.024282407408</v>
      </c>
      <c r="W40" s="52" t="str">
        <f t="shared" si="4"/>
        <v>NW</v>
      </c>
      <c r="X40" s="52" t="str">
        <f t="shared" si="5"/>
        <v>KEEP</v>
      </c>
      <c r="Y40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ID","value":"1825-17"},{"id":16,"name":"Locomotive ID","value":"4031"},{"id":130,"name":"Impact","value":""},{"id":150,"name":"Time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8" t="str">
        <f t="shared" si="7"/>
        <v>grep -hSE -A100 "Enforcement Action" "%USERPROFILE%\AppData\Local\Temp\OnboardLogs"\RTDC4031\*4031*201609180* | grep -SE "((Enforcement Ac)|(PRM))" -</v>
      </c>
    </row>
    <row r="41" spans="1:29" x14ac:dyDescent="0.25">
      <c r="A41" s="38">
        <v>42630.806516203702</v>
      </c>
      <c r="B41" s="33" t="s">
        <v>409</v>
      </c>
      <c r="C41" s="33" t="s">
        <v>566</v>
      </c>
      <c r="D41" s="33" t="s">
        <v>105</v>
      </c>
      <c r="E41" s="33" t="s">
        <v>56</v>
      </c>
      <c r="F41" s="49">
        <v>150</v>
      </c>
      <c r="G41" s="49">
        <v>200</v>
      </c>
      <c r="H41" s="49">
        <v>4418</v>
      </c>
      <c r="I41" s="49">
        <v>4644</v>
      </c>
      <c r="J41" s="33" t="s">
        <v>57</v>
      </c>
      <c r="K41" s="49">
        <v>3478</v>
      </c>
      <c r="L41" s="150" t="s">
        <v>52</v>
      </c>
      <c r="M41" s="153">
        <f t="shared" si="0"/>
        <v>-615.64800000000002</v>
      </c>
      <c r="N41" s="92" t="str">
        <f>VLOOKUP(C41,'Trips&amp;Operators'!$C$1:$E$99999,3,FALSE)</f>
        <v>CLARK</v>
      </c>
      <c r="O41" s="174" t="s">
        <v>86</v>
      </c>
      <c r="P41" s="10"/>
      <c r="Q41" s="33"/>
      <c r="R41" s="108" t="str">
        <f>VLOOKUP(C41,'Train Runs'!$A$13:$AE$10018,31,0)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S41" s="111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41" s="113" t="str">
        <f t="shared" si="1"/>
        <v>"C:\Program Files (x86)\AstroGrep\AstroGrep.exe" /spath="%USERPROFILE%\AppData\Local\Temp\OnboardLogs" /stypes="*4053*201609180*" /stext=" 01:.+((SYSTEM_STATE.+slice.+state.+changed )|(ment ac)|(system.+state.+changed )|(\|lc)|(penalty)|(\[timeout)|(PRM\|1\|D)|(kpr)|(kdp))" /e /r /s</v>
      </c>
      <c r="U41" s="9" t="str">
        <f t="shared" si="2"/>
        <v>4053</v>
      </c>
      <c r="V41" s="38">
        <f t="shared" si="3"/>
        <v>42631.056516203702</v>
      </c>
      <c r="W41" s="52" t="str">
        <f t="shared" si="4"/>
        <v>Other</v>
      </c>
      <c r="X41" s="52" t="str">
        <f t="shared" si="5"/>
        <v>KEEP</v>
      </c>
      <c r="Y41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{"issue":{"subject":"","project_id":79,"tracker_id":40,"status_id":1,"priority_id":2,"assigned_to_id":23,"start_date":"2016-09-17","description":"","custom_fields":[{"id":1,"name":"Subdivision","value":"Other"},{"id":4,"name":"Milepost","value":"0.3478"},{"id":17,"name":"Train ID","value":"305-17"},{"id":16,"name":"Locomotive ID","value":"4053"},{"id":130,"name":"Impact","value":""},{"id":150,"name":"Time of Event (Mountain Time)","value":"19:21:23"},{"id":151,"name":"Denver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8" t="str">
        <f t="shared" si="7"/>
        <v>grep -hSE -A100 "Enforcement Action" "%USERPROFILE%\AppData\Local\Temp\OnboardLogs"\RTDC4053\*4053*201609180* | grep -SE "((Enforcement Ac)|(PRM))" -</v>
      </c>
    </row>
    <row r="42" spans="1:29" x14ac:dyDescent="0.25">
      <c r="A42" s="38">
        <v>42630.769490740742</v>
      </c>
      <c r="B42" s="33" t="s">
        <v>319</v>
      </c>
      <c r="C42" s="33" t="s">
        <v>556</v>
      </c>
      <c r="D42" s="33" t="s">
        <v>105</v>
      </c>
      <c r="E42" s="33" t="s">
        <v>54</v>
      </c>
      <c r="F42" s="49">
        <v>0</v>
      </c>
      <c r="G42" s="49">
        <v>108</v>
      </c>
      <c r="H42" s="49">
        <v>24087</v>
      </c>
      <c r="I42" s="49">
        <v>23908</v>
      </c>
      <c r="J42" s="33" t="s">
        <v>55</v>
      </c>
      <c r="K42" s="49">
        <v>24235</v>
      </c>
      <c r="L42" s="150" t="s">
        <v>53</v>
      </c>
      <c r="M42" s="153">
        <f t="shared" si="0"/>
        <v>-172.65600000000001</v>
      </c>
      <c r="N42" s="92" t="str">
        <f>VLOOKUP(C42,'Trips&amp;Operators'!$C$1:$E$99999,3,FALSE)</f>
        <v>LEVIN</v>
      </c>
      <c r="O42" s="174" t="s">
        <v>86</v>
      </c>
      <c r="P42" s="10"/>
      <c r="Q42" s="33"/>
      <c r="R42" s="108" t="str">
        <f>VLOOKUP(C42,'Train Runs'!$A$13:$AE$10018,31,0)</f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S42" s="111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42" s="113" t="str">
        <f t="shared" si="1"/>
        <v>"C:\Program Files (x86)\AstroGrep\AstroGrep.exe" /spath="%USERPROFILE%\AppData\Local\Temp\OnboardLogs" /stypes="*4021*201609180*" /stext=" 00:.+((SYSTEM_STATE.+slice.+state.+changed )|(ment ac)|(system.+state.+changed )|(\|lc)|(penalty)|(\[timeout)|(PRM\|1\|D)|(kpr)|(kdp))" /e /r /s</v>
      </c>
      <c r="U42" s="9" t="str">
        <f t="shared" si="2"/>
        <v>4021</v>
      </c>
      <c r="V42" s="38">
        <f t="shared" si="3"/>
        <v>42631.019490740742</v>
      </c>
      <c r="W42" s="52" t="str">
        <f t="shared" si="4"/>
        <v>Other</v>
      </c>
      <c r="X42" s="52" t="str">
        <f t="shared" si="5"/>
        <v>KEEP</v>
      </c>
      <c r="Y42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{"issue":{"subject":"","project_id":79,"tracker_id":40,"status_id":1,"priority_id":2,"assigned_to_id":23,"start_date":"2016-09-17","description":"","custom_fields":[{"id":1,"name":"Subdivision","value":"Other"},{"id":4,"name":"Milepost","value":"2.4235"},{"id":17,"name":"Train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8" t="str">
        <f t="shared" si="7"/>
        <v>grep -hSE -A100 "Enforcement Action" "%USERPROFILE%\AppData\Local\Temp\OnboardLogs"\RTDC4021\*4021*201609180* | grep -SE "((Enforcement Ac)|(PRM))" -</v>
      </c>
    </row>
    <row r="43" spans="1:29" x14ac:dyDescent="0.25">
      <c r="A43" s="38">
        <v>42630.462118055555</v>
      </c>
      <c r="B43" s="33" t="s">
        <v>317</v>
      </c>
      <c r="C43" s="33" t="s">
        <v>474</v>
      </c>
      <c r="D43" s="33" t="s">
        <v>49</v>
      </c>
      <c r="E43" s="33" t="s">
        <v>50</v>
      </c>
      <c r="F43" s="49">
        <v>0</v>
      </c>
      <c r="G43" s="49">
        <v>92</v>
      </c>
      <c r="H43" s="49">
        <v>1183</v>
      </c>
      <c r="I43" s="49">
        <v>1108</v>
      </c>
      <c r="J43" s="33" t="s">
        <v>51</v>
      </c>
      <c r="K43" s="49">
        <v>826</v>
      </c>
      <c r="L43" s="150" t="s">
        <v>53</v>
      </c>
      <c r="M43" s="153">
        <f t="shared" si="0"/>
        <v>148.89599999999999</v>
      </c>
      <c r="N43" s="92" t="str">
        <f>VLOOKUP(C43,'Trips&amp;Operators'!$C$1:$E$99999,3,FALSE)</f>
        <v>MOSES</v>
      </c>
      <c r="O43" s="174" t="s">
        <v>86</v>
      </c>
      <c r="P43" s="10"/>
      <c r="Q43" s="33"/>
      <c r="R43" s="108" t="str">
        <f>VLOOKUP(C43,'Train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3" s="111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3" s="113" t="str">
        <f t="shared" si="1"/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3" s="9" t="str">
        <f t="shared" si="2"/>
        <v>4005</v>
      </c>
      <c r="V43" s="38">
        <f t="shared" si="3"/>
        <v>42630.712118055555</v>
      </c>
      <c r="W43" s="52" t="str">
        <f t="shared" si="4"/>
        <v>Other</v>
      </c>
      <c r="X43" s="52" t="str">
        <f t="shared" si="5"/>
        <v>KEEP</v>
      </c>
      <c r="Y43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8" t="str">
        <f t="shared" si="7"/>
        <v>grep -hSE -A100 "Enforcement Action" "%USERPROFILE%\AppData\Local\Temp\OnboardLogs"\RTDC4005\*4005*201609171* | grep -SE "((Enforcement Ac)|(PRM))" -</v>
      </c>
    </row>
    <row r="44" spans="1:29" x14ac:dyDescent="0.25">
      <c r="A44" s="38">
        <v>42630.462557870371</v>
      </c>
      <c r="B44" s="33" t="s">
        <v>317</v>
      </c>
      <c r="C44" s="33" t="s">
        <v>474</v>
      </c>
      <c r="D44" s="33" t="s">
        <v>49</v>
      </c>
      <c r="E44" s="33" t="s">
        <v>50</v>
      </c>
      <c r="F44" s="49">
        <v>0</v>
      </c>
      <c r="G44" s="49">
        <v>47</v>
      </c>
      <c r="H44" s="49">
        <v>1054</v>
      </c>
      <c r="I44" s="49">
        <v>982</v>
      </c>
      <c r="J44" s="33" t="s">
        <v>51</v>
      </c>
      <c r="K44" s="49">
        <v>826</v>
      </c>
      <c r="L44" s="150" t="s">
        <v>53</v>
      </c>
      <c r="M44" s="153">
        <f t="shared" si="0"/>
        <v>82.367999999999995</v>
      </c>
      <c r="N44" s="92" t="str">
        <f>VLOOKUP(C44,'Trips&amp;Operators'!$C$1:$E$99999,3,FALSE)</f>
        <v>MOSES</v>
      </c>
      <c r="O44" s="174" t="s">
        <v>86</v>
      </c>
      <c r="P44" s="10"/>
      <c r="Q44" s="33"/>
      <c r="R44" s="108" t="str">
        <f>VLOOKUP(C44,'Train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4" s="111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4" s="113" t="str">
        <f t="shared" si="1"/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4" s="9" t="str">
        <f t="shared" si="2"/>
        <v>4005</v>
      </c>
      <c r="V44" s="38">
        <f t="shared" si="3"/>
        <v>42630.712557870371</v>
      </c>
      <c r="W44" s="52" t="str">
        <f t="shared" si="4"/>
        <v>Other</v>
      </c>
      <c r="X44" s="52" t="str">
        <f t="shared" si="5"/>
        <v>KEEP</v>
      </c>
      <c r="Y44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8" t="str">
        <f t="shared" si="7"/>
        <v>grep -hSE -A100 "Enforcement Action" "%USERPROFILE%\AppData\Local\Temp\OnboardLogs"\RTDC4005\*4005*201609171* | grep -SE "((Enforcement Ac)|(PRM))" -</v>
      </c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78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78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78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78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78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78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78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78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78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78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78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78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78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78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78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78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78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78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78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78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78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78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78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78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78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78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78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78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78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78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78"/>
    </row>
    <row r="76" spans="1:29" x14ac:dyDescent="0.25">
      <c r="B76" s="23"/>
      <c r="C76" s="23"/>
      <c r="D76" s="23"/>
      <c r="E76" s="23"/>
      <c r="J76" s="23"/>
    </row>
  </sheetData>
  <autoFilter ref="R6:AC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2016-09-17</v>
      </c>
      <c r="C1" s="180"/>
      <c r="D1" s="180"/>
      <c r="E1" s="180"/>
      <c r="F1" s="180"/>
    </row>
    <row r="2" spans="1:11" s="26" customFormat="1" ht="45" x14ac:dyDescent="0.25">
      <c r="A2" s="170" t="s">
        <v>171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113</v>
      </c>
    </row>
    <row r="3" spans="1:11" x14ac:dyDescent="0.25">
      <c r="B3" s="2" t="str">
        <f>A3&amp;"-"&amp;IF(DAY(Variables!$A$2)&lt;10,0,"")&amp;DAY(Variables!$A$2)</f>
        <v>-17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-17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-17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-17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-17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-17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-17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-17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254</v>
      </c>
      <c r="B1" s="23" t="s">
        <v>255</v>
      </c>
      <c r="C1" s="23" t="s">
        <v>0</v>
      </c>
      <c r="D1" s="23" t="s">
        <v>256</v>
      </c>
      <c r="E1" s="23" t="s">
        <v>257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42630.036597222221</v>
      </c>
      <c r="B2" s="23" t="s">
        <v>323</v>
      </c>
      <c r="C2" s="23" t="s">
        <v>344</v>
      </c>
      <c r="D2" s="23">
        <v>1300000</v>
      </c>
      <c r="E2" s="23" t="s">
        <v>122</v>
      </c>
      <c r="F2" s="23" t="str">
        <f t="shared" ref="F2:F65" si="0">B2</f>
        <v>rtdc.l.rtdc.4003:itc</v>
      </c>
      <c r="G2" s="8">
        <f t="shared" ref="G2:G65" si="1">A2</f>
        <v>42630.036597222221</v>
      </c>
    </row>
    <row r="3" spans="1:7" x14ac:dyDescent="0.25">
      <c r="A3" s="8">
        <v>42630.037418981483</v>
      </c>
      <c r="B3" s="23" t="s">
        <v>275</v>
      </c>
      <c r="C3" s="23" t="s">
        <v>345</v>
      </c>
      <c r="D3" s="23">
        <v>1800000</v>
      </c>
      <c r="E3" s="23" t="s">
        <v>332</v>
      </c>
      <c r="F3" s="23" t="str">
        <f t="shared" si="0"/>
        <v>rtdc.l.rtdc.4043:itc</v>
      </c>
      <c r="G3" s="8">
        <f t="shared" si="1"/>
        <v>42630.037418981483</v>
      </c>
    </row>
    <row r="4" spans="1:7" x14ac:dyDescent="0.25">
      <c r="A4" s="8">
        <v>42630.04991898148</v>
      </c>
      <c r="B4" s="23" t="s">
        <v>324</v>
      </c>
      <c r="C4" s="23" t="s">
        <v>346</v>
      </c>
      <c r="D4" s="23">
        <v>1230000</v>
      </c>
      <c r="E4" s="23" t="s">
        <v>331</v>
      </c>
      <c r="F4" s="23" t="str">
        <f t="shared" si="0"/>
        <v>rtdc.l.rtdc.4038:itc</v>
      </c>
      <c r="G4" s="8">
        <f t="shared" si="1"/>
        <v>42630.04991898148</v>
      </c>
    </row>
    <row r="5" spans="1:7" x14ac:dyDescent="0.25">
      <c r="A5" s="8">
        <v>42630.053900462961</v>
      </c>
      <c r="B5" s="23" t="s">
        <v>178</v>
      </c>
      <c r="C5" s="23" t="s">
        <v>347</v>
      </c>
      <c r="D5" s="23">
        <v>1480000</v>
      </c>
      <c r="E5" s="23" t="s">
        <v>277</v>
      </c>
      <c r="F5" s="23" t="str">
        <f t="shared" si="0"/>
        <v>rtdc.l.rtdc.4010:itc</v>
      </c>
      <c r="G5" s="8">
        <f t="shared" si="1"/>
        <v>42630.053900462961</v>
      </c>
    </row>
    <row r="6" spans="1:7" x14ac:dyDescent="0.25">
      <c r="A6" s="8">
        <v>42630.078773148147</v>
      </c>
      <c r="B6" s="23" t="s">
        <v>326</v>
      </c>
      <c r="C6" s="23" t="s">
        <v>348</v>
      </c>
      <c r="D6" s="23">
        <v>1300000</v>
      </c>
      <c r="E6" s="23" t="s">
        <v>122</v>
      </c>
      <c r="F6" s="23" t="str">
        <f t="shared" si="0"/>
        <v>rtdc.l.rtdc.4004:itc</v>
      </c>
      <c r="G6" s="8">
        <f t="shared" si="1"/>
        <v>42630.078773148147</v>
      </c>
    </row>
    <row r="7" spans="1:7" x14ac:dyDescent="0.25">
      <c r="A7" s="8">
        <v>42630.079085648147</v>
      </c>
      <c r="B7" s="23" t="s">
        <v>272</v>
      </c>
      <c r="C7" s="23" t="s">
        <v>349</v>
      </c>
      <c r="D7" s="23">
        <v>1800000</v>
      </c>
      <c r="E7" s="23" t="s">
        <v>332</v>
      </c>
      <c r="F7" s="23" t="str">
        <f t="shared" si="0"/>
        <v>rtdc.l.rtdc.4044:itc</v>
      </c>
      <c r="G7" s="8">
        <f t="shared" si="1"/>
        <v>42630.079085648147</v>
      </c>
    </row>
    <row r="8" spans="1:7" x14ac:dyDescent="0.25">
      <c r="A8" s="8">
        <v>42630.093819444446</v>
      </c>
      <c r="B8" s="23" t="s">
        <v>129</v>
      </c>
      <c r="C8" s="23" t="s">
        <v>350</v>
      </c>
      <c r="D8" s="23">
        <v>1480000</v>
      </c>
      <c r="E8" s="23" t="s">
        <v>277</v>
      </c>
      <c r="F8" s="23" t="str">
        <f t="shared" si="0"/>
        <v>rtdc.l.rtdc.4009:itc</v>
      </c>
      <c r="G8" s="8">
        <f t="shared" si="1"/>
        <v>42630.093819444446</v>
      </c>
    </row>
    <row r="9" spans="1:7" ht="15.75" thickBot="1" x14ac:dyDescent="0.3">
      <c r="A9" s="27">
        <v>42630.11005787037</v>
      </c>
      <c r="B9" s="23" t="s">
        <v>323</v>
      </c>
      <c r="C9" s="23" t="s">
        <v>351</v>
      </c>
      <c r="D9" s="23">
        <v>1300000</v>
      </c>
      <c r="E9" s="23" t="s">
        <v>122</v>
      </c>
      <c r="F9" s="23" t="str">
        <f t="shared" si="0"/>
        <v>rtdc.l.rtdc.4003:itc</v>
      </c>
      <c r="G9" s="8">
        <f t="shared" si="1"/>
        <v>42630.11005787037</v>
      </c>
    </row>
    <row r="10" spans="1:7" x14ac:dyDescent="0.25">
      <c r="A10" s="8">
        <v>42630.118055555555</v>
      </c>
      <c r="B10" s="23" t="s">
        <v>267</v>
      </c>
      <c r="C10" s="23" t="s">
        <v>395</v>
      </c>
      <c r="D10" s="23">
        <v>2010000</v>
      </c>
      <c r="E10" s="23" t="s">
        <v>273</v>
      </c>
      <c r="F10" s="23" t="str">
        <f t="shared" si="0"/>
        <v>rtdc.l.rtdc.4054:itc</v>
      </c>
      <c r="G10" s="8">
        <f t="shared" si="1"/>
        <v>42630.118055555555</v>
      </c>
    </row>
    <row r="11" spans="1:7" x14ac:dyDescent="0.25">
      <c r="A11" s="8">
        <v>42630.131342592591</v>
      </c>
      <c r="B11" s="23" t="s">
        <v>172</v>
      </c>
      <c r="C11" s="23" t="s">
        <v>396</v>
      </c>
      <c r="D11" s="23">
        <v>2010000</v>
      </c>
      <c r="E11" s="23" t="s">
        <v>273</v>
      </c>
      <c r="F11" s="23" t="str">
        <f t="shared" si="0"/>
        <v>rtdc.l.rtdc.4025:itc</v>
      </c>
      <c r="G11" s="8">
        <f t="shared" si="1"/>
        <v>42630.131342592591</v>
      </c>
    </row>
    <row r="12" spans="1:7" x14ac:dyDescent="0.25">
      <c r="A12" s="8">
        <v>42630.155428240738</v>
      </c>
      <c r="B12" s="23" t="s">
        <v>179</v>
      </c>
      <c r="C12" s="23" t="s">
        <v>397</v>
      </c>
      <c r="D12" s="23">
        <v>1310000</v>
      </c>
      <c r="E12" s="23" t="s">
        <v>318</v>
      </c>
      <c r="F12" s="23" t="str">
        <f t="shared" si="0"/>
        <v>rtdc.l.rtdc.4042:itc</v>
      </c>
      <c r="G12" s="8">
        <f t="shared" si="1"/>
        <v>42630.155428240738</v>
      </c>
    </row>
    <row r="13" spans="1:7" x14ac:dyDescent="0.25">
      <c r="A13" s="8">
        <v>42630.16983796296</v>
      </c>
      <c r="B13" s="23" t="s">
        <v>267</v>
      </c>
      <c r="C13" s="23" t="s">
        <v>398</v>
      </c>
      <c r="D13" s="23">
        <v>2010000</v>
      </c>
      <c r="E13" s="23" t="s">
        <v>273</v>
      </c>
      <c r="F13" s="23" t="str">
        <f t="shared" si="0"/>
        <v>rtdc.l.rtdc.4054:itc</v>
      </c>
      <c r="G13" s="8">
        <f t="shared" si="1"/>
        <v>42630.16983796296</v>
      </c>
    </row>
    <row r="14" spans="1:7" x14ac:dyDescent="0.25">
      <c r="A14" s="8">
        <v>42630.171527777777</v>
      </c>
      <c r="B14" s="23" t="s">
        <v>267</v>
      </c>
      <c r="C14" s="23" t="s">
        <v>398</v>
      </c>
      <c r="D14" s="23">
        <v>2010000</v>
      </c>
      <c r="E14" s="23" t="s">
        <v>273</v>
      </c>
      <c r="F14" s="23" t="str">
        <f t="shared" si="0"/>
        <v>rtdc.l.rtdc.4054:itc</v>
      </c>
      <c r="G14" s="8">
        <f t="shared" si="1"/>
        <v>42630.171527777777</v>
      </c>
    </row>
    <row r="15" spans="1:7" x14ac:dyDescent="0.25">
      <c r="A15" s="8">
        <v>42630.172083333331</v>
      </c>
      <c r="B15" s="23" t="s">
        <v>399</v>
      </c>
      <c r="C15" s="23" t="s">
        <v>400</v>
      </c>
      <c r="D15" s="23">
        <v>1740000</v>
      </c>
      <c r="E15" s="23" t="s">
        <v>401</v>
      </c>
      <c r="F15" s="23" t="str">
        <f t="shared" si="0"/>
        <v>rtdc.l.rtdc.4011:itc</v>
      </c>
      <c r="G15" s="8">
        <f t="shared" si="1"/>
        <v>42630.172083333331</v>
      </c>
    </row>
    <row r="16" spans="1:7" x14ac:dyDescent="0.25">
      <c r="A16" s="8">
        <v>42630.182986111111</v>
      </c>
      <c r="B16" s="23" t="s">
        <v>402</v>
      </c>
      <c r="C16" s="23" t="s">
        <v>403</v>
      </c>
      <c r="D16" s="23">
        <v>1990000</v>
      </c>
      <c r="E16" s="23" t="s">
        <v>325</v>
      </c>
      <c r="F16" s="23" t="str">
        <f t="shared" si="0"/>
        <v>rtdc.l.rtdc.4040:itc</v>
      </c>
      <c r="G16" s="8">
        <f t="shared" si="1"/>
        <v>42630.182986111111</v>
      </c>
    </row>
    <row r="17" spans="1:7" x14ac:dyDescent="0.25">
      <c r="A17" s="8">
        <v>42630.189097222225</v>
      </c>
      <c r="B17" s="23" t="s">
        <v>232</v>
      </c>
      <c r="C17" s="23" t="s">
        <v>404</v>
      </c>
      <c r="D17" s="23">
        <v>2030000</v>
      </c>
      <c r="E17" s="23" t="s">
        <v>405</v>
      </c>
      <c r="F17" s="23" t="str">
        <f t="shared" si="0"/>
        <v>rtdc.l.rtdc.4018:itc</v>
      </c>
      <c r="G17" s="8">
        <f t="shared" si="1"/>
        <v>42630.189097222225</v>
      </c>
    </row>
    <row r="18" spans="1:7" x14ac:dyDescent="0.25">
      <c r="A18" s="8">
        <v>42630.193668981483</v>
      </c>
      <c r="B18" s="23" t="s">
        <v>316</v>
      </c>
      <c r="C18" s="23" t="s">
        <v>406</v>
      </c>
      <c r="D18" s="23">
        <v>1310000</v>
      </c>
      <c r="E18" s="23" t="s">
        <v>318</v>
      </c>
      <c r="F18" s="23" t="str">
        <f t="shared" si="0"/>
        <v>rtdc.l.rtdc.4045:itc</v>
      </c>
      <c r="G18" s="8">
        <f t="shared" si="1"/>
        <v>42630.193668981483</v>
      </c>
    </row>
    <row r="19" spans="1:7" x14ac:dyDescent="0.25">
      <c r="A19" s="8">
        <v>42630.206307870372</v>
      </c>
      <c r="B19" s="23" t="s">
        <v>172</v>
      </c>
      <c r="C19" s="23" t="s">
        <v>407</v>
      </c>
      <c r="D19" s="23">
        <v>1100000</v>
      </c>
      <c r="E19" s="23" t="s">
        <v>408</v>
      </c>
      <c r="F19" s="23" t="str">
        <f t="shared" si="0"/>
        <v>rtdc.l.rtdc.4025:itc</v>
      </c>
      <c r="G19" s="8">
        <f t="shared" si="1"/>
        <v>42630.206307870372</v>
      </c>
    </row>
    <row r="20" spans="1:7" x14ac:dyDescent="0.25">
      <c r="A20" s="8">
        <v>42630.209652777776</v>
      </c>
      <c r="B20" s="23" t="s">
        <v>409</v>
      </c>
      <c r="C20" s="23" t="s">
        <v>410</v>
      </c>
      <c r="D20" s="23">
        <v>2010000</v>
      </c>
      <c r="E20" s="23" t="s">
        <v>273</v>
      </c>
      <c r="F20" s="23" t="str">
        <f t="shared" si="0"/>
        <v>rtdc.l.rtdc.4053:itc</v>
      </c>
      <c r="G20" s="8">
        <f t="shared" si="1"/>
        <v>42630.209652777776</v>
      </c>
    </row>
    <row r="21" spans="1:7" x14ac:dyDescent="0.25">
      <c r="A21" s="8">
        <v>42630.20994212963</v>
      </c>
      <c r="B21" s="23" t="s">
        <v>411</v>
      </c>
      <c r="C21" s="23" t="s">
        <v>412</v>
      </c>
      <c r="D21" s="23">
        <v>1740000</v>
      </c>
      <c r="E21" s="23" t="s">
        <v>401</v>
      </c>
      <c r="F21" s="23" t="str">
        <f t="shared" si="0"/>
        <v>rtdc.l.rtdc.4028:itc</v>
      </c>
      <c r="G21" s="8">
        <f t="shared" si="1"/>
        <v>42630.20994212963</v>
      </c>
    </row>
    <row r="22" spans="1:7" x14ac:dyDescent="0.25">
      <c r="A22" s="29">
        <v>42630.211608796293</v>
      </c>
      <c r="B22" s="23" t="s">
        <v>409</v>
      </c>
      <c r="C22" s="23" t="s">
        <v>410</v>
      </c>
      <c r="D22" s="23">
        <v>2010000</v>
      </c>
      <c r="E22" s="23" t="s">
        <v>273</v>
      </c>
      <c r="F22" s="23" t="str">
        <f t="shared" si="0"/>
        <v>rtdc.l.rtdc.4053:itc</v>
      </c>
      <c r="G22" s="8">
        <f t="shared" si="1"/>
        <v>42630.211608796293</v>
      </c>
    </row>
    <row r="23" spans="1:7" x14ac:dyDescent="0.25">
      <c r="A23" s="8">
        <v>42630.218981481485</v>
      </c>
      <c r="B23" s="23" t="s">
        <v>413</v>
      </c>
      <c r="C23" s="23" t="s">
        <v>414</v>
      </c>
      <c r="D23" s="23">
        <v>1990000</v>
      </c>
      <c r="E23" s="23" t="s">
        <v>325</v>
      </c>
      <c r="F23" s="23" t="str">
        <f t="shared" si="0"/>
        <v>rtdc.l.rtdc.4039:itc</v>
      </c>
      <c r="G23" s="8">
        <f t="shared" si="1"/>
        <v>42630.218981481485</v>
      </c>
    </row>
    <row r="24" spans="1:7" x14ac:dyDescent="0.25">
      <c r="A24" s="8">
        <v>42630.228495370371</v>
      </c>
      <c r="B24" s="23" t="s">
        <v>179</v>
      </c>
      <c r="C24" s="23" t="s">
        <v>415</v>
      </c>
      <c r="D24" s="23">
        <v>1760000</v>
      </c>
      <c r="E24" s="23" t="s">
        <v>274</v>
      </c>
      <c r="F24" s="23" t="str">
        <f t="shared" si="0"/>
        <v>rtdc.l.rtdc.4042:itc</v>
      </c>
      <c r="G24" s="8">
        <f t="shared" si="1"/>
        <v>42630.228495370371</v>
      </c>
    </row>
    <row r="25" spans="1:7" x14ac:dyDescent="0.25">
      <c r="A25" s="8">
        <v>42630.234699074077</v>
      </c>
      <c r="B25" s="23" t="s">
        <v>268</v>
      </c>
      <c r="C25" s="23" t="s">
        <v>416</v>
      </c>
      <c r="D25" s="23">
        <v>2030000</v>
      </c>
      <c r="E25" s="23" t="s">
        <v>405</v>
      </c>
      <c r="F25" s="23" t="str">
        <f t="shared" si="0"/>
        <v>rtdc.l.rtdc.4017:itc</v>
      </c>
      <c r="G25" s="8">
        <f t="shared" si="1"/>
        <v>42630.234699074077</v>
      </c>
    </row>
    <row r="26" spans="1:7" x14ac:dyDescent="0.25">
      <c r="A26" s="8">
        <v>42630.236990740741</v>
      </c>
      <c r="B26" s="23" t="s">
        <v>315</v>
      </c>
      <c r="C26" s="23" t="s">
        <v>417</v>
      </c>
      <c r="D26" s="23">
        <v>1830000</v>
      </c>
      <c r="E26" s="23" t="s">
        <v>418</v>
      </c>
      <c r="F26" s="23" t="str">
        <f t="shared" si="0"/>
        <v>rtdc.l.rtdc.4032:itc</v>
      </c>
      <c r="G26" s="8">
        <f t="shared" si="1"/>
        <v>42630.236990740741</v>
      </c>
    </row>
    <row r="27" spans="1:7" x14ac:dyDescent="0.25">
      <c r="A27" s="8">
        <v>42630.238958333335</v>
      </c>
      <c r="B27" s="23" t="s">
        <v>182</v>
      </c>
      <c r="C27" s="23" t="s">
        <v>419</v>
      </c>
      <c r="D27" s="23">
        <v>1310000</v>
      </c>
      <c r="E27" s="23" t="s">
        <v>318</v>
      </c>
      <c r="F27" s="23" t="str">
        <f t="shared" si="0"/>
        <v>rtdc.l.rtdc.4046:itc</v>
      </c>
      <c r="G27" s="8">
        <f t="shared" si="1"/>
        <v>42630.238958333335</v>
      </c>
    </row>
    <row r="28" spans="1:7" x14ac:dyDescent="0.25">
      <c r="A28" s="8">
        <v>42630.243935185186</v>
      </c>
      <c r="B28" s="23" t="s">
        <v>173</v>
      </c>
      <c r="C28" s="23" t="s">
        <v>420</v>
      </c>
      <c r="D28" s="23">
        <v>1100000</v>
      </c>
      <c r="E28" s="23" t="s">
        <v>408</v>
      </c>
      <c r="F28" s="23" t="str">
        <f t="shared" si="0"/>
        <v>rtdc.l.rtdc.4026:itc</v>
      </c>
      <c r="G28" s="8">
        <f t="shared" si="1"/>
        <v>42630.243935185186</v>
      </c>
    </row>
    <row r="29" spans="1:7" x14ac:dyDescent="0.25">
      <c r="A29" s="8">
        <v>42630.248217592591</v>
      </c>
      <c r="B29" s="23" t="s">
        <v>107</v>
      </c>
      <c r="C29" s="23" t="s">
        <v>421</v>
      </c>
      <c r="D29" s="23">
        <v>1830000</v>
      </c>
      <c r="E29" s="23" t="s">
        <v>418</v>
      </c>
      <c r="F29" s="23" t="str">
        <f t="shared" si="0"/>
        <v>rtdc.l.rtdc.4031:itc</v>
      </c>
      <c r="G29" s="8">
        <f t="shared" si="1"/>
        <v>42630.248217592591</v>
      </c>
    </row>
    <row r="30" spans="1:7" x14ac:dyDescent="0.25">
      <c r="A30" s="8">
        <v>42630.248506944445</v>
      </c>
      <c r="B30" s="23" t="s">
        <v>399</v>
      </c>
      <c r="C30" s="23" t="s">
        <v>422</v>
      </c>
      <c r="D30" s="23">
        <v>1740000</v>
      </c>
      <c r="E30" s="23" t="s">
        <v>401</v>
      </c>
      <c r="F30" s="23" t="str">
        <f t="shared" si="0"/>
        <v>rtdc.l.rtdc.4011:itc</v>
      </c>
      <c r="G30" s="8">
        <f t="shared" si="1"/>
        <v>42630.248506944445</v>
      </c>
    </row>
    <row r="31" spans="1:7" x14ac:dyDescent="0.25">
      <c r="A31" s="8">
        <v>42630.253460648149</v>
      </c>
      <c r="B31" s="23" t="s">
        <v>267</v>
      </c>
      <c r="C31" s="23" t="s">
        <v>423</v>
      </c>
      <c r="D31" s="23">
        <v>2010000</v>
      </c>
      <c r="E31" s="23" t="s">
        <v>273</v>
      </c>
      <c r="F31" s="23" t="str">
        <f t="shared" si="0"/>
        <v>rtdc.l.rtdc.4054:itc</v>
      </c>
      <c r="G31" s="8">
        <f t="shared" si="1"/>
        <v>42630.253460648149</v>
      </c>
    </row>
    <row r="32" spans="1:7" x14ac:dyDescent="0.25">
      <c r="A32" s="8">
        <v>42630.256724537037</v>
      </c>
      <c r="B32" s="23" t="s">
        <v>402</v>
      </c>
      <c r="C32" s="23" t="s">
        <v>424</v>
      </c>
      <c r="D32" s="23">
        <v>1990000</v>
      </c>
      <c r="E32" s="23" t="s">
        <v>325</v>
      </c>
      <c r="F32" s="23" t="str">
        <f t="shared" si="0"/>
        <v>rtdc.l.rtdc.4040:itc</v>
      </c>
      <c r="G32" s="8">
        <f t="shared" si="1"/>
        <v>42630.256724537037</v>
      </c>
    </row>
    <row r="33" spans="1:7" x14ac:dyDescent="0.25">
      <c r="A33" s="8">
        <v>42630.265150462961</v>
      </c>
      <c r="B33" s="23" t="s">
        <v>177</v>
      </c>
      <c r="C33" s="23" t="s">
        <v>425</v>
      </c>
      <c r="D33" s="23">
        <v>1760000</v>
      </c>
      <c r="E33" s="23" t="s">
        <v>274</v>
      </c>
      <c r="F33" s="23" t="str">
        <f t="shared" si="0"/>
        <v>rtdc.l.rtdc.4041:itc</v>
      </c>
      <c r="G33" s="8">
        <f t="shared" si="1"/>
        <v>42630.265150462961</v>
      </c>
    </row>
    <row r="34" spans="1:7" x14ac:dyDescent="0.25">
      <c r="A34" s="8">
        <v>42630.268333333333</v>
      </c>
      <c r="B34" s="23" t="s">
        <v>426</v>
      </c>
      <c r="C34" s="23" t="s">
        <v>427</v>
      </c>
      <c r="D34" s="23">
        <v>2030000</v>
      </c>
      <c r="E34" s="23" t="s">
        <v>405</v>
      </c>
      <c r="F34" s="23" t="str">
        <f t="shared" si="0"/>
        <v>rtdc.l.rtdc.4027:itc</v>
      </c>
      <c r="G34" s="8">
        <f t="shared" si="1"/>
        <v>42630.268333333333</v>
      </c>
    </row>
    <row r="35" spans="1:7" x14ac:dyDescent="0.25">
      <c r="A35" s="8">
        <v>42630.270231481481</v>
      </c>
      <c r="B35" s="23" t="s">
        <v>426</v>
      </c>
      <c r="C35" s="23" t="s">
        <v>427</v>
      </c>
      <c r="D35" s="23">
        <v>2030000</v>
      </c>
      <c r="E35" s="23" t="s">
        <v>405</v>
      </c>
      <c r="F35" s="23" t="str">
        <f t="shared" si="0"/>
        <v>rtdc.l.rtdc.4027:itc</v>
      </c>
      <c r="G35" s="8">
        <f t="shared" si="1"/>
        <v>42630.270231481481</v>
      </c>
    </row>
    <row r="36" spans="1:7" x14ac:dyDescent="0.25">
      <c r="A36" s="8">
        <v>42630.271631944444</v>
      </c>
      <c r="B36" s="23" t="s">
        <v>426</v>
      </c>
      <c r="C36" s="23" t="s">
        <v>427</v>
      </c>
      <c r="D36" s="23">
        <v>2030000</v>
      </c>
      <c r="E36" s="23" t="s">
        <v>405</v>
      </c>
      <c r="F36" s="23" t="str">
        <f t="shared" si="0"/>
        <v>rtdc.l.rtdc.4027:itc</v>
      </c>
      <c r="G36" s="8">
        <f t="shared" si="1"/>
        <v>42630.271631944444</v>
      </c>
    </row>
    <row r="37" spans="1:7" x14ac:dyDescent="0.25">
      <c r="A37" s="8">
        <v>42630.273148148146</v>
      </c>
      <c r="B37" s="23" t="s">
        <v>316</v>
      </c>
      <c r="C37" s="23" t="s">
        <v>428</v>
      </c>
      <c r="D37" s="23">
        <v>1310000</v>
      </c>
      <c r="E37" s="23" t="s">
        <v>318</v>
      </c>
      <c r="F37" s="23" t="str">
        <f t="shared" si="0"/>
        <v>rtdc.l.rtdc.4045:itc</v>
      </c>
      <c r="G37" s="8">
        <f t="shared" si="1"/>
        <v>42630.273148148146</v>
      </c>
    </row>
    <row r="38" spans="1:7" x14ac:dyDescent="0.25">
      <c r="A38" s="8">
        <v>42630.275729166664</v>
      </c>
      <c r="B38" s="23" t="s">
        <v>315</v>
      </c>
      <c r="C38" s="23" t="s">
        <v>429</v>
      </c>
      <c r="D38" s="23">
        <v>1830000</v>
      </c>
      <c r="E38" s="23" t="s">
        <v>418</v>
      </c>
      <c r="F38" s="23" t="str">
        <f t="shared" si="0"/>
        <v>rtdc.l.rtdc.4032:itc</v>
      </c>
      <c r="G38" s="8">
        <f t="shared" si="1"/>
        <v>42630.275729166664</v>
      </c>
    </row>
    <row r="39" spans="1:7" x14ac:dyDescent="0.25">
      <c r="A39" s="8">
        <v>42630.276967592596</v>
      </c>
      <c r="B39" s="23" t="s">
        <v>315</v>
      </c>
      <c r="C39" s="23" t="s">
        <v>429</v>
      </c>
      <c r="D39" s="23">
        <v>1830000</v>
      </c>
      <c r="E39" s="23" t="s">
        <v>418</v>
      </c>
      <c r="F39" s="23" t="str">
        <f t="shared" si="0"/>
        <v>rtdc.l.rtdc.4032:itc</v>
      </c>
      <c r="G39" s="8">
        <f t="shared" si="1"/>
        <v>42630.276967592596</v>
      </c>
    </row>
    <row r="40" spans="1:7" x14ac:dyDescent="0.25">
      <c r="A40" s="8">
        <v>42630.278564814813</v>
      </c>
      <c r="B40" s="28" t="s">
        <v>172</v>
      </c>
      <c r="C40" s="23" t="s">
        <v>430</v>
      </c>
      <c r="D40" s="23">
        <v>1100000</v>
      </c>
      <c r="E40" s="23" t="s">
        <v>408</v>
      </c>
      <c r="F40" s="23" t="str">
        <f t="shared" si="0"/>
        <v>rtdc.l.rtdc.4025:itc</v>
      </c>
      <c r="G40" s="8">
        <f t="shared" si="1"/>
        <v>42630.278564814813</v>
      </c>
    </row>
    <row r="41" spans="1:7" x14ac:dyDescent="0.25">
      <c r="A41" s="8">
        <v>42630.283831018518</v>
      </c>
      <c r="B41" s="23" t="s">
        <v>431</v>
      </c>
      <c r="C41" s="23" t="s">
        <v>432</v>
      </c>
      <c r="D41" s="23">
        <v>1740000</v>
      </c>
      <c r="E41" s="23" t="s">
        <v>401</v>
      </c>
      <c r="F41" s="23" t="str">
        <f t="shared" si="0"/>
        <v>rtdc.l.rtdc.4012:itc</v>
      </c>
      <c r="G41" s="8">
        <f t="shared" si="1"/>
        <v>42630.283831018518</v>
      </c>
    </row>
    <row r="42" spans="1:7" x14ac:dyDescent="0.25">
      <c r="A42" s="8">
        <v>42630.287962962961</v>
      </c>
      <c r="B42" s="23" t="s">
        <v>409</v>
      </c>
      <c r="C42" s="23" t="s">
        <v>433</v>
      </c>
      <c r="D42" s="23">
        <v>2010000</v>
      </c>
      <c r="E42" s="23" t="s">
        <v>273</v>
      </c>
      <c r="F42" s="23" t="str">
        <f t="shared" si="0"/>
        <v>rtdc.l.rtdc.4053:itc</v>
      </c>
      <c r="G42" s="8">
        <f t="shared" si="1"/>
        <v>42630.287962962961</v>
      </c>
    </row>
    <row r="43" spans="1:7" x14ac:dyDescent="0.25">
      <c r="A43" s="8">
        <v>42630.289826388886</v>
      </c>
      <c r="B43" s="23" t="s">
        <v>107</v>
      </c>
      <c r="C43" s="23" t="s">
        <v>434</v>
      </c>
      <c r="D43" s="23">
        <v>1830000</v>
      </c>
      <c r="E43" s="23" t="s">
        <v>418</v>
      </c>
      <c r="F43" s="23" t="str">
        <f t="shared" si="0"/>
        <v>rtdc.l.rtdc.4031:itc</v>
      </c>
      <c r="G43" s="8">
        <f t="shared" si="1"/>
        <v>42630.289826388886</v>
      </c>
    </row>
    <row r="44" spans="1:7" x14ac:dyDescent="0.25">
      <c r="A44" s="8">
        <v>42630.293749999997</v>
      </c>
      <c r="B44" s="23" t="s">
        <v>413</v>
      </c>
      <c r="C44" s="23" t="s">
        <v>435</v>
      </c>
      <c r="D44" s="23">
        <v>1990000</v>
      </c>
      <c r="E44" s="23" t="s">
        <v>325</v>
      </c>
      <c r="F44" s="23" t="str">
        <f t="shared" si="0"/>
        <v>rtdc.l.rtdc.4039:itc</v>
      </c>
      <c r="G44" s="8">
        <f t="shared" si="1"/>
        <v>42630.293749999997</v>
      </c>
    </row>
    <row r="45" spans="1:7" x14ac:dyDescent="0.25">
      <c r="A45" s="8">
        <v>42630.299409722225</v>
      </c>
      <c r="B45" s="23" t="s">
        <v>179</v>
      </c>
      <c r="C45" s="23" t="s">
        <v>436</v>
      </c>
      <c r="D45" s="23">
        <v>1760000</v>
      </c>
      <c r="E45" s="23" t="s">
        <v>274</v>
      </c>
      <c r="F45" s="23" t="str">
        <f t="shared" si="0"/>
        <v>rtdc.l.rtdc.4042:itc</v>
      </c>
      <c r="G45" s="8">
        <f t="shared" si="1"/>
        <v>42630.299409722225</v>
      </c>
    </row>
    <row r="46" spans="1:7" x14ac:dyDescent="0.25">
      <c r="A46" s="8">
        <v>42630.30363425926</v>
      </c>
      <c r="B46" s="23" t="s">
        <v>411</v>
      </c>
      <c r="C46" s="23" t="s">
        <v>437</v>
      </c>
      <c r="D46" s="23">
        <v>2030000</v>
      </c>
      <c r="E46" s="23" t="s">
        <v>405</v>
      </c>
      <c r="F46" s="23" t="str">
        <f t="shared" si="0"/>
        <v>rtdc.l.rtdc.4028:itc</v>
      </c>
      <c r="G46" s="8">
        <f t="shared" si="1"/>
        <v>42630.30363425926</v>
      </c>
    </row>
    <row r="47" spans="1:7" x14ac:dyDescent="0.25">
      <c r="A47" s="8">
        <v>42630.311469907407</v>
      </c>
      <c r="B47" s="23" t="s">
        <v>182</v>
      </c>
      <c r="C47" s="23" t="s">
        <v>438</v>
      </c>
      <c r="D47" s="23">
        <v>1310000</v>
      </c>
      <c r="E47" s="23" t="s">
        <v>318</v>
      </c>
      <c r="F47" s="23" t="str">
        <f t="shared" si="0"/>
        <v>rtdc.l.rtdc.4046:itc</v>
      </c>
      <c r="G47" s="8">
        <f t="shared" si="1"/>
        <v>42630.311469907407</v>
      </c>
    </row>
    <row r="48" spans="1:7" x14ac:dyDescent="0.25">
      <c r="A48" s="8">
        <v>42630.317118055558</v>
      </c>
      <c r="B48" s="23" t="s">
        <v>173</v>
      </c>
      <c r="C48" s="23" t="s">
        <v>439</v>
      </c>
      <c r="D48" s="23">
        <v>1100000</v>
      </c>
      <c r="E48" s="23" t="s">
        <v>408</v>
      </c>
      <c r="F48" s="23" t="str">
        <f t="shared" si="0"/>
        <v>rtdc.l.rtdc.4026:itc</v>
      </c>
      <c r="G48" s="8">
        <f t="shared" si="1"/>
        <v>42630.317118055558</v>
      </c>
    </row>
    <row r="49" spans="1:7" x14ac:dyDescent="0.25">
      <c r="A49" s="8">
        <v>42630.317916666667</v>
      </c>
      <c r="B49" s="23" t="s">
        <v>315</v>
      </c>
      <c r="C49" s="23" t="s">
        <v>440</v>
      </c>
      <c r="D49" s="23">
        <v>1830000</v>
      </c>
      <c r="E49" s="23" t="s">
        <v>418</v>
      </c>
      <c r="F49" s="23" t="str">
        <f t="shared" si="0"/>
        <v>rtdc.l.rtdc.4032:itc</v>
      </c>
      <c r="G49" s="8">
        <f t="shared" si="1"/>
        <v>42630.317916666667</v>
      </c>
    </row>
    <row r="50" spans="1:7" x14ac:dyDescent="0.25">
      <c r="A50" s="8">
        <v>42630.318784722222</v>
      </c>
      <c r="B50" s="23" t="s">
        <v>399</v>
      </c>
      <c r="C50" s="23" t="s">
        <v>441</v>
      </c>
      <c r="D50" s="23">
        <v>1740000</v>
      </c>
      <c r="E50" s="23" t="s">
        <v>401</v>
      </c>
      <c r="F50" s="23" t="str">
        <f t="shared" si="0"/>
        <v>rtdc.l.rtdc.4011:itc</v>
      </c>
      <c r="G50" s="8">
        <f t="shared" si="1"/>
        <v>42630.318784722222</v>
      </c>
    </row>
    <row r="51" spans="1:7" x14ac:dyDescent="0.25">
      <c r="A51" s="8">
        <v>42630.323530092595</v>
      </c>
      <c r="B51" s="23" t="s">
        <v>267</v>
      </c>
      <c r="C51" s="23" t="s">
        <v>442</v>
      </c>
      <c r="D51" s="23">
        <v>2010000</v>
      </c>
      <c r="E51" s="23" t="s">
        <v>273</v>
      </c>
      <c r="F51" s="23" t="str">
        <f t="shared" si="0"/>
        <v>rtdc.l.rtdc.4054:itc</v>
      </c>
      <c r="G51" s="8">
        <f t="shared" si="1"/>
        <v>42630.323530092595</v>
      </c>
    </row>
    <row r="52" spans="1:7" x14ac:dyDescent="0.25">
      <c r="A52" s="8">
        <v>42630.328287037039</v>
      </c>
      <c r="B52" s="23" t="s">
        <v>402</v>
      </c>
      <c r="C52" s="23" t="s">
        <v>443</v>
      </c>
      <c r="D52" s="23">
        <v>1990000</v>
      </c>
      <c r="E52" s="23" t="s">
        <v>325</v>
      </c>
      <c r="F52" s="23" t="str">
        <f t="shared" si="0"/>
        <v>rtdc.l.rtdc.4040:itc</v>
      </c>
      <c r="G52" s="8">
        <f t="shared" si="1"/>
        <v>42630.328287037039</v>
      </c>
    </row>
    <row r="53" spans="1:7" x14ac:dyDescent="0.25">
      <c r="A53" s="8">
        <v>42630.330381944441</v>
      </c>
      <c r="B53" s="23" t="s">
        <v>107</v>
      </c>
      <c r="C53" s="23" t="s">
        <v>444</v>
      </c>
      <c r="D53" s="23">
        <v>1830000</v>
      </c>
      <c r="E53" s="23" t="s">
        <v>418</v>
      </c>
      <c r="F53" s="23" t="str">
        <f t="shared" si="0"/>
        <v>rtdc.l.rtdc.4031:itc</v>
      </c>
      <c r="G53" s="8">
        <f t="shared" si="1"/>
        <v>42630.330381944441</v>
      </c>
    </row>
    <row r="54" spans="1:7" x14ac:dyDescent="0.25">
      <c r="A54" s="8">
        <v>42630.33971064815</v>
      </c>
      <c r="B54" s="23" t="s">
        <v>177</v>
      </c>
      <c r="C54" s="23" t="s">
        <v>445</v>
      </c>
      <c r="D54" s="23">
        <v>1760000</v>
      </c>
      <c r="E54" s="23" t="s">
        <v>274</v>
      </c>
      <c r="F54" s="23" t="str">
        <f t="shared" si="0"/>
        <v>rtdc.l.rtdc.4041:itc</v>
      </c>
      <c r="G54" s="8">
        <f t="shared" si="1"/>
        <v>42630.33971064815</v>
      </c>
    </row>
    <row r="55" spans="1:7" x14ac:dyDescent="0.25">
      <c r="A55" s="8">
        <v>42630.34233796296</v>
      </c>
      <c r="B55" s="23" t="s">
        <v>426</v>
      </c>
      <c r="C55" s="23" t="s">
        <v>446</v>
      </c>
      <c r="D55" s="23">
        <v>2030000</v>
      </c>
      <c r="E55" s="23" t="s">
        <v>405</v>
      </c>
      <c r="F55" s="23" t="str">
        <f t="shared" si="0"/>
        <v>rtdc.l.rtdc.4027:itc</v>
      </c>
      <c r="G55" s="8">
        <f t="shared" si="1"/>
        <v>42630.34233796296</v>
      </c>
    </row>
    <row r="56" spans="1:7" x14ac:dyDescent="0.25">
      <c r="A56" s="8">
        <v>42630.35019675926</v>
      </c>
      <c r="B56" s="23" t="s">
        <v>316</v>
      </c>
      <c r="C56" s="23" t="s">
        <v>447</v>
      </c>
      <c r="D56" s="23">
        <v>1310000</v>
      </c>
      <c r="E56" s="23" t="s">
        <v>318</v>
      </c>
      <c r="F56" s="23" t="str">
        <f t="shared" si="0"/>
        <v>rtdc.l.rtdc.4045:itc</v>
      </c>
      <c r="G56" s="8">
        <f t="shared" si="1"/>
        <v>42630.35019675926</v>
      </c>
    </row>
    <row r="57" spans="1:7" x14ac:dyDescent="0.25">
      <c r="A57" s="8">
        <v>42630.352071759262</v>
      </c>
      <c r="B57" s="23" t="s">
        <v>172</v>
      </c>
      <c r="C57" s="23" t="s">
        <v>448</v>
      </c>
      <c r="D57" s="23">
        <v>1100000</v>
      </c>
      <c r="E57" s="23" t="s">
        <v>408</v>
      </c>
      <c r="F57" s="23" t="str">
        <f t="shared" si="0"/>
        <v>rtdc.l.rtdc.4025:itc</v>
      </c>
      <c r="G57" s="8">
        <f t="shared" si="1"/>
        <v>42630.352071759262</v>
      </c>
    </row>
    <row r="58" spans="1:7" x14ac:dyDescent="0.25">
      <c r="A58" s="8">
        <v>42630.357916666668</v>
      </c>
      <c r="B58" s="23" t="s">
        <v>431</v>
      </c>
      <c r="C58" s="23" t="s">
        <v>449</v>
      </c>
      <c r="D58" s="23">
        <v>1740000</v>
      </c>
      <c r="E58" s="23" t="s">
        <v>401</v>
      </c>
      <c r="F58" s="23" t="str">
        <f t="shared" si="0"/>
        <v>rtdc.l.rtdc.4012:itc</v>
      </c>
      <c r="G58" s="8">
        <f t="shared" si="1"/>
        <v>42630.357916666668</v>
      </c>
    </row>
    <row r="59" spans="1:7" x14ac:dyDescent="0.25">
      <c r="A59" s="8">
        <v>42630.358576388891</v>
      </c>
      <c r="B59" s="23" t="s">
        <v>315</v>
      </c>
      <c r="C59" s="23" t="s">
        <v>450</v>
      </c>
      <c r="D59" s="23">
        <v>1830000</v>
      </c>
      <c r="E59" s="23" t="s">
        <v>418</v>
      </c>
      <c r="F59" s="23" t="str">
        <f t="shared" si="0"/>
        <v>rtdc.l.rtdc.4032:itc</v>
      </c>
      <c r="G59" s="8">
        <f t="shared" si="1"/>
        <v>42630.358576388891</v>
      </c>
    </row>
    <row r="60" spans="1:7" x14ac:dyDescent="0.25">
      <c r="A60" s="8">
        <v>42630.362291666665</v>
      </c>
      <c r="B60" s="23" t="s">
        <v>409</v>
      </c>
      <c r="C60" s="23" t="s">
        <v>451</v>
      </c>
      <c r="D60" s="23">
        <v>1360000</v>
      </c>
      <c r="E60" s="23" t="s">
        <v>452</v>
      </c>
      <c r="F60" s="23" t="str">
        <f t="shared" si="0"/>
        <v>rtdc.l.rtdc.4053:itc</v>
      </c>
      <c r="G60" s="8">
        <f t="shared" si="1"/>
        <v>42630.362291666665</v>
      </c>
    </row>
    <row r="61" spans="1:7" x14ac:dyDescent="0.25">
      <c r="A61" s="8">
        <v>42630.365231481483</v>
      </c>
      <c r="B61" s="23" t="s">
        <v>413</v>
      </c>
      <c r="C61" s="23" t="s">
        <v>453</v>
      </c>
      <c r="D61" s="23">
        <v>1990000</v>
      </c>
      <c r="E61" s="23" t="s">
        <v>325</v>
      </c>
      <c r="F61" s="23" t="str">
        <f t="shared" si="0"/>
        <v>rtdc.l.rtdc.4039:itc</v>
      </c>
      <c r="G61" s="8">
        <f t="shared" si="1"/>
        <v>42630.365231481483</v>
      </c>
    </row>
    <row r="62" spans="1:7" x14ac:dyDescent="0.25">
      <c r="A62" s="8">
        <v>42630.371053240742</v>
      </c>
      <c r="B62" s="23" t="s">
        <v>179</v>
      </c>
      <c r="C62" s="23" t="s">
        <v>454</v>
      </c>
      <c r="D62" s="23">
        <v>1760000</v>
      </c>
      <c r="E62" s="23" t="s">
        <v>274</v>
      </c>
      <c r="F62" s="23" t="str">
        <f t="shared" si="0"/>
        <v>rtdc.l.rtdc.4042:itc</v>
      </c>
      <c r="G62" s="8">
        <f t="shared" si="1"/>
        <v>42630.371053240742</v>
      </c>
    </row>
    <row r="63" spans="1:7" x14ac:dyDescent="0.25">
      <c r="A63" s="8">
        <v>42630.379293981481</v>
      </c>
      <c r="B63" s="23" t="s">
        <v>411</v>
      </c>
      <c r="C63" s="23" t="s">
        <v>455</v>
      </c>
      <c r="D63" s="23">
        <v>2030000</v>
      </c>
      <c r="E63" s="23" t="s">
        <v>405</v>
      </c>
      <c r="F63" s="23" t="str">
        <f t="shared" si="0"/>
        <v>rtdc.l.rtdc.4028:itc</v>
      </c>
      <c r="G63" s="8">
        <f t="shared" si="1"/>
        <v>42630.379293981481</v>
      </c>
    </row>
    <row r="64" spans="1:7" x14ac:dyDescent="0.25">
      <c r="A64" s="29">
        <v>42630.384305555555</v>
      </c>
      <c r="B64" s="23" t="s">
        <v>182</v>
      </c>
      <c r="C64" s="23" t="s">
        <v>456</v>
      </c>
      <c r="D64" s="23">
        <v>1310000</v>
      </c>
      <c r="E64" s="23" t="s">
        <v>318</v>
      </c>
      <c r="F64" s="23" t="str">
        <f t="shared" si="0"/>
        <v>rtdc.l.rtdc.4046:itc</v>
      </c>
      <c r="G64" s="8">
        <f t="shared" si="1"/>
        <v>42630.384305555555</v>
      </c>
    </row>
    <row r="65" spans="1:7" x14ac:dyDescent="0.25">
      <c r="A65" s="8">
        <v>42630.386550925927</v>
      </c>
      <c r="B65" s="23" t="s">
        <v>107</v>
      </c>
      <c r="C65" s="23" t="s">
        <v>457</v>
      </c>
      <c r="D65" s="23">
        <v>1830000</v>
      </c>
      <c r="E65" s="23" t="s">
        <v>418</v>
      </c>
      <c r="F65" s="23" t="str">
        <f t="shared" si="0"/>
        <v>rtdc.l.rtdc.4031:itc</v>
      </c>
      <c r="G65" s="8">
        <f t="shared" si="1"/>
        <v>42630.386550925927</v>
      </c>
    </row>
    <row r="66" spans="1:7" x14ac:dyDescent="0.25">
      <c r="A66" s="8">
        <v>42630.390115740738</v>
      </c>
      <c r="B66" s="23" t="s">
        <v>173</v>
      </c>
      <c r="C66" s="23" t="s">
        <v>458</v>
      </c>
      <c r="D66" s="23">
        <v>1100000</v>
      </c>
      <c r="E66" s="23" t="s">
        <v>408</v>
      </c>
      <c r="F66" s="23" t="str">
        <f t="shared" ref="F66:F129" si="2">B66</f>
        <v>rtdc.l.rtdc.4026:itc</v>
      </c>
      <c r="G66" s="8">
        <f t="shared" ref="G66:G129" si="3">A66</f>
        <v>42630.390115740738</v>
      </c>
    </row>
    <row r="67" spans="1:7" x14ac:dyDescent="0.25">
      <c r="A67" s="8">
        <v>42630.390590277777</v>
      </c>
      <c r="B67" s="23" t="s">
        <v>399</v>
      </c>
      <c r="C67" s="23" t="s">
        <v>459</v>
      </c>
      <c r="D67" s="23">
        <v>1740000</v>
      </c>
      <c r="E67" s="23" t="s">
        <v>401</v>
      </c>
      <c r="F67" s="23" t="str">
        <f t="shared" si="2"/>
        <v>rtdc.l.rtdc.4011:itc</v>
      </c>
      <c r="G67" s="8">
        <f t="shared" si="3"/>
        <v>42630.390590277777</v>
      </c>
    </row>
    <row r="68" spans="1:7" x14ac:dyDescent="0.25">
      <c r="A68" s="8">
        <v>42630.39166666667</v>
      </c>
      <c r="B68" s="23" t="s">
        <v>267</v>
      </c>
      <c r="C68" s="23" t="s">
        <v>460</v>
      </c>
      <c r="D68" s="23">
        <v>1360000</v>
      </c>
      <c r="E68" s="23" t="s">
        <v>452</v>
      </c>
      <c r="F68" s="23" t="str">
        <f t="shared" si="2"/>
        <v>rtdc.l.rtdc.4054:itc</v>
      </c>
      <c r="G68" s="8">
        <f t="shared" si="3"/>
        <v>42630.39166666667</v>
      </c>
    </row>
    <row r="69" spans="1:7" x14ac:dyDescent="0.25">
      <c r="A69" s="8">
        <v>42630.400555555556</v>
      </c>
      <c r="B69" s="23" t="s">
        <v>315</v>
      </c>
      <c r="C69" s="23" t="s">
        <v>461</v>
      </c>
      <c r="D69" s="23">
        <v>1830000</v>
      </c>
      <c r="E69" s="23" t="s">
        <v>418</v>
      </c>
      <c r="F69" s="23" t="str">
        <f t="shared" si="2"/>
        <v>rtdc.l.rtdc.4032:itc</v>
      </c>
      <c r="G69" s="8">
        <f t="shared" si="3"/>
        <v>42630.400555555556</v>
      </c>
    </row>
    <row r="70" spans="1:7" x14ac:dyDescent="0.25">
      <c r="A70" s="8">
        <v>42630.402129629627</v>
      </c>
      <c r="B70" s="23" t="s">
        <v>402</v>
      </c>
      <c r="C70" s="23" t="s">
        <v>462</v>
      </c>
      <c r="D70" s="23">
        <v>1990000</v>
      </c>
      <c r="E70" s="23" t="s">
        <v>325</v>
      </c>
      <c r="F70" s="23" t="str">
        <f t="shared" si="2"/>
        <v>rtdc.l.rtdc.4040:itc</v>
      </c>
      <c r="G70" s="8">
        <f t="shared" si="3"/>
        <v>42630.402129629627</v>
      </c>
    </row>
    <row r="71" spans="1:7" x14ac:dyDescent="0.25">
      <c r="A71" s="8">
        <v>42630.410682870373</v>
      </c>
      <c r="B71" s="23" t="s">
        <v>177</v>
      </c>
      <c r="C71" s="23" t="s">
        <v>463</v>
      </c>
      <c r="D71" s="23">
        <v>1760000</v>
      </c>
      <c r="E71" s="23" t="s">
        <v>274</v>
      </c>
      <c r="F71" s="23" t="str">
        <f t="shared" si="2"/>
        <v>rtdc.l.rtdc.4041:itc</v>
      </c>
      <c r="G71" s="8">
        <f t="shared" si="3"/>
        <v>42630.410682870373</v>
      </c>
    </row>
    <row r="72" spans="1:7" x14ac:dyDescent="0.25">
      <c r="A72" s="8">
        <v>42630.412557870368</v>
      </c>
      <c r="B72" s="23" t="s">
        <v>426</v>
      </c>
      <c r="C72" s="23" t="s">
        <v>464</v>
      </c>
      <c r="D72" s="23">
        <v>2030000</v>
      </c>
      <c r="E72" s="23" t="s">
        <v>405</v>
      </c>
      <c r="F72" s="23" t="str">
        <f t="shared" si="2"/>
        <v>rtdc.l.rtdc.4027:itc</v>
      </c>
      <c r="G72" s="8">
        <f t="shared" si="3"/>
        <v>42630.412557870368</v>
      </c>
    </row>
    <row r="73" spans="1:7" x14ac:dyDescent="0.25">
      <c r="A73" s="8">
        <v>42630.416041666664</v>
      </c>
      <c r="B73" s="23" t="s">
        <v>107</v>
      </c>
      <c r="C73" s="23" t="s">
        <v>465</v>
      </c>
      <c r="D73" s="23">
        <v>1830000</v>
      </c>
      <c r="E73" s="23" t="s">
        <v>418</v>
      </c>
      <c r="F73" s="23" t="str">
        <f t="shared" si="2"/>
        <v>rtdc.l.rtdc.4031:itc</v>
      </c>
      <c r="G73" s="8">
        <f t="shared" si="3"/>
        <v>42630.416041666664</v>
      </c>
    </row>
    <row r="74" spans="1:7" x14ac:dyDescent="0.25">
      <c r="A74" s="8">
        <v>42630.422152777777</v>
      </c>
      <c r="B74" s="23" t="s">
        <v>316</v>
      </c>
      <c r="C74" s="23" t="s">
        <v>466</v>
      </c>
      <c r="D74" s="23">
        <v>1310000</v>
      </c>
      <c r="E74" s="23" t="s">
        <v>318</v>
      </c>
      <c r="F74" s="23" t="str">
        <f t="shared" si="2"/>
        <v>rtdc.l.rtdc.4045:itc</v>
      </c>
      <c r="G74" s="8">
        <f t="shared" si="3"/>
        <v>42630.422152777777</v>
      </c>
    </row>
    <row r="75" spans="1:7" x14ac:dyDescent="0.25">
      <c r="A75" s="8">
        <v>42630.423252314817</v>
      </c>
      <c r="B75" s="23" t="s">
        <v>172</v>
      </c>
      <c r="C75" s="23" t="s">
        <v>467</v>
      </c>
      <c r="D75" s="23">
        <v>1100000</v>
      </c>
      <c r="E75" s="23" t="s">
        <v>408</v>
      </c>
      <c r="F75" s="23" t="str">
        <f t="shared" si="2"/>
        <v>rtdc.l.rtdc.4025:itc</v>
      </c>
      <c r="G75" s="8">
        <f t="shared" si="3"/>
        <v>42630.423252314817</v>
      </c>
    </row>
    <row r="76" spans="1:7" x14ac:dyDescent="0.25">
      <c r="A76" s="8">
        <v>42630.430775462963</v>
      </c>
      <c r="B76" s="23" t="s">
        <v>431</v>
      </c>
      <c r="C76" s="23" t="s">
        <v>468</v>
      </c>
      <c r="D76" s="23">
        <v>1740000</v>
      </c>
      <c r="E76" s="23" t="s">
        <v>401</v>
      </c>
      <c r="F76" s="23" t="str">
        <f t="shared" si="2"/>
        <v>rtdc.l.rtdc.4012:itc</v>
      </c>
      <c r="G76" s="8">
        <f t="shared" si="3"/>
        <v>42630.430775462963</v>
      </c>
    </row>
    <row r="77" spans="1:7" x14ac:dyDescent="0.25">
      <c r="A77" s="8">
        <v>42630.43414351852</v>
      </c>
      <c r="B77" s="23" t="s">
        <v>409</v>
      </c>
      <c r="C77" s="23" t="s">
        <v>469</v>
      </c>
      <c r="D77" s="23">
        <v>930000</v>
      </c>
      <c r="E77" s="23" t="s">
        <v>330</v>
      </c>
      <c r="F77" s="23" t="str">
        <f t="shared" si="2"/>
        <v>rtdc.l.rtdc.4053:itc</v>
      </c>
      <c r="G77" s="8">
        <f t="shared" si="3"/>
        <v>42630.43414351852</v>
      </c>
    </row>
    <row r="78" spans="1:7" x14ac:dyDescent="0.25">
      <c r="A78" s="8">
        <v>42630.43990740741</v>
      </c>
      <c r="B78" s="23" t="s">
        <v>413</v>
      </c>
      <c r="C78" s="23" t="s">
        <v>470</v>
      </c>
      <c r="D78" s="23">
        <v>1990000</v>
      </c>
      <c r="E78" s="23" t="s">
        <v>325</v>
      </c>
      <c r="F78" s="23" t="str">
        <f t="shared" si="2"/>
        <v>rtdc.l.rtdc.4039:itc</v>
      </c>
      <c r="G78" s="8">
        <f t="shared" si="3"/>
        <v>42630.43990740741</v>
      </c>
    </row>
    <row r="79" spans="1:7" x14ac:dyDescent="0.25">
      <c r="A79" s="8">
        <v>42630.441701388889</v>
      </c>
      <c r="B79" s="23" t="s">
        <v>315</v>
      </c>
      <c r="C79" s="23" t="s">
        <v>471</v>
      </c>
      <c r="D79" s="23">
        <v>1830000</v>
      </c>
      <c r="E79" s="23" t="s">
        <v>418</v>
      </c>
      <c r="F79" s="23" t="str">
        <f t="shared" si="2"/>
        <v>rtdc.l.rtdc.4032:itc</v>
      </c>
      <c r="G79" s="8">
        <f t="shared" si="3"/>
        <v>42630.441701388889</v>
      </c>
    </row>
    <row r="80" spans="1:7" x14ac:dyDescent="0.25">
      <c r="A80" s="8">
        <v>42630.445787037039</v>
      </c>
      <c r="B80" s="23" t="s">
        <v>179</v>
      </c>
      <c r="C80" s="23" t="s">
        <v>472</v>
      </c>
      <c r="D80" s="23">
        <v>1760000</v>
      </c>
      <c r="E80" s="23" t="s">
        <v>274</v>
      </c>
      <c r="F80" s="23" t="str">
        <f t="shared" si="2"/>
        <v>rtdc.l.rtdc.4042:itc</v>
      </c>
      <c r="G80" s="8">
        <f t="shared" si="3"/>
        <v>42630.445787037039</v>
      </c>
    </row>
    <row r="81" spans="1:7" x14ac:dyDescent="0.25">
      <c r="A81" s="8">
        <v>42630.449050925927</v>
      </c>
      <c r="B81" s="23" t="s">
        <v>411</v>
      </c>
      <c r="C81" s="23" t="s">
        <v>473</v>
      </c>
      <c r="D81" s="23">
        <v>2030000</v>
      </c>
      <c r="E81" s="23" t="s">
        <v>405</v>
      </c>
      <c r="F81" s="23" t="str">
        <f t="shared" si="2"/>
        <v>rtdc.l.rtdc.4028:itc</v>
      </c>
      <c r="G81" s="8">
        <f t="shared" si="3"/>
        <v>42630.449050925927</v>
      </c>
    </row>
    <row r="82" spans="1:7" x14ac:dyDescent="0.25">
      <c r="A82" s="8">
        <v>42630.454814814817</v>
      </c>
      <c r="B82" s="23" t="s">
        <v>317</v>
      </c>
      <c r="C82" s="23" t="s">
        <v>474</v>
      </c>
      <c r="D82" s="23">
        <v>2040000</v>
      </c>
      <c r="E82" s="23" t="s">
        <v>276</v>
      </c>
      <c r="F82" s="23" t="str">
        <f t="shared" si="2"/>
        <v>rtdc.l.rtdc.4005:itc</v>
      </c>
      <c r="G82" s="8">
        <f t="shared" si="3"/>
        <v>42630.454814814817</v>
      </c>
    </row>
    <row r="83" spans="1:7" x14ac:dyDescent="0.25">
      <c r="A83" s="8">
        <v>42630.455011574071</v>
      </c>
      <c r="B83" s="23" t="s">
        <v>182</v>
      </c>
      <c r="C83" s="23" t="s">
        <v>475</v>
      </c>
      <c r="D83" s="23">
        <v>880000</v>
      </c>
      <c r="E83" s="23" t="s">
        <v>329</v>
      </c>
      <c r="F83" s="23" t="str">
        <f t="shared" si="2"/>
        <v>rtdc.l.rtdc.4046:itc</v>
      </c>
      <c r="G83" s="8">
        <f t="shared" si="3"/>
        <v>42630.455011574071</v>
      </c>
    </row>
    <row r="84" spans="1:7" x14ac:dyDescent="0.25">
      <c r="A84" s="8">
        <v>42630.455648148149</v>
      </c>
      <c r="B84" s="23" t="s">
        <v>107</v>
      </c>
      <c r="C84" s="23" t="s">
        <v>476</v>
      </c>
      <c r="D84" s="23">
        <v>1830000</v>
      </c>
      <c r="E84" s="23" t="s">
        <v>418</v>
      </c>
      <c r="F84" s="23" t="str">
        <f t="shared" si="2"/>
        <v>rtdc.l.rtdc.4031:itc</v>
      </c>
      <c r="G84" s="8">
        <f t="shared" si="3"/>
        <v>42630.455648148149</v>
      </c>
    </row>
    <row r="85" spans="1:7" x14ac:dyDescent="0.25">
      <c r="A85" s="8">
        <v>42630.462037037039</v>
      </c>
      <c r="B85" s="23" t="s">
        <v>173</v>
      </c>
      <c r="C85" s="23" t="s">
        <v>477</v>
      </c>
      <c r="D85" s="23">
        <v>1100000</v>
      </c>
      <c r="E85" s="23" t="s">
        <v>408</v>
      </c>
      <c r="F85" s="23" t="str">
        <f t="shared" si="2"/>
        <v>rtdc.l.rtdc.4026:itc</v>
      </c>
      <c r="G85" s="8">
        <f t="shared" si="3"/>
        <v>42630.462037037039</v>
      </c>
    </row>
    <row r="86" spans="1:7" x14ac:dyDescent="0.25">
      <c r="A86" s="8">
        <v>42630.464282407411</v>
      </c>
      <c r="B86" s="23" t="s">
        <v>399</v>
      </c>
      <c r="C86" s="23" t="s">
        <v>478</v>
      </c>
      <c r="D86" s="23">
        <v>1280000</v>
      </c>
      <c r="E86" s="23" t="s">
        <v>479</v>
      </c>
      <c r="F86" s="23" t="str">
        <f t="shared" si="2"/>
        <v>rtdc.l.rtdc.4011:itc</v>
      </c>
      <c r="G86" s="8">
        <f t="shared" si="3"/>
        <v>42630.464282407411</v>
      </c>
    </row>
    <row r="87" spans="1:7" x14ac:dyDescent="0.25">
      <c r="A87" s="8">
        <v>42630.474479166667</v>
      </c>
      <c r="B87" s="23" t="s">
        <v>267</v>
      </c>
      <c r="C87" s="23" t="s">
        <v>480</v>
      </c>
      <c r="D87" s="23">
        <v>930000</v>
      </c>
      <c r="E87" s="23" t="s">
        <v>330</v>
      </c>
      <c r="F87" s="23" t="str">
        <f t="shared" si="2"/>
        <v>rtdc.l.rtdc.4054:itc</v>
      </c>
      <c r="G87" s="8">
        <f t="shared" si="3"/>
        <v>42630.474479166667</v>
      </c>
    </row>
    <row r="88" spans="1:7" x14ac:dyDescent="0.25">
      <c r="A88" s="8">
        <v>42630.476724537039</v>
      </c>
      <c r="B88" s="23" t="s">
        <v>402</v>
      </c>
      <c r="C88" s="23" t="s">
        <v>481</v>
      </c>
      <c r="D88" s="23">
        <v>2040000</v>
      </c>
      <c r="E88" s="23" t="s">
        <v>276</v>
      </c>
      <c r="F88" s="23" t="str">
        <f t="shared" si="2"/>
        <v>rtdc.l.rtdc.4040:itc</v>
      </c>
      <c r="G88" s="8">
        <f t="shared" si="3"/>
        <v>42630.476724537039</v>
      </c>
    </row>
    <row r="89" spans="1:7" x14ac:dyDescent="0.25">
      <c r="A89" s="8">
        <v>42630.481527777774</v>
      </c>
      <c r="B89" s="23" t="s">
        <v>177</v>
      </c>
      <c r="C89" s="23" t="s">
        <v>482</v>
      </c>
      <c r="D89" s="23">
        <v>1760000</v>
      </c>
      <c r="E89" s="23" t="s">
        <v>274</v>
      </c>
      <c r="F89" s="23" t="str">
        <f t="shared" si="2"/>
        <v>rtdc.l.rtdc.4041:itc</v>
      </c>
      <c r="G89" s="8">
        <f t="shared" si="3"/>
        <v>42630.481527777774</v>
      </c>
    </row>
    <row r="90" spans="1:7" x14ac:dyDescent="0.25">
      <c r="A90" s="8">
        <v>42630.483402777776</v>
      </c>
      <c r="B90" s="23" t="s">
        <v>315</v>
      </c>
      <c r="C90" s="23" t="s">
        <v>483</v>
      </c>
      <c r="D90" s="23">
        <v>1830000</v>
      </c>
      <c r="E90" s="23" t="s">
        <v>418</v>
      </c>
      <c r="F90" s="23" t="str">
        <f t="shared" si="2"/>
        <v>rtdc.l.rtdc.4032:itc</v>
      </c>
      <c r="G90" s="8">
        <f t="shared" si="3"/>
        <v>42630.483402777776</v>
      </c>
    </row>
    <row r="91" spans="1:7" x14ac:dyDescent="0.25">
      <c r="A91" s="8">
        <v>42630.484340277777</v>
      </c>
      <c r="B91" s="23" t="s">
        <v>321</v>
      </c>
      <c r="C91" s="23" t="s">
        <v>484</v>
      </c>
      <c r="D91" s="23">
        <v>1990000</v>
      </c>
      <c r="E91" s="23" t="s">
        <v>325</v>
      </c>
      <c r="F91" s="23" t="str">
        <f t="shared" si="2"/>
        <v>rtdc.l.rtdc.4006:itc</v>
      </c>
      <c r="G91" s="8">
        <f t="shared" si="3"/>
        <v>42630.484340277777</v>
      </c>
    </row>
    <row r="92" spans="1:7" x14ac:dyDescent="0.25">
      <c r="A92" s="8">
        <v>42630.484513888892</v>
      </c>
      <c r="B92" s="23" t="s">
        <v>426</v>
      </c>
      <c r="C92" s="23" t="s">
        <v>485</v>
      </c>
      <c r="D92" s="23">
        <v>2020000</v>
      </c>
      <c r="E92" s="23" t="s">
        <v>486</v>
      </c>
      <c r="F92" s="23" t="str">
        <f t="shared" si="2"/>
        <v>rtdc.l.rtdc.4027:itc</v>
      </c>
      <c r="G92" s="8">
        <f t="shared" si="3"/>
        <v>42630.484513888892</v>
      </c>
    </row>
    <row r="93" spans="1:7" x14ac:dyDescent="0.25">
      <c r="A93" s="8">
        <v>42630.495289351849</v>
      </c>
      <c r="B93" s="23" t="s">
        <v>316</v>
      </c>
      <c r="C93" s="23" t="s">
        <v>487</v>
      </c>
      <c r="D93" s="23">
        <v>880000</v>
      </c>
      <c r="E93" s="23" t="s">
        <v>329</v>
      </c>
      <c r="F93" s="23" t="str">
        <f t="shared" si="2"/>
        <v>rtdc.l.rtdc.4045:itc</v>
      </c>
      <c r="G93" s="8">
        <f t="shared" si="3"/>
        <v>42630.495289351849</v>
      </c>
    </row>
    <row r="94" spans="1:7" x14ac:dyDescent="0.25">
      <c r="A94" s="8">
        <v>42630.497094907405</v>
      </c>
      <c r="B94" s="23" t="s">
        <v>431</v>
      </c>
      <c r="C94" s="23" t="s">
        <v>488</v>
      </c>
      <c r="D94" s="23">
        <v>1280000</v>
      </c>
      <c r="E94" s="23" t="s">
        <v>479</v>
      </c>
      <c r="F94" s="23" t="str">
        <f t="shared" si="2"/>
        <v>rtdc.l.rtdc.4012:itc</v>
      </c>
      <c r="G94" s="8">
        <f t="shared" si="3"/>
        <v>42630.497094907405</v>
      </c>
    </row>
    <row r="95" spans="1:7" x14ac:dyDescent="0.25">
      <c r="A95" s="8">
        <v>42630.497164351851</v>
      </c>
      <c r="B95" s="23" t="s">
        <v>107</v>
      </c>
      <c r="C95" s="23" t="s">
        <v>489</v>
      </c>
      <c r="D95" s="23">
        <v>1830000</v>
      </c>
      <c r="E95" s="23" t="s">
        <v>418</v>
      </c>
      <c r="F95" s="23" t="str">
        <f t="shared" si="2"/>
        <v>rtdc.l.rtdc.4031:itc</v>
      </c>
      <c r="G95" s="8">
        <f t="shared" si="3"/>
        <v>42630.497164351851</v>
      </c>
    </row>
    <row r="96" spans="1:7" x14ac:dyDescent="0.25">
      <c r="A96" s="8">
        <v>42630.497835648152</v>
      </c>
      <c r="B96" s="23" t="s">
        <v>172</v>
      </c>
      <c r="C96" s="23" t="s">
        <v>490</v>
      </c>
      <c r="D96" s="23">
        <v>1770000</v>
      </c>
      <c r="E96" s="23" t="s">
        <v>491</v>
      </c>
      <c r="F96" s="23" t="str">
        <f t="shared" si="2"/>
        <v>rtdc.l.rtdc.4025:itc</v>
      </c>
      <c r="G96" s="8">
        <f t="shared" si="3"/>
        <v>42630.497835648152</v>
      </c>
    </row>
    <row r="97" spans="1:7" x14ac:dyDescent="0.25">
      <c r="A97" s="8">
        <v>42630.508935185186</v>
      </c>
      <c r="B97" s="23" t="s">
        <v>409</v>
      </c>
      <c r="C97" s="23" t="s">
        <v>492</v>
      </c>
      <c r="D97" s="23">
        <v>930000</v>
      </c>
      <c r="E97" s="23" t="s">
        <v>330</v>
      </c>
      <c r="F97" s="23" t="str">
        <f t="shared" si="2"/>
        <v>rtdc.l.rtdc.4053:itc</v>
      </c>
      <c r="G97" s="8">
        <f t="shared" si="3"/>
        <v>42630.508935185186</v>
      </c>
    </row>
    <row r="98" spans="1:7" x14ac:dyDescent="0.25">
      <c r="A98" s="8">
        <v>42630.515462962961</v>
      </c>
      <c r="B98" s="23" t="s">
        <v>413</v>
      </c>
      <c r="C98" s="23" t="s">
        <v>493</v>
      </c>
      <c r="D98" s="23">
        <v>2040000</v>
      </c>
      <c r="E98" s="23" t="s">
        <v>276</v>
      </c>
      <c r="F98" s="23" t="str">
        <f t="shared" si="2"/>
        <v>rtdc.l.rtdc.4039:itc</v>
      </c>
      <c r="G98" s="8">
        <f t="shared" si="3"/>
        <v>42630.515462962961</v>
      </c>
    </row>
    <row r="99" spans="1:7" x14ac:dyDescent="0.25">
      <c r="A99" s="8">
        <v>42630.517013888886</v>
      </c>
      <c r="B99" s="23" t="s">
        <v>179</v>
      </c>
      <c r="C99" s="23" t="s">
        <v>494</v>
      </c>
      <c r="D99" s="23">
        <v>1760000</v>
      </c>
      <c r="E99" s="23" t="s">
        <v>274</v>
      </c>
      <c r="F99" s="23" t="str">
        <f t="shared" si="2"/>
        <v>rtdc.l.rtdc.4042:itc</v>
      </c>
      <c r="G99" s="8">
        <f t="shared" si="3"/>
        <v>42630.517013888886</v>
      </c>
    </row>
    <row r="100" spans="1:7" x14ac:dyDescent="0.25">
      <c r="A100" s="8">
        <v>42630.522569444445</v>
      </c>
      <c r="B100" s="23" t="s">
        <v>411</v>
      </c>
      <c r="C100" s="23" t="s">
        <v>495</v>
      </c>
      <c r="D100" s="23">
        <v>2020000</v>
      </c>
      <c r="E100" s="23" t="s">
        <v>486</v>
      </c>
      <c r="F100" s="23" t="str">
        <f t="shared" si="2"/>
        <v>rtdc.l.rtdc.4028:itc</v>
      </c>
      <c r="G100" s="8">
        <f t="shared" si="3"/>
        <v>42630.522569444445</v>
      </c>
    </row>
    <row r="101" spans="1:7" x14ac:dyDescent="0.25">
      <c r="A101" s="8">
        <v>42630.52375</v>
      </c>
      <c r="B101" s="23" t="s">
        <v>411</v>
      </c>
      <c r="C101" s="23" t="s">
        <v>495</v>
      </c>
      <c r="D101" s="23">
        <v>2020000</v>
      </c>
      <c r="E101" s="23" t="s">
        <v>486</v>
      </c>
      <c r="F101" s="23" t="str">
        <f t="shared" si="2"/>
        <v>rtdc.l.rtdc.4028:itc</v>
      </c>
      <c r="G101" s="8">
        <f t="shared" si="3"/>
        <v>42630.52375</v>
      </c>
    </row>
    <row r="102" spans="1:7" x14ac:dyDescent="0.25">
      <c r="A102" s="8">
        <v>42630.525856481479</v>
      </c>
      <c r="B102" s="23" t="s">
        <v>315</v>
      </c>
      <c r="C102" s="23" t="s">
        <v>496</v>
      </c>
      <c r="D102" s="23">
        <v>1830000</v>
      </c>
      <c r="E102" s="23" t="s">
        <v>418</v>
      </c>
      <c r="F102" s="23" t="str">
        <f t="shared" si="2"/>
        <v>rtdc.l.rtdc.4032:itc</v>
      </c>
      <c r="G102" s="8">
        <f t="shared" si="3"/>
        <v>42630.525856481479</v>
      </c>
    </row>
    <row r="103" spans="1:7" x14ac:dyDescent="0.25">
      <c r="A103" s="8">
        <v>42630.527465277781</v>
      </c>
      <c r="B103" s="23" t="s">
        <v>182</v>
      </c>
      <c r="C103" s="23" t="s">
        <v>497</v>
      </c>
      <c r="D103" s="23">
        <v>880000</v>
      </c>
      <c r="E103" s="23" t="s">
        <v>329</v>
      </c>
      <c r="F103" s="23" t="str">
        <f t="shared" si="2"/>
        <v>rtdc.l.rtdc.4046:itc</v>
      </c>
      <c r="G103" s="8">
        <f t="shared" si="3"/>
        <v>42630.527465277781</v>
      </c>
    </row>
    <row r="104" spans="1:7" x14ac:dyDescent="0.25">
      <c r="A104" s="8">
        <v>42630.535798611112</v>
      </c>
      <c r="B104" s="23" t="s">
        <v>173</v>
      </c>
      <c r="C104" s="23" t="s">
        <v>498</v>
      </c>
      <c r="D104" s="23">
        <v>1770000</v>
      </c>
      <c r="E104" s="23" t="s">
        <v>491</v>
      </c>
      <c r="F104" s="23" t="str">
        <f t="shared" si="2"/>
        <v>rtdc.l.rtdc.4026:itc</v>
      </c>
      <c r="G104" s="8">
        <f t="shared" si="3"/>
        <v>42630.535798611112</v>
      </c>
    </row>
    <row r="105" spans="1:7" x14ac:dyDescent="0.25">
      <c r="A105" s="8">
        <v>42630.538101851853</v>
      </c>
      <c r="B105" s="23" t="s">
        <v>399</v>
      </c>
      <c r="C105" s="23" t="s">
        <v>499</v>
      </c>
      <c r="D105" s="23">
        <v>1280000</v>
      </c>
      <c r="E105" s="23" t="s">
        <v>479</v>
      </c>
      <c r="F105" s="23" t="str">
        <f t="shared" si="2"/>
        <v>rtdc.l.rtdc.4011:itc</v>
      </c>
      <c r="G105" s="8">
        <f t="shared" si="3"/>
        <v>42630.538101851853</v>
      </c>
    </row>
    <row r="106" spans="1:7" x14ac:dyDescent="0.25">
      <c r="A106" s="8">
        <v>42630.545335648145</v>
      </c>
      <c r="B106" s="23" t="s">
        <v>267</v>
      </c>
      <c r="C106" s="23" t="s">
        <v>500</v>
      </c>
      <c r="D106" s="23">
        <v>930000</v>
      </c>
      <c r="E106" s="23" t="s">
        <v>330</v>
      </c>
      <c r="F106" s="23" t="str">
        <f t="shared" si="2"/>
        <v>rtdc.l.rtdc.4054:itc</v>
      </c>
      <c r="G106" s="8">
        <f t="shared" si="3"/>
        <v>42630.545335648145</v>
      </c>
    </row>
    <row r="107" spans="1:7" x14ac:dyDescent="0.25">
      <c r="A107" s="8">
        <v>42630.549884259257</v>
      </c>
      <c r="B107" s="23" t="s">
        <v>402</v>
      </c>
      <c r="C107" s="23" t="s">
        <v>501</v>
      </c>
      <c r="D107" s="23">
        <v>2040000</v>
      </c>
      <c r="E107" s="23" t="s">
        <v>276</v>
      </c>
      <c r="F107" s="23" t="str">
        <f t="shared" si="2"/>
        <v>rtdc.l.rtdc.4040:itc</v>
      </c>
      <c r="G107" s="8">
        <f t="shared" si="3"/>
        <v>42630.549884259257</v>
      </c>
    </row>
    <row r="108" spans="1:7" x14ac:dyDescent="0.25">
      <c r="A108" s="8">
        <v>42630.551307870373</v>
      </c>
      <c r="B108" s="23" t="s">
        <v>107</v>
      </c>
      <c r="C108" s="23" t="s">
        <v>502</v>
      </c>
      <c r="D108" s="23">
        <v>1830000</v>
      </c>
      <c r="E108" s="23" t="s">
        <v>418</v>
      </c>
      <c r="F108" s="23" t="str">
        <f t="shared" si="2"/>
        <v>rtdc.l.rtdc.4031:itc</v>
      </c>
      <c r="G108" s="8">
        <f t="shared" si="3"/>
        <v>42630.551307870373</v>
      </c>
    </row>
    <row r="109" spans="1:7" x14ac:dyDescent="0.25">
      <c r="A109" s="8">
        <v>42630.554085648146</v>
      </c>
      <c r="B109" s="23" t="s">
        <v>177</v>
      </c>
      <c r="C109" s="23" t="s">
        <v>503</v>
      </c>
      <c r="D109" s="23">
        <v>1760000</v>
      </c>
      <c r="E109" s="23" t="s">
        <v>274</v>
      </c>
      <c r="F109" s="23" t="str">
        <f t="shared" si="2"/>
        <v>rtdc.l.rtdc.4041:itc</v>
      </c>
      <c r="G109" s="8">
        <f t="shared" si="3"/>
        <v>42630.554085648146</v>
      </c>
    </row>
    <row r="110" spans="1:7" x14ac:dyDescent="0.25">
      <c r="A110" s="8">
        <v>42630.557569444441</v>
      </c>
      <c r="B110" s="23" t="s">
        <v>426</v>
      </c>
      <c r="C110" s="23" t="s">
        <v>504</v>
      </c>
      <c r="D110" s="23">
        <v>2020000</v>
      </c>
      <c r="E110" s="23" t="s">
        <v>486</v>
      </c>
      <c r="F110" s="23" t="str">
        <f t="shared" si="2"/>
        <v>rtdc.l.rtdc.4027:itc</v>
      </c>
      <c r="G110" s="8">
        <f t="shared" si="3"/>
        <v>42630.557569444441</v>
      </c>
    </row>
    <row r="111" spans="1:7" x14ac:dyDescent="0.25">
      <c r="A111" s="8">
        <v>42630.566678240742</v>
      </c>
      <c r="B111" s="23" t="s">
        <v>315</v>
      </c>
      <c r="C111" s="23" t="s">
        <v>505</v>
      </c>
      <c r="D111" s="23">
        <v>1830000</v>
      </c>
      <c r="E111" s="23" t="s">
        <v>418</v>
      </c>
      <c r="F111" s="23" t="str">
        <f t="shared" si="2"/>
        <v>rtdc.l.rtdc.4032:itc</v>
      </c>
      <c r="G111" s="8">
        <f t="shared" si="3"/>
        <v>42630.566678240742</v>
      </c>
    </row>
    <row r="112" spans="1:7" x14ac:dyDescent="0.25">
      <c r="A112" s="8">
        <v>42630.567569444444</v>
      </c>
      <c r="B112" s="23" t="s">
        <v>316</v>
      </c>
      <c r="C112" s="23" t="s">
        <v>506</v>
      </c>
      <c r="D112" s="23">
        <v>880000</v>
      </c>
      <c r="E112" s="23" t="s">
        <v>329</v>
      </c>
      <c r="F112" s="23" t="str">
        <f t="shared" si="2"/>
        <v>rtdc.l.rtdc.4045:itc</v>
      </c>
      <c r="G112" s="8">
        <f t="shared" si="3"/>
        <v>42630.567569444444</v>
      </c>
    </row>
    <row r="113" spans="1:7" x14ac:dyDescent="0.25">
      <c r="A113" s="8">
        <v>42630.568124999998</v>
      </c>
      <c r="B113" s="23" t="s">
        <v>172</v>
      </c>
      <c r="C113" s="23" t="s">
        <v>507</v>
      </c>
      <c r="D113" s="23">
        <v>1770000</v>
      </c>
      <c r="E113" s="23" t="s">
        <v>491</v>
      </c>
      <c r="F113" s="23" t="str">
        <f t="shared" si="2"/>
        <v>rtdc.l.rtdc.4025:itc</v>
      </c>
      <c r="G113" s="8">
        <f t="shared" si="3"/>
        <v>42630.568124999998</v>
      </c>
    </row>
    <row r="114" spans="1:7" x14ac:dyDescent="0.25">
      <c r="A114" s="8">
        <v>42630.569699074076</v>
      </c>
      <c r="B114" s="23" t="s">
        <v>431</v>
      </c>
      <c r="C114" s="23" t="s">
        <v>508</v>
      </c>
      <c r="D114" s="23">
        <v>1280000</v>
      </c>
      <c r="E114" s="23" t="s">
        <v>479</v>
      </c>
      <c r="F114" s="23" t="str">
        <f t="shared" si="2"/>
        <v>rtdc.l.rtdc.4012:itc</v>
      </c>
      <c r="G114" s="8">
        <f t="shared" si="3"/>
        <v>42630.569699074076</v>
      </c>
    </row>
    <row r="115" spans="1:7" x14ac:dyDescent="0.25">
      <c r="A115" s="8">
        <v>42630.581284722219</v>
      </c>
      <c r="B115" s="23" t="s">
        <v>409</v>
      </c>
      <c r="C115" s="23" t="s">
        <v>509</v>
      </c>
      <c r="D115" s="23">
        <v>930000</v>
      </c>
      <c r="E115" s="23" t="s">
        <v>330</v>
      </c>
      <c r="F115" s="23" t="str">
        <f t="shared" si="2"/>
        <v>rtdc.l.rtdc.4053:itc</v>
      </c>
      <c r="G115" s="8">
        <f t="shared" si="3"/>
        <v>42630.581284722219</v>
      </c>
    </row>
    <row r="116" spans="1:7" x14ac:dyDescent="0.25">
      <c r="A116" s="8">
        <v>42630.587951388887</v>
      </c>
      <c r="B116" s="23" t="s">
        <v>413</v>
      </c>
      <c r="C116" s="23" t="s">
        <v>510</v>
      </c>
      <c r="D116" s="23">
        <v>2040000</v>
      </c>
      <c r="E116" s="23" t="s">
        <v>276</v>
      </c>
      <c r="F116" s="23" t="str">
        <f t="shared" si="2"/>
        <v>rtdc.l.rtdc.4039:itc</v>
      </c>
      <c r="G116" s="8">
        <f t="shared" si="3"/>
        <v>42630.587951388887</v>
      </c>
    </row>
    <row r="117" spans="1:7" x14ac:dyDescent="0.25">
      <c r="A117" s="8">
        <v>42630.588148148148</v>
      </c>
      <c r="B117" s="23" t="s">
        <v>107</v>
      </c>
      <c r="C117" s="23" t="s">
        <v>511</v>
      </c>
      <c r="D117" s="23">
        <v>2110000</v>
      </c>
      <c r="E117" s="23" t="s">
        <v>241</v>
      </c>
      <c r="F117" s="23" t="str">
        <f t="shared" si="2"/>
        <v>rtdc.l.rtdc.4031:itc</v>
      </c>
      <c r="G117" s="8">
        <f t="shared" si="3"/>
        <v>42630.588148148148</v>
      </c>
    </row>
    <row r="118" spans="1:7" x14ac:dyDescent="0.25">
      <c r="A118" s="8">
        <v>42630.590520833335</v>
      </c>
      <c r="B118" s="23" t="s">
        <v>179</v>
      </c>
      <c r="C118" s="23" t="s">
        <v>512</v>
      </c>
      <c r="D118" s="23">
        <v>1760000</v>
      </c>
      <c r="E118" s="23" t="s">
        <v>274</v>
      </c>
      <c r="F118" s="23" t="str">
        <f t="shared" si="2"/>
        <v>rtdc.l.rtdc.4042:itc</v>
      </c>
      <c r="G118" s="8">
        <f t="shared" si="3"/>
        <v>42630.590520833335</v>
      </c>
    </row>
    <row r="119" spans="1:7" x14ac:dyDescent="0.25">
      <c r="A119" s="8">
        <v>42630.59648148148</v>
      </c>
      <c r="B119" s="23" t="s">
        <v>411</v>
      </c>
      <c r="C119" s="23" t="s">
        <v>513</v>
      </c>
      <c r="D119" s="23">
        <v>2020000</v>
      </c>
      <c r="E119" s="23" t="s">
        <v>486</v>
      </c>
      <c r="F119" s="23" t="str">
        <f t="shared" si="2"/>
        <v>rtdc.l.rtdc.4028:itc</v>
      </c>
      <c r="G119" s="8">
        <f t="shared" si="3"/>
        <v>42630.59648148148</v>
      </c>
    </row>
    <row r="120" spans="1:7" x14ac:dyDescent="0.25">
      <c r="A120" s="8">
        <v>42630.597361111111</v>
      </c>
      <c r="B120" s="23" t="s">
        <v>411</v>
      </c>
      <c r="C120" s="23" t="s">
        <v>513</v>
      </c>
      <c r="D120" s="23">
        <v>2020000</v>
      </c>
      <c r="E120" s="23" t="s">
        <v>486</v>
      </c>
      <c r="F120" s="23" t="str">
        <f t="shared" si="2"/>
        <v>rtdc.l.rtdc.4028:itc</v>
      </c>
      <c r="G120" s="8">
        <f t="shared" si="3"/>
        <v>42630.597361111111</v>
      </c>
    </row>
    <row r="121" spans="1:7" x14ac:dyDescent="0.25">
      <c r="A121" s="8">
        <v>42630.602326388886</v>
      </c>
      <c r="B121" s="23" t="s">
        <v>182</v>
      </c>
      <c r="C121" s="23" t="s">
        <v>514</v>
      </c>
      <c r="D121" s="23">
        <v>880000</v>
      </c>
      <c r="E121" s="23" t="s">
        <v>329</v>
      </c>
      <c r="F121" s="23" t="str">
        <f t="shared" si="2"/>
        <v>rtdc.l.rtdc.4046:itc</v>
      </c>
      <c r="G121" s="8">
        <f t="shared" si="3"/>
        <v>42630.602326388886</v>
      </c>
    </row>
    <row r="122" spans="1:7" x14ac:dyDescent="0.25">
      <c r="A122" s="8">
        <v>42630.607303240744</v>
      </c>
      <c r="B122" s="28" t="s">
        <v>173</v>
      </c>
      <c r="C122" s="23" t="s">
        <v>515</v>
      </c>
      <c r="D122" s="23">
        <v>1770000</v>
      </c>
      <c r="E122" s="23" t="s">
        <v>491</v>
      </c>
      <c r="F122" s="23" t="str">
        <f t="shared" si="2"/>
        <v>rtdc.l.rtdc.4026:itc</v>
      </c>
      <c r="G122" s="8">
        <f t="shared" si="3"/>
        <v>42630.607303240744</v>
      </c>
    </row>
    <row r="123" spans="1:7" x14ac:dyDescent="0.25">
      <c r="A123" s="8">
        <v>42630.6094212963</v>
      </c>
      <c r="B123" s="23" t="s">
        <v>399</v>
      </c>
      <c r="C123" s="23" t="s">
        <v>516</v>
      </c>
      <c r="D123" s="23">
        <v>1280000</v>
      </c>
      <c r="E123" s="23" t="s">
        <v>479</v>
      </c>
      <c r="F123" s="23" t="str">
        <f t="shared" si="2"/>
        <v>rtdc.l.rtdc.4011:itc</v>
      </c>
      <c r="G123" s="8">
        <f t="shared" si="3"/>
        <v>42630.6094212963</v>
      </c>
    </row>
    <row r="124" spans="1:7" x14ac:dyDescent="0.25">
      <c r="A124" s="8">
        <v>42630.616527777776</v>
      </c>
      <c r="B124" s="23" t="s">
        <v>315</v>
      </c>
      <c r="C124" s="23" t="s">
        <v>517</v>
      </c>
      <c r="D124" s="23">
        <v>2110000</v>
      </c>
      <c r="E124" s="23" t="s">
        <v>241</v>
      </c>
      <c r="F124" s="23" t="str">
        <f t="shared" si="2"/>
        <v>rtdc.l.rtdc.4032:itc</v>
      </c>
      <c r="G124" s="8">
        <f t="shared" si="3"/>
        <v>42630.616527777776</v>
      </c>
    </row>
    <row r="125" spans="1:7" x14ac:dyDescent="0.25">
      <c r="A125" s="8">
        <v>42630.619270833333</v>
      </c>
      <c r="B125" s="23" t="s">
        <v>267</v>
      </c>
      <c r="C125" s="23" t="s">
        <v>518</v>
      </c>
      <c r="D125" s="23">
        <v>930000</v>
      </c>
      <c r="E125" s="23" t="s">
        <v>330</v>
      </c>
      <c r="F125" s="23" t="str">
        <f t="shared" si="2"/>
        <v>rtdc.l.rtdc.4054:itc</v>
      </c>
      <c r="G125" s="8">
        <f t="shared" si="3"/>
        <v>42630.619270833333</v>
      </c>
    </row>
    <row r="126" spans="1:7" x14ac:dyDescent="0.25">
      <c r="A126" s="8">
        <v>42630.622604166667</v>
      </c>
      <c r="B126" s="23" t="s">
        <v>402</v>
      </c>
      <c r="C126" s="23" t="s">
        <v>519</v>
      </c>
      <c r="D126" s="23">
        <v>2040000</v>
      </c>
      <c r="E126" s="23" t="s">
        <v>276</v>
      </c>
      <c r="F126" s="23" t="str">
        <f t="shared" si="2"/>
        <v>rtdc.l.rtdc.4040:itc</v>
      </c>
      <c r="G126" s="8">
        <f t="shared" si="3"/>
        <v>42630.622604166667</v>
      </c>
    </row>
    <row r="127" spans="1:7" x14ac:dyDescent="0.25">
      <c r="A127" s="8">
        <v>42630.623067129629</v>
      </c>
      <c r="B127" s="23" t="s">
        <v>177</v>
      </c>
      <c r="C127" s="23" t="s">
        <v>520</v>
      </c>
      <c r="D127" s="23">
        <v>1760000</v>
      </c>
      <c r="E127" s="23" t="s">
        <v>274</v>
      </c>
      <c r="F127" s="23" t="str">
        <f t="shared" si="2"/>
        <v>rtdc.l.rtdc.4041:itc</v>
      </c>
      <c r="G127" s="8">
        <f t="shared" si="3"/>
        <v>42630.623067129629</v>
      </c>
    </row>
    <row r="128" spans="1:7" x14ac:dyDescent="0.25">
      <c r="A128" s="8">
        <v>42630.631782407407</v>
      </c>
      <c r="B128" s="23" t="s">
        <v>426</v>
      </c>
      <c r="C128" s="23" t="s">
        <v>521</v>
      </c>
      <c r="D128" s="23">
        <v>2020000</v>
      </c>
      <c r="E128" s="23" t="s">
        <v>486</v>
      </c>
      <c r="F128" s="23" t="str">
        <f t="shared" si="2"/>
        <v>rtdc.l.rtdc.4027:itc</v>
      </c>
      <c r="G128" s="8">
        <f t="shared" si="3"/>
        <v>42630.631782407407</v>
      </c>
    </row>
    <row r="129" spans="1:7" x14ac:dyDescent="0.25">
      <c r="A129" s="8">
        <v>42630.633206018516</v>
      </c>
      <c r="B129" s="23" t="s">
        <v>107</v>
      </c>
      <c r="C129" s="23" t="s">
        <v>522</v>
      </c>
      <c r="D129" s="23">
        <v>2110000</v>
      </c>
      <c r="E129" s="23" t="s">
        <v>241</v>
      </c>
      <c r="F129" s="23" t="str">
        <f t="shared" si="2"/>
        <v>rtdc.l.rtdc.4031:itc</v>
      </c>
      <c r="G129" s="8">
        <f t="shared" si="3"/>
        <v>42630.633206018516</v>
      </c>
    </row>
    <row r="130" spans="1:7" x14ac:dyDescent="0.25">
      <c r="A130" s="8">
        <v>42630.641099537039</v>
      </c>
      <c r="B130" s="23" t="s">
        <v>316</v>
      </c>
      <c r="C130" s="23" t="s">
        <v>523</v>
      </c>
      <c r="D130" s="23">
        <v>880000</v>
      </c>
      <c r="E130" s="23" t="s">
        <v>329</v>
      </c>
      <c r="F130" s="23" t="str">
        <f t="shared" ref="F130:F193" si="4">B130</f>
        <v>rtdc.l.rtdc.4045:itc</v>
      </c>
      <c r="G130" s="8">
        <f t="shared" ref="G130:G193" si="5">A130</f>
        <v>42630.641099537039</v>
      </c>
    </row>
    <row r="131" spans="1:7" x14ac:dyDescent="0.25">
      <c r="A131" s="8">
        <v>42630.641840277778</v>
      </c>
      <c r="B131" s="23" t="s">
        <v>172</v>
      </c>
      <c r="C131" s="23" t="s">
        <v>524</v>
      </c>
      <c r="D131" s="23">
        <v>1770000</v>
      </c>
      <c r="E131" s="23" t="s">
        <v>491</v>
      </c>
      <c r="F131" s="23" t="str">
        <f t="shared" si="4"/>
        <v>rtdc.l.rtdc.4025:itc</v>
      </c>
      <c r="G131" s="8">
        <f t="shared" si="5"/>
        <v>42630.641840277778</v>
      </c>
    </row>
    <row r="132" spans="1:7" x14ac:dyDescent="0.25">
      <c r="A132" s="8">
        <v>42630.642025462963</v>
      </c>
      <c r="B132" s="23" t="s">
        <v>431</v>
      </c>
      <c r="C132" s="23" t="s">
        <v>525</v>
      </c>
      <c r="D132" s="23">
        <v>1280000</v>
      </c>
      <c r="E132" s="23" t="s">
        <v>479</v>
      </c>
      <c r="F132" s="23" t="str">
        <f t="shared" si="4"/>
        <v>rtdc.l.rtdc.4012:itc</v>
      </c>
      <c r="G132" s="8">
        <f t="shared" si="5"/>
        <v>42630.642025462963</v>
      </c>
    </row>
    <row r="133" spans="1:7" x14ac:dyDescent="0.25">
      <c r="A133" s="8">
        <v>42630.651145833333</v>
      </c>
      <c r="B133" s="23" t="s">
        <v>315</v>
      </c>
      <c r="C133" s="23" t="s">
        <v>526</v>
      </c>
      <c r="D133" s="23">
        <v>2110000</v>
      </c>
      <c r="E133" s="23" t="s">
        <v>241</v>
      </c>
      <c r="F133" s="23" t="str">
        <f t="shared" si="4"/>
        <v>rtdc.l.rtdc.4032:itc</v>
      </c>
      <c r="G133" s="8">
        <f t="shared" si="5"/>
        <v>42630.651145833333</v>
      </c>
    </row>
    <row r="134" spans="1:7" x14ac:dyDescent="0.25">
      <c r="A134" s="8">
        <v>42630.655115740738</v>
      </c>
      <c r="B134" s="23" t="s">
        <v>409</v>
      </c>
      <c r="C134" s="23" t="s">
        <v>527</v>
      </c>
      <c r="D134" s="23">
        <v>930000</v>
      </c>
      <c r="E134" s="23" t="s">
        <v>330</v>
      </c>
      <c r="F134" s="23" t="str">
        <f t="shared" si="4"/>
        <v>rtdc.l.rtdc.4053:itc</v>
      </c>
      <c r="G134" s="8">
        <f t="shared" si="5"/>
        <v>42630.655115740738</v>
      </c>
    </row>
    <row r="135" spans="1:7" x14ac:dyDescent="0.25">
      <c r="A135" s="8">
        <v>42630.660960648151</v>
      </c>
      <c r="B135" s="23" t="s">
        <v>413</v>
      </c>
      <c r="C135" s="23" t="s">
        <v>528</v>
      </c>
      <c r="D135" s="23">
        <v>2040000</v>
      </c>
      <c r="E135" s="23" t="s">
        <v>276</v>
      </c>
      <c r="F135" s="23" t="str">
        <f t="shared" si="4"/>
        <v>rtdc.l.rtdc.4039:itc</v>
      </c>
      <c r="G135" s="8">
        <f t="shared" si="5"/>
        <v>42630.660960648151</v>
      </c>
    </row>
    <row r="136" spans="1:7" x14ac:dyDescent="0.25">
      <c r="A136" s="8">
        <v>42630.663958333331</v>
      </c>
      <c r="B136" s="23" t="s">
        <v>179</v>
      </c>
      <c r="C136" s="23" t="s">
        <v>529</v>
      </c>
      <c r="D136" s="23">
        <v>1760000</v>
      </c>
      <c r="E136" s="23" t="s">
        <v>274</v>
      </c>
      <c r="F136" s="23" t="str">
        <f t="shared" si="4"/>
        <v>rtdc.l.rtdc.4042:itc</v>
      </c>
      <c r="G136" s="8">
        <f t="shared" si="5"/>
        <v>42630.663958333331</v>
      </c>
    </row>
    <row r="137" spans="1:7" x14ac:dyDescent="0.25">
      <c r="A137" s="8">
        <v>42630.671863425923</v>
      </c>
      <c r="B137" s="23" t="s">
        <v>411</v>
      </c>
      <c r="C137" s="23" t="s">
        <v>530</v>
      </c>
      <c r="D137" s="23">
        <v>2020000</v>
      </c>
      <c r="E137" s="23" t="s">
        <v>486</v>
      </c>
      <c r="F137" s="23" t="str">
        <f t="shared" si="4"/>
        <v>rtdc.l.rtdc.4028:itc</v>
      </c>
      <c r="G137" s="8">
        <f t="shared" si="5"/>
        <v>42630.671863425923</v>
      </c>
    </row>
    <row r="138" spans="1:7" x14ac:dyDescent="0.25">
      <c r="A138" s="8">
        <v>42630.675625000003</v>
      </c>
      <c r="B138" s="23" t="s">
        <v>182</v>
      </c>
      <c r="C138" s="23" t="s">
        <v>531</v>
      </c>
      <c r="D138" s="23">
        <v>880000</v>
      </c>
      <c r="E138" s="23" t="s">
        <v>329</v>
      </c>
      <c r="F138" s="23" t="str">
        <f t="shared" si="4"/>
        <v>rtdc.l.rtdc.4046:itc</v>
      </c>
      <c r="G138" s="8">
        <f t="shared" si="5"/>
        <v>42630.675625000003</v>
      </c>
    </row>
    <row r="139" spans="1:7" x14ac:dyDescent="0.25">
      <c r="A139" s="8">
        <v>42630.676805555559</v>
      </c>
      <c r="B139" s="23" t="s">
        <v>107</v>
      </c>
      <c r="C139" s="23" t="s">
        <v>532</v>
      </c>
      <c r="D139" s="23">
        <v>2110000</v>
      </c>
      <c r="E139" s="23" t="s">
        <v>241</v>
      </c>
      <c r="F139" s="23" t="str">
        <f t="shared" si="4"/>
        <v>rtdc.l.rtdc.4031:itc</v>
      </c>
      <c r="G139" s="8">
        <f t="shared" si="5"/>
        <v>42630.676805555559</v>
      </c>
    </row>
    <row r="140" spans="1:7" x14ac:dyDescent="0.25">
      <c r="A140" s="8">
        <v>42630.67832175926</v>
      </c>
      <c r="B140" s="23" t="s">
        <v>173</v>
      </c>
      <c r="C140" s="23" t="s">
        <v>533</v>
      </c>
      <c r="D140" s="23">
        <v>1770000</v>
      </c>
      <c r="E140" s="23" t="s">
        <v>491</v>
      </c>
      <c r="F140" s="23" t="str">
        <f t="shared" si="4"/>
        <v>rtdc.l.rtdc.4026:itc</v>
      </c>
      <c r="G140" s="8">
        <f t="shared" si="5"/>
        <v>42630.67832175926</v>
      </c>
    </row>
    <row r="141" spans="1:7" x14ac:dyDescent="0.25">
      <c r="A141" s="8">
        <v>42630.682615740741</v>
      </c>
      <c r="B141" s="23" t="s">
        <v>399</v>
      </c>
      <c r="C141" s="23" t="s">
        <v>534</v>
      </c>
      <c r="D141" s="23">
        <v>1280000</v>
      </c>
      <c r="E141" s="23" t="s">
        <v>479</v>
      </c>
      <c r="F141" s="23" t="str">
        <f t="shared" si="4"/>
        <v>rtdc.l.rtdc.4011:itc</v>
      </c>
      <c r="G141" s="8">
        <f t="shared" si="5"/>
        <v>42630.682615740741</v>
      </c>
    </row>
    <row r="142" spans="1:7" x14ac:dyDescent="0.25">
      <c r="A142" s="8">
        <v>42630.691365740742</v>
      </c>
      <c r="B142" s="23" t="s">
        <v>267</v>
      </c>
      <c r="C142" s="23" t="s">
        <v>535</v>
      </c>
      <c r="D142" s="23">
        <v>930000</v>
      </c>
      <c r="E142" s="23" t="s">
        <v>330</v>
      </c>
      <c r="F142" s="23" t="str">
        <f t="shared" si="4"/>
        <v>rtdc.l.rtdc.4054:itc</v>
      </c>
      <c r="G142" s="8">
        <f t="shared" si="5"/>
        <v>42630.691365740742</v>
      </c>
    </row>
    <row r="143" spans="1:7" x14ac:dyDescent="0.25">
      <c r="A143" s="8">
        <v>42630.693020833336</v>
      </c>
      <c r="B143" s="23" t="s">
        <v>315</v>
      </c>
      <c r="C143" s="23" t="s">
        <v>536</v>
      </c>
      <c r="D143" s="23">
        <v>2110000</v>
      </c>
      <c r="E143" s="23" t="s">
        <v>241</v>
      </c>
      <c r="F143" s="23" t="str">
        <f t="shared" si="4"/>
        <v>rtdc.l.rtdc.4032:itc</v>
      </c>
      <c r="G143" s="8">
        <f t="shared" si="5"/>
        <v>42630.693020833336</v>
      </c>
    </row>
    <row r="144" spans="1:7" x14ac:dyDescent="0.25">
      <c r="A144" s="8">
        <v>42630.6952662037</v>
      </c>
      <c r="B144" s="23" t="s">
        <v>402</v>
      </c>
      <c r="C144" s="23" t="s">
        <v>537</v>
      </c>
      <c r="D144" s="23">
        <v>2040000</v>
      </c>
      <c r="E144" s="23" t="s">
        <v>276</v>
      </c>
      <c r="F144" s="23" t="str">
        <f t="shared" si="4"/>
        <v>rtdc.l.rtdc.4040:itc</v>
      </c>
      <c r="G144" s="8">
        <f t="shared" si="5"/>
        <v>42630.6952662037</v>
      </c>
    </row>
    <row r="145" spans="1:7" x14ac:dyDescent="0.25">
      <c r="A145" s="8">
        <v>42630.702210648145</v>
      </c>
      <c r="B145" s="23" t="s">
        <v>177</v>
      </c>
      <c r="C145" s="23" t="s">
        <v>538</v>
      </c>
      <c r="D145" s="23">
        <v>1760000</v>
      </c>
      <c r="E145" s="23" t="s">
        <v>274</v>
      </c>
      <c r="F145" s="23" t="str">
        <f t="shared" si="4"/>
        <v>rtdc.l.rtdc.4041:itc</v>
      </c>
      <c r="G145" s="8">
        <f t="shared" si="5"/>
        <v>42630.702210648145</v>
      </c>
    </row>
    <row r="146" spans="1:7" x14ac:dyDescent="0.25">
      <c r="A146" s="8">
        <v>42630.706712962965</v>
      </c>
      <c r="B146" s="23" t="s">
        <v>426</v>
      </c>
      <c r="C146" s="23" t="s">
        <v>539</v>
      </c>
      <c r="D146" s="23">
        <v>2020000</v>
      </c>
      <c r="E146" s="23" t="s">
        <v>486</v>
      </c>
      <c r="F146" s="23" t="str">
        <f t="shared" si="4"/>
        <v>rtdc.l.rtdc.4027:itc</v>
      </c>
      <c r="G146" s="8">
        <f t="shared" si="5"/>
        <v>42630.706712962965</v>
      </c>
    </row>
    <row r="147" spans="1:7" x14ac:dyDescent="0.25">
      <c r="A147" s="8">
        <v>42630.713576388887</v>
      </c>
      <c r="B147" s="23" t="s">
        <v>316</v>
      </c>
      <c r="C147" s="23" t="s">
        <v>540</v>
      </c>
      <c r="D147" s="23">
        <v>880000</v>
      </c>
      <c r="E147" s="23" t="s">
        <v>329</v>
      </c>
      <c r="F147" s="23" t="str">
        <f t="shared" si="4"/>
        <v>rtdc.l.rtdc.4045:itc</v>
      </c>
      <c r="G147" s="8">
        <f t="shared" si="5"/>
        <v>42630.713576388887</v>
      </c>
    </row>
    <row r="148" spans="1:7" x14ac:dyDescent="0.25">
      <c r="A148" s="8">
        <v>42630.71466435185</v>
      </c>
      <c r="B148" s="23" t="s">
        <v>172</v>
      </c>
      <c r="C148" s="23" t="s">
        <v>541</v>
      </c>
      <c r="D148" s="23">
        <v>1770000</v>
      </c>
      <c r="E148" s="23" t="s">
        <v>491</v>
      </c>
      <c r="F148" s="23" t="str">
        <f t="shared" si="4"/>
        <v>rtdc.l.rtdc.4025:itc</v>
      </c>
      <c r="G148" s="8">
        <f t="shared" si="5"/>
        <v>42630.71466435185</v>
      </c>
    </row>
    <row r="149" spans="1:7" x14ac:dyDescent="0.25">
      <c r="A149" s="8">
        <v>42630.715358796297</v>
      </c>
      <c r="B149" s="23" t="s">
        <v>431</v>
      </c>
      <c r="C149" s="23" t="s">
        <v>542</v>
      </c>
      <c r="D149" s="23">
        <v>1280000</v>
      </c>
      <c r="E149" s="23" t="s">
        <v>479</v>
      </c>
      <c r="F149" s="23" t="str">
        <f t="shared" si="4"/>
        <v>rtdc.l.rtdc.4012:itc</v>
      </c>
      <c r="G149" s="8">
        <f t="shared" si="5"/>
        <v>42630.715358796297</v>
      </c>
    </row>
    <row r="150" spans="1:7" x14ac:dyDescent="0.25">
      <c r="A150" s="8">
        <v>42630.719756944447</v>
      </c>
      <c r="B150" s="23" t="s">
        <v>107</v>
      </c>
      <c r="C150" s="23" t="s">
        <v>543</v>
      </c>
      <c r="D150" s="23">
        <v>2110000</v>
      </c>
      <c r="E150" s="23" t="s">
        <v>241</v>
      </c>
      <c r="F150" s="23" t="str">
        <f t="shared" si="4"/>
        <v>rtdc.l.rtdc.4031:itc</v>
      </c>
      <c r="G150" s="8">
        <f t="shared" si="5"/>
        <v>42630.719756944447</v>
      </c>
    </row>
    <row r="151" spans="1:7" x14ac:dyDescent="0.25">
      <c r="A151" s="8">
        <v>42630.728437500002</v>
      </c>
      <c r="B151" s="23" t="s">
        <v>409</v>
      </c>
      <c r="C151" s="23" t="s">
        <v>544</v>
      </c>
      <c r="D151" s="23">
        <v>930000</v>
      </c>
      <c r="E151" s="23" t="s">
        <v>330</v>
      </c>
      <c r="F151" s="23" t="str">
        <f t="shared" si="4"/>
        <v>rtdc.l.rtdc.4053:itc</v>
      </c>
      <c r="G151" s="8">
        <f t="shared" si="5"/>
        <v>42630.728437500002</v>
      </c>
    </row>
    <row r="152" spans="1:7" x14ac:dyDescent="0.25">
      <c r="A152" s="8">
        <v>42630.733703703707</v>
      </c>
      <c r="B152" s="23" t="s">
        <v>413</v>
      </c>
      <c r="C152" s="23" t="s">
        <v>545</v>
      </c>
      <c r="D152" s="23">
        <v>2040000</v>
      </c>
      <c r="E152" s="23" t="s">
        <v>276</v>
      </c>
      <c r="F152" s="23" t="str">
        <f t="shared" si="4"/>
        <v>rtdc.l.rtdc.4039:itc</v>
      </c>
      <c r="G152" s="8">
        <f t="shared" si="5"/>
        <v>42630.733703703707</v>
      </c>
    </row>
    <row r="153" spans="1:7" x14ac:dyDescent="0.25">
      <c r="A153" s="8">
        <v>42630.734861111108</v>
      </c>
      <c r="B153" s="23" t="s">
        <v>315</v>
      </c>
      <c r="C153" s="23" t="s">
        <v>546</v>
      </c>
      <c r="D153" s="23">
        <v>2110000</v>
      </c>
      <c r="E153" s="23" t="s">
        <v>241</v>
      </c>
      <c r="F153" s="23" t="str">
        <f t="shared" si="4"/>
        <v>rtdc.l.rtdc.4032:itc</v>
      </c>
      <c r="G153" s="8">
        <f t="shared" si="5"/>
        <v>42630.734861111108</v>
      </c>
    </row>
    <row r="154" spans="1:7" x14ac:dyDescent="0.25">
      <c r="A154" s="8">
        <v>42630.738877314812</v>
      </c>
      <c r="B154" s="23" t="s">
        <v>179</v>
      </c>
      <c r="C154" s="23" t="s">
        <v>547</v>
      </c>
      <c r="D154" s="23">
        <v>1810000</v>
      </c>
      <c r="E154" s="23" t="s">
        <v>320</v>
      </c>
      <c r="F154" s="23" t="str">
        <f t="shared" si="4"/>
        <v>rtdc.l.rtdc.4042:itc</v>
      </c>
      <c r="G154" s="8">
        <f t="shared" si="5"/>
        <v>42630.738877314812</v>
      </c>
    </row>
    <row r="155" spans="1:7" x14ac:dyDescent="0.25">
      <c r="A155" s="8">
        <v>42630.741435185184</v>
      </c>
      <c r="B155" s="23" t="s">
        <v>411</v>
      </c>
      <c r="C155" s="23" t="s">
        <v>548</v>
      </c>
      <c r="D155" s="23">
        <v>2020000</v>
      </c>
      <c r="E155" s="23" t="s">
        <v>486</v>
      </c>
      <c r="F155" s="23" t="str">
        <f t="shared" si="4"/>
        <v>rtdc.l.rtdc.4028:itc</v>
      </c>
      <c r="G155" s="8">
        <f t="shared" si="5"/>
        <v>42630.741435185184</v>
      </c>
    </row>
    <row r="156" spans="1:7" x14ac:dyDescent="0.25">
      <c r="A156" s="8">
        <v>42630.745856481481</v>
      </c>
      <c r="B156" s="23" t="s">
        <v>231</v>
      </c>
      <c r="C156" s="23" t="s">
        <v>549</v>
      </c>
      <c r="D156" s="23">
        <v>1780000</v>
      </c>
      <c r="E156" s="23" t="s">
        <v>550</v>
      </c>
      <c r="F156" s="23" t="str">
        <f t="shared" si="4"/>
        <v>rtdc.l.rtdc.4016:itc</v>
      </c>
      <c r="G156" s="8">
        <f t="shared" si="5"/>
        <v>42630.745856481481</v>
      </c>
    </row>
    <row r="157" spans="1:7" x14ac:dyDescent="0.25">
      <c r="A157" s="8">
        <v>42630.74894675926</v>
      </c>
      <c r="B157" s="23" t="s">
        <v>182</v>
      </c>
      <c r="C157" s="23" t="s">
        <v>551</v>
      </c>
      <c r="D157" s="23">
        <v>880000</v>
      </c>
      <c r="E157" s="23" t="s">
        <v>329</v>
      </c>
      <c r="F157" s="23" t="str">
        <f t="shared" si="4"/>
        <v>rtdc.l.rtdc.4046:itc</v>
      </c>
      <c r="G157" s="8">
        <f t="shared" si="5"/>
        <v>42630.74894675926</v>
      </c>
    </row>
    <row r="158" spans="1:7" x14ac:dyDescent="0.25">
      <c r="A158" s="8">
        <v>42630.749224537038</v>
      </c>
      <c r="B158" s="23" t="s">
        <v>317</v>
      </c>
      <c r="C158" s="23" t="s">
        <v>552</v>
      </c>
      <c r="D158" s="23">
        <v>1480000</v>
      </c>
      <c r="E158" s="23" t="s">
        <v>277</v>
      </c>
      <c r="F158" s="23" t="str">
        <f t="shared" si="4"/>
        <v>rtdc.l.rtdc.4005:itc</v>
      </c>
      <c r="G158" s="8">
        <f t="shared" si="5"/>
        <v>42630.749224537038</v>
      </c>
    </row>
    <row r="159" spans="1:7" x14ac:dyDescent="0.25">
      <c r="A159" s="8">
        <v>42630.752303240741</v>
      </c>
      <c r="B159" s="23" t="s">
        <v>317</v>
      </c>
      <c r="C159" s="23" t="s">
        <v>552</v>
      </c>
      <c r="D159" s="23">
        <v>1480000</v>
      </c>
      <c r="E159" s="23" t="s">
        <v>277</v>
      </c>
      <c r="F159" s="23" t="str">
        <f t="shared" si="4"/>
        <v>rtdc.l.rtdc.4005:itc</v>
      </c>
      <c r="G159" s="8">
        <f t="shared" si="5"/>
        <v>42630.752303240741</v>
      </c>
    </row>
    <row r="160" spans="1:7" x14ac:dyDescent="0.25">
      <c r="A160" s="8">
        <v>42630.754004629627</v>
      </c>
      <c r="B160" s="23" t="s">
        <v>173</v>
      </c>
      <c r="C160" s="23" t="s">
        <v>553</v>
      </c>
      <c r="D160" s="23">
        <v>1770000</v>
      </c>
      <c r="E160" s="23" t="s">
        <v>491</v>
      </c>
      <c r="F160" s="23" t="str">
        <f t="shared" si="4"/>
        <v>rtdc.l.rtdc.4026:itc</v>
      </c>
      <c r="G160" s="8">
        <f t="shared" si="5"/>
        <v>42630.754004629627</v>
      </c>
    </row>
    <row r="161" spans="1:7" x14ac:dyDescent="0.25">
      <c r="A161" s="8">
        <v>42630.760636574072</v>
      </c>
      <c r="B161" s="23" t="s">
        <v>399</v>
      </c>
      <c r="C161" s="23" t="s">
        <v>554</v>
      </c>
      <c r="D161" s="23">
        <v>1800000</v>
      </c>
      <c r="E161" s="23" t="s">
        <v>332</v>
      </c>
      <c r="F161" s="23" t="str">
        <f t="shared" si="4"/>
        <v>rtdc.l.rtdc.4011:itc</v>
      </c>
      <c r="G161" s="8">
        <f t="shared" si="5"/>
        <v>42630.760636574072</v>
      </c>
    </row>
    <row r="162" spans="1:7" x14ac:dyDescent="0.25">
      <c r="A162" s="8">
        <v>42630.761620370373</v>
      </c>
      <c r="B162" s="23" t="s">
        <v>107</v>
      </c>
      <c r="C162" s="23" t="s">
        <v>555</v>
      </c>
      <c r="D162" s="23">
        <v>2110000</v>
      </c>
      <c r="E162" s="23" t="s">
        <v>241</v>
      </c>
      <c r="F162" s="23" t="str">
        <f t="shared" si="4"/>
        <v>rtdc.l.rtdc.4031:itc</v>
      </c>
      <c r="G162" s="8">
        <f t="shared" si="5"/>
        <v>42630.761620370373</v>
      </c>
    </row>
    <row r="163" spans="1:7" x14ac:dyDescent="0.25">
      <c r="A163" s="8">
        <v>42630.766770833332</v>
      </c>
      <c r="B163" s="23" t="s">
        <v>319</v>
      </c>
      <c r="C163" s="23" t="s">
        <v>556</v>
      </c>
      <c r="D163" s="23">
        <v>1300000</v>
      </c>
      <c r="E163" s="23" t="s">
        <v>122</v>
      </c>
      <c r="F163" s="23" t="str">
        <f t="shared" si="4"/>
        <v>rtdc.l.rtdc.4021:itc</v>
      </c>
      <c r="G163" s="8">
        <f t="shared" si="5"/>
        <v>42630.766770833332</v>
      </c>
    </row>
    <row r="164" spans="1:7" x14ac:dyDescent="0.25">
      <c r="A164" s="8">
        <v>42630.768379629626</v>
      </c>
      <c r="B164" s="23" t="s">
        <v>267</v>
      </c>
      <c r="C164" s="23" t="s">
        <v>557</v>
      </c>
      <c r="D164" s="23">
        <v>930000</v>
      </c>
      <c r="E164" s="23" t="s">
        <v>330</v>
      </c>
      <c r="F164" s="23" t="str">
        <f t="shared" si="4"/>
        <v>rtdc.l.rtdc.4054:itc</v>
      </c>
      <c r="G164" s="8">
        <f t="shared" si="5"/>
        <v>42630.768379629626</v>
      </c>
    </row>
    <row r="165" spans="1:7" x14ac:dyDescent="0.25">
      <c r="A165" s="8">
        <v>42630.771527777775</v>
      </c>
      <c r="B165" s="23" t="s">
        <v>402</v>
      </c>
      <c r="C165" s="23" t="s">
        <v>558</v>
      </c>
      <c r="D165" s="23">
        <v>1480000</v>
      </c>
      <c r="E165" s="23" t="s">
        <v>277</v>
      </c>
      <c r="F165" s="23" t="str">
        <f t="shared" si="4"/>
        <v>rtdc.l.rtdc.4040:itc</v>
      </c>
      <c r="G165" s="8">
        <f t="shared" si="5"/>
        <v>42630.771527777775</v>
      </c>
    </row>
    <row r="166" spans="1:7" x14ac:dyDescent="0.25">
      <c r="A166" s="8">
        <v>42630.775567129633</v>
      </c>
      <c r="B166" s="23" t="s">
        <v>177</v>
      </c>
      <c r="C166" s="23" t="s">
        <v>559</v>
      </c>
      <c r="D166" s="23">
        <v>1810000</v>
      </c>
      <c r="E166" s="23" t="s">
        <v>320</v>
      </c>
      <c r="F166" s="23" t="str">
        <f t="shared" si="4"/>
        <v>rtdc.l.rtdc.4041:itc</v>
      </c>
      <c r="G166" s="8">
        <f t="shared" si="5"/>
        <v>42630.775567129633</v>
      </c>
    </row>
    <row r="167" spans="1:7" x14ac:dyDescent="0.25">
      <c r="A167" s="8">
        <v>42630.776504629626</v>
      </c>
      <c r="B167" s="23" t="s">
        <v>315</v>
      </c>
      <c r="C167" s="23" t="s">
        <v>560</v>
      </c>
      <c r="D167" s="23">
        <v>2110000</v>
      </c>
      <c r="E167" s="23" t="s">
        <v>241</v>
      </c>
      <c r="F167" s="23" t="str">
        <f t="shared" si="4"/>
        <v>rtdc.l.rtdc.4032:itc</v>
      </c>
      <c r="G167" s="8">
        <f t="shared" si="5"/>
        <v>42630.776504629626</v>
      </c>
    </row>
    <row r="168" spans="1:7" x14ac:dyDescent="0.25">
      <c r="A168" s="8">
        <v>42630.779293981483</v>
      </c>
      <c r="B168" s="23" t="s">
        <v>426</v>
      </c>
      <c r="C168" s="23" t="s">
        <v>561</v>
      </c>
      <c r="D168" s="23">
        <v>2020000</v>
      </c>
      <c r="E168" s="23" t="s">
        <v>486</v>
      </c>
      <c r="F168" s="23" t="str">
        <f t="shared" si="4"/>
        <v>rtdc.l.rtdc.4027:itc</v>
      </c>
      <c r="G168" s="8">
        <f t="shared" si="5"/>
        <v>42630.779293981483</v>
      </c>
    </row>
    <row r="169" spans="1:7" x14ac:dyDescent="0.25">
      <c r="A169" s="8">
        <v>42630.779560185183</v>
      </c>
      <c r="B169" s="23" t="s">
        <v>271</v>
      </c>
      <c r="C169" s="23" t="s">
        <v>562</v>
      </c>
      <c r="D169" s="23">
        <v>2040000</v>
      </c>
      <c r="E169" s="23" t="s">
        <v>276</v>
      </c>
      <c r="F169" s="23" t="str">
        <f t="shared" si="4"/>
        <v>rtdc.l.rtdc.4022:itc</v>
      </c>
      <c r="G169" s="8">
        <f t="shared" si="5"/>
        <v>42630.779560185183</v>
      </c>
    </row>
    <row r="170" spans="1:7" x14ac:dyDescent="0.25">
      <c r="A170" s="8">
        <v>42630.78665509259</v>
      </c>
      <c r="B170" s="23" t="s">
        <v>316</v>
      </c>
      <c r="C170" s="23" t="s">
        <v>563</v>
      </c>
      <c r="D170" s="23">
        <v>2140000</v>
      </c>
      <c r="E170" s="23" t="s">
        <v>327</v>
      </c>
      <c r="F170" s="23" t="str">
        <f t="shared" si="4"/>
        <v>rtdc.l.rtdc.4045:itc</v>
      </c>
      <c r="G170" s="8">
        <f t="shared" si="5"/>
        <v>42630.78665509259</v>
      </c>
    </row>
    <row r="171" spans="1:7" x14ac:dyDescent="0.25">
      <c r="A171" s="8">
        <v>42630.787974537037</v>
      </c>
      <c r="B171" s="23" t="s">
        <v>172</v>
      </c>
      <c r="C171" s="23" t="s">
        <v>564</v>
      </c>
      <c r="D171" s="23">
        <v>1300000</v>
      </c>
      <c r="E171" s="23" t="s">
        <v>122</v>
      </c>
      <c r="F171" s="23" t="str">
        <f t="shared" si="4"/>
        <v>rtdc.l.rtdc.4025:itc</v>
      </c>
      <c r="G171" s="8">
        <f t="shared" si="5"/>
        <v>42630.787974537037</v>
      </c>
    </row>
    <row r="172" spans="1:7" x14ac:dyDescent="0.25">
      <c r="A172" s="8">
        <v>42630.791886574072</v>
      </c>
      <c r="B172" s="23" t="s">
        <v>321</v>
      </c>
      <c r="C172" s="23" t="s">
        <v>474</v>
      </c>
      <c r="D172" s="23">
        <v>1770000</v>
      </c>
      <c r="E172" s="23" t="s">
        <v>491</v>
      </c>
      <c r="F172" s="23" t="str">
        <f t="shared" si="4"/>
        <v>rtdc.l.rtdc.4006:itc</v>
      </c>
      <c r="G172" s="8">
        <f t="shared" si="5"/>
        <v>42630.791886574072</v>
      </c>
    </row>
    <row r="173" spans="1:7" x14ac:dyDescent="0.25">
      <c r="A173" s="8">
        <v>42630.799490740741</v>
      </c>
      <c r="B173" s="23" t="s">
        <v>431</v>
      </c>
      <c r="C173" s="23" t="s">
        <v>565</v>
      </c>
      <c r="D173" s="23">
        <v>1800000</v>
      </c>
      <c r="E173" s="23" t="s">
        <v>332</v>
      </c>
      <c r="F173" s="23" t="str">
        <f t="shared" si="4"/>
        <v>rtdc.l.rtdc.4012:itc</v>
      </c>
      <c r="G173" s="8">
        <f t="shared" si="5"/>
        <v>42630.799490740741</v>
      </c>
    </row>
    <row r="174" spans="1:7" x14ac:dyDescent="0.25">
      <c r="A174" s="8">
        <v>42630.803541666668</v>
      </c>
      <c r="B174" s="23" t="s">
        <v>409</v>
      </c>
      <c r="C174" s="23" t="s">
        <v>566</v>
      </c>
      <c r="D174" s="23">
        <v>930000</v>
      </c>
      <c r="E174" s="23" t="s">
        <v>330</v>
      </c>
      <c r="F174" s="23" t="str">
        <f t="shared" si="4"/>
        <v>rtdc.l.rtdc.4053:itc</v>
      </c>
      <c r="G174" s="8">
        <f t="shared" si="5"/>
        <v>42630.803541666668</v>
      </c>
    </row>
    <row r="175" spans="1:7" x14ac:dyDescent="0.25">
      <c r="A175" s="8">
        <v>42630.804236111115</v>
      </c>
      <c r="B175" s="23" t="s">
        <v>107</v>
      </c>
      <c r="C175" s="23" t="s">
        <v>567</v>
      </c>
      <c r="D175" s="23">
        <v>2110000</v>
      </c>
      <c r="E175" s="23" t="s">
        <v>241</v>
      </c>
      <c r="F175" s="23" t="str">
        <f t="shared" si="4"/>
        <v>rtdc.l.rtdc.4031:itc</v>
      </c>
      <c r="G175" s="8">
        <f t="shared" si="5"/>
        <v>42630.804236111115</v>
      </c>
    </row>
    <row r="176" spans="1:7" x14ac:dyDescent="0.25">
      <c r="A176" s="8">
        <v>42630.805347222224</v>
      </c>
      <c r="B176" s="23" t="s">
        <v>413</v>
      </c>
      <c r="C176" s="23" t="s">
        <v>568</v>
      </c>
      <c r="D176" s="23">
        <v>1480000</v>
      </c>
      <c r="E176" s="23" t="s">
        <v>277</v>
      </c>
      <c r="F176" s="23" t="str">
        <f t="shared" si="4"/>
        <v>rtdc.l.rtdc.4039:itc</v>
      </c>
      <c r="G176" s="8">
        <f t="shared" si="5"/>
        <v>42630.805347222224</v>
      </c>
    </row>
    <row r="177" spans="1:7" x14ac:dyDescent="0.25">
      <c r="A177" s="8">
        <v>42630.809988425928</v>
      </c>
      <c r="B177" s="23" t="s">
        <v>179</v>
      </c>
      <c r="C177" s="23" t="s">
        <v>569</v>
      </c>
      <c r="D177" s="23">
        <v>1810000</v>
      </c>
      <c r="E177" s="23" t="s">
        <v>320</v>
      </c>
      <c r="F177" s="23" t="str">
        <f t="shared" si="4"/>
        <v>rtdc.l.rtdc.4042:itc</v>
      </c>
      <c r="G177" s="8">
        <f t="shared" si="5"/>
        <v>42630.809988425928</v>
      </c>
    </row>
    <row r="178" spans="1:7" x14ac:dyDescent="0.25">
      <c r="A178" s="8">
        <v>42630.818414351852</v>
      </c>
      <c r="B178" s="23" t="s">
        <v>315</v>
      </c>
      <c r="C178" s="23" t="s">
        <v>570</v>
      </c>
      <c r="D178" s="23">
        <v>2110000</v>
      </c>
      <c r="E178" s="23" t="s">
        <v>241</v>
      </c>
      <c r="F178" s="23" t="str">
        <f t="shared" si="4"/>
        <v>rtdc.l.rtdc.4032:itc</v>
      </c>
      <c r="G178" s="8">
        <f t="shared" si="5"/>
        <v>42630.818414351852</v>
      </c>
    </row>
    <row r="179" spans="1:7" x14ac:dyDescent="0.25">
      <c r="A179" s="8">
        <v>42630.819710648146</v>
      </c>
      <c r="B179" s="23" t="s">
        <v>182</v>
      </c>
      <c r="C179" s="23" t="s">
        <v>571</v>
      </c>
      <c r="D179" s="23">
        <v>880000</v>
      </c>
      <c r="E179" s="23" t="s">
        <v>329</v>
      </c>
      <c r="F179" s="23" t="str">
        <f t="shared" si="4"/>
        <v>rtdc.l.rtdc.4046:itc</v>
      </c>
      <c r="G179" s="8">
        <f t="shared" si="5"/>
        <v>42630.819710648146</v>
      </c>
    </row>
    <row r="180" spans="1:7" x14ac:dyDescent="0.25">
      <c r="A180" s="8">
        <v>42630.827037037037</v>
      </c>
      <c r="B180" s="23" t="s">
        <v>173</v>
      </c>
      <c r="C180" s="23" t="s">
        <v>572</v>
      </c>
      <c r="D180" s="23">
        <v>1300000</v>
      </c>
      <c r="E180" s="23" t="s">
        <v>122</v>
      </c>
      <c r="F180" s="23" t="str">
        <f t="shared" si="4"/>
        <v>rtdc.l.rtdc.4026:itc</v>
      </c>
      <c r="G180" s="8">
        <f t="shared" si="5"/>
        <v>42630.827037037037</v>
      </c>
    </row>
    <row r="181" spans="1:7" x14ac:dyDescent="0.25">
      <c r="A181" s="8">
        <v>42630.832280092596</v>
      </c>
      <c r="B181" s="23" t="s">
        <v>399</v>
      </c>
      <c r="C181" s="23" t="s">
        <v>573</v>
      </c>
      <c r="D181" s="23">
        <v>1800000</v>
      </c>
      <c r="E181" s="23" t="s">
        <v>332</v>
      </c>
      <c r="F181" s="23" t="str">
        <f t="shared" si="4"/>
        <v>rtdc.l.rtdc.4011:itc</v>
      </c>
      <c r="G181" s="8">
        <f t="shared" si="5"/>
        <v>42630.832280092596</v>
      </c>
    </row>
    <row r="182" spans="1:7" x14ac:dyDescent="0.25">
      <c r="A182" s="8">
        <v>42630.839456018519</v>
      </c>
      <c r="B182" s="23" t="s">
        <v>177</v>
      </c>
      <c r="C182" s="23" t="s">
        <v>574</v>
      </c>
      <c r="D182" s="23">
        <v>1810000</v>
      </c>
      <c r="E182" s="23" t="s">
        <v>320</v>
      </c>
      <c r="F182" s="23" t="str">
        <f t="shared" si="4"/>
        <v>rtdc.l.rtdc.4041:itc</v>
      </c>
      <c r="G182" s="8">
        <f t="shared" si="5"/>
        <v>42630.839456018519</v>
      </c>
    </row>
    <row r="183" spans="1:7" x14ac:dyDescent="0.25">
      <c r="A183" s="8">
        <v>42630.843391203707</v>
      </c>
      <c r="B183" s="23" t="s">
        <v>107</v>
      </c>
      <c r="C183" s="23" t="s">
        <v>575</v>
      </c>
      <c r="D183" s="23">
        <v>2110000</v>
      </c>
      <c r="E183" s="23" t="s">
        <v>241</v>
      </c>
      <c r="F183" s="23" t="str">
        <f t="shared" si="4"/>
        <v>rtdc.l.rtdc.4031:itc</v>
      </c>
      <c r="G183" s="8">
        <f t="shared" si="5"/>
        <v>42630.843391203707</v>
      </c>
    </row>
    <row r="184" spans="1:7" x14ac:dyDescent="0.25">
      <c r="A184" s="8">
        <v>42630.850069444445</v>
      </c>
      <c r="B184" s="23" t="s">
        <v>402</v>
      </c>
      <c r="C184" s="23" t="s">
        <v>576</v>
      </c>
      <c r="D184" s="23">
        <v>1480000</v>
      </c>
      <c r="E184" s="23" t="s">
        <v>277</v>
      </c>
      <c r="F184" s="23" t="str">
        <f t="shared" si="4"/>
        <v>rtdc.l.rtdc.4040:itc</v>
      </c>
      <c r="G184" s="8">
        <f t="shared" si="5"/>
        <v>42630.850069444445</v>
      </c>
    </row>
    <row r="185" spans="1:7" x14ac:dyDescent="0.25">
      <c r="A185" s="8">
        <v>42630.859178240738</v>
      </c>
      <c r="B185" s="23" t="s">
        <v>315</v>
      </c>
      <c r="C185" s="23" t="s">
        <v>577</v>
      </c>
      <c r="D185" s="23">
        <v>2110000</v>
      </c>
      <c r="E185" s="23" t="s">
        <v>241</v>
      </c>
      <c r="F185" s="23" t="str">
        <f t="shared" si="4"/>
        <v>rtdc.l.rtdc.4032:itc</v>
      </c>
      <c r="G185" s="8">
        <f t="shared" si="5"/>
        <v>42630.859178240738</v>
      </c>
    </row>
    <row r="186" spans="1:7" x14ac:dyDescent="0.25">
      <c r="A186" s="8">
        <v>42630.87091435185</v>
      </c>
      <c r="B186" s="23" t="s">
        <v>172</v>
      </c>
      <c r="C186" s="23" t="s">
        <v>578</v>
      </c>
      <c r="D186" s="23">
        <v>1300000</v>
      </c>
      <c r="E186" s="23" t="s">
        <v>122</v>
      </c>
      <c r="F186" s="23" t="str">
        <f t="shared" si="4"/>
        <v>rtdc.l.rtdc.4025:itc</v>
      </c>
      <c r="G186" s="8">
        <f t="shared" si="5"/>
        <v>42630.87091435185</v>
      </c>
    </row>
    <row r="187" spans="1:7" x14ac:dyDescent="0.25">
      <c r="A187" s="8">
        <v>42630.871516203704</v>
      </c>
      <c r="B187" s="23" t="s">
        <v>431</v>
      </c>
      <c r="C187" s="23" t="s">
        <v>579</v>
      </c>
      <c r="D187" s="23">
        <v>1800000</v>
      </c>
      <c r="E187" s="23" t="s">
        <v>332</v>
      </c>
      <c r="F187" s="23" t="str">
        <f t="shared" si="4"/>
        <v>rtdc.l.rtdc.4012:itc</v>
      </c>
      <c r="G187" s="8">
        <f t="shared" si="5"/>
        <v>42630.871516203704</v>
      </c>
    </row>
    <row r="188" spans="1:7" x14ac:dyDescent="0.25">
      <c r="A188" s="8">
        <v>42630.885393518518</v>
      </c>
      <c r="B188" s="23" t="s">
        <v>107</v>
      </c>
      <c r="C188" s="23" t="s">
        <v>580</v>
      </c>
      <c r="D188" s="23">
        <v>2110000</v>
      </c>
      <c r="E188" s="23" t="s">
        <v>241</v>
      </c>
      <c r="F188" s="23" t="str">
        <f t="shared" si="4"/>
        <v>rtdc.l.rtdc.4031:itc</v>
      </c>
      <c r="G188" s="8">
        <f t="shared" si="5"/>
        <v>42630.885393518518</v>
      </c>
    </row>
    <row r="189" spans="1:7" x14ac:dyDescent="0.25">
      <c r="A189" s="8">
        <v>42630.887476851851</v>
      </c>
      <c r="B189" s="23" t="s">
        <v>413</v>
      </c>
      <c r="C189" s="23" t="s">
        <v>581</v>
      </c>
      <c r="D189" s="23">
        <v>1480000</v>
      </c>
      <c r="E189" s="23" t="s">
        <v>277</v>
      </c>
      <c r="F189" s="23" t="str">
        <f t="shared" si="4"/>
        <v>rtdc.l.rtdc.4039:itc</v>
      </c>
      <c r="G189" s="8">
        <f t="shared" si="5"/>
        <v>42630.887476851851</v>
      </c>
    </row>
    <row r="190" spans="1:7" x14ac:dyDescent="0.25">
      <c r="A190" s="8">
        <v>42630.890150462961</v>
      </c>
      <c r="B190" s="23" t="s">
        <v>179</v>
      </c>
      <c r="C190" s="23" t="s">
        <v>582</v>
      </c>
      <c r="D190" s="23">
        <v>1810000</v>
      </c>
      <c r="E190" s="23" t="s">
        <v>320</v>
      </c>
      <c r="F190" s="23" t="str">
        <f t="shared" si="4"/>
        <v>rtdc.l.rtdc.4042:itc</v>
      </c>
      <c r="G190" s="8">
        <f t="shared" si="5"/>
        <v>42630.890150462961</v>
      </c>
    </row>
    <row r="191" spans="1:7" x14ac:dyDescent="0.25">
      <c r="A191" s="8">
        <v>42630.901597222219</v>
      </c>
      <c r="B191" s="23" t="s">
        <v>315</v>
      </c>
      <c r="C191" s="23" t="s">
        <v>583</v>
      </c>
      <c r="D191" s="23">
        <v>2110000</v>
      </c>
      <c r="E191" s="23" t="s">
        <v>241</v>
      </c>
      <c r="F191" s="23" t="str">
        <f t="shared" si="4"/>
        <v>rtdc.l.rtdc.4032:itc</v>
      </c>
      <c r="G191" s="8">
        <f t="shared" si="5"/>
        <v>42630.901597222219</v>
      </c>
    </row>
    <row r="192" spans="1:7" x14ac:dyDescent="0.25">
      <c r="A192" s="8">
        <v>42630.905081018522</v>
      </c>
      <c r="B192" s="23" t="s">
        <v>413</v>
      </c>
      <c r="C192" s="23" t="s">
        <v>581</v>
      </c>
      <c r="D192" s="23">
        <v>1480000</v>
      </c>
      <c r="E192" s="23" t="s">
        <v>277</v>
      </c>
      <c r="F192" s="23" t="str">
        <f t="shared" si="4"/>
        <v>rtdc.l.rtdc.4039:itc</v>
      </c>
      <c r="G192" s="8">
        <f t="shared" si="5"/>
        <v>42630.905081018522</v>
      </c>
    </row>
    <row r="193" spans="1:7" x14ac:dyDescent="0.25">
      <c r="A193" s="8">
        <v>42630.910729166666</v>
      </c>
      <c r="B193" s="23" t="s">
        <v>173</v>
      </c>
      <c r="C193" s="23" t="s">
        <v>584</v>
      </c>
      <c r="D193" s="23">
        <v>1300000</v>
      </c>
      <c r="E193" s="23" t="s">
        <v>122</v>
      </c>
      <c r="F193" s="23" t="str">
        <f t="shared" si="4"/>
        <v>rtdc.l.rtdc.4026:itc</v>
      </c>
      <c r="G193" s="8">
        <f t="shared" si="5"/>
        <v>42630.910729166666</v>
      </c>
    </row>
    <row r="194" spans="1:7" x14ac:dyDescent="0.25">
      <c r="A194" s="8">
        <v>42630.915659722225</v>
      </c>
      <c r="B194" s="23" t="s">
        <v>399</v>
      </c>
      <c r="C194" s="23" t="s">
        <v>585</v>
      </c>
      <c r="D194" s="23">
        <v>1800000</v>
      </c>
      <c r="E194" s="23" t="s">
        <v>332</v>
      </c>
      <c r="F194" s="23" t="str">
        <f t="shared" ref="F194:F235" si="6">B194</f>
        <v>rtdc.l.rtdc.4011:itc</v>
      </c>
      <c r="G194" s="8">
        <f t="shared" ref="G194:G235" si="7">A194</f>
        <v>42630.915659722225</v>
      </c>
    </row>
    <row r="195" spans="1:7" x14ac:dyDescent="0.25">
      <c r="A195" s="8">
        <v>42630.926168981481</v>
      </c>
      <c r="B195" s="23" t="s">
        <v>177</v>
      </c>
      <c r="C195" s="23" t="s">
        <v>586</v>
      </c>
      <c r="D195" s="23">
        <v>1810000</v>
      </c>
      <c r="E195" s="23" t="s">
        <v>320</v>
      </c>
      <c r="F195" s="23" t="str">
        <f t="shared" si="6"/>
        <v>rtdc.l.rtdc.4041:itc</v>
      </c>
      <c r="G195" s="8">
        <f t="shared" si="7"/>
        <v>42630.926168981481</v>
      </c>
    </row>
    <row r="196" spans="1:7" x14ac:dyDescent="0.25">
      <c r="A196" s="8">
        <v>42630.927997685183</v>
      </c>
      <c r="B196" s="23" t="s">
        <v>107</v>
      </c>
      <c r="C196" s="23" t="s">
        <v>587</v>
      </c>
      <c r="D196" s="23">
        <v>2110000</v>
      </c>
      <c r="E196" s="23" t="s">
        <v>241</v>
      </c>
      <c r="F196" s="23" t="str">
        <f t="shared" si="6"/>
        <v>rtdc.l.rtdc.4031:itc</v>
      </c>
      <c r="G196" s="8">
        <f t="shared" si="7"/>
        <v>42630.927997685183</v>
      </c>
    </row>
    <row r="197" spans="1:7" x14ac:dyDescent="0.25">
      <c r="A197" s="8">
        <v>42630.933472222219</v>
      </c>
      <c r="B197" s="23" t="s">
        <v>402</v>
      </c>
      <c r="C197" s="23" t="s">
        <v>588</v>
      </c>
      <c r="D197" s="23">
        <v>1480000</v>
      </c>
      <c r="E197" s="23" t="s">
        <v>277</v>
      </c>
      <c r="F197" s="23" t="str">
        <f t="shared" si="6"/>
        <v>rtdc.l.rtdc.4040:itc</v>
      </c>
      <c r="G197" s="8">
        <f t="shared" si="7"/>
        <v>42630.933472222219</v>
      </c>
    </row>
    <row r="198" spans="1:7" x14ac:dyDescent="0.25">
      <c r="A198" s="8">
        <v>42630.943738425929</v>
      </c>
      <c r="B198" s="23" t="s">
        <v>315</v>
      </c>
      <c r="C198" s="23" t="s">
        <v>589</v>
      </c>
      <c r="D198" s="23">
        <v>2110000</v>
      </c>
      <c r="E198" s="23" t="s">
        <v>241</v>
      </c>
      <c r="F198" s="23" t="str">
        <f t="shared" si="6"/>
        <v>rtdc.l.rtdc.4032:itc</v>
      </c>
      <c r="G198" s="8">
        <f t="shared" si="7"/>
        <v>42630.943738425929</v>
      </c>
    </row>
    <row r="199" spans="1:7" x14ac:dyDescent="0.25">
      <c r="A199" s="8">
        <v>42630.953969907408</v>
      </c>
      <c r="B199" s="23" t="s">
        <v>172</v>
      </c>
      <c r="C199" s="23" t="s">
        <v>590</v>
      </c>
      <c r="D199" s="23">
        <v>1300000</v>
      </c>
      <c r="E199" s="23" t="s">
        <v>122</v>
      </c>
      <c r="F199" s="23" t="str">
        <f t="shared" si="6"/>
        <v>rtdc.l.rtdc.4025:itc</v>
      </c>
      <c r="G199" s="8">
        <f t="shared" si="7"/>
        <v>42630.953969907408</v>
      </c>
    </row>
    <row r="200" spans="1:7" x14ac:dyDescent="0.25">
      <c r="A200" s="8">
        <v>42630.954745370371</v>
      </c>
      <c r="B200" s="23" t="s">
        <v>431</v>
      </c>
      <c r="C200" s="23" t="s">
        <v>591</v>
      </c>
      <c r="D200" s="23">
        <v>1800000</v>
      </c>
      <c r="E200" s="23" t="s">
        <v>332</v>
      </c>
      <c r="F200" s="23" t="str">
        <f t="shared" si="6"/>
        <v>rtdc.l.rtdc.4012:itc</v>
      </c>
      <c r="G200" s="8">
        <f t="shared" si="7"/>
        <v>42630.954745370371</v>
      </c>
    </row>
    <row r="201" spans="1:7" x14ac:dyDescent="0.25">
      <c r="A201" s="8">
        <v>42630.968506944446</v>
      </c>
      <c r="B201" s="23" t="s">
        <v>179</v>
      </c>
      <c r="C201" s="23" t="s">
        <v>592</v>
      </c>
      <c r="D201" s="23">
        <v>1810000</v>
      </c>
      <c r="E201" s="23" t="s">
        <v>320</v>
      </c>
      <c r="F201" s="23" t="str">
        <f t="shared" si="6"/>
        <v>rtdc.l.rtdc.4042:itc</v>
      </c>
      <c r="G201" s="8">
        <f t="shared" si="7"/>
        <v>42630.968506944446</v>
      </c>
    </row>
    <row r="202" spans="1:7" x14ac:dyDescent="0.25">
      <c r="A202" s="29">
        <v>42630.970034722224</v>
      </c>
      <c r="B202" s="23" t="s">
        <v>413</v>
      </c>
      <c r="C202" s="23" t="s">
        <v>593</v>
      </c>
      <c r="D202" s="23">
        <v>1480000</v>
      </c>
      <c r="E202" s="23" t="s">
        <v>277</v>
      </c>
      <c r="F202" s="23" t="str">
        <f t="shared" si="6"/>
        <v>rtdc.l.rtdc.4039:itc</v>
      </c>
      <c r="G202" s="8">
        <f t="shared" si="7"/>
        <v>42630.970034722224</v>
      </c>
    </row>
    <row r="203" spans="1:7" x14ac:dyDescent="0.25">
      <c r="A203" s="8">
        <v>42630.994629629633</v>
      </c>
      <c r="B203" s="23" t="s">
        <v>173</v>
      </c>
      <c r="C203" s="23" t="s">
        <v>594</v>
      </c>
      <c r="D203" s="23">
        <v>1300000</v>
      </c>
      <c r="E203" s="23" t="s">
        <v>122</v>
      </c>
      <c r="F203" s="23" t="str">
        <f t="shared" si="6"/>
        <v>rtdc.l.rtdc.4026:itc</v>
      </c>
      <c r="G203" s="8">
        <f t="shared" si="7"/>
        <v>42630.994629629633</v>
      </c>
    </row>
    <row r="204" spans="1:7" x14ac:dyDescent="0.25">
      <c r="A204" s="8">
        <v>42630.99962962963</v>
      </c>
      <c r="B204" s="23" t="s">
        <v>399</v>
      </c>
      <c r="C204" s="23" t="s">
        <v>595</v>
      </c>
      <c r="D204" s="23">
        <v>1800000</v>
      </c>
      <c r="E204" s="23" t="s">
        <v>332</v>
      </c>
      <c r="F204" s="23" t="str">
        <f t="shared" si="6"/>
        <v>rtdc.l.rtdc.4011:itc</v>
      </c>
      <c r="G204" s="8">
        <f t="shared" si="7"/>
        <v>42630.99962962963</v>
      </c>
    </row>
    <row r="205" spans="1:7" x14ac:dyDescent="0.25">
      <c r="A205" s="8">
        <v>42631.006469907406</v>
      </c>
      <c r="B205" s="23" t="s">
        <v>177</v>
      </c>
      <c r="C205" s="23" t="s">
        <v>596</v>
      </c>
      <c r="D205" s="23">
        <v>1810000</v>
      </c>
      <c r="E205" s="23" t="s">
        <v>320</v>
      </c>
      <c r="F205" s="23" t="str">
        <f t="shared" si="6"/>
        <v>rtdc.l.rtdc.4041:itc</v>
      </c>
      <c r="G205" s="8">
        <f t="shared" si="7"/>
        <v>42631.006469907406</v>
      </c>
    </row>
    <row r="206" spans="1:7" x14ac:dyDescent="0.25">
      <c r="A206" s="8">
        <v>42631.0155787037</v>
      </c>
      <c r="B206" s="23" t="s">
        <v>402</v>
      </c>
      <c r="C206" s="23" t="s">
        <v>597</v>
      </c>
      <c r="D206" s="23">
        <v>1480000</v>
      </c>
      <c r="E206" s="23" t="s">
        <v>277</v>
      </c>
      <c r="F206" s="23" t="str">
        <f t="shared" si="6"/>
        <v>rtdc.l.rtdc.4040:itc</v>
      </c>
      <c r="G206" s="8">
        <f t="shared" si="7"/>
        <v>42631.0155787037</v>
      </c>
    </row>
    <row r="207" spans="1:7" x14ac:dyDescent="0.25">
      <c r="A207" s="8">
        <v>42631.037824074076</v>
      </c>
      <c r="B207" s="23" t="s">
        <v>172</v>
      </c>
      <c r="C207" s="23" t="s">
        <v>598</v>
      </c>
      <c r="D207" s="23">
        <v>1300000</v>
      </c>
      <c r="E207" s="23" t="s">
        <v>122</v>
      </c>
      <c r="F207" s="23" t="str">
        <f t="shared" si="6"/>
        <v>rtdc.l.rtdc.4025:itc</v>
      </c>
      <c r="G207" s="8">
        <f t="shared" si="7"/>
        <v>42631.037824074076</v>
      </c>
    </row>
    <row r="208" spans="1:7" x14ac:dyDescent="0.25">
      <c r="A208" s="8">
        <v>42631.038784722223</v>
      </c>
      <c r="B208" s="23" t="s">
        <v>431</v>
      </c>
      <c r="C208" s="23" t="s">
        <v>599</v>
      </c>
      <c r="D208" s="23">
        <v>1800000</v>
      </c>
      <c r="E208" s="23" t="s">
        <v>332</v>
      </c>
      <c r="F208" s="23" t="str">
        <f t="shared" si="6"/>
        <v>rtdc.l.rtdc.4012:itc</v>
      </c>
      <c r="G208" s="8">
        <f t="shared" si="7"/>
        <v>42631.038784722223</v>
      </c>
    </row>
    <row r="209" spans="1:7" x14ac:dyDescent="0.25">
      <c r="A209" s="8">
        <v>42631.039467592593</v>
      </c>
      <c r="B209" s="23" t="s">
        <v>172</v>
      </c>
      <c r="C209" s="23" t="s">
        <v>598</v>
      </c>
      <c r="D209" s="23">
        <v>1300000</v>
      </c>
      <c r="E209" s="23" t="s">
        <v>122</v>
      </c>
      <c r="F209" s="23" t="str">
        <f t="shared" si="6"/>
        <v>rtdc.l.rtdc.4025:itc</v>
      </c>
      <c r="G209" s="8">
        <f t="shared" si="7"/>
        <v>42631.039467592593</v>
      </c>
    </row>
    <row r="210" spans="1:7" x14ac:dyDescent="0.25">
      <c r="A210" s="8">
        <v>42631.048148148147</v>
      </c>
      <c r="B210" s="23" t="s">
        <v>172</v>
      </c>
      <c r="C210" s="23" t="s">
        <v>598</v>
      </c>
      <c r="D210" s="23">
        <v>1300000</v>
      </c>
      <c r="E210" s="23" t="s">
        <v>122</v>
      </c>
      <c r="F210" s="23" t="str">
        <f t="shared" si="6"/>
        <v>rtdc.l.rtdc.4025:itc</v>
      </c>
      <c r="G210" s="8">
        <f t="shared" si="7"/>
        <v>42631.048148148147</v>
      </c>
    </row>
    <row r="211" spans="1:7" x14ac:dyDescent="0.25">
      <c r="A211" s="8">
        <v>42631.052094907405</v>
      </c>
      <c r="B211" s="23" t="s">
        <v>172</v>
      </c>
      <c r="C211" s="23" t="s">
        <v>598</v>
      </c>
      <c r="D211" s="23">
        <v>1300000</v>
      </c>
      <c r="E211" s="23" t="s">
        <v>122</v>
      </c>
      <c r="F211" s="23" t="str">
        <f t="shared" si="6"/>
        <v>rtdc.l.rtdc.4025:itc</v>
      </c>
      <c r="G211" s="8">
        <f t="shared" si="7"/>
        <v>42631.052094907405</v>
      </c>
    </row>
    <row r="212" spans="1:7" x14ac:dyDescent="0.25">
      <c r="A212" s="8">
        <v>42631.053842592592</v>
      </c>
      <c r="B212" s="23" t="s">
        <v>413</v>
      </c>
      <c r="C212" s="23" t="s">
        <v>600</v>
      </c>
      <c r="D212" s="23">
        <v>1480000</v>
      </c>
      <c r="E212" s="23" t="s">
        <v>277</v>
      </c>
      <c r="F212" s="23" t="str">
        <f t="shared" si="6"/>
        <v>rtdc.l.rtdc.4039:itc</v>
      </c>
      <c r="G212" s="8">
        <f t="shared" si="7"/>
        <v>42631.053842592592</v>
      </c>
    </row>
    <row r="213" spans="1:7" x14ac:dyDescent="0.25">
      <c r="A213" s="8">
        <v>42631.075138888889</v>
      </c>
      <c r="B213" s="23" t="s">
        <v>399</v>
      </c>
      <c r="C213" s="23" t="s">
        <v>601</v>
      </c>
      <c r="D213" s="23">
        <v>1800000</v>
      </c>
      <c r="E213" s="23" t="s">
        <v>332</v>
      </c>
      <c r="F213" s="23" t="str">
        <f t="shared" si="6"/>
        <v>rtdc.l.rtdc.4011:itc</v>
      </c>
      <c r="G213" s="8">
        <f t="shared" si="7"/>
        <v>42631.075138888889</v>
      </c>
    </row>
    <row r="214" spans="1:7" x14ac:dyDescent="0.25">
      <c r="A214" s="8">
        <v>42631.076631944445</v>
      </c>
      <c r="B214" s="23" t="s">
        <v>173</v>
      </c>
      <c r="C214" s="23" t="s">
        <v>602</v>
      </c>
      <c r="D214" s="23">
        <v>1300000</v>
      </c>
      <c r="E214" s="23" t="s">
        <v>122</v>
      </c>
      <c r="F214" s="23" t="str">
        <f t="shared" si="6"/>
        <v>rtdc.l.rtdc.4026:itc</v>
      </c>
      <c r="G214" s="8">
        <f t="shared" si="7"/>
        <v>42631.076631944445</v>
      </c>
    </row>
    <row r="215" spans="1:7" x14ac:dyDescent="0.25">
      <c r="A215" s="8">
        <v>42631.091909722221</v>
      </c>
      <c r="B215" s="23" t="s">
        <v>402</v>
      </c>
      <c r="C215" s="23" t="s">
        <v>603</v>
      </c>
      <c r="D215" s="23">
        <v>1480000</v>
      </c>
      <c r="E215" s="23" t="s">
        <v>277</v>
      </c>
      <c r="F215" s="23" t="str">
        <f t="shared" si="6"/>
        <v>rtdc.l.rtdc.4040:itc</v>
      </c>
      <c r="G215" s="8">
        <f t="shared" si="7"/>
        <v>42631.091909722221</v>
      </c>
    </row>
    <row r="216" spans="1:7" x14ac:dyDescent="0.25">
      <c r="A216" s="8">
        <v>42631.111284722225</v>
      </c>
      <c r="B216" s="23" t="s">
        <v>179</v>
      </c>
      <c r="C216" s="23" t="s">
        <v>604</v>
      </c>
      <c r="D216" s="23">
        <v>1300000</v>
      </c>
      <c r="E216" s="23" t="s">
        <v>122</v>
      </c>
      <c r="F216" s="23" t="str">
        <f t="shared" si="6"/>
        <v>rtdc.l.rtdc.4042:itc</v>
      </c>
      <c r="G216" s="8">
        <f t="shared" si="7"/>
        <v>42631.111284722225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42629.930358796293</v>
      </c>
      <c r="B218" s="23" t="s">
        <v>328</v>
      </c>
      <c r="C218" s="23" t="s">
        <v>333</v>
      </c>
      <c r="D218" s="23">
        <v>1230000</v>
      </c>
      <c r="E218" s="23" t="s">
        <v>331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129</v>
      </c>
      <c r="C219" s="23" t="s">
        <v>334</v>
      </c>
      <c r="D219" s="23">
        <v>1480000</v>
      </c>
      <c r="E219" s="23" t="s">
        <v>277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246</v>
      </c>
      <c r="C220" s="23" t="s">
        <v>335</v>
      </c>
      <c r="D220" s="23">
        <v>1810000</v>
      </c>
      <c r="E220" s="23" t="s">
        <v>320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323</v>
      </c>
      <c r="C221" s="23" t="s">
        <v>336</v>
      </c>
      <c r="D221" s="23">
        <v>1300000</v>
      </c>
      <c r="E221" s="23" t="s">
        <v>122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275</v>
      </c>
      <c r="C222" s="23" t="s">
        <v>337</v>
      </c>
      <c r="D222" s="23">
        <v>1800000</v>
      </c>
      <c r="E222" s="23" t="s">
        <v>332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178</v>
      </c>
      <c r="C223" s="23" t="s">
        <v>338</v>
      </c>
      <c r="D223" s="23">
        <v>1480000</v>
      </c>
      <c r="E223" s="23" t="s">
        <v>277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324</v>
      </c>
      <c r="C224" t="s">
        <v>339</v>
      </c>
      <c r="D224">
        <v>1230000</v>
      </c>
      <c r="E224" t="s">
        <v>331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324</v>
      </c>
      <c r="C225" t="s">
        <v>339</v>
      </c>
      <c r="D225">
        <v>1230000</v>
      </c>
      <c r="E225" t="s">
        <v>331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326</v>
      </c>
      <c r="C226" t="s">
        <v>340</v>
      </c>
      <c r="D226">
        <v>1300000</v>
      </c>
      <c r="E226" t="s">
        <v>122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272</v>
      </c>
      <c r="C227" t="s">
        <v>341</v>
      </c>
      <c r="D227">
        <v>1800000</v>
      </c>
      <c r="E227" t="s">
        <v>332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178</v>
      </c>
      <c r="C228" t="s">
        <v>338</v>
      </c>
      <c r="D228">
        <v>1480000</v>
      </c>
      <c r="E228" t="s">
        <v>277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328</v>
      </c>
      <c r="C229" t="s">
        <v>342</v>
      </c>
      <c r="D229">
        <v>1230000</v>
      </c>
      <c r="E229" t="s">
        <v>331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129</v>
      </c>
      <c r="C230" t="s">
        <v>343</v>
      </c>
      <c r="D230">
        <v>1480000</v>
      </c>
      <c r="E230" t="s">
        <v>277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323</v>
      </c>
      <c r="C231" t="s">
        <v>344</v>
      </c>
      <c r="D231">
        <v>1300000</v>
      </c>
      <c r="E231" t="s">
        <v>122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275</v>
      </c>
      <c r="C232" t="s">
        <v>345</v>
      </c>
      <c r="D232">
        <v>1800000</v>
      </c>
      <c r="E232" t="s">
        <v>332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324</v>
      </c>
      <c r="C233" t="s">
        <v>346</v>
      </c>
      <c r="D233">
        <v>1230000</v>
      </c>
      <c r="E233" t="s">
        <v>331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178</v>
      </c>
      <c r="C234" t="s">
        <v>347</v>
      </c>
      <c r="D234">
        <v>1480000</v>
      </c>
      <c r="E234" t="s">
        <v>277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326</v>
      </c>
      <c r="C235" t="s">
        <v>348</v>
      </c>
      <c r="D235">
        <v>1300000</v>
      </c>
      <c r="E235" t="s">
        <v>122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272</v>
      </c>
      <c r="C236" t="s">
        <v>349</v>
      </c>
      <c r="D236">
        <v>1800000</v>
      </c>
      <c r="E236" t="s">
        <v>332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129</v>
      </c>
      <c r="C237" t="s">
        <v>350</v>
      </c>
      <c r="D237">
        <v>1480000</v>
      </c>
      <c r="E237" t="s">
        <v>277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323</v>
      </c>
      <c r="C238" t="s">
        <v>351</v>
      </c>
      <c r="D238">
        <v>1300000</v>
      </c>
      <c r="E238" t="s">
        <v>122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165</v>
      </c>
      <c r="C240" t="s">
        <v>184</v>
      </c>
      <c r="D240">
        <v>1300000</v>
      </c>
      <c r="E240" t="s">
        <v>122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129</v>
      </c>
      <c r="C241" t="s">
        <v>185</v>
      </c>
      <c r="D241">
        <v>2260000</v>
      </c>
      <c r="E241" t="s">
        <v>131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177</v>
      </c>
      <c r="C242" t="s">
        <v>186</v>
      </c>
      <c r="D242">
        <v>1200000</v>
      </c>
      <c r="E242" t="s">
        <v>183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172</v>
      </c>
      <c r="C243" t="s">
        <v>187</v>
      </c>
      <c r="D243">
        <v>2000000</v>
      </c>
      <c r="E243" t="s">
        <v>123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166</v>
      </c>
      <c r="C244" t="s">
        <v>188</v>
      </c>
      <c r="D244">
        <v>1300000</v>
      </c>
      <c r="E244" t="s">
        <v>122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178</v>
      </c>
      <c r="C245" t="s">
        <v>189</v>
      </c>
      <c r="D245">
        <v>2260000</v>
      </c>
      <c r="E245" t="s">
        <v>131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173</v>
      </c>
      <c r="C246" t="s">
        <v>190</v>
      </c>
      <c r="D246">
        <v>2000000</v>
      </c>
      <c r="E246" t="s">
        <v>123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179</v>
      </c>
      <c r="C247" t="s">
        <v>191</v>
      </c>
      <c r="D247">
        <v>1290000</v>
      </c>
      <c r="E247" t="s">
        <v>174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129</v>
      </c>
      <c r="C248" t="s">
        <v>192</v>
      </c>
      <c r="D248">
        <v>2260000</v>
      </c>
      <c r="E248" t="s">
        <v>131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129</v>
      </c>
      <c r="C249" t="s">
        <v>192</v>
      </c>
      <c r="D249">
        <v>2260000</v>
      </c>
      <c r="E249" t="s">
        <v>131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165</v>
      </c>
      <c r="C250" t="s">
        <v>193</v>
      </c>
      <c r="D250">
        <v>1300000</v>
      </c>
      <c r="E250" t="s">
        <v>122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129</v>
      </c>
      <c r="C251" t="s">
        <v>192</v>
      </c>
      <c r="D251">
        <v>2260000</v>
      </c>
      <c r="E251" t="s">
        <v>131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175</v>
      </c>
      <c r="C252" t="s">
        <v>194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172</v>
      </c>
      <c r="C253" t="s">
        <v>190</v>
      </c>
      <c r="D253">
        <v>2000000</v>
      </c>
      <c r="E253" t="s">
        <v>123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177</v>
      </c>
      <c r="C254" t="s">
        <v>195</v>
      </c>
      <c r="D254">
        <v>1290000</v>
      </c>
      <c r="E254" t="s">
        <v>174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176</v>
      </c>
      <c r="C255" t="s">
        <v>196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175</v>
      </c>
      <c r="C256" t="s">
        <v>194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182</v>
      </c>
      <c r="C257" t="s">
        <v>197</v>
      </c>
      <c r="D257">
        <v>1290000</v>
      </c>
      <c r="E257" t="s">
        <v>174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176</v>
      </c>
      <c r="C258" t="s">
        <v>196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206</v>
      </c>
      <c r="B1" s="155" t="s">
        <v>209</v>
      </c>
      <c r="C1" s="155" t="s">
        <v>202</v>
      </c>
      <c r="D1" s="155" t="s">
        <v>240</v>
      </c>
      <c r="E1" s="155" t="s">
        <v>203</v>
      </c>
      <c r="F1" s="155" t="s">
        <v>201</v>
      </c>
      <c r="G1" s="155" t="s">
        <v>199</v>
      </c>
      <c r="H1" s="155" t="s">
        <v>212</v>
      </c>
      <c r="I1" s="155" t="s">
        <v>213</v>
      </c>
      <c r="J1" s="155" t="s">
        <v>252</v>
      </c>
      <c r="K1" s="155" t="s">
        <v>207</v>
      </c>
      <c r="L1" s="155" t="s">
        <v>205</v>
      </c>
      <c r="M1" s="155" t="s">
        <v>200</v>
      </c>
      <c r="N1" s="155" t="s">
        <v>210</v>
      </c>
      <c r="O1" s="155" t="s">
        <v>204</v>
      </c>
      <c r="P1" s="155" t="s">
        <v>211</v>
      </c>
      <c r="Q1" s="155" t="s">
        <v>208</v>
      </c>
    </row>
    <row r="2" spans="1:17" x14ac:dyDescent="0.25">
      <c r="A2" s="154">
        <v>55.75</v>
      </c>
      <c r="B2" s="154">
        <v>0.12</v>
      </c>
      <c r="C2" s="154">
        <v>45.32</v>
      </c>
      <c r="D2" s="169">
        <v>42630</v>
      </c>
      <c r="E2" s="154">
        <v>0.68</v>
      </c>
      <c r="F2" s="154" t="s">
        <v>288</v>
      </c>
      <c r="G2" s="154">
        <v>292.06</v>
      </c>
      <c r="H2" s="154">
        <v>2.3999999999999998E-3</v>
      </c>
      <c r="I2" s="154">
        <v>0.06</v>
      </c>
      <c r="J2" s="154" t="s">
        <v>253</v>
      </c>
      <c r="K2" s="154">
        <v>1019.15</v>
      </c>
      <c r="L2" s="154" t="s">
        <v>289</v>
      </c>
      <c r="M2" s="154">
        <v>55.75</v>
      </c>
      <c r="N2" s="154">
        <v>1474092000</v>
      </c>
      <c r="O2" s="154">
        <v>8.34</v>
      </c>
      <c r="P2" s="154">
        <v>177</v>
      </c>
      <c r="Q2" s="154">
        <v>0.61</v>
      </c>
    </row>
    <row r="3" spans="1:17" x14ac:dyDescent="0.25">
      <c r="A3" s="154">
        <v>54.66</v>
      </c>
      <c r="B3" s="154">
        <v>0.08</v>
      </c>
      <c r="C3" s="154">
        <v>44.79</v>
      </c>
      <c r="D3" s="169">
        <v>42630.041666666664</v>
      </c>
      <c r="E3" s="154">
        <v>0.69</v>
      </c>
      <c r="F3" s="154" t="s">
        <v>288</v>
      </c>
      <c r="G3" s="154">
        <v>291.58999999999997</v>
      </c>
      <c r="H3" s="154">
        <v>1.6000000000000001E-3</v>
      </c>
      <c r="I3" s="154">
        <v>0.03</v>
      </c>
      <c r="J3" s="154" t="s">
        <v>253</v>
      </c>
      <c r="K3" s="154">
        <v>1019.19</v>
      </c>
      <c r="L3" s="154" t="s">
        <v>289</v>
      </c>
      <c r="M3" s="154">
        <v>54.66</v>
      </c>
      <c r="N3" s="154">
        <v>1474095600</v>
      </c>
      <c r="O3" s="154">
        <v>8.51</v>
      </c>
      <c r="P3" s="154">
        <v>161</v>
      </c>
      <c r="Q3" s="154">
        <v>0.95</v>
      </c>
    </row>
    <row r="4" spans="1:17" x14ac:dyDescent="0.25">
      <c r="A4" s="154">
        <v>53.35</v>
      </c>
      <c r="B4" s="154">
        <v>0.05</v>
      </c>
      <c r="C4" s="154">
        <v>44.77</v>
      </c>
      <c r="D4" s="169">
        <v>42630.083333333336</v>
      </c>
      <c r="E4" s="154">
        <v>0.73</v>
      </c>
      <c r="F4" s="154" t="s">
        <v>288</v>
      </c>
      <c r="G4" s="154">
        <v>291.12</v>
      </c>
      <c r="H4" s="154">
        <v>8.9999999999999998E-4</v>
      </c>
      <c r="I4" s="154">
        <v>0.01</v>
      </c>
      <c r="J4" s="154" t="s">
        <v>253</v>
      </c>
      <c r="K4" s="154">
        <v>1019.23</v>
      </c>
      <c r="L4" s="154" t="s">
        <v>289</v>
      </c>
      <c r="M4" s="154">
        <v>53.35</v>
      </c>
      <c r="N4" s="154">
        <v>1474099200</v>
      </c>
      <c r="O4" s="154">
        <v>8.5299999999999994</v>
      </c>
      <c r="P4" s="154">
        <v>173</v>
      </c>
      <c r="Q4" s="154">
        <v>1.58</v>
      </c>
    </row>
    <row r="5" spans="1:17" x14ac:dyDescent="0.25">
      <c r="A5" s="154">
        <v>51.2</v>
      </c>
      <c r="B5" s="154">
        <v>0.02</v>
      </c>
      <c r="C5" s="154">
        <v>43.56</v>
      </c>
      <c r="D5" s="169">
        <v>42630.125</v>
      </c>
      <c r="E5" s="154">
        <v>0.75</v>
      </c>
      <c r="F5" s="154" t="s">
        <v>288</v>
      </c>
      <c r="G5" s="154">
        <v>290.66000000000003</v>
      </c>
      <c r="H5" s="154">
        <v>0</v>
      </c>
      <c r="I5" s="154">
        <v>0</v>
      </c>
      <c r="K5" s="154">
        <v>1019.26</v>
      </c>
      <c r="L5" s="154" t="s">
        <v>289</v>
      </c>
      <c r="M5" s="154">
        <v>51.2</v>
      </c>
      <c r="N5" s="154">
        <v>1474102800</v>
      </c>
      <c r="O5" s="154">
        <v>8.34</v>
      </c>
      <c r="P5" s="154">
        <v>182</v>
      </c>
      <c r="Q5" s="154">
        <v>1.84</v>
      </c>
    </row>
    <row r="6" spans="1:17" x14ac:dyDescent="0.25">
      <c r="A6" s="154">
        <v>50.04</v>
      </c>
      <c r="B6" s="154">
        <v>0.03</v>
      </c>
      <c r="C6" s="154">
        <v>42.57</v>
      </c>
      <c r="D6" s="169">
        <v>42630.166666666664</v>
      </c>
      <c r="E6" s="154">
        <v>0.75</v>
      </c>
      <c r="F6" s="154" t="s">
        <v>288</v>
      </c>
      <c r="G6" s="154">
        <v>291.06</v>
      </c>
      <c r="H6" s="154">
        <v>0</v>
      </c>
      <c r="I6" s="154">
        <v>0</v>
      </c>
      <c r="K6" s="154">
        <v>1018.92</v>
      </c>
      <c r="L6" s="154" t="s">
        <v>289</v>
      </c>
      <c r="M6" s="154">
        <v>50.04</v>
      </c>
      <c r="N6" s="154">
        <v>1474106400</v>
      </c>
      <c r="O6" s="154">
        <v>8.51</v>
      </c>
      <c r="P6" s="154">
        <v>207</v>
      </c>
      <c r="Q6" s="154">
        <v>2.68</v>
      </c>
    </row>
    <row r="7" spans="1:17" x14ac:dyDescent="0.25">
      <c r="A7" s="154">
        <v>48.68</v>
      </c>
      <c r="B7" s="154">
        <v>0.05</v>
      </c>
      <c r="C7" s="154">
        <v>41.32</v>
      </c>
      <c r="D7" s="169">
        <v>42630.208333333336</v>
      </c>
      <c r="E7" s="154">
        <v>0.73</v>
      </c>
      <c r="F7" s="154" t="s">
        <v>288</v>
      </c>
      <c r="G7" s="154">
        <v>291.88</v>
      </c>
      <c r="H7" s="154">
        <v>0</v>
      </c>
      <c r="I7" s="154">
        <v>0</v>
      </c>
      <c r="K7" s="154">
        <v>1018.34</v>
      </c>
      <c r="L7" s="154" t="s">
        <v>289</v>
      </c>
      <c r="M7" s="154">
        <v>49.48</v>
      </c>
      <c r="N7" s="154">
        <v>1474110000</v>
      </c>
      <c r="O7" s="154">
        <v>8.27</v>
      </c>
      <c r="P7" s="154">
        <v>204</v>
      </c>
      <c r="Q7" s="154">
        <v>3.47</v>
      </c>
    </row>
    <row r="8" spans="1:17" x14ac:dyDescent="0.25">
      <c r="A8" s="154">
        <v>50.49</v>
      </c>
      <c r="B8" s="154">
        <v>0.12</v>
      </c>
      <c r="C8" s="154">
        <v>41.81</v>
      </c>
      <c r="D8" s="169">
        <v>42630.25</v>
      </c>
      <c r="E8" s="154">
        <v>0.72</v>
      </c>
      <c r="F8" s="154" t="s">
        <v>288</v>
      </c>
      <c r="G8" s="154">
        <v>293.02999999999997</v>
      </c>
      <c r="H8" s="154">
        <v>0</v>
      </c>
      <c r="I8" s="154">
        <v>0</v>
      </c>
      <c r="K8" s="154">
        <v>1017.9</v>
      </c>
      <c r="L8" s="154" t="s">
        <v>289</v>
      </c>
      <c r="M8" s="154">
        <v>50.49</v>
      </c>
      <c r="N8" s="154">
        <v>1474113600</v>
      </c>
      <c r="O8" s="154">
        <v>7.45</v>
      </c>
      <c r="P8" s="154">
        <v>234</v>
      </c>
      <c r="Q8" s="154">
        <v>2.65</v>
      </c>
    </row>
    <row r="9" spans="1:17" x14ac:dyDescent="0.25">
      <c r="A9" s="154">
        <v>50.43</v>
      </c>
      <c r="B9" s="154">
        <v>0.14000000000000001</v>
      </c>
      <c r="C9" s="154">
        <v>40.21</v>
      </c>
      <c r="D9" s="169">
        <v>42630.291666666664</v>
      </c>
      <c r="E9" s="154">
        <v>0.68</v>
      </c>
      <c r="F9" s="154" t="s">
        <v>322</v>
      </c>
      <c r="G9" s="154">
        <v>294.94</v>
      </c>
      <c r="H9" s="154">
        <v>0</v>
      </c>
      <c r="I9" s="154">
        <v>0</v>
      </c>
      <c r="K9" s="154">
        <v>1017.81</v>
      </c>
      <c r="L9" s="154" t="s">
        <v>289</v>
      </c>
      <c r="M9" s="154">
        <v>50.43</v>
      </c>
      <c r="N9" s="154">
        <v>1474117200</v>
      </c>
      <c r="O9" s="154">
        <v>6.87</v>
      </c>
      <c r="P9" s="154">
        <v>263</v>
      </c>
      <c r="Q9" s="154">
        <v>2.54</v>
      </c>
    </row>
    <row r="10" spans="1:17" x14ac:dyDescent="0.25">
      <c r="A10" s="154">
        <v>53.76</v>
      </c>
      <c r="B10" s="154">
        <v>0.14000000000000001</v>
      </c>
      <c r="C10" s="154">
        <v>41.08</v>
      </c>
      <c r="D10" s="169">
        <v>42630.333333333336</v>
      </c>
      <c r="E10" s="154">
        <v>0.62</v>
      </c>
      <c r="F10" s="154" t="s">
        <v>322</v>
      </c>
      <c r="G10" s="154">
        <v>297.17</v>
      </c>
      <c r="H10" s="154">
        <v>0</v>
      </c>
      <c r="I10" s="154">
        <v>0</v>
      </c>
      <c r="K10" s="154">
        <v>1017.88</v>
      </c>
      <c r="L10" s="154" t="s">
        <v>289</v>
      </c>
      <c r="M10" s="154">
        <v>53.76</v>
      </c>
      <c r="N10" s="154">
        <v>1474120800</v>
      </c>
      <c r="O10" s="154">
        <v>6.55</v>
      </c>
      <c r="P10" s="154">
        <v>273</v>
      </c>
      <c r="Q10" s="154">
        <v>2.4300000000000002</v>
      </c>
    </row>
    <row r="11" spans="1:17" x14ac:dyDescent="0.25">
      <c r="A11" s="154">
        <v>58.97</v>
      </c>
      <c r="B11" s="154">
        <v>0.17</v>
      </c>
      <c r="C11" s="154">
        <v>41.24</v>
      </c>
      <c r="D11" s="169">
        <v>42630.375</v>
      </c>
      <c r="E11" s="154">
        <v>0.52</v>
      </c>
      <c r="F11" s="154" t="s">
        <v>322</v>
      </c>
      <c r="G11" s="154">
        <v>298.33999999999997</v>
      </c>
      <c r="H11" s="154">
        <v>0</v>
      </c>
      <c r="I11" s="154">
        <v>0</v>
      </c>
      <c r="K11" s="154">
        <v>1017.7</v>
      </c>
      <c r="L11" s="154" t="s">
        <v>289</v>
      </c>
      <c r="M11" s="154">
        <v>58.97</v>
      </c>
      <c r="N11" s="154">
        <v>1474124400</v>
      </c>
      <c r="O11" s="154">
        <v>6.16</v>
      </c>
      <c r="P11" s="154">
        <v>261</v>
      </c>
      <c r="Q11" s="154">
        <v>1.78</v>
      </c>
    </row>
    <row r="12" spans="1:17" x14ac:dyDescent="0.25">
      <c r="A12" s="154">
        <v>63.82</v>
      </c>
      <c r="B12" s="154">
        <v>0.17</v>
      </c>
      <c r="C12" s="154">
        <v>41.62</v>
      </c>
      <c r="D12" s="169">
        <v>42630.416666666664</v>
      </c>
      <c r="E12" s="154">
        <v>0.44</v>
      </c>
      <c r="F12" s="154" t="s">
        <v>322</v>
      </c>
      <c r="G12" s="154">
        <v>297.56</v>
      </c>
      <c r="H12" s="154">
        <v>0</v>
      </c>
      <c r="I12" s="154">
        <v>0</v>
      </c>
      <c r="K12" s="154">
        <v>1016.93</v>
      </c>
      <c r="L12" s="154" t="s">
        <v>289</v>
      </c>
      <c r="M12" s="154">
        <v>63.82</v>
      </c>
      <c r="N12" s="154">
        <v>1474128000</v>
      </c>
      <c r="O12" s="154">
        <v>5.24</v>
      </c>
      <c r="P12" s="154">
        <v>310</v>
      </c>
      <c r="Q12" s="154">
        <v>2</v>
      </c>
    </row>
    <row r="13" spans="1:17" x14ac:dyDescent="0.25">
      <c r="A13" s="154">
        <v>67.2</v>
      </c>
      <c r="B13" s="154">
        <v>0.19</v>
      </c>
      <c r="C13" s="154">
        <v>40.92</v>
      </c>
      <c r="D13" s="169">
        <v>42630.458333333336</v>
      </c>
      <c r="E13" s="154">
        <v>0.38</v>
      </c>
      <c r="F13" s="154" t="s">
        <v>322</v>
      </c>
      <c r="G13" s="154">
        <v>295.72000000000003</v>
      </c>
      <c r="H13" s="154">
        <v>0</v>
      </c>
      <c r="I13" s="154">
        <v>0</v>
      </c>
      <c r="K13" s="154">
        <v>1015.99</v>
      </c>
      <c r="L13" s="154" t="s">
        <v>289</v>
      </c>
      <c r="M13" s="154">
        <v>67.2</v>
      </c>
      <c r="N13" s="154">
        <v>1474131600</v>
      </c>
      <c r="O13" s="154">
        <v>4.76</v>
      </c>
      <c r="P13" s="154">
        <v>37</v>
      </c>
      <c r="Q13" s="154">
        <v>1.51</v>
      </c>
    </row>
    <row r="14" spans="1:17" x14ac:dyDescent="0.25">
      <c r="A14" s="154">
        <v>71.91</v>
      </c>
      <c r="B14" s="154">
        <v>0.18</v>
      </c>
      <c r="C14" s="154">
        <v>38.56</v>
      </c>
      <c r="D14" s="169">
        <v>42630.5</v>
      </c>
      <c r="E14" s="154">
        <v>0.3</v>
      </c>
      <c r="F14" s="154" t="s">
        <v>322</v>
      </c>
      <c r="G14" s="154">
        <v>294.01</v>
      </c>
      <c r="H14" s="154">
        <v>0</v>
      </c>
      <c r="I14" s="154">
        <v>0</v>
      </c>
      <c r="K14" s="154">
        <v>1015.16</v>
      </c>
      <c r="L14" s="154" t="s">
        <v>289</v>
      </c>
      <c r="M14" s="154">
        <v>71.91</v>
      </c>
      <c r="N14" s="154">
        <v>1474135200</v>
      </c>
      <c r="O14" s="154">
        <v>4.9800000000000004</v>
      </c>
      <c r="P14" s="154">
        <v>32</v>
      </c>
      <c r="Q14" s="154">
        <v>2.93</v>
      </c>
    </row>
    <row r="15" spans="1:17" x14ac:dyDescent="0.25">
      <c r="A15" s="154">
        <v>74.56</v>
      </c>
      <c r="B15" s="154">
        <v>0.21</v>
      </c>
      <c r="C15" s="154">
        <v>37.64</v>
      </c>
      <c r="D15" s="169">
        <v>42630.541666666664</v>
      </c>
      <c r="E15" s="154">
        <v>0.26</v>
      </c>
      <c r="F15" s="154" t="s">
        <v>322</v>
      </c>
      <c r="G15" s="154">
        <v>292.89</v>
      </c>
      <c r="H15" s="154">
        <v>0</v>
      </c>
      <c r="I15" s="154">
        <v>0</v>
      </c>
      <c r="K15" s="154">
        <v>1014.54</v>
      </c>
      <c r="L15" s="154" t="s">
        <v>289</v>
      </c>
      <c r="M15" s="154">
        <v>74.56</v>
      </c>
      <c r="N15" s="154">
        <v>1474138800</v>
      </c>
      <c r="O15" s="154">
        <v>5.1100000000000003</v>
      </c>
      <c r="P15" s="154">
        <v>26</v>
      </c>
      <c r="Q15" s="154">
        <v>2.48</v>
      </c>
    </row>
    <row r="16" spans="1:17" x14ac:dyDescent="0.25">
      <c r="A16" s="154">
        <v>75.75</v>
      </c>
      <c r="B16" s="154">
        <v>0.22</v>
      </c>
      <c r="C16" s="154">
        <v>35.47</v>
      </c>
      <c r="D16" s="169">
        <v>42630.583333333336</v>
      </c>
      <c r="E16" s="154">
        <v>0.23</v>
      </c>
      <c r="F16" s="154" t="s">
        <v>322</v>
      </c>
      <c r="G16" s="154">
        <v>291.91000000000003</v>
      </c>
      <c r="H16" s="154">
        <v>0</v>
      </c>
      <c r="I16" s="154">
        <v>0</v>
      </c>
      <c r="K16" s="154">
        <v>1014.02</v>
      </c>
      <c r="L16" s="154" t="s">
        <v>289</v>
      </c>
      <c r="M16" s="154">
        <v>75.75</v>
      </c>
      <c r="N16" s="154">
        <v>1474142400</v>
      </c>
      <c r="O16" s="154">
        <v>5.19</v>
      </c>
      <c r="P16" s="154">
        <v>19</v>
      </c>
      <c r="Q16" s="154">
        <v>1.1100000000000001</v>
      </c>
    </row>
    <row r="17" spans="1:17" x14ac:dyDescent="0.25">
      <c r="A17" s="154">
        <v>76.98</v>
      </c>
      <c r="B17" s="154">
        <v>0.22</v>
      </c>
      <c r="C17" s="154">
        <v>33.42</v>
      </c>
      <c r="D17" s="169">
        <v>42630.625</v>
      </c>
      <c r="E17" s="154">
        <v>0.2</v>
      </c>
      <c r="F17" s="154" t="s">
        <v>322</v>
      </c>
      <c r="G17" s="154">
        <v>290.85000000000002</v>
      </c>
      <c r="H17" s="154">
        <v>0</v>
      </c>
      <c r="I17" s="154">
        <v>0</v>
      </c>
      <c r="K17" s="154">
        <v>1013.49</v>
      </c>
      <c r="L17" s="154" t="s">
        <v>289</v>
      </c>
      <c r="M17" s="154">
        <v>76.98</v>
      </c>
      <c r="N17" s="154">
        <v>1474146000</v>
      </c>
      <c r="O17" s="154">
        <v>5.22</v>
      </c>
      <c r="P17" s="154">
        <v>1</v>
      </c>
      <c r="Q17" s="154">
        <v>1.1200000000000001</v>
      </c>
    </row>
    <row r="18" spans="1:17" x14ac:dyDescent="0.25">
      <c r="A18" s="154">
        <v>77.42</v>
      </c>
      <c r="B18" s="154">
        <v>0.25</v>
      </c>
      <c r="C18" s="154">
        <v>32.99</v>
      </c>
      <c r="D18" s="169">
        <v>42630.666666666664</v>
      </c>
      <c r="E18" s="154">
        <v>0.2</v>
      </c>
      <c r="F18" s="154" t="s">
        <v>393</v>
      </c>
      <c r="G18" s="154">
        <v>289.58</v>
      </c>
      <c r="H18" s="154">
        <v>0</v>
      </c>
      <c r="I18" s="154">
        <v>0</v>
      </c>
      <c r="K18" s="154">
        <v>1012.51</v>
      </c>
      <c r="L18" s="154" t="s">
        <v>198</v>
      </c>
      <c r="M18" s="154">
        <v>77.42</v>
      </c>
      <c r="N18" s="154">
        <v>1474149600</v>
      </c>
      <c r="O18" s="154">
        <v>5.29</v>
      </c>
      <c r="P18" s="154">
        <v>24</v>
      </c>
      <c r="Q18" s="154">
        <v>2.41</v>
      </c>
    </row>
    <row r="19" spans="1:17" x14ac:dyDescent="0.25">
      <c r="A19" s="154">
        <v>77.790000000000006</v>
      </c>
      <c r="B19" s="154">
        <v>0.22</v>
      </c>
      <c r="C19" s="154">
        <v>33.21</v>
      </c>
      <c r="D19" s="169">
        <v>42630.708333333336</v>
      </c>
      <c r="E19" s="154">
        <v>0.2</v>
      </c>
      <c r="F19" s="154" t="s">
        <v>322</v>
      </c>
      <c r="G19" s="154">
        <v>288.24</v>
      </c>
      <c r="H19" s="154">
        <v>0</v>
      </c>
      <c r="I19" s="154">
        <v>0</v>
      </c>
      <c r="K19" s="154">
        <v>1011.63</v>
      </c>
      <c r="L19" s="154" t="s">
        <v>289</v>
      </c>
      <c r="M19" s="154">
        <v>77.790000000000006</v>
      </c>
      <c r="N19" s="154">
        <v>1474153200</v>
      </c>
      <c r="O19" s="154">
        <v>7.71</v>
      </c>
      <c r="P19" s="154">
        <v>9</v>
      </c>
      <c r="Q19" s="154">
        <v>3.14</v>
      </c>
    </row>
    <row r="20" spans="1:17" x14ac:dyDescent="0.25">
      <c r="A20" s="154">
        <v>74.819999999999993</v>
      </c>
      <c r="B20" s="154">
        <v>0.14000000000000001</v>
      </c>
      <c r="C20" s="154">
        <v>31.99</v>
      </c>
      <c r="D20" s="169">
        <v>42630.75</v>
      </c>
      <c r="E20" s="154">
        <v>0.21</v>
      </c>
      <c r="F20" s="154" t="s">
        <v>322</v>
      </c>
      <c r="G20" s="154">
        <v>287</v>
      </c>
      <c r="H20" s="154">
        <v>0</v>
      </c>
      <c r="I20" s="154">
        <v>0</v>
      </c>
      <c r="K20" s="154">
        <v>1011.35</v>
      </c>
      <c r="L20" s="154" t="s">
        <v>289</v>
      </c>
      <c r="M20" s="154">
        <v>74.819999999999993</v>
      </c>
      <c r="N20" s="154">
        <v>1474156800</v>
      </c>
      <c r="O20" s="154">
        <v>7.95</v>
      </c>
      <c r="P20" s="154">
        <v>28</v>
      </c>
      <c r="Q20" s="154">
        <v>3.14</v>
      </c>
    </row>
    <row r="21" spans="1:17" x14ac:dyDescent="0.25">
      <c r="A21" s="154">
        <v>70.040000000000006</v>
      </c>
      <c r="B21" s="154">
        <v>0.05</v>
      </c>
      <c r="C21" s="154">
        <v>31.61</v>
      </c>
      <c r="D21" s="169">
        <v>42630.791666666664</v>
      </c>
      <c r="E21" s="154">
        <v>0.24</v>
      </c>
      <c r="F21" s="154" t="s">
        <v>322</v>
      </c>
      <c r="G21" s="154">
        <v>285.95</v>
      </c>
      <c r="H21" s="154">
        <v>0</v>
      </c>
      <c r="I21" s="154">
        <v>0</v>
      </c>
      <c r="K21" s="154">
        <v>1012.2</v>
      </c>
      <c r="L21" s="154" t="s">
        <v>289</v>
      </c>
      <c r="M21" s="154">
        <v>70.040000000000006</v>
      </c>
      <c r="N21" s="154">
        <v>1474160400</v>
      </c>
      <c r="O21" s="154">
        <v>8.6199999999999992</v>
      </c>
      <c r="P21" s="154">
        <v>72</v>
      </c>
      <c r="Q21" s="154">
        <v>2.44</v>
      </c>
    </row>
    <row r="22" spans="1:17" x14ac:dyDescent="0.25">
      <c r="A22" s="154">
        <v>64.69</v>
      </c>
      <c r="B22" s="154">
        <v>0.05</v>
      </c>
      <c r="C22" s="154">
        <v>32.590000000000003</v>
      </c>
      <c r="D22" s="169">
        <v>42630.833333333336</v>
      </c>
      <c r="E22" s="154">
        <v>0.3</v>
      </c>
      <c r="F22" s="154" t="s">
        <v>288</v>
      </c>
      <c r="G22" s="154">
        <v>284.99</v>
      </c>
      <c r="H22" s="154">
        <v>0</v>
      </c>
      <c r="I22" s="154">
        <v>0</v>
      </c>
      <c r="K22" s="154">
        <v>1013.52</v>
      </c>
      <c r="L22" s="154" t="s">
        <v>289</v>
      </c>
      <c r="M22" s="154">
        <v>64.69</v>
      </c>
      <c r="N22" s="154">
        <v>1474164000</v>
      </c>
      <c r="O22" s="154">
        <v>9.01</v>
      </c>
      <c r="P22" s="154">
        <v>122</v>
      </c>
      <c r="Q22" s="154">
        <v>0.49</v>
      </c>
    </row>
    <row r="23" spans="1:17" x14ac:dyDescent="0.25">
      <c r="A23" s="154">
        <v>61.02</v>
      </c>
      <c r="B23" s="154">
        <v>0.05</v>
      </c>
      <c r="C23" s="154">
        <v>33.130000000000003</v>
      </c>
      <c r="D23" s="169">
        <v>42630.875</v>
      </c>
      <c r="E23" s="154">
        <v>0.35</v>
      </c>
      <c r="F23" s="154" t="s">
        <v>288</v>
      </c>
      <c r="G23" s="154">
        <v>284.04000000000002</v>
      </c>
      <c r="H23" s="154">
        <v>0</v>
      </c>
      <c r="I23" s="154">
        <v>0</v>
      </c>
      <c r="K23" s="154">
        <v>1014.67</v>
      </c>
      <c r="L23" s="154" t="s">
        <v>289</v>
      </c>
      <c r="M23" s="154">
        <v>61.02</v>
      </c>
      <c r="N23" s="154">
        <v>1474167600</v>
      </c>
      <c r="O23" s="154">
        <v>9.34</v>
      </c>
      <c r="P23" s="154">
        <v>215</v>
      </c>
      <c r="Q23" s="154">
        <v>2.5099999999999998</v>
      </c>
    </row>
    <row r="24" spans="1:17" x14ac:dyDescent="0.25">
      <c r="A24" s="154">
        <v>59.07</v>
      </c>
      <c r="B24" s="154">
        <v>0.05</v>
      </c>
      <c r="C24" s="154">
        <v>32.85</v>
      </c>
      <c r="D24" s="169">
        <v>42630.916666666664</v>
      </c>
      <c r="E24" s="154">
        <v>0.37</v>
      </c>
      <c r="F24" s="154" t="s">
        <v>288</v>
      </c>
      <c r="G24" s="154">
        <v>283.07</v>
      </c>
      <c r="H24" s="154">
        <v>0</v>
      </c>
      <c r="I24" s="154">
        <v>0</v>
      </c>
      <c r="K24" s="154">
        <v>1015.33</v>
      </c>
      <c r="L24" s="154" t="s">
        <v>289</v>
      </c>
      <c r="M24" s="154">
        <v>59.07</v>
      </c>
      <c r="N24" s="154">
        <v>1474171200</v>
      </c>
      <c r="O24" s="154">
        <v>9.49</v>
      </c>
      <c r="P24" s="154">
        <v>215</v>
      </c>
      <c r="Q24" s="154">
        <v>2.95</v>
      </c>
    </row>
    <row r="25" spans="1:17" x14ac:dyDescent="0.25">
      <c r="A25" s="154">
        <v>57.07</v>
      </c>
      <c r="B25" s="154">
        <v>0.01</v>
      </c>
      <c r="C25" s="154">
        <v>31.03</v>
      </c>
      <c r="D25" s="169">
        <v>42630.958333333336</v>
      </c>
      <c r="E25" s="154">
        <v>0.37</v>
      </c>
      <c r="F25" s="154" t="s">
        <v>288</v>
      </c>
      <c r="G25" s="154">
        <v>282.11</v>
      </c>
      <c r="H25" s="154">
        <v>0</v>
      </c>
      <c r="I25" s="154">
        <v>0</v>
      </c>
      <c r="K25" s="154">
        <v>1015.73</v>
      </c>
      <c r="L25" s="154" t="s">
        <v>289</v>
      </c>
      <c r="M25" s="154">
        <v>57.07</v>
      </c>
      <c r="N25" s="154">
        <v>1474174800</v>
      </c>
      <c r="O25" s="154">
        <v>9.48</v>
      </c>
      <c r="P25" s="154">
        <v>205</v>
      </c>
      <c r="Q25" s="154">
        <v>4.4800000000000004</v>
      </c>
    </row>
    <row r="26" spans="1:17" x14ac:dyDescent="0.25">
      <c r="A26" s="154">
        <v>56.02</v>
      </c>
      <c r="B26" s="154">
        <v>0.03</v>
      </c>
      <c r="C26" s="154">
        <v>31.08</v>
      </c>
      <c r="D26" s="169">
        <v>42631</v>
      </c>
      <c r="E26" s="154">
        <v>0.38</v>
      </c>
      <c r="F26" s="154" t="s">
        <v>288</v>
      </c>
      <c r="G26" s="154">
        <v>281.14</v>
      </c>
      <c r="H26" s="154">
        <v>0</v>
      </c>
      <c r="I26" s="154">
        <v>0</v>
      </c>
      <c r="K26" s="154">
        <v>1016.16</v>
      </c>
      <c r="L26" s="154" t="s">
        <v>289</v>
      </c>
      <c r="M26" s="154">
        <v>56.02</v>
      </c>
      <c r="N26" s="154">
        <v>1474178400</v>
      </c>
      <c r="O26" s="154">
        <v>9.51</v>
      </c>
      <c r="P26" s="154">
        <v>216</v>
      </c>
      <c r="Q26" s="154">
        <v>4.62</v>
      </c>
    </row>
    <row r="27" spans="1:17" x14ac:dyDescent="0.25">
      <c r="A27" s="154">
        <v>54.13</v>
      </c>
      <c r="B27" s="154">
        <v>0.01</v>
      </c>
      <c r="C27" s="154">
        <v>29.6</v>
      </c>
      <c r="D27" s="169">
        <v>42631.041666666664</v>
      </c>
      <c r="E27" s="154">
        <v>0.39</v>
      </c>
      <c r="F27" s="154" t="s">
        <v>288</v>
      </c>
      <c r="G27" s="154">
        <v>280.16000000000003</v>
      </c>
      <c r="H27" s="154">
        <v>0</v>
      </c>
      <c r="I27" s="154">
        <v>0</v>
      </c>
      <c r="K27" s="154">
        <v>1016.69</v>
      </c>
      <c r="L27" s="154" t="s">
        <v>289</v>
      </c>
      <c r="M27" s="154">
        <v>54.13</v>
      </c>
      <c r="N27" s="154">
        <v>1474182000</v>
      </c>
      <c r="O27" s="154">
        <v>9.5500000000000007</v>
      </c>
      <c r="P27" s="154">
        <v>223</v>
      </c>
      <c r="Q27" s="154">
        <v>4.55</v>
      </c>
    </row>
    <row r="28" spans="1:17" x14ac:dyDescent="0.25">
      <c r="A28" s="154">
        <v>53.48</v>
      </c>
      <c r="B28" s="154">
        <v>0</v>
      </c>
      <c r="C28" s="154">
        <v>28.57</v>
      </c>
      <c r="D28" s="169">
        <v>42631.083333333336</v>
      </c>
      <c r="E28" s="154">
        <v>0.38</v>
      </c>
      <c r="F28" s="154" t="s">
        <v>288</v>
      </c>
      <c r="G28" s="154">
        <v>279.18</v>
      </c>
      <c r="H28" s="154">
        <v>0</v>
      </c>
      <c r="I28" s="154">
        <v>0</v>
      </c>
      <c r="K28" s="154">
        <v>1017.15</v>
      </c>
      <c r="L28" s="154" t="s">
        <v>289</v>
      </c>
      <c r="M28" s="154">
        <v>53.48</v>
      </c>
      <c r="N28" s="154">
        <v>1474185600</v>
      </c>
      <c r="O28" s="154">
        <v>9.5399999999999991</v>
      </c>
      <c r="P28" s="154">
        <v>226</v>
      </c>
      <c r="Q28" s="154">
        <v>4.1399999999999997</v>
      </c>
    </row>
    <row r="29" spans="1:17" x14ac:dyDescent="0.25">
      <c r="A29" s="154">
        <v>52.23</v>
      </c>
      <c r="B29" s="154">
        <v>0</v>
      </c>
      <c r="C29" s="154">
        <v>26.31</v>
      </c>
      <c r="D29" s="169">
        <v>42631.125</v>
      </c>
      <c r="E29" s="154">
        <v>0.36</v>
      </c>
      <c r="F29" s="154" t="s">
        <v>288</v>
      </c>
      <c r="G29" s="154">
        <v>278.19</v>
      </c>
      <c r="H29" s="154">
        <v>0</v>
      </c>
      <c r="I29" s="154">
        <v>0</v>
      </c>
      <c r="K29" s="154">
        <v>1017.53</v>
      </c>
      <c r="L29" s="154" t="s">
        <v>289</v>
      </c>
      <c r="M29" s="154">
        <v>52.23</v>
      </c>
      <c r="N29" s="154">
        <v>1474189200</v>
      </c>
      <c r="O29" s="154">
        <v>9.49</v>
      </c>
      <c r="P29" s="154">
        <v>232</v>
      </c>
      <c r="Q29" s="154">
        <v>4.43</v>
      </c>
    </row>
    <row r="31" spans="1:17" x14ac:dyDescent="0.25">
      <c r="A31" s="154" t="s">
        <v>394</v>
      </c>
    </row>
    <row r="33" spans="1:1" x14ac:dyDescent="0.25">
      <c r="A33" s="154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108</v>
      </c>
      <c r="D1" s="74" t="s">
        <v>109</v>
      </c>
      <c r="J1" s="34" t="s">
        <v>110</v>
      </c>
      <c r="K1" s="34" t="s">
        <v>72</v>
      </c>
      <c r="L1" s="34" t="s">
        <v>73</v>
      </c>
      <c r="O1" s="77" t="s">
        <v>111</v>
      </c>
    </row>
    <row r="2" spans="1:16" ht="15.75" thickBot="1" x14ac:dyDescent="0.3">
      <c r="A2" s="14">
        <v>42630</v>
      </c>
      <c r="B2" s="4"/>
      <c r="C2" s="75">
        <v>50</v>
      </c>
      <c r="D2" s="76">
        <v>25</v>
      </c>
      <c r="F2" t="s">
        <v>124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112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125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126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127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121</v>
      </c>
    </row>
    <row r="20" spans="10:13" x14ac:dyDescent="0.25">
      <c r="J20" t="s">
        <v>94</v>
      </c>
      <c r="M20" s="70" t="s">
        <v>130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120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117</v>
      </c>
      <c r="K24" s="23"/>
      <c r="M24" s="70" t="s">
        <v>119</v>
      </c>
    </row>
    <row r="25" spans="10:13" x14ac:dyDescent="0.25">
      <c r="J25" t="s">
        <v>167</v>
      </c>
      <c r="M25" s="70" t="b">
        <v>1</v>
      </c>
    </row>
    <row r="26" spans="10:13" x14ac:dyDescent="0.25">
      <c r="J26" t="s">
        <v>168</v>
      </c>
      <c r="M26" s="70" t="str">
        <f>"C:\Users\stu\Documents\GitHub\eaglep3-reporting\EC\"&amp;TEXT(A2,"yyyy-mm-dd")&amp;"-refined-times.txt"</f>
        <v>C:\Users\stu\Documents\GitHub\eaglep3-reporting\EC\2016-09-17-refined-times.txt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136</v>
      </c>
      <c r="B1" s="127" t="s">
        <v>137</v>
      </c>
      <c r="C1" s="128" t="s">
        <v>138</v>
      </c>
      <c r="H1" t="s">
        <v>132</v>
      </c>
      <c r="I1" s="129" t="s">
        <v>134</v>
      </c>
      <c r="J1"/>
    </row>
    <row r="2" spans="1:11" x14ac:dyDescent="0.25">
      <c r="A2" s="128" t="s">
        <v>139</v>
      </c>
      <c r="B2" s="128" t="s">
        <v>140</v>
      </c>
      <c r="C2" s="128" t="s">
        <v>141</v>
      </c>
      <c r="H2" t="s">
        <v>133</v>
      </c>
      <c r="I2" s="114" t="s">
        <v>135</v>
      </c>
      <c r="J2"/>
    </row>
    <row r="3" spans="1:11" x14ac:dyDescent="0.25">
      <c r="A3" s="128" t="s">
        <v>142</v>
      </c>
      <c r="B3" s="128" t="s">
        <v>143</v>
      </c>
      <c r="C3" s="128" t="s">
        <v>144</v>
      </c>
      <c r="H3" t="s">
        <v>158</v>
      </c>
      <c r="I3" s="114">
        <v>1</v>
      </c>
      <c r="J3"/>
      <c r="K3" s="70"/>
    </row>
    <row r="4" spans="1:11" x14ac:dyDescent="0.25">
      <c r="A4" s="128" t="s">
        <v>145</v>
      </c>
      <c r="C4" s="128" t="s">
        <v>146</v>
      </c>
      <c r="H4" t="s">
        <v>159</v>
      </c>
      <c r="I4" s="114">
        <v>2</v>
      </c>
      <c r="J4"/>
      <c r="K4" s="70"/>
    </row>
    <row r="5" spans="1:11" x14ac:dyDescent="0.25">
      <c r="A5" s="128" t="s">
        <v>147</v>
      </c>
      <c r="C5" s="128" t="s">
        <v>148</v>
      </c>
      <c r="H5" t="s">
        <v>160</v>
      </c>
      <c r="I5" s="114">
        <v>23</v>
      </c>
      <c r="J5"/>
      <c r="K5" s="70"/>
    </row>
    <row r="6" spans="1:11" x14ac:dyDescent="0.25">
      <c r="A6" s="128" t="s">
        <v>149</v>
      </c>
      <c r="C6" s="128" t="s">
        <v>150</v>
      </c>
      <c r="H6" s="131" t="s">
        <v>161</v>
      </c>
      <c r="I6" s="132" t="s">
        <v>140</v>
      </c>
    </row>
    <row r="7" spans="1:11" x14ac:dyDescent="0.25">
      <c r="A7" s="128" t="s">
        <v>151</v>
      </c>
      <c r="C7" s="128" t="s">
        <v>152</v>
      </c>
    </row>
    <row r="8" spans="1:11" x14ac:dyDescent="0.25">
      <c r="C8" s="128" t="s">
        <v>153</v>
      </c>
    </row>
    <row r="9" spans="1:11" x14ac:dyDescent="0.25">
      <c r="C9" s="131" t="s">
        <v>290</v>
      </c>
    </row>
    <row r="10" spans="1:11" x14ac:dyDescent="0.25">
      <c r="C10" s="128" t="s">
        <v>154</v>
      </c>
    </row>
    <row r="11" spans="1:11" x14ac:dyDescent="0.25">
      <c r="C11" s="128" t="s">
        <v>155</v>
      </c>
    </row>
    <row r="12" spans="1:11" x14ac:dyDescent="0.25">
      <c r="C12" s="128" t="s">
        <v>156</v>
      </c>
    </row>
    <row r="13" spans="1:11" x14ac:dyDescent="0.25">
      <c r="C13" s="128" t="s">
        <v>157</v>
      </c>
    </row>
    <row r="14" spans="1:11" x14ac:dyDescent="0.25">
      <c r="C14" s="131" t="s">
        <v>291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2016-09-19T20:10:29Z</dcterms:modified>
</cp:coreProperties>
</file>