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Enforcements!$A$6:$AC$71</definedName>
    <definedName name="_xlnm._FilterDatabase" localSheetId="2" hidden="1">'Missing Trips'!$A$2:$J$85</definedName>
    <definedName name="_xlnm._FilterDatabase" localSheetId="0" hidden="1">'Train Runs'!$A$12:$AG$260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8" i="3" l="1"/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S16" i="3" s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/>
  <c r="V26" i="1"/>
  <c r="S11" i="3" s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I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R7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17" i="3" s="1"/>
  <c r="Y59" i="1"/>
  <c r="Z59" i="1"/>
  <c r="AB59" i="1"/>
  <c r="AC59" i="1"/>
  <c r="AD59" i="1"/>
  <c r="AE59" i="1"/>
  <c r="R17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R14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R9" i="3" s="1"/>
  <c r="AF70" i="1"/>
  <c r="AH70" i="1"/>
  <c r="AM70" i="1"/>
  <c r="AN70" i="1"/>
  <c r="K71" i="1"/>
  <c r="L71" i="1"/>
  <c r="M71" i="1"/>
  <c r="N71" i="1" s="1"/>
  <c r="V71" i="1"/>
  <c r="S21" i="3" s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P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AA86" i="1" s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P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V96" i="1"/>
  <c r="Y96" i="1"/>
  <c r="Z96" i="1"/>
  <c r="AB96" i="1"/>
  <c r="AC96" i="1"/>
  <c r="AD96" i="1"/>
  <c r="T96" i="1" s="1"/>
  <c r="AE96" i="1"/>
  <c r="R18" i="3" s="1"/>
  <c r="AF96" i="1"/>
  <c r="AH96" i="1"/>
  <c r="AM96" i="1"/>
  <c r="AN96" i="1"/>
  <c r="K97" i="1"/>
  <c r="L97" i="1"/>
  <c r="M97" i="1"/>
  <c r="N97" i="1" s="1"/>
  <c r="V97" i="1"/>
  <c r="S24" i="3" s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S25" i="3" s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S19" i="3" s="1"/>
  <c r="Y110" i="1"/>
  <c r="Z110" i="1"/>
  <c r="AB110" i="1"/>
  <c r="AC110" i="1"/>
  <c r="AD110" i="1"/>
  <c r="T110" i="1" s="1"/>
  <c r="AE110" i="1"/>
  <c r="R13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R26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S15" i="3" s="1"/>
  <c r="Y130" i="1"/>
  <c r="Z130" i="1"/>
  <c r="AB130" i="1"/>
  <c r="AC130" i="1"/>
  <c r="AD130" i="1"/>
  <c r="T130" i="1" s="1"/>
  <c r="AE130" i="1"/>
  <c r="R15" i="3" s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W131" i="1" s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W133" i="1" s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S27" i="3" s="1"/>
  <c r="Y135" i="1"/>
  <c r="Z135" i="1"/>
  <c r="AB135" i="1"/>
  <c r="AC135" i="1"/>
  <c r="AD135" i="1"/>
  <c r="T135" i="1" s="1"/>
  <c r="AE135" i="1"/>
  <c r="R27" i="3" s="1"/>
  <c r="AF135" i="1"/>
  <c r="AH135" i="1"/>
  <c r="AM135" i="1"/>
  <c r="AN135" i="1"/>
  <c r="K136" i="1"/>
  <c r="L136" i="1"/>
  <c r="M136" i="1"/>
  <c r="N136" i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AA139" i="1" s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P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P216" i="1" s="1"/>
  <c r="T216" i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P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1" i="1"/>
  <c r="AM181" i="1"/>
  <c r="AN18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4" i="1"/>
  <c r="AM184" i="1"/>
  <c r="AN184" i="1"/>
  <c r="K166" i="1"/>
  <c r="L166" i="1"/>
  <c r="M166" i="1"/>
  <c r="N166" i="1" s="1"/>
  <c r="V166" i="1"/>
  <c r="S28" i="3" s="1"/>
  <c r="Y166" i="1"/>
  <c r="Z166" i="1"/>
  <c r="AB166" i="1"/>
  <c r="AC166" i="1"/>
  <c r="AD166" i="1"/>
  <c r="AG166" i="1" s="1"/>
  <c r="AE166" i="1"/>
  <c r="R28" i="3" s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6" i="1"/>
  <c r="AM186" i="1"/>
  <c r="AN18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9" i="1"/>
  <c r="AM189" i="1"/>
  <c r="AN18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90" i="1"/>
  <c r="AM190" i="1"/>
  <c r="AN19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1" i="1"/>
  <c r="AM191" i="1"/>
  <c r="AN19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2" i="1"/>
  <c r="AM192" i="1"/>
  <c r="AN19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3" i="1"/>
  <c r="AM193" i="1"/>
  <c r="AN19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4" i="1"/>
  <c r="AM194" i="1"/>
  <c r="AN19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5" i="1"/>
  <c r="AM195" i="1"/>
  <c r="AN195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96" i="1"/>
  <c r="AM196" i="1"/>
  <c r="AN196" i="1"/>
  <c r="K177" i="1"/>
  <c r="L177" i="1"/>
  <c r="M177" i="1"/>
  <c r="N177" i="1"/>
  <c r="V177" i="1"/>
  <c r="Y177" i="1"/>
  <c r="Z177" i="1"/>
  <c r="AB177" i="1"/>
  <c r="AC177" i="1"/>
  <c r="AD177" i="1"/>
  <c r="AG177" i="1" s="1"/>
  <c r="AE177" i="1"/>
  <c r="AF177" i="1"/>
  <c r="AH197" i="1"/>
  <c r="AM197" i="1"/>
  <c r="AN19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8" i="1"/>
  <c r="AM198" i="1"/>
  <c r="AN19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9" i="1"/>
  <c r="AM199" i="1"/>
  <c r="AN19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0" i="1"/>
  <c r="AM200" i="1"/>
  <c r="AN200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201" i="1"/>
  <c r="AM201" i="1"/>
  <c r="AN20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2" i="1"/>
  <c r="AM202" i="1"/>
  <c r="AN20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3" i="1"/>
  <c r="AM203" i="1"/>
  <c r="AN203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4" i="1"/>
  <c r="AM204" i="1"/>
  <c r="AN20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5" i="1"/>
  <c r="AM205" i="1"/>
  <c r="AN20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6" i="1"/>
  <c r="AM206" i="1"/>
  <c r="AN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AM207" i="1"/>
  <c r="AN207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8" i="1"/>
  <c r="AM208" i="1"/>
  <c r="AN20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9" i="1"/>
  <c r="AM209" i="1"/>
  <c r="AN209" i="1"/>
  <c r="K189" i="1"/>
  <c r="L189" i="1"/>
  <c r="M189" i="1"/>
  <c r="N189" i="1" s="1"/>
  <c r="V189" i="1"/>
  <c r="S29" i="3" s="1"/>
  <c r="Y189" i="1"/>
  <c r="Z189" i="1"/>
  <c r="AB189" i="1"/>
  <c r="AC189" i="1"/>
  <c r="AD189" i="1"/>
  <c r="T189" i="1" s="1"/>
  <c r="AE189" i="1"/>
  <c r="R29" i="3" s="1"/>
  <c r="AF189" i="1"/>
  <c r="AH210" i="1"/>
  <c r="AM210" i="1"/>
  <c r="AN21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1" i="1"/>
  <c r="AM211" i="1"/>
  <c r="AN211" i="1"/>
  <c r="K191" i="1"/>
  <c r="L191" i="1"/>
  <c r="M191" i="1"/>
  <c r="N191" i="1" s="1"/>
  <c r="V191" i="1"/>
  <c r="X191" i="1"/>
  <c r="Y191" i="1"/>
  <c r="Z191" i="1"/>
  <c r="AB191" i="1"/>
  <c r="AC191" i="1"/>
  <c r="AD191" i="1"/>
  <c r="AG191" i="1" s="1"/>
  <c r="AE191" i="1"/>
  <c r="AF191" i="1"/>
  <c r="AH212" i="1"/>
  <c r="AM212" i="1"/>
  <c r="AN21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3" i="1"/>
  <c r="AM213" i="1"/>
  <c r="AN213" i="1"/>
  <c r="K193" i="1"/>
  <c r="L193" i="1"/>
  <c r="M193" i="1"/>
  <c r="N193" i="1" s="1"/>
  <c r="V193" i="1"/>
  <c r="S30" i="3" s="1"/>
  <c r="Y193" i="1"/>
  <c r="Z193" i="1"/>
  <c r="AB193" i="1"/>
  <c r="AC193" i="1"/>
  <c r="AD193" i="1"/>
  <c r="T193" i="1" s="1"/>
  <c r="AE193" i="1"/>
  <c r="R30" i="3" s="1"/>
  <c r="AF193" i="1"/>
  <c r="AH214" i="1"/>
  <c r="AM214" i="1"/>
  <c r="AN21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5" i="1"/>
  <c r="AM215" i="1"/>
  <c r="AN215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6" i="1"/>
  <c r="AM216" i="1"/>
  <c r="AN21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7" i="1"/>
  <c r="AM217" i="1"/>
  <c r="AN21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8" i="1"/>
  <c r="AM218" i="1"/>
  <c r="AN21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9" i="1"/>
  <c r="AM219" i="1"/>
  <c r="AN219" i="1"/>
  <c r="K199" i="1"/>
  <c r="L199" i="1"/>
  <c r="M199" i="1"/>
  <c r="N199" i="1" s="1"/>
  <c r="V199" i="1"/>
  <c r="S31" i="3" s="1"/>
  <c r="Y199" i="1"/>
  <c r="Z199" i="1"/>
  <c r="AB199" i="1"/>
  <c r="AC199" i="1"/>
  <c r="AD199" i="1"/>
  <c r="AG199" i="1" s="1"/>
  <c r="AE199" i="1"/>
  <c r="AF199" i="1"/>
  <c r="AH220" i="1"/>
  <c r="AM220" i="1"/>
  <c r="AN22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1" i="1"/>
  <c r="AM221" i="1"/>
  <c r="AN22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2" i="1"/>
  <c r="AM222" i="1"/>
  <c r="AN22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3" i="1"/>
  <c r="AM223" i="1"/>
  <c r="AN22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4" i="1"/>
  <c r="AM224" i="1"/>
  <c r="AN22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5" i="1"/>
  <c r="AM225" i="1"/>
  <c r="AN225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26" i="1"/>
  <c r="AM226" i="1"/>
  <c r="AN226" i="1"/>
  <c r="K206" i="1"/>
  <c r="L206" i="1"/>
  <c r="M206" i="1"/>
  <c r="N206" i="1" s="1"/>
  <c r="V206" i="1"/>
  <c r="S32" i="3" s="1"/>
  <c r="Y206" i="1"/>
  <c r="Z206" i="1"/>
  <c r="AB206" i="1"/>
  <c r="AC206" i="1"/>
  <c r="AD206" i="1"/>
  <c r="T206" i="1" s="1"/>
  <c r="AE206" i="1"/>
  <c r="AF206" i="1"/>
  <c r="AH227" i="1"/>
  <c r="AM227" i="1"/>
  <c r="AN22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28" i="1"/>
  <c r="AM228" i="1"/>
  <c r="AN228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29" i="1"/>
  <c r="AM229" i="1"/>
  <c r="AN22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0" i="1"/>
  <c r="AM230" i="1"/>
  <c r="AN23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1" i="1"/>
  <c r="AM231" i="1"/>
  <c r="AN23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32" i="1"/>
  <c r="AM232" i="1"/>
  <c r="AN23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3" i="1"/>
  <c r="AM233" i="1"/>
  <c r="AN23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4" i="1"/>
  <c r="AM234" i="1"/>
  <c r="AN234" i="1"/>
  <c r="M16" i="3"/>
  <c r="R16" i="3"/>
  <c r="U16" i="3"/>
  <c r="T16" i="3" s="1"/>
  <c r="V16" i="3"/>
  <c r="W16" i="3"/>
  <c r="X16" i="3"/>
  <c r="M11" i="3"/>
  <c r="R11" i="3"/>
  <c r="U11" i="3"/>
  <c r="T11" i="3" s="1"/>
  <c r="V11" i="3"/>
  <c r="W11" i="3"/>
  <c r="Y11" i="3" s="1"/>
  <c r="X11" i="3"/>
  <c r="AC11" i="3"/>
  <c r="M28" i="3"/>
  <c r="U28" i="3"/>
  <c r="V28" i="3"/>
  <c r="W28" i="3"/>
  <c r="X28" i="3"/>
  <c r="Y28" i="3"/>
  <c r="M7" i="3"/>
  <c r="S7" i="3"/>
  <c r="U7" i="3"/>
  <c r="AC7" i="3" s="1"/>
  <c r="V7" i="3"/>
  <c r="W7" i="3"/>
  <c r="X7" i="3"/>
  <c r="M17" i="3"/>
  <c r="U17" i="3"/>
  <c r="AC17" i="3" s="1"/>
  <c r="V17" i="3"/>
  <c r="W17" i="3"/>
  <c r="X17" i="3"/>
  <c r="M14" i="3"/>
  <c r="S14" i="3"/>
  <c r="U14" i="3"/>
  <c r="V14" i="3"/>
  <c r="W14" i="3"/>
  <c r="X14" i="3"/>
  <c r="AC14" i="3"/>
  <c r="M8" i="3"/>
  <c r="R8" i="3"/>
  <c r="S8" i="3"/>
  <c r="U8" i="3"/>
  <c r="AC8" i="3" s="1"/>
  <c r="V8" i="3"/>
  <c r="W8" i="3"/>
  <c r="X8" i="3"/>
  <c r="M21" i="3"/>
  <c r="R21" i="3"/>
  <c r="U21" i="3"/>
  <c r="AC21" i="3" s="1"/>
  <c r="V21" i="3"/>
  <c r="W21" i="3"/>
  <c r="Y21" i="3" s="1"/>
  <c r="X21" i="3"/>
  <c r="M22" i="3"/>
  <c r="R22" i="3"/>
  <c r="T22" i="3"/>
  <c r="U22" i="3"/>
  <c r="AC22" i="3" s="1"/>
  <c r="V22" i="3"/>
  <c r="W22" i="3"/>
  <c r="Y22" i="3" s="1"/>
  <c r="X22" i="3"/>
  <c r="AE16" i="3"/>
  <c r="M23" i="3"/>
  <c r="R23" i="3"/>
  <c r="U23" i="3"/>
  <c r="T23" i="3" s="1"/>
  <c r="V23" i="3"/>
  <c r="W23" i="3"/>
  <c r="X23" i="3"/>
  <c r="AC23" i="3"/>
  <c r="M12" i="3"/>
  <c r="R12" i="3"/>
  <c r="S12" i="3"/>
  <c r="U12" i="3"/>
  <c r="AE12" i="3" s="1"/>
  <c r="V12" i="3"/>
  <c r="W12" i="3"/>
  <c r="X12" i="3"/>
  <c r="M9" i="3"/>
  <c r="S9" i="3"/>
  <c r="U9" i="3"/>
  <c r="AC9" i="3" s="1"/>
  <c r="V9" i="3"/>
  <c r="W9" i="3"/>
  <c r="Y9" i="3" s="1"/>
  <c r="X9" i="3"/>
  <c r="M24" i="3"/>
  <c r="R24" i="3"/>
  <c r="U24" i="3"/>
  <c r="AC24" i="3" s="1"/>
  <c r="V24" i="3"/>
  <c r="W24" i="3"/>
  <c r="X24" i="3"/>
  <c r="M18" i="3"/>
  <c r="S18" i="3"/>
  <c r="U18" i="3"/>
  <c r="T18" i="3" s="1"/>
  <c r="V18" i="3"/>
  <c r="W18" i="3"/>
  <c r="X18" i="3"/>
  <c r="AC18" i="3"/>
  <c r="M25" i="3"/>
  <c r="R25" i="3"/>
  <c r="U25" i="3"/>
  <c r="AD22" i="3" s="1"/>
  <c r="V25" i="3"/>
  <c r="W25" i="3"/>
  <c r="X25" i="3"/>
  <c r="AC25" i="3"/>
  <c r="M29" i="3"/>
  <c r="U29" i="3"/>
  <c r="AC29" i="3" s="1"/>
  <c r="V29" i="3"/>
  <c r="W29" i="3"/>
  <c r="X29" i="3"/>
  <c r="M13" i="3"/>
  <c r="S13" i="3"/>
  <c r="U13" i="3"/>
  <c r="AC13" i="3" s="1"/>
  <c r="V13" i="3"/>
  <c r="W13" i="3"/>
  <c r="X13" i="3"/>
  <c r="AD24" i="3"/>
  <c r="AE24" i="3"/>
  <c r="M19" i="3"/>
  <c r="R19" i="3"/>
  <c r="U19" i="3"/>
  <c r="V19" i="3"/>
  <c r="W19" i="3"/>
  <c r="X19" i="3"/>
  <c r="AC19" i="3"/>
  <c r="M30" i="3"/>
  <c r="U30" i="3"/>
  <c r="V30" i="3"/>
  <c r="W30" i="3"/>
  <c r="X30" i="3"/>
  <c r="M26" i="3"/>
  <c r="S26" i="3"/>
  <c r="U26" i="3"/>
  <c r="AC26" i="3" s="1"/>
  <c r="V26" i="3"/>
  <c r="W26" i="3"/>
  <c r="X26" i="3"/>
  <c r="Y26" i="3"/>
  <c r="M34" i="3"/>
  <c r="R34" i="3"/>
  <c r="S34" i="3"/>
  <c r="U34" i="3"/>
  <c r="AC34" i="3" s="1"/>
  <c r="V34" i="3"/>
  <c r="W34" i="3"/>
  <c r="X34" i="3"/>
  <c r="AD28" i="3"/>
  <c r="M31" i="3"/>
  <c r="R31" i="3"/>
  <c r="U31" i="3"/>
  <c r="T31" i="3" s="1"/>
  <c r="V31" i="3"/>
  <c r="W31" i="3"/>
  <c r="X31" i="3"/>
  <c r="AC31" i="3"/>
  <c r="M15" i="3"/>
  <c r="U15" i="3"/>
  <c r="V15" i="3"/>
  <c r="W15" i="3"/>
  <c r="Y15" i="3" s="1"/>
  <c r="X15" i="3"/>
  <c r="AC15" i="3"/>
  <c r="M27" i="3"/>
  <c r="U27" i="3"/>
  <c r="AC27" i="3" s="1"/>
  <c r="V27" i="3"/>
  <c r="W27" i="3"/>
  <c r="X27" i="3"/>
  <c r="M20" i="3"/>
  <c r="U20" i="3"/>
  <c r="AC20" i="3" s="1"/>
  <c r="V20" i="3"/>
  <c r="W20" i="3"/>
  <c r="X20" i="3"/>
  <c r="M10" i="3"/>
  <c r="R10" i="3"/>
  <c r="S10" i="3"/>
  <c r="U10" i="3"/>
  <c r="T10" i="3" s="1"/>
  <c r="V10" i="3"/>
  <c r="W10" i="3"/>
  <c r="X10" i="3"/>
  <c r="AC10" i="3"/>
  <c r="M32" i="3"/>
  <c r="R32" i="3"/>
  <c r="U32" i="3"/>
  <c r="AD34" i="3" s="1"/>
  <c r="V32" i="3"/>
  <c r="W32" i="3"/>
  <c r="X32" i="3"/>
  <c r="Y32" i="3"/>
  <c r="AG192" i="1" l="1"/>
  <c r="X192" i="1"/>
  <c r="AG156" i="1"/>
  <c r="AG87" i="1"/>
  <c r="X87" i="1"/>
  <c r="T157" i="1"/>
  <c r="U157" i="1" s="1"/>
  <c r="S157" i="1" s="1"/>
  <c r="X149" i="1"/>
  <c r="X147" i="1"/>
  <c r="T118" i="1"/>
  <c r="AA187" i="1"/>
  <c r="W187" i="1" s="1"/>
  <c r="AA185" i="1"/>
  <c r="AA157" i="1"/>
  <c r="W157" i="1" s="1"/>
  <c r="AA76" i="1"/>
  <c r="T60" i="1"/>
  <c r="U60" i="1" s="1"/>
  <c r="S60" i="1" s="1"/>
  <c r="AA59" i="1"/>
  <c r="AG153" i="1"/>
  <c r="X153" i="1"/>
  <c r="T151" i="1"/>
  <c r="X151" i="1"/>
  <c r="AA168" i="1"/>
  <c r="AA230" i="1"/>
  <c r="W230" i="1" s="1"/>
  <c r="T230" i="1"/>
  <c r="U230" i="1" s="1"/>
  <c r="S230" i="1" s="1"/>
  <c r="AA229" i="1"/>
  <c r="AI156" i="1"/>
  <c r="AA98" i="1"/>
  <c r="S20" i="3"/>
  <c r="AG209" i="1"/>
  <c r="X79" i="1"/>
  <c r="AG64" i="1"/>
  <c r="AI64" i="1" s="1"/>
  <c r="T61" i="1"/>
  <c r="U61" i="1" s="1"/>
  <c r="S61" i="1" s="1"/>
  <c r="X230" i="1"/>
  <c r="T225" i="1"/>
  <c r="AA218" i="1"/>
  <c r="AA211" i="1"/>
  <c r="T152" i="1"/>
  <c r="X152" i="1"/>
  <c r="T150" i="1"/>
  <c r="X150" i="1"/>
  <c r="T148" i="1"/>
  <c r="X148" i="1"/>
  <c r="AA132" i="1"/>
  <c r="W132" i="1" s="1"/>
  <c r="AA130" i="1"/>
  <c r="AA87" i="1"/>
  <c r="AG76" i="1"/>
  <c r="AA75" i="1"/>
  <c r="AA61" i="1"/>
  <c r="W61" i="1" s="1"/>
  <c r="AI47" i="1"/>
  <c r="AG46" i="1"/>
  <c r="X46" i="1"/>
  <c r="AA31" i="1"/>
  <c r="T37" i="1"/>
  <c r="X37" i="1"/>
  <c r="AA206" i="1"/>
  <c r="AG158" i="1"/>
  <c r="AI158" i="1" s="1"/>
  <c r="S23" i="3"/>
  <c r="AG231" i="1"/>
  <c r="R20" i="3"/>
  <c r="S22" i="3"/>
  <c r="AA203" i="1"/>
  <c r="AA201" i="1"/>
  <c r="AA199" i="1"/>
  <c r="W199" i="1" s="1"/>
  <c r="AA190" i="1"/>
  <c r="AA186" i="1"/>
  <c r="AA233" i="1"/>
  <c r="AA165" i="1"/>
  <c r="AA225" i="1"/>
  <c r="W225" i="1" s="1"/>
  <c r="AI160" i="1"/>
  <c r="X157" i="1"/>
  <c r="AI145" i="1"/>
  <c r="T122" i="1"/>
  <c r="U122" i="1" s="1"/>
  <c r="S122" i="1" s="1"/>
  <c r="AA110" i="1"/>
  <c r="X103" i="1"/>
  <c r="AA97" i="1"/>
  <c r="X94" i="1"/>
  <c r="T82" i="1"/>
  <c r="T78" i="1"/>
  <c r="X71" i="1"/>
  <c r="AA64" i="1"/>
  <c r="W64" i="1" s="1"/>
  <c r="X61" i="1"/>
  <c r="X49" i="1"/>
  <c r="AA47" i="1"/>
  <c r="W47" i="1" s="1"/>
  <c r="AI44" i="1"/>
  <c r="AG39" i="1"/>
  <c r="X39" i="1"/>
  <c r="X34" i="1"/>
  <c r="AG31" i="1"/>
  <c r="U31" i="1" s="1"/>
  <c r="S31" i="1" s="1"/>
  <c r="X31" i="1"/>
  <c r="T30" i="1"/>
  <c r="X30" i="1"/>
  <c r="X25" i="1"/>
  <c r="AA23" i="1"/>
  <c r="AA15" i="1"/>
  <c r="AA213" i="1"/>
  <c r="AG152" i="1"/>
  <c r="U152" i="1" s="1"/>
  <c r="S152" i="1" s="1"/>
  <c r="X91" i="1"/>
  <c r="AG86" i="1"/>
  <c r="AI86" i="1" s="1"/>
  <c r="AG56" i="1"/>
  <c r="T38" i="1"/>
  <c r="X38" i="1"/>
  <c r="AG37" i="1"/>
  <c r="U37" i="1" s="1"/>
  <c r="S37" i="1" s="1"/>
  <c r="T33" i="1"/>
  <c r="X33" i="1"/>
  <c r="AG32" i="1"/>
  <c r="X32" i="1"/>
  <c r="AA19" i="1"/>
  <c r="AG28" i="1"/>
  <c r="AI28" i="1" s="1"/>
  <c r="X28" i="1"/>
  <c r="AA180" i="1"/>
  <c r="AG150" i="1"/>
  <c r="U150" i="1" s="1"/>
  <c r="S150" i="1" s="1"/>
  <c r="X133" i="1"/>
  <c r="AA118" i="1"/>
  <c r="AG95" i="1"/>
  <c r="U95" i="1" s="1"/>
  <c r="S95" i="1" s="1"/>
  <c r="AG79" i="1"/>
  <c r="AI79" i="1" s="1"/>
  <c r="AA60" i="1"/>
  <c r="W60" i="1" s="1"/>
  <c r="AA45" i="1"/>
  <c r="X41" i="1"/>
  <c r="AA41" i="1"/>
  <c r="AG36" i="1"/>
  <c r="AI36" i="1" s="1"/>
  <c r="X36" i="1"/>
  <c r="T29" i="1"/>
  <c r="U29" i="1" s="1"/>
  <c r="S29" i="1" s="1"/>
  <c r="X29" i="1"/>
  <c r="X223" i="1"/>
  <c r="X196" i="1"/>
  <c r="AA222" i="1"/>
  <c r="W222" i="1" s="1"/>
  <c r="T219" i="1"/>
  <c r="AA195" i="1"/>
  <c r="W195" i="1" s="1"/>
  <c r="AA183" i="1"/>
  <c r="W183" i="1" s="1"/>
  <c r="AA181" i="1"/>
  <c r="AG174" i="1"/>
  <c r="U174" i="1" s="1"/>
  <c r="S174" i="1" s="1"/>
  <c r="AA173" i="1"/>
  <c r="W173" i="1" s="1"/>
  <c r="T173" i="1"/>
  <c r="AA172" i="1"/>
  <c r="W172" i="1" s="1"/>
  <c r="AA215" i="1"/>
  <c r="AA208" i="1"/>
  <c r="W208" i="1" s="1"/>
  <c r="AG130" i="1"/>
  <c r="AI130" i="1" s="1"/>
  <c r="X119" i="1"/>
  <c r="AG112" i="1"/>
  <c r="AI112" i="1" s="1"/>
  <c r="AA111" i="1"/>
  <c r="W111" i="1" s="1"/>
  <c r="T111" i="1"/>
  <c r="U111" i="1" s="1"/>
  <c r="S111" i="1" s="1"/>
  <c r="AG108" i="1"/>
  <c r="AI108" i="1" s="1"/>
  <c r="AA107" i="1"/>
  <c r="W107" i="1" s="1"/>
  <c r="T107" i="1"/>
  <c r="U107" i="1" s="1"/>
  <c r="S107" i="1" s="1"/>
  <c r="AG99" i="1"/>
  <c r="U99" i="1" s="1"/>
  <c r="S99" i="1" s="1"/>
  <c r="X99" i="1"/>
  <c r="AG96" i="1"/>
  <c r="U96" i="1" s="1"/>
  <c r="AA92" i="1"/>
  <c r="AG90" i="1"/>
  <c r="U90" i="1" s="1"/>
  <c r="S90" i="1" s="1"/>
  <c r="AA81" i="1"/>
  <c r="AA77" i="1"/>
  <c r="AA43" i="1"/>
  <c r="AA27" i="1"/>
  <c r="X21" i="1"/>
  <c r="AA21" i="1"/>
  <c r="X222" i="1"/>
  <c r="AG219" i="1"/>
  <c r="X207" i="1"/>
  <c r="X200" i="1"/>
  <c r="AA198" i="1"/>
  <c r="AA179" i="1"/>
  <c r="X173" i="1"/>
  <c r="AA169" i="1"/>
  <c r="AA163" i="1"/>
  <c r="AA161" i="1"/>
  <c r="W161" i="1" s="1"/>
  <c r="AA227" i="1"/>
  <c r="AA160" i="1"/>
  <c r="AG154" i="1"/>
  <c r="U154" i="1" s="1"/>
  <c r="S154" i="1" s="1"/>
  <c r="AA153" i="1"/>
  <c r="W153" i="1" s="1"/>
  <c r="T153" i="1"/>
  <c r="U153" i="1" s="1"/>
  <c r="S153" i="1" s="1"/>
  <c r="AA148" i="1"/>
  <c r="AA141" i="1"/>
  <c r="AA129" i="1"/>
  <c r="AG120" i="1"/>
  <c r="U120" i="1" s="1"/>
  <c r="S120" i="1" s="1"/>
  <c r="AA119" i="1"/>
  <c r="T119" i="1"/>
  <c r="U119" i="1" s="1"/>
  <c r="S119" i="1" s="1"/>
  <c r="AG114" i="1"/>
  <c r="U114" i="1" s="1"/>
  <c r="S114" i="1" s="1"/>
  <c r="X111" i="1"/>
  <c r="X107" i="1"/>
  <c r="AA106" i="1"/>
  <c r="W106" i="1" s="1"/>
  <c r="AA91" i="1"/>
  <c r="AA82" i="1"/>
  <c r="U78" i="1"/>
  <c r="S78" i="1" s="1"/>
  <c r="AA78" i="1"/>
  <c r="W78" i="1" s="1"/>
  <c r="AG67" i="1"/>
  <c r="AI67" i="1" s="1"/>
  <c r="X67" i="1"/>
  <c r="T49" i="1"/>
  <c r="AA48" i="1"/>
  <c r="W48" i="1" s="1"/>
  <c r="AA46" i="1"/>
  <c r="W46" i="1" s="1"/>
  <c r="AI39" i="1"/>
  <c r="AA29" i="1"/>
  <c r="W29" i="1" s="1"/>
  <c r="AA25" i="1"/>
  <c r="AA20" i="1"/>
  <c r="U225" i="1"/>
  <c r="S225" i="1" s="1"/>
  <c r="AI106" i="1"/>
  <c r="AA40" i="1"/>
  <c r="W40" i="1" s="1"/>
  <c r="X17" i="1"/>
  <c r="AA17" i="1"/>
  <c r="AI32" i="1"/>
  <c r="Y27" i="3"/>
  <c r="T13" i="3"/>
  <c r="Y10" i="3"/>
  <c r="Y34" i="3"/>
  <c r="Y25" i="3"/>
  <c r="AD16" i="3"/>
  <c r="T17" i="3"/>
  <c r="Y16" i="3"/>
  <c r="AD32" i="3"/>
  <c r="AD29" i="3"/>
  <c r="AE29" i="3"/>
  <c r="AD25" i="3"/>
  <c r="Y12" i="3"/>
  <c r="Y17" i="3"/>
  <c r="W160" i="1"/>
  <c r="AA223" i="1"/>
  <c r="AA221" i="1"/>
  <c r="AA204" i="1"/>
  <c r="T200" i="1"/>
  <c r="AA193" i="1"/>
  <c r="AA191" i="1"/>
  <c r="W191" i="1" s="1"/>
  <c r="AG184" i="1"/>
  <c r="AI184" i="1" s="1"/>
  <c r="X184" i="1"/>
  <c r="AG180" i="1"/>
  <c r="U180" i="1" s="1"/>
  <c r="S180" i="1" s="1"/>
  <c r="AG176" i="1"/>
  <c r="AI176" i="1" s="1"/>
  <c r="AG169" i="1"/>
  <c r="U169" i="1" s="1"/>
  <c r="S169" i="1" s="1"/>
  <c r="T161" i="1"/>
  <c r="AA232" i="1"/>
  <c r="AG217" i="1"/>
  <c r="U217" i="1" s="1"/>
  <c r="S217" i="1" s="1"/>
  <c r="AA216" i="1"/>
  <c r="AG211" i="1"/>
  <c r="T160" i="1"/>
  <c r="U160" i="1" s="1"/>
  <c r="S160" i="1" s="1"/>
  <c r="AA159" i="1"/>
  <c r="AA156" i="1"/>
  <c r="W156" i="1" s="1"/>
  <c r="AA151" i="1"/>
  <c r="AA147" i="1"/>
  <c r="AA145" i="1"/>
  <c r="W145" i="1" s="1"/>
  <c r="AA135" i="1"/>
  <c r="T131" i="1"/>
  <c r="AG128" i="1"/>
  <c r="AI128" i="1" s="1"/>
  <c r="AA127" i="1"/>
  <c r="W127" i="1" s="1"/>
  <c r="T127" i="1"/>
  <c r="U127" i="1" s="1"/>
  <c r="S127" i="1" s="1"/>
  <c r="AA126" i="1"/>
  <c r="W126" i="1" s="1"/>
  <c r="AA122" i="1"/>
  <c r="W122" i="1" s="1"/>
  <c r="AG116" i="1"/>
  <c r="U116" i="1" s="1"/>
  <c r="S116" i="1" s="1"/>
  <c r="AA115" i="1"/>
  <c r="W115" i="1" s="1"/>
  <c r="T115" i="1"/>
  <c r="U115" i="1" s="1"/>
  <c r="S115" i="1" s="1"/>
  <c r="AA113" i="1"/>
  <c r="AG110" i="1"/>
  <c r="U110" i="1" s="1"/>
  <c r="S110" i="1" s="1"/>
  <c r="AA102" i="1"/>
  <c r="AG98" i="1"/>
  <c r="AI98" i="1" s="1"/>
  <c r="AA93" i="1"/>
  <c r="AA80" i="1"/>
  <c r="AA74" i="1"/>
  <c r="AA71" i="1"/>
  <c r="T71" i="1"/>
  <c r="AG70" i="1"/>
  <c r="AI70" i="1" s="1"/>
  <c r="AA68" i="1"/>
  <c r="AA66" i="1"/>
  <c r="AA56" i="1"/>
  <c r="W56" i="1" s="1"/>
  <c r="AG54" i="1"/>
  <c r="U54" i="1" s="1"/>
  <c r="S54" i="1" s="1"/>
  <c r="AA52" i="1"/>
  <c r="AI48" i="1"/>
  <c r="AG33" i="1"/>
  <c r="U33" i="1" s="1"/>
  <c r="S33" i="1" s="1"/>
  <c r="AI31" i="1"/>
  <c r="AA16" i="1"/>
  <c r="W16" i="1" s="1"/>
  <c r="X195" i="1"/>
  <c r="AI192" i="1"/>
  <c r="T183" i="1"/>
  <c r="U183" i="1" s="1"/>
  <c r="S183" i="1" s="1"/>
  <c r="T166" i="1"/>
  <c r="U156" i="1"/>
  <c r="S156" i="1" s="1"/>
  <c r="W118" i="1"/>
  <c r="X95" i="1"/>
  <c r="U56" i="1"/>
  <c r="S56" i="1" s="1"/>
  <c r="W20" i="1"/>
  <c r="AA220" i="1"/>
  <c r="AA207" i="1"/>
  <c r="W207" i="1" s="1"/>
  <c r="AI203" i="1"/>
  <c r="AG200" i="1"/>
  <c r="AI200" i="1" s="1"/>
  <c r="AA196" i="1"/>
  <c r="AA194" i="1"/>
  <c r="AA188" i="1"/>
  <c r="AA184" i="1"/>
  <c r="W184" i="1" s="1"/>
  <c r="AG178" i="1"/>
  <c r="U178" i="1" s="1"/>
  <c r="S178" i="1" s="1"/>
  <c r="AA175" i="1"/>
  <c r="AG167" i="1"/>
  <c r="U167" i="1" s="1"/>
  <c r="S167" i="1" s="1"/>
  <c r="AA166" i="1"/>
  <c r="W166" i="1" s="1"/>
  <c r="AA210" i="1"/>
  <c r="T208" i="1"/>
  <c r="AA155" i="1"/>
  <c r="AA152" i="1"/>
  <c r="X146" i="1"/>
  <c r="AA143" i="1"/>
  <c r="AA137" i="1"/>
  <c r="W137" i="1" s="1"/>
  <c r="X127" i="1"/>
  <c r="AA124" i="1"/>
  <c r="AA121" i="1"/>
  <c r="X115" i="1"/>
  <c r="AA114" i="1"/>
  <c r="W114" i="1" s="1"/>
  <c r="X106" i="1"/>
  <c r="AG104" i="1"/>
  <c r="AI104" i="1" s="1"/>
  <c r="AA94" i="1"/>
  <c r="AA90" i="1"/>
  <c r="X75" i="1"/>
  <c r="AG71" i="1"/>
  <c r="AA69" i="1"/>
  <c r="AG66" i="1"/>
  <c r="AI66" i="1" s="1"/>
  <c r="AA62" i="1"/>
  <c r="W62" i="1" s="1"/>
  <c r="AA55" i="1"/>
  <c r="AG52" i="1"/>
  <c r="U52" i="1" s="1"/>
  <c r="S52" i="1" s="1"/>
  <c r="AG45" i="1"/>
  <c r="AI45" i="1" s="1"/>
  <c r="X42" i="1"/>
  <c r="T40" i="1"/>
  <c r="AA39" i="1"/>
  <c r="W39" i="1" s="1"/>
  <c r="AA24" i="1"/>
  <c r="W24" i="1" s="1"/>
  <c r="AI172" i="1"/>
  <c r="W229" i="1"/>
  <c r="AA224" i="1"/>
  <c r="T223" i="1"/>
  <c r="AG204" i="1"/>
  <c r="U204" i="1" s="1"/>
  <c r="S204" i="1" s="1"/>
  <c r="X204" i="1"/>
  <c r="AA200" i="1"/>
  <c r="W200" i="1" s="1"/>
  <c r="T199" i="1"/>
  <c r="U199" i="1" s="1"/>
  <c r="S199" i="1" s="1"/>
  <c r="AA197" i="1"/>
  <c r="T196" i="1"/>
  <c r="AG188" i="1"/>
  <c r="AI188" i="1" s="1"/>
  <c r="X188" i="1"/>
  <c r="AA182" i="1"/>
  <c r="W182" i="1" s="1"/>
  <c r="X234" i="1"/>
  <c r="AA177" i="1"/>
  <c r="W177" i="1" s="1"/>
  <c r="T177" i="1"/>
  <c r="U177" i="1" s="1"/>
  <c r="S177" i="1" s="1"/>
  <c r="AA174" i="1"/>
  <c r="T172" i="1"/>
  <c r="U172" i="1" s="1"/>
  <c r="S172" i="1" s="1"/>
  <c r="AA171" i="1"/>
  <c r="X170" i="1"/>
  <c r="AG165" i="1"/>
  <c r="U165" i="1" s="1"/>
  <c r="S165" i="1" s="1"/>
  <c r="AG163" i="1"/>
  <c r="U163" i="1" s="1"/>
  <c r="S163" i="1" s="1"/>
  <c r="AA162" i="1"/>
  <c r="W162" i="1" s="1"/>
  <c r="T162" i="1"/>
  <c r="AA231" i="1"/>
  <c r="T229" i="1"/>
  <c r="U229" i="1" s="1"/>
  <c r="S229" i="1" s="1"/>
  <c r="AA228" i="1"/>
  <c r="X226" i="1"/>
  <c r="AG215" i="1"/>
  <c r="U215" i="1" s="1"/>
  <c r="S215" i="1" s="1"/>
  <c r="AG213" i="1"/>
  <c r="U213" i="1" s="1"/>
  <c r="S213" i="1" s="1"/>
  <c r="AA212" i="1"/>
  <c r="W212" i="1" s="1"/>
  <c r="T212" i="1"/>
  <c r="U212" i="1" s="1"/>
  <c r="S212" i="1" s="1"/>
  <c r="AA209" i="1"/>
  <c r="W209" i="1" s="1"/>
  <c r="AA158" i="1"/>
  <c r="AA154" i="1"/>
  <c r="AA150" i="1"/>
  <c r="AG142" i="1"/>
  <c r="AI142" i="1" s="1"/>
  <c r="T142" i="1"/>
  <c r="X142" i="1"/>
  <c r="AI133" i="1"/>
  <c r="AG123" i="1"/>
  <c r="T123" i="1"/>
  <c r="X123" i="1"/>
  <c r="AI60" i="1"/>
  <c r="X203" i="1"/>
  <c r="T195" i="1"/>
  <c r="U195" i="1" s="1"/>
  <c r="S195" i="1" s="1"/>
  <c r="X187" i="1"/>
  <c r="X166" i="1"/>
  <c r="U161" i="1"/>
  <c r="S161" i="1" s="1"/>
  <c r="X216" i="1"/>
  <c r="T147" i="1"/>
  <c r="AG147" i="1"/>
  <c r="W147" i="1" s="1"/>
  <c r="AG138" i="1"/>
  <c r="T138" i="1"/>
  <c r="X138" i="1"/>
  <c r="AI126" i="1"/>
  <c r="AI122" i="1"/>
  <c r="T109" i="1"/>
  <c r="X110" i="1"/>
  <c r="X102" i="1"/>
  <c r="AG102" i="1"/>
  <c r="T222" i="1"/>
  <c r="U222" i="1" s="1"/>
  <c r="S222" i="1" s="1"/>
  <c r="AG223" i="1"/>
  <c r="AA219" i="1"/>
  <c r="W219" i="1" s="1"/>
  <c r="T207" i="1"/>
  <c r="AA205" i="1"/>
  <c r="X199" i="1"/>
  <c r="AG196" i="1"/>
  <c r="AI196" i="1" s="1"/>
  <c r="AA192" i="1"/>
  <c r="W192" i="1" s="1"/>
  <c r="T191" i="1"/>
  <c r="U191" i="1" s="1"/>
  <c r="S191" i="1" s="1"/>
  <c r="AA189" i="1"/>
  <c r="AG181" i="1"/>
  <c r="U181" i="1" s="1"/>
  <c r="S181" i="1" s="1"/>
  <c r="AA234" i="1"/>
  <c r="W234" i="1" s="1"/>
  <c r="T234" i="1"/>
  <c r="AA178" i="1"/>
  <c r="X177" i="1"/>
  <c r="AG233" i="1"/>
  <c r="W233" i="1" s="1"/>
  <c r="AA170" i="1"/>
  <c r="W170" i="1" s="1"/>
  <c r="T170" i="1"/>
  <c r="U170" i="1" s="1"/>
  <c r="S170" i="1" s="1"/>
  <c r="AA167" i="1"/>
  <c r="W167" i="1" s="1"/>
  <c r="AA164" i="1"/>
  <c r="X162" i="1"/>
  <c r="AG227" i="1"/>
  <c r="U227" i="1" s="1"/>
  <c r="S227" i="1" s="1"/>
  <c r="AA226" i="1"/>
  <c r="W226" i="1" s="1"/>
  <c r="T226" i="1"/>
  <c r="AA217" i="1"/>
  <c r="AA214" i="1"/>
  <c r="X212" i="1"/>
  <c r="AG149" i="1"/>
  <c r="T149" i="1"/>
  <c r="T145" i="1"/>
  <c r="U145" i="1" s="1"/>
  <c r="S145" i="1" s="1"/>
  <c r="T143" i="1"/>
  <c r="AG143" i="1"/>
  <c r="AG141" i="1"/>
  <c r="T141" i="1"/>
  <c r="AG134" i="1"/>
  <c r="AI134" i="1" s="1"/>
  <c r="T134" i="1"/>
  <c r="X134" i="1"/>
  <c r="U118" i="1"/>
  <c r="S118" i="1" s="1"/>
  <c r="AI118" i="1"/>
  <c r="U82" i="1"/>
  <c r="AI82" i="1"/>
  <c r="T203" i="1"/>
  <c r="U203" i="1" s="1"/>
  <c r="S203" i="1" s="1"/>
  <c r="W188" i="1"/>
  <c r="T187" i="1"/>
  <c r="U187" i="1" s="1"/>
  <c r="S187" i="1" s="1"/>
  <c r="W213" i="1"/>
  <c r="X208" i="1"/>
  <c r="AG146" i="1"/>
  <c r="T146" i="1"/>
  <c r="U146" i="1" s="1"/>
  <c r="S146" i="1" s="1"/>
  <c r="T139" i="1"/>
  <c r="AG139" i="1"/>
  <c r="W139" i="1" s="1"/>
  <c r="AI137" i="1"/>
  <c r="AI114" i="1"/>
  <c r="AA144" i="1"/>
  <c r="AA140" i="1"/>
  <c r="T137" i="1"/>
  <c r="U137" i="1" s="1"/>
  <c r="S137" i="1" s="1"/>
  <c r="AA136" i="1"/>
  <c r="AA128" i="1"/>
  <c r="W128" i="1" s="1"/>
  <c r="T126" i="1"/>
  <c r="U126" i="1" s="1"/>
  <c r="S126" i="1" s="1"/>
  <c r="AA125" i="1"/>
  <c r="AA108" i="1"/>
  <c r="W108" i="1" s="1"/>
  <c r="T106" i="1"/>
  <c r="U106" i="1" s="1"/>
  <c r="S106" i="1" s="1"/>
  <c r="AA105" i="1"/>
  <c r="AA103" i="1"/>
  <c r="T103" i="1"/>
  <c r="AA100" i="1"/>
  <c r="AA63" i="1"/>
  <c r="AA53" i="1"/>
  <c r="W53" i="1" s="1"/>
  <c r="T53" i="1"/>
  <c r="X52" i="1"/>
  <c r="T41" i="1"/>
  <c r="U41" i="1" s="1"/>
  <c r="S41" i="1" s="1"/>
  <c r="AA38" i="1"/>
  <c r="AA35" i="1"/>
  <c r="AA22" i="1"/>
  <c r="X20" i="1"/>
  <c r="T17" i="1"/>
  <c r="T133" i="1"/>
  <c r="U133" i="1" s="1"/>
  <c r="S133" i="1" s="1"/>
  <c r="AI132" i="1"/>
  <c r="X126" i="1"/>
  <c r="T94" i="1"/>
  <c r="X90" i="1"/>
  <c r="AG88" i="1"/>
  <c r="AI88" i="1" s="1"/>
  <c r="AA84" i="1"/>
  <c r="AG83" i="1"/>
  <c r="X83" i="1"/>
  <c r="W82" i="1"/>
  <c r="AG74" i="1"/>
  <c r="AG72" i="1"/>
  <c r="U67" i="1"/>
  <c r="S67" i="1" s="1"/>
  <c r="X57" i="1"/>
  <c r="AA36" i="1"/>
  <c r="AA30" i="1"/>
  <c r="AA26" i="1"/>
  <c r="X24" i="1"/>
  <c r="T21" i="1"/>
  <c r="AG17" i="1"/>
  <c r="U17" i="1" s="1"/>
  <c r="S17" i="1" s="1"/>
  <c r="T16" i="1"/>
  <c r="U16" i="1" s="1"/>
  <c r="S16" i="1" s="1"/>
  <c r="AA14" i="1"/>
  <c r="AA149" i="1"/>
  <c r="AA146" i="1"/>
  <c r="W146" i="1" s="1"/>
  <c r="AA142" i="1"/>
  <c r="AA138" i="1"/>
  <c r="AG135" i="1"/>
  <c r="U135" i="1" s="1"/>
  <c r="S135" i="1" s="1"/>
  <c r="AA134" i="1"/>
  <c r="W134" i="1" s="1"/>
  <c r="AG124" i="1"/>
  <c r="U124" i="1" s="1"/>
  <c r="S124" i="1" s="1"/>
  <c r="AA123" i="1"/>
  <c r="X122" i="1"/>
  <c r="AA120" i="1"/>
  <c r="W120" i="1" s="1"/>
  <c r="X118" i="1"/>
  <c r="AA116" i="1"/>
  <c r="X114" i="1"/>
  <c r="AA112" i="1"/>
  <c r="W112" i="1" s="1"/>
  <c r="AA109" i="1"/>
  <c r="AA104" i="1"/>
  <c r="W104" i="1" s="1"/>
  <c r="AG103" i="1"/>
  <c r="AI103" i="1" s="1"/>
  <c r="AG100" i="1"/>
  <c r="AI100" i="1" s="1"/>
  <c r="AA96" i="1"/>
  <c r="AA95" i="1"/>
  <c r="AG94" i="1"/>
  <c r="AG91" i="1"/>
  <c r="W91" i="1" s="1"/>
  <c r="AI90" i="1"/>
  <c r="W87" i="1"/>
  <c r="AG84" i="1"/>
  <c r="U84" i="1" s="1"/>
  <c r="S84" i="1" s="1"/>
  <c r="AI78" i="1"/>
  <c r="W76" i="1"/>
  <c r="AG68" i="1"/>
  <c r="W68" i="1" s="1"/>
  <c r="U64" i="1"/>
  <c r="S64" i="1" s="1"/>
  <c r="AG62" i="1"/>
  <c r="X60" i="1"/>
  <c r="AA58" i="1"/>
  <c r="AI56" i="1"/>
  <c r="X53" i="1"/>
  <c r="AA49" i="1"/>
  <c r="T48" i="1"/>
  <c r="U48" i="1" s="1"/>
  <c r="S48" i="1" s="1"/>
  <c r="AA44" i="1"/>
  <c r="W44" i="1" s="1"/>
  <c r="AG41" i="1"/>
  <c r="AI41" i="1" s="1"/>
  <c r="AG38" i="1"/>
  <c r="AA37" i="1"/>
  <c r="W37" i="1" s="1"/>
  <c r="AA28" i="1"/>
  <c r="T25" i="1"/>
  <c r="AG21" i="1"/>
  <c r="AI21" i="1" s="1"/>
  <c r="T20" i="1"/>
  <c r="U20" i="1" s="1"/>
  <c r="S20" i="1" s="1"/>
  <c r="AA101" i="1"/>
  <c r="AA99" i="1"/>
  <c r="AG92" i="1"/>
  <c r="AA89" i="1"/>
  <c r="AA88" i="1"/>
  <c r="AA83" i="1"/>
  <c r="AG80" i="1"/>
  <c r="AG75" i="1"/>
  <c r="W75" i="1" s="1"/>
  <c r="AA73" i="1"/>
  <c r="AA72" i="1"/>
  <c r="AA67" i="1"/>
  <c r="AA65" i="1"/>
  <c r="W65" i="1" s="1"/>
  <c r="AG58" i="1"/>
  <c r="AI58" i="1" s="1"/>
  <c r="AA57" i="1"/>
  <c r="T57" i="1"/>
  <c r="U57" i="1" s="1"/>
  <c r="S57" i="1" s="1"/>
  <c r="X56" i="1"/>
  <c r="AA54" i="1"/>
  <c r="AA51" i="1"/>
  <c r="X50" i="1"/>
  <c r="AG49" i="1"/>
  <c r="U49" i="1" s="1"/>
  <c r="S49" i="1" s="1"/>
  <c r="AA33" i="1"/>
  <c r="AA32" i="1"/>
  <c r="AG30" i="1"/>
  <c r="U30" i="1" s="1"/>
  <c r="S30" i="1" s="1"/>
  <c r="AG25" i="1"/>
  <c r="T24" i="1"/>
  <c r="U24" i="1" s="1"/>
  <c r="S24" i="1" s="1"/>
  <c r="AA18" i="1"/>
  <c r="X16" i="1"/>
  <c r="AI208" i="1"/>
  <c r="AI216" i="1"/>
  <c r="U207" i="1"/>
  <c r="S207" i="1" s="1"/>
  <c r="W203" i="1"/>
  <c r="AI212" i="1"/>
  <c r="U192" i="1"/>
  <c r="S192" i="1" s="1"/>
  <c r="AI173" i="1"/>
  <c r="U226" i="1"/>
  <c r="S226" i="1" s="1"/>
  <c r="W216" i="1"/>
  <c r="AG224" i="1"/>
  <c r="AI224" i="1" s="1"/>
  <c r="AG220" i="1"/>
  <c r="AI220" i="1" s="1"/>
  <c r="AG205" i="1"/>
  <c r="AI205" i="1" s="1"/>
  <c r="AG201" i="1"/>
  <c r="AI201" i="1" s="1"/>
  <c r="AG197" i="1"/>
  <c r="AG193" i="1"/>
  <c r="AG189" i="1"/>
  <c r="AI189" i="1" s="1"/>
  <c r="AG185" i="1"/>
  <c r="W185" i="1" s="1"/>
  <c r="X183" i="1"/>
  <c r="X182" i="1"/>
  <c r="U166" i="1"/>
  <c r="S166" i="1" s="1"/>
  <c r="U216" i="1"/>
  <c r="S216" i="1" s="1"/>
  <c r="AG221" i="1"/>
  <c r="X220" i="1"/>
  <c r="AI229" i="1"/>
  <c r="AG206" i="1"/>
  <c r="X205" i="1"/>
  <c r="AI225" i="1"/>
  <c r="AG202" i="1"/>
  <c r="W202" i="1" s="1"/>
  <c r="X201" i="1"/>
  <c r="AI221" i="1"/>
  <c r="AG198" i="1"/>
  <c r="AI198" i="1" s="1"/>
  <c r="X197" i="1"/>
  <c r="AG194" i="1"/>
  <c r="X193" i="1"/>
  <c r="AG190" i="1"/>
  <c r="X189" i="1"/>
  <c r="AI209" i="1"/>
  <c r="AG186" i="1"/>
  <c r="W186" i="1" s="1"/>
  <c r="X185" i="1"/>
  <c r="U184" i="1"/>
  <c r="S184" i="1" s="1"/>
  <c r="U234" i="1"/>
  <c r="S234" i="1" s="1"/>
  <c r="AI181" i="1"/>
  <c r="U162" i="1"/>
  <c r="S162" i="1" s="1"/>
  <c r="X224" i="1"/>
  <c r="X221" i="1"/>
  <c r="X206" i="1"/>
  <c r="X202" i="1"/>
  <c r="X198" i="1"/>
  <c r="X194" i="1"/>
  <c r="X190" i="1"/>
  <c r="X186" i="1"/>
  <c r="T182" i="1"/>
  <c r="U182" i="1" s="1"/>
  <c r="S182" i="1" s="1"/>
  <c r="T179" i="1"/>
  <c r="X179" i="1"/>
  <c r="AG179" i="1"/>
  <c r="X180" i="1"/>
  <c r="AI193" i="1"/>
  <c r="U173" i="1"/>
  <c r="S173" i="1" s="1"/>
  <c r="AI177" i="1"/>
  <c r="AI161" i="1"/>
  <c r="U208" i="1"/>
  <c r="S208" i="1" s="1"/>
  <c r="AI157" i="1"/>
  <c r="AI153" i="1"/>
  <c r="AI146" i="1"/>
  <c r="AI138" i="1"/>
  <c r="X176" i="1"/>
  <c r="X172" i="1"/>
  <c r="X169" i="1"/>
  <c r="X165" i="1"/>
  <c r="X161" i="1"/>
  <c r="X229" i="1"/>
  <c r="X225" i="1"/>
  <c r="X215" i="1"/>
  <c r="X211" i="1"/>
  <c r="X160" i="1"/>
  <c r="X156" i="1"/>
  <c r="X145" i="1"/>
  <c r="X141" i="1"/>
  <c r="X137" i="1"/>
  <c r="T132" i="1"/>
  <c r="U132" i="1" s="1"/>
  <c r="S132" i="1" s="1"/>
  <c r="X132" i="1"/>
  <c r="X131" i="1"/>
  <c r="X130" i="1"/>
  <c r="T129" i="1"/>
  <c r="X129" i="1"/>
  <c r="AG129" i="1"/>
  <c r="W129" i="1" s="1"/>
  <c r="AI119" i="1"/>
  <c r="AI115" i="1"/>
  <c r="AI111" i="1"/>
  <c r="U233" i="1"/>
  <c r="S233" i="1" s="1"/>
  <c r="U231" i="1"/>
  <c r="S231" i="1" s="1"/>
  <c r="U209" i="1"/>
  <c r="S209" i="1" s="1"/>
  <c r="U158" i="1"/>
  <c r="S158" i="1" s="1"/>
  <c r="U128" i="1"/>
  <c r="S128" i="1" s="1"/>
  <c r="X181" i="1"/>
  <c r="X178" i="1"/>
  <c r="AG175" i="1"/>
  <c r="X174" i="1"/>
  <c r="AG171" i="1"/>
  <c r="X233" i="1"/>
  <c r="AG168" i="1"/>
  <c r="X167" i="1"/>
  <c r="AG164" i="1"/>
  <c r="AI164" i="1" s="1"/>
  <c r="X163" i="1"/>
  <c r="AG232" i="1"/>
  <c r="X231" i="1"/>
  <c r="AG228" i="1"/>
  <c r="X227" i="1"/>
  <c r="AG218" i="1"/>
  <c r="X217" i="1"/>
  <c r="AG214" i="1"/>
  <c r="X213" i="1"/>
  <c r="AG210" i="1"/>
  <c r="X209" i="1"/>
  <c r="AG159" i="1"/>
  <c r="X158" i="1"/>
  <c r="AG155" i="1"/>
  <c r="X154" i="1"/>
  <c r="AG151" i="1"/>
  <c r="AG148" i="1"/>
  <c r="AG144" i="1"/>
  <c r="X143" i="1"/>
  <c r="AG140" i="1"/>
  <c r="X139" i="1"/>
  <c r="AG136" i="1"/>
  <c r="X135" i="1"/>
  <c r="AI127" i="1"/>
  <c r="W123" i="1"/>
  <c r="AI107" i="1"/>
  <c r="X175" i="1"/>
  <c r="AI194" i="1"/>
  <c r="X171" i="1"/>
  <c r="X168" i="1"/>
  <c r="X164" i="1"/>
  <c r="AI182" i="1"/>
  <c r="X232" i="1"/>
  <c r="X228" i="1"/>
  <c r="X218" i="1"/>
  <c r="AI170" i="1"/>
  <c r="X214" i="1"/>
  <c r="AI166" i="1"/>
  <c r="X210" i="1"/>
  <c r="AI162" i="1"/>
  <c r="X159" i="1"/>
  <c r="X155" i="1"/>
  <c r="X144" i="1"/>
  <c r="AI143" i="1"/>
  <c r="X140" i="1"/>
  <c r="X136" i="1"/>
  <c r="U131" i="1"/>
  <c r="S131" i="1" s="1"/>
  <c r="AI131" i="1"/>
  <c r="AI123" i="1"/>
  <c r="W119" i="1"/>
  <c r="U104" i="1"/>
  <c r="S104" i="1" s="1"/>
  <c r="X128" i="1"/>
  <c r="AG125" i="1"/>
  <c r="W125" i="1" s="1"/>
  <c r="X124" i="1"/>
  <c r="AG121" i="1"/>
  <c r="X120" i="1"/>
  <c r="AG117" i="1"/>
  <c r="X116" i="1"/>
  <c r="AG113" i="1"/>
  <c r="X112" i="1"/>
  <c r="AG109" i="1"/>
  <c r="X108" i="1"/>
  <c r="AG105" i="1"/>
  <c r="X104" i="1"/>
  <c r="AG101" i="1"/>
  <c r="X100" i="1"/>
  <c r="T97" i="1"/>
  <c r="X97" i="1"/>
  <c r="AG97" i="1"/>
  <c r="AI96" i="1"/>
  <c r="X125" i="1"/>
  <c r="T125" i="1"/>
  <c r="X121" i="1"/>
  <c r="T121" i="1"/>
  <c r="X117" i="1"/>
  <c r="T117" i="1"/>
  <c r="X113" i="1"/>
  <c r="T113" i="1"/>
  <c r="X109" i="1"/>
  <c r="X105" i="1"/>
  <c r="X101" i="1"/>
  <c r="X98" i="1"/>
  <c r="U87" i="1"/>
  <c r="S87" i="1" s="1"/>
  <c r="X86" i="1"/>
  <c r="U83" i="1"/>
  <c r="S83" i="1" s="1"/>
  <c r="X82" i="1"/>
  <c r="U79" i="1"/>
  <c r="S79" i="1" s="1"/>
  <c r="X78" i="1"/>
  <c r="X74" i="1"/>
  <c r="U71" i="1"/>
  <c r="S71" i="1" s="1"/>
  <c r="X70" i="1"/>
  <c r="X65" i="1"/>
  <c r="AI57" i="1"/>
  <c r="U76" i="1"/>
  <c r="S76" i="1" s="1"/>
  <c r="U72" i="1"/>
  <c r="S72" i="1" s="1"/>
  <c r="X64" i="1"/>
  <c r="AG63" i="1"/>
  <c r="U53" i="1"/>
  <c r="S53" i="1" s="1"/>
  <c r="AI53" i="1"/>
  <c r="X96" i="1"/>
  <c r="AI95" i="1"/>
  <c r="AG93" i="1"/>
  <c r="W93" i="1" s="1"/>
  <c r="X92" i="1"/>
  <c r="AG89" i="1"/>
  <c r="X88" i="1"/>
  <c r="AI87" i="1"/>
  <c r="AG85" i="1"/>
  <c r="W85" i="1" s="1"/>
  <c r="X84" i="1"/>
  <c r="AI83" i="1"/>
  <c r="AG81" i="1"/>
  <c r="X80" i="1"/>
  <c r="AG77" i="1"/>
  <c r="X76" i="1"/>
  <c r="AG73" i="1"/>
  <c r="X72" i="1"/>
  <c r="AI71" i="1"/>
  <c r="AG69" i="1"/>
  <c r="X68" i="1"/>
  <c r="T65" i="1"/>
  <c r="U65" i="1" s="1"/>
  <c r="S65" i="1" s="1"/>
  <c r="X63" i="1"/>
  <c r="U62" i="1"/>
  <c r="S62" i="1" s="1"/>
  <c r="X93" i="1"/>
  <c r="X89" i="1"/>
  <c r="X85" i="1"/>
  <c r="AI84" i="1"/>
  <c r="X81" i="1"/>
  <c r="X77" i="1"/>
  <c r="AI76" i="1"/>
  <c r="X73" i="1"/>
  <c r="AI72" i="1"/>
  <c r="X69" i="1"/>
  <c r="AI65" i="1"/>
  <c r="AI62" i="1"/>
  <c r="AI61" i="1"/>
  <c r="W57" i="1"/>
  <c r="U46" i="1"/>
  <c r="S46" i="1" s="1"/>
  <c r="U58" i="1"/>
  <c r="S58" i="1" s="1"/>
  <c r="X44" i="1"/>
  <c r="T43" i="1"/>
  <c r="X43" i="1"/>
  <c r="T42" i="1"/>
  <c r="AI38" i="1"/>
  <c r="AI29" i="1"/>
  <c r="AI20" i="1"/>
  <c r="X66" i="1"/>
  <c r="X62" i="1"/>
  <c r="AG59" i="1"/>
  <c r="X58" i="1"/>
  <c r="AG55" i="1"/>
  <c r="X54" i="1"/>
  <c r="AG51" i="1"/>
  <c r="AA50" i="1"/>
  <c r="X48" i="1"/>
  <c r="T47" i="1"/>
  <c r="U47" i="1" s="1"/>
  <c r="S47" i="1" s="1"/>
  <c r="X47" i="1"/>
  <c r="AG43" i="1"/>
  <c r="AG42" i="1"/>
  <c r="U40" i="1"/>
  <c r="S40" i="1" s="1"/>
  <c r="T36" i="1"/>
  <c r="AA34" i="1"/>
  <c r="AI33" i="1"/>
  <c r="T32" i="1"/>
  <c r="T26" i="1"/>
  <c r="X26" i="1"/>
  <c r="AG26" i="1"/>
  <c r="T18" i="1"/>
  <c r="X18" i="1"/>
  <c r="AG18" i="1"/>
  <c r="X59" i="1"/>
  <c r="T59" i="1"/>
  <c r="X55" i="1"/>
  <c r="T55" i="1"/>
  <c r="X51" i="1"/>
  <c r="T51" i="1"/>
  <c r="T50" i="1"/>
  <c r="AI46" i="1"/>
  <c r="T35" i="1"/>
  <c r="T34" i="1"/>
  <c r="AI25" i="1"/>
  <c r="AI24" i="1"/>
  <c r="AI17" i="1"/>
  <c r="AI16" i="1"/>
  <c r="T14" i="1"/>
  <c r="AG14" i="1"/>
  <c r="AG50" i="1"/>
  <c r="X45" i="1"/>
  <c r="T44" i="1"/>
  <c r="U44" i="1" s="1"/>
  <c r="S44" i="1" s="1"/>
  <c r="AA42" i="1"/>
  <c r="X40" i="1"/>
  <c r="T39" i="1"/>
  <c r="U39" i="1" s="1"/>
  <c r="S39" i="1" s="1"/>
  <c r="AG35" i="1"/>
  <c r="W35" i="1" s="1"/>
  <c r="AG34" i="1"/>
  <c r="T28" i="1"/>
  <c r="T22" i="1"/>
  <c r="X22" i="1"/>
  <c r="AG22" i="1"/>
  <c r="W22" i="1" s="1"/>
  <c r="AG27" i="1"/>
  <c r="AG23" i="1"/>
  <c r="AG19" i="1"/>
  <c r="AG15" i="1"/>
  <c r="X27" i="1"/>
  <c r="X23" i="1"/>
  <c r="X19" i="1"/>
  <c r="X15" i="1"/>
  <c r="AD26" i="3"/>
  <c r="AD13" i="3"/>
  <c r="T20" i="3"/>
  <c r="Y20" i="3"/>
  <c r="Y30" i="3"/>
  <c r="Y29" i="3"/>
  <c r="Y18" i="3"/>
  <c r="AD20" i="3"/>
  <c r="Y23" i="3"/>
  <c r="Y8" i="3"/>
  <c r="Y7" i="3"/>
  <c r="AE32" i="3"/>
  <c r="AD30" i="3"/>
  <c r="AD21" i="3"/>
  <c r="AE21" i="3"/>
  <c r="AD18" i="3"/>
  <c r="AD12" i="3"/>
  <c r="AD8" i="3"/>
  <c r="Y31" i="3"/>
  <c r="AE28" i="3"/>
  <c r="AC30" i="3"/>
  <c r="T19" i="3"/>
  <c r="Y13" i="3"/>
  <c r="T24" i="3"/>
  <c r="AD17" i="3"/>
  <c r="AE17" i="3"/>
  <c r="T21" i="3"/>
  <c r="T14" i="3"/>
  <c r="AE11" i="3"/>
  <c r="AD9" i="3"/>
  <c r="AE9" i="3"/>
  <c r="Y19" i="3"/>
  <c r="Y24" i="3"/>
  <c r="Y14" i="3"/>
  <c r="AC32" i="3"/>
  <c r="T34" i="3"/>
  <c r="AE25" i="3"/>
  <c r="AE20" i="3"/>
  <c r="AC12" i="3"/>
  <c r="AE15" i="3"/>
  <c r="AE13" i="3"/>
  <c r="T7" i="3"/>
  <c r="AE19" i="3"/>
  <c r="T9" i="3"/>
  <c r="AE31" i="3"/>
  <c r="T27" i="3"/>
  <c r="AE27" i="3"/>
  <c r="T26" i="3"/>
  <c r="AE23" i="3"/>
  <c r="T29" i="3"/>
  <c r="AE34" i="3"/>
  <c r="T32" i="3"/>
  <c r="AD31" i="3"/>
  <c r="AE30" i="3"/>
  <c r="T15" i="3"/>
  <c r="AD27" i="3"/>
  <c r="AE26" i="3"/>
  <c r="T30" i="3"/>
  <c r="AD23" i="3"/>
  <c r="AE22" i="3"/>
  <c r="T25" i="3"/>
  <c r="AD19" i="3"/>
  <c r="AE18" i="3"/>
  <c r="T12" i="3"/>
  <c r="AD15" i="3"/>
  <c r="AE14" i="3"/>
  <c r="T8" i="3"/>
  <c r="AD11" i="3"/>
  <c r="AE10" i="3"/>
  <c r="T28" i="3"/>
  <c r="AC16" i="3"/>
  <c r="AD14" i="3"/>
  <c r="AD10" i="3"/>
  <c r="AE8" i="3"/>
  <c r="S33" i="3"/>
  <c r="M33" i="3"/>
  <c r="R33" i="3"/>
  <c r="U33" i="3"/>
  <c r="AD33" i="3" s="1"/>
  <c r="V33" i="3"/>
  <c r="W33" i="3"/>
  <c r="X33" i="3"/>
  <c r="U28" i="1" l="1"/>
  <c r="S28" i="1" s="1"/>
  <c r="U142" i="1"/>
  <c r="S142" i="1" s="1"/>
  <c r="W30" i="1"/>
  <c r="AI165" i="1"/>
  <c r="AI204" i="1"/>
  <c r="W197" i="1"/>
  <c r="W54" i="1"/>
  <c r="W28" i="1"/>
  <c r="U143" i="1"/>
  <c r="S143" i="1" s="1"/>
  <c r="U138" i="1"/>
  <c r="S138" i="1" s="1"/>
  <c r="U123" i="1"/>
  <c r="S123" i="1" s="1"/>
  <c r="W31" i="1"/>
  <c r="AI75" i="1"/>
  <c r="W140" i="1"/>
  <c r="AI185" i="1"/>
  <c r="W92" i="1"/>
  <c r="W141" i="1"/>
  <c r="W152" i="1"/>
  <c r="AI152" i="1"/>
  <c r="U219" i="1"/>
  <c r="S219" i="1" s="1"/>
  <c r="AI120" i="1"/>
  <c r="AI174" i="1"/>
  <c r="AI217" i="1"/>
  <c r="W36" i="1"/>
  <c r="AI110" i="1"/>
  <c r="W158" i="1"/>
  <c r="U36" i="1"/>
  <c r="S36" i="1" s="1"/>
  <c r="AI49" i="1"/>
  <c r="W77" i="1"/>
  <c r="W89" i="1"/>
  <c r="AI116" i="1"/>
  <c r="U112" i="1"/>
  <c r="S112" i="1" s="1"/>
  <c r="AI135" i="1"/>
  <c r="AI213" i="1"/>
  <c r="AI54" i="1"/>
  <c r="AI147" i="1"/>
  <c r="W136" i="1"/>
  <c r="W155" i="1"/>
  <c r="W232" i="1"/>
  <c r="U108" i="1"/>
  <c r="S108" i="1" s="1"/>
  <c r="U196" i="1"/>
  <c r="S196" i="1" s="1"/>
  <c r="W45" i="1"/>
  <c r="AI52" i="1"/>
  <c r="W96" i="1"/>
  <c r="W142" i="1"/>
  <c r="U66" i="1"/>
  <c r="S66" i="1" s="1"/>
  <c r="U134" i="1"/>
  <c r="S134" i="1" s="1"/>
  <c r="W143" i="1"/>
  <c r="U149" i="1"/>
  <c r="S149" i="1" s="1"/>
  <c r="U176" i="1"/>
  <c r="S176" i="1" s="1"/>
  <c r="W150" i="1"/>
  <c r="U223" i="1"/>
  <c r="S223" i="1" s="1"/>
  <c r="W110" i="1"/>
  <c r="W204" i="1"/>
  <c r="W17" i="1"/>
  <c r="W169" i="1"/>
  <c r="U88" i="1"/>
  <c r="S88" i="1" s="1"/>
  <c r="U91" i="1"/>
  <c r="S91" i="1" s="1"/>
  <c r="W228" i="1"/>
  <c r="W190" i="1"/>
  <c r="W227" i="1"/>
  <c r="W181" i="1"/>
  <c r="U75" i="1"/>
  <c r="S75" i="1" s="1"/>
  <c r="U100" i="1"/>
  <c r="S100" i="1" s="1"/>
  <c r="W33" i="1"/>
  <c r="W67" i="1"/>
  <c r="W80" i="1"/>
  <c r="W38" i="1"/>
  <c r="U70" i="1"/>
  <c r="S70" i="1" s="1"/>
  <c r="W116" i="1"/>
  <c r="W138" i="1"/>
  <c r="U45" i="1"/>
  <c r="S45" i="1" s="1"/>
  <c r="AI180" i="1"/>
  <c r="W217" i="1"/>
  <c r="U147" i="1"/>
  <c r="S147" i="1" s="1"/>
  <c r="W174" i="1"/>
  <c r="W71" i="1"/>
  <c r="W211" i="1"/>
  <c r="W25" i="1"/>
  <c r="W163" i="1"/>
  <c r="W180" i="1"/>
  <c r="AI37" i="1"/>
  <c r="AI68" i="1"/>
  <c r="AI92" i="1"/>
  <c r="AI99" i="1"/>
  <c r="AI150" i="1"/>
  <c r="W151" i="1"/>
  <c r="U98" i="1"/>
  <c r="S98" i="1" s="1"/>
  <c r="W90" i="1"/>
  <c r="W27" i="1"/>
  <c r="AI30" i="1"/>
  <c r="U38" i="1"/>
  <c r="S38" i="1" s="1"/>
  <c r="AI91" i="1"/>
  <c r="U80" i="1"/>
  <c r="S80" i="1" s="1"/>
  <c r="W42" i="1"/>
  <c r="W18" i="1"/>
  <c r="U32" i="1"/>
  <c r="S32" i="1" s="1"/>
  <c r="AI80" i="1"/>
  <c r="U68" i="1"/>
  <c r="S68" i="1" s="1"/>
  <c r="AI139" i="1"/>
  <c r="AI154" i="1"/>
  <c r="AI178" i="1"/>
  <c r="AI186" i="1"/>
  <c r="U139" i="1"/>
  <c r="S139" i="1" s="1"/>
  <c r="AI149" i="1"/>
  <c r="AI197" i="1"/>
  <c r="AI202" i="1"/>
  <c r="AI169" i="1"/>
  <c r="U188" i="1"/>
  <c r="S188" i="1" s="1"/>
  <c r="W95" i="1"/>
  <c r="W178" i="1"/>
  <c r="W231" i="1"/>
  <c r="W79" i="1"/>
  <c r="U92" i="1"/>
  <c r="S92" i="1" s="1"/>
  <c r="AI190" i="1"/>
  <c r="W32" i="1"/>
  <c r="W154" i="1"/>
  <c r="W86" i="1"/>
  <c r="AI124" i="1"/>
  <c r="U200" i="1"/>
  <c r="S200" i="1" s="1"/>
  <c r="W88" i="1"/>
  <c r="W99" i="1"/>
  <c r="U86" i="1"/>
  <c r="S86" i="1" s="1"/>
  <c r="W135" i="1"/>
  <c r="W149" i="1"/>
  <c r="U130" i="1"/>
  <c r="S130" i="1" s="1"/>
  <c r="U211" i="1"/>
  <c r="S211" i="1" s="1"/>
  <c r="U25" i="1"/>
  <c r="S25" i="1" s="1"/>
  <c r="W72" i="1"/>
  <c r="W83" i="1"/>
  <c r="U21" i="1"/>
  <c r="S21" i="1" s="1"/>
  <c r="W130" i="1"/>
  <c r="W70" i="1"/>
  <c r="AI233" i="1"/>
  <c r="W98" i="1"/>
  <c r="U103" i="1"/>
  <c r="S103" i="1" s="1"/>
  <c r="W66" i="1"/>
  <c r="W52" i="1"/>
  <c r="W176" i="1"/>
  <c r="AI232" i="1"/>
  <c r="U94" i="1"/>
  <c r="S94" i="1" s="1"/>
  <c r="AI94" i="1"/>
  <c r="W100" i="1"/>
  <c r="W196" i="1"/>
  <c r="W168" i="1"/>
  <c r="AI168" i="1"/>
  <c r="W21" i="1"/>
  <c r="U74" i="1"/>
  <c r="S74" i="1" s="1"/>
  <c r="AI74" i="1"/>
  <c r="W124" i="1"/>
  <c r="W74" i="1"/>
  <c r="W215" i="1"/>
  <c r="W165" i="1"/>
  <c r="W58" i="1"/>
  <c r="W41" i="1"/>
  <c r="W103" i="1"/>
  <c r="W94" i="1"/>
  <c r="U141" i="1"/>
  <c r="S141" i="1" s="1"/>
  <c r="AI141" i="1"/>
  <c r="U102" i="1"/>
  <c r="S102" i="1" s="1"/>
  <c r="AI102" i="1"/>
  <c r="W223" i="1"/>
  <c r="W102" i="1"/>
  <c r="AI228" i="1"/>
  <c r="W49" i="1"/>
  <c r="W84" i="1"/>
  <c r="U19" i="1"/>
  <c r="S19" i="1" s="1"/>
  <c r="AI19" i="1"/>
  <c r="AI14" i="1"/>
  <c r="U14" i="1"/>
  <c r="S14" i="1" s="1"/>
  <c r="U73" i="1"/>
  <c r="S73" i="1" s="1"/>
  <c r="AI73" i="1"/>
  <c r="U23" i="1"/>
  <c r="S23" i="1" s="1"/>
  <c r="AI23" i="1"/>
  <c r="AI34" i="1"/>
  <c r="U34" i="1"/>
  <c r="S34" i="1" s="1"/>
  <c r="W14" i="1"/>
  <c r="W34" i="1"/>
  <c r="AI55" i="1"/>
  <c r="U55" i="1"/>
  <c r="S55" i="1" s="1"/>
  <c r="W55" i="1"/>
  <c r="U69" i="1"/>
  <c r="S69" i="1" s="1"/>
  <c r="AI69" i="1"/>
  <c r="U85" i="1"/>
  <c r="S85" i="1" s="1"/>
  <c r="AI85" i="1"/>
  <c r="AI63" i="1"/>
  <c r="U63" i="1"/>
  <c r="S63" i="1" s="1"/>
  <c r="W69" i="1"/>
  <c r="U97" i="1"/>
  <c r="S97" i="1" s="1"/>
  <c r="AI97" i="1"/>
  <c r="AI101" i="1"/>
  <c r="U101" i="1"/>
  <c r="S101" i="1" s="1"/>
  <c r="AI105" i="1"/>
  <c r="U105" i="1"/>
  <c r="S105" i="1" s="1"/>
  <c r="AI113" i="1"/>
  <c r="U113" i="1"/>
  <c r="S113" i="1" s="1"/>
  <c r="AI121" i="1"/>
  <c r="U121" i="1"/>
  <c r="S121" i="1" s="1"/>
  <c r="W101" i="1"/>
  <c r="U198" i="1"/>
  <c r="S198" i="1" s="1"/>
  <c r="AI219" i="1"/>
  <c r="AI210" i="1"/>
  <c r="U189" i="1"/>
  <c r="S189" i="1" s="1"/>
  <c r="AI226" i="1"/>
  <c r="U205" i="1"/>
  <c r="S205" i="1" s="1"/>
  <c r="U35" i="1"/>
  <c r="S35" i="1" s="1"/>
  <c r="AI35" i="1"/>
  <c r="AI42" i="1"/>
  <c r="U42" i="1"/>
  <c r="S42" i="1" s="1"/>
  <c r="W50" i="1"/>
  <c r="U81" i="1"/>
  <c r="S81" i="1" s="1"/>
  <c r="AI81" i="1"/>
  <c r="W23" i="1"/>
  <c r="W73" i="1"/>
  <c r="U136" i="1"/>
  <c r="S136" i="1" s="1"/>
  <c r="AI136" i="1"/>
  <c r="U144" i="1"/>
  <c r="S144" i="1" s="1"/>
  <c r="AI144" i="1"/>
  <c r="U151" i="1"/>
  <c r="S151" i="1" s="1"/>
  <c r="AI151" i="1"/>
  <c r="U159" i="1"/>
  <c r="S159" i="1" s="1"/>
  <c r="AI159" i="1"/>
  <c r="U214" i="1"/>
  <c r="S214" i="1" s="1"/>
  <c r="AI167" i="1"/>
  <c r="U228" i="1"/>
  <c r="S228" i="1" s="1"/>
  <c r="AI175" i="1"/>
  <c r="U164" i="1"/>
  <c r="S164" i="1" s="1"/>
  <c r="AI183" i="1"/>
  <c r="U171" i="1"/>
  <c r="S171" i="1" s="1"/>
  <c r="AI191" i="1"/>
  <c r="W113" i="1"/>
  <c r="U179" i="1"/>
  <c r="S179" i="1" s="1"/>
  <c r="AI199" i="1"/>
  <c r="W179" i="1"/>
  <c r="U194" i="1"/>
  <c r="S194" i="1" s="1"/>
  <c r="AI215" i="1"/>
  <c r="U221" i="1"/>
  <c r="S221" i="1" s="1"/>
  <c r="AI231" i="1"/>
  <c r="AI214" i="1"/>
  <c r="U193" i="1"/>
  <c r="S193" i="1" s="1"/>
  <c r="AI230" i="1"/>
  <c r="U220" i="1"/>
  <c r="S220" i="1" s="1"/>
  <c r="W220" i="1"/>
  <c r="U15" i="1"/>
  <c r="S15" i="1" s="1"/>
  <c r="W15" i="1"/>
  <c r="AI15" i="1"/>
  <c r="AI22" i="1"/>
  <c r="U22" i="1"/>
  <c r="S22" i="1" s="1"/>
  <c r="AI18" i="1"/>
  <c r="U18" i="1"/>
  <c r="S18" i="1" s="1"/>
  <c r="AI43" i="1"/>
  <c r="U43" i="1"/>
  <c r="S43" i="1" s="1"/>
  <c r="AI51" i="1"/>
  <c r="U51" i="1"/>
  <c r="S51" i="1" s="1"/>
  <c r="AI59" i="1"/>
  <c r="U59" i="1"/>
  <c r="S59" i="1" s="1"/>
  <c r="W19" i="1"/>
  <c r="W51" i="1"/>
  <c r="U77" i="1"/>
  <c r="S77" i="1" s="1"/>
  <c r="AI77" i="1"/>
  <c r="U93" i="1"/>
  <c r="S93" i="1" s="1"/>
  <c r="AI93" i="1"/>
  <c r="W43" i="1"/>
  <c r="W59" i="1"/>
  <c r="W63" i="1"/>
  <c r="W81" i="1"/>
  <c r="AI109" i="1"/>
  <c r="U109" i="1"/>
  <c r="S109" i="1" s="1"/>
  <c r="AI117" i="1"/>
  <c r="U117" i="1"/>
  <c r="S117" i="1" s="1"/>
  <c r="AI125" i="1"/>
  <c r="U125" i="1"/>
  <c r="S125" i="1" s="1"/>
  <c r="W97" i="1"/>
  <c r="W117" i="1"/>
  <c r="AI129" i="1"/>
  <c r="U129" i="1"/>
  <c r="S129" i="1" s="1"/>
  <c r="W214" i="1"/>
  <c r="U190" i="1"/>
  <c r="S190" i="1" s="1"/>
  <c r="AI211" i="1"/>
  <c r="U206" i="1"/>
  <c r="S206" i="1" s="1"/>
  <c r="AI227" i="1"/>
  <c r="W171" i="1"/>
  <c r="AI218" i="1"/>
  <c r="U197" i="1"/>
  <c r="S197" i="1" s="1"/>
  <c r="AI234" i="1"/>
  <c r="U224" i="1"/>
  <c r="S224" i="1" s="1"/>
  <c r="W144" i="1"/>
  <c r="W159" i="1"/>
  <c r="W205" i="1"/>
  <c r="W221" i="1"/>
  <c r="U27" i="1"/>
  <c r="S27" i="1" s="1"/>
  <c r="AI27" i="1"/>
  <c r="AI50" i="1"/>
  <c r="U50" i="1"/>
  <c r="S50" i="1" s="1"/>
  <c r="AI26" i="1"/>
  <c r="U26" i="1"/>
  <c r="S26" i="1" s="1"/>
  <c r="W26" i="1"/>
  <c r="U89" i="1"/>
  <c r="S89" i="1" s="1"/>
  <c r="AI89" i="1"/>
  <c r="W109" i="1"/>
  <c r="U140" i="1"/>
  <c r="S140" i="1" s="1"/>
  <c r="AI140" i="1"/>
  <c r="U148" i="1"/>
  <c r="S148" i="1" s="1"/>
  <c r="AI148" i="1"/>
  <c r="U155" i="1"/>
  <c r="S155" i="1" s="1"/>
  <c r="AI155" i="1"/>
  <c r="U210" i="1"/>
  <c r="S210" i="1" s="1"/>
  <c r="AI163" i="1"/>
  <c r="U218" i="1"/>
  <c r="S218" i="1" s="1"/>
  <c r="AI171" i="1"/>
  <c r="U232" i="1"/>
  <c r="S232" i="1" s="1"/>
  <c r="AI179" i="1"/>
  <c r="U168" i="1"/>
  <c r="S168" i="1" s="1"/>
  <c r="AI187" i="1"/>
  <c r="U175" i="1"/>
  <c r="S175" i="1" s="1"/>
  <c r="AI195" i="1"/>
  <c r="W121" i="1"/>
  <c r="W105" i="1"/>
  <c r="W164" i="1"/>
  <c r="W218" i="1"/>
  <c r="U186" i="1"/>
  <c r="S186" i="1" s="1"/>
  <c r="AI207" i="1"/>
  <c r="U202" i="1"/>
  <c r="S202" i="1" s="1"/>
  <c r="AI223" i="1"/>
  <c r="AI206" i="1"/>
  <c r="U185" i="1"/>
  <c r="S185" i="1" s="1"/>
  <c r="AI222" i="1"/>
  <c r="U201" i="1"/>
  <c r="S201" i="1" s="1"/>
  <c r="W148" i="1"/>
  <c r="W210" i="1"/>
  <c r="W175" i="1"/>
  <c r="W189" i="1"/>
  <c r="W194" i="1"/>
  <c r="W193" i="1"/>
  <c r="W198" i="1"/>
  <c r="W224" i="1"/>
  <c r="W201" i="1"/>
  <c r="W206" i="1"/>
  <c r="AE33" i="3"/>
  <c r="AC33" i="3"/>
  <c r="Y33" i="3"/>
  <c r="T33" i="3"/>
  <c r="B3" i="6" l="1"/>
  <c r="M28" i="5" l="1"/>
  <c r="M23" i="5" l="1"/>
  <c r="AD7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6" i="3" s="1"/>
  <c r="G29" i="4"/>
  <c r="G30" i="4"/>
  <c r="G31" i="4"/>
  <c r="G32" i="4"/>
  <c r="G33" i="4"/>
  <c r="G34" i="4"/>
  <c r="G35" i="4"/>
  <c r="G36" i="4"/>
  <c r="N11" i="3" s="1"/>
  <c r="G37" i="4"/>
  <c r="G38" i="4"/>
  <c r="G39" i="4"/>
  <c r="G40" i="4"/>
  <c r="G41" i="4"/>
  <c r="G42" i="4"/>
  <c r="N28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7" i="3" s="1"/>
  <c r="G73" i="4"/>
  <c r="G74" i="4"/>
  <c r="G75" i="4"/>
  <c r="G76" i="4"/>
  <c r="N17" i="3" s="1"/>
  <c r="G77" i="4"/>
  <c r="G78" i="4"/>
  <c r="G79" i="4"/>
  <c r="G80" i="4"/>
  <c r="G81" i="4"/>
  <c r="G82" i="4"/>
  <c r="G83" i="4"/>
  <c r="G84" i="4"/>
  <c r="G85" i="4"/>
  <c r="G86" i="4"/>
  <c r="N8" i="3" s="1"/>
  <c r="G87" i="4"/>
  <c r="G88" i="4"/>
  <c r="N14" i="3" s="1"/>
  <c r="G89" i="4"/>
  <c r="G90" i="4"/>
  <c r="G91" i="4"/>
  <c r="G92" i="4"/>
  <c r="G93" i="4"/>
  <c r="G94" i="4"/>
  <c r="G95" i="4"/>
  <c r="G96" i="4"/>
  <c r="G97" i="4"/>
  <c r="G98" i="4"/>
  <c r="N9" i="3" s="1"/>
  <c r="G99" i="4"/>
  <c r="G100" i="4"/>
  <c r="G101" i="4"/>
  <c r="N12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24" i="3" s="1"/>
  <c r="G127" i="4"/>
  <c r="G128" i="4"/>
  <c r="G129" i="4"/>
  <c r="G130" i="4"/>
  <c r="G131" i="4"/>
  <c r="N25" i="3" s="1"/>
  <c r="G132" i="4"/>
  <c r="G133" i="4"/>
  <c r="G134" i="4"/>
  <c r="N18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29" i="3" s="1"/>
  <c r="G157" i="4"/>
  <c r="G158" i="4"/>
  <c r="G159" i="4"/>
  <c r="G160" i="4"/>
  <c r="G161" i="4"/>
  <c r="G162" i="4"/>
  <c r="G163" i="4"/>
  <c r="G164" i="4"/>
  <c r="G165" i="4"/>
  <c r="N26" i="3" s="1"/>
  <c r="G166" i="4"/>
  <c r="G167" i="4"/>
  <c r="N30" i="3" s="1"/>
  <c r="G168" i="4"/>
  <c r="G169" i="4"/>
  <c r="G170" i="4"/>
  <c r="G171" i="4"/>
  <c r="G172" i="4"/>
  <c r="G173" i="4"/>
  <c r="G174" i="4"/>
  <c r="G175" i="4"/>
  <c r="G176" i="4"/>
  <c r="N34" i="3" s="1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31" i="3" s="1"/>
  <c r="G190" i="4"/>
  <c r="G191" i="4"/>
  <c r="G192" i="4"/>
  <c r="G193" i="4"/>
  <c r="N27" i="3" s="1"/>
  <c r="G194" i="4"/>
  <c r="G195" i="4"/>
  <c r="G196" i="4"/>
  <c r="G197" i="4"/>
  <c r="G198" i="4"/>
  <c r="G199" i="4"/>
  <c r="G200" i="4"/>
  <c r="G201" i="4"/>
  <c r="G202" i="4"/>
  <c r="N10" i="3" s="1"/>
  <c r="G203" i="4"/>
  <c r="G204" i="4"/>
  <c r="G205" i="4"/>
  <c r="G206" i="4"/>
  <c r="G207" i="4"/>
  <c r="G208" i="4"/>
  <c r="G209" i="4"/>
  <c r="G210" i="4"/>
  <c r="G211" i="4"/>
  <c r="G212" i="4"/>
  <c r="N32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3" i="3" l="1"/>
  <c r="N19" i="3"/>
  <c r="N23" i="3"/>
  <c r="N22" i="3"/>
  <c r="N21" i="3"/>
  <c r="N15" i="3"/>
  <c r="N20" i="3"/>
  <c r="N33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<sst xmlns="http://schemas.openxmlformats.org/spreadsheetml/2006/main" count="2852" uniqueCount="1033">
  <si>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</si>
  <si>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</si>
  <si>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</si>
  <si>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</si>
  <si>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</si>
  <si>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</si>
  <si>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</si>
  <si>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</si>
  <si>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</si>
  <si>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</si>
  <si>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</si>
  <si>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</si>
  <si>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</si>
  <si>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</si>
  <si>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</si>
  <si>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</si>
  <si>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</si>
  <si>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</si>
  <si>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</si>
  <si>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</si>
  <si>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</si>
  <si>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</si>
  <si>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</si>
  <si>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</si>
  <si>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</si>
  <si>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</si>
  <si>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</si>
  <si>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</si>
  <si>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</si>
  <si>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</si>
  <si>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</si>
  <si>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</si>
  <si>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</si>
  <si>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</si>
  <si>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</si>
  <si>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</si>
  <si>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</si>
  <si>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</si>
  <si>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</si>
  <si>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</si>
  <si>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</si>
  <si>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</si>
  <si>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</si>
  <si>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</si>
  <si>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</si>
  <si>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</si>
  <si>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</si>
  <si>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</si>
  <si>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</si>
  <si>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</si>
  <si>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</si>
  <si>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</si>
  <si>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</si>
  <si>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</si>
  <si>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</si>
  <si>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</si>
  <si>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</si>
  <si>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</si>
  <si>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</si>
  <si>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</si>
  <si>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</si>
  <si>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</si>
  <si>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</si>
  <si>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</si>
  <si>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</si>
  <si>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</si>
  <si>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</si>
  <si>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</si>
  <si>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</si>
  <si>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</si>
  <si>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</si>
  <si>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</si>
  <si>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</si>
  <si>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</si>
  <si>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</si>
  <si>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</si>
  <si>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</si>
  <si>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</si>
  <si>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</si>
  <si>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</si>
  <si>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</si>
  <si>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</si>
  <si>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</si>
  <si>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</si>
  <si>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</si>
  <si>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</si>
  <si>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</si>
  <si>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</si>
  <si>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</si>
  <si>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</si>
  <si>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</si>
  <si>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</si>
  <si>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</si>
  <si>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</si>
  <si>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</si>
  <si>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</si>
  <si>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</si>
  <si>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</si>
  <si>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</si>
  <si>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</si>
  <si>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</si>
  <si>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</si>
  <si>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</si>
  <si>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</si>
  <si>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</si>
  <si>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</si>
  <si>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</si>
  <si>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</si>
  <si>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</si>
  <si>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</si>
  <si>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</si>
  <si>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</si>
  <si>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</si>
  <si>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</si>
  <si>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</si>
  <si>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</si>
  <si>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</si>
  <si>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</si>
  <si>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</si>
  <si>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</si>
  <si>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</si>
  <si>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</si>
  <si>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</si>
  <si>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</si>
  <si>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</si>
  <si>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</si>
  <si>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</si>
  <si>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</si>
  <si>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</si>
  <si>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</si>
  <si>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</si>
  <si>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</si>
  <si>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</si>
  <si>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</si>
  <si>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</si>
  <si>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</si>
  <si>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</si>
  <si>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</si>
  <si>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</si>
  <si>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</si>
  <si>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</si>
  <si>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</si>
  <si>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</si>
  <si>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</si>
  <si>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</si>
  <si>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</si>
  <si>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</si>
  <si>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</si>
  <si>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</si>
  <si>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</si>
  <si>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</si>
  <si>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</si>
  <si>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</si>
  <si>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</si>
  <si>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</si>
  <si>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</si>
  <si>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</si>
  <si>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</si>
  <si>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</si>
  <si>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</si>
  <si>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</si>
  <si>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</si>
  <si>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</si>
  <si>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</si>
  <si>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</si>
  <si>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</si>
  <si>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</si>
  <si>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</si>
  <si>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</si>
  <si>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</si>
  <si>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</si>
  <si>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</si>
  <si>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</si>
  <si>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</si>
  <si>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</si>
  <si>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</si>
  <si>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</si>
  <si>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</si>
  <si>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</si>
  <si>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</si>
  <si>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</si>
  <si>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</si>
  <si>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</si>
  <si>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</si>
  <si>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</si>
  <si>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</si>
  <si>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</si>
  <si>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</si>
  <si>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</si>
  <si>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</si>
  <si>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</si>
  <si>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</si>
  <si>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</si>
  <si>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</si>
  <si>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</si>
  <si>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</si>
  <si>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</si>
  <si>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</si>
  <si>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</si>
  <si>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</si>
  <si>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</si>
  <si>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</si>
  <si>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</si>
  <si>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</si>
  <si>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</si>
  <si>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</si>
  <si>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</si>
  <si>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</si>
  <si>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</si>
  <si>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</si>
  <si>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</si>
  <si>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</si>
  <si>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</si>
  <si>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</si>
  <si>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</si>
  <si>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</si>
  <si>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</si>
  <si>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</si>
  <si>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</si>
  <si>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</si>
  <si>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</si>
  <si>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</si>
  <si>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</si>
  <si>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</si>
  <si>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</si>
  <si>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</si>
  <si>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</si>
  <si>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</si>
  <si>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</si>
  <si>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</si>
  <si>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</si>
  <si>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</si>
  <si>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</si>
  <si>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</si>
  <si>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</si>
  <si>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</si>
  <si>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</si>
  <si>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</si>
  <si>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</si>
  <si>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</si>
  <si>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</si>
  <si>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</si>
  <si>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</si>
  <si>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</si>
  <si>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</si>
  <si>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</si>
  <si>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</si>
  <si>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</si>
  <si>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</si>
  <si>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</si>
  <si>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</si>
  <si>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</si>
  <si>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</si>
  <si>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</si>
  <si>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</si>
  <si>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</si>
  <si>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</si>
  <si>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</si>
  <si>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</si>
  <si>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</si>
  <si>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</si>
  <si>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</si>
  <si>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</si>
  <si>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</si>
  <si>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</si>
  <si>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</si>
  <si>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</si>
  <si>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</si>
  <si>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</si>
  <si>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</si>
  <si>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</si>
  <si>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</si>
  <si>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</si>
  <si>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</si>
  <si>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</si>
  <si>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</si>
  <si>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</si>
  <si>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</si>
  <si>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</si>
  <si>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</si>
  <si>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</si>
  <si>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</si>
  <si>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</si>
  <si>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</si>
  <si>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</si>
  <si>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</si>
  <si>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</si>
  <si>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</si>
  <si>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</si>
  <si>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</si>
  <si>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</si>
  <si>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</si>
  <si>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</si>
  <si>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</si>
  <si>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</si>
  <si>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</si>
  <si>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</si>
  <si>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</si>
  <si>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</si>
  <si>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</si>
  <si>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</si>
  <si>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</si>
  <si>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</si>
  <si>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</si>
  <si>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</si>
  <si>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</si>
  <si>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</si>
  <si>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</si>
  <si>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</si>
  <si>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</si>
  <si>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</si>
  <si>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</si>
  <si>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</si>
  <si>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</si>
  <si>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</si>
  <si>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</si>
  <si>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</si>
  <si>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</si>
  <si>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</si>
  <si>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</si>
  <si>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</si>
  <si>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</si>
  <si>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</si>
  <si>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</si>
  <si>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</si>
  <si>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</si>
  <si>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</si>
  <si>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</si>
  <si>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</si>
  <si>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</si>
  <si>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</si>
  <si>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</si>
  <si>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</si>
  <si>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</si>
  <si>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</si>
  <si>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</si>
  <si>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</si>
  <si>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</si>
  <si>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</si>
  <si>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</si>
  <si>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</si>
  <si>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</si>
  <si>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</si>
  <si>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</si>
  <si>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</si>
  <si>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</si>
  <si>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</si>
  <si>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</si>
  <si>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</si>
  <si>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</si>
  <si>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</si>
  <si>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</si>
  <si>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</si>
  <si>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</si>
  <si>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</si>
  <si>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</si>
  <si>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</si>
  <si>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</si>
  <si>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</si>
  <si>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</si>
  <si>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</si>
  <si>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</si>
  <si>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</si>
  <si>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</si>
  <si>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</si>
  <si>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</si>
  <si>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</si>
  <si>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</si>
  <si>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</si>
  <si>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</si>
  <si>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</si>
  <si>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</si>
  <si>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</si>
  <si>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</si>
  <si>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</si>
  <si>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</si>
  <si>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</si>
  <si>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</si>
  <si>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</si>
  <si>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</si>
  <si>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</si>
  <si>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</si>
  <si>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</si>
  <si>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</si>
  <si>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</si>
  <si>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</si>
  <si>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</si>
  <si>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</si>
  <si>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</si>
  <si>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</si>
  <si>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</si>
  <si>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</si>
  <si>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</si>
  <si>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</si>
  <si>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</si>
  <si>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</si>
  <si>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</si>
  <si>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</si>
  <si>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</si>
  <si>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</si>
  <si>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</si>
  <si>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</si>
  <si>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</si>
  <si>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</si>
  <si>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</si>
  <si>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</si>
  <si>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</si>
  <si>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</si>
  <si>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</si>
  <si>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</si>
  <si>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204:232989</t>
  </si>
  <si>
    <t>204:446</t>
  </si>
  <si>
    <t>rtdc.l.rtdc.4009:itc</t>
  </si>
  <si>
    <t>rtdc.l.rtdc.4045:itc</t>
  </si>
  <si>
    <t>204:471</t>
  </si>
  <si>
    <t>204:233297</t>
  </si>
  <si>
    <t>204:145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</si>
  <si>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</si>
  <si>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</si>
  <si>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</si>
  <si>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</si>
  <si>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</si>
  <si>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</si>
  <si>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</si>
  <si>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</si>
  <si>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</si>
  <si>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</si>
  <si>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</si>
  <si>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204:165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</si>
  <si>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</si>
  <si>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</si>
  <si>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</si>
  <si>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</si>
  <si>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</si>
  <si>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</si>
  <si>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</si>
  <si>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</si>
  <si>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</si>
  <si>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</si>
  <si>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</si>
  <si>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</si>
  <si>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</si>
  <si>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</si>
  <si>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</si>
  <si>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</si>
  <si>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</si>
  <si>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</si>
  <si>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</si>
  <si>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</si>
  <si>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</si>
  <si>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</si>
  <si>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</si>
  <si>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</si>
  <si>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204:233312</t>
  </si>
  <si>
    <t>YANAI</t>
  </si>
  <si>
    <t>IAN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</si>
  <si>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</si>
  <si>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</si>
  <si>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</si>
  <si>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</si>
  <si>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</si>
  <si>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</si>
  <si>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</si>
  <si>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</si>
  <si>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</si>
  <si>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</si>
  <si>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204:233306</t>
  </si>
  <si>
    <t>204:232980</t>
  </si>
  <si>
    <t>204:467</t>
  </si>
  <si>
    <t>204:233291</t>
  </si>
  <si>
    <t>204:233002</t>
  </si>
  <si>
    <t>204:464</t>
  </si>
  <si>
    <t>rtdc.l.rtdc.4054:itc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</si>
  <si>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</si>
  <si>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</si>
  <si>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</si>
  <si>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</si>
  <si>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</si>
  <si>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</si>
  <si>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</si>
  <si>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</si>
  <si>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</si>
  <si>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</si>
  <si>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</si>
  <si>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</si>
  <si>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204:232973</t>
  </si>
  <si>
    <t>SAFIEF</t>
  </si>
  <si>
    <t>AEIMEN</t>
  </si>
  <si>
    <t>rtdc.l.rtdc.4040:itc</t>
  </si>
  <si>
    <t>204:150</t>
  </si>
  <si>
    <t>204:233280</t>
  </si>
  <si>
    <t>204:232972</t>
  </si>
  <si>
    <t>204:233325</t>
  </si>
  <si>
    <t>300:58935</t>
  </si>
  <si>
    <t>204:447</t>
  </si>
  <si>
    <t>204:170</t>
  </si>
  <si>
    <t>204:473</t>
  </si>
  <si>
    <t>204:233314</t>
  </si>
  <si>
    <t>WILLIAMS</t>
  </si>
  <si>
    <t>DONTE</t>
  </si>
  <si>
    <t>MENGES</t>
  </si>
  <si>
    <t>BRAD</t>
  </si>
  <si>
    <t>FORTUNATO</t>
  </si>
  <si>
    <t>FRANK</t>
  </si>
  <si>
    <t>313-10</t>
  </si>
  <si>
    <t>partly-cloudy-night</t>
  </si>
  <si>
    <t>204:233303</t>
  </si>
  <si>
    <t>204:167</t>
  </si>
  <si>
    <t>204:149</t>
  </si>
  <si>
    <t>204:232998</t>
  </si>
  <si>
    <t>204:143</t>
  </si>
  <si>
    <t>204:232996</t>
  </si>
  <si>
    <t>204:475</t>
  </si>
  <si>
    <t>204:967</t>
  </si>
  <si>
    <t>s</t>
  </si>
  <si>
    <t>rtdc.l.rtdc.4011:itc</t>
  </si>
  <si>
    <t>rtdc.l.rtdc.4032:itc</t>
  </si>
  <si>
    <t>COOLAHAN</t>
  </si>
  <si>
    <t>rtdc.l.rtdc.4024:itc</t>
  </si>
  <si>
    <t>204:130</t>
  </si>
  <si>
    <t>204:442</t>
  </si>
  <si>
    <t>204:233301</t>
  </si>
  <si>
    <t>204:440</t>
  </si>
  <si>
    <t>204:233015</t>
  </si>
  <si>
    <t>204:233013</t>
  </si>
  <si>
    <t>204:232994</t>
  </si>
  <si>
    <t>300:23346</t>
  </si>
  <si>
    <t>204:1027</t>
  </si>
  <si>
    <t>300:58670</t>
  </si>
  <si>
    <t>300:58950</t>
  </si>
  <si>
    <t>204:694</t>
  </si>
  <si>
    <t>BADERTSCHER</t>
  </si>
  <si>
    <t>DIANE</t>
  </si>
  <si>
    <t>ROCHA</t>
  </si>
  <si>
    <t>YAOTL</t>
  </si>
  <si>
    <t>LOZA</t>
  </si>
  <si>
    <t>FIDEL</t>
  </si>
  <si>
    <t>DE LA ROSA</t>
  </si>
  <si>
    <t>ALEX</t>
  </si>
  <si>
    <t>DELGADO</t>
  </si>
  <si>
    <t>DIANAH</t>
  </si>
  <si>
    <t>MCREYNOLDS</t>
  </si>
  <si>
    <t>KYLE</t>
  </si>
  <si>
    <t>204:233319</t>
  </si>
  <si>
    <t>204:438</t>
  </si>
  <si>
    <t>204:232981</t>
  </si>
  <si>
    <t>204:139</t>
  </si>
  <si>
    <t>204:233305</t>
  </si>
  <si>
    <t>204:232982</t>
  </si>
  <si>
    <t>204:232988</t>
  </si>
  <si>
    <t>204:232967</t>
  </si>
  <si>
    <t>204:233288</t>
  </si>
  <si>
    <t>204:232983</t>
  </si>
  <si>
    <t>204:123</t>
  </si>
  <si>
    <t>204:233346</t>
  </si>
  <si>
    <t>204:232971</t>
  </si>
  <si>
    <t>204:163</t>
  </si>
  <si>
    <t>204:969</t>
  </si>
  <si>
    <t>204:682</t>
  </si>
  <si>
    <t>204:976</t>
  </si>
  <si>
    <t>300:58636</t>
  </si>
  <si>
    <t>204:666</t>
  </si>
  <si>
    <t>204:986</t>
  </si>
  <si>
    <t>300:58632</t>
  </si>
  <si>
    <t>300:58937</t>
  </si>
  <si>
    <t>300:58995</t>
  </si>
  <si>
    <t>rtdc.l.rtdc.4026:itc</t>
  </si>
  <si>
    <t>SIGNAL</t>
  </si>
  <si>
    <t>Signal based authority (5)</t>
  </si>
  <si>
    <t>rtdc.l.rtdc.4023:itc</t>
  </si>
  <si>
    <t>rtdc.l.rtdc.4005:itc</t>
  </si>
  <si>
    <t>SWITCH ALIGNMENT</t>
  </si>
  <si>
    <t>Track device (7)</t>
  </si>
  <si>
    <t>Y</t>
  </si>
  <si>
    <t>ACKERMAN</t>
  </si>
  <si>
    <t>JARED</t>
  </si>
  <si>
    <t>SHOOK</t>
  </si>
  <si>
    <t>CLARK</t>
  </si>
  <si>
    <t>KATHLEEN</t>
  </si>
  <si>
    <t>BRANDNER</t>
  </si>
  <si>
    <t>MELINDA</t>
  </si>
  <si>
    <t>BRUDER</t>
  </si>
  <si>
    <t>RICHARD</t>
  </si>
  <si>
    <t>PERKINS</t>
  </si>
  <si>
    <t>DARREN</t>
  </si>
  <si>
    <t>242-13</t>
  </si>
  <si>
    <t>309-13</t>
  </si>
  <si>
    <t>244-13</t>
  </si>
  <si>
    <t>precipType</t>
  </si>
  <si>
    <t>partly-cloudy-day</t>
  </si>
  <si>
    <t>rain</t>
  </si>
  <si>
    <t>204:232642</t>
  </si>
  <si>
    <t>204:232677</t>
  </si>
  <si>
    <t>204:233284</t>
  </si>
  <si>
    <t>204:466</t>
  </si>
  <si>
    <t>204:232955</t>
  </si>
  <si>
    <t>204:233324</t>
  </si>
  <si>
    <t>204:233274</t>
  </si>
  <si>
    <t>204:132</t>
  </si>
  <si>
    <t>204:233276</t>
  </si>
  <si>
    <t>204:233320</t>
  </si>
  <si>
    <t>204:233286</t>
  </si>
  <si>
    <t>204:232957</t>
  </si>
  <si>
    <t>204:233315</t>
  </si>
  <si>
    <t>204:232984</t>
  </si>
  <si>
    <t>204:233302</t>
  </si>
  <si>
    <t>204:482</t>
  </si>
  <si>
    <t>204:156</t>
  </si>
  <si>
    <t>300:23302</t>
  </si>
  <si>
    <t>204:746</t>
  </si>
  <si>
    <t>204:689</t>
  </si>
  <si>
    <t>300:58681</t>
  </si>
  <si>
    <t>204:738</t>
  </si>
  <si>
    <t>204:1030</t>
  </si>
  <si>
    <t>300:58679</t>
  </si>
  <si>
    <t>300:58960</t>
  </si>
  <si>
    <t>300:58649</t>
  </si>
  <si>
    <t>300:58954</t>
  </si>
  <si>
    <t>204:680</t>
  </si>
  <si>
    <t>204:988</t>
  </si>
  <si>
    <t>300:58638</t>
  </si>
  <si>
    <t>300:58963</t>
  </si>
  <si>
    <t>300:58645</t>
  </si>
  <si>
    <t>204:971</t>
  </si>
  <si>
    <t>204:979</t>
  </si>
  <si>
    <t>300:58958</t>
  </si>
  <si>
    <t>300:58992</t>
  </si>
  <si>
    <t>start /low /b %USERPROFILE%\Documents\GitHub\eaglep3\Utilities\DownloadLogsFromS3.py --loco 4009 --day 2017-04-14</t>
  </si>
  <si>
    <t>901-14</t>
  </si>
  <si>
    <t>108-14</t>
  </si>
  <si>
    <t>114-14</t>
  </si>
  <si>
    <t>805-14</t>
  </si>
  <si>
    <t>138-14</t>
  </si>
  <si>
    <t>147-14</t>
  </si>
  <si>
    <t>150-14</t>
  </si>
  <si>
    <t>148-14</t>
  </si>
  <si>
    <t>159-14</t>
  </si>
  <si>
    <t>165-14</t>
  </si>
  <si>
    <t>158-14</t>
  </si>
  <si>
    <t>183-14</t>
  </si>
  <si>
    <t>rtdc.l.rtdc.4039:itc</t>
  </si>
  <si>
    <t>182-14</t>
  </si>
  <si>
    <t>187-14</t>
  </si>
  <si>
    <t>828-14</t>
  </si>
  <si>
    <t>196-14</t>
  </si>
  <si>
    <t>832-14</t>
  </si>
  <si>
    <t>207-14</t>
  </si>
  <si>
    <t>70-14</t>
  </si>
  <si>
    <t>838-14</t>
  </si>
  <si>
    <t>216-14</t>
  </si>
  <si>
    <t>221-14</t>
  </si>
  <si>
    <t>222-14</t>
  </si>
  <si>
    <t>845-14</t>
  </si>
  <si>
    <t>302-14</t>
  </si>
  <si>
    <t>67-14</t>
  </si>
  <si>
    <t>101-14</t>
  </si>
  <si>
    <t>304-14</t>
  </si>
  <si>
    <t>DAVIS</t>
  </si>
  <si>
    <t>WENDY</t>
  </si>
  <si>
    <t>103-14</t>
  </si>
  <si>
    <t>rtdc.l.rtdc.4015:itc</t>
  </si>
  <si>
    <t>306-14</t>
  </si>
  <si>
    <t>102-14</t>
  </si>
  <si>
    <t>308-14</t>
  </si>
  <si>
    <t>STARKS</t>
  </si>
  <si>
    <t>ANGELINA</t>
  </si>
  <si>
    <t>105-14</t>
  </si>
  <si>
    <t>310-14</t>
  </si>
  <si>
    <t>107-14</t>
  </si>
  <si>
    <t>104-14</t>
  </si>
  <si>
    <t>109-14</t>
  </si>
  <si>
    <t>GEBRETEKLE</t>
  </si>
  <si>
    <t>DAGNEW</t>
  </si>
  <si>
    <t>111-14</t>
  </si>
  <si>
    <t>113-14</t>
  </si>
  <si>
    <t>106-14</t>
  </si>
  <si>
    <t>800-14</t>
  </si>
  <si>
    <t>801-14</t>
  </si>
  <si>
    <t>115-14</t>
  </si>
  <si>
    <t>117-14</t>
  </si>
  <si>
    <t>110-14</t>
  </si>
  <si>
    <t>112-14</t>
  </si>
  <si>
    <t>902-14</t>
  </si>
  <si>
    <t>120-14</t>
  </si>
  <si>
    <t>802-14</t>
  </si>
  <si>
    <t>803-14</t>
  </si>
  <si>
    <t>121-14</t>
  </si>
  <si>
    <t>116-14</t>
  </si>
  <si>
    <t>123-14</t>
  </si>
  <si>
    <t>118-14</t>
  </si>
  <si>
    <t>804-14</t>
  </si>
  <si>
    <t>125-14</t>
  </si>
  <si>
    <t>127-14</t>
  </si>
  <si>
    <t>807-14</t>
  </si>
  <si>
    <t>122-14</t>
  </si>
  <si>
    <t>806-14</t>
  </si>
  <si>
    <t>129-14</t>
  </si>
  <si>
    <t>124-14</t>
  </si>
  <si>
    <t>131-14</t>
  </si>
  <si>
    <t>809-14</t>
  </si>
  <si>
    <t>126-14</t>
  </si>
  <si>
    <t>808-14</t>
  </si>
  <si>
    <t>133-14</t>
  </si>
  <si>
    <t>128-14</t>
  </si>
  <si>
    <t>130-14</t>
  </si>
  <si>
    <t>135-14</t>
  </si>
  <si>
    <t>811-14</t>
  </si>
  <si>
    <t>810-14</t>
  </si>
  <si>
    <t>137-14</t>
  </si>
  <si>
    <t>132-14</t>
  </si>
  <si>
    <t>139-14</t>
  </si>
  <si>
    <t>903-14</t>
  </si>
  <si>
    <t>134-14</t>
  </si>
  <si>
    <t>812-14</t>
  </si>
  <si>
    <t>141-14</t>
  </si>
  <si>
    <t>143-14</t>
  </si>
  <si>
    <t>136-14</t>
  </si>
  <si>
    <t>813-14</t>
  </si>
  <si>
    <t>145-14</t>
  </si>
  <si>
    <t>140-14</t>
  </si>
  <si>
    <t>142-14</t>
  </si>
  <si>
    <t>814-14</t>
  </si>
  <si>
    <t>144-14</t>
  </si>
  <si>
    <t>149-14</t>
  </si>
  <si>
    <t>151-14</t>
  </si>
  <si>
    <t>815-14</t>
  </si>
  <si>
    <t>146-14</t>
  </si>
  <si>
    <t>153-14</t>
  </si>
  <si>
    <t>50-14</t>
  </si>
  <si>
    <t>155-14</t>
  </si>
  <si>
    <t>816-14</t>
  </si>
  <si>
    <t>157-14</t>
  </si>
  <si>
    <t>51-14</t>
  </si>
  <si>
    <t>152-14</t>
  </si>
  <si>
    <t>817-14</t>
  </si>
  <si>
    <t>154-14</t>
  </si>
  <si>
    <t>161-14</t>
  </si>
  <si>
    <t>156-14</t>
  </si>
  <si>
    <t>163-14</t>
  </si>
  <si>
    <t>818-14</t>
  </si>
  <si>
    <t>52-14</t>
  </si>
  <si>
    <t>160-14</t>
  </si>
  <si>
    <t>167-14</t>
  </si>
  <si>
    <t>819-14</t>
  </si>
  <si>
    <t>162-14</t>
  </si>
  <si>
    <t>169-14</t>
  </si>
  <si>
    <t>164-14</t>
  </si>
  <si>
    <t>171-14</t>
  </si>
  <si>
    <t>53-14</t>
  </si>
  <si>
    <t>166-14</t>
  </si>
  <si>
    <t>820-14</t>
  </si>
  <si>
    <t>173-14</t>
  </si>
  <si>
    <t>STEWART</t>
  </si>
  <si>
    <t>168-14</t>
  </si>
  <si>
    <t>175-14</t>
  </si>
  <si>
    <t>170-14</t>
  </si>
  <si>
    <t>821-14</t>
  </si>
  <si>
    <t>177-14</t>
  </si>
  <si>
    <t>172-14</t>
  </si>
  <si>
    <t>179-14</t>
  </si>
  <si>
    <t>174-14</t>
  </si>
  <si>
    <t>181-14</t>
  </si>
  <si>
    <t>822-14</t>
  </si>
  <si>
    <t>176-14</t>
  </si>
  <si>
    <t>823-14</t>
  </si>
  <si>
    <t>178-14</t>
  </si>
  <si>
    <t>185-14</t>
  </si>
  <si>
    <t>180-14</t>
  </si>
  <si>
    <t>824-14</t>
  </si>
  <si>
    <t>189-14</t>
  </si>
  <si>
    <t>184-14</t>
  </si>
  <si>
    <t>191-14</t>
  </si>
  <si>
    <t>186-14</t>
  </si>
  <si>
    <t>193-14</t>
  </si>
  <si>
    <t>904-14</t>
  </si>
  <si>
    <t>825-14</t>
  </si>
  <si>
    <t>188-14</t>
  </si>
  <si>
    <t>195-14</t>
  </si>
  <si>
    <t>190-14</t>
  </si>
  <si>
    <t>826-14</t>
  </si>
  <si>
    <t>827-14</t>
  </si>
  <si>
    <t>197-14</t>
  </si>
  <si>
    <t>192-14</t>
  </si>
  <si>
    <t>199-14</t>
  </si>
  <si>
    <t>829-14</t>
  </si>
  <si>
    <t>194-14</t>
  </si>
  <si>
    <t>201-14</t>
  </si>
  <si>
    <t>203-14</t>
  </si>
  <si>
    <t>198-14</t>
  </si>
  <si>
    <t>830-14</t>
  </si>
  <si>
    <t>831-14</t>
  </si>
  <si>
    <t>205-14</t>
  </si>
  <si>
    <t>200-14</t>
  </si>
  <si>
    <t>202-14</t>
  </si>
  <si>
    <t>209-14</t>
  </si>
  <si>
    <t>833-14</t>
  </si>
  <si>
    <t>204-14</t>
  </si>
  <si>
    <t>211-14</t>
  </si>
  <si>
    <t>206-14</t>
  </si>
  <si>
    <t>rtdc.l.rtdc.4016:itc</t>
  </si>
  <si>
    <t>55-14</t>
  </si>
  <si>
    <t>LOPES</t>
  </si>
  <si>
    <t>KIMBERLY</t>
  </si>
  <si>
    <t>835-14</t>
  </si>
  <si>
    <t>834-14</t>
  </si>
  <si>
    <t>MAGEE</t>
  </si>
  <si>
    <t>KENYA</t>
  </si>
  <si>
    <t>213-14</t>
  </si>
  <si>
    <t>208-14</t>
  </si>
  <si>
    <t>72-14</t>
  </si>
  <si>
    <t>215-14</t>
  </si>
  <si>
    <t>837-14</t>
  </si>
  <si>
    <t>836-14</t>
  </si>
  <si>
    <t>210-14</t>
  </si>
  <si>
    <t>217-14</t>
  </si>
  <si>
    <t>DAVIDSON</t>
  </si>
  <si>
    <t>DAVID</t>
  </si>
  <si>
    <t>212-14</t>
  </si>
  <si>
    <t>214-14</t>
  </si>
  <si>
    <t>219-14</t>
  </si>
  <si>
    <t>73-14</t>
  </si>
  <si>
    <t>303-14</t>
  </si>
  <si>
    <t>839-14</t>
  </si>
  <si>
    <t>218-14</t>
  </si>
  <si>
    <t>841-14</t>
  </si>
  <si>
    <t>906-14</t>
  </si>
  <si>
    <t>220-14</t>
  </si>
  <si>
    <t>305-14</t>
  </si>
  <si>
    <t>223-14</t>
  </si>
  <si>
    <t>840-14</t>
  </si>
  <si>
    <t>307-14</t>
  </si>
  <si>
    <t>225-14</t>
  </si>
  <si>
    <t>227-14</t>
  </si>
  <si>
    <t>224-14</t>
  </si>
  <si>
    <t>843-14</t>
  </si>
  <si>
    <t>842-14</t>
  </si>
  <si>
    <t>81-14</t>
  </si>
  <si>
    <t>82-14</t>
  </si>
  <si>
    <t>226-14</t>
  </si>
  <si>
    <t>229-14</t>
  </si>
  <si>
    <t>231-14</t>
  </si>
  <si>
    <t>228-14</t>
  </si>
  <si>
    <t>844-14</t>
  </si>
  <si>
    <t>233-14</t>
  </si>
  <si>
    <t>230-14</t>
  </si>
  <si>
    <t>847-14</t>
  </si>
  <si>
    <t>232-14</t>
  </si>
  <si>
    <t>235-14</t>
  </si>
  <si>
    <t>908-14</t>
  </si>
  <si>
    <t>234-14</t>
  </si>
  <si>
    <t>237-14</t>
  </si>
  <si>
    <t>239-14</t>
  </si>
  <si>
    <t>236-14</t>
  </si>
  <si>
    <t>241-14</t>
  </si>
  <si>
    <t>238-14</t>
  </si>
  <si>
    <t>243-14</t>
  </si>
  <si>
    <t>240-14</t>
  </si>
  <si>
    <t>242-14</t>
  </si>
  <si>
    <t>245-14</t>
  </si>
  <si>
    <t>309-14</t>
  </si>
  <si>
    <t>244-14</t>
  </si>
  <si>
    <t>311-14</t>
  </si>
  <si>
    <t>246-14</t>
  </si>
  <si>
    <t>313-14</t>
  </si>
  <si>
    <t>315-14</t>
  </si>
  <si>
    <t>Mostly Cloudy</t>
  </si>
  <si>
    <t>Drizzle</t>
  </si>
  <si>
    <t>204:774</t>
  </si>
  <si>
    <t>204:786</t>
  </si>
  <si>
    <t>204:779</t>
  </si>
  <si>
    <t>204:232669</t>
  </si>
  <si>
    <t>204:233299</t>
  </si>
  <si>
    <t>204:233341</t>
  </si>
  <si>
    <t>204:755</t>
  </si>
  <si>
    <t>204:232970</t>
  </si>
  <si>
    <t>204:431</t>
  </si>
  <si>
    <t>204:232992</t>
  </si>
  <si>
    <t>204:136</t>
  </si>
  <si>
    <t>204:783</t>
  </si>
  <si>
    <t>204:233336</t>
  </si>
  <si>
    <t>204:233036</t>
  </si>
  <si>
    <t>204:127</t>
  </si>
  <si>
    <t>204:233004</t>
  </si>
  <si>
    <t>204:233289</t>
  </si>
  <si>
    <t>204:229410</t>
  </si>
  <si>
    <t>204:433</t>
  </si>
  <si>
    <t>204:502</t>
  </si>
  <si>
    <t>204:233431</t>
  </si>
  <si>
    <t>204:233098</t>
  </si>
  <si>
    <t>204:232979</t>
  </si>
  <si>
    <t>204:189</t>
  </si>
  <si>
    <t>204:444</t>
  </si>
  <si>
    <t>204:19145</t>
  </si>
  <si>
    <t>204:958</t>
  </si>
  <si>
    <t>204:233307</t>
  </si>
  <si>
    <t>204:161</t>
  </si>
  <si>
    <t>204:233010</t>
  </si>
  <si>
    <t>204:154010</t>
  </si>
  <si>
    <t>204:230043</t>
  </si>
  <si>
    <t>204:233000</t>
  </si>
  <si>
    <t>204:233382</t>
  </si>
  <si>
    <t>204:233040</t>
  </si>
  <si>
    <t>204:233025</t>
  </si>
  <si>
    <t>204:233326</t>
  </si>
  <si>
    <t>204:233009</t>
  </si>
  <si>
    <t>204:233263</t>
  </si>
  <si>
    <t>204:232938</t>
  </si>
  <si>
    <t>204:422</t>
  </si>
  <si>
    <t>204:233006</t>
  </si>
  <si>
    <t>204:233316</t>
  </si>
  <si>
    <t>204:233300</t>
  </si>
  <si>
    <t>204:233270</t>
  </si>
  <si>
    <t>204:232950</t>
  </si>
  <si>
    <t>204:191</t>
  </si>
  <si>
    <t>204:232959</t>
  </si>
  <si>
    <t>300:23026</t>
  </si>
  <si>
    <t>204:232976</t>
  </si>
  <si>
    <t>204:233278</t>
  </si>
  <si>
    <t>204:520</t>
  </si>
  <si>
    <t>204:233317</t>
  </si>
  <si>
    <t>204:233283</t>
  </si>
  <si>
    <t>204:233397</t>
  </si>
  <si>
    <t>204:233072</t>
  </si>
  <si>
    <t>204:233329</t>
  </si>
  <si>
    <t>204:426</t>
  </si>
  <si>
    <t>204:233412</t>
  </si>
  <si>
    <t>204:233083</t>
  </si>
  <si>
    <t>204:233331</t>
  </si>
  <si>
    <t>204:233321</t>
  </si>
  <si>
    <t>204:233008</t>
  </si>
  <si>
    <t>204:233381</t>
  </si>
  <si>
    <t>204:233079</t>
  </si>
  <si>
    <t>300:22690</t>
  </si>
  <si>
    <t>204:134</t>
  </si>
  <si>
    <t>300:23306</t>
  </si>
  <si>
    <t>300:23616</t>
  </si>
  <si>
    <t>300:25122</t>
  </si>
  <si>
    <t>300:25772</t>
  </si>
  <si>
    <t>300:23029</t>
  </si>
  <si>
    <t>300:23172</t>
  </si>
  <si>
    <t>300:13315</t>
  </si>
  <si>
    <t>300:19977</t>
  </si>
  <si>
    <t>204:68</t>
  </si>
  <si>
    <t>204:361</t>
  </si>
  <si>
    <t>300:24227</t>
  </si>
  <si>
    <t>300:23572</t>
  </si>
  <si>
    <t>204:61</t>
  </si>
  <si>
    <t>204:363</t>
  </si>
  <si>
    <t>300:24224</t>
  </si>
  <si>
    <t>204:1511</t>
  </si>
  <si>
    <t>300:23308</t>
  </si>
  <si>
    <t>204:724</t>
  </si>
  <si>
    <t>300:23304</t>
  </si>
  <si>
    <t>300:21958</t>
  </si>
  <si>
    <t>204:439</t>
  </si>
  <si>
    <t>300:58677</t>
  </si>
  <si>
    <t>204:692</t>
  </si>
  <si>
    <t>300:58655</t>
  </si>
  <si>
    <t>204:712</t>
  </si>
  <si>
    <t>204:1014</t>
  </si>
  <si>
    <t>300:58982</t>
  </si>
  <si>
    <t>204:750</t>
  </si>
  <si>
    <t>204:993</t>
  </si>
  <si>
    <t>204:708</t>
  </si>
  <si>
    <t>204:1016</t>
  </si>
  <si>
    <t>300:58988</t>
  </si>
  <si>
    <t>300:58668</t>
  </si>
  <si>
    <t>204:745</t>
  </si>
  <si>
    <t>204:1188</t>
  </si>
  <si>
    <t>300:5641</t>
  </si>
  <si>
    <t>204:144</t>
  </si>
  <si>
    <t>300:58673</t>
  </si>
  <si>
    <t>204:727</t>
  </si>
  <si>
    <t>204:1020</t>
  </si>
  <si>
    <t>204:1018</t>
  </si>
  <si>
    <t>300:58986</t>
  </si>
  <si>
    <t>300:58672</t>
  </si>
  <si>
    <t>204:740</t>
  </si>
  <si>
    <t>204:1021</t>
  </si>
  <si>
    <t>300:58984</t>
  </si>
  <si>
    <t>300:5329</t>
  </si>
  <si>
    <t>204:1856</t>
  </si>
  <si>
    <t>204:733</t>
  </si>
  <si>
    <t>204:687</t>
  </si>
  <si>
    <t>204:964</t>
  </si>
  <si>
    <t>300:58939</t>
  </si>
  <si>
    <t>300:58624</t>
  </si>
  <si>
    <t>300:58641</t>
  </si>
  <si>
    <t>204:965</t>
  </si>
  <si>
    <t>300:58647</t>
  </si>
  <si>
    <t>204:962</t>
  </si>
  <si>
    <t>300:58656</t>
  </si>
  <si>
    <t>204:974</t>
  </si>
  <si>
    <t>300:58944</t>
  </si>
  <si>
    <t>204:710</t>
  </si>
  <si>
    <t>300:58952</t>
  </si>
  <si>
    <t>204:678</t>
  </si>
  <si>
    <t>300:29703</t>
  </si>
  <si>
    <t>300:58990</t>
  </si>
  <si>
    <t>300:23023</t>
  </si>
  <si>
    <t>204:722</t>
  </si>
  <si>
    <t>300:24243</t>
  </si>
  <si>
    <t>300:23237</t>
  </si>
  <si>
    <t>300:58634</t>
  </si>
  <si>
    <t>300:28784</t>
  </si>
  <si>
    <t>300:21680</t>
  </si>
  <si>
    <t>start /low /b %USERPROFILE%\Documents\GitHub\eaglep3\Utilities\DownloadLogsFromS3.py --loco 4004 --day 2017-04-14</t>
  </si>
  <si>
    <t>start /low /b %USERPROFILE%\Documents\GitHub\eaglep3\Utilities\DownloadLogsFromS3.py --loco 4020 --day 2017-04-14</t>
  </si>
  <si>
    <t>start /low /b %USERPROFILE%\Documents\GitHub\eaglep3\Utilities\DownloadLogsFromS3.py --loco 4039 --day 2017-04-14</t>
  </si>
  <si>
    <t>start /low /b %USERPROFILE%\Documents\GitHub\eaglep3\Utilities\DownloadLogsFromS3.py --loco 4003 --day 2017-04-14</t>
  </si>
  <si>
    <t>start /low /b %USERPROFILE%\Documents\GitHub\eaglep3\Utilities\DownloadLogsFromS3.py --loco 4031 --day 2017-04-14</t>
  </si>
  <si>
    <t>start /low /b %USERPROFILE%\Documents\GitHub\eaglep3\Utilities\DownloadLogsFromS3.py --loco 4045 --day 2017-04-14</t>
  </si>
  <si>
    <t>start /low /b %USERPROFILE%\Documents\GitHub\eaglep3\Utilities\DownloadLogsFromS3.py --loco 4039 --day 2017-04-15</t>
  </si>
  <si>
    <t>start /low /b %USERPROFILE%\Documents\GitHub\eaglep3\Utilities\DownloadLogsFromS3.py --loco 4019 --day 2017-04-14</t>
  </si>
  <si>
    <t>start /low /b %USERPROFILE%\Documents\GitHub\eaglep3\Utilities\DownloadLogsFromS3.py --loco 4032 --day 2017-04-14</t>
  </si>
  <si>
    <t>start /low /b %USERPROFILE%\Documents\GitHub\eaglep3\Utilities\DownloadLogsFromS3.py --loco 4041 --day 2017-04-15</t>
  </si>
  <si>
    <t>start /low /b %USERPROFILE%\Documents\GitHub\eaglep3\Utilities\DownloadLogsFromS3.py --loco 4042 --day 2017-04-14</t>
  </si>
  <si>
    <t>start /low /b %USERPROFILE%\Documents\GitHub\eaglep3\Utilities\DownloadLogsFromS3.py --loco 4040 --day 2017-04-15</t>
  </si>
  <si>
    <t>start /low /b %USERPROFILE%\Documents\GitHub\eaglep3\Utilities\DownloadLogsFromS3.py --loco 4028 --day 2017-04-14</t>
  </si>
  <si>
    <t>start /low /b %USERPROFILE%\Documents\GitHub\eaglep3\Utilities\DownloadLogsFromS3.py --loco 4027 --day 2017-04-14</t>
  </si>
  <si>
    <t>start /low /b %USERPROFILE%\Documents\GitHub\eaglep3\Utilities\DownloadLogsFromS3.py --loco 4053 --day 2017-04-15</t>
  </si>
  <si>
    <t>start /low /b %USERPROFILE%\Documents\GitHub\eaglep3\Utilities\DownloadLogsFromS3.py --loco 4054 --day 2017-04-15</t>
  </si>
  <si>
    <t>NorthBound</t>
  </si>
  <si>
    <t>Accidentally selected 120 instead of 119</t>
  </si>
  <si>
    <t>Premature downgrade at DIA 4N</t>
  </si>
  <si>
    <t>At 10:04:04, DIA 4N dropped from PROCEED CAB to STOP while the train was approaching (about ~35 ft away, going 30 mph). Do logs point to anything unusual at this time?</t>
  </si>
  <si>
    <t>Selected wrong track</t>
  </si>
  <si>
    <t>Poor GPS at DIA</t>
  </si>
  <si>
    <t>Delayed by onboard in-route failure</t>
  </si>
  <si>
    <t>Early arrival</t>
  </si>
  <si>
    <t>RESTRICTED aspect</t>
  </si>
  <si>
    <t>Onboard in-route failure</t>
  </si>
  <si>
    <t>Failed PSS due to mismatched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</si>
</sst>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abSelected="1" topLeftCell="A193" zoomScaleNormal="100" workbookViewId="0">
      <selection activeCell="R214" sqref="R21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514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42839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COUNTIFS($N$13:$N$9325,"&gt;0",$AG$13:$AG$9325,I1)</f>
        <v>143</v>
      </c>
      <c r="K5" s="40"/>
      <c r="L5" s="40"/>
      <c r="M5" s="41">
        <f>AVERAGEIFS($N$13:$N$9325,$AG$13:$AG$9325,I1)</f>
        <v>38.210256409552926</v>
      </c>
      <c r="N5" s="39">
        <f t="array" ref="N5">MIN(IF($AG$13:$AG$9325=I1,IF(ISNUMBER($N$13:$N$9325),IF($N$13:$N$9325&gt;0,$N$13:$N$9325))))</f>
        <v>34.033333336701617</v>
      </c>
      <c r="O5" s="3">
        <f t="array" ref="O5">MAX(IF($AG$13:$AG$9325=I1,IF(ISNUMBER($N$13:$N$9325),IF($N$13:$N$9325&gt;0,$N$13:$N$9325))))</f>
        <v>46.166666666977108</v>
      </c>
      <c r="P5" s="2"/>
      <c r="R5" s="74" t="s">
        <v>17</v>
      </c>
      <c r="S5" s="50">
        <f>COUNTIFS($N$13:$N$9325,"&gt;0",$AG$13:$AG$9325,R1)</f>
        <v>47</v>
      </c>
      <c r="T5" s="40"/>
      <c r="U5" s="173"/>
      <c r="V5" s="170">
        <f>AVERAGEIFS($N$13:$N$9325,$AG$13:$AG$9325,R1)</f>
        <v>15.085460991781957</v>
      </c>
      <c r="W5" s="171">
        <f t="array" ref="W5">MIN(IF($AG$13:$AG$9325=R1,IF(ISNUMBER($N$13:$N$9325),IF($N$13:$N$9325&gt;0,$N$13:$N$9325))))</f>
        <v>12.716666663764045</v>
      </c>
      <c r="X5" s="172">
        <f t="array" ref="X5">MAX(IF($AG$13:$AG$9325=R1,IF(ISNUMBER($N$13:$N$9325),IF($N$13:$N$9325&gt;0,$N$13:$N$9325))))</f>
        <v>20.050000003539026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COUNTIFS($P$13:$P$9325,"&gt;0",$AG$13:$AG$9325,I1)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COUNTIFS($P$13:$P$9325,"&gt;0",$AG$13:$AG$9325,R1)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38.210256409552926</v>
      </c>
      <c r="N8" s="39">
        <f>N5</f>
        <v>34.033333336701617</v>
      </c>
      <c r="O8" s="3">
        <f>O5</f>
        <v>46.166666666977108</v>
      </c>
      <c r="P8" s="2"/>
      <c r="R8" s="74" t="s">
        <v>16</v>
      </c>
      <c r="S8" s="50">
        <f>S5</f>
        <v>47</v>
      </c>
      <c r="T8" s="40"/>
      <c r="U8" s="173"/>
      <c r="V8" s="170">
        <f>V5</f>
        <v>15.085460991781957</v>
      </c>
      <c r="W8" s="171">
        <f>W5</f>
        <v>12.716666663764045</v>
      </c>
      <c r="X8" s="172">
        <f>X5</f>
        <v>20.050000003539026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0.97945205479452058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- 2017-04-14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655</v>
      </c>
      <c r="B13" s="7">
        <v>4040</v>
      </c>
      <c r="C13" s="21" t="s">
        <v>214</v>
      </c>
      <c r="D13" s="21" t="s">
        <v>867</v>
      </c>
      <c r="E13" s="13">
        <v>42839.132581018515</v>
      </c>
      <c r="F13" s="13">
        <v>42839.135636574072</v>
      </c>
      <c r="G13" s="7">
        <v>1</v>
      </c>
      <c r="H13" s="21" t="s">
        <v>551</v>
      </c>
      <c r="I13" s="13">
        <v>42839.161678240744</v>
      </c>
      <c r="J13" s="7">
        <v>0</v>
      </c>
      <c r="K13" s="97" t="str">
        <f t="shared" ref="K13:K76" si="0">IF(ISEVEN(B13),(B13-1)&amp;"/"&amp;B13,B13&amp;"/"&amp;(B13+1))</f>
        <v>4039/4040</v>
      </c>
      <c r="L13" s="21" t="str">
        <f>VLOOKUP(A13,'Trips&amp;Operators'!$C$1:$G$99999,5,FALSE)</f>
        <v>BADERTSCHER DIANE</v>
      </c>
      <c r="M13" s="6">
        <f t="shared" ref="M13:M76" si="1">I13-F13</f>
        <v>2.6041666671517305E-2</v>
      </c>
      <c r="N13" s="7">
        <f t="shared" ref="N13:P76" si="2">24*60*SUM($M13:$M13)</f>
        <v>37.500000006984919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-14T02:10:55-0600',mode:absolute,to:'2017-04-14T04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183" t="str">
        <f t="shared" ref="W13:W76" si="6">IF(AA13&lt;IF(AG13="EC",23,5.65),"Y","N")</f>
        <v>N</v>
      </c>
      <c r="X13" s="183" t="e">
        <f t="shared" ref="X13:X76" si="7">VALUE(LEFT(AD13,4))-VALUE(LEFT(AD12,4))</f>
        <v>#VALUE!</v>
      </c>
      <c r="Y13" s="62">
        <f t="shared" ref="Y13:Y76" si="8">RIGHT(D13,LEN(D13)-4)/10000</f>
        <v>7.7399999999999997E-2</v>
      </c>
      <c r="Z13" s="62">
        <f t="shared" ref="Z13:Z76" si="9">RIGHT(H13,LEN(H13)-4)/10000</f>
        <v>23.328800000000001</v>
      </c>
      <c r="AA13" s="62">
        <f t="shared" ref="AA13:AA76" si="10">ABS(Z13-Y13)</f>
        <v>23.2514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0101-14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/stypes="app*4040*20170414*"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4040 --swversion DE.1.0.9.0 --startMP 204:774 --initTime 2017-04-14T03:10:55 --startdatetime 2017-04-14T03:15:19 --delay 1 --endMP 204:233288 --enddatetime 2017-04-14T03:52:49 --enforcementcount 0 &gt;&gt;C:\Users\stu\Documents\GitHub\eaglep3-reporting\EC\2017-04-14-refined-times.txt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{"issue":{"subject":"","project_id":79,"tracker_id":40,"status_id":1,"priority_id":2,"assigned_to_id":23,"start_date":"2017-04-14","description":"","custom_fields":[{"id":1,"name":"Subdivision","value":"EC"},{"id":4,"name":"Milepost","value":"23.3288"},{"id":17,"name":"Train ID","value":"101-14"},{"id":16,"name":"Locomotive ID","value":"4040"},{"id":130,"name":"Impact","value":""},{"id":150,"name":"Time of Event (Mountain Time)","value":"03:52:49"},{"id":151,"name":"Denver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4040 --day 2017-04-14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09:52:49"},{"id":29,"name":"Sharepoint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662</v>
      </c>
      <c r="B14" s="7">
        <v>4019</v>
      </c>
      <c r="C14" s="21" t="s">
        <v>214</v>
      </c>
      <c r="D14" s="21" t="s">
        <v>591</v>
      </c>
      <c r="E14" s="13">
        <v>42839.168356481481</v>
      </c>
      <c r="F14" s="13">
        <v>42839.174490740741</v>
      </c>
      <c r="G14" s="7">
        <v>1</v>
      </c>
      <c r="H14" s="21" t="s">
        <v>197</v>
      </c>
      <c r="I14" s="13">
        <v>42839.204039351855</v>
      </c>
      <c r="J14" s="7">
        <v>0</v>
      </c>
      <c r="K14" s="97" t="str">
        <f t="shared" si="0"/>
        <v>4019/4020</v>
      </c>
      <c r="L14" s="21" t="str">
        <f>VLOOKUP(A14,'Trips&amp;Operators'!$C$1:$G$99999,5,FALSE)</f>
        <v>BADERTSCHER DIANE</v>
      </c>
      <c r="M14" s="6">
        <f t="shared" si="1"/>
        <v>2.9548611113568768E-2</v>
      </c>
      <c r="N14" s="7">
        <f t="shared" si="2"/>
        <v>42.550000003539026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-14T03:02:26-0600',mode:absolute,to:'2017-04-14T05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23.264199999999999</v>
      </c>
      <c r="Z14" s="62">
        <f t="shared" si="9"/>
        <v>1.52E-2</v>
      </c>
      <c r="AA14" s="62">
        <f t="shared" si="10"/>
        <v>23.248999999999999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0102-14</v>
      </c>
      <c r="AE14" s="85" t="str">
        <f t="shared" si="12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14" s="82" t="str">
        <f t="shared" si="13"/>
        <v>"C:\Program Files (x86)\AstroGrep\AstroGrep.exe" /e /r /s /spath="%USERPROFILE%\AppData\Local\Temp\OnboardLogs" /stypes="app*4019*20170414*"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4019 --swversion DE.1.0.9.0 --startMP 204:232642 --initTime 2017-04-14T04:02:26 --startdatetime 2017-04-14T04:11:16 --delay 1 --endMP 204:152 --enddatetime 2017-04-14T04:53:49 --enforcementcount 0 &gt;&gt;C:\Users\stu\Documents\GitHub\eaglep3-reporting\EC\2017-04-14-refined-times.txt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ID","value":"102-14"},{"id":16,"name":"Locomotive ID","value":"4019"},{"id":130,"name":"Impact","value":""},{"id":150,"name":"Time of Event (Mountain Time)","value":"04:53:49"},{"id":151,"name":"Denver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4019 --day 2017-04-14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10:53:49"},{"id":29,"name":"Sharepoint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659</v>
      </c>
      <c r="B15" s="7">
        <v>4046</v>
      </c>
      <c r="C15" s="21" t="s">
        <v>214</v>
      </c>
      <c r="D15" s="21" t="s">
        <v>868</v>
      </c>
      <c r="E15" s="13">
        <v>42839.148796296293</v>
      </c>
      <c r="F15" s="13">
        <v>42839.157256944447</v>
      </c>
      <c r="G15" s="7">
        <v>1</v>
      </c>
      <c r="H15" s="21" t="s">
        <v>599</v>
      </c>
      <c r="I15" s="13">
        <v>42839.157951388886</v>
      </c>
      <c r="J15" s="7">
        <v>0</v>
      </c>
      <c r="K15" s="97" t="str">
        <f t="shared" si="0"/>
        <v>4045/4046</v>
      </c>
      <c r="L15" s="21" t="str">
        <f>VLOOKUP(A15,'Trips&amp;Operators'!$C$1:$G$99999,5,FALSE)</f>
        <v>DAVIS WENDY</v>
      </c>
      <c r="M15" s="6">
        <f t="shared" si="1"/>
        <v>6.9444443943211809E-4</v>
      </c>
      <c r="N15" s="7"/>
      <c r="O15" s="7"/>
      <c r="P15" s="7">
        <f t="shared" si="2"/>
        <v>0.99999999278225005</v>
      </c>
      <c r="Q15" s="22"/>
      <c r="R15" s="22" t="s">
        <v>1031</v>
      </c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-14T02:34:16-0600',mode:absolute,to:'2017-04-14T04:47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7.8600000000000003E-2</v>
      </c>
      <c r="Z15" s="62">
        <f t="shared" si="9"/>
        <v>23.3276</v>
      </c>
      <c r="AA15" s="62">
        <f t="shared" si="10"/>
        <v>23.248999999999999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0103-14</v>
      </c>
      <c r="AE15" s="85" t="str">
        <f t="shared" si="12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15" s="82" t="str">
        <f t="shared" si="13"/>
        <v>"C:\Program Files (x86)\AstroGrep\AstroGrep.exe" /e /r /s /spath="%USERPROFILE%\AppData\Local\Temp\OnboardLogs" /stypes="app*4046*20170414*" /stext=" 09:.+((SYSTEM_STATE.+slice.+state.+changed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103-14 --locoid 4046 --swversion DE.1.0.9.0 --startMP 204:786 --initTime 2017-04-14T03:34:16 --startdatetime 2017-04-14T03:46:27 --delay 1 --endMP 204:233276 --enddatetime 2017-04-14T03:47:27 --enforcementcount 0 &gt;&gt;C:\Users\stu\Documents\GitHub\eaglep3-reporting\EC\2017-04-14-refined-times.txt</v>
      </c>
      <c r="AI15" s="104" t="str">
        <f t="shared" si="20"/>
        <v>echo {"issue":{"subject":"Onboard in-route failure","project_id":79,"tracker_id":40,"status_id":1,"priority_id":2,"assigned_to_id":23,"start_date":"2017-04-14","description":"","custom_fields":[{"id":1,"name":"Subdivision","value":"EC"},{"id":4,"name":"Milepost","value":"23.3276"},{"id":17,"name":"Train ID","value":"103-14"},{"id":16,"name":"Locomotive ID","value":"4046"},{"id":130,"name":"Impact","value":""},{"id":150,"name":"Time of Event (Mountain Time)","value":"03:47:27"},{"id":151,"name":"Denver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4046 --day 2017-04-14</v>
      </c>
      <c r="AN15" s="159" t="str">
        <f t="shared" si="22"/>
        <v>echo {"issue":{"subject":"Onboard in-route failure","project_id":30,"tracker_id":4,"status_id":1,"priority_id":1,"assigned_to_id":10,"start_date":"2017-04-14","description":"","custom_fields":[{"id":30,"name":"Category","value":"Issue"},{"id":3,"name":"Functional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09:47:27"},{"id":29,"name":"Sharepoint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669</v>
      </c>
      <c r="B16" s="7">
        <v>4041</v>
      </c>
      <c r="C16" s="21" t="s">
        <v>214</v>
      </c>
      <c r="D16" s="21" t="s">
        <v>592</v>
      </c>
      <c r="E16" s="13">
        <v>42839.191886574074</v>
      </c>
      <c r="F16" s="13">
        <v>42839.195381944446</v>
      </c>
      <c r="G16" s="7">
        <v>1</v>
      </c>
      <c r="H16" s="21" t="s">
        <v>197</v>
      </c>
      <c r="I16" s="13">
        <v>42839.225208333337</v>
      </c>
      <c r="J16" s="7">
        <v>0</v>
      </c>
      <c r="K16" s="97" t="str">
        <f t="shared" si="0"/>
        <v>4041/4042</v>
      </c>
      <c r="L16" s="21" t="str">
        <f>VLOOKUP(A16,'Trips&amp;Operators'!$C$1:$G$99999,5,FALSE)</f>
        <v>DAVIS WENDY</v>
      </c>
      <c r="M16" s="6">
        <f t="shared" si="1"/>
        <v>2.9826388890796807E-2</v>
      </c>
      <c r="N16" s="7">
        <f t="shared" si="2"/>
        <v>42.950000002747402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-14T03:36:19-0600',mode:absolute,to:'2017-04-14T06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23.267700000000001</v>
      </c>
      <c r="Z16" s="62">
        <f t="shared" si="9"/>
        <v>1.52E-2</v>
      </c>
      <c r="AA16" s="62">
        <f t="shared" si="10"/>
        <v>23.252500000000001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0104-14</v>
      </c>
      <c r="AE16" s="85" t="str">
        <f t="shared" si="12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16" s="82" t="str">
        <f t="shared" si="13"/>
        <v>"C:\Program Files (x86)\AstroGrep\AstroGrep.exe" /e /r /s /spath="%USERPROFILE%\AppData\Local\Temp\OnboardLogs" /stypes="app*4041*20170414*"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104-14 --locoid 4041 --swversion DE.1.0.9.0 --startMP 204:232677 --initTime 2017-04-14T04:36:19 --startdatetime 2017-04-14T04:41:21 --delay 1 --endMP 204:152 --enddatetime 2017-04-14T05:24:18 --enforcementcount 0 &gt;&gt;C:\Users\stu\Documents\GitHub\eaglep3-reporting\EC\2017-04-14-refined-times.txt</v>
      </c>
      <c r="AI16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ID","value":"104-14"},{"id":16,"name":"Locomotive ID","value":"4041"},{"id":130,"name":"Impact","value":""},{"id":150,"name":"Time of Event (Mountain Time)","value":"05:24:18"},{"id":151,"name":"Denver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4041 --day 2017-04-14</v>
      </c>
      <c r="AN16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666</v>
      </c>
      <c r="B17" s="7">
        <v>4004</v>
      </c>
      <c r="C17" s="21" t="s">
        <v>214</v>
      </c>
      <c r="D17" s="21" t="s">
        <v>869</v>
      </c>
      <c r="E17" s="13">
        <v>42839.173009259262</v>
      </c>
      <c r="F17" s="13">
        <v>42839.177268518521</v>
      </c>
      <c r="G17" s="7">
        <v>1</v>
      </c>
      <c r="H17" s="21" t="s">
        <v>596</v>
      </c>
      <c r="I17" s="13">
        <v>42839.202268518522</v>
      </c>
      <c r="J17" s="7">
        <v>0</v>
      </c>
      <c r="K17" s="97" t="str">
        <f t="shared" si="0"/>
        <v>4003/4004</v>
      </c>
      <c r="L17" s="21" t="str">
        <f>VLOOKUP(A17,'Trips&amp;Operators'!$C$1:$G$99999,5,FALSE)</f>
        <v>COOLAHAN JOHN</v>
      </c>
      <c r="M17" s="6">
        <f t="shared" si="1"/>
        <v>2.5000000001455192E-2</v>
      </c>
      <c r="N17" s="7">
        <f t="shared" si="2"/>
        <v>36.000000002095476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-14T03:09:08-0600',mode:absolute,to:'2017-04-14T05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7.7899999999999997E-2</v>
      </c>
      <c r="Z17" s="62">
        <f t="shared" si="9"/>
        <v>23.3324</v>
      </c>
      <c r="AA17" s="62">
        <f t="shared" si="10"/>
        <v>23.2545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0105-14</v>
      </c>
      <c r="AE17" s="85" t="str">
        <f t="shared" si="12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17" s="82" t="str">
        <f t="shared" si="13"/>
        <v>"C:\Program Files (x86)\AstroGrep\AstroGrep.exe" /e /r /s /spath="%USERPROFILE%\AppData\Local\Temp\OnboardLogs" /stypes="app*4004*20170414*"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105-14 --locoid 4004 --swversion DE.1.0.9.0 --startMP 204:779 --initTime 2017-04-14T04:09:08 --startdatetime 2017-04-14T04:15:16 --delay 1 --endMP 204:233324 --enddatetime 2017-04-14T04:51:16 --enforcementcount 0 &gt;&gt;C:\Users\stu\Documents\GitHub\eaglep3-reporting\EC\2017-04-14-refined-times.txt</v>
      </c>
      <c r="AI17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{"issue":{"subject":"","project_id":79,"tracker_id":40,"status_id":1,"priority_id":2,"assigned_to_id":23,"start_date":"2017-04-14","description":"","custom_fields":[{"id":1,"name":"Subdivision","value":"EC"},{"id":4,"name":"Milepost","value":"23.3324"},{"id":17,"name":"Train ID","value":"105-14"},{"id":16,"name":"Locomotive ID","value":"4004"},{"id":130,"name":"Impact","value":""},{"id":150,"name":"Time of Event (Mountain Time)","value":"04:51:16"},{"id":151,"name":"Denver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4004 --day 2017-04-14</v>
      </c>
      <c r="AN17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10:51:16"},{"id":29,"name":"Sharepoint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675</v>
      </c>
      <c r="B18" s="7">
        <v>4015</v>
      </c>
      <c r="C18" s="21" t="s">
        <v>214</v>
      </c>
      <c r="D18" s="21" t="s">
        <v>870</v>
      </c>
      <c r="E18" s="13">
        <v>42839.212187500001</v>
      </c>
      <c r="F18" s="13">
        <v>42839.216192129628</v>
      </c>
      <c r="G18" s="7">
        <v>2</v>
      </c>
      <c r="H18" s="21" t="s">
        <v>553</v>
      </c>
      <c r="I18" s="13">
        <v>42839.244664351849</v>
      </c>
      <c r="J18" s="7">
        <v>0</v>
      </c>
      <c r="K18" s="97" t="str">
        <f t="shared" si="0"/>
        <v>4015/4016</v>
      </c>
      <c r="L18" s="21" t="str">
        <f>VLOOKUP(A18,'Trips&amp;Operators'!$C$1:$G$99999,5,FALSE)</f>
        <v>COOLAHAN JOHN</v>
      </c>
      <c r="M18" s="6">
        <f t="shared" si="1"/>
        <v>2.8472222220443655E-2</v>
      </c>
      <c r="N18" s="7">
        <f t="shared" si="2"/>
        <v>40.999999997438863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-14T04:05:33-0600',mode:absolute,to:'2017-04-14T06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23.2669</v>
      </c>
      <c r="Z18" s="62">
        <f t="shared" si="9"/>
        <v>1.23E-2</v>
      </c>
      <c r="AA18" s="62">
        <f t="shared" si="10"/>
        <v>23.2546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0106-14</v>
      </c>
      <c r="AE18" s="85" t="str">
        <f t="shared" si="12"/>
        <v>aws s3 cp s3://rtdc.mdm.uploadarchive.raw/RTDC4015/ "%USERPROFILE%\AppData\Local\Temp\OnboardLogs"\RTDC4015\2017-04-14 --exclude "*" --recursive --include "*20170414*" &amp; "%USERPROFILE%\Documents\GitHub\mrs-test-scripts\Headless Mode &amp; Sideloading\WalkAndUnGZ.bat" "%USERPROFILE%\AppData\Local\Temp\OnboardLogs"\RTDC4015\2017-04-14 &amp; aws s3 cp s3://rtdc.mdm.uploadarchive.raw/RTDC4015/ "%USERPROFILE%\AppData\Local\Temp\OnboardLogs"\RTDC4015\2017-04-15 --exclude "*" --recursive --include "*20170415*" &amp; "%USERPROFILE%\Documents\GitHub\mrs-test-scripts\Headless Mode &amp; Sideloading\WalkAndUnGZ.bat" "%USERPROFILE%\AppData\Local\Temp\OnboardLogs"\RTDC4015\2017-04-15</v>
      </c>
      <c r="AF18" s="82" t="str">
        <f t="shared" si="13"/>
        <v>"C:\Program Files (x86)\AstroGrep\AstroGrep.exe" /e /r /s /spath="%USERPROFILE%\AppData\Local\Temp\OnboardLogs" /stypes="app*4015*20170414*"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106-14 --locoid 4015 --swversion DE.1.0.9.0 --startMP 204:232669 --initTime 2017-04-14T05:05:33 --startdatetime 2017-04-14T05:11:19 --delay 2 --endMP 204:123 --enddatetime 2017-04-14T05:52:19 --enforcementcount 0 &gt;&gt;C:\Users\stu\Documents\GitHub\eaglep3-reporting\EC\2017-04-14-refined-times.txt</v>
      </c>
      <c r="AI18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{"issue":{"subject":"","project_id":79,"tracker_id":40,"status_id":1,"priority_id":2,"assigned_to_id":23,"start_date":"2017-04-14","description":"","custom_fields":[{"id":1,"name":"Subdivision","value":"EC"},{"id":4,"name":"Milepost","value":"0.0123"},{"id":17,"name":"Train ID","value":"106-14"},{"id":16,"name":"Locomotive ID","value":"4015"},{"id":130,"name":"Impact","value":""},{"id":150,"name":"Time of Event (Mountain Time)","value":"05:52:19"},{"id":151,"name":"Denver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4015 --day 2017-04-14</v>
      </c>
      <c r="AN18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668</v>
      </c>
      <c r="B19" s="7">
        <v>4010</v>
      </c>
      <c r="C19" s="21" t="s">
        <v>214</v>
      </c>
      <c r="D19" s="21" t="s">
        <v>468</v>
      </c>
      <c r="E19" s="13">
        <v>42839.185717592591</v>
      </c>
      <c r="F19" s="13">
        <v>42839.187986111108</v>
      </c>
      <c r="G19" s="7">
        <v>1</v>
      </c>
      <c r="H19" s="21" t="s">
        <v>492</v>
      </c>
      <c r="I19" s="13">
        <v>42839.215115740742</v>
      </c>
      <c r="J19" s="7">
        <v>0</v>
      </c>
      <c r="K19" s="97" t="str">
        <f t="shared" si="0"/>
        <v>4009/4010</v>
      </c>
      <c r="L19" s="21" t="str">
        <f>VLOOKUP(A19,'Trips&amp;Operators'!$C$1:$G$99999,5,FALSE)</f>
        <v>STARKS ANGELINA</v>
      </c>
      <c r="M19" s="6">
        <f t="shared" si="1"/>
        <v>2.7129629634146113E-2</v>
      </c>
      <c r="N19" s="7">
        <f t="shared" si="2"/>
        <v>39.066666673170403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-14T03:27:26-0600',mode:absolute,to:'2017-04-14T06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4.6699999999999998E-2</v>
      </c>
      <c r="Z19" s="62">
        <f t="shared" si="9"/>
        <v>23.3325</v>
      </c>
      <c r="AA19" s="62">
        <f t="shared" si="10"/>
        <v>23.285799999999998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0107-14</v>
      </c>
      <c r="AE19" s="85" t="str">
        <f t="shared" si="12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19" s="82" t="str">
        <f t="shared" si="13"/>
        <v>"C:\Program Files (x86)\AstroGrep\AstroGrep.exe" /e /r /s /spath="%USERPROFILE%\AppData\Local\Temp\OnboardLogs" /stypes="app*4010*20170414*"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107-14 --locoid 4010 --swversion DE.1.0.9.0 --startMP 204:467 --initTime 2017-04-14T04:27:26 --startdatetime 2017-04-14T04:30:42 --delay 1 --endMP 204:233325 --enddatetime 2017-04-14T05:09:46 --enforcementcount 0 &gt;&gt;C:\Users\stu\Documents\GitHub\eaglep3-reporting\EC\2017-04-14-refined-times.txt</v>
      </c>
      <c r="AI19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{"issue":{"subject":"","project_id":79,"tracker_id":40,"status_id":1,"priority_id":2,"assigned_to_id":23,"start_date":"2017-04-14","description":"","custom_fields":[{"id":1,"name":"Subdivision","value":"EC"},{"id":4,"name":"Milepost","value":"23.3325"},{"id":17,"name":"Train ID","value":"107-14"},{"id":16,"name":"Locomotive ID","value":"4010"},{"id":130,"name":"Impact","value":""},{"id":150,"name":"Time of Event (Mountain Time)","value":"05:09:46"},{"id":151,"name":"Denver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4010 --day 2017-04-14</v>
      </c>
      <c r="AN19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629</v>
      </c>
      <c r="B20" s="7">
        <v>4009</v>
      </c>
      <c r="C20" s="21" t="s">
        <v>214</v>
      </c>
      <c r="D20" s="21" t="s">
        <v>470</v>
      </c>
      <c r="E20" s="13">
        <v>42839.226157407407</v>
      </c>
      <c r="F20" s="13">
        <v>42839.227233796293</v>
      </c>
      <c r="G20" s="7">
        <v>1</v>
      </c>
      <c r="H20" s="21" t="s">
        <v>211</v>
      </c>
      <c r="I20" s="13">
        <v>42839.254710648151</v>
      </c>
      <c r="J20" s="7">
        <v>0</v>
      </c>
      <c r="K20" s="97" t="str">
        <f t="shared" si="0"/>
        <v>4009/4010</v>
      </c>
      <c r="L20" s="21" t="str">
        <f>VLOOKUP(A20,'Trips&amp;Operators'!$C$1:$G$99999,5,FALSE)</f>
        <v>STARKS ANGELINA</v>
      </c>
      <c r="M20" s="6">
        <f t="shared" si="1"/>
        <v>2.7476851857500151E-2</v>
      </c>
      <c r="N20" s="7">
        <f t="shared" si="2"/>
        <v>39.566666674800217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-14T04:25:40-0600',mode:absolute,to:'2017-04-14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23.3002</v>
      </c>
      <c r="Z20" s="62">
        <f t="shared" si="9"/>
        <v>1.47E-2</v>
      </c>
      <c r="AA20" s="62">
        <f t="shared" si="10"/>
        <v>23.285499999999999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0108-14</v>
      </c>
      <c r="AE20" s="85" t="str">
        <f t="shared" si="12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20" s="82" t="str">
        <f t="shared" si="13"/>
        <v>"C:\Program Files (x86)\AstroGrep\AstroGrep.exe" /e /r /s /spath="%USERPROFILE%\AppData\Local\Temp\OnboardLogs" /stypes="app*4009*20170414*"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108-14 --locoid 4009 --swversion DE.1.0.9.0 --startMP 204:233002 --initTime 2017-04-14T05:25:40 --startdatetime 2017-04-14T05:27:13 --delay 1 --endMP 204:147 --enddatetime 2017-04-14T06:06:47 --enforcementcount 0 &gt;&gt;C:\Users\stu\Documents\GitHub\eaglep3-reporting\EC\2017-04-14-refined-times.txt</v>
      </c>
      <c r="AI20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{"issue":{"subject":"","project_id":79,"tracker_id":40,"status_id":1,"priority_id":2,"assigned_to_id":23,"start_date":"2017-04-14","description":"","custom_fields":[{"id":1,"name":"Subdivision","value":"EC"},{"id":4,"name":"Milepost","value":"0.0147"},{"id":17,"name":"Train ID","value":"108-14"},{"id":16,"name":"Locomotive ID","value":"4009"},{"id":130,"name":"Impact","value":""},{"id":150,"name":"Time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4009 --day 2017-04-14</v>
      </c>
      <c r="AN20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670</v>
      </c>
      <c r="B21" s="7">
        <v>4032</v>
      </c>
      <c r="C21" s="21" t="s">
        <v>214</v>
      </c>
      <c r="D21" s="21" t="s">
        <v>206</v>
      </c>
      <c r="E21" s="13">
        <v>42839.195949074077</v>
      </c>
      <c r="F21" s="13">
        <v>42839.198194444441</v>
      </c>
      <c r="G21" s="7">
        <v>1</v>
      </c>
      <c r="H21" s="21" t="s">
        <v>871</v>
      </c>
      <c r="I21" s="13">
        <v>42839.224826388891</v>
      </c>
      <c r="J21" s="7">
        <v>0</v>
      </c>
      <c r="K21" s="97" t="str">
        <f t="shared" si="0"/>
        <v>4031/4032</v>
      </c>
      <c r="L21" s="21" t="str">
        <f>VLOOKUP(A21,'Trips&amp;Operators'!$C$1:$G$99999,5,FALSE)</f>
        <v>WILLIAMS DONTE</v>
      </c>
      <c r="M21" s="6">
        <f t="shared" si="1"/>
        <v>2.6631944449036382E-2</v>
      </c>
      <c r="N21" s="7">
        <f t="shared" si="2"/>
        <v>38.35000000661239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-14T03:42:10-0600',mode:absolute,to:'2017-04-14T06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4.5999999999999999E-2</v>
      </c>
      <c r="Z21" s="62">
        <f t="shared" si="9"/>
        <v>23.329899999999999</v>
      </c>
      <c r="AA21" s="62">
        <f t="shared" si="10"/>
        <v>23.283899999999999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0109-14</v>
      </c>
      <c r="AE21" s="85" t="str">
        <f t="shared" si="12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21" s="82" t="str">
        <f t="shared" si="13"/>
        <v>"C:\Program Files (x86)\AstroGrep\AstroGrep.exe" /e /r /s /spath="%USERPROFILE%\AppData\Local\Temp\OnboardLogs" /stypes="app*4032*20170414*"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109-14 --locoid 4032 --swversion DE.1.0.9.0 --startMP 204:460 --initTime 2017-04-14T04:42:10 --startdatetime 2017-04-14T04:45:24 --delay 1 --endMP 204:233299 --enddatetime 2017-04-14T05:23:45 --enforcementcount 0 &gt;&gt;C:\Users\stu\Documents\GitHub\eaglep3-reporting\EC\2017-04-14-refined-times.txt</v>
      </c>
      <c r="AI21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{"issue":{"subject":"","project_id":79,"tracker_id":40,"status_id":1,"priority_id":2,"assigned_to_id":23,"start_date":"2017-04-14","description":"","custom_fields":[{"id":1,"name":"Subdivision","value":"EC"},{"id":4,"name":"Milepost","value":"23.3299"},{"id":17,"name":"Train ID","value":"109-14"},{"id":16,"name":"Locomotive ID","value":"4032"},{"id":130,"name":"Impact","value":""},{"id":150,"name":"Time of Event (Mountain Time)","value":"05:23:45"},{"id":151,"name":"Denver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4032 --day 2017-04-14</v>
      </c>
      <c r="AN21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680</v>
      </c>
      <c r="B22" s="7">
        <v>4031</v>
      </c>
      <c r="C22" s="21" t="s">
        <v>214</v>
      </c>
      <c r="D22" s="21" t="s">
        <v>485</v>
      </c>
      <c r="E22" s="13">
        <v>42839.234212962961</v>
      </c>
      <c r="F22" s="13">
        <v>42839.237812500003</v>
      </c>
      <c r="G22" s="7">
        <v>1</v>
      </c>
      <c r="H22" s="21" t="s">
        <v>428</v>
      </c>
      <c r="I22" s="13">
        <v>42839.266250000001</v>
      </c>
      <c r="J22" s="7">
        <v>0</v>
      </c>
      <c r="K22" s="97" t="str">
        <f t="shared" si="0"/>
        <v>4031/4032</v>
      </c>
      <c r="L22" s="21" t="str">
        <f>VLOOKUP(A22,'Trips&amp;Operators'!$C$1:$G$99999,5,FALSE)</f>
        <v>WILLIAMS DONTE</v>
      </c>
      <c r="M22" s="6">
        <f t="shared" si="1"/>
        <v>2.8437499997380655E-2</v>
      </c>
      <c r="N22" s="7">
        <f t="shared" si="2"/>
        <v>40.949999996228144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-14T04:37:16-0600',mode:absolute,to:'2017-04-14T07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23.2973</v>
      </c>
      <c r="Z22" s="62">
        <f t="shared" si="9"/>
        <v>1.6500000000000001E-2</v>
      </c>
      <c r="AA22" s="62">
        <f t="shared" si="10"/>
        <v>23.280799999999999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0110-14</v>
      </c>
      <c r="AE22" s="85" t="str">
        <f t="shared" si="12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22" s="82" t="str">
        <f t="shared" si="13"/>
        <v>"C:\Program Files (x86)\AstroGrep\AstroGrep.exe" /e /r /s /spath="%USERPROFILE%\AppData\Local\Temp\OnboardLogs" /stypes="app*4031*20170414*"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110-14 --locoid 4031 --swversion DE.1.0.9.0 --startMP 204:232973 --initTime 2017-04-14T05:37:16 --startdatetime 2017-04-14T05:42:27 --delay 1 --endMP 204:165 --enddatetime 2017-04-14T06:23:24 --enforcementcount 0 &gt;&gt;C:\Users\stu\Documents\GitHub\eaglep3-reporting\EC\2017-04-14-refined-times.txt</v>
      </c>
      <c r="AI22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{"issue":{"subject":"","project_id":79,"tracker_id":40,"status_id":1,"priority_id":2,"assigned_to_id":23,"start_date":"2017-04-14","description":"","custom_fields":[{"id":1,"name":"Subdivision","value":"EC"},{"id":4,"name":"Milepost","value":"0.0165"},{"id":17,"name":"Train ID","value":"110-14"},{"id":16,"name":"Locomotive ID","value":"4031"},{"id":130,"name":"Impact","value":""},{"id":150,"name":"Time of Event (Mountain Time)","value":"06:23:24"},{"id":151,"name":"Denver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4031 --day 2017-04-14</v>
      </c>
      <c r="AN22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673</v>
      </c>
      <c r="B23" s="7">
        <v>4040</v>
      </c>
      <c r="C23" s="21" t="s">
        <v>214</v>
      </c>
      <c r="D23" s="21" t="s">
        <v>609</v>
      </c>
      <c r="E23" s="13">
        <v>42839.206516203703</v>
      </c>
      <c r="F23" s="13">
        <v>42839.208634259259</v>
      </c>
      <c r="G23" s="7">
        <v>1</v>
      </c>
      <c r="H23" s="21" t="s">
        <v>469</v>
      </c>
      <c r="I23" s="13">
        <v>42839.234143518515</v>
      </c>
      <c r="J23" s="7">
        <v>0</v>
      </c>
      <c r="K23" s="97" t="str">
        <f t="shared" si="0"/>
        <v>4039/4040</v>
      </c>
      <c r="L23" s="21" t="str">
        <f>VLOOKUP(A23,'Trips&amp;Operators'!$C$1:$G$99999,5,FALSE)</f>
        <v>DE LA ROSA ALEX</v>
      </c>
      <c r="M23" s="6">
        <f t="shared" si="1"/>
        <v>2.5509259256068617E-2</v>
      </c>
      <c r="N23" s="7">
        <f t="shared" si="2"/>
        <v>36.733333328738809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-14T03:57:23-0600',mode:absolute,to:'2017-04-14T06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7.46E-2</v>
      </c>
      <c r="Z23" s="62">
        <f t="shared" si="9"/>
        <v>23.3291</v>
      </c>
      <c r="AA23" s="62">
        <f t="shared" si="10"/>
        <v>23.2545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0111-14</v>
      </c>
      <c r="AE23" s="85" t="str">
        <f t="shared" si="12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23" s="82" t="str">
        <f t="shared" si="13"/>
        <v>"C:\Program Files (x86)\AstroGrep\AstroGrep.exe" /e /r /s /spath="%USERPROFILE%\AppData\Local\Temp\OnboardLogs" /stypes="app*4040*20170414*"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111-14 --locoid 4040 --swversion DE.1.0.9.0 --startMP 204:746 --initTime 2017-04-14T04:57:23 --startdatetime 2017-04-14T05:00:26 --delay 1 --endMP 204:233291 --enddatetime 2017-04-14T05:37:10 --enforcementcount 0 &gt;&gt;C:\Users\stu\Documents\GitHub\eaglep3-reporting\EC\2017-04-14-refined-times.txt</v>
      </c>
      <c r="AI23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{"issue":{"subject":"","project_id":79,"tracker_id":40,"status_id":1,"priority_id":2,"assigned_to_id":23,"start_date":"2017-04-14","description":"","custom_fields":[{"id":1,"name":"Subdivision","value":"EC"},{"id":4,"name":"Milepost","value":"23.3291"},{"id":17,"name":"Train ID","value":"111-14"},{"id":16,"name":"Locomotive ID","value":"4040"},{"id":130,"name":"Impact","value":""},{"id":150,"name":"Time of Event (Mountain Time)","value":"05:37:10"},{"id":151,"name":"Denver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4040 --day 2017-04-14</v>
      </c>
      <c r="AN23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681</v>
      </c>
      <c r="B24" s="7">
        <v>4039</v>
      </c>
      <c r="C24" s="21" t="s">
        <v>214</v>
      </c>
      <c r="D24" s="21" t="s">
        <v>421</v>
      </c>
      <c r="E24" s="13">
        <v>42839.242245370369</v>
      </c>
      <c r="F24" s="13">
        <v>42839.247523148151</v>
      </c>
      <c r="G24" s="7">
        <v>2</v>
      </c>
      <c r="H24" s="21" t="s">
        <v>428</v>
      </c>
      <c r="I24" s="13">
        <v>42839.27584490741</v>
      </c>
      <c r="J24" s="7">
        <v>0</v>
      </c>
      <c r="K24" s="97" t="str">
        <f t="shared" si="0"/>
        <v>4039/4040</v>
      </c>
      <c r="L24" s="21" t="str">
        <f>VLOOKUP(A24,'Trips&amp;Operators'!$C$1:$G$99999,5,FALSE)</f>
        <v>DE LA ROSA ALEX</v>
      </c>
      <c r="M24" s="6">
        <f t="shared" si="1"/>
        <v>2.8321759258687962E-2</v>
      </c>
      <c r="N24" s="7">
        <f t="shared" si="2"/>
        <v>40.783333332510665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-14T04:48:50-0600',mode:absolute,to:'2017-04-14T07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23.298500000000001</v>
      </c>
      <c r="Z24" s="62">
        <f t="shared" si="9"/>
        <v>1.6500000000000001E-2</v>
      </c>
      <c r="AA24" s="62">
        <f t="shared" si="10"/>
        <v>23.282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0112-14</v>
      </c>
      <c r="AE24" s="85" t="str">
        <f t="shared" si="12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24" s="82" t="str">
        <f t="shared" si="13"/>
        <v>"C:\Program Files (x86)\AstroGrep\AstroGrep.exe" /e /r /s /spath="%USERPROFILE%\AppData\Local\Temp\OnboardLogs" /stypes="app*4039*20170414*"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112-14 --locoid 4039 --swversion DE.1.0.9.0 --startMP 204:232985 --initTime 2017-04-14T05:48:50 --startdatetime 2017-04-14T05:56:26 --delay 2 --endMP 204:165 --enddatetime 2017-04-14T06:37:13 --enforcementcount 0 &gt;&gt;C:\Users\stu\Documents\GitHub\eaglep3-reporting\EC\2017-04-14-refined-times.txt</v>
      </c>
      <c r="AI24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{"issue":{"subject":"","project_id":79,"tracker_id":40,"status_id":1,"priority_id":2,"assigned_to_id":23,"start_date":"2017-04-14","description":"","custom_fields":[{"id":1,"name":"Subdivision","value":"EC"},{"id":4,"name":"Milepost","value":"0.0165"},{"id":17,"name":"Train ID","value":"112-14"},{"id":16,"name":"Locomotive ID","value":"4039"},{"id":130,"name":"Impact","value":""},{"id":150,"name":"Time of Event (Mountain Time)","value":"06:37:13"},{"id":151,"name":"Denver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4039 --day 2017-04-14</v>
      </c>
      <c r="AN24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674</v>
      </c>
      <c r="B25" s="7">
        <v>4020</v>
      </c>
      <c r="C25" s="21" t="s">
        <v>214</v>
      </c>
      <c r="D25" s="21" t="s">
        <v>522</v>
      </c>
      <c r="E25" s="13">
        <v>42839.207824074074</v>
      </c>
      <c r="F25" s="13">
        <v>42839.218912037039</v>
      </c>
      <c r="G25" s="7">
        <v>1</v>
      </c>
      <c r="H25" s="21" t="s">
        <v>872</v>
      </c>
      <c r="I25" s="13">
        <v>42839.245729166665</v>
      </c>
      <c r="J25" s="7">
        <v>0</v>
      </c>
      <c r="K25" s="97" t="str">
        <f t="shared" si="0"/>
        <v>4019/4020</v>
      </c>
      <c r="L25" s="21" t="str">
        <f>VLOOKUP(A25,'Trips&amp;Operators'!$C$1:$G$99999,5,FALSE)</f>
        <v>BADERTSCHER DIANE</v>
      </c>
      <c r="M25" s="6">
        <f t="shared" si="1"/>
        <v>2.6817129626579117E-2</v>
      </c>
      <c r="N25" s="7">
        <f t="shared" si="2"/>
        <v>38.616666662273929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-14T03:59:16-0600',mode:absolute,to:'2017-04-14T06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4.3999999999999997E-2</v>
      </c>
      <c r="Z25" s="62">
        <f t="shared" si="9"/>
        <v>23.334099999999999</v>
      </c>
      <c r="AA25" s="62">
        <f t="shared" si="10"/>
        <v>23.290099999999999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0113-14</v>
      </c>
      <c r="AE25" s="85" t="str">
        <f t="shared" si="12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25" s="82" t="str">
        <f t="shared" si="13"/>
        <v>"C:\Program Files (x86)\AstroGrep\AstroGrep.exe" /e /r /s /spath="%USERPROFILE%\AppData\Local\Temp\OnboardLogs" /stypes="app*4020*20170414*"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113-14 --locoid 4020 --swversion DE.1.0.9.0 --startMP 204:440 --initTime 2017-04-14T04:59:16 --startdatetime 2017-04-14T05:15:14 --delay 1 --endMP 204:233341 --enddatetime 2017-04-14T05:53:51 --enforcementcount 0 &gt;&gt;C:\Users\stu\Documents\GitHub\eaglep3-reporting\EC\2017-04-14-refined-times.txt</v>
      </c>
      <c r="AI25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{"issue":{"subject":"","project_id":79,"tracker_id":40,"status_id":1,"priority_id":2,"assigned_to_id":23,"start_date":"2017-04-14","description":"","custom_fields":[{"id":1,"name":"Subdivision","value":"EC"},{"id":4,"name":"Milepost","value":"23.3341"},{"id":17,"name":"Train ID","value":"113-14"},{"id":16,"name":"Locomotive ID","value":"4020"},{"id":130,"name":"Impact","value":""},{"id":150,"name":"Time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4020 --day 2017-04-14</v>
      </c>
      <c r="AN25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630</v>
      </c>
      <c r="B26" s="7">
        <v>4019</v>
      </c>
      <c r="C26" s="21" t="s">
        <v>214</v>
      </c>
      <c r="D26" s="21" t="s">
        <v>550</v>
      </c>
      <c r="E26" s="13">
        <v>42839.250104166669</v>
      </c>
      <c r="F26" s="13">
        <v>42839.258819444447</v>
      </c>
      <c r="G26" s="7">
        <v>1</v>
      </c>
      <c r="H26" s="21" t="s">
        <v>556</v>
      </c>
      <c r="I26" s="13">
        <v>42839.287361111114</v>
      </c>
      <c r="J26" s="7">
        <v>0</v>
      </c>
      <c r="K26" s="97" t="str">
        <f t="shared" si="0"/>
        <v>4019/4020</v>
      </c>
      <c r="L26" s="21" t="str">
        <f>VLOOKUP(A26,'Trips&amp;Operators'!$C$1:$G$99999,5,FALSE)</f>
        <v>BADERTSCHER DIANE</v>
      </c>
      <c r="M26" s="6">
        <f t="shared" si="1"/>
        <v>2.8541666666569654E-2</v>
      </c>
      <c r="N26" s="7">
        <f t="shared" si="2"/>
        <v>41.099999999860302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-14T05:00:09-0600',mode:absolute,to:'2017-04-14T07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23.296700000000001</v>
      </c>
      <c r="Z26" s="62">
        <f t="shared" si="9"/>
        <v>1.6299999999999999E-2</v>
      </c>
      <c r="AA26" s="62">
        <f t="shared" si="10"/>
        <v>23.2804</v>
      </c>
      <c r="AB26" s="59" t="str">
        <f>VLOOKUP(A26,Enforcements!$C$7:$K$13,8,0)</f>
        <v>Bulletin (2)</v>
      </c>
      <c r="AC26" s="55" t="str">
        <f>VLOOKUP(A26,Enforcements!$C$7:$E$13,3,0)</f>
        <v>GRADE CROSSING</v>
      </c>
      <c r="AD26" s="56" t="str">
        <f t="shared" si="11"/>
        <v>0114-14</v>
      </c>
      <c r="AE26" s="85" t="str">
        <f t="shared" si="12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26" s="82" t="str">
        <f t="shared" si="13"/>
        <v>"C:\Program Files (x86)\AstroGrep\AstroGrep.exe" /e /r /s /spath="%USERPROFILE%\AppData\Local\Temp\OnboardLogs" /stypes="app*4019*20170414*"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114-14 --locoid 4019 --swversion DE.1.0.9.0 --startMP 204:232967 --initTime 2017-04-14T06:00:09 --startdatetime 2017-04-14T06:12:42 --delay 1 --endMP 204:163 --enddatetime 2017-04-14T06:53:48 --enforcementcount 0 &gt;&gt;C:\Users\stu\Documents\GitHub\eaglep3-reporting\EC\2017-04-14-refined-times.txt</v>
      </c>
      <c r="AI26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{"issue":{"subject":"","project_id":79,"tracker_id":40,"status_id":1,"priority_id":2,"assigned_to_id":23,"start_date":"2017-04-14","description":"","custom_fields":[{"id":1,"name":"Subdivision","value":"EC"},{"id":4,"name":"Milepost","value":"0.0163"},{"id":17,"name":"Train ID","value":"114-14"},{"id":16,"name":"Locomotive ID","value":"4019"},{"id":130,"name":"Impact","value":""},{"id":150,"name":"Time of Event (Mountain Time)","value":"06:53:48"},{"id":151,"name":"Denver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4019 --day 2017-04-14</v>
      </c>
      <c r="AN26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678</v>
      </c>
      <c r="B27" s="7">
        <v>4046</v>
      </c>
      <c r="C27" s="21" t="s">
        <v>214</v>
      </c>
      <c r="D27" s="21" t="s">
        <v>873</v>
      </c>
      <c r="E27" s="13">
        <v>42839.227453703701</v>
      </c>
      <c r="F27" s="13">
        <v>42839.230821759258</v>
      </c>
      <c r="G27" s="7">
        <v>2</v>
      </c>
      <c r="H27" s="21" t="s">
        <v>599</v>
      </c>
      <c r="I27" s="13">
        <v>42839.255254629628</v>
      </c>
      <c r="J27" s="7">
        <v>0</v>
      </c>
      <c r="K27" s="97" t="str">
        <f t="shared" si="0"/>
        <v>4045/4046</v>
      </c>
      <c r="L27" s="21" t="str">
        <f>VLOOKUP(A27,'Trips&amp;Operators'!$C$1:$G$99999,5,FALSE)</f>
        <v>ROCHA YAOTL</v>
      </c>
      <c r="M27" s="6">
        <f t="shared" si="1"/>
        <v>2.4432870370219462E-2</v>
      </c>
      <c r="N27" s="7">
        <f t="shared" si="2"/>
        <v>35.183333333116025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-14T04:27:32-0600',mode:absolute,to:'2017-04-14T07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7.5499999999999998E-2</v>
      </c>
      <c r="Z27" s="62">
        <f t="shared" si="9"/>
        <v>23.3276</v>
      </c>
      <c r="AA27" s="62">
        <f t="shared" si="10"/>
        <v>23.252099999999999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0115-14</v>
      </c>
      <c r="AE27" s="85" t="str">
        <f t="shared" si="12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27" s="82" t="str">
        <f t="shared" si="13"/>
        <v>"C:\Program Files (x86)\AstroGrep\AstroGrep.exe" /e /r /s /spath="%USERPROFILE%\AppData\Local\Temp\OnboardLogs" /stypes="app*4046*20170414*"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115-14 --locoid 4046 --swversion DE.1.0.9.0 --startMP 204:755 --initTime 2017-04-14T05:27:32 --startdatetime 2017-04-14T05:32:23 --delay 2 --endMP 204:233276 --enddatetime 2017-04-14T06:07:34 --enforcementcount 0 &gt;&gt;C:\Users\stu\Documents\GitHub\eaglep3-reporting\EC\2017-04-14-refined-times.txt</v>
      </c>
      <c r="AI27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{"issue":{"subject":"","project_id":79,"tracker_id":40,"status_id":1,"priority_id":2,"assigned_to_id":23,"start_date":"2017-04-14","description":"","custom_fields":[{"id":1,"name":"Subdivision","value":"EC"},{"id":4,"name":"Milepost","value":"23.3276"},{"id":17,"name":"Train ID","value":"115-14"},{"id":16,"name":"Locomotive ID","value":"4046"},{"id":130,"name":"Impact","value":""},{"id":150,"name":"Time of Event (Mountain Time)","value":"06:07:34"},{"id":151,"name":"Denver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4046 --day 2017-04-14</v>
      </c>
      <c r="AN27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687</v>
      </c>
      <c r="B28" s="7">
        <v>4045</v>
      </c>
      <c r="C28" s="21" t="s">
        <v>214</v>
      </c>
      <c r="D28" s="21" t="s">
        <v>874</v>
      </c>
      <c r="E28" s="13">
        <v>42839.257789351854</v>
      </c>
      <c r="F28" s="13">
        <v>42839.268333333333</v>
      </c>
      <c r="G28" s="7">
        <v>2</v>
      </c>
      <c r="H28" s="21" t="s">
        <v>198</v>
      </c>
      <c r="I28" s="13">
        <v>42839.295219907406</v>
      </c>
      <c r="J28" s="7">
        <v>0</v>
      </c>
      <c r="K28" s="97" t="str">
        <f t="shared" si="0"/>
        <v>4045/4046</v>
      </c>
      <c r="L28" s="21" t="str">
        <f>VLOOKUP(A28,'Trips&amp;Operators'!$C$1:$G$99999,5,FALSE)</f>
        <v>ROCHA YAOTL</v>
      </c>
      <c r="M28" s="6">
        <f t="shared" si="1"/>
        <v>2.6886574072705116E-2</v>
      </c>
      <c r="N28" s="7">
        <f t="shared" si="2"/>
        <v>38.716666664695367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-14T05:11:13-0600',mode:absolute,to:'2017-04-14T08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23.297000000000001</v>
      </c>
      <c r="Z28" s="62">
        <f t="shared" si="9"/>
        <v>1.5800000000000002E-2</v>
      </c>
      <c r="AA28" s="62">
        <f t="shared" si="10"/>
        <v>23.281200000000002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0116-14</v>
      </c>
      <c r="AE28" s="85" t="str">
        <f t="shared" si="12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28" s="82" t="str">
        <f t="shared" si="13"/>
        <v>"C:\Program Files (x86)\AstroGrep\AstroGrep.exe" /e /r /s /spath="%USERPROFILE%\AppData\Local\Temp\OnboardLogs" /stypes="app*4045*20170414*"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116-14 --locoid 4045 --swversion DE.1.0.9.0 --startMP 204:232970 --initTime 2017-04-14T06:11:13 --startdatetime 2017-04-14T06:26:24 --delay 2 --endMP 204:158 --enddatetime 2017-04-14T07:05:07 --enforcementcount 0 &gt;&gt;C:\Users\stu\Documents\GitHub\eaglep3-reporting\EC\2017-04-14-refined-times.txt</v>
      </c>
      <c r="AI28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{"issue":{"subject":"","project_id":79,"tracker_id":40,"status_id":1,"priority_id":2,"assigned_to_id":23,"start_date":"2017-04-14","description":"","custom_fields":[{"id":1,"name":"Subdivision","value":"EC"},{"id":4,"name":"Milepost","value":"0.0158"},{"id":17,"name":"Train ID","value":"116-14"},{"id":16,"name":"Locomotive ID","value":"4045"},{"id":130,"name":"Impact","value":""},{"id":150,"name":"Time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4045 --day 2017-04-14</v>
      </c>
      <c r="AN28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679</v>
      </c>
      <c r="B29" s="7">
        <v>4042</v>
      </c>
      <c r="C29" s="21" t="s">
        <v>214</v>
      </c>
      <c r="D29" s="21" t="s">
        <v>875</v>
      </c>
      <c r="E29" s="13">
        <v>42839.230138888888</v>
      </c>
      <c r="F29" s="13">
        <v>42839.239918981482</v>
      </c>
      <c r="G29" s="7">
        <v>1</v>
      </c>
      <c r="H29" s="21" t="s">
        <v>871</v>
      </c>
      <c r="I29" s="13">
        <v>42839.266481481478</v>
      </c>
      <c r="J29" s="7">
        <v>0</v>
      </c>
      <c r="K29" s="97" t="str">
        <f t="shared" si="0"/>
        <v>4041/4042</v>
      </c>
      <c r="L29" s="21" t="str">
        <f>VLOOKUP(A29,'Trips&amp;Operators'!$C$1:$G$99999,5,FALSE)</f>
        <v>DAVIS WENDY</v>
      </c>
      <c r="M29" s="6">
        <f t="shared" si="1"/>
        <v>2.6562499995634425E-2</v>
      </c>
      <c r="N29" s="7">
        <f t="shared" si="2"/>
        <v>38.249999993713573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-14T04:31:24-0600',mode:absolute,to:'2017-04-14T07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4.3099999999999999E-2</v>
      </c>
      <c r="Z29" s="62">
        <f t="shared" si="9"/>
        <v>23.329899999999999</v>
      </c>
      <c r="AA29" s="62">
        <f t="shared" si="10"/>
        <v>23.286799999999999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0117-14</v>
      </c>
      <c r="AE29" s="85" t="str">
        <f t="shared" si="12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29" s="82" t="str">
        <f t="shared" si="13"/>
        <v>"C:\Program Files (x86)\AstroGrep\AstroGrep.exe" /e /r /s /spath="%USERPROFILE%\AppData\Local\Temp\OnboardLogs" /stypes="app*4042*20170414*"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117-14 --locoid 4042 --swversion DE.1.0.9.0 --startMP 204:431 --initTime 2017-04-14T05:31:24 --startdatetime 2017-04-14T05:45:29 --delay 1 --endMP 204:233299 --enddatetime 2017-04-14T06:23:44 --enforcementcount 0 &gt;&gt;C:\Users\stu\Documents\GitHub\eaglep3-reporting\EC\2017-04-14-refined-times.txt</v>
      </c>
      <c r="AI29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{"issue":{"subject":"","project_id":79,"tracker_id":40,"status_id":1,"priority_id":2,"assigned_to_id":23,"start_date":"2017-04-14","description":"","custom_fields":[{"id":1,"name":"Subdivision","value":"EC"},{"id":4,"name":"Milepost","value":"23.3299"},{"id":17,"name":"Train ID","value":"117-14"},{"id":16,"name":"Locomotive ID","value":"4042"},{"id":130,"name":"Impact","value":""},{"id":150,"name":"Time of Event (Mountain Time)","value":"06:23:44"},{"id":151,"name":"Denver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4042 --day 2017-04-14</v>
      </c>
      <c r="AN29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689</v>
      </c>
      <c r="B30" s="7">
        <v>4041</v>
      </c>
      <c r="C30" s="21" t="s">
        <v>214</v>
      </c>
      <c r="D30" s="21" t="s">
        <v>876</v>
      </c>
      <c r="E30" s="13">
        <v>42839.276192129626</v>
      </c>
      <c r="F30" s="13">
        <v>42839.278611111113</v>
      </c>
      <c r="G30" s="7">
        <v>1</v>
      </c>
      <c r="H30" s="21" t="s">
        <v>416</v>
      </c>
      <c r="I30" s="13">
        <v>42839.306608796294</v>
      </c>
      <c r="J30" s="7">
        <v>0</v>
      </c>
      <c r="K30" s="97" t="str">
        <f t="shared" si="0"/>
        <v>4041/4042</v>
      </c>
      <c r="L30" s="21" t="str">
        <f>VLOOKUP(A30,'Trips&amp;Operators'!$C$1:$G$99999,5,FALSE)</f>
        <v>DAVIS WENDY</v>
      </c>
      <c r="M30" s="6">
        <f t="shared" si="1"/>
        <v>2.7997685181617271E-2</v>
      </c>
      <c r="N30" s="7">
        <f t="shared" si="2"/>
        <v>40.31666666152887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-14T05:37:43-0600',mode:absolute,to:'2017-04-14T08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23.299199999999999</v>
      </c>
      <c r="Z30" s="62">
        <f t="shared" si="9"/>
        <v>1.4500000000000001E-2</v>
      </c>
      <c r="AA30" s="62">
        <f t="shared" si="10"/>
        <v>23.284699999999997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0118-14</v>
      </c>
      <c r="AE30" s="85" t="str">
        <f t="shared" si="12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30" s="82" t="str">
        <f t="shared" si="13"/>
        <v>"C:\Program Files (x86)\AstroGrep\AstroGrep.exe" /e /r /s /spath="%USERPROFILE%\AppData\Local\Temp\OnboardLogs" /stypes="app*4041*20170414*"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118-14 --locoid 4041 --swversion DE.1.0.9.0 --startMP 204:232992 --initTime 2017-04-14T06:37:43 --startdatetime 2017-04-14T06:41:12 --delay 1 --endMP 204:145 --enddatetime 2017-04-14T07:21:31 --enforcementcount 0 &gt;&gt;C:\Users\stu\Documents\GitHub\eaglep3-reporting\EC\2017-04-14-refined-times.txt</v>
      </c>
      <c r="AI30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{"issue":{"subject":"","project_id":79,"tracker_id":40,"status_id":1,"priority_id":2,"assigned_to_id":23,"start_date":"2017-04-14","description":"","custom_fields":[{"id":1,"name":"Subdivision","value":"EC"},{"id":4,"name":"Milepost","value":"0.0145"},{"id":17,"name":"Train ID","value":"118-14"},{"id":16,"name":"Locomotive ID","value":"4041"},{"id":130,"name":"Impact","value":""},{"id":150,"name":"Time of Event (Mountain Time)","value":"07:21:31"},{"id":151,"name":"Denver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4041 --day 2017-04-14</v>
      </c>
      <c r="AN30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683</v>
      </c>
      <c r="B31" s="7">
        <v>4004</v>
      </c>
      <c r="C31" s="21" t="s">
        <v>214</v>
      </c>
      <c r="D31" s="21" t="s">
        <v>878</v>
      </c>
      <c r="E31" s="13">
        <v>42839.247187499997</v>
      </c>
      <c r="F31" s="13">
        <v>42839.250231481485</v>
      </c>
      <c r="G31" s="7">
        <v>1</v>
      </c>
      <c r="H31" s="21" t="s">
        <v>554</v>
      </c>
      <c r="I31" s="13">
        <v>42839.276562500003</v>
      </c>
      <c r="J31" s="7">
        <v>0</v>
      </c>
      <c r="K31" s="97" t="str">
        <f>IF(ISEVEN(B31),(B31-1)&amp;"/"&amp;B31,B31&amp;"/"&amp;(B31+1))</f>
        <v>4003/4004</v>
      </c>
      <c r="L31" s="21" t="str">
        <f>VLOOKUP(A31,'Trips&amp;Operators'!$C$1:$G$99999,5,FALSE)</f>
        <v>COOLAHAN JOHN</v>
      </c>
      <c r="M31" s="6">
        <f>I31-F31</f>
        <v>2.6331018518249039E-2</v>
      </c>
      <c r="N31" s="7">
        <f>24*60*SUM($M31:$M31)</f>
        <v>37.916666666278616</v>
      </c>
      <c r="O31" s="7"/>
      <c r="P31" s="7"/>
      <c r="Q31" s="22"/>
      <c r="R31" s="22" t="s">
        <v>1023</v>
      </c>
      <c r="S31" s="31">
        <f>SUM(U31:U31)/IF(AG31="EC",12,1)</f>
        <v>1</v>
      </c>
      <c r="T31" s="46" t="s">
        <v>1022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-14T04:55:57-0600',mode:absolute,to:'2017-04-14T07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183" t="str">
        <f>IF(AA31&lt;IF(AG31="EC",23,5.65),"Y","N")</f>
        <v>N</v>
      </c>
      <c r="X31" s="183">
        <f t="shared" si="7"/>
        <v>2</v>
      </c>
      <c r="Y31" s="62">
        <f>RIGHT(D31,LEN(D31)-4)/10000</f>
        <v>7.8299999999999995E-2</v>
      </c>
      <c r="Z31" s="62">
        <f>RIGHT(H31,LEN(H31)-4)/10000</f>
        <v>23.334599999999998</v>
      </c>
      <c r="AA31" s="62">
        <f>ABS(Z31-Y31)</f>
        <v>23.2563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0120-14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/stypes="app*4004*20170414*"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120-14 --locoid 4004 --swversion DE.1.0.9.0 --startMP 204:783 --initTime 2017-04-14T05:55:57 --startdatetime 2017-04-14T06:00:20 --delay 1 --endMP 204:233346 --enddatetime 2017-04-14T06:38:15 --enforcementcount 0 &gt;&gt;C:\Users\stu\Documents\GitHub\eaglep3-reporting\EC\2017-04-14-refined-times.txt</v>
      </c>
      <c r="AI31" s="104" t="str">
        <f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{"issue":{"subject":"Accidentally selected 120 instead of 119","project_id":79,"tracker_id":40,"status_id":1,"priority_id":2,"assigned_to_id":23,"start_date":"2017-04-14","description":"","custom_fields":[{"id":1,"name":"Subdivision","value":"EC"},{"id":4,"name":"Milepost","value":"23.3346"},{"id":17,"name":"Train ID","value":"120-14"},{"id":16,"name":"Locomotive ID","value":"4004"},{"id":130,"name":"Impact","value":""},{"id":150,"name":"Time of Event (Mountain Time)","value":"06:38:15"},{"id":151,"name":"Denver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>"start /low /b "&amp;dls3logs&amp;" --loco "&amp;B31&amp;" --day "&amp;TEXT(F31,"YYYY-MM-DD")</f>
        <v>start /low /b %USERPROFILE%\Documents\GitHub\eaglep3\Utilities\DownloadLogsFromS3.py --loco 4004 --day 2017-04-14</v>
      </c>
      <c r="AN31" s="159" t="str">
        <f>"echo {""issue"":{""subject"":"""&amp;R31&amp;""",""project_id"":30,""tracker_id"":4,""status_id"":"&amp;redmine_status_wcr&amp;",""priority_id"":"&amp;redmine_priority_wcr&amp;",""assigned_to_id"":"&amp;redmine_assignee_wcr&amp;",""start_date"":"""&amp;TEXT(I31-utc_offset/24,"YYYY-mm-dd")&amp;""",""description"":"""&amp;AJ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{"issue":{"subject":"Accidentally selected 120 instead of 119","project_id":30,"tracker_id":4,"status_id":1,"priority_id":1,"assigned_to_id":10,"start_date":"2017-04-14","description":"","custom_fields":[{"id":30,"name":"Category","value":"Issue"},{"id":3,"name":"Functional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683</v>
      </c>
      <c r="B32" s="7">
        <v>4003</v>
      </c>
      <c r="C32" s="21" t="s">
        <v>214</v>
      </c>
      <c r="D32" s="21" t="s">
        <v>525</v>
      </c>
      <c r="E32" s="13">
        <v>42839.282685185186</v>
      </c>
      <c r="F32" s="13">
        <v>42839.289097222223</v>
      </c>
      <c r="G32" s="7">
        <v>1</v>
      </c>
      <c r="H32" s="21" t="s">
        <v>877</v>
      </c>
      <c r="I32" s="13">
        <v>42839.315740740742</v>
      </c>
      <c r="J32" s="7">
        <v>0</v>
      </c>
      <c r="K32" s="97" t="str">
        <f t="shared" si="0"/>
        <v>4003/4004</v>
      </c>
      <c r="L32" s="21" t="str">
        <f>VLOOKUP(A32,'Trips&amp;Operators'!$C$1:$G$99999,5,FALSE)</f>
        <v>COOLAHAN JOHN</v>
      </c>
      <c r="M32" s="6">
        <f t="shared" si="1"/>
        <v>2.6643518518540077E-2</v>
      </c>
      <c r="N32" s="7">
        <f t="shared" si="2"/>
        <v>38.366666666697711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-14T05:47:04-0600',mode:absolute,to:'2017-04-14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183" t="str">
        <f t="shared" si="6"/>
        <v>N</v>
      </c>
      <c r="X32" s="183">
        <f t="shared" si="7"/>
        <v>0</v>
      </c>
      <c r="Y32" s="62">
        <f t="shared" si="8"/>
        <v>23.299399999999999</v>
      </c>
      <c r="Z32" s="62">
        <f t="shared" si="9"/>
        <v>1.3599999999999999E-2</v>
      </c>
      <c r="AA32" s="62">
        <f t="shared" si="10"/>
        <v>23.285799999999998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0120-14</v>
      </c>
      <c r="AE32" s="85" t="str">
        <f t="shared" si="12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32" s="82" t="str">
        <f t="shared" si="13"/>
        <v>"C:\Program Files (x86)\AstroGrep\AstroGrep.exe" /e /r /s /spath="%USERPROFILE%\AppData\Local\Temp\OnboardLogs" /stypes="app*4003*20170414*"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120-14 --locoid 4003 --swversion DE.1.0.9.0 --startMP 204:232994 --initTime 2017-04-14T06:47:04 --startdatetime 2017-04-14T06:56:18 --delay 1 --endMP 204:136 --enddatetime 2017-04-14T07:34:40 --enforcementcount 0 &gt;&gt;C:\Users\stu\Documents\GitHub\eaglep3-reporting\EC\2017-04-14-refined-times.txt</v>
      </c>
      <c r="AI32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{"issue":{"subject":"","project_id":79,"tracker_id":40,"status_id":1,"priority_id":2,"assigned_to_id":23,"start_date":"2017-04-14","description":"","custom_fields":[{"id":1,"name":"Subdivision","value":"EC"},{"id":4,"name":"Milepost","value":"0.0136"},{"id":17,"name":"Train ID","value":"120-14"},{"id":16,"name":"Locomotive ID","value":"4003"},{"id":130,"name":"Impact","value":""},{"id":150,"name":"Time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4003 --day 2017-04-14</v>
      </c>
      <c r="AN32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686</v>
      </c>
      <c r="B33" s="7">
        <v>4010</v>
      </c>
      <c r="C33" s="21" t="s">
        <v>214</v>
      </c>
      <c r="D33" s="21" t="s">
        <v>522</v>
      </c>
      <c r="E33" s="13">
        <v>42839.257013888891</v>
      </c>
      <c r="F33" s="13">
        <v>42839.26059027778</v>
      </c>
      <c r="G33" s="7">
        <v>1</v>
      </c>
      <c r="H33" s="21" t="s">
        <v>484</v>
      </c>
      <c r="I33" s="13">
        <v>42839.286249999997</v>
      </c>
      <c r="J33" s="7">
        <v>0</v>
      </c>
      <c r="K33" s="97" t="str">
        <f t="shared" si="0"/>
        <v>4009/4010</v>
      </c>
      <c r="L33" s="21" t="str">
        <f>VLOOKUP(A33,'Trips&amp;Operators'!$C$1:$G$99999,5,FALSE)</f>
        <v>STARKS ANGELINA</v>
      </c>
      <c r="M33" s="6">
        <f t="shared" si="1"/>
        <v>2.565972221782431E-2</v>
      </c>
      <c r="N33" s="7">
        <f t="shared" si="2"/>
        <v>36.949999993667006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-14T05:10:06-0600',mode:absolute,to:'2017-04-14T07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4.3999999999999997E-2</v>
      </c>
      <c r="Z33" s="62">
        <f t="shared" si="9"/>
        <v>23.3293</v>
      </c>
      <c r="AA33" s="62">
        <f t="shared" si="10"/>
        <v>23.285299999999999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0121-14</v>
      </c>
      <c r="AE33" s="85" t="str">
        <f t="shared" si="12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33" s="82" t="str">
        <f t="shared" si="13"/>
        <v>"C:\Program Files (x86)\AstroGrep\AstroGrep.exe" /e /r /s /spath="%USERPROFILE%\AppData\Local\Temp\OnboardLogs" /stypes="app*4010*20170414*"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121-14 --locoid 4010 --swversion DE.1.0.9.0 --startMP 204:440 --initTime 2017-04-14T06:10:06 --startdatetime 2017-04-14T06:15:15 --delay 1 --endMP 204:233293 --enddatetime 2017-04-14T06:52:12 --enforcementcount 0 &gt;&gt;C:\Users\stu\Documents\GitHub\eaglep3-reporting\EC\2017-04-14-refined-times.txt</v>
      </c>
      <c r="AI33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{"issue":{"subject":"","project_id":79,"tracker_id":40,"status_id":1,"priority_id":2,"assigned_to_id":23,"start_date":"2017-04-14","description":"","custom_fields":[{"id":1,"name":"Subdivision","value":"EC"},{"id":4,"name":"Milepost","value":"23.3293"},{"id":17,"name":"Train ID","value":"121-14"},{"id":16,"name":"Locomotive ID","value":"4010"},{"id":130,"name":"Impact","value":""},{"id":150,"name":"Time of Event (Mountain Time)","value":"06:52:12"},{"id":151,"name":"Denver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4010 --day 2017-04-14</v>
      </c>
      <c r="AN33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694</v>
      </c>
      <c r="B34" s="7">
        <v>4009</v>
      </c>
      <c r="C34" s="21" t="s">
        <v>214</v>
      </c>
      <c r="D34" s="21" t="s">
        <v>604</v>
      </c>
      <c r="E34" s="13">
        <v>42839.292511574073</v>
      </c>
      <c r="F34" s="13">
        <v>42839.299479166664</v>
      </c>
      <c r="G34" s="7">
        <v>1</v>
      </c>
      <c r="H34" s="21" t="s">
        <v>416</v>
      </c>
      <c r="I34" s="13">
        <v>42839.327499999999</v>
      </c>
      <c r="J34" s="7">
        <v>0</v>
      </c>
      <c r="K34" s="97" t="str">
        <f t="shared" si="0"/>
        <v>4009/4010</v>
      </c>
      <c r="L34" s="21" t="str">
        <f>VLOOKUP(A34,'Trips&amp;Operators'!$C$1:$G$99999,5,FALSE)</f>
        <v>STARKS ANGELINA</v>
      </c>
      <c r="M34" s="6">
        <f t="shared" si="1"/>
        <v>2.8020833335176576E-2</v>
      </c>
      <c r="N34" s="7">
        <f t="shared" si="2"/>
        <v>40.350000002654269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-14T06:01:13-0600',mode:absolute,to:'2017-04-14T08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23.298400000000001</v>
      </c>
      <c r="Z34" s="62">
        <f t="shared" si="9"/>
        <v>1.4500000000000001E-2</v>
      </c>
      <c r="AA34" s="62">
        <f t="shared" si="10"/>
        <v>23.283899999999999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0122-14</v>
      </c>
      <c r="AE34" s="85" t="str">
        <f t="shared" si="12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34" s="82" t="str">
        <f t="shared" si="13"/>
        <v>"C:\Program Files (x86)\AstroGrep\AstroGrep.exe" /e /r /s /spath="%USERPROFILE%\AppData\Local\Temp\OnboardLogs" /stypes="app*4009*20170414*"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122-14 --locoid 4009 --swversion DE.1.0.9.0 --startMP 204:232984 --initTime 2017-04-14T07:01:13 --startdatetime 2017-04-14T07:11:15 --delay 1 --endMP 204:145 --enddatetime 2017-04-14T07:51:36 --enforcementcount 0 &gt;&gt;C:\Users\stu\Documents\GitHub\eaglep3-reporting\EC\2017-04-14-refined-times.txt</v>
      </c>
      <c r="AI34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{"issue":{"subject":"","project_id":79,"tracker_id":40,"status_id":1,"priority_id":2,"assigned_to_id":23,"start_date":"2017-04-14","description":"","custom_fields":[{"id":1,"name":"Subdivision","value":"EC"},{"id":4,"name":"Milepost","value":"0.0145"},{"id":17,"name":"Train ID","value":"122-14"},{"id":16,"name":"Locomotive ID","value":"4009"},{"id":130,"name":"Impact","value":""},{"id":150,"name":"Time of Event (Mountain Time)","value":"07:51:36"},{"id":151,"name":"Denver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4009 --day 2017-04-14</v>
      </c>
      <c r="AN34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688</v>
      </c>
      <c r="B35" s="7">
        <v>4032</v>
      </c>
      <c r="C35" s="21" t="s">
        <v>214</v>
      </c>
      <c r="D35" s="21" t="s">
        <v>420</v>
      </c>
      <c r="E35" s="13">
        <v>42839.268101851849</v>
      </c>
      <c r="F35" s="13">
        <v>42839.27107638889</v>
      </c>
      <c r="G35" s="7">
        <v>1</v>
      </c>
      <c r="H35" s="21" t="s">
        <v>879</v>
      </c>
      <c r="I35" s="13">
        <v>42839.29619212963</v>
      </c>
      <c r="J35" s="7">
        <v>0</v>
      </c>
      <c r="K35" s="97" t="str">
        <f t="shared" si="0"/>
        <v>4031/4032</v>
      </c>
      <c r="L35" s="21" t="str">
        <f>VLOOKUP(A35,'Trips&amp;Operators'!$C$1:$G$99999,5,FALSE)</f>
        <v>LOZA FIDEL</v>
      </c>
      <c r="M35" s="6">
        <f t="shared" si="1"/>
        <v>2.5115740740147885E-2</v>
      </c>
      <c r="N35" s="7">
        <f t="shared" si="2"/>
        <v>36.166666665812954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-14T05:26:04-0600',mode:absolute,to:'2017-04-14T08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4.58E-2</v>
      </c>
      <c r="Z35" s="62">
        <f t="shared" si="9"/>
        <v>23.333600000000001</v>
      </c>
      <c r="AA35" s="62">
        <f t="shared" si="10"/>
        <v>23.287800000000001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0123-14</v>
      </c>
      <c r="AE35" s="85" t="str">
        <f t="shared" si="12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35" s="82" t="str">
        <f t="shared" si="13"/>
        <v>"C:\Program Files (x86)\AstroGrep\AstroGrep.exe" /e /r /s /spath="%USERPROFILE%\AppData\Local\Temp\OnboardLogs" /stypes="app*4032*20170414*"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123-14 --locoid 4032 --swversion DE.1.0.9.0 --startMP 204:458 --initTime 2017-04-14T06:26:04 --startdatetime 2017-04-14T06:30:21 --delay 1 --endMP 204:233336 --enddatetime 2017-04-14T07:06:31 --enforcementcount 0 &gt;&gt;C:\Users\stu\Documents\GitHub\eaglep3-reporting\EC\2017-04-14-refined-times.txt</v>
      </c>
      <c r="AI35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{"issue":{"subject":"","project_id":79,"tracker_id":40,"status_id":1,"priority_id":2,"assigned_to_id":23,"start_date":"2017-04-14","description":"","custom_fields":[{"id":1,"name":"Subdivision","value":"EC"},{"id":4,"name":"Milepost","value":"23.3336"},{"id":17,"name":"Train ID","value":"123-14"},{"id":16,"name":"Locomotive ID","value":"4032"},{"id":130,"name":"Impact","value":""},{"id":150,"name":"Time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4032 --day 2017-04-14</v>
      </c>
      <c r="AN35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697</v>
      </c>
      <c r="B36" s="7">
        <v>4031</v>
      </c>
      <c r="C36" s="21" t="s">
        <v>214</v>
      </c>
      <c r="D36" s="21" t="s">
        <v>880</v>
      </c>
      <c r="E36" s="13">
        <v>42839.306562500002</v>
      </c>
      <c r="F36" s="13">
        <v>42839.310011574074</v>
      </c>
      <c r="G36" s="7">
        <v>1</v>
      </c>
      <c r="H36" s="21" t="s">
        <v>489</v>
      </c>
      <c r="I36" s="13">
        <v>42839.336504629631</v>
      </c>
      <c r="J36" s="7">
        <v>0</v>
      </c>
      <c r="K36" s="97" t="str">
        <f t="shared" si="0"/>
        <v>4031/4032</v>
      </c>
      <c r="L36" s="21" t="str">
        <f>VLOOKUP(A36,'Trips&amp;Operators'!$C$1:$G$99999,5,FALSE)</f>
        <v>LOZA FIDEL</v>
      </c>
      <c r="M36" s="6">
        <f t="shared" si="1"/>
        <v>2.6493055556784384E-2</v>
      </c>
      <c r="N36" s="7">
        <f t="shared" si="2"/>
        <v>38.150000001769513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-14T06:21:27-0600',mode:absolute,to:'2017-04-14T09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23.303599999999999</v>
      </c>
      <c r="Z36" s="62">
        <f t="shared" si="9"/>
        <v>1.4999999999999999E-2</v>
      </c>
      <c r="AA36" s="62">
        <f t="shared" si="10"/>
        <v>23.288599999999999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0124-14</v>
      </c>
      <c r="AE36" s="85" t="str">
        <f t="shared" si="12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36" s="82" t="str">
        <f t="shared" si="13"/>
        <v>"C:\Program Files (x86)\AstroGrep\AstroGrep.exe" /e /r /s /spath="%USERPROFILE%\AppData\Local\Temp\OnboardLogs" /stypes="app*4031*20170414*"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124-14 --locoid 4031 --swversion DE.1.0.9.0 --startMP 204:233036 --initTime 2017-04-14T07:21:27 --startdatetime 2017-04-14T07:26:25 --delay 1 --endMP 204:150 --enddatetime 2017-04-14T08:04:34 --enforcementcount 0 &gt;&gt;C:\Users\stu\Documents\GitHub\eaglep3-reporting\EC\2017-04-14-refined-times.txt</v>
      </c>
      <c r="AI36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{"issue":{"subject":"","project_id":79,"tracker_id":40,"status_id":1,"priority_id":2,"assigned_to_id":23,"start_date":"2017-04-14","description":"","custom_fields":[{"id":1,"name":"Subdivision","value":"EC"},{"id":4,"name":"Milepost","value":"0.015"},{"id":17,"name":"Train ID","value":"124-14"},{"id":16,"name":"Locomotive ID","value":"4031"},{"id":130,"name":"Impact","value":""},{"id":150,"name":"Time of Event (Mountain Time)","value":"08:04:34"},{"id":151,"name":"Denver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4031 --day 2017-04-14</v>
      </c>
      <c r="AN36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691</v>
      </c>
      <c r="B37" s="7">
        <v>4040</v>
      </c>
      <c r="C37" s="21" t="s">
        <v>214</v>
      </c>
      <c r="D37" s="21" t="s">
        <v>408</v>
      </c>
      <c r="E37" s="13">
        <v>42839.278379629628</v>
      </c>
      <c r="F37" s="13">
        <v>42839.281469907408</v>
      </c>
      <c r="G37" s="7">
        <v>1</v>
      </c>
      <c r="H37" s="21" t="s">
        <v>484</v>
      </c>
      <c r="I37" s="13">
        <v>42839.305844907409</v>
      </c>
      <c r="J37" s="7">
        <v>0</v>
      </c>
      <c r="K37" s="97" t="str">
        <f t="shared" si="0"/>
        <v>4039/4040</v>
      </c>
      <c r="L37" s="21" t="str">
        <f>VLOOKUP(A37,'Trips&amp;Operators'!$C$1:$G$99999,5,FALSE)</f>
        <v>DE LA ROSA ALEX</v>
      </c>
      <c r="M37" s="6">
        <f t="shared" si="1"/>
        <v>2.4375000000873115E-2</v>
      </c>
      <c r="N37" s="7">
        <f t="shared" si="2"/>
        <v>35.100000001257285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-14T05:40:52-0600',mode:absolute,to:'2017-04-14T08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4.6199999999999998E-2</v>
      </c>
      <c r="Z37" s="62">
        <f t="shared" si="9"/>
        <v>23.3293</v>
      </c>
      <c r="AA37" s="62">
        <f t="shared" si="10"/>
        <v>23.283100000000001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0125-14</v>
      </c>
      <c r="AE37" s="85" t="str">
        <f t="shared" si="12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37" s="82" t="str">
        <f t="shared" si="13"/>
        <v>"C:\Program Files (x86)\AstroGrep\AstroGrep.exe" /e /r /s /spath="%USERPROFILE%\AppData\Local\Temp\OnboardLogs" /stypes="app*4040*20170414*"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125-14 --locoid 4040 --swversion DE.1.0.9.0 --startMP 204:462 --initTime 2017-04-14T06:40:52 --startdatetime 2017-04-14T06:45:19 --delay 1 --endMP 204:233293 --enddatetime 2017-04-14T07:20:25 --enforcementcount 0 &gt;&gt;C:\Users\stu\Documents\GitHub\eaglep3-reporting\EC\2017-04-14-refined-times.txt</v>
      </c>
      <c r="AI37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{"issue":{"subject":"","project_id":79,"tracker_id":40,"status_id":1,"priority_id":2,"assigned_to_id":23,"start_date":"2017-04-14","description":"","custom_fields":[{"id":1,"name":"Subdivision","value":"EC"},{"id":4,"name":"Milepost","value":"23.3293"},{"id":17,"name":"Train ID","value":"125-14"},{"id":16,"name":"Locomotive ID","value":"4040"},{"id":130,"name":"Impact","value":""},{"id":150,"name":"Time of Event (Mountain Time)","value":"07:20:25"},{"id":151,"name":"Denver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4040 --day 2017-04-14</v>
      </c>
      <c r="AN37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700</v>
      </c>
      <c r="B38" s="7">
        <v>4039</v>
      </c>
      <c r="C38" s="21" t="s">
        <v>214</v>
      </c>
      <c r="D38" s="21" t="s">
        <v>548</v>
      </c>
      <c r="E38" s="13">
        <v>42839.315069444441</v>
      </c>
      <c r="F38" s="13">
        <v>42839.320636574077</v>
      </c>
      <c r="G38" s="7">
        <v>1</v>
      </c>
      <c r="H38" s="21" t="s">
        <v>877</v>
      </c>
      <c r="I38" s="13">
        <v>42839.34747685185</v>
      </c>
      <c r="J38" s="7">
        <v>0</v>
      </c>
      <c r="K38" s="97" t="str">
        <f t="shared" si="0"/>
        <v>4039/4040</v>
      </c>
      <c r="L38" s="21" t="str">
        <f>VLOOKUP(A38,'Trips&amp;Operators'!$C$1:$G$99999,5,FALSE)</f>
        <v>DE LA ROSA ALEX</v>
      </c>
      <c r="M38" s="6">
        <f t="shared" si="1"/>
        <v>2.6840277772862464E-2</v>
      </c>
      <c r="N38" s="7">
        <f t="shared" si="2"/>
        <v>38.649999992921948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-14T06:33:42-0600',mode:absolute,to:'2017-04-14T09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23.298200000000001</v>
      </c>
      <c r="Z38" s="62">
        <f t="shared" si="9"/>
        <v>1.3599999999999999E-2</v>
      </c>
      <c r="AA38" s="62">
        <f t="shared" si="10"/>
        <v>23.284600000000001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0126-14</v>
      </c>
      <c r="AE38" s="85" t="str">
        <f t="shared" si="12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38" s="82" t="str">
        <f t="shared" si="13"/>
        <v>"C:\Program Files (x86)\AstroGrep\AstroGrep.exe" /e /r /s /spath="%USERPROFILE%\AppData\Local\Temp\OnboardLogs" /stypes="app*4039*20170414*"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126-14 --locoid 4039 --swversion DE.1.0.9.0 --startMP 204:232982 --initTime 2017-04-14T07:33:42 --startdatetime 2017-04-14T07:41:43 --delay 1 --endMP 204:136 --enddatetime 2017-04-14T08:20:22 --enforcementcount 0 &gt;&gt;C:\Users\stu\Documents\GitHub\eaglep3-reporting\EC\2017-04-14-refined-times.txt</v>
      </c>
      <c r="AI38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{"issue":{"subject":"","project_id":79,"tracker_id":40,"status_id":1,"priority_id":2,"assigned_to_id":23,"start_date":"2017-04-14","description":"","custom_fields":[{"id":1,"name":"Subdivision","value":"EC"},{"id":4,"name":"Milepost","value":"0.0136"},{"id":17,"name":"Train ID","value":"126-14"},{"id":16,"name":"Locomotive ID","value":"4039"},{"id":130,"name":"Impact","value":""},{"id":150,"name":"Time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4039 --day 2017-04-14</v>
      </c>
      <c r="AN38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692</v>
      </c>
      <c r="B39" s="7">
        <v>4020</v>
      </c>
      <c r="C39" s="21" t="s">
        <v>214</v>
      </c>
      <c r="D39" s="21" t="s">
        <v>205</v>
      </c>
      <c r="E39" s="13">
        <v>42839.288900462961</v>
      </c>
      <c r="F39" s="13">
        <v>42839.291898148149</v>
      </c>
      <c r="G39" s="7">
        <v>1</v>
      </c>
      <c r="H39" s="21" t="s">
        <v>466</v>
      </c>
      <c r="I39" s="13">
        <v>42839.317824074074</v>
      </c>
      <c r="J39" s="7">
        <v>0</v>
      </c>
      <c r="K39" s="97" t="str">
        <f t="shared" si="0"/>
        <v>4019/4020</v>
      </c>
      <c r="L39" s="21" t="str">
        <f>VLOOKUP(A39,'Trips&amp;Operators'!$C$1:$G$99999,5,FALSE)</f>
        <v>BADERTSCHER DIANE</v>
      </c>
      <c r="M39" s="6">
        <f t="shared" si="1"/>
        <v>2.5925925925548654E-2</v>
      </c>
      <c r="N39" s="7">
        <f t="shared" si="2"/>
        <v>37.333333332790062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-14T05:56:01-0600',mode:absolute,to:'2017-04-14T08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4.5699999999999998E-2</v>
      </c>
      <c r="Z39" s="62">
        <f t="shared" si="9"/>
        <v>23.3306</v>
      </c>
      <c r="AA39" s="62">
        <f t="shared" si="10"/>
        <v>23.2849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0127-14</v>
      </c>
      <c r="AE39" s="85" t="str">
        <f t="shared" si="12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39" s="82" t="str">
        <f t="shared" si="13"/>
        <v>"C:\Program Files (x86)\AstroGrep\AstroGrep.exe" /e /r /s /spath="%USERPROFILE%\AppData\Local\Temp\OnboardLogs" /stypes="app*4020*20170414*"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127-14 --locoid 4020 --swversion DE.1.0.9.0 --startMP 204:457 --initTime 2017-04-14T06:56:01 --startdatetime 2017-04-14T07:00:20 --delay 1 --endMP 204:233306 --enddatetime 2017-04-14T07:37:40 --enforcementcount 0 &gt;&gt;C:\Users\stu\Documents\GitHub\eaglep3-reporting\EC\2017-04-14-refined-times.txt</v>
      </c>
      <c r="AI39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{"issue":{"subject":"","project_id":79,"tracker_id":40,"status_id":1,"priority_id":2,"assigned_to_id":23,"start_date":"2017-04-14","description":"","custom_fields":[{"id":1,"name":"Subdivision","value":"EC"},{"id":4,"name":"Milepost","value":"23.3306"},{"id":17,"name":"Train ID","value":"127-14"},{"id":16,"name":"Locomotive ID","value":"4020"},{"id":130,"name":"Impact","value":""},{"id":150,"name":"Time of Event (Mountain Time)","value":"07:37:40"},{"id":151,"name":"Denver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4020 --day 2017-04-14</v>
      </c>
      <c r="AN39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703</v>
      </c>
      <c r="B40" s="7">
        <v>4019</v>
      </c>
      <c r="C40" s="21" t="s">
        <v>214</v>
      </c>
      <c r="D40" s="21" t="s">
        <v>552</v>
      </c>
      <c r="E40" s="13">
        <v>42839.324282407404</v>
      </c>
      <c r="F40" s="13">
        <v>42839.33084490741</v>
      </c>
      <c r="G40" s="7">
        <v>1</v>
      </c>
      <c r="H40" s="21" t="s">
        <v>881</v>
      </c>
      <c r="I40" s="13">
        <v>42839.358460648145</v>
      </c>
      <c r="J40" s="7">
        <v>0</v>
      </c>
      <c r="K40" s="97" t="str">
        <f t="shared" si="0"/>
        <v>4019/4020</v>
      </c>
      <c r="L40" s="21" t="str">
        <f>VLOOKUP(A40,'Trips&amp;Operators'!$C$1:$G$99999,5,FALSE)</f>
        <v>BADERTSCHER DIANE</v>
      </c>
      <c r="M40" s="6">
        <f t="shared" si="1"/>
        <v>2.7615740735200234E-2</v>
      </c>
      <c r="N40" s="7">
        <f t="shared" si="2"/>
        <v>39.766666658688337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-14T06:46:58-0600',mode:absolute,to:'2017-04-14T09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23.298300000000001</v>
      </c>
      <c r="Z40" s="62">
        <f t="shared" si="9"/>
        <v>1.2699999999999999E-2</v>
      </c>
      <c r="AA40" s="62">
        <f t="shared" si="10"/>
        <v>23.285600000000002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0128-14</v>
      </c>
      <c r="AE40" s="85" t="str">
        <f t="shared" si="12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40" s="82" t="str">
        <f t="shared" si="13"/>
        <v>"C:\Program Files (x86)\AstroGrep\AstroGrep.exe" /e /r /s /spath="%USERPROFILE%\AppData\Local\Temp\OnboardLogs" /stypes="app*4019*20170414*"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128-14 --locoid 4019 --swversion DE.1.0.9.0 --startMP 204:232983 --initTime 2017-04-14T07:46:58 --startdatetime 2017-04-14T07:56:25 --delay 1 --endMP 204:127 --enddatetime 2017-04-14T08:36:11 --enforcementcount 0 &gt;&gt;C:\Users\stu\Documents\GitHub\eaglep3-reporting\EC\2017-04-14-refined-times.txt</v>
      </c>
      <c r="AI40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{"issue":{"subject":"","project_id":79,"tracker_id":40,"status_id":1,"priority_id":2,"assigned_to_id":23,"start_date":"2017-04-14","description":"","custom_fields":[{"id":1,"name":"Subdivision","value":"EC"},{"id":4,"name":"Milepost","value":"0.0127"},{"id":17,"name":"Train ID","value":"128-14"},{"id":16,"name":"Locomotive ID","value":"4019"},{"id":130,"name":"Impact","value":""},{"id":150,"name":"Time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4019 --day 2017-04-14</v>
      </c>
      <c r="AN40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696</v>
      </c>
      <c r="B41" s="7">
        <v>4046</v>
      </c>
      <c r="C41" s="21" t="s">
        <v>214</v>
      </c>
      <c r="D41" s="21" t="s">
        <v>205</v>
      </c>
      <c r="E41" s="13">
        <v>42839.297314814816</v>
      </c>
      <c r="F41" s="13">
        <v>42839.302268518521</v>
      </c>
      <c r="G41" s="7">
        <v>1</v>
      </c>
      <c r="H41" s="21" t="s">
        <v>521</v>
      </c>
      <c r="I41" s="13">
        <v>42839.326481481483</v>
      </c>
      <c r="J41" s="7">
        <v>0</v>
      </c>
      <c r="K41" s="97" t="str">
        <f t="shared" si="0"/>
        <v>4045/4046</v>
      </c>
      <c r="L41" s="21" t="str">
        <f>VLOOKUP(A41,'Trips&amp;Operators'!$C$1:$G$99999,5,FALSE)</f>
        <v>ROCHA YAOTL</v>
      </c>
      <c r="M41" s="6">
        <f t="shared" si="1"/>
        <v>2.421296296233777E-2</v>
      </c>
      <c r="N41" s="7">
        <f t="shared" si="2"/>
        <v>34.866666665766388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-14T06:08:08-0600',mode:absolute,to:'2017-04-14T08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4.5699999999999998E-2</v>
      </c>
      <c r="Z41" s="62">
        <f t="shared" si="9"/>
        <v>23.330100000000002</v>
      </c>
      <c r="AA41" s="62">
        <f t="shared" si="10"/>
        <v>23.284400000000002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0129-14</v>
      </c>
      <c r="AE41" s="85" t="str">
        <f t="shared" si="12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41" s="82" t="str">
        <f t="shared" si="13"/>
        <v>"C:\Program Files (x86)\AstroGrep\AstroGrep.exe" /e /r /s /spath="%USERPROFILE%\AppData\Local\Temp\OnboardLogs" /stypes="app*4046*20170414*"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129-14 --locoid 4046 --swversion DE.1.0.9.0 --startMP 204:457 --initTime 2017-04-14T07:08:08 --startdatetime 2017-04-14T07:15:16 --delay 1 --endMP 204:233301 --enddatetime 2017-04-14T07:50:08 --enforcementcount 0 &gt;&gt;C:\Users\stu\Documents\GitHub\eaglep3-reporting\EC\2017-04-14-refined-times.txt</v>
      </c>
      <c r="AI41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{"issue":{"subject":"","project_id":79,"tracker_id":40,"status_id":1,"priority_id":2,"assigned_to_id":23,"start_date":"2017-04-14","description":"","custom_fields":[{"id":1,"name":"Subdivision","value":"EC"},{"id":4,"name":"Milepost","value":"23.3301"},{"id":17,"name":"Train ID","value":"129-14"},{"id":16,"name":"Locomotive ID","value":"4046"},{"id":130,"name":"Impact","value":""},{"id":150,"name":"Time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4046 --day 2017-04-14</v>
      </c>
      <c r="AN41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704</v>
      </c>
      <c r="B42" s="7">
        <v>4045</v>
      </c>
      <c r="C42" s="21" t="s">
        <v>214</v>
      </c>
      <c r="D42" s="21" t="s">
        <v>550</v>
      </c>
      <c r="E42" s="13">
        <v>42839.3278587963</v>
      </c>
      <c r="F42" s="13">
        <v>42839.341215277775</v>
      </c>
      <c r="G42" s="7">
        <v>1</v>
      </c>
      <c r="H42" s="21" t="s">
        <v>197</v>
      </c>
      <c r="I42" s="13">
        <v>42839.3671412037</v>
      </c>
      <c r="J42" s="7">
        <v>0</v>
      </c>
      <c r="K42" s="97" t="str">
        <f t="shared" si="0"/>
        <v>4045/4046</v>
      </c>
      <c r="L42" s="21" t="str">
        <f>VLOOKUP(A42,'Trips&amp;Operators'!$C$1:$G$99999,5,FALSE)</f>
        <v>ROCHA YAOTL</v>
      </c>
      <c r="M42" s="6">
        <f t="shared" si="1"/>
        <v>2.5925925925548654E-2</v>
      </c>
      <c r="N42" s="7">
        <f t="shared" si="2"/>
        <v>37.333333332790062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-14T06:52:07-0600',mode:absolute,to:'2017-04-14T09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23.296700000000001</v>
      </c>
      <c r="Z42" s="62">
        <f t="shared" si="9"/>
        <v>1.52E-2</v>
      </c>
      <c r="AA42" s="62">
        <f t="shared" si="10"/>
        <v>23.281500000000001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0130-14</v>
      </c>
      <c r="AE42" s="85" t="str">
        <f t="shared" si="12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42" s="82" t="str">
        <f t="shared" si="13"/>
        <v>"C:\Program Files (x86)\AstroGrep\AstroGrep.exe" /e /r /s /spath="%USERPROFILE%\AppData\Local\Temp\OnboardLogs" /stypes="app*4045*20170414*"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130-14 --locoid 4045 --swversion DE.1.0.9.0 --startMP 204:232967 --initTime 2017-04-14T07:52:07 --startdatetime 2017-04-14T08:11:21 --delay 1 --endMP 204:152 --enddatetime 2017-04-14T08:48:41 --enforcementcount 0 &gt;&gt;C:\Users\stu\Documents\GitHub\eaglep3-reporting\EC\2017-04-14-refined-times.txt</v>
      </c>
      <c r="AI42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ID","value":"130-14"},{"id":16,"name":"Locomotive ID","value":"4045"},{"id":130,"name":"Impact","value":""},{"id":150,"name":"Time of Event (Mountain Time)","value":"08:48:41"},{"id":151,"name":"Denver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4045 --day 2017-04-14</v>
      </c>
      <c r="AN42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698</v>
      </c>
      <c r="B43" s="7">
        <v>4042</v>
      </c>
      <c r="C43" s="21" t="s">
        <v>214</v>
      </c>
      <c r="D43" s="21" t="s">
        <v>391</v>
      </c>
      <c r="E43" s="13">
        <v>42839.308136574073</v>
      </c>
      <c r="F43" s="13">
        <v>42839.312673611108</v>
      </c>
      <c r="G43" s="7">
        <v>1</v>
      </c>
      <c r="H43" s="21" t="s">
        <v>466</v>
      </c>
      <c r="I43" s="13">
        <v>42839.338240740741</v>
      </c>
      <c r="J43" s="7">
        <v>0</v>
      </c>
      <c r="K43" s="97" t="str">
        <f t="shared" si="0"/>
        <v>4041/4042</v>
      </c>
      <c r="L43" s="21" t="str">
        <f>VLOOKUP(A43,'Trips&amp;Operators'!$C$1:$G$99999,5,FALSE)</f>
        <v>DAVIS WENDY</v>
      </c>
      <c r="M43" s="6">
        <f t="shared" si="1"/>
        <v>2.5567129632690921E-2</v>
      </c>
      <c r="N43" s="7">
        <f t="shared" si="2"/>
        <v>36.816666671074927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-14T06:23:43-0600',mode:absolute,to:'2017-04-14T09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4.4900000000000002E-2</v>
      </c>
      <c r="Z43" s="62">
        <f t="shared" si="9"/>
        <v>23.3306</v>
      </c>
      <c r="AA43" s="62">
        <f t="shared" si="10"/>
        <v>23.285700000000002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0131-14</v>
      </c>
      <c r="AE43" s="85" t="str">
        <f t="shared" si="12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43" s="82" t="str">
        <f t="shared" si="13"/>
        <v>"C:\Program Files (x86)\AstroGrep\AstroGrep.exe" /e /r /s /spath="%USERPROFILE%\AppData\Local\Temp\OnboardLogs" /stypes="app*4042*20170414*"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131-14 --locoid 4042 --swversion DE.1.0.9.0 --startMP 204:449 --initTime 2017-04-14T07:23:43 --startdatetime 2017-04-14T07:30:15 --delay 1 --endMP 204:233306 --enddatetime 2017-04-14T08:07:04 --enforcementcount 0 &gt;&gt;C:\Users\stu\Documents\GitHub\eaglep3-reporting\EC\2017-04-14-refined-times.txt</v>
      </c>
      <c r="AI43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{"issue":{"subject":"","project_id":79,"tracker_id":40,"status_id":1,"priority_id":2,"assigned_to_id":23,"start_date":"2017-04-14","description":"","custom_fields":[{"id":1,"name":"Subdivision","value":"EC"},{"id":4,"name":"Milepost","value":"23.3306"},{"id":17,"name":"Train ID","value":"131-14"},{"id":16,"name":"Locomotive ID","value":"4042"},{"id":130,"name":"Impact","value":""},{"id":150,"name":"Time of Event (Mountain Time)","value":"08:07:04"},{"id":151,"name":"Denver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4042 --day 2017-04-14</v>
      </c>
      <c r="AN43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709</v>
      </c>
      <c r="B44" s="7">
        <v>4041</v>
      </c>
      <c r="C44" s="21" t="s">
        <v>214</v>
      </c>
      <c r="D44" s="21" t="s">
        <v>421</v>
      </c>
      <c r="E44" s="13">
        <v>42839.346736111111</v>
      </c>
      <c r="F44" s="13">
        <v>42839.351539351854</v>
      </c>
      <c r="G44" s="7">
        <v>1</v>
      </c>
      <c r="H44" s="21" t="s">
        <v>197</v>
      </c>
      <c r="I44" s="13">
        <v>42839.379305555558</v>
      </c>
      <c r="J44" s="7">
        <v>0</v>
      </c>
      <c r="K44" s="97" t="str">
        <f t="shared" si="0"/>
        <v>4041/4042</v>
      </c>
      <c r="L44" s="21" t="str">
        <f>VLOOKUP(A44,'Trips&amp;Operators'!$C$1:$G$99999,5,FALSE)</f>
        <v>DAVIS WENDY</v>
      </c>
      <c r="M44" s="6">
        <f t="shared" si="1"/>
        <v>2.7766203704231884E-2</v>
      </c>
      <c r="N44" s="7">
        <f t="shared" si="2"/>
        <v>39.983333334093913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-14T07:19:18-0600',mode:absolute,to:'2017-04-14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23.298500000000001</v>
      </c>
      <c r="Z44" s="62">
        <f t="shared" si="9"/>
        <v>1.52E-2</v>
      </c>
      <c r="AA44" s="62">
        <f t="shared" si="10"/>
        <v>23.283300000000001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0132-14</v>
      </c>
      <c r="AE44" s="85" t="str">
        <f t="shared" si="12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44" s="82" t="str">
        <f t="shared" si="13"/>
        <v>"C:\Program Files (x86)\AstroGrep\AstroGrep.exe" /e /r /s /spath="%USERPROFILE%\AppData\Local\Temp\OnboardLogs" /stypes="app*4041*20170414*"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132-14 --locoid 4041 --swversion DE.1.0.9.0 --startMP 204:232985 --initTime 2017-04-14T08:19:18 --startdatetime 2017-04-14T08:26:13 --delay 1 --endMP 204:152 --enddatetime 2017-04-14T09:06:12 --enforcementcount 0 &gt;&gt;C:\Users\stu\Documents\GitHub\eaglep3-reporting\EC\2017-04-14-refined-times.txt</v>
      </c>
      <c r="AI44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ID","value":"132-14"},{"id":16,"name":"Locomotive ID","value":"4041"},{"id":130,"name":"Impact","value":""},{"id":150,"name":"Time of Event (Mountain Time)","value":"09:06:12"},{"id":151,"name":"Denver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4041 --day 2017-04-14</v>
      </c>
      <c r="AN44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702</v>
      </c>
      <c r="B45" s="7">
        <v>4004</v>
      </c>
      <c r="C45" s="21" t="s">
        <v>214</v>
      </c>
      <c r="D45" s="21" t="s">
        <v>420</v>
      </c>
      <c r="E45" s="13">
        <v>42839.318356481483</v>
      </c>
      <c r="F45" s="13">
        <v>42839.323113425926</v>
      </c>
      <c r="G45" s="7">
        <v>1</v>
      </c>
      <c r="H45" s="21" t="s">
        <v>484</v>
      </c>
      <c r="I45" s="13">
        <v>42839.34747685185</v>
      </c>
      <c r="J45" s="7">
        <v>0</v>
      </c>
      <c r="K45" s="97" t="str">
        <f t="shared" si="0"/>
        <v>4003/4004</v>
      </c>
      <c r="L45" s="21" t="str">
        <f>VLOOKUP(A45,'Trips&amp;Operators'!$C$1:$G$99999,5,FALSE)</f>
        <v>COOLAHAN JOHN</v>
      </c>
      <c r="M45" s="6">
        <f t="shared" si="1"/>
        <v>2.4363425924093463E-2</v>
      </c>
      <c r="N45" s="7">
        <f t="shared" si="2"/>
        <v>35.083333330694586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-14T06:38:26-0600',mode:absolute,to:'2017-04-14T09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83" t="str">
        <f t="shared" si="6"/>
        <v>N</v>
      </c>
      <c r="X45" s="183">
        <f t="shared" si="7"/>
        <v>1</v>
      </c>
      <c r="Y45" s="62">
        <f t="shared" si="8"/>
        <v>4.58E-2</v>
      </c>
      <c r="Z45" s="62">
        <f t="shared" si="9"/>
        <v>23.3293</v>
      </c>
      <c r="AA45" s="62">
        <f t="shared" si="10"/>
        <v>23.2835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0133-14</v>
      </c>
      <c r="AE45" s="85" t="str">
        <f t="shared" si="12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45" s="82" t="str">
        <f t="shared" si="13"/>
        <v>"C:\Program Files (x86)\AstroGrep\AstroGrep.exe" /e /r /s /spath="%USERPROFILE%\AppData\Local\Temp\OnboardLogs" /stypes="app*4004*20170414*"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133-14 --locoid 4004 --swversion DE.1.0.9.0 --startMP 204:458 --initTime 2017-04-14T07:38:26 --startdatetime 2017-04-14T07:45:17 --delay 1 --endMP 204:233293 --enddatetime 2017-04-14T08:20:22 --enforcementcount 0 &gt;&gt;C:\Users\stu\Documents\GitHub\eaglep3-reporting\EC\2017-04-14-refined-times.txt</v>
      </c>
      <c r="AI45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{"issue":{"subject":"","project_id":79,"tracker_id":40,"status_id":1,"priority_id":2,"assigned_to_id":23,"start_date":"2017-04-14","description":"","custom_fields":[{"id":1,"name":"Subdivision","value":"EC"},{"id":4,"name":"Milepost","value":"23.3293"},{"id":17,"name":"Train ID","value":"133-14"},{"id":16,"name":"Locomotive ID","value":"4004"},{"id":130,"name":"Impact","value":""},{"id":150,"name":"Time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4004 --day 2017-04-14</v>
      </c>
      <c r="AN45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712</v>
      </c>
      <c r="B46" s="7">
        <v>4003</v>
      </c>
      <c r="C46" s="21" t="s">
        <v>214</v>
      </c>
      <c r="D46" s="21" t="s">
        <v>511</v>
      </c>
      <c r="E46" s="13">
        <v>42839.356689814813</v>
      </c>
      <c r="F46" s="13">
        <v>42839.362025462964</v>
      </c>
      <c r="G46" s="7">
        <v>1</v>
      </c>
      <c r="H46" s="21" t="s">
        <v>211</v>
      </c>
      <c r="I46" s="13">
        <v>42839.388564814813</v>
      </c>
      <c r="J46" s="7">
        <v>0</v>
      </c>
      <c r="K46" s="97" t="str">
        <f t="shared" si="0"/>
        <v>4003/4004</v>
      </c>
      <c r="L46" s="21" t="str">
        <f>VLOOKUP(A46,'Trips&amp;Operators'!$C$1:$G$99999,5,FALSE)</f>
        <v>COOLAHAN JOHN</v>
      </c>
      <c r="M46" s="6">
        <f t="shared" si="1"/>
        <v>2.6539351849351078E-2</v>
      </c>
      <c r="N46" s="7">
        <f t="shared" si="2"/>
        <v>38.216666663065553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-14T07:33:38-0600',mode:absolute,to:'2017-04-14T10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83" t="str">
        <f t="shared" si="6"/>
        <v>N</v>
      </c>
      <c r="X46" s="183">
        <f t="shared" si="7"/>
        <v>1</v>
      </c>
      <c r="Y46" s="62">
        <f t="shared" si="8"/>
        <v>23.299600000000002</v>
      </c>
      <c r="Z46" s="62">
        <f t="shared" si="9"/>
        <v>1.47E-2</v>
      </c>
      <c r="AA46" s="62">
        <f t="shared" si="10"/>
        <v>23.2849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0134-14</v>
      </c>
      <c r="AE46" s="85" t="str">
        <f t="shared" si="12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46" s="82" t="str">
        <f t="shared" si="13"/>
        <v>"C:\Program Files (x86)\AstroGrep\AstroGrep.exe" /e /r /s /spath="%USERPROFILE%\AppData\Local\Temp\OnboardLogs" /stypes="app*4003*20170414*"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134-14 --locoid 4003 --swversion DE.1.0.9.0 --startMP 204:232996 --initTime 2017-04-14T08:33:38 --startdatetime 2017-04-14T08:41:19 --delay 1 --endMP 204:147 --enddatetime 2017-04-14T09:19:32 --enforcementcount 0 &gt;&gt;C:\Users\stu\Documents\GitHub\eaglep3-reporting\EC\2017-04-14-refined-times.txt</v>
      </c>
      <c r="AI46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{"issue":{"subject":"","project_id":79,"tracker_id":40,"status_id":1,"priority_id":2,"assigned_to_id":23,"start_date":"2017-04-14","description":"","custom_fields":[{"id":1,"name":"Subdivision","value":"EC"},{"id":4,"name":"Milepost","value":"0.0147"},{"id":17,"name":"Train ID","value":"134-14"},{"id":16,"name":"Locomotive ID","value":"4003"},{"id":130,"name":"Impact","value":""},{"id":150,"name":"Time of Event (Mountain Time)","value":"09:19:32"},{"id":151,"name":"Denver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4003 --day 2017-04-14</v>
      </c>
      <c r="AN46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705</v>
      </c>
      <c r="B47" s="7">
        <v>4010</v>
      </c>
      <c r="C47" s="21" t="s">
        <v>214</v>
      </c>
      <c r="D47" s="21" t="s">
        <v>512</v>
      </c>
      <c r="E47" s="13">
        <v>42839.331412037034</v>
      </c>
      <c r="F47" s="13">
        <v>42839.33425925926</v>
      </c>
      <c r="G47" s="7">
        <v>1</v>
      </c>
      <c r="H47" s="21" t="s">
        <v>453</v>
      </c>
      <c r="I47" s="13">
        <v>42839.358831018515</v>
      </c>
      <c r="J47" s="7">
        <v>0</v>
      </c>
      <c r="K47" s="97" t="str">
        <f t="shared" si="0"/>
        <v>4009/4010</v>
      </c>
      <c r="L47" s="21" t="str">
        <f>VLOOKUP(A47,'Trips&amp;Operators'!$C$1:$G$99999,5,FALSE)</f>
        <v>STARKS ANGELINA</v>
      </c>
      <c r="M47" s="6">
        <f t="shared" si="1"/>
        <v>2.4571759255195502E-2</v>
      </c>
      <c r="N47" s="7">
        <f t="shared" si="2"/>
        <v>35.383333327481523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-14T06:57:14-0600',mode:absolute,to:'2017-04-14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83" t="str">
        <f t="shared" si="6"/>
        <v>N</v>
      </c>
      <c r="X47" s="183">
        <f t="shared" si="7"/>
        <v>1</v>
      </c>
      <c r="Y47" s="62">
        <f t="shared" si="8"/>
        <v>4.7500000000000001E-2</v>
      </c>
      <c r="Z47" s="62">
        <f t="shared" si="9"/>
        <v>23.331199999999999</v>
      </c>
      <c r="AA47" s="62">
        <f t="shared" si="10"/>
        <v>23.2837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0135-14</v>
      </c>
      <c r="AE47" s="85" t="str">
        <f t="shared" si="12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47" s="82" t="str">
        <f t="shared" si="13"/>
        <v>"C:\Program Files (x86)\AstroGrep\AstroGrep.exe" /e /r /s /spath="%USERPROFILE%\AppData\Local\Temp\OnboardLogs" /stypes="app*4010*20170414*"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135-14 --locoid 4010 --swversion DE.1.0.9.0 --startMP 204:475 --initTime 2017-04-14T07:57:14 --startdatetime 2017-04-14T08:01:20 --delay 1 --endMP 204:233312 --enddatetime 2017-04-14T08:36:43 --enforcementcount 0 &gt;&gt;C:\Users\stu\Documents\GitHub\eaglep3-reporting\EC\2017-04-14-refined-times.txt</v>
      </c>
      <c r="AI47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{"issue":{"subject":"","project_id":79,"tracker_id":40,"status_id":1,"priority_id":2,"assigned_to_id":23,"start_date":"2017-04-14","description":"","custom_fields":[{"id":1,"name":"Subdivision","value":"EC"},{"id":4,"name":"Milepost","value":"23.3312"},{"id":17,"name":"Train ID","value":"135-14"},{"id":16,"name":"Locomotive ID","value":"4010"},{"id":130,"name":"Impact","value":""},{"id":150,"name":"Time of Event (Mountain Time)","value":"08:36:43"},{"id":151,"name":"Denver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4010 --day 2017-04-14</v>
      </c>
      <c r="AN47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716</v>
      </c>
      <c r="B48" s="7">
        <v>4009</v>
      </c>
      <c r="C48" s="21" t="s">
        <v>214</v>
      </c>
      <c r="D48" s="21" t="s">
        <v>509</v>
      </c>
      <c r="E48" s="13">
        <v>42839.369502314818</v>
      </c>
      <c r="F48" s="13">
        <v>42839.372407407405</v>
      </c>
      <c r="G48" s="7">
        <v>2</v>
      </c>
      <c r="H48" s="21" t="s">
        <v>546</v>
      </c>
      <c r="I48" s="13">
        <v>42839.400138888886</v>
      </c>
      <c r="J48" s="7">
        <v>0</v>
      </c>
      <c r="K48" s="97" t="str">
        <f t="shared" si="0"/>
        <v>4009/4010</v>
      </c>
      <c r="L48" s="21" t="str">
        <f>VLOOKUP(A48,'Trips&amp;Operators'!$C$1:$G$99999,5,FALSE)</f>
        <v>STARKS ANGELINA</v>
      </c>
      <c r="M48" s="6">
        <f t="shared" si="1"/>
        <v>2.7731481481168885E-2</v>
      </c>
      <c r="N48" s="7">
        <f t="shared" si="2"/>
        <v>39.933333332883194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-14T07:52:05-0600',mode:absolute,to:'2017-04-14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83" t="str">
        <f t="shared" si="6"/>
        <v>N</v>
      </c>
      <c r="X48" s="183">
        <f t="shared" si="7"/>
        <v>1</v>
      </c>
      <c r="Y48" s="62">
        <f t="shared" si="8"/>
        <v>23.299800000000001</v>
      </c>
      <c r="Z48" s="62">
        <f t="shared" si="9"/>
        <v>1.3899999999999999E-2</v>
      </c>
      <c r="AA48" s="62">
        <f t="shared" si="10"/>
        <v>23.285900000000002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0136-14</v>
      </c>
      <c r="AE48" s="85" t="str">
        <f t="shared" si="12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48" s="82" t="str">
        <f t="shared" si="13"/>
        <v>"C:\Program Files (x86)\AstroGrep\AstroGrep.exe" /e /r /s /spath="%USERPROFILE%\AppData\Local\Temp\OnboardLogs" /stypes="app*4009*20170414*"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136-14 --locoid 4009 --swversion DE.1.0.9.0 --startMP 204:232998 --initTime 2017-04-14T08:52:05 --startdatetime 2017-04-14T08:56:16 --delay 2 --endMP 204:139 --enddatetime 2017-04-14T09:36:12 --enforcementcount 0 &gt;&gt;C:\Users\stu\Documents\GitHub\eaglep3-reporting\EC\2017-04-14-refined-times.txt</v>
      </c>
      <c r="AI48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ID","value":"136-14"},{"id":16,"name":"Locomotive ID","value":"4009"},{"id":130,"name":"Impact","value":""},{"id":150,"name":"Time of Event (Mountain Time)","value":"09:36:12"},{"id":151,"name":"Denver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4009 --day 2017-04-14</v>
      </c>
      <c r="AN48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708</v>
      </c>
      <c r="B49" s="7">
        <v>4032</v>
      </c>
      <c r="C49" s="21" t="s">
        <v>214</v>
      </c>
      <c r="D49" s="21" t="s">
        <v>209</v>
      </c>
      <c r="E49" s="13">
        <v>42839.338240740741</v>
      </c>
      <c r="F49" s="13">
        <v>42839.343969907408</v>
      </c>
      <c r="G49" s="7">
        <v>2</v>
      </c>
      <c r="H49" s="21" t="s">
        <v>600</v>
      </c>
      <c r="I49" s="13">
        <v>42839.36923611111</v>
      </c>
      <c r="J49" s="7">
        <v>0</v>
      </c>
      <c r="K49" s="97" t="str">
        <f t="shared" si="0"/>
        <v>4031/4032</v>
      </c>
      <c r="L49" s="21" t="str">
        <f>VLOOKUP(A49,'Trips&amp;Operators'!$C$1:$G$99999,5,FALSE)</f>
        <v>WILLIAMS DONTE</v>
      </c>
      <c r="M49" s="6">
        <f t="shared" si="1"/>
        <v>2.5266203701903578E-2</v>
      </c>
      <c r="N49" s="7">
        <f t="shared" si="2"/>
        <v>36.383333330741152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-14T07:07:04-0600',mode:absolute,to:'2017-04-14T09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83" t="str">
        <f t="shared" si="6"/>
        <v>N</v>
      </c>
      <c r="X49" s="183">
        <f t="shared" si="7"/>
        <v>1</v>
      </c>
      <c r="Y49" s="62">
        <f t="shared" si="8"/>
        <v>4.53E-2</v>
      </c>
      <c r="Z49" s="62">
        <f t="shared" si="9"/>
        <v>23.332000000000001</v>
      </c>
      <c r="AA49" s="62">
        <f t="shared" si="10"/>
        <v>23.2867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0137-14</v>
      </c>
      <c r="AE49" s="85" t="str">
        <f t="shared" si="12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49" s="82" t="str">
        <f t="shared" si="13"/>
        <v>"C:\Program Files (x86)\AstroGrep\AstroGrep.exe" /e /r /s /spath="%USERPROFILE%\AppData\Local\Temp\OnboardLogs" /stypes="app*4032*20170414*"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137-14 --locoid 4032 --swversion DE.1.0.9.0 --startMP 204:453 --initTime 2017-04-14T08:07:04 --startdatetime 2017-04-14T08:15:19 --delay 2 --endMP 204:233320 --enddatetime 2017-04-14T08:51:42 --enforcementcount 0 &gt;&gt;C:\Users\stu\Documents\GitHub\eaglep3-reporting\EC\2017-04-14-refined-times.txt</v>
      </c>
      <c r="AI49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{"issue":{"subject":"","project_id":79,"tracker_id":40,"status_id":1,"priority_id":2,"assigned_to_id":23,"start_date":"2017-04-14","description":"","custom_fields":[{"id":1,"name":"Subdivision","value":"EC"},{"id":4,"name":"Milepost","value":"23.332"},{"id":17,"name":"Train ID","value":"137-14"},{"id":16,"name":"Locomotive ID","value":"4032"},{"id":130,"name":"Impact","value":""},{"id":150,"name":"Time of Event (Mountain Time)","value":"08:51:42"},{"id":151,"name":"Denver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4032 --day 2017-04-14</v>
      </c>
      <c r="AN49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632</v>
      </c>
      <c r="B50" s="7">
        <v>4031</v>
      </c>
      <c r="C50" s="21" t="s">
        <v>214</v>
      </c>
      <c r="D50" s="21" t="s">
        <v>876</v>
      </c>
      <c r="E50" s="13">
        <v>42839.372499999998</v>
      </c>
      <c r="F50" s="13">
        <v>42839.383159722223</v>
      </c>
      <c r="G50" s="7">
        <v>1</v>
      </c>
      <c r="H50" s="21" t="s">
        <v>428</v>
      </c>
      <c r="I50" s="13">
        <v>42839.410891203705</v>
      </c>
      <c r="J50" s="7">
        <v>0</v>
      </c>
      <c r="K50" s="97" t="str">
        <f t="shared" si="0"/>
        <v>4031/4032</v>
      </c>
      <c r="L50" s="21" t="str">
        <f>VLOOKUP(A50,'Trips&amp;Operators'!$C$1:$G$99999,5,FALSE)</f>
        <v>WILLIAMS DONTE</v>
      </c>
      <c r="M50" s="6">
        <f t="shared" si="1"/>
        <v>2.7731481481168885E-2</v>
      </c>
      <c r="N50" s="7">
        <f t="shared" si="2"/>
        <v>39.933333332883194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-14T07:56:24-0600',mode:absolute,to:'2017-04-14T10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83" t="str">
        <f t="shared" si="6"/>
        <v>N</v>
      </c>
      <c r="X50" s="183">
        <f t="shared" si="7"/>
        <v>1</v>
      </c>
      <c r="Y50" s="62">
        <f t="shared" si="8"/>
        <v>23.299199999999999</v>
      </c>
      <c r="Z50" s="62">
        <f t="shared" si="9"/>
        <v>1.6500000000000001E-2</v>
      </c>
      <c r="AA50" s="62">
        <f t="shared" si="10"/>
        <v>23.282699999999998</v>
      </c>
      <c r="AB50" s="59" t="str">
        <f>VLOOKUP(A50,Enforcements!$C$7:$K$13,8,0)</f>
        <v>Bulletin (2)</v>
      </c>
      <c r="AC50" s="55" t="str">
        <f>VLOOKUP(A50,Enforcements!$C$7:$E$13,3,0)</f>
        <v>GRADE CROSSING</v>
      </c>
      <c r="AD50" s="56" t="str">
        <f t="shared" si="11"/>
        <v>0138-14</v>
      </c>
      <c r="AE50" s="85" t="str">
        <f t="shared" si="12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50" s="82" t="str">
        <f t="shared" si="13"/>
        <v>"C:\Program Files (x86)\AstroGrep\AstroGrep.exe" /e /r /s /spath="%USERPROFILE%\AppData\Local\Temp\OnboardLogs" /stypes="app*4031*20170414*"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138-14 --locoid 4031 --swversion DE.1.0.9.0 --startMP 204:232992 --initTime 2017-04-14T08:56:24 --startdatetime 2017-04-14T09:11:45 --delay 1 --endMP 204:165 --enddatetime 2017-04-14T09:51:41 --enforcementcount 0 &gt;&gt;C:\Users\stu\Documents\GitHub\eaglep3-reporting\EC\2017-04-14-refined-times.txt</v>
      </c>
      <c r="AI50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{"issue":{"subject":"","project_id":79,"tracker_id":40,"status_id":1,"priority_id":2,"assigned_to_id":23,"start_date":"2017-04-14","description":"","custom_fields":[{"id":1,"name":"Subdivision","value":"EC"},{"id":4,"name":"Milepost","value":"0.0165"},{"id":17,"name":"Train ID","value":"138-14"},{"id":16,"name":"Locomotive ID","value":"4031"},{"id":130,"name":"Impact","value":""},{"id":150,"name":"Time of Event (Mountain Time)","value":"09:51:41"},{"id":151,"name":"Denver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4031 --day 2017-04-14</v>
      </c>
      <c r="AN50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710</v>
      </c>
      <c r="B51" s="7">
        <v>4040</v>
      </c>
      <c r="C51" s="21" t="s">
        <v>214</v>
      </c>
      <c r="D51" s="21" t="s">
        <v>471</v>
      </c>
      <c r="E51" s="13">
        <v>42839.350381944445</v>
      </c>
      <c r="F51" s="13">
        <v>42839.354479166665</v>
      </c>
      <c r="G51" s="7">
        <v>1</v>
      </c>
      <c r="H51" s="21" t="s">
        <v>543</v>
      </c>
      <c r="I51" s="13">
        <v>42839.37939814815</v>
      </c>
      <c r="J51" s="7">
        <v>0</v>
      </c>
      <c r="K51" s="97" t="str">
        <f t="shared" si="0"/>
        <v>4039/4040</v>
      </c>
      <c r="L51" s="21" t="str">
        <f>VLOOKUP(A51,'Trips&amp;Operators'!$C$1:$G$99999,5,FALSE)</f>
        <v>DE LA ROSA ALEX</v>
      </c>
      <c r="M51" s="6">
        <f t="shared" si="1"/>
        <v>2.4918981485825498E-2</v>
      </c>
      <c r="N51" s="7">
        <f t="shared" si="2"/>
        <v>35.883333339588717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-14T07:24:33-0600',mode:absolute,to:'2017-04-14T10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183" t="str">
        <f t="shared" si="6"/>
        <v>N</v>
      </c>
      <c r="X51" s="183">
        <f t="shared" si="7"/>
        <v>1</v>
      </c>
      <c r="Y51" s="62">
        <f t="shared" si="8"/>
        <v>4.6399999999999997E-2</v>
      </c>
      <c r="Z51" s="62">
        <f t="shared" si="9"/>
        <v>23.331900000000001</v>
      </c>
      <c r="AA51" s="62">
        <f t="shared" si="10"/>
        <v>23.285500000000003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0139-14</v>
      </c>
      <c r="AE51" s="85" t="str">
        <f t="shared" si="12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51" s="82" t="str">
        <f t="shared" si="13"/>
        <v>"C:\Program Files (x86)\AstroGrep\AstroGrep.exe" /e /r /s /spath="%USERPROFILE%\AppData\Local\Temp\OnboardLogs" /stypes="app*4040*20170414*"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139-14 --locoid 4040 --swversion DE.1.0.9.0 --startMP 204:464 --initTime 2017-04-14T08:24:33 --startdatetime 2017-04-14T08:30:27 --delay 1 --endMP 204:233319 --enddatetime 2017-04-14T09:06:20 --enforcementcount 0 &gt;&gt;C:\Users\stu\Documents\GitHub\eaglep3-reporting\EC\2017-04-14-refined-times.txt</v>
      </c>
      <c r="AI51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{"issue":{"subject":"","project_id":79,"tracker_id":40,"status_id":1,"priority_id":2,"assigned_to_id":23,"start_date":"2017-04-14","description":"","custom_fields":[{"id":1,"name":"Subdivision","value":"EC"},{"id":4,"name":"Milepost","value":"23.3319"},{"id":17,"name":"Train ID","value":"139-14"},{"id":16,"name":"Locomotive ID","value":"4040"},{"id":130,"name":"Impact","value":""},{"id":150,"name":"Time of Event (Mountain Time)","value":"09:06:20"},{"id":151,"name":"Denver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4040 --day 2017-04-14</v>
      </c>
      <c r="AN51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719</v>
      </c>
      <c r="B52" s="7">
        <v>4039</v>
      </c>
      <c r="C52" s="21" t="s">
        <v>214</v>
      </c>
      <c r="D52" s="21" t="s">
        <v>882</v>
      </c>
      <c r="E52" s="13">
        <v>42839.388692129629</v>
      </c>
      <c r="F52" s="13">
        <v>42839.393449074072</v>
      </c>
      <c r="G52" s="7">
        <v>1</v>
      </c>
      <c r="H52" s="21" t="s">
        <v>197</v>
      </c>
      <c r="I52" s="13">
        <v>42839.419791666667</v>
      </c>
      <c r="J52" s="7">
        <v>0</v>
      </c>
      <c r="K52" s="97" t="str">
        <f t="shared" si="0"/>
        <v>4039/4040</v>
      </c>
      <c r="L52" s="21" t="str">
        <f>VLOOKUP(A52,'Trips&amp;Operators'!$C$1:$G$99999,5,FALSE)</f>
        <v>DE LA ROSA ALEX</v>
      </c>
      <c r="M52" s="6">
        <f t="shared" si="1"/>
        <v>2.6342592595028691E-2</v>
      </c>
      <c r="N52" s="7">
        <f t="shared" si="2"/>
        <v>37.933333336841315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-14T08:19:43-0600',mode:absolute,to:'2017-04-14T11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183" t="str">
        <f t="shared" si="6"/>
        <v>N</v>
      </c>
      <c r="X52" s="183">
        <f t="shared" si="7"/>
        <v>1</v>
      </c>
      <c r="Y52" s="62">
        <f t="shared" si="8"/>
        <v>23.3004</v>
      </c>
      <c r="Z52" s="62">
        <f t="shared" si="9"/>
        <v>1.52E-2</v>
      </c>
      <c r="AA52" s="62">
        <f t="shared" si="10"/>
        <v>23.2852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0140-14</v>
      </c>
      <c r="AE52" s="85" t="str">
        <f t="shared" si="12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52" s="82" t="str">
        <f t="shared" si="13"/>
        <v>"C:\Program Files (x86)\AstroGrep\AstroGrep.exe" /e /r /s /spath="%USERPROFILE%\AppData\Local\Temp\OnboardLogs" /stypes="app*4039*20170414*"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140-14 --locoid 4039 --swversion DE.1.0.9.0 --startMP 204:233004 --initTime 2017-04-14T09:19:43 --startdatetime 2017-04-14T09:26:34 --delay 1 --endMP 204:152 --enddatetime 2017-04-14T10:04:30 --enforcementcount 0 &gt;&gt;C:\Users\stu\Documents\GitHub\eaglep3-reporting\EC\2017-04-14-refined-times.txt</v>
      </c>
      <c r="AI52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ID","value":"140-14"},{"id":16,"name":"Locomotive ID","value":"4039"},{"id":130,"name":"Impact","value":""},{"id":150,"name":"Time of Event (Mountain Time)","value":"10:04:30"},{"id":151,"name":"Denver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4039 --day 2017-04-14</v>
      </c>
      <c r="AN52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714</v>
      </c>
      <c r="B53" s="7">
        <v>4020</v>
      </c>
      <c r="C53" s="21" t="s">
        <v>214</v>
      </c>
      <c r="D53" s="21" t="s">
        <v>494</v>
      </c>
      <c r="E53" s="13">
        <v>42839.360312500001</v>
      </c>
      <c r="F53" s="13">
        <v>42839.364849537036</v>
      </c>
      <c r="G53" s="7">
        <v>1</v>
      </c>
      <c r="H53" s="21" t="s">
        <v>883</v>
      </c>
      <c r="I53" s="13">
        <v>42839.38962962963</v>
      </c>
      <c r="J53" s="7">
        <v>0</v>
      </c>
      <c r="K53" s="97" t="str">
        <f t="shared" si="0"/>
        <v>4019/4020</v>
      </c>
      <c r="L53" s="21" t="str">
        <f>VLOOKUP(A53,'Trips&amp;Operators'!$C$1:$G$99999,5,FALSE)</f>
        <v>BADERTSCHER DIANE</v>
      </c>
      <c r="M53" s="6">
        <f t="shared" si="1"/>
        <v>2.4780092593573499E-2</v>
      </c>
      <c r="N53" s="7">
        <f t="shared" si="2"/>
        <v>35.683333334745839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-14T07:38:51-0600',mode:absolute,to:'2017-04-14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3" t="str">
        <f t="shared" si="6"/>
        <v>N</v>
      </c>
      <c r="X53" s="183">
        <f t="shared" si="7"/>
        <v>1</v>
      </c>
      <c r="Y53" s="62">
        <f t="shared" si="8"/>
        <v>4.4699999999999997E-2</v>
      </c>
      <c r="Z53" s="62">
        <f t="shared" si="9"/>
        <v>23.328900000000001</v>
      </c>
      <c r="AA53" s="62">
        <f t="shared" si="10"/>
        <v>23.284200000000002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0141-14</v>
      </c>
      <c r="AE53" s="85" t="str">
        <f t="shared" si="12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53" s="82" t="str">
        <f t="shared" si="13"/>
        <v>"C:\Program Files (x86)\AstroGrep\AstroGrep.exe" /e /r /s /spath="%USERPROFILE%\AppData\Local\Temp\OnboardLogs" /stypes="app*4020*20170414*"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141-14 --locoid 4020 --swversion DE.1.0.9.0 --startMP 204:447 --initTime 2017-04-14T08:38:51 --startdatetime 2017-04-14T08:45:23 --delay 1 --endMP 204:233289 --enddatetime 2017-04-14T09:21:04 --enforcementcount 0 &gt;&gt;C:\Users\stu\Documents\GitHub\eaglep3-reporting\EC\2017-04-14-refined-times.txt</v>
      </c>
      <c r="AI53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{"issue":{"subject":"","project_id":79,"tracker_id":40,"status_id":1,"priority_id":2,"assigned_to_id":23,"start_date":"2017-04-14","description":"","custom_fields":[{"id":1,"name":"Subdivision","value":"EC"},{"id":4,"name":"Milepost","value":"23.3289"},{"id":17,"name":"Train ID","value":"141-14"},{"id":16,"name":"Locomotive ID","value":"4020"},{"id":130,"name":"Impact","value":""},{"id":150,"name":"Time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4020 --day 2017-04-14</v>
      </c>
      <c r="AN53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720</v>
      </c>
      <c r="B54" s="7">
        <v>4019</v>
      </c>
      <c r="C54" s="21" t="s">
        <v>214</v>
      </c>
      <c r="D54" s="21" t="s">
        <v>548</v>
      </c>
      <c r="E54" s="13">
        <v>42839.398206018515</v>
      </c>
      <c r="F54" s="13">
        <v>42839.403645833336</v>
      </c>
      <c r="G54" s="7">
        <v>1</v>
      </c>
      <c r="H54" s="21" t="s">
        <v>508</v>
      </c>
      <c r="I54" s="13">
        <v>42839.431585648148</v>
      </c>
      <c r="J54" s="7">
        <v>0</v>
      </c>
      <c r="K54" s="97" t="str">
        <f t="shared" si="0"/>
        <v>4019/4020</v>
      </c>
      <c r="L54" s="21" t="str">
        <f>VLOOKUP(A54,'Trips&amp;Operators'!$C$1:$G$99999,5,FALSE)</f>
        <v>BADERTSCHER DIANE</v>
      </c>
      <c r="M54" s="6">
        <f t="shared" si="1"/>
        <v>2.7939814812270924E-2</v>
      </c>
      <c r="N54" s="7">
        <f t="shared" si="2"/>
        <v>40.233333329670131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-14T08:33:25-0600',mode:absolute,to:'2017-04-14T11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3" t="str">
        <f t="shared" si="6"/>
        <v>N</v>
      </c>
      <c r="X54" s="183">
        <f t="shared" si="7"/>
        <v>1</v>
      </c>
      <c r="Y54" s="62">
        <f t="shared" si="8"/>
        <v>23.298200000000001</v>
      </c>
      <c r="Z54" s="62">
        <f t="shared" si="9"/>
        <v>1.49E-2</v>
      </c>
      <c r="AA54" s="62">
        <f t="shared" si="10"/>
        <v>23.283300000000001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0142-14</v>
      </c>
      <c r="AE54" s="85" t="str">
        <f t="shared" si="12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54" s="82" t="str">
        <f t="shared" si="13"/>
        <v>"C:\Program Files (x86)\AstroGrep\AstroGrep.exe" /e /r /s /spath="%USERPROFILE%\AppData\Local\Temp\OnboardLogs" /stypes="app*4019*20170414*"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142-14 --locoid 4019 --swversion DE.1.0.9.0 --startMP 204:232982 --initTime 2017-04-14T09:33:25 --startdatetime 2017-04-14T09:41:15 --delay 1 --endMP 204:149 --enddatetime 2017-04-14T10:21:29 --enforcementcount 0 &gt;&gt;C:\Users\stu\Documents\GitHub\eaglep3-reporting\EC\2017-04-14-refined-times.txt</v>
      </c>
      <c r="AI54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{"issue":{"subject":"","project_id":79,"tracker_id":40,"status_id":1,"priority_id":2,"assigned_to_id":23,"start_date":"2017-04-14","description":"","custom_fields":[{"id":1,"name":"Subdivision","value":"EC"},{"id":4,"name":"Milepost","value":"0.0149"},{"id":17,"name":"Train ID","value":"142-14"},{"id":16,"name":"Locomotive ID","value":"4019"},{"id":130,"name":"Impact","value":""},{"id":150,"name":"Time of Event (Mountain Time)","value":"10:21:29"},{"id":151,"name":"Denver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4019 --day 2017-04-14</v>
      </c>
      <c r="AN54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715</v>
      </c>
      <c r="B55" s="7">
        <v>4046</v>
      </c>
      <c r="C55" s="21" t="s">
        <v>214</v>
      </c>
      <c r="D55" s="21" t="s">
        <v>414</v>
      </c>
      <c r="E55" s="13">
        <v>42839.368506944447</v>
      </c>
      <c r="F55" s="13">
        <v>42839.375208333331</v>
      </c>
      <c r="G55" s="7">
        <v>1</v>
      </c>
      <c r="H55" s="21" t="s">
        <v>605</v>
      </c>
      <c r="I55" s="13">
        <v>42839.40053240741</v>
      </c>
      <c r="J55" s="7">
        <v>0</v>
      </c>
      <c r="K55" s="97" t="str">
        <f t="shared" si="0"/>
        <v>4045/4046</v>
      </c>
      <c r="L55" s="21" t="str">
        <f>VLOOKUP(A55,'Trips&amp;Operators'!$C$1:$G$99999,5,FALSE)</f>
        <v>ROCHA YAOTL</v>
      </c>
      <c r="M55" s="6">
        <f t="shared" si="1"/>
        <v>2.5324074078525882E-2</v>
      </c>
      <c r="N55" s="7">
        <f t="shared" si="2"/>
        <v>36.46666667307727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-14T07:50:39-0600',mode:absolute,to:'2017-04-14T10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83" t="str">
        <f t="shared" si="6"/>
        <v>N</v>
      </c>
      <c r="X55" s="183">
        <f t="shared" si="7"/>
        <v>1</v>
      </c>
      <c r="Y55" s="62">
        <f t="shared" si="8"/>
        <v>4.7100000000000003E-2</v>
      </c>
      <c r="Z55" s="62">
        <f t="shared" si="9"/>
        <v>23.330200000000001</v>
      </c>
      <c r="AA55" s="62">
        <f t="shared" si="10"/>
        <v>23.283100000000001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0143-14</v>
      </c>
      <c r="AE55" s="85" t="str">
        <f t="shared" si="12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55" s="82" t="str">
        <f t="shared" si="13"/>
        <v>"C:\Program Files (x86)\AstroGrep\AstroGrep.exe" /e /r /s /spath="%USERPROFILE%\AppData\Local\Temp\OnboardLogs" /stypes="app*4046*20170414*"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143-14 --locoid 4046 --swversion DE.1.0.9.0 --startMP 204:471 --initTime 2017-04-14T08:50:39 --startdatetime 2017-04-14T09:00:18 --delay 1 --endMP 204:233302 --enddatetime 2017-04-14T09:36:46 --enforcementcount 0 &gt;&gt;C:\Users\stu\Documents\GitHub\eaglep3-reporting\EC\2017-04-14-refined-times.txt</v>
      </c>
      <c r="AI55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{"issue":{"subject":"","project_id":79,"tracker_id":40,"status_id":1,"priority_id":2,"assigned_to_id":23,"start_date":"2017-04-14","description":"","custom_fields":[{"id":1,"name":"Subdivision","value":"EC"},{"id":4,"name":"Milepost","value":"23.3302"},{"id":17,"name":"Train ID","value":"143-14"},{"id":16,"name":"Locomotive ID","value":"4046"},{"id":130,"name":"Impact","value":""},{"id":150,"name":"Time of Event (Mountain Time)","value":"09:36:46"},{"id":151,"name":"Denver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4046 --day 2017-04-14</v>
      </c>
      <c r="AN55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722</v>
      </c>
      <c r="B56" s="7">
        <v>4045</v>
      </c>
      <c r="C56" s="21" t="s">
        <v>214</v>
      </c>
      <c r="D56" s="21" t="s">
        <v>410</v>
      </c>
      <c r="E56" s="13">
        <v>42839.402002314811</v>
      </c>
      <c r="F56" s="13">
        <v>42839.414131944446</v>
      </c>
      <c r="G56" s="7">
        <v>1</v>
      </c>
      <c r="H56" s="21" t="s">
        <v>546</v>
      </c>
      <c r="I56" s="13">
        <v>42839.440925925926</v>
      </c>
      <c r="J56" s="7">
        <v>0</v>
      </c>
      <c r="K56" s="97" t="str">
        <f t="shared" si="0"/>
        <v>4045/4046</v>
      </c>
      <c r="L56" s="21" t="str">
        <f>VLOOKUP(A56,'Trips&amp;Operators'!$C$1:$G$99999,5,FALSE)</f>
        <v>ROCHA YAOTL</v>
      </c>
      <c r="M56" s="6">
        <f t="shared" si="1"/>
        <v>2.679398148029577E-2</v>
      </c>
      <c r="N56" s="7">
        <f t="shared" si="2"/>
        <v>38.583333331625909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-14T08:38:53-0600',mode:absolute,to:'2017-04-14T11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83" t="str">
        <f t="shared" si="6"/>
        <v>N</v>
      </c>
      <c r="X56" s="183">
        <f t="shared" si="7"/>
        <v>1</v>
      </c>
      <c r="Y56" s="62">
        <f t="shared" si="8"/>
        <v>23.2989</v>
      </c>
      <c r="Z56" s="62">
        <f t="shared" si="9"/>
        <v>1.3899999999999999E-2</v>
      </c>
      <c r="AA56" s="62">
        <f t="shared" si="10"/>
        <v>23.285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0144-14</v>
      </c>
      <c r="AE56" s="85" t="str">
        <f t="shared" si="12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56" s="82" t="str">
        <f t="shared" si="13"/>
        <v>"C:\Program Files (x86)\AstroGrep\AstroGrep.exe" /e /r /s /spath="%USERPROFILE%\AppData\Local\Temp\OnboardLogs" /stypes="app*4045*20170414*"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144-14 --locoid 4045 --swversion DE.1.0.9.0 --startMP 204:232989 --initTime 2017-04-14T09:38:53 --startdatetime 2017-04-14T09:56:21 --delay 1 --endMP 204:139 --enddatetime 2017-04-14T10:34:56 --enforcementcount 0 &gt;&gt;C:\Users\stu\Documents\GitHub\eaglep3-reporting\EC\2017-04-14-refined-times.txt</v>
      </c>
      <c r="AI56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ID","value":"144-14"},{"id":16,"name":"Locomotive ID","value":"4045"},{"id":130,"name":"Impact","value":""},{"id":150,"name":"Time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4045 --day 2017-04-14</v>
      </c>
      <c r="AN56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718</v>
      </c>
      <c r="B57" s="7">
        <v>4042</v>
      </c>
      <c r="C57" s="21" t="s">
        <v>214</v>
      </c>
      <c r="D57" s="21" t="s">
        <v>408</v>
      </c>
      <c r="E57" s="13">
        <v>42839.381111111114</v>
      </c>
      <c r="F57" s="13">
        <v>42839.385578703703</v>
      </c>
      <c r="G57" s="7">
        <v>1</v>
      </c>
      <c r="H57" s="21" t="s">
        <v>871</v>
      </c>
      <c r="I57" s="13">
        <v>42839.411099537036</v>
      </c>
      <c r="J57" s="7">
        <v>0</v>
      </c>
      <c r="K57" s="97" t="str">
        <f t="shared" si="0"/>
        <v>4041/4042</v>
      </c>
      <c r="L57" s="21" t="str">
        <f>VLOOKUP(A57,'Trips&amp;Operators'!$C$1:$G$99999,5,FALSE)</f>
        <v>DAVIS WENDY</v>
      </c>
      <c r="M57" s="6">
        <f t="shared" si="1"/>
        <v>2.5520833332848269E-2</v>
      </c>
      <c r="N57" s="7">
        <f t="shared" si="2"/>
        <v>36.749999999301508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-14T08:08:48-0600',mode:absolute,to:'2017-04-14T10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83" t="str">
        <f t="shared" si="6"/>
        <v>N</v>
      </c>
      <c r="X57" s="183">
        <f t="shared" si="7"/>
        <v>1</v>
      </c>
      <c r="Y57" s="62">
        <f t="shared" si="8"/>
        <v>4.6199999999999998E-2</v>
      </c>
      <c r="Z57" s="62">
        <f t="shared" si="9"/>
        <v>23.329899999999999</v>
      </c>
      <c r="AA57" s="62">
        <f t="shared" si="10"/>
        <v>23.2837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0145-14</v>
      </c>
      <c r="AE57" s="85" t="str">
        <f t="shared" si="12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57" s="82" t="str">
        <f t="shared" si="13"/>
        <v>"C:\Program Files (x86)\AstroGrep\AstroGrep.exe" /e /r /s /spath="%USERPROFILE%\AppData\Local\Temp\OnboardLogs" /stypes="app*4042*20170414*"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145-14 --locoid 4042 --swversion DE.1.0.9.0 --startMP 204:462 --initTime 2017-04-14T09:08:48 --startdatetime 2017-04-14T09:15:14 --delay 1 --endMP 204:233299 --enddatetime 2017-04-14T09:51:59 --enforcementcount 0 &gt;&gt;C:\Users\stu\Documents\GitHub\eaglep3-reporting\EC\2017-04-14-refined-times.txt</v>
      </c>
      <c r="AI57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{"issue":{"subject":"","project_id":79,"tracker_id":40,"status_id":1,"priority_id":2,"assigned_to_id":23,"start_date":"2017-04-14","description":"","custom_fields":[{"id":1,"name":"Subdivision","value":"EC"},{"id":4,"name":"Milepost","value":"23.3299"},{"id":17,"name":"Train ID","value":"145-14"},{"id":16,"name":"Locomotive ID","value":"4042"},{"id":130,"name":"Impact","value":""},{"id":150,"name":"Time of Event (Mountain Time)","value":"09:51:59"},{"id":151,"name":"Denver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4042 --day 2017-04-14</v>
      </c>
      <c r="AN57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726</v>
      </c>
      <c r="B58" s="7">
        <v>4041</v>
      </c>
      <c r="C58" s="21" t="s">
        <v>214</v>
      </c>
      <c r="D58" s="21" t="s">
        <v>465</v>
      </c>
      <c r="E58" s="13">
        <v>42839.421377314815</v>
      </c>
      <c r="F58" s="13">
        <v>42839.424456018518</v>
      </c>
      <c r="G58" s="7">
        <v>1</v>
      </c>
      <c r="H58" s="21" t="s">
        <v>510</v>
      </c>
      <c r="I58" s="13">
        <v>42839.452106481483</v>
      </c>
      <c r="J58" s="7">
        <v>0</v>
      </c>
      <c r="K58" s="97" t="str">
        <f t="shared" si="0"/>
        <v>4041/4042</v>
      </c>
      <c r="L58" s="21" t="str">
        <f>VLOOKUP(A58,'Trips&amp;Operators'!$C$1:$G$99999,5,FALSE)</f>
        <v>DAVIS WENDY</v>
      </c>
      <c r="M58" s="6">
        <f t="shared" si="1"/>
        <v>2.7650462965539191E-2</v>
      </c>
      <c r="N58" s="7">
        <f t="shared" si="2"/>
        <v>39.816666670376435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-14T09:06:47-0600',mode:absolute,to:'2017-04-14T11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83" t="str">
        <f t="shared" si="6"/>
        <v>N</v>
      </c>
      <c r="X58" s="183">
        <f t="shared" si="7"/>
        <v>1</v>
      </c>
      <c r="Y58" s="62">
        <f t="shared" si="8"/>
        <v>23.297799999999999</v>
      </c>
      <c r="Z58" s="62">
        <f t="shared" si="9"/>
        <v>1.43E-2</v>
      </c>
      <c r="AA58" s="62">
        <f t="shared" si="10"/>
        <v>23.2835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0146-14</v>
      </c>
      <c r="AE58" s="85" t="str">
        <f t="shared" si="12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58" s="82" t="str">
        <f t="shared" si="13"/>
        <v>"C:\Program Files (x86)\AstroGrep\AstroGrep.exe" /e /r /s /spath="%USERPROFILE%\AppData\Local\Temp\OnboardLogs" /stypes="app*4041*20170414*"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146-14 --locoid 4041 --swversion DE.1.0.9.0 --startMP 204:232978 --initTime 2017-04-14T10:06:47 --startdatetime 2017-04-14T10:11:13 --delay 1 --endMP 204:143 --enddatetime 2017-04-14T10:51:02 --enforcementcount 0 &gt;&gt;C:\Users\stu\Documents\GitHub\eaglep3-reporting\EC\2017-04-14-refined-times.txt</v>
      </c>
      <c r="AI58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{"issue":{"subject":"","project_id":79,"tracker_id":40,"status_id":1,"priority_id":2,"assigned_to_id":23,"start_date":"2017-04-14","description":"","custom_fields":[{"id":1,"name":"Subdivision","value":"EC"},{"id":4,"name":"Milepost","value":"0.0143"},{"id":17,"name":"Train ID","value":"146-14"},{"id":16,"name":"Locomotive ID","value":"4041"},{"id":130,"name":"Impact","value":""},{"id":150,"name":"Time of Event (Mountain Time)","value":"10:51:02"},{"id":151,"name":"Denver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4041 --day 2017-04-14</v>
      </c>
      <c r="AN58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633</v>
      </c>
      <c r="B59" s="7">
        <v>4004</v>
      </c>
      <c r="C59" s="21" t="s">
        <v>214</v>
      </c>
      <c r="D59" s="21" t="s">
        <v>210</v>
      </c>
      <c r="E59" s="13">
        <v>42839.391400462962</v>
      </c>
      <c r="F59" s="13">
        <v>42839.39603009259</v>
      </c>
      <c r="G59" s="7">
        <v>2</v>
      </c>
      <c r="H59" s="21" t="s">
        <v>884</v>
      </c>
      <c r="I59" s="13">
        <v>42839.419664351852</v>
      </c>
      <c r="J59" s="7">
        <v>0</v>
      </c>
      <c r="K59" s="97" t="str">
        <f t="shared" si="0"/>
        <v>4003/4004</v>
      </c>
      <c r="L59" s="21" t="str">
        <f>VLOOKUP(A59,'Trips&amp;Operators'!$C$1:$G$99999,5,FALSE)</f>
        <v>COOLAHAN JOHN</v>
      </c>
      <c r="M59" s="6">
        <f t="shared" si="1"/>
        <v>2.3634259261598345E-2</v>
      </c>
      <c r="N59" s="7">
        <f t="shared" si="2"/>
        <v>34.033333336701617</v>
      </c>
      <c r="O59" s="7"/>
      <c r="P59" s="7"/>
      <c r="Q59" s="22"/>
      <c r="R59" s="22" t="s">
        <v>1024</v>
      </c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-14T08:23:37-0600',mode:absolute,to:'2017-04-14T11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83" t="str">
        <f t="shared" si="6"/>
        <v>Y</v>
      </c>
      <c r="X59" s="183">
        <f t="shared" si="7"/>
        <v>1</v>
      </c>
      <c r="Y59" s="62">
        <f t="shared" si="8"/>
        <v>4.5499999999999999E-2</v>
      </c>
      <c r="Z59" s="62">
        <f t="shared" si="9"/>
        <v>22.940999999999999</v>
      </c>
      <c r="AA59" s="62">
        <f t="shared" si="10"/>
        <v>22.895499999999998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0147-14</v>
      </c>
      <c r="AE59" s="85" t="str">
        <f t="shared" si="12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59" s="82" t="str">
        <f t="shared" si="13"/>
        <v>"C:\Program Files (x86)\AstroGrep\AstroGrep.exe" /e /r /s /spath="%USERPROFILE%\AppData\Local\Temp\OnboardLogs" /stypes="app*4004*20170414*"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147-14 --locoid 4004 --swversion DE.1.0.9.0 --startMP 204:455 --initTime 2017-04-14T09:23:37 --startdatetime 2017-04-14T09:30:17 --delay 2 --endMP 204:229410 --enddatetime 2017-04-14T10:04:19 --enforcementcount 0 &gt;&gt;C:\Users\stu\Documents\GitHub\eaglep3-reporting\EC\2017-04-14-refined-times.txt</v>
      </c>
      <c r="AI59" s="104" t="str">
        <f t="shared" si="20"/>
        <v>echo {"issue":{"subject":"Premature downgrade at DIA 4N","project_id":79,"tracker_id":40,"status_id":1,"priority_id":2,"assigned_to_id":23,"start_date":"2017-04-14","description":"","custom_fields":[{"id":1,"name":"Subdivision","value":"EC"},{"id":4,"name":"Milepost","value":"22.941"},{"id":17,"name":"Train ID","value":"147-14"},{"id":16,"name":"Locomotive ID","value":"4004"},{"id":130,"name":"Impact","value":""},{"id":150,"name":"Time of Event (Mountain Time)","value":"10:04:19"},{"id":151,"name":"Denver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4004 --day 2017-04-14</v>
      </c>
      <c r="AN59" s="159" t="str">
        <f t="shared" si="22"/>
        <v>echo {"issue":{"subject":"Premature downgrade at DIA 4N","project_id":30,"tracker_id":4,"status_id":1,"priority_id":1,"assigned_to_id":10,"start_date":"2017-04-14","description":"","custom_fields":[{"id":30,"name":"Category","value":"Issue"},{"id":3,"name":"Functional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635</v>
      </c>
      <c r="B60" s="7">
        <v>4003</v>
      </c>
      <c r="C60" s="21" t="s">
        <v>214</v>
      </c>
      <c r="D60" s="21" t="s">
        <v>523</v>
      </c>
      <c r="E60" s="13">
        <v>42839.430613425924</v>
      </c>
      <c r="F60" s="13">
        <v>42839.435034722221</v>
      </c>
      <c r="G60" s="7">
        <v>1</v>
      </c>
      <c r="H60" s="21" t="s">
        <v>508</v>
      </c>
      <c r="I60" s="13">
        <v>42839.461296296293</v>
      </c>
      <c r="J60" s="7">
        <v>0</v>
      </c>
      <c r="K60" s="97" t="str">
        <f t="shared" si="0"/>
        <v>4003/4004</v>
      </c>
      <c r="L60" s="21" t="str">
        <f>VLOOKUP(A60,'Trips&amp;Operators'!$C$1:$G$99999,5,FALSE)</f>
        <v>COOLAHAN JOHN</v>
      </c>
      <c r="M60" s="6">
        <f t="shared" si="1"/>
        <v>2.626157407212304E-2</v>
      </c>
      <c r="N60" s="7">
        <f t="shared" si="2"/>
        <v>37.816666663857177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-14T09:20:05-0600',mode:absolute,to:'2017-04-14T12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83" t="str">
        <f t="shared" si="6"/>
        <v>N</v>
      </c>
      <c r="X60" s="183">
        <f t="shared" si="7"/>
        <v>1</v>
      </c>
      <c r="Y60" s="62">
        <f t="shared" si="8"/>
        <v>23.301500000000001</v>
      </c>
      <c r="Z60" s="62">
        <f t="shared" si="9"/>
        <v>1.49E-2</v>
      </c>
      <c r="AA60" s="62">
        <f t="shared" si="10"/>
        <v>23.2866</v>
      </c>
      <c r="AB60" s="59" t="str">
        <f>VLOOKUP(A60,Enforcements!$C$7:$K$13,8,0)</f>
        <v>Bulletin (2)</v>
      </c>
      <c r="AC60" s="55" t="str">
        <f>VLOOKUP(A60,Enforcements!$C$7:$E$13,3,0)</f>
        <v>GRADE CROSSING</v>
      </c>
      <c r="AD60" s="56" t="str">
        <f t="shared" si="11"/>
        <v>0148-14</v>
      </c>
      <c r="AE60" s="85" t="str">
        <f t="shared" si="12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60" s="82" t="str">
        <f t="shared" si="13"/>
        <v>"C:\Program Files (x86)\AstroGrep\AstroGrep.exe" /e /r /s /spath="%USERPROFILE%\AppData\Local\Temp\OnboardLogs" /stypes="app*4003*20170414*"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148-14 --locoid 4003 --swversion DE.1.0.9.0 --startMP 204:233015 --initTime 2017-04-14T10:20:05 --startdatetime 2017-04-14T10:26:27 --delay 1 --endMP 204:149 --enddatetime 2017-04-14T11:04:16 --enforcementcount 0 &gt;&gt;C:\Users\stu\Documents\GitHub\eaglep3-reporting\EC\2017-04-14-refined-times.txt</v>
      </c>
      <c r="AI60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{"issue":{"subject":"","project_id":79,"tracker_id":40,"status_id":1,"priority_id":2,"assigned_to_id":23,"start_date":"2017-04-14","description":"","custom_fields":[{"id":1,"name":"Subdivision","value":"EC"},{"id":4,"name":"Milepost","value":"0.0149"},{"id":17,"name":"Train ID","value":"148-14"},{"id":16,"name":"Locomotive ID","value":"4003"},{"id":130,"name":"Impact","value":""},{"id":150,"name":"Time of Event (Mountain Time)","value":"11:04:16"},{"id":151,"name":"Denver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4003 --day 2017-04-14</v>
      </c>
      <c r="AN60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723</v>
      </c>
      <c r="B61" s="7">
        <v>4010</v>
      </c>
      <c r="C61" s="21" t="s">
        <v>214</v>
      </c>
      <c r="D61" s="21" t="s">
        <v>885</v>
      </c>
      <c r="E61" s="13">
        <v>42839.402488425927</v>
      </c>
      <c r="F61" s="13">
        <v>42839.406550925924</v>
      </c>
      <c r="G61" s="7">
        <v>3</v>
      </c>
      <c r="H61" s="21" t="s">
        <v>453</v>
      </c>
      <c r="I61" s="13">
        <v>42839.431423611109</v>
      </c>
      <c r="J61" s="7">
        <v>0</v>
      </c>
      <c r="K61" s="97" t="str">
        <f t="shared" si="0"/>
        <v>4009/4010</v>
      </c>
      <c r="L61" s="21" t="str">
        <f>VLOOKUP(A61,'Trips&amp;Operators'!$C$1:$G$99999,5,FALSE)</f>
        <v>STARKS ANGELINA</v>
      </c>
      <c r="M61" s="6">
        <f t="shared" si="1"/>
        <v>2.4872685185982846E-2</v>
      </c>
      <c r="N61" s="7">
        <f t="shared" si="2"/>
        <v>35.816666667815298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-14T08:39:35-0600',mode:absolute,to:'2017-04-14T11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1" s="183" t="str">
        <f t="shared" si="6"/>
        <v>N</v>
      </c>
      <c r="X61" s="183">
        <f t="shared" si="7"/>
        <v>1</v>
      </c>
      <c r="Y61" s="62">
        <f t="shared" si="8"/>
        <v>4.3299999999999998E-2</v>
      </c>
      <c r="Z61" s="62">
        <f t="shared" si="9"/>
        <v>23.331199999999999</v>
      </c>
      <c r="AA61" s="62">
        <f t="shared" si="10"/>
        <v>23.2879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0149-14</v>
      </c>
      <c r="AE61" s="85" t="str">
        <f t="shared" si="12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61" s="82" t="str">
        <f t="shared" si="13"/>
        <v>"C:\Program Files (x86)\AstroGrep\AstroGrep.exe" /e /r /s /spath="%USERPROFILE%\AppData\Local\Temp\OnboardLogs" /stypes="app*4010*20170414*"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149-14 --locoid 4010 --swversion DE.1.0.9.0 --startMP 204:433 --initTime 2017-04-14T09:39:35 --startdatetime 2017-04-14T09:45:26 --delay 3 --endMP 204:233312 --enddatetime 2017-04-14T10:21:15 --enforcementcount 0 &gt;&gt;C:\Users\stu\Documents\GitHub\eaglep3-reporting\EC\2017-04-14-refined-times.txt</v>
      </c>
      <c r="AI61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{"issue":{"subject":"","project_id":79,"tracker_id":40,"status_id":1,"priority_id":2,"assigned_to_id":23,"start_date":"2017-04-14","description":"","custom_fields":[{"id":1,"name":"Subdivision","value":"EC"},{"id":4,"name":"Milepost","value":"23.3312"},{"id":17,"name":"Train ID","value":"149-14"},{"id":16,"name":"Locomotive ID","value":"4010"},{"id":130,"name":"Impact","value":""},{"id":150,"name":"Time of Event (Mountain Time)","value":"10:21:15"},{"id":151,"name":"Denver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4010 --day 2017-04-14</v>
      </c>
      <c r="AN61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634</v>
      </c>
      <c r="B62" s="7">
        <v>4009</v>
      </c>
      <c r="C62" s="21" t="s">
        <v>214</v>
      </c>
      <c r="D62" s="21" t="s">
        <v>549</v>
      </c>
      <c r="E62" s="13">
        <v>42839.438240740739</v>
      </c>
      <c r="F62" s="13">
        <v>42839.445486111108</v>
      </c>
      <c r="G62" s="7">
        <v>1</v>
      </c>
      <c r="H62" s="21" t="s">
        <v>198</v>
      </c>
      <c r="I62" s="13">
        <v>42839.473935185182</v>
      </c>
      <c r="J62" s="7">
        <v>0</v>
      </c>
      <c r="K62" s="97" t="str">
        <f t="shared" si="0"/>
        <v>4009/4010</v>
      </c>
      <c r="L62" s="21" t="str">
        <f>VLOOKUP(A62,'Trips&amp;Operators'!$C$1:$G$99999,5,FALSE)</f>
        <v>STARKS ANGELINA</v>
      </c>
      <c r="M62" s="6">
        <f t="shared" si="1"/>
        <v>2.8449074074160308E-2</v>
      </c>
      <c r="N62" s="7">
        <f t="shared" si="2"/>
        <v>40.966666666790843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-14T09:31:04-0600',mode:absolute,to:'2017-04-14T12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183" t="str">
        <f t="shared" si="6"/>
        <v>N</v>
      </c>
      <c r="X62" s="183">
        <f t="shared" si="7"/>
        <v>1</v>
      </c>
      <c r="Y62" s="62">
        <f t="shared" si="8"/>
        <v>23.2988</v>
      </c>
      <c r="Z62" s="62">
        <f t="shared" si="9"/>
        <v>1.5800000000000002E-2</v>
      </c>
      <c r="AA62" s="62">
        <f t="shared" si="10"/>
        <v>23.283000000000001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0150-14</v>
      </c>
      <c r="AE62" s="85" t="str">
        <f t="shared" si="12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62" s="82" t="str">
        <f t="shared" si="13"/>
        <v>"C:\Program Files (x86)\AstroGrep\AstroGrep.exe" /e /r /s /spath="%USERPROFILE%\AppData\Local\Temp\OnboardLogs" /stypes="app*4009*20170414*"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150-14 --locoid 4009 --swversion DE.1.0.9.0 --startMP 204:232988 --initTime 2017-04-14T10:31:04 --startdatetime 2017-04-14T10:41:30 --delay 1 --endMP 204:158 --enddatetime 2017-04-14T11:22:28 --enforcementcount 0 &gt;&gt;C:\Users\stu\Documents\GitHub\eaglep3-reporting\EC\2017-04-14-refined-times.txt</v>
      </c>
      <c r="AI62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{"issue":{"subject":"","project_id":79,"tracker_id":40,"status_id":1,"priority_id":2,"assigned_to_id":23,"start_date":"2017-04-14","description":"","custom_fields":[{"id":1,"name":"Subdivision","value":"EC"},{"id":4,"name":"Milepost","value":"0.0158"},{"id":17,"name":"Train ID","value":"150-14"},{"id":16,"name":"Locomotive ID","value":"4009"},{"id":130,"name":"Impact","value":""},{"id":150,"name":"Time of Event (Mountain Time)","value":"11:22:28"},{"id":151,"name":"Denver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4009 --day 2017-04-14</v>
      </c>
      <c r="AN62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724</v>
      </c>
      <c r="B63" s="7">
        <v>4032</v>
      </c>
      <c r="C63" s="21" t="s">
        <v>214</v>
      </c>
      <c r="D63" s="21" t="s">
        <v>886</v>
      </c>
      <c r="E63" s="13">
        <v>42839.413900462961</v>
      </c>
      <c r="F63" s="13">
        <v>42839.416851851849</v>
      </c>
      <c r="G63" s="7">
        <v>1</v>
      </c>
      <c r="H63" s="21" t="s">
        <v>887</v>
      </c>
      <c r="I63" s="13">
        <v>42839.441921296297</v>
      </c>
      <c r="J63" s="7">
        <v>0</v>
      </c>
      <c r="K63" s="97" t="str">
        <f t="shared" si="0"/>
        <v>4031/4032</v>
      </c>
      <c r="L63" s="21" t="str">
        <f>VLOOKUP(A63,'Trips&amp;Operators'!$C$1:$G$99999,5,FALSE)</f>
        <v>LOZA FIDEL</v>
      </c>
      <c r="M63" s="6">
        <f t="shared" si="1"/>
        <v>2.5069444447581191E-2</v>
      </c>
      <c r="N63" s="7">
        <f t="shared" si="2"/>
        <v>36.100000004516914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-14T08:56:01-0600',mode:absolute,to:'2017-04-14T11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83" t="str">
        <f t="shared" si="6"/>
        <v>N</v>
      </c>
      <c r="X63" s="183">
        <f t="shared" si="7"/>
        <v>1</v>
      </c>
      <c r="Y63" s="62">
        <f t="shared" si="8"/>
        <v>5.0200000000000002E-2</v>
      </c>
      <c r="Z63" s="62">
        <f t="shared" si="9"/>
        <v>23.3431</v>
      </c>
      <c r="AA63" s="62">
        <f t="shared" si="10"/>
        <v>23.292899999999999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0151-14</v>
      </c>
      <c r="AE63" s="85" t="str">
        <f t="shared" si="12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63" s="82" t="str">
        <f t="shared" si="13"/>
        <v>"C:\Program Files (x86)\AstroGrep\AstroGrep.exe" /e /r /s /spath="%USERPROFILE%\AppData\Local\Temp\OnboardLogs" /stypes="app*4032*20170414*"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151-14 --locoid 4032 --swversion DE.1.0.9.0 --startMP 204:502 --initTime 2017-04-14T09:56:01 --startdatetime 2017-04-14T10:00:16 --delay 1 --endMP 204:233431 --enddatetime 2017-04-14T10:36:22 --enforcementcount 0 &gt;&gt;C:\Users\stu\Documents\GitHub\eaglep3-reporting\EC\2017-04-14-refined-times.txt</v>
      </c>
      <c r="AI63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{"issue":{"subject":"","project_id":79,"tracker_id":40,"status_id":1,"priority_id":2,"assigned_to_id":23,"start_date":"2017-04-14","description":"","custom_fields":[{"id":1,"name":"Subdivision","value":"EC"},{"id":4,"name":"Milepost","value":"23.3431"},{"id":17,"name":"Train ID","value":"151-14"},{"id":16,"name":"Locomotive ID","value":"4032"},{"id":130,"name":"Impact","value":""},{"id":150,"name":"Time of Event (Mountain Time)","value":"10:36:22"},{"id":151,"name":"Denver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4032 --day 2017-04-14</v>
      </c>
      <c r="AN63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733</v>
      </c>
      <c r="B64" s="7">
        <v>4031</v>
      </c>
      <c r="C64" s="21" t="s">
        <v>214</v>
      </c>
      <c r="D64" s="21" t="s">
        <v>888</v>
      </c>
      <c r="E64" s="13">
        <v>42839.451747685183</v>
      </c>
      <c r="F64" s="13">
        <v>42839.455763888887</v>
      </c>
      <c r="G64" s="7">
        <v>2</v>
      </c>
      <c r="H64" s="21" t="s">
        <v>416</v>
      </c>
      <c r="I64" s="13">
        <v>42839.481956018521</v>
      </c>
      <c r="J64" s="7">
        <v>0</v>
      </c>
      <c r="K64" s="97" t="str">
        <f t="shared" si="0"/>
        <v>4031/4032</v>
      </c>
      <c r="L64" s="21" t="str">
        <f>VLOOKUP(A64,'Trips&amp;Operators'!$C$1:$G$99999,5,FALSE)</f>
        <v>LOZA FIDEL</v>
      </c>
      <c r="M64" s="6">
        <f t="shared" si="1"/>
        <v>2.6192129633272998E-2</v>
      </c>
      <c r="N64" s="7">
        <f t="shared" si="2"/>
        <v>37.716666671913117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-14T09:50:31-0600',mode:absolute,to:'2017-04-14T12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83" t="str">
        <f t="shared" si="6"/>
        <v>N</v>
      </c>
      <c r="X64" s="183">
        <f t="shared" si="7"/>
        <v>1</v>
      </c>
      <c r="Y64" s="62">
        <f t="shared" si="8"/>
        <v>23.309799999999999</v>
      </c>
      <c r="Z64" s="62">
        <f t="shared" si="9"/>
        <v>1.4500000000000001E-2</v>
      </c>
      <c r="AA64" s="62">
        <f t="shared" si="10"/>
        <v>23.295299999999997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0152-14</v>
      </c>
      <c r="AE64" s="85" t="str">
        <f t="shared" si="12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64" s="82" t="str">
        <f t="shared" si="13"/>
        <v>"C:\Program Files (x86)\AstroGrep\AstroGrep.exe" /e /r /s /spath="%USERPROFILE%\AppData\Local\Temp\OnboardLogs" /stypes="app*4031*20170414*"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152-14 --locoid 4031 --swversion DE.1.0.9.0 --startMP 204:233098 --initTime 2017-04-14T10:50:31 --startdatetime 2017-04-14T10:56:18 --delay 2 --endMP 204:145 --enddatetime 2017-04-14T11:34:01 --enforcementcount 0 &gt;&gt;C:\Users\stu\Documents\GitHub\eaglep3-reporting\EC\2017-04-14-refined-times.txt</v>
      </c>
      <c r="AI64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{"issue":{"subject":"","project_id":79,"tracker_id":40,"status_id":1,"priority_id":2,"assigned_to_id":23,"start_date":"2017-04-14","description":"","custom_fields":[{"id":1,"name":"Subdivision","value":"EC"},{"id":4,"name":"Milepost","value":"0.0145"},{"id":17,"name":"Train ID","value":"152-14"},{"id":16,"name":"Locomotive ID","value":"4031"},{"id":130,"name":"Impact","value":""},{"id":150,"name":"Time of Event (Mountain Time)","value":"11:34:01"},{"id":151,"name":"Denver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4031 --day 2017-04-14</v>
      </c>
      <c r="AN64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727</v>
      </c>
      <c r="B65" s="7">
        <v>4040</v>
      </c>
      <c r="C65" s="21" t="s">
        <v>214</v>
      </c>
      <c r="D65" s="21" t="s">
        <v>496</v>
      </c>
      <c r="E65" s="13">
        <v>42839.42396990741</v>
      </c>
      <c r="F65" s="13">
        <v>42839.427303240744</v>
      </c>
      <c r="G65" s="7">
        <v>1</v>
      </c>
      <c r="H65" s="21" t="s">
        <v>547</v>
      </c>
      <c r="I65" s="13">
        <v>42839.451678240737</v>
      </c>
      <c r="J65" s="7">
        <v>0</v>
      </c>
      <c r="K65" s="97" t="str">
        <f t="shared" si="0"/>
        <v>4039/4040</v>
      </c>
      <c r="L65" s="21" t="str">
        <f>VLOOKUP(A65,'Trips&amp;Operators'!$C$1:$G$99999,5,FALSE)</f>
        <v>DE LA ROSA ALEX</v>
      </c>
      <c r="M65" s="6">
        <f t="shared" si="1"/>
        <v>2.4374999993597157E-2</v>
      </c>
      <c r="N65" s="7">
        <f t="shared" si="2"/>
        <v>35.099999990779907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-14T09:10:31-0600',mode:absolute,to:'2017-04-14T11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183" t="str">
        <f t="shared" si="6"/>
        <v>N</v>
      </c>
      <c r="X65" s="183">
        <f t="shared" si="7"/>
        <v>1</v>
      </c>
      <c r="Y65" s="62">
        <f t="shared" si="8"/>
        <v>4.7300000000000002E-2</v>
      </c>
      <c r="Z65" s="62">
        <f t="shared" si="9"/>
        <v>23.330500000000001</v>
      </c>
      <c r="AA65" s="62">
        <f t="shared" si="10"/>
        <v>23.283200000000001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0153-14</v>
      </c>
      <c r="AE65" s="85" t="str">
        <f t="shared" si="12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65" s="82" t="str">
        <f t="shared" si="13"/>
        <v>"C:\Program Files (x86)\AstroGrep\AstroGrep.exe" /e /r /s /spath="%USERPROFILE%\AppData\Local\Temp\OnboardLogs" /stypes="app*4040*20170414*"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153-14 --locoid 4040 --swversion DE.1.0.9.0 --startMP 204:473 --initTime 2017-04-14T10:10:31 --startdatetime 2017-04-14T10:15:19 --delay 1 --endMP 204:233305 --enddatetime 2017-04-14T10:50:25 --enforcementcount 0 &gt;&gt;C:\Users\stu\Documents\GitHub\eaglep3-reporting\EC\2017-04-14-refined-times.txt</v>
      </c>
      <c r="AI65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{"issue":{"subject":"","project_id":79,"tracker_id":40,"status_id":1,"priority_id":2,"assigned_to_id":23,"start_date":"2017-04-14","description":"","custom_fields":[{"id":1,"name":"Subdivision","value":"EC"},{"id":4,"name":"Milepost","value":"23.3305"},{"id":17,"name":"Train ID","value":"153-14"},{"id":16,"name":"Locomotive ID","value":"4040"},{"id":130,"name":"Impact","value":""},{"id":150,"name":"Time of Event (Mountain Time)","value":"10:50:25"},{"id":151,"name":"Denver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4040 --day 2017-04-14</v>
      </c>
      <c r="AN65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735</v>
      </c>
      <c r="B66" s="7">
        <v>4039</v>
      </c>
      <c r="C66" s="21" t="s">
        <v>214</v>
      </c>
      <c r="D66" s="21" t="s">
        <v>555</v>
      </c>
      <c r="E66" s="13">
        <v>42839.461759259262</v>
      </c>
      <c r="F66" s="13">
        <v>42839.466145833336</v>
      </c>
      <c r="G66" s="7">
        <v>1</v>
      </c>
      <c r="H66" s="21" t="s">
        <v>510</v>
      </c>
      <c r="I66" s="13">
        <v>42839.49322916667</v>
      </c>
      <c r="J66" s="7">
        <v>0</v>
      </c>
      <c r="K66" s="97" t="str">
        <f t="shared" si="0"/>
        <v>4039/4040</v>
      </c>
      <c r="L66" s="21" t="str">
        <f>VLOOKUP(A66,'Trips&amp;Operators'!$C$1:$G$99999,5,FALSE)</f>
        <v>DE LA ROSA ALEX</v>
      </c>
      <c r="M66" s="6">
        <f t="shared" si="1"/>
        <v>2.7083333334303461E-2</v>
      </c>
      <c r="N66" s="7">
        <f t="shared" si="2"/>
        <v>39.000000001396984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-14T10:04:56-0600',mode:absolute,to:'2017-04-14T12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183" t="str">
        <f t="shared" si="6"/>
        <v>N</v>
      </c>
      <c r="X66" s="183">
        <f t="shared" si="7"/>
        <v>1</v>
      </c>
      <c r="Y66" s="62">
        <f t="shared" si="8"/>
        <v>23.2971</v>
      </c>
      <c r="Z66" s="62">
        <f t="shared" si="9"/>
        <v>1.43E-2</v>
      </c>
      <c r="AA66" s="62">
        <f t="shared" si="10"/>
        <v>23.282800000000002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0154-14</v>
      </c>
      <c r="AE66" s="85" t="str">
        <f t="shared" si="12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66" s="82" t="str">
        <f t="shared" si="13"/>
        <v>"C:\Program Files (x86)\AstroGrep\AstroGrep.exe" /e /r /s /spath="%USERPROFILE%\AppData\Local\Temp\OnboardLogs" /stypes="app*4039*20170414*"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154-14 --locoid 4039 --swversion DE.1.0.9.0 --startMP 204:232971 --initTime 2017-04-14T11:04:56 --startdatetime 2017-04-14T11:11:15 --delay 1 --endMP 204:143 --enddatetime 2017-04-14T11:50:15 --enforcementcount 0 &gt;&gt;C:\Users\stu\Documents\GitHub\eaglep3-reporting\EC\2017-04-14-refined-times.txt</v>
      </c>
      <c r="AI66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{"issue":{"subject":"","project_id":79,"tracker_id":40,"status_id":1,"priority_id":2,"assigned_to_id":23,"start_date":"2017-04-14","description":"","custom_fields":[{"id":1,"name":"Subdivision","value":"EC"},{"id":4,"name":"Milepost","value":"0.0143"},{"id":17,"name":"Train ID","value":"154-14"},{"id":16,"name":"Locomotive ID","value":"4039"},{"id":130,"name":"Impact","value":""},{"id":150,"name":"Time of Event (Mountain Time)","value":"11:50:15"},{"id":151,"name":"Denver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4039 --day 2017-04-14</v>
      </c>
      <c r="AN66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729</v>
      </c>
      <c r="B67" s="7">
        <v>4020</v>
      </c>
      <c r="C67" s="21" t="s">
        <v>214</v>
      </c>
      <c r="D67" s="21" t="s">
        <v>471</v>
      </c>
      <c r="E67" s="13">
        <v>42839.434317129628</v>
      </c>
      <c r="F67" s="13">
        <v>42839.437673611108</v>
      </c>
      <c r="G67" s="7">
        <v>3</v>
      </c>
      <c r="H67" s="21" t="s">
        <v>605</v>
      </c>
      <c r="I67" s="13">
        <v>42839.463078703702</v>
      </c>
      <c r="J67" s="7">
        <v>0</v>
      </c>
      <c r="K67" s="97" t="str">
        <f t="shared" si="0"/>
        <v>4019/4020</v>
      </c>
      <c r="L67" s="21" t="str">
        <f>VLOOKUP(A67,'Trips&amp;Operators'!$C$1:$G$99999,5,FALSE)</f>
        <v>GEBRETEKLE DAGNEW</v>
      </c>
      <c r="M67" s="6">
        <f t="shared" si="1"/>
        <v>2.5405092594155576E-2</v>
      </c>
      <c r="N67" s="7">
        <f t="shared" si="2"/>
        <v>36.58333333558403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-14T09:25:25-0600',mode:absolute,to:'2017-04-14T12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83" t="str">
        <f t="shared" si="6"/>
        <v>N</v>
      </c>
      <c r="X67" s="183">
        <f t="shared" si="7"/>
        <v>1</v>
      </c>
      <c r="Y67" s="62">
        <f t="shared" si="8"/>
        <v>4.6399999999999997E-2</v>
      </c>
      <c r="Z67" s="62">
        <f t="shared" si="9"/>
        <v>23.330200000000001</v>
      </c>
      <c r="AA67" s="62">
        <f t="shared" si="10"/>
        <v>23.283800000000003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0155-14</v>
      </c>
      <c r="AE67" s="85" t="str">
        <f t="shared" si="12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67" s="82" t="str">
        <f t="shared" si="13"/>
        <v>"C:\Program Files (x86)\AstroGrep\AstroGrep.exe" /e /r /s /spath="%USERPROFILE%\AppData\Local\Temp\OnboardLogs" /stypes="app*4020*20170414*"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155-14 --locoid 4020 --swversion DE.1.0.9.0 --startMP 204:464 --initTime 2017-04-14T10:25:25 --startdatetime 2017-04-14T10:30:15 --delay 3 --endMP 204:233302 --enddatetime 2017-04-14T11:06:50 --enforcementcount 0 &gt;&gt;C:\Users\stu\Documents\GitHub\eaglep3-reporting\EC\2017-04-14-refined-times.txt</v>
      </c>
      <c r="AI67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{"issue":{"subject":"","project_id":79,"tracker_id":40,"status_id":1,"priority_id":2,"assigned_to_id":23,"start_date":"2017-04-14","description":"","custom_fields":[{"id":1,"name":"Subdivision","value":"EC"},{"id":4,"name":"Milepost","value":"23.3302"},{"id":17,"name":"Train ID","value":"155-14"},{"id":16,"name":"Locomotive ID","value":"4020"},{"id":130,"name":"Impact","value":""},{"id":150,"name":"Time of Event (Mountain Time)","value":"11:06:50"},{"id":151,"name":"Denver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4020 --day 2017-04-14</v>
      </c>
      <c r="AN67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737</v>
      </c>
      <c r="B68" s="7">
        <v>4019</v>
      </c>
      <c r="C68" s="21" t="s">
        <v>214</v>
      </c>
      <c r="D68" s="21" t="s">
        <v>509</v>
      </c>
      <c r="E68" s="13">
        <v>42839.472291666665</v>
      </c>
      <c r="F68" s="13">
        <v>42839.4765625</v>
      </c>
      <c r="G68" s="7">
        <v>1</v>
      </c>
      <c r="H68" s="21" t="s">
        <v>510</v>
      </c>
      <c r="I68" s="13">
        <v>42839.502743055556</v>
      </c>
      <c r="J68" s="7">
        <v>0</v>
      </c>
      <c r="K68" s="97" t="str">
        <f t="shared" si="0"/>
        <v>4019/4020</v>
      </c>
      <c r="L68" s="21" t="str">
        <f>VLOOKUP(A68,'Trips&amp;Operators'!$C$1:$G$99999,5,FALSE)</f>
        <v>GEBRETEKLE DAGNEW</v>
      </c>
      <c r="M68" s="6">
        <f t="shared" si="1"/>
        <v>2.6180555556493346E-2</v>
      </c>
      <c r="N68" s="7">
        <f t="shared" si="2"/>
        <v>37.700000001350418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-14T10:20:06-0600',mode:absolute,to:'2017-04-14T13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83" t="str">
        <f t="shared" si="6"/>
        <v>N</v>
      </c>
      <c r="X68" s="183">
        <f t="shared" si="7"/>
        <v>1</v>
      </c>
      <c r="Y68" s="62">
        <f t="shared" si="8"/>
        <v>23.299800000000001</v>
      </c>
      <c r="Z68" s="62">
        <f t="shared" si="9"/>
        <v>1.43E-2</v>
      </c>
      <c r="AA68" s="62">
        <f t="shared" si="10"/>
        <v>23.285500000000003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0156-14</v>
      </c>
      <c r="AE68" s="85" t="str">
        <f t="shared" si="12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68" s="82" t="str">
        <f t="shared" si="13"/>
        <v>"C:\Program Files (x86)\AstroGrep\AstroGrep.exe" /e /r /s /spath="%USERPROFILE%\AppData\Local\Temp\OnboardLogs" /stypes="app*4019*20170414*"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156-14 --locoid 4019 --swversion DE.1.0.9.0 --startMP 204:232998 --initTime 2017-04-14T11:20:06 --startdatetime 2017-04-14T11:26:15 --delay 1 --endMP 204:143 --enddatetime 2017-04-14T12:03:57 --enforcementcount 0 &gt;&gt;C:\Users\stu\Documents\GitHub\eaglep3-reporting\EC\2017-04-14-refined-times.txt</v>
      </c>
      <c r="AI68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{"issue":{"subject":"","project_id":79,"tracker_id":40,"status_id":1,"priority_id":2,"assigned_to_id":23,"start_date":"2017-04-14","description":"","custom_fields":[{"id":1,"name":"Subdivision","value":"EC"},{"id":4,"name":"Milepost","value":"0.0143"},{"id":17,"name":"Train ID","value":"156-14"},{"id":16,"name":"Locomotive ID","value":"4019"},{"id":130,"name":"Impact","value":""},{"id":150,"name":"Time of Event (Mountain Time)","value":"12:03:57"},{"id":151,"name":"Denver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4019 --day 2017-04-14</v>
      </c>
      <c r="AN68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731</v>
      </c>
      <c r="B69" s="7">
        <v>4046</v>
      </c>
      <c r="C69" s="21" t="s">
        <v>214</v>
      </c>
      <c r="D69" s="21" t="s">
        <v>204</v>
      </c>
      <c r="E69" s="13">
        <v>42839.443136574075</v>
      </c>
      <c r="F69" s="13">
        <v>42839.448101851849</v>
      </c>
      <c r="G69" s="7">
        <v>2</v>
      </c>
      <c r="H69" s="21" t="s">
        <v>497</v>
      </c>
      <c r="I69" s="13">
        <v>42839.472291666665</v>
      </c>
      <c r="J69" s="7">
        <v>0</v>
      </c>
      <c r="K69" s="97" t="str">
        <f t="shared" si="0"/>
        <v>4045/4046</v>
      </c>
      <c r="L69" s="21" t="str">
        <f>VLOOKUP(A69,'Trips&amp;Operators'!$C$1:$G$99999,5,FALSE)</f>
        <v>ROCHA YAOTL</v>
      </c>
      <c r="M69" s="6">
        <f t="shared" si="1"/>
        <v>2.4189814816054422E-2</v>
      </c>
      <c r="N69" s="7">
        <f t="shared" si="2"/>
        <v>34.833333335118368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-14T09:38:07-0600',mode:absolute,to:'2017-04-14T12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183" t="str">
        <f t="shared" si="6"/>
        <v>N</v>
      </c>
      <c r="X69" s="183">
        <f t="shared" si="7"/>
        <v>1</v>
      </c>
      <c r="Y69" s="62">
        <f t="shared" si="8"/>
        <v>4.5100000000000001E-2</v>
      </c>
      <c r="Z69" s="62">
        <f t="shared" si="9"/>
        <v>23.331399999999999</v>
      </c>
      <c r="AA69" s="62">
        <f t="shared" si="10"/>
        <v>23.286299999999997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0157-14</v>
      </c>
      <c r="AE69" s="85" t="str">
        <f t="shared" si="12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69" s="82" t="str">
        <f t="shared" si="13"/>
        <v>"C:\Program Files (x86)\AstroGrep\AstroGrep.exe" /e /r /s /spath="%USERPROFILE%\AppData\Local\Temp\OnboardLogs" /stypes="app*4046*20170414*"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157-14 --locoid 4046 --swversion DE.1.0.9.0 --startMP 204:451 --initTime 2017-04-14T10:38:07 --startdatetime 2017-04-14T10:45:16 --delay 2 --endMP 204:233314 --enddatetime 2017-04-14T11:20:06 --enforcementcount 0 &gt;&gt;C:\Users\stu\Documents\GitHub\eaglep3-reporting\EC\2017-04-14-refined-times.txt</v>
      </c>
      <c r="AI69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{"issue":{"subject":"","project_id":79,"tracker_id":40,"status_id":1,"priority_id":2,"assigned_to_id":23,"start_date":"2017-04-14","description":"","custom_fields":[{"id":1,"name":"Subdivision","value":"EC"},{"id":4,"name":"Milepost","value":"23.3314"},{"id":17,"name":"Train ID","value":"157-14"},{"id":16,"name":"Locomotive ID","value":"4046"},{"id":130,"name":"Impact","value":""},{"id":150,"name":"Time of Event (Mountain Time)","value":"11:20:06"},{"id":151,"name":"Denver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4046 --day 2017-04-14</v>
      </c>
      <c r="AN69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638</v>
      </c>
      <c r="B70" s="7">
        <v>4045</v>
      </c>
      <c r="C70" s="21" t="s">
        <v>214</v>
      </c>
      <c r="D70" s="21" t="s">
        <v>509</v>
      </c>
      <c r="E70" s="13">
        <v>42839.474074074074</v>
      </c>
      <c r="F70" s="13">
        <v>42839.487002314818</v>
      </c>
      <c r="G70" s="7">
        <v>1</v>
      </c>
      <c r="H70" s="21" t="s">
        <v>211</v>
      </c>
      <c r="I70" s="13">
        <v>42839.514085648145</v>
      </c>
      <c r="J70" s="7">
        <v>0</v>
      </c>
      <c r="K70" s="97" t="str">
        <f t="shared" si="0"/>
        <v>4045/4046</v>
      </c>
      <c r="L70" s="21" t="str">
        <f>VLOOKUP(A70,'Trips&amp;Operators'!$C$1:$G$99999,5,FALSE)</f>
        <v>ROCHA YAOTL</v>
      </c>
      <c r="M70" s="6">
        <f t="shared" si="1"/>
        <v>2.7083333327027503E-2</v>
      </c>
      <c r="N70" s="7">
        <f t="shared" si="2"/>
        <v>38.999999990919605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-14T10:22:40-0600',mode:absolute,to:'2017-04-14T13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183" t="str">
        <f t="shared" si="6"/>
        <v>N</v>
      </c>
      <c r="X70" s="183">
        <f t="shared" si="7"/>
        <v>1</v>
      </c>
      <c r="Y70" s="62">
        <f t="shared" si="8"/>
        <v>23.299800000000001</v>
      </c>
      <c r="Z70" s="62">
        <f t="shared" si="9"/>
        <v>1.47E-2</v>
      </c>
      <c r="AA70" s="62">
        <f t="shared" si="10"/>
        <v>23.2851</v>
      </c>
      <c r="AB70" s="59" t="str">
        <f>VLOOKUP(A70,Enforcements!$C$7:$K$13,8,0)</f>
        <v>Bulletin (2)</v>
      </c>
      <c r="AC70" s="55" t="str">
        <f>VLOOKUP(A70,Enforcements!$C$7:$E$13,3,0)</f>
        <v>GRADE CROSSING</v>
      </c>
      <c r="AD70" s="56" t="str">
        <f t="shared" si="11"/>
        <v>0158-14</v>
      </c>
      <c r="AE70" s="85" t="str">
        <f t="shared" si="12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70" s="82" t="str">
        <f t="shared" si="13"/>
        <v>"C:\Program Files (x86)\AstroGrep\AstroGrep.exe" /e /r /s /spath="%USERPROFILE%\AppData\Local\Temp\OnboardLogs" /stypes="app*4045*20170414*"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158-14 --locoid 4045 --swversion DE.1.0.9.0 --startMP 204:232998 --initTime 2017-04-14T11:22:40 --startdatetime 2017-04-14T11:41:17 --delay 1 --endMP 204:147 --enddatetime 2017-04-14T12:20:17 --enforcementcount 0 &gt;&gt;C:\Users\stu\Documents\GitHub\eaglep3-reporting\EC\2017-04-14-refined-times.txt</v>
      </c>
      <c r="AI70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{"issue":{"subject":"","project_id":79,"tracker_id":40,"status_id":1,"priority_id":2,"assigned_to_id":23,"start_date":"2017-04-14","description":"","custom_fields":[{"id":1,"name":"Subdivision","value":"EC"},{"id":4,"name":"Milepost","value":"0.0147"},{"id":17,"name":"Train ID","value":"158-14"},{"id":16,"name":"Locomotive ID","value":"4045"},{"id":130,"name":"Impact","value":""},{"id":150,"name":"Time of Event (Mountain Time)","value":"12:20:17"},{"id":151,"name":"Denver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4045 --day 2017-04-14</v>
      </c>
      <c r="AN70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636</v>
      </c>
      <c r="B71" s="7">
        <v>4042</v>
      </c>
      <c r="C71" s="21" t="s">
        <v>214</v>
      </c>
      <c r="D71" s="21" t="s">
        <v>210</v>
      </c>
      <c r="E71" s="13">
        <v>42839.45453703704</v>
      </c>
      <c r="F71" s="13">
        <v>42839.458657407406</v>
      </c>
      <c r="G71" s="7">
        <v>2</v>
      </c>
      <c r="H71" s="21" t="s">
        <v>466</v>
      </c>
      <c r="I71" s="13">
        <v>42839.484479166669</v>
      </c>
      <c r="J71" s="7">
        <v>0</v>
      </c>
      <c r="K71" s="97" t="str">
        <f t="shared" si="0"/>
        <v>4041/4042</v>
      </c>
      <c r="L71" s="21" t="str">
        <f>VLOOKUP(A71,'Trips&amp;Operators'!$C$1:$G$99999,5,FALSE)</f>
        <v>DELGADO DIANAH</v>
      </c>
      <c r="M71" s="6">
        <f t="shared" si="1"/>
        <v>2.5821759263635613E-2</v>
      </c>
      <c r="N71" s="7">
        <f t="shared" si="2"/>
        <v>37.183333339635283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-14T09:54:32-0600',mode:absolute,to:'2017-04-14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83" t="str">
        <f t="shared" si="6"/>
        <v>N</v>
      </c>
      <c r="X71" s="183">
        <f t="shared" si="7"/>
        <v>1</v>
      </c>
      <c r="Y71" s="62">
        <f t="shared" si="8"/>
        <v>4.5499999999999999E-2</v>
      </c>
      <c r="Z71" s="62">
        <f t="shared" si="9"/>
        <v>23.3306</v>
      </c>
      <c r="AA71" s="62">
        <f t="shared" si="10"/>
        <v>23.2851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0159-14</v>
      </c>
      <c r="AE71" s="85" t="str">
        <f t="shared" si="12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71" s="82" t="str">
        <f t="shared" si="13"/>
        <v>"C:\Program Files (x86)\AstroGrep\AstroGrep.exe" /e /r /s /spath="%USERPROFILE%\AppData\Local\Temp\OnboardLogs" /stypes="app*4042*20170414*"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159-14 --locoid 4042 --swversion DE.1.0.9.0 --startMP 204:455 --initTime 2017-04-14T10:54:32 --startdatetime 2017-04-14T11:00:28 --delay 2 --endMP 204:233306 --enddatetime 2017-04-14T11:37:39 --enforcementcount 0 &gt;&gt;C:\Users\stu\Documents\GitHub\eaglep3-reporting\EC\2017-04-14-refined-times.txt</v>
      </c>
      <c r="AI71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{"issue":{"subject":"","project_id":79,"tracker_id":40,"status_id":1,"priority_id":2,"assigned_to_id":23,"start_date":"2017-04-14","description":"","custom_fields":[{"id":1,"name":"Subdivision","value":"EC"},{"id":4,"name":"Milepost","value":"23.3306"},{"id":17,"name":"Train ID","value":"159-14"},{"id":16,"name":"Locomotive ID","value":"4042"},{"id":130,"name":"Impact","value":""},{"id":150,"name":"Time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4042 --day 2017-04-14</v>
      </c>
      <c r="AN71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741</v>
      </c>
      <c r="B72" s="7">
        <v>4041</v>
      </c>
      <c r="C72" s="21" t="s">
        <v>214</v>
      </c>
      <c r="D72" s="21" t="s">
        <v>509</v>
      </c>
      <c r="E72" s="13">
        <v>42839.492337962962</v>
      </c>
      <c r="F72" s="13">
        <v>42839.497418981482</v>
      </c>
      <c r="G72" s="7">
        <v>1</v>
      </c>
      <c r="H72" s="21" t="s">
        <v>546</v>
      </c>
      <c r="I72" s="13">
        <v>42839.524074074077</v>
      </c>
      <c r="J72" s="7">
        <v>0</v>
      </c>
      <c r="K72" s="97" t="str">
        <f t="shared" si="0"/>
        <v>4041/4042</v>
      </c>
      <c r="L72" s="21" t="str">
        <f>VLOOKUP(A72,'Trips&amp;Operators'!$C$1:$G$99999,5,FALSE)</f>
        <v>DELGADO DIANAH</v>
      </c>
      <c r="M72" s="6">
        <f t="shared" si="1"/>
        <v>2.6655092595319729E-2</v>
      </c>
      <c r="N72" s="7">
        <f t="shared" si="2"/>
        <v>38.38333333726041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-14T10:48:58-0600',mode:absolute,to:'2017-04-14T13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83" t="str">
        <f t="shared" si="6"/>
        <v>N</v>
      </c>
      <c r="X72" s="183">
        <f t="shared" si="7"/>
        <v>1</v>
      </c>
      <c r="Y72" s="62">
        <f t="shared" si="8"/>
        <v>23.299800000000001</v>
      </c>
      <c r="Z72" s="62">
        <f t="shared" si="9"/>
        <v>1.3899999999999999E-2</v>
      </c>
      <c r="AA72" s="62">
        <f t="shared" si="10"/>
        <v>23.285900000000002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0160-14</v>
      </c>
      <c r="AE72" s="85" t="str">
        <f t="shared" si="12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72" s="82" t="str">
        <f t="shared" si="13"/>
        <v>"C:\Program Files (x86)\AstroGrep\AstroGrep.exe" /e /r /s /spath="%USERPROFILE%\AppData\Local\Temp\OnboardLogs" /stypes="app*4041*20170414*"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160-14 --locoid 4041 --swversion DE.1.0.9.0 --startMP 204:232998 --initTime 2017-04-14T11:48:58 --startdatetime 2017-04-14T11:56:17 --delay 1 --endMP 204:139 --enddatetime 2017-04-14T12:34:40 --enforcementcount 0 &gt;&gt;C:\Users\stu\Documents\GitHub\eaglep3-reporting\EC\2017-04-14-refined-times.txt</v>
      </c>
      <c r="AI72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ID","value":"160-14"},{"id":16,"name":"Locomotive ID","value":"4041"},{"id":130,"name":"Impact","value":""},{"id":150,"name":"Time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4041 --day 2017-04-14</v>
      </c>
      <c r="AN72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736</v>
      </c>
      <c r="B73" s="7">
        <v>4004</v>
      </c>
      <c r="C73" s="21" t="s">
        <v>214</v>
      </c>
      <c r="D73" s="21" t="s">
        <v>210</v>
      </c>
      <c r="E73" s="13">
        <v>42839.464988425927</v>
      </c>
      <c r="F73" s="13">
        <v>42839.468981481485</v>
      </c>
      <c r="G73" s="7">
        <v>1</v>
      </c>
      <c r="H73" s="21" t="s">
        <v>872</v>
      </c>
      <c r="I73" s="13">
        <v>42839.493310185186</v>
      </c>
      <c r="J73" s="7">
        <v>0</v>
      </c>
      <c r="K73" s="97" t="str">
        <f t="shared" si="0"/>
        <v>4003/4004</v>
      </c>
      <c r="L73" s="21" t="str">
        <f>VLOOKUP(A73,'Trips&amp;Operators'!$C$1:$G$99999,5,FALSE)</f>
        <v>WHITED DUSTIN</v>
      </c>
      <c r="M73" s="6">
        <f t="shared" si="1"/>
        <v>2.4328703701030463E-2</v>
      </c>
      <c r="N73" s="7">
        <f t="shared" si="2"/>
        <v>35.033333329483867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-14T10:09:35-0600',mode:absolute,to:'2017-04-14T12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83" t="str">
        <f t="shared" si="6"/>
        <v>N</v>
      </c>
      <c r="X73" s="183">
        <f t="shared" si="7"/>
        <v>1</v>
      </c>
      <c r="Y73" s="62">
        <f t="shared" si="8"/>
        <v>4.5499999999999999E-2</v>
      </c>
      <c r="Z73" s="62">
        <f t="shared" si="9"/>
        <v>23.334099999999999</v>
      </c>
      <c r="AA73" s="62">
        <f t="shared" si="10"/>
        <v>23.288599999999999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0161-14</v>
      </c>
      <c r="AE73" s="85" t="str">
        <f t="shared" si="12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73" s="82" t="str">
        <f t="shared" si="13"/>
        <v>"C:\Program Files (x86)\AstroGrep\AstroGrep.exe" /e /r /s /spath="%USERPROFILE%\AppData\Local\Temp\OnboardLogs" /stypes="app*4004*20170414*"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161-14 --locoid 4004 --swversion DE.1.0.9.0 --startMP 204:455 --initTime 2017-04-14T11:09:35 --startdatetime 2017-04-14T11:15:20 --delay 1 --endMP 204:233341 --enddatetime 2017-04-14T11:50:22 --enforcementcount 0 &gt;&gt;C:\Users\stu\Documents\GitHub\eaglep3-reporting\EC\2017-04-14-refined-times.txt</v>
      </c>
      <c r="AI73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{"issue":{"subject":"","project_id":79,"tracker_id":40,"status_id":1,"priority_id":2,"assigned_to_id":23,"start_date":"2017-04-14","description":"","custom_fields":[{"id":1,"name":"Subdivision","value":"EC"},{"id":4,"name":"Milepost","value":"23.3341"},{"id":17,"name":"Train ID","value":"161-14"},{"id":16,"name":"Locomotive ID","value":"4004"},{"id":130,"name":"Impact","value":""},{"id":150,"name":"Time of Event (Mountain Time)","value":"11:50:22"},{"id":151,"name":"Denver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4004 --day 2017-04-14</v>
      </c>
      <c r="AN73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744</v>
      </c>
      <c r="B74" s="7">
        <v>4003</v>
      </c>
      <c r="C74" s="21" t="s">
        <v>214</v>
      </c>
      <c r="D74" s="21" t="s">
        <v>467</v>
      </c>
      <c r="E74" s="13">
        <v>42839.499745370369</v>
      </c>
      <c r="F74" s="13">
        <v>42839.507870370369</v>
      </c>
      <c r="G74" s="7">
        <v>1</v>
      </c>
      <c r="H74" s="21" t="s">
        <v>519</v>
      </c>
      <c r="I74" s="13">
        <v>42839.534699074073</v>
      </c>
      <c r="J74" s="7">
        <v>0</v>
      </c>
      <c r="K74" s="97" t="str">
        <f t="shared" si="0"/>
        <v>4003/4004</v>
      </c>
      <c r="L74" s="21" t="str">
        <f>VLOOKUP(A74,'Trips&amp;Operators'!$C$1:$G$99999,5,FALSE)</f>
        <v>WHITED DUSTIN</v>
      </c>
      <c r="M74" s="6">
        <f t="shared" si="1"/>
        <v>2.6828703703358769E-2</v>
      </c>
      <c r="N74" s="7">
        <f t="shared" si="2"/>
        <v>38.633333332836628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-14T10:59:38-0600',mode:absolute,to:'2017-04-14T13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83" t="str">
        <f t="shared" si="6"/>
        <v>N</v>
      </c>
      <c r="X74" s="183">
        <f t="shared" si="7"/>
        <v>1</v>
      </c>
      <c r="Y74" s="62">
        <f t="shared" si="8"/>
        <v>23.297999999999998</v>
      </c>
      <c r="Z74" s="62">
        <f t="shared" si="9"/>
        <v>1.2999999999999999E-2</v>
      </c>
      <c r="AA74" s="62">
        <f t="shared" si="10"/>
        <v>23.284999999999997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0162-14</v>
      </c>
      <c r="AE74" s="85" t="str">
        <f t="shared" si="12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74" s="82" t="str">
        <f t="shared" si="13"/>
        <v>"C:\Program Files (x86)\AstroGrep\AstroGrep.exe" /e /r /s /spath="%USERPROFILE%\AppData\Local\Temp\OnboardLogs" /stypes="app*4003*20170414*"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162-14 --locoid 4003 --swversion DE.1.0.9.0 --startMP 204:232980 --initTime 2017-04-14T11:59:38 --startdatetime 2017-04-14T12:11:20 --delay 1 --endMP 204:130 --enddatetime 2017-04-14T12:49:58 --enforcementcount 0 &gt;&gt;C:\Users\stu\Documents\GitHub\eaglep3-reporting\EC\2017-04-14-refined-times.txt</v>
      </c>
      <c r="AI74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{"issue":{"subject":"","project_id":79,"tracker_id":40,"status_id":1,"priority_id":2,"assigned_to_id":23,"start_date":"2017-04-14","description":"","custom_fields":[{"id":1,"name":"Subdivision","value":"EC"},{"id":4,"name":"Milepost","value":"0.013"},{"id":17,"name":"Train ID","value":"162-14"},{"id":16,"name":"Locomotive ID","value":"4003"},{"id":130,"name":"Impact","value":""},{"id":150,"name":"Time of Event (Mountain Time)","value":"12:49:58"},{"id":151,"name":"Denver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4003 --day 2017-04-14</v>
      </c>
      <c r="AN74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738</v>
      </c>
      <c r="B75" s="7">
        <v>4010</v>
      </c>
      <c r="C75" s="21" t="s">
        <v>214</v>
      </c>
      <c r="D75" s="21" t="s">
        <v>414</v>
      </c>
      <c r="E75" s="13">
        <v>42839.475983796299</v>
      </c>
      <c r="F75" s="13">
        <v>42839.47934027778</v>
      </c>
      <c r="G75" s="7">
        <v>1</v>
      </c>
      <c r="H75" s="21" t="s">
        <v>407</v>
      </c>
      <c r="I75" s="13">
        <v>42839.505810185183</v>
      </c>
      <c r="J75" s="7">
        <v>0</v>
      </c>
      <c r="K75" s="97" t="str">
        <f t="shared" si="0"/>
        <v>4009/4010</v>
      </c>
      <c r="L75" s="21" t="str">
        <f>VLOOKUP(A75,'Trips&amp;Operators'!$C$1:$G$99999,5,FALSE)</f>
        <v>CLARK KATHLEEN</v>
      </c>
      <c r="M75" s="6">
        <f t="shared" si="1"/>
        <v>2.6469907403225079E-2</v>
      </c>
      <c r="N75" s="7">
        <f t="shared" si="2"/>
        <v>38.116666660644114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-14T10:25:25-0600',mode:absolute,to:'2017-04-14T13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5" s="183" t="str">
        <f t="shared" si="6"/>
        <v>N</v>
      </c>
      <c r="X75" s="183">
        <f t="shared" si="7"/>
        <v>1</v>
      </c>
      <c r="Y75" s="62">
        <f t="shared" si="8"/>
        <v>4.7100000000000003E-2</v>
      </c>
      <c r="Z75" s="62">
        <f t="shared" si="9"/>
        <v>23.330400000000001</v>
      </c>
      <c r="AA75" s="62">
        <f t="shared" si="10"/>
        <v>23.283300000000001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0163-14</v>
      </c>
      <c r="AE75" s="85" t="str">
        <f t="shared" si="12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75" s="82" t="str">
        <f t="shared" si="13"/>
        <v>"C:\Program Files (x86)\AstroGrep\AstroGrep.exe" /e /r /s /spath="%USERPROFILE%\AppData\Local\Temp\OnboardLogs" /stypes="app*4010*20170414*"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163-14 --locoid 4010 --swversion DE.1.0.9.0 --startMP 204:471 --initTime 2017-04-14T11:25:25 --startdatetime 2017-04-14T11:30:15 --delay 1 --endMP 204:233304 --enddatetime 2017-04-14T12:08:22 --enforcementcount 0 &gt;&gt;C:\Users\stu\Documents\GitHub\eaglep3-reporting\EC\2017-04-14-refined-times.txt</v>
      </c>
      <c r="AI75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{"issue":{"subject":"","project_id":79,"tracker_id":40,"status_id":1,"priority_id":2,"assigned_to_id":23,"start_date":"2017-04-14","description":"","custom_fields":[{"id":1,"name":"Subdivision","value":"EC"},{"id":4,"name":"Milepost","value":"23.3304"},{"id":17,"name":"Train ID","value":"163-14"},{"id":16,"name":"Locomotive ID","value":"4010"},{"id":130,"name":"Impact","value":""},{"id":150,"name":"Time of Event (Mountain Time)","value":"12:08:22"},{"id":151,"name":"Denver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4010 --day 2017-04-14</v>
      </c>
      <c r="AN75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746</v>
      </c>
      <c r="B76" s="7">
        <v>4009</v>
      </c>
      <c r="C76" s="21" t="s">
        <v>214</v>
      </c>
      <c r="D76" s="21" t="s">
        <v>889</v>
      </c>
      <c r="E76" s="13">
        <v>42839.513425925928</v>
      </c>
      <c r="F76" s="13">
        <v>42839.518229166664</v>
      </c>
      <c r="G76" s="7">
        <v>1</v>
      </c>
      <c r="H76" s="21" t="s">
        <v>890</v>
      </c>
      <c r="I76" s="13">
        <v>42839.547673611109</v>
      </c>
      <c r="J76" s="7">
        <v>0</v>
      </c>
      <c r="K76" s="97" t="str">
        <f t="shared" si="0"/>
        <v>4009/4010</v>
      </c>
      <c r="L76" s="21" t="str">
        <f>VLOOKUP(A76,'Trips&amp;Operators'!$C$1:$G$99999,5,FALSE)</f>
        <v>CLARK KATHLEEN</v>
      </c>
      <c r="M76" s="6">
        <f t="shared" si="1"/>
        <v>2.9444444444379769E-2</v>
      </c>
      <c r="N76" s="7">
        <f t="shared" si="2"/>
        <v>42.399999999906868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-14T11:19:20-0600',mode:absolute,to:'2017-04-14T14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183" t="str">
        <f t="shared" si="6"/>
        <v>N</v>
      </c>
      <c r="X76" s="183">
        <f t="shared" si="7"/>
        <v>1</v>
      </c>
      <c r="Y76" s="62">
        <f t="shared" si="8"/>
        <v>23.297899999999998</v>
      </c>
      <c r="Z76" s="62">
        <f t="shared" si="9"/>
        <v>1.89E-2</v>
      </c>
      <c r="AA76" s="62">
        <f t="shared" si="10"/>
        <v>23.279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0164-14</v>
      </c>
      <c r="AE76" s="85" t="str">
        <f t="shared" si="12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76" s="82" t="str">
        <f t="shared" si="13"/>
        <v>"C:\Program Files (x86)\AstroGrep\AstroGrep.exe" /e /r /s /spath="%USERPROFILE%\AppData\Local\Temp\OnboardLogs" /stypes="app*4009*20170414*"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164-14 --locoid 4009 --swversion DE.1.0.9.0 --startMP 204:232979 --initTime 2017-04-14T12:19:20 --startdatetime 2017-04-14T12:26:15 --delay 1 --endMP 204:189 --enddatetime 2017-04-14T13:08:39 --enforcementcount 0 &gt;&gt;C:\Users\stu\Documents\GitHub\eaglep3-reporting\EC\2017-04-14-refined-times.txt</v>
      </c>
      <c r="AI76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{"issue":{"subject":"","project_id":79,"tracker_id":40,"status_id":1,"priority_id":2,"assigned_to_id":23,"start_date":"2017-04-14","description":"","custom_fields":[{"id":1,"name":"Subdivision","value":"EC"},{"id":4,"name":"Milepost","value":"0.0189"},{"id":17,"name":"Train ID","value":"164-14"},{"id":16,"name":"Locomotive ID","value":"4009"},{"id":130,"name":"Impact","value":""},{"id":150,"name":"Time of Event (Mountain Time)","value":"13:08:39"},{"id":151,"name":"Denver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4009 --day 2017-04-14</v>
      </c>
      <c r="AN76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637</v>
      </c>
      <c r="B77" s="7">
        <v>4032</v>
      </c>
      <c r="C77" s="21" t="s">
        <v>214</v>
      </c>
      <c r="D77" s="21" t="s">
        <v>471</v>
      </c>
      <c r="E77" s="13">
        <v>42839.486087962963</v>
      </c>
      <c r="F77" s="13">
        <v>42839.489791666667</v>
      </c>
      <c r="G77" s="7">
        <v>2</v>
      </c>
      <c r="H77" s="21" t="s">
        <v>547</v>
      </c>
      <c r="I77" s="13">
        <v>42839.515011574076</v>
      </c>
      <c r="J77" s="7">
        <v>0</v>
      </c>
      <c r="K77" s="97" t="str">
        <f t="shared" ref="K77:K140" si="23">IF(ISEVEN(B77),(B77-1)&amp;"/"&amp;B77,B77&amp;"/"&amp;(B77+1))</f>
        <v>4031/4032</v>
      </c>
      <c r="L77" s="21" t="str">
        <f>VLOOKUP(A77,'Trips&amp;Operators'!$C$1:$G$99999,5,FALSE)</f>
        <v>BRUDER RICHARD</v>
      </c>
      <c r="M77" s="6">
        <f t="shared" ref="M77:M140" si="24">I77-F77</f>
        <v>2.5219907409336884E-2</v>
      </c>
      <c r="N77" s="7">
        <f t="shared" ref="N77:P140" si="25">24*60*SUM($M77:$M77)</f>
        <v>36.316666669445112</v>
      </c>
      <c r="O77" s="7"/>
      <c r="P77" s="7"/>
      <c r="Q77" s="22"/>
      <c r="R77" s="22"/>
      <c r="S77" s="31">
        <f t="shared" ref="S77:S140" si="26">SUM(U77:U77)/IF(AG77="EC",12,1)</f>
        <v>1</v>
      </c>
      <c r="T77" s="46" t="str">
        <f t="shared" ref="T77:T140" si="27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-14T10:39:58-0600',mode:absolute,to:'2017-04-14T13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83" t="str">
        <f t="shared" ref="W77:W140" si="29">IF(AA77&lt;IF(AG77="EC",23,5.65),"Y","N")</f>
        <v>N</v>
      </c>
      <c r="X77" s="183">
        <f t="shared" ref="X77:X140" si="30">VALUE(LEFT(AD77,4))-VALUE(LEFT(AD76,4))</f>
        <v>1</v>
      </c>
      <c r="Y77" s="62">
        <f t="shared" ref="Y77:Y140" si="31">RIGHT(D77,LEN(D77)-4)/10000</f>
        <v>4.6399999999999997E-2</v>
      </c>
      <c r="Z77" s="62">
        <f t="shared" ref="Z77:Z140" si="32">RIGHT(H77,LEN(H77)-4)/10000</f>
        <v>23.330500000000001</v>
      </c>
      <c r="AA77" s="62">
        <f t="shared" ref="AA77:AA140" si="33">ABS(Z77-Y77)</f>
        <v>23.284100000000002</v>
      </c>
      <c r="AB77" s="59" t="str">
        <f>VLOOKUP(A77,Enforcements!$C$7:$K$13,8,0)</f>
        <v>Speed (6)</v>
      </c>
      <c r="AC77" s="55" t="str">
        <f>VLOOKUP(A77,Enforcements!$C$7:$E$13,3,0)</f>
        <v>PERMANENT SPEED RESTRICTION</v>
      </c>
      <c r="AD77" s="56" t="str">
        <f t="shared" ref="AD77:AD140" si="34">IF(LEN(A77)=6,"0"&amp;A77,A77)</f>
        <v>0165-14</v>
      </c>
      <c r="AE77" s="85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77" s="82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/stypes="app*4032*20170414*" /stext=" 18:.+((SYSTEM_STATE.+slice.+state.+changed )|(ment ac)|(multiple cpu faults)|(system.+state.+changed )|(\[timeout)|(PRM\|1\|D)|(kpr)|(kdp)|(\|lc)|(penalty))"</v>
      </c>
      <c r="AG77" s="1" t="str">
        <f t="shared" ref="AG77:AG140" si="37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165-14 --locoid 4032 --swversion DE.1.0.9.0 --startMP 204:464 --initTime 2017-04-14T11:39:58 --startdatetime 2017-04-14T11:45:18 --delay 2 --endMP 204:233305 --enddatetime 2017-04-14T12:21:37 --enforcementcount 0 &gt;&gt;C:\Users\stu\Documents\GitHub\eaglep3-reporting\EC\2017-04-14-refined-times.txt</v>
      </c>
      <c r="AI77" s="104" t="str">
        <f t="shared" si="20"/>
        <v>echo {"issue":{"subject":"","project_id":79,"tracker_id":40,"status_id":1,"priority_id":2,"assigned_to_id":23,"start_date":"2017-04-14","description":"","custom_fields":[{"id":1,"name":"Subdivision","value":"EC"},{"id":4,"name":"Milepost","value":"23.3305"},{"id":17,"name":"Train ID","value":"165-14"},{"id":16,"name":"Locomotive ID","value":"4032"},{"id":130,"name":"Impact","value":""},{"id":150,"name":"Time of Event (Mountain Time)","value":"12:21:37"},{"id":151,"name":"Denver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4032 --day 2017-04-14</v>
      </c>
      <c r="AN77" s="159" t="str">
        <f t="shared" si="22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749</v>
      </c>
      <c r="B78" s="7">
        <v>4031</v>
      </c>
      <c r="C78" s="21" t="s">
        <v>214</v>
      </c>
      <c r="D78" s="21" t="s">
        <v>467</v>
      </c>
      <c r="E78" s="13">
        <v>42839.52511574074</v>
      </c>
      <c r="F78" s="13">
        <v>42839.528657407405</v>
      </c>
      <c r="G78" s="7">
        <v>2</v>
      </c>
      <c r="H78" s="21" t="s">
        <v>203</v>
      </c>
      <c r="I78" s="13">
        <v>42839.556203703702</v>
      </c>
      <c r="J78" s="7">
        <v>0</v>
      </c>
      <c r="K78" s="97" t="str">
        <f t="shared" si="23"/>
        <v>4031/4032</v>
      </c>
      <c r="L78" s="21" t="str">
        <f>VLOOKUP(A78,'Trips&amp;Operators'!$C$1:$G$99999,5,FALSE)</f>
        <v>BRUDER RICHARD</v>
      </c>
      <c r="M78" s="6">
        <f t="shared" si="24"/>
        <v>2.7546296296350192E-2</v>
      </c>
      <c r="N78" s="7">
        <f t="shared" si="25"/>
        <v>39.666666666744277</v>
      </c>
      <c r="O78" s="7"/>
      <c r="P78" s="7"/>
      <c r="Q78" s="22"/>
      <c r="R78" s="22"/>
      <c r="S78" s="31">
        <f t="shared" si="26"/>
        <v>1</v>
      </c>
      <c r="T78" s="46" t="str">
        <f t="shared" si="27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28"/>
        <v>https://d0f6bd738d7f1b3e5a7ca70fe4ff75f0.us-east-1.aws.found.io/app/kibana#/discover/Steve-Slow-Train-Analysis-(2080s-and-2083s)?_g=(refreshInterval:(display:Off,pause:!f,section:0,value:0),time:(from:'2017-04-14T11:36:10-0600',mode:absolute,to:'2017-04-14T14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83" t="str">
        <f t="shared" si="29"/>
        <v>N</v>
      </c>
      <c r="X78" s="183">
        <f t="shared" si="30"/>
        <v>1</v>
      </c>
      <c r="Y78" s="62">
        <f t="shared" si="31"/>
        <v>23.297999999999998</v>
      </c>
      <c r="Z78" s="62">
        <f t="shared" si="32"/>
        <v>1.54E-2</v>
      </c>
      <c r="AA78" s="62">
        <f t="shared" si="33"/>
        <v>23.282599999999999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4"/>
        <v>0166-14</v>
      </c>
      <c r="AE78" s="85" t="str">
        <f t="shared" si="35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78" s="82" t="str">
        <f t="shared" si="36"/>
        <v>"C:\Program Files (x86)\AstroGrep\AstroGrep.exe" /e /r /s /spath="%USERPROFILE%\AppData\Local\Temp\OnboardLogs" /stypes="app*4031*20170414*" /stext=" 19:.+((SYSTEM_STATE.+slice.+state.+changed )|(ment ac)|(multiple cpu faults)|(system.+state.+changed )|(\[timeout)|(PRM\|1\|D)|(kpr)|(kdp)|(\|lc)|(penalty))"</v>
      </c>
      <c r="AG78" s="1" t="str">
        <f t="shared" si="37"/>
        <v>EC</v>
      </c>
      <c r="AH78" s="86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166-14 --locoid 4031 --swversion DE.1.0.9.0 --startMP 204:232980 --initTime 2017-04-14T12:36:10 --startdatetime 2017-04-14T12:41:16 --delay 2 --endMP 204:154 --enddatetime 2017-04-14T13:20:56 --enforcementcount 0 &gt;&gt;C:\Users\stu\Documents\GitHub\eaglep3-reporting\EC\2017-04-14-refined-times.txt</v>
      </c>
      <c r="AI78" s="104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{"issue":{"subject":"","project_id":79,"tracker_id":40,"status_id":1,"priority_id":2,"assigned_to_id":23,"start_date":"2017-04-14","description":"","custom_fields":[{"id":1,"name":"Subdivision","value":"EC"},{"id":4,"name":"Milepost","value":"0.0154"},{"id":17,"name":"Train ID","value":"166-14"},{"id":16,"name":"Locomotive ID","value":"4031"},{"id":130,"name":"Impact","value":""},{"id":150,"name":"Time of Event (Mountain Time)","value":"13:20:56"},{"id":151,"name":"Denver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0">"start /low /b "&amp;dls3logs&amp;" --loco "&amp;B78&amp;" --day "&amp;TEXT(F78,"YYYY-MM-DD")</f>
        <v>start /low /b %USERPROFILE%\Documents\GitHub\eaglep3\Utilities\DownloadLogsFromS3.py --loco 4031 --day 2017-04-14</v>
      </c>
      <c r="AN78" s="159" t="str">
        <f t="shared" ref="AN78:AN141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742</v>
      </c>
      <c r="B79" s="7">
        <v>4040</v>
      </c>
      <c r="C79" s="21" t="s">
        <v>214</v>
      </c>
      <c r="D79" s="21" t="s">
        <v>891</v>
      </c>
      <c r="E79" s="13">
        <v>42839.495833333334</v>
      </c>
      <c r="F79" s="13">
        <v>42839.500254629631</v>
      </c>
      <c r="G79" s="7">
        <v>2</v>
      </c>
      <c r="H79" s="21" t="s">
        <v>469</v>
      </c>
      <c r="I79" s="13">
        <v>42839.52685185185</v>
      </c>
      <c r="J79" s="7">
        <v>0</v>
      </c>
      <c r="K79" s="97" t="str">
        <f t="shared" si="23"/>
        <v>4039/4040</v>
      </c>
      <c r="L79" s="21" t="str">
        <f>VLOOKUP(A79,'Trips&amp;Operators'!$C$1:$G$99999,5,FALSE)</f>
        <v>MENGES BRAD</v>
      </c>
      <c r="M79" s="6">
        <f t="shared" si="24"/>
        <v>2.6597222218697425E-2</v>
      </c>
      <c r="N79" s="7">
        <f t="shared" si="25"/>
        <v>38.299999994924292</v>
      </c>
      <c r="O79" s="7"/>
      <c r="P79" s="7"/>
      <c r="Q79" s="22"/>
      <c r="R79" s="22"/>
      <c r="S79" s="31">
        <f t="shared" si="26"/>
        <v>1</v>
      </c>
      <c r="T79" s="46" t="str">
        <f t="shared" si="27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28"/>
        <v>https://d0f6bd738d7f1b3e5a7ca70fe4ff75f0.us-east-1.aws.found.io/app/kibana#/discover/Steve-Slow-Train-Analysis-(2080s-and-2083s)?_g=(refreshInterval:(display:Off,pause:!f,section:0,value:0),time:(from:'2017-04-14T10:54:00-0600',mode:absolute,to:'2017-04-14T13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183" t="str">
        <f t="shared" si="29"/>
        <v>N</v>
      </c>
      <c r="X79" s="183">
        <f t="shared" si="30"/>
        <v>1</v>
      </c>
      <c r="Y79" s="62">
        <f t="shared" si="31"/>
        <v>4.4400000000000002E-2</v>
      </c>
      <c r="Z79" s="62">
        <f t="shared" si="32"/>
        <v>23.3291</v>
      </c>
      <c r="AA79" s="62">
        <f t="shared" si="33"/>
        <v>23.284700000000001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4"/>
        <v>0167-14</v>
      </c>
      <c r="AE79" s="85" t="str">
        <f t="shared" si="35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79" s="82" t="str">
        <f t="shared" si="36"/>
        <v>"C:\Program Files (x86)\AstroGrep\AstroGrep.exe" /e /r /s /spath="%USERPROFILE%\AppData\Local\Temp\OnboardLogs" /stypes="app*4040*20170414*" /stext=" 18:.+((SYSTEM_STATE.+slice.+state.+changed )|(ment ac)|(multiple cpu faults)|(system.+state.+changed )|(\[timeout)|(PRM\|1\|D)|(kpr)|(kdp)|(\|lc)|(penalty))"</v>
      </c>
      <c r="AG79" s="1" t="str">
        <f t="shared" si="37"/>
        <v>EC</v>
      </c>
      <c r="AH79" s="86" t="str">
        <f t="shared" si="38"/>
        <v>"%USERPROFILE%\Documents\GitHub\eaglep3\Utilities\RefineRTDCRunTimes.py" --tripid 167-14 --locoid 4040 --swversion DE.1.0.9.0 --startMP 204:444 --initTime 2017-04-14T11:54:00 --startdatetime 2017-04-14T12:00:22 --delay 2 --endMP 204:233291 --enddatetime 2017-04-14T12:38:40 --enforcementcount 0 &gt;&gt;C:\Users\stu\Documents\GitHub\eaglep3-reporting\EC\2017-04-14-refined-times.txt</v>
      </c>
      <c r="AI79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{"issue":{"subject":"","project_id":79,"tracker_id":40,"status_id":1,"priority_id":2,"assigned_to_id":23,"start_date":"2017-04-14","description":"","custom_fields":[{"id":1,"name":"Subdivision","value":"EC"},{"id":4,"name":"Milepost","value":"23.3291"},{"id":17,"name":"Train ID","value":"167-14"},{"id":16,"name":"Locomotive ID","value":"4040"},{"id":130,"name":"Impact","value":""},{"id":150,"name":"Time of Event (Mountain Time)","value":"12:38:40"},{"id":151,"name":"Denver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0"/>
        <v>start /low /b %USERPROFILE%\Documents\GitHub\eaglep3\Utilities\DownloadLogsFromS3.py --loco 4040 --day 2017-04-14</v>
      </c>
      <c r="AN79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753</v>
      </c>
      <c r="B80" s="7">
        <v>4039</v>
      </c>
      <c r="C80" s="21" t="s">
        <v>214</v>
      </c>
      <c r="D80" s="21" t="s">
        <v>491</v>
      </c>
      <c r="E80" s="13">
        <v>42839.535254629627</v>
      </c>
      <c r="F80" s="13">
        <v>42839.539224537039</v>
      </c>
      <c r="G80" s="7">
        <v>2</v>
      </c>
      <c r="H80" s="21" t="s">
        <v>198</v>
      </c>
      <c r="I80" s="13">
        <v>42839.566134259258</v>
      </c>
      <c r="J80" s="7">
        <v>0</v>
      </c>
      <c r="K80" s="97" t="str">
        <f t="shared" si="23"/>
        <v>4039/4040</v>
      </c>
      <c r="L80" s="21" t="str">
        <f>VLOOKUP(A80,'Trips&amp;Operators'!$C$1:$G$99999,5,FALSE)</f>
        <v>MENGES BRAD</v>
      </c>
      <c r="M80" s="6">
        <f t="shared" si="24"/>
        <v>2.6909722218988463E-2</v>
      </c>
      <c r="N80" s="7">
        <f t="shared" si="25"/>
        <v>38.749999995343387</v>
      </c>
      <c r="O80" s="7"/>
      <c r="P80" s="7"/>
      <c r="Q80" s="22"/>
      <c r="R80" s="22"/>
      <c r="S80" s="31">
        <f t="shared" si="26"/>
        <v>1</v>
      </c>
      <c r="T80" s="46" t="str">
        <f t="shared" si="27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28"/>
        <v>https://d0f6bd738d7f1b3e5a7ca70fe4ff75f0.us-east-1.aws.found.io/app/kibana#/discover/Steve-Slow-Train-Analysis-(2080s-and-2083s)?_g=(refreshInterval:(display:Off,pause:!f,section:0,value:0),time:(from:'2017-04-14T11:50:46-0600',mode:absolute,to:'2017-04-14T14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183" t="str">
        <f t="shared" si="29"/>
        <v>N</v>
      </c>
      <c r="X80" s="183">
        <f t="shared" si="30"/>
        <v>1</v>
      </c>
      <c r="Y80" s="62">
        <f t="shared" si="31"/>
        <v>23.2972</v>
      </c>
      <c r="Z80" s="62">
        <f t="shared" si="32"/>
        <v>1.5800000000000002E-2</v>
      </c>
      <c r="AA80" s="62">
        <f t="shared" si="33"/>
        <v>23.281400000000001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4"/>
        <v>0168-14</v>
      </c>
      <c r="AE80" s="85" t="str">
        <f t="shared" si="35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80" s="82" t="str">
        <f t="shared" si="36"/>
        <v>"C:\Program Files (x86)\AstroGrep\AstroGrep.exe" /e /r /s /spath="%USERPROFILE%\AppData\Local\Temp\OnboardLogs" /stypes="app*4039*20170414*" /stext=" 19:.+((SYSTEM_STATE.+slice.+state.+changed )|(ment ac)|(multiple cpu faults)|(system.+state.+changed )|(\[timeout)|(PRM\|1\|D)|(kpr)|(kdp)|(\|lc)|(penalty))"</v>
      </c>
      <c r="AG80" s="1" t="str">
        <f t="shared" si="37"/>
        <v>EC</v>
      </c>
      <c r="AH80" s="86" t="str">
        <f t="shared" si="38"/>
        <v>"%USERPROFILE%\Documents\GitHub\eaglep3\Utilities\RefineRTDCRunTimes.py" --tripid 168-14 --locoid 4039 --swversion DE.1.0.9.0 --startMP 204:232972 --initTime 2017-04-14T12:50:46 --startdatetime 2017-04-14T12:56:29 --delay 2 --endMP 204:158 --enddatetime 2017-04-14T13:35:14 --enforcementcount 0 &gt;&gt;C:\Users\stu\Documents\GitHub\eaglep3-reporting\EC\2017-04-14-refined-times.txt</v>
      </c>
      <c r="AI80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{"issue":{"subject":"","project_id":79,"tracker_id":40,"status_id":1,"priority_id":2,"assigned_to_id":23,"start_date":"2017-04-14","description":"","custom_fields":[{"id":1,"name":"Subdivision","value":"EC"},{"id":4,"name":"Milepost","value":"0.0158"},{"id":17,"name":"Train ID","value":"168-14"},{"id":16,"name":"Locomotive ID","value":"4039"},{"id":130,"name":"Impact","value":""},{"id":150,"name":"Time of Event (Mountain Time)","value":"13:35:14"},{"id":151,"name":"Denver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40"/>
        <v>start /low /b %USERPROFILE%\Documents\GitHub\eaglep3\Utilities\DownloadLogsFromS3.py --loco 4039 --day 2017-04-14</v>
      </c>
      <c r="AN80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745</v>
      </c>
      <c r="B81" s="7">
        <v>4020</v>
      </c>
      <c r="C81" s="21" t="s">
        <v>214</v>
      </c>
      <c r="D81" s="21" t="s">
        <v>892</v>
      </c>
      <c r="E81" s="13">
        <v>42839.514363425929</v>
      </c>
      <c r="F81" s="13">
        <v>42839.515335648146</v>
      </c>
      <c r="G81" s="7">
        <v>1</v>
      </c>
      <c r="H81" s="21" t="s">
        <v>871</v>
      </c>
      <c r="I81" s="13">
        <v>42839.537708333337</v>
      </c>
      <c r="J81" s="7">
        <v>0</v>
      </c>
      <c r="K81" s="97" t="str">
        <f t="shared" si="23"/>
        <v>4019/4020</v>
      </c>
      <c r="L81" s="21" t="str">
        <f>VLOOKUP(A81,'Trips&amp;Operators'!$C$1:$G$99999,5,FALSE)</f>
        <v>BRANDNER MELINDA</v>
      </c>
      <c r="M81" s="6">
        <f t="shared" si="24"/>
        <v>2.2372685190930497E-2</v>
      </c>
      <c r="N81" s="7"/>
      <c r="O81" s="7"/>
      <c r="P81" s="7">
        <f t="shared" si="25"/>
        <v>32.216666674939916</v>
      </c>
      <c r="Q81" s="22"/>
      <c r="R81" s="22" t="s">
        <v>1026</v>
      </c>
      <c r="S81" s="31">
        <f t="shared" si="26"/>
        <v>1</v>
      </c>
      <c r="T81" s="46" t="str">
        <f t="shared" si="27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28"/>
        <v>https://d0f6bd738d7f1b3e5a7ca70fe4ff75f0.us-east-1.aws.found.io/app/kibana#/discover/Steve-Slow-Train-Analysis-(2080s-and-2083s)?_g=(refreshInterval:(display:Off,pause:!f,section:0,value:0),time:(from:'2017-04-14T11:20:41-0600',mode:absolute,to:'2017-04-14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183" t="str">
        <f t="shared" si="29"/>
        <v>Y</v>
      </c>
      <c r="X81" s="183">
        <f t="shared" si="30"/>
        <v>1</v>
      </c>
      <c r="Y81" s="62">
        <f t="shared" si="31"/>
        <v>1.9145000000000001</v>
      </c>
      <c r="Z81" s="62">
        <f t="shared" si="32"/>
        <v>23.329899999999999</v>
      </c>
      <c r="AA81" s="62">
        <f t="shared" si="33"/>
        <v>21.415399999999998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4"/>
        <v>0169-14</v>
      </c>
      <c r="AE81" s="85" t="str">
        <f t="shared" si="35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81" s="82" t="str">
        <f t="shared" si="36"/>
        <v>"C:\Program Files (x86)\AstroGrep\AstroGrep.exe" /e /r /s /spath="%USERPROFILE%\AppData\Local\Temp\OnboardLogs" /stypes="app*4020*20170414*" /stext=" 18:.+((SYSTEM_STATE.+slice.+state.+changed )|(ment ac)|(multiple cpu faults)|(system.+state.+changed )|(\[timeout)|(PRM\|1\|D)|(kpr)|(kdp)|(\|lc)|(penalty))"</v>
      </c>
      <c r="AG81" s="1" t="str">
        <f t="shared" si="37"/>
        <v>EC</v>
      </c>
      <c r="AH81" s="86" t="str">
        <f t="shared" si="38"/>
        <v>"%USERPROFILE%\Documents\GitHub\eaglep3\Utilities\RefineRTDCRunTimes.py" --tripid 169-14 --locoid 4020 --swversion DE.1.0.9.0 --startMP 204:19145 --initTime 2017-04-14T12:20:41 --startdatetime 2017-04-14T12:22:05 --delay 1 --endMP 204:233299 --enddatetime 2017-04-14T12:54:18 --enforcementcount 0 &gt;&gt;C:\Users\stu\Documents\GitHub\eaglep3-reporting\EC\2017-04-14-refined-times.txt</v>
      </c>
      <c r="AI81" s="104" t="str">
        <f t="shared" si="39"/>
        <v>echo {"issue":{"subject":"Selected wrong track","project_id":79,"tracker_id":40,"status_id":1,"priority_id":2,"assigned_to_id":23,"start_date":"2017-04-14","description":"","custom_fields":[{"id":1,"name":"Subdivision","value":"EC"},{"id":4,"name":"Milepost","value":"23.3299"},{"id":17,"name":"Train ID","value":"169-14"},{"id":16,"name":"Locomotive ID","value":"4020"},{"id":130,"name":"Impact","value":""},{"id":150,"name":"Time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0"/>
        <v>start /low /b %USERPROFILE%\Documents\GitHub\eaglep3\Utilities\DownloadLogsFromS3.py --loco 4020 --day 2017-04-14</v>
      </c>
      <c r="AN81" s="159" t="str">
        <f t="shared" si="41"/>
        <v>echo {"issue":{"subject":"Selected wrong track","project_id":30,"tracker_id":4,"status_id":1,"priority_id":1,"assigned_to_id":10,"start_date":"2017-04-14","description":"","custom_fields":[{"id":30,"name":"Category","value":"Issue"},{"id":3,"name":"Functional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745</v>
      </c>
      <c r="B82" s="7">
        <v>4020</v>
      </c>
      <c r="C82" s="21" t="s">
        <v>214</v>
      </c>
      <c r="D82" s="21" t="s">
        <v>606</v>
      </c>
      <c r="E82" s="13">
        <v>42839.506388888891</v>
      </c>
      <c r="F82" s="13">
        <v>42839.515335648146</v>
      </c>
      <c r="G82" s="7">
        <v>1</v>
      </c>
      <c r="H82" s="21" t="s">
        <v>893</v>
      </c>
      <c r="I82" s="13">
        <v>42839.537708333337</v>
      </c>
      <c r="J82" s="7">
        <v>0</v>
      </c>
      <c r="K82" s="97" t="str">
        <f t="shared" si="23"/>
        <v>4019/4020</v>
      </c>
      <c r="L82" s="21" t="str">
        <f>VLOOKUP(A82,'Trips&amp;Operators'!$C$1:$G$99999,5,FALSE)</f>
        <v>BRANDNER MELINDA</v>
      </c>
      <c r="M82" s="6">
        <f t="shared" si="24"/>
        <v>2.2372685190930497E-2</v>
      </c>
      <c r="N82" s="7"/>
      <c r="O82" s="7"/>
      <c r="P82" s="7"/>
      <c r="Q82" s="22"/>
      <c r="R82" s="22"/>
      <c r="S82" s="31"/>
      <c r="T82" s="46" t="str">
        <f t="shared" si="27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182" t="str">
        <f t="shared" si="28"/>
        <v>https://d0f6bd738d7f1b3e5a7ca70fe4ff75f0.us-east-1.aws.found.io/app/kibana#/discover/Steve-Slow-Train-Analysis-(2080s-and-2083s)?_g=(refreshInterval:(display:Off,pause:!f,section:0,value:0),time:(from:'2017-04-14T11:09:12-0600',mode:absolute,to:'2017-04-14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2" s="183" t="str">
        <f t="shared" si="29"/>
        <v>Y</v>
      </c>
      <c r="X82" s="183">
        <f t="shared" si="30"/>
        <v>0</v>
      </c>
      <c r="Y82" s="62">
        <f t="shared" si="31"/>
        <v>4.82E-2</v>
      </c>
      <c r="Z82" s="62">
        <f t="shared" si="32"/>
        <v>9.5799999999999996E-2</v>
      </c>
      <c r="AA82" s="62">
        <f t="shared" si="33"/>
        <v>4.7599999999999996E-2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4"/>
        <v>0169-14</v>
      </c>
      <c r="AE82" s="85" t="str">
        <f t="shared" si="35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82" s="82" t="str">
        <f t="shared" si="36"/>
        <v>"C:\Program Files (x86)\AstroGrep\AstroGrep.exe" /e /r /s /spath="%USERPROFILE%\AppData\Local\Temp\OnboardLogs" /stypes="app*4020*20170414*" /stext=" 18:.+((SYSTEM_STATE.+slice.+state.+changed )|(ment ac)|(multiple cpu faults)|(system.+state.+changed )|(\[timeout)|(PRM\|1\|D)|(kpr)|(kdp)|(\|lc)|(penalty))"</v>
      </c>
      <c r="AG82" s="1" t="str">
        <f t="shared" si="37"/>
        <v>EC</v>
      </c>
      <c r="AH82" s="86" t="str">
        <f t="shared" si="38"/>
        <v>"%USERPROFILE%\Documents\GitHub\eaglep3\Utilities\RefineRTDCRunTimes.py" --tripid 169-14 --locoid 4020 --swversion DE.1.0.9.0 --startMP 204:482 --initTime 2017-04-14T12:09:12 --startdatetime 2017-04-14T12:22:05 --delay 1 --endMP 204:958 --enddatetime 2017-04-14T12:54:18 --enforcementcount 0 &gt;&gt;C:\Users\stu\Documents\GitHub\eaglep3-reporting\EC\2017-04-14-refined-times.txt</v>
      </c>
      <c r="AI82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{"issue":{"subject":"","project_id":79,"tracker_id":40,"status_id":1,"priority_id":2,"assigned_to_id":23,"start_date":"2017-04-14","description":"","custom_fields":[{"id":1,"name":"Subdivision","value":"EC"},{"id":4,"name":"Milepost","value":"0.0958"},{"id":17,"name":"Train ID","value":"169-14"},{"id":16,"name":"Locomotive ID","value":"4020"},{"id":130,"name":"Impact","value":""},{"id":150,"name":"Time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0"/>
        <v>start /low /b %USERPROFILE%\Documents\GitHub\eaglep3\Utilities\DownloadLogsFromS3.py --loco 4020 --day 2017-04-14</v>
      </c>
      <c r="AN82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755</v>
      </c>
      <c r="B83" s="7">
        <v>4019</v>
      </c>
      <c r="C83" s="21" t="s">
        <v>214</v>
      </c>
      <c r="D83" s="21" t="s">
        <v>485</v>
      </c>
      <c r="E83" s="13">
        <v>42839.545057870368</v>
      </c>
      <c r="F83" s="13">
        <v>42839.549490740741</v>
      </c>
      <c r="G83" s="7">
        <v>1</v>
      </c>
      <c r="H83" s="21" t="s">
        <v>197</v>
      </c>
      <c r="I83" s="13">
        <v>42839.576921296299</v>
      </c>
      <c r="J83" s="7">
        <v>0</v>
      </c>
      <c r="K83" s="97" t="str">
        <f t="shared" si="23"/>
        <v>4019/4020</v>
      </c>
      <c r="L83" s="21" t="str">
        <f>VLOOKUP(A83,'Trips&amp;Operators'!$C$1:$G$99999,5,FALSE)</f>
        <v>BRANDNER MELINDA</v>
      </c>
      <c r="M83" s="6">
        <f t="shared" si="24"/>
        <v>2.7430555557657499E-2</v>
      </c>
      <c r="N83" s="7">
        <f t="shared" si="25"/>
        <v>39.500000003026798</v>
      </c>
      <c r="O83" s="7"/>
      <c r="P83" s="7"/>
      <c r="Q83" s="22"/>
      <c r="R83" s="22"/>
      <c r="S83" s="31">
        <f t="shared" si="26"/>
        <v>1</v>
      </c>
      <c r="T83" s="46" t="str">
        <f t="shared" si="27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28"/>
        <v>https://d0f6bd738d7f1b3e5a7ca70fe4ff75f0.us-east-1.aws.found.io/app/kibana#/discover/Steve-Slow-Train-Analysis-(2080s-and-2083s)?_g=(refreshInterval:(display:Off,pause:!f,section:0,value:0),time:(from:'2017-04-14T12:04:53-0600',mode:absolute,to:'2017-04-14T14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3" s="183" t="str">
        <f t="shared" si="29"/>
        <v>N</v>
      </c>
      <c r="X83" s="183">
        <f t="shared" si="30"/>
        <v>1</v>
      </c>
      <c r="Y83" s="62">
        <f t="shared" si="31"/>
        <v>23.2973</v>
      </c>
      <c r="Z83" s="62">
        <f t="shared" si="32"/>
        <v>1.52E-2</v>
      </c>
      <c r="AA83" s="62">
        <f t="shared" si="33"/>
        <v>23.2821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4"/>
        <v>0170-14</v>
      </c>
      <c r="AE83" s="85" t="str">
        <f t="shared" si="35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83" s="82" t="str">
        <f t="shared" si="36"/>
        <v>"C:\Program Files (x86)\AstroGrep\AstroGrep.exe" /e /r /s /spath="%USERPROFILE%\AppData\Local\Temp\OnboardLogs" /stypes="app*4019*20170414*" /stext=" 19:.+((SYSTEM_STATE.+slice.+state.+changed )|(ment ac)|(multiple cpu faults)|(system.+state.+changed )|(\[timeout)|(PRM\|1\|D)|(kpr)|(kdp)|(\|lc)|(penalty))"</v>
      </c>
      <c r="AG83" s="1" t="str">
        <f t="shared" si="37"/>
        <v>EC</v>
      </c>
      <c r="AH83" s="86" t="str">
        <f t="shared" si="38"/>
        <v>"%USERPROFILE%\Documents\GitHub\eaglep3\Utilities\RefineRTDCRunTimes.py" --tripid 170-14 --locoid 4019 --swversion DE.1.0.9.0 --startMP 204:232973 --initTime 2017-04-14T13:04:53 --startdatetime 2017-04-14T13:11:16 --delay 1 --endMP 204:152 --enddatetime 2017-04-14T13:50:46 --enforcementcount 0 &gt;&gt;C:\Users\stu\Documents\GitHub\eaglep3-reporting\EC\2017-04-14-refined-times.txt</v>
      </c>
      <c r="AI83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ID","value":"170-14"},{"id":16,"name":"Locomotive ID","value":"4019"},{"id":130,"name":"Impact","value":""},{"id":150,"name":"Time of Event (Mountain Time)","value":"13:50:46"},{"id":151,"name":"Denver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0"/>
        <v>start /low /b %USERPROFILE%\Documents\GitHub\eaglep3\Utilities\DownloadLogsFromS3.py --loco 4019 --day 2017-04-14</v>
      </c>
      <c r="AN83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747</v>
      </c>
      <c r="B84" s="7">
        <v>4046</v>
      </c>
      <c r="C84" s="21" t="s">
        <v>214</v>
      </c>
      <c r="D84" s="21" t="s">
        <v>471</v>
      </c>
      <c r="E84" s="13">
        <v>42839.517627314817</v>
      </c>
      <c r="F84" s="13">
        <v>42839.52103009259</v>
      </c>
      <c r="G84" s="7">
        <v>1</v>
      </c>
      <c r="H84" s="21" t="s">
        <v>603</v>
      </c>
      <c r="I84" s="13">
        <v>42839.546284722222</v>
      </c>
      <c r="J84" s="7">
        <v>0</v>
      </c>
      <c r="K84" s="97" t="str">
        <f t="shared" si="23"/>
        <v>4045/4046</v>
      </c>
      <c r="L84" s="21" t="str">
        <f>VLOOKUP(A84,'Trips&amp;Operators'!$C$1:$G$99999,5,FALSE)</f>
        <v>MCREYNOLDS KYLE</v>
      </c>
      <c r="M84" s="6">
        <f t="shared" si="24"/>
        <v>2.5254629632399883E-2</v>
      </c>
      <c r="N84" s="7">
        <f t="shared" si="25"/>
        <v>36.366666670655832</v>
      </c>
      <c r="O84" s="7"/>
      <c r="P84" s="7"/>
      <c r="Q84" s="22"/>
      <c r="R84" s="22"/>
      <c r="S84" s="31">
        <f t="shared" si="26"/>
        <v>1</v>
      </c>
      <c r="T84" s="46" t="str">
        <f t="shared" si="27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28"/>
        <v>https://d0f6bd738d7f1b3e5a7ca70fe4ff75f0.us-east-1.aws.found.io/app/kibana#/discover/Steve-Slow-Train-Analysis-(2080s-and-2083s)?_g=(refreshInterval:(display:Off,pause:!f,section:0,value:0),time:(from:'2017-04-14T11:25:23-0600',mode:absolute,to:'2017-04-14T14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83" t="str">
        <f t="shared" si="29"/>
        <v>N</v>
      </c>
      <c r="X84" s="183">
        <f t="shared" si="30"/>
        <v>1</v>
      </c>
      <c r="Y84" s="62">
        <f t="shared" si="31"/>
        <v>4.6399999999999997E-2</v>
      </c>
      <c r="Z84" s="62">
        <f t="shared" si="32"/>
        <v>23.331499999999998</v>
      </c>
      <c r="AA84" s="62">
        <f t="shared" si="33"/>
        <v>23.2851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4"/>
        <v>0171-14</v>
      </c>
      <c r="AE84" s="85" t="str">
        <f t="shared" si="35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84" s="82" t="str">
        <f t="shared" si="36"/>
        <v>"C:\Program Files (x86)\AstroGrep\AstroGrep.exe" /e /r /s /spath="%USERPROFILE%\AppData\Local\Temp\OnboardLogs" /stypes="app*4046*20170414*" /stext=" 19:.+((SYSTEM_STATE.+slice.+state.+changed )|(ment ac)|(multiple cpu faults)|(system.+state.+changed )|(\[timeout)|(PRM\|1\|D)|(kpr)|(kdp)|(\|lc)|(penalty))"</v>
      </c>
      <c r="AG84" s="1" t="str">
        <f t="shared" si="37"/>
        <v>EC</v>
      </c>
      <c r="AH84" s="86" t="str">
        <f t="shared" si="38"/>
        <v>"%USERPROFILE%\Documents\GitHub\eaglep3\Utilities\RefineRTDCRunTimes.py" --tripid 171-14 --locoid 4046 --swversion DE.1.0.9.0 --startMP 204:464 --initTime 2017-04-14T12:25:23 --startdatetime 2017-04-14T12:30:17 --delay 1 --endMP 204:233315 --enddatetime 2017-04-14T13:06:39 --enforcementcount 0 &gt;&gt;C:\Users\stu\Documents\GitHub\eaglep3-reporting\EC\2017-04-14-refined-times.txt</v>
      </c>
      <c r="AI84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{"issue":{"subject":"","project_id":79,"tracker_id":40,"status_id":1,"priority_id":2,"assigned_to_id":23,"start_date":"2017-04-14","description":"","custom_fields":[{"id":1,"name":"Subdivision","value":"EC"},{"id":4,"name":"Milepost","value":"23.3315"},{"id":17,"name":"Train ID","value":"171-14"},{"id":16,"name":"Locomotive ID","value":"4046"},{"id":130,"name":"Impact","value":""},{"id":150,"name":"Time of Event (Mountain Time)","value":"13:06:39"},{"id":151,"name":"Denver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0"/>
        <v>start /low /b %USERPROFILE%\Documents\GitHub\eaglep3\Utilities\DownloadLogsFromS3.py --loco 4046 --day 2017-04-14</v>
      </c>
      <c r="AN84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758</v>
      </c>
      <c r="B85" s="7">
        <v>4045</v>
      </c>
      <c r="C85" s="21" t="s">
        <v>214</v>
      </c>
      <c r="D85" s="21" t="s">
        <v>410</v>
      </c>
      <c r="E85" s="13">
        <v>42839.551319444443</v>
      </c>
      <c r="F85" s="13">
        <v>42839.559907407405</v>
      </c>
      <c r="G85" s="7">
        <v>1</v>
      </c>
      <c r="H85" s="21" t="s">
        <v>546</v>
      </c>
      <c r="I85" s="13">
        <v>42839.586828703701</v>
      </c>
      <c r="J85" s="7">
        <v>0</v>
      </c>
      <c r="K85" s="97" t="str">
        <f t="shared" si="23"/>
        <v>4045/4046</v>
      </c>
      <c r="L85" s="21" t="str">
        <f>VLOOKUP(A85,'Trips&amp;Operators'!$C$1:$G$99999,5,FALSE)</f>
        <v>MCREYNOLDS KYLE</v>
      </c>
      <c r="M85" s="6">
        <f t="shared" si="24"/>
        <v>2.6921296295768116E-2</v>
      </c>
      <c r="N85" s="7">
        <f t="shared" si="25"/>
        <v>38.766666665906087</v>
      </c>
      <c r="O85" s="7"/>
      <c r="P85" s="7"/>
      <c r="Q85" s="22"/>
      <c r="R85" s="22"/>
      <c r="S85" s="31">
        <f t="shared" si="26"/>
        <v>1</v>
      </c>
      <c r="T85" s="46" t="str">
        <f t="shared" si="27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28"/>
        <v>https://d0f6bd738d7f1b3e5a7ca70fe4ff75f0.us-east-1.aws.found.io/app/kibana#/discover/Steve-Slow-Train-Analysis-(2080s-and-2083s)?_g=(refreshInterval:(display:Off,pause:!f,section:0,value:0),time:(from:'2017-04-14T12:13:54-0600',mode:absolute,to:'2017-04-14T15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83" t="str">
        <f t="shared" si="29"/>
        <v>N</v>
      </c>
      <c r="X85" s="183">
        <f t="shared" si="30"/>
        <v>1</v>
      </c>
      <c r="Y85" s="62">
        <f t="shared" si="31"/>
        <v>23.2989</v>
      </c>
      <c r="Z85" s="62">
        <f t="shared" si="32"/>
        <v>1.3899999999999999E-2</v>
      </c>
      <c r="AA85" s="62">
        <f t="shared" si="33"/>
        <v>23.285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4"/>
        <v>0172-14</v>
      </c>
      <c r="AE85" s="85" t="str">
        <f t="shared" si="35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85" s="82" t="str">
        <f t="shared" si="36"/>
        <v>"C:\Program Files (x86)\AstroGrep\AstroGrep.exe" /e /r /s /spath="%USERPROFILE%\AppData\Local\Temp\OnboardLogs" /stypes="app*4045*20170414*" /stext=" 20:.+((SYSTEM_STATE.+slice.+state.+changed )|(ment ac)|(multiple cpu faults)|(system.+state.+changed )|(\[timeout)|(PRM\|1\|D)|(kpr)|(kdp)|(\|lc)|(penalty))"</v>
      </c>
      <c r="AG85" s="1" t="str">
        <f t="shared" si="37"/>
        <v>EC</v>
      </c>
      <c r="AH85" s="86" t="str">
        <f t="shared" si="38"/>
        <v>"%USERPROFILE%\Documents\GitHub\eaglep3\Utilities\RefineRTDCRunTimes.py" --tripid 172-14 --locoid 4045 --swversion DE.1.0.9.0 --startMP 204:232989 --initTime 2017-04-14T13:13:54 --startdatetime 2017-04-14T13:26:16 --delay 1 --endMP 204:139 --enddatetime 2017-04-14T14:05:02 --enforcementcount 0 &gt;&gt;C:\Users\stu\Documents\GitHub\eaglep3-reporting\EC\2017-04-14-refined-times.txt</v>
      </c>
      <c r="AI85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ID","value":"172-14"},{"id":16,"name":"Locomotive ID","value":"4045"},{"id":130,"name":"Impact","value":""},{"id":150,"name":"Time of Event (Mountain Time)","value":"14:05:02"},{"id":151,"name":"Denver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0"/>
        <v>start /low /b %USERPROFILE%\Documents\GitHub\eaglep3\Utilities\DownloadLogsFromS3.py --loco 4045 --day 2017-04-14</v>
      </c>
      <c r="AN85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751</v>
      </c>
      <c r="B86" s="7">
        <v>4042</v>
      </c>
      <c r="C86" s="21" t="s">
        <v>214</v>
      </c>
      <c r="D86" s="21" t="s">
        <v>494</v>
      </c>
      <c r="E86" s="13">
        <v>42839.526099537034</v>
      </c>
      <c r="F86" s="13">
        <v>42839.531469907408</v>
      </c>
      <c r="G86" s="7">
        <v>2</v>
      </c>
      <c r="H86" s="21" t="s">
        <v>894</v>
      </c>
      <c r="I86" s="13">
        <v>42839.556203703702</v>
      </c>
      <c r="J86" s="7">
        <v>0</v>
      </c>
      <c r="K86" s="97" t="str">
        <f t="shared" si="23"/>
        <v>4041/4042</v>
      </c>
      <c r="L86" s="21" t="str">
        <f>VLOOKUP(A86,'Trips&amp;Operators'!$C$1:$G$99999,5,FALSE)</f>
        <v>STEWART MICHAEL</v>
      </c>
      <c r="M86" s="6">
        <f t="shared" si="24"/>
        <v>2.4733796293730848E-2</v>
      </c>
      <c r="N86" s="7">
        <f t="shared" si="25"/>
        <v>35.61666666297242</v>
      </c>
      <c r="O86" s="7"/>
      <c r="P86" s="7"/>
      <c r="Q86" s="22"/>
      <c r="R86" s="22"/>
      <c r="S86" s="31">
        <f t="shared" si="26"/>
        <v>1</v>
      </c>
      <c r="T86" s="46" t="str">
        <f t="shared" si="27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28"/>
        <v>https://d0f6bd738d7f1b3e5a7ca70fe4ff75f0.us-east-1.aws.found.io/app/kibana#/discover/Steve-Slow-Train-Analysis-(2080s-and-2083s)?_g=(refreshInterval:(display:Off,pause:!f,section:0,value:0),time:(from:'2017-04-14T11:37:35-0600',mode:absolute,to:'2017-04-14T14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6" s="183" t="str">
        <f t="shared" si="29"/>
        <v>N</v>
      </c>
      <c r="X86" s="183">
        <f t="shared" si="30"/>
        <v>1</v>
      </c>
      <c r="Y86" s="62">
        <f t="shared" si="31"/>
        <v>4.4699999999999997E-2</v>
      </c>
      <c r="Z86" s="62">
        <f t="shared" si="32"/>
        <v>23.3307</v>
      </c>
      <c r="AA86" s="62">
        <f t="shared" si="33"/>
        <v>23.286000000000001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4"/>
        <v>0173-14</v>
      </c>
      <c r="AE86" s="85" t="str">
        <f t="shared" si="35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86" s="82" t="str">
        <f t="shared" si="36"/>
        <v>"C:\Program Files (x86)\AstroGrep\AstroGrep.exe" /e /r /s /spath="%USERPROFILE%\AppData\Local\Temp\OnboardLogs" /stypes="app*4042*20170414*" /stext=" 19:.+((SYSTEM_STATE.+slice.+state.+changed )|(ment ac)|(multiple cpu faults)|(system.+state.+changed )|(\[timeout)|(PRM\|1\|D)|(kpr)|(kdp)|(\|lc)|(penalty))"</v>
      </c>
      <c r="AG86" s="1" t="str">
        <f t="shared" si="37"/>
        <v>EC</v>
      </c>
      <c r="AH86" s="86" t="str">
        <f t="shared" si="38"/>
        <v>"%USERPROFILE%\Documents\GitHub\eaglep3\Utilities\RefineRTDCRunTimes.py" --tripid 173-14 --locoid 4042 --swversion DE.1.0.9.0 --startMP 204:447 --initTime 2017-04-14T12:37:35 --startdatetime 2017-04-14T12:45:19 --delay 2 --endMP 204:233307 --enddatetime 2017-04-14T13:20:56 --enforcementcount 0 &gt;&gt;C:\Users\stu\Documents\GitHub\eaglep3-reporting\EC\2017-04-14-refined-times.txt</v>
      </c>
      <c r="AI86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{"issue":{"subject":"","project_id":79,"tracker_id":40,"status_id":1,"priority_id":2,"assigned_to_id":23,"start_date":"2017-04-14","description":"","custom_fields":[{"id":1,"name":"Subdivision","value":"EC"},{"id":4,"name":"Milepost","value":"23.3307"},{"id":17,"name":"Train ID","value":"173-14"},{"id":16,"name":"Locomotive ID","value":"4042"},{"id":130,"name":"Impact","value":""},{"id":150,"name":"Time of Event (Mountain Time)","value":"13:20:56"},{"id":151,"name":"Denver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0"/>
        <v>start /low /b %USERPROFILE%\Documents\GitHub\eaglep3\Utilities\DownloadLogsFromS3.py --loco 4042 --day 2017-04-14</v>
      </c>
      <c r="AN86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760</v>
      </c>
      <c r="B87" s="7">
        <v>4041</v>
      </c>
      <c r="C87" s="21" t="s">
        <v>214</v>
      </c>
      <c r="D87" s="21" t="s">
        <v>485</v>
      </c>
      <c r="E87" s="13">
        <v>42839.565995370373</v>
      </c>
      <c r="F87" s="13">
        <v>42839.570474537039</v>
      </c>
      <c r="G87" s="7">
        <v>2</v>
      </c>
      <c r="H87" s="21" t="s">
        <v>895</v>
      </c>
      <c r="I87" s="13">
        <v>42839.597592592596</v>
      </c>
      <c r="J87" s="7">
        <v>0</v>
      </c>
      <c r="K87" s="97" t="str">
        <f t="shared" si="23"/>
        <v>4041/4042</v>
      </c>
      <c r="L87" s="21" t="str">
        <f>VLOOKUP(A87,'Trips&amp;Operators'!$C$1:$G$99999,5,FALSE)</f>
        <v>STEWART MICHAEL</v>
      </c>
      <c r="M87" s="6">
        <f t="shared" si="24"/>
        <v>2.7118055557366461E-2</v>
      </c>
      <c r="N87" s="7">
        <f t="shared" si="25"/>
        <v>39.050000002607703</v>
      </c>
      <c r="O87" s="7"/>
      <c r="P87" s="7"/>
      <c r="Q87" s="22"/>
      <c r="R87" s="22"/>
      <c r="S87" s="31">
        <f t="shared" si="26"/>
        <v>1</v>
      </c>
      <c r="T87" s="46" t="str">
        <f t="shared" si="27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28"/>
        <v>https://d0f6bd738d7f1b3e5a7ca70fe4ff75f0.us-east-1.aws.found.io/app/kibana#/discover/Steve-Slow-Train-Analysis-(2080s-and-2083s)?_g=(refreshInterval:(display:Off,pause:!f,section:0,value:0),time:(from:'2017-04-14T12:35:02-0600',mode:absolute,to:'2017-04-14T15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7" s="183" t="str">
        <f t="shared" si="29"/>
        <v>N</v>
      </c>
      <c r="X87" s="183">
        <f t="shared" si="30"/>
        <v>1</v>
      </c>
      <c r="Y87" s="62">
        <f t="shared" si="31"/>
        <v>23.2973</v>
      </c>
      <c r="Z87" s="62">
        <f t="shared" si="32"/>
        <v>1.61E-2</v>
      </c>
      <c r="AA87" s="62">
        <f t="shared" si="33"/>
        <v>23.281199999999998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4"/>
        <v>0174-14</v>
      </c>
      <c r="AE87" s="85" t="str">
        <f t="shared" si="35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87" s="82" t="str">
        <f t="shared" si="36"/>
        <v>"C:\Program Files (x86)\AstroGrep\AstroGrep.exe" /e /r /s /spath="%USERPROFILE%\AppData\Local\Temp\OnboardLogs" /stypes="app*4041*20170414*" /stext=" 20:.+((SYSTEM_STATE.+slice.+state.+changed )|(ment ac)|(multiple cpu faults)|(system.+state.+changed )|(\[timeout)|(PRM\|1\|D)|(kpr)|(kdp)|(\|lc)|(penalty))"</v>
      </c>
      <c r="AG87" s="1" t="str">
        <f t="shared" si="37"/>
        <v>EC</v>
      </c>
      <c r="AH87" s="86" t="str">
        <f t="shared" si="38"/>
        <v>"%USERPROFILE%\Documents\GitHub\eaglep3\Utilities\RefineRTDCRunTimes.py" --tripid 174-14 --locoid 4041 --swversion DE.1.0.9.0 --startMP 204:232973 --initTime 2017-04-14T13:35:02 --startdatetime 2017-04-14T13:41:29 --delay 2 --endMP 204:161 --enddatetime 2017-04-14T14:20:32 --enforcementcount 0 &gt;&gt;C:\Users\stu\Documents\GitHub\eaglep3-reporting\EC\2017-04-14-refined-times.txt</v>
      </c>
      <c r="AI87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{"issue":{"subject":"","project_id":79,"tracker_id":40,"status_id":1,"priority_id":2,"assigned_to_id":23,"start_date":"2017-04-14","description":"","custom_fields":[{"id":1,"name":"Subdivision","value":"EC"},{"id":4,"name":"Milepost","value":"0.0161"},{"id":17,"name":"Train ID","value":"174-14"},{"id":16,"name":"Locomotive ID","value":"4041"},{"id":130,"name":"Impact","value":""},{"id":150,"name":"Time of Event (Mountain Time)","value":"14:20:32"},{"id":151,"name":"Denver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0"/>
        <v>start /low /b %USERPROFILE%\Documents\GitHub\eaglep3\Utilities\DownloadLogsFromS3.py --loco 4041 --day 2017-04-14</v>
      </c>
      <c r="AN87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754</v>
      </c>
      <c r="B88" s="7">
        <v>4004</v>
      </c>
      <c r="C88" s="21" t="s">
        <v>214</v>
      </c>
      <c r="D88" s="21" t="s">
        <v>204</v>
      </c>
      <c r="E88" s="13">
        <v>42839.536087962966</v>
      </c>
      <c r="F88" s="13">
        <v>42839.541828703703</v>
      </c>
      <c r="G88" s="7">
        <v>1</v>
      </c>
      <c r="H88" s="21" t="s">
        <v>543</v>
      </c>
      <c r="I88" s="13">
        <v>42839.567013888889</v>
      </c>
      <c r="J88" s="7">
        <v>0</v>
      </c>
      <c r="K88" s="97" t="str">
        <f t="shared" si="23"/>
        <v>4003/4004</v>
      </c>
      <c r="L88" s="21" t="str">
        <f>VLOOKUP(A88,'Trips&amp;Operators'!$C$1:$G$99999,5,FALSE)</f>
        <v>WHITED DUSTIN</v>
      </c>
      <c r="M88" s="6">
        <f t="shared" si="24"/>
        <v>2.5185185186273884E-2</v>
      </c>
      <c r="N88" s="7">
        <f t="shared" si="25"/>
        <v>36.266666668234393</v>
      </c>
      <c r="O88" s="7"/>
      <c r="P88" s="7"/>
      <c r="Q88" s="22"/>
      <c r="R88" s="22"/>
      <c r="S88" s="31">
        <f t="shared" si="26"/>
        <v>1</v>
      </c>
      <c r="T88" s="46" t="str">
        <f t="shared" si="27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28"/>
        <v>https://d0f6bd738d7f1b3e5a7ca70fe4ff75f0.us-east-1.aws.found.io/app/kibana#/discover/Steve-Slow-Train-Analysis-(2080s-and-2083s)?_g=(refreshInterval:(display:Off,pause:!f,section:0,value:0),time:(from:'2017-04-14T11:51:58-0600',mode:absolute,to:'2017-04-14T14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183" t="str">
        <f t="shared" si="29"/>
        <v>N</v>
      </c>
      <c r="X88" s="183">
        <f t="shared" si="30"/>
        <v>1</v>
      </c>
      <c r="Y88" s="62">
        <f t="shared" si="31"/>
        <v>4.5100000000000001E-2</v>
      </c>
      <c r="Z88" s="62">
        <f t="shared" si="32"/>
        <v>23.331900000000001</v>
      </c>
      <c r="AA88" s="62">
        <f t="shared" si="33"/>
        <v>23.286799999999999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4"/>
        <v>0175-14</v>
      </c>
      <c r="AE88" s="85" t="str">
        <f t="shared" si="35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88" s="82" t="str">
        <f t="shared" si="36"/>
        <v>"C:\Program Files (x86)\AstroGrep\AstroGrep.exe" /e /r /s /spath="%USERPROFILE%\AppData\Local\Temp\OnboardLogs" /stypes="app*4004*20170414*" /stext=" 19:.+((SYSTEM_STATE.+slice.+state.+changed )|(ment ac)|(multiple cpu faults)|(system.+state.+changed )|(\[timeout)|(PRM\|1\|D)|(kpr)|(kdp)|(\|lc)|(penalty))"</v>
      </c>
      <c r="AG88" s="1" t="str">
        <f t="shared" si="37"/>
        <v>EC</v>
      </c>
      <c r="AH88" s="86" t="str">
        <f t="shared" si="38"/>
        <v>"%USERPROFILE%\Documents\GitHub\eaglep3\Utilities\RefineRTDCRunTimes.py" --tripid 175-14 --locoid 4004 --swversion DE.1.0.9.0 --startMP 204:451 --initTime 2017-04-14T12:51:58 --startdatetime 2017-04-14T13:00:14 --delay 1 --endMP 204:233319 --enddatetime 2017-04-14T13:36:30 --enforcementcount 0 &gt;&gt;C:\Users\stu\Documents\GitHub\eaglep3-reporting\EC\2017-04-14-refined-times.txt</v>
      </c>
      <c r="AI88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{"issue":{"subject":"","project_id":79,"tracker_id":40,"status_id":1,"priority_id":2,"assigned_to_id":23,"start_date":"2017-04-14","description":"","custom_fields":[{"id":1,"name":"Subdivision","value":"EC"},{"id":4,"name":"Milepost","value":"23.3319"},{"id":17,"name":"Train ID","value":"175-14"},{"id":16,"name":"Locomotive ID","value":"4004"},{"id":130,"name":"Impact","value":""},{"id":150,"name":"Time of Event (Mountain Time)","value":"13:36:30"},{"id":151,"name":"Denver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0"/>
        <v>start /low /b %USERPROFILE%\Documents\GitHub\eaglep3\Utilities\DownloadLogsFromS3.py --loco 4004 --day 2017-04-14</v>
      </c>
      <c r="AN88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763</v>
      </c>
      <c r="B89" s="7">
        <v>4003</v>
      </c>
      <c r="C89" s="21" t="s">
        <v>214</v>
      </c>
      <c r="D89" s="21" t="s">
        <v>896</v>
      </c>
      <c r="E89" s="13">
        <v>42839.574930555558</v>
      </c>
      <c r="F89" s="13">
        <v>42839.614745370367</v>
      </c>
      <c r="G89" s="7">
        <v>1</v>
      </c>
      <c r="H89" s="21" t="s">
        <v>598</v>
      </c>
      <c r="I89" s="13">
        <v>42839.639722222222</v>
      </c>
      <c r="J89" s="7">
        <v>0</v>
      </c>
      <c r="K89" s="97" t="str">
        <f t="shared" si="23"/>
        <v>4003/4004</v>
      </c>
      <c r="L89" s="21" t="str">
        <f>VLOOKUP(A89,'Trips&amp;Operators'!$C$1:$G$99999,5,FALSE)</f>
        <v>WHITED DUSTIN</v>
      </c>
      <c r="M89" s="6">
        <f t="shared" si="24"/>
        <v>2.4976851855171844E-2</v>
      </c>
      <c r="N89" s="7">
        <f t="shared" si="25"/>
        <v>35.966666671447456</v>
      </c>
      <c r="O89" s="7"/>
      <c r="P89" s="7"/>
      <c r="Q89" s="22"/>
      <c r="R89" s="22"/>
      <c r="S89" s="31">
        <f t="shared" si="26"/>
        <v>1</v>
      </c>
      <c r="T89" s="46" t="str">
        <f t="shared" si="27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28"/>
        <v>https://d0f6bd738d7f1b3e5a7ca70fe4ff75f0.us-east-1.aws.found.io/app/kibana#/discover/Steve-Slow-Train-Analysis-(2080s-and-2083s)?_g=(refreshInterval:(display:Off,pause:!f,section:0,value:0),time:(from:'2017-04-14T12:47:54-0600',mode:absolute,to:'2017-04-14T16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183" t="str">
        <f t="shared" si="29"/>
        <v>N</v>
      </c>
      <c r="X89" s="183">
        <f t="shared" si="30"/>
        <v>1</v>
      </c>
      <c r="Y89" s="62">
        <f t="shared" si="31"/>
        <v>23.300999999999998</v>
      </c>
      <c r="Z89" s="62">
        <f t="shared" si="32"/>
        <v>1.32E-2</v>
      </c>
      <c r="AA89" s="62">
        <f t="shared" si="33"/>
        <v>23.287799999999997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4"/>
        <v>0176-14</v>
      </c>
      <c r="AE89" s="85" t="str">
        <f t="shared" si="35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89" s="82" t="str">
        <f t="shared" si="36"/>
        <v>"C:\Program Files (x86)\AstroGrep\AstroGrep.exe" /e /r /s /spath="%USERPROFILE%\AppData\Local\Temp\OnboardLogs" /stypes="app*4003*20170414*" /stext=" 21:.+((SYSTEM_STATE.+slice.+state.+changed )|(ment ac)|(multiple cpu faults)|(system.+state.+changed )|(\[timeout)|(PRM\|1\|D)|(kpr)|(kdp)|(\|lc)|(penalty))"</v>
      </c>
      <c r="AG89" s="1" t="str">
        <f t="shared" si="37"/>
        <v>EC</v>
      </c>
      <c r="AH89" s="86" t="str">
        <f t="shared" si="38"/>
        <v>"%USERPROFILE%\Documents\GitHub\eaglep3\Utilities\RefineRTDCRunTimes.py" --tripid 176-14 --locoid 4003 --swversion DE.1.0.9.0 --startMP 204:233010 --initTime 2017-04-14T13:47:54 --startdatetime 2017-04-14T14:45:14 --delay 1 --endMP 204:132 --enddatetime 2017-04-14T15:21:12 --enforcementcount 0 &gt;&gt;C:\Users\stu\Documents\GitHub\eaglep3-reporting\EC\2017-04-14-refined-times.txt</v>
      </c>
      <c r="AI89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{"issue":{"subject":"","project_id":79,"tracker_id":40,"status_id":1,"priority_id":2,"assigned_to_id":23,"start_date":"2017-04-14","description":"","custom_fields":[{"id":1,"name":"Subdivision","value":"EC"},{"id":4,"name":"Milepost","value":"0.0132"},{"id":17,"name":"Train ID","value":"176-14"},{"id":16,"name":"Locomotive ID","value":"4003"},{"id":130,"name":"Impact","value":""},{"id":150,"name":"Time of Event (Mountain Time)","value":"15:21:12"},{"id":151,"name":"Denver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0"/>
        <v>start /low /b %USERPROFILE%\Documents\GitHub\eaglep3\Utilities\DownloadLogsFromS3.py --loco 4003 --day 2017-04-14</v>
      </c>
      <c r="AN89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757</v>
      </c>
      <c r="B90" s="7">
        <v>4010</v>
      </c>
      <c r="C90" s="21" t="s">
        <v>214</v>
      </c>
      <c r="D90" s="21" t="s">
        <v>544</v>
      </c>
      <c r="E90" s="13">
        <v>42839.549050925925</v>
      </c>
      <c r="F90" s="13">
        <v>42839.552256944444</v>
      </c>
      <c r="G90" s="7">
        <v>1</v>
      </c>
      <c r="H90" s="21" t="s">
        <v>551</v>
      </c>
      <c r="I90" s="13">
        <v>42839.5778125</v>
      </c>
      <c r="J90" s="7">
        <v>0</v>
      </c>
      <c r="K90" s="97" t="str">
        <f t="shared" si="23"/>
        <v>4009/4010</v>
      </c>
      <c r="L90" s="21" t="str">
        <f>VLOOKUP(A90,'Trips&amp;Operators'!$C$1:$G$99999,5,FALSE)</f>
        <v>CLARK KATHLEEN</v>
      </c>
      <c r="M90" s="6">
        <f t="shared" si="24"/>
        <v>2.5555555555911269E-2</v>
      </c>
      <c r="N90" s="7">
        <f t="shared" si="25"/>
        <v>36.800000000512227</v>
      </c>
      <c r="O90" s="7"/>
      <c r="P90" s="7"/>
      <c r="Q90" s="22"/>
      <c r="R90" s="22"/>
      <c r="S90" s="31">
        <f t="shared" si="26"/>
        <v>1</v>
      </c>
      <c r="T90" s="46" t="str">
        <f t="shared" si="27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28"/>
        <v>https://d0f6bd738d7f1b3e5a7ca70fe4ff75f0.us-east-1.aws.found.io/app/kibana#/discover/Steve-Slow-Train-Analysis-(2080s-and-2083s)?_g=(refreshInterval:(display:Off,pause:!f,section:0,value:0),time:(from:'2017-04-14T12:10:38-0600',mode:absolute,to:'2017-04-14T14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0" s="183" t="str">
        <f t="shared" si="29"/>
        <v>N</v>
      </c>
      <c r="X90" s="183">
        <f t="shared" si="30"/>
        <v>1</v>
      </c>
      <c r="Y90" s="62">
        <f t="shared" si="31"/>
        <v>4.3799999999999999E-2</v>
      </c>
      <c r="Z90" s="62">
        <f t="shared" si="32"/>
        <v>23.328800000000001</v>
      </c>
      <c r="AA90" s="62">
        <f t="shared" si="33"/>
        <v>23.285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4"/>
        <v>0177-14</v>
      </c>
      <c r="AE90" s="85" t="str">
        <f t="shared" si="35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90" s="82" t="str">
        <f t="shared" si="36"/>
        <v>"C:\Program Files (x86)\AstroGrep\AstroGrep.exe" /e /r /s /spath="%USERPROFILE%\AppData\Local\Temp\OnboardLogs" /stypes="app*4010*20170414*" /stext=" 19:.+((SYSTEM_STATE.+slice.+state.+changed )|(ment ac)|(multiple cpu faults)|(system.+state.+changed )|(\[timeout)|(PRM\|1\|D)|(kpr)|(kdp)|(\|lc)|(penalty))"</v>
      </c>
      <c r="AG90" s="1" t="str">
        <f t="shared" si="37"/>
        <v>EC</v>
      </c>
      <c r="AH90" s="86" t="str">
        <f t="shared" si="38"/>
        <v>"%USERPROFILE%\Documents\GitHub\eaglep3\Utilities\RefineRTDCRunTimes.py" --tripid 177-14 --locoid 4010 --swversion DE.1.0.9.0 --startMP 204:438 --initTime 2017-04-14T13:10:38 --startdatetime 2017-04-14T13:15:15 --delay 1 --endMP 204:233288 --enddatetime 2017-04-14T13:52:03 --enforcementcount 0 &gt;&gt;C:\Users\stu\Documents\GitHub\eaglep3-reporting\EC\2017-04-14-refined-times.txt</v>
      </c>
      <c r="AI90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{"issue":{"subject":"","project_id":79,"tracker_id":40,"status_id":1,"priority_id":2,"assigned_to_id":23,"start_date":"2017-04-14","description":"","custom_fields":[{"id":1,"name":"Subdivision","value":"EC"},{"id":4,"name":"Milepost","value":"23.3288"},{"id":17,"name":"Train ID","value":"177-14"},{"id":16,"name":"Locomotive ID","value":"4010"},{"id":130,"name":"Impact","value":""},{"id":150,"name":"Time of Event (Mountain Time)","value":"13:52:03"},{"id":151,"name":"Denver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0"/>
        <v>start /low /b %USERPROFILE%\Documents\GitHub\eaglep3\Utilities\DownloadLogsFromS3.py --loco 4010 --day 2017-04-14</v>
      </c>
      <c r="AN90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765</v>
      </c>
      <c r="B91" s="7">
        <v>4009</v>
      </c>
      <c r="C91" s="21" t="s">
        <v>214</v>
      </c>
      <c r="D91" s="21" t="s">
        <v>602</v>
      </c>
      <c r="E91" s="13">
        <v>42839.585972222223</v>
      </c>
      <c r="F91" s="13">
        <v>42839.591145833336</v>
      </c>
      <c r="G91" s="7">
        <v>1</v>
      </c>
      <c r="H91" s="21" t="s">
        <v>507</v>
      </c>
      <c r="I91" s="13">
        <v>42839.619108796294</v>
      </c>
      <c r="J91" s="7">
        <v>0</v>
      </c>
      <c r="K91" s="97" t="str">
        <f t="shared" si="23"/>
        <v>4009/4010</v>
      </c>
      <c r="L91" s="21" t="str">
        <f>VLOOKUP(A91,'Trips&amp;Operators'!$C$1:$G$99999,5,FALSE)</f>
        <v>CLARK KATHLEEN</v>
      </c>
      <c r="M91" s="6">
        <f t="shared" si="24"/>
        <v>2.7962962958554272E-2</v>
      </c>
      <c r="N91" s="7">
        <f t="shared" si="25"/>
        <v>40.266666660318151</v>
      </c>
      <c r="O91" s="7"/>
      <c r="P91" s="7"/>
      <c r="Q91" s="22"/>
      <c r="R91" s="22"/>
      <c r="S91" s="31">
        <f t="shared" si="26"/>
        <v>1</v>
      </c>
      <c r="T91" s="46" t="str">
        <f t="shared" si="27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28"/>
        <v>https://d0f6bd738d7f1b3e5a7ca70fe4ff75f0.us-east-1.aws.found.io/app/kibana#/discover/Steve-Slow-Train-Analysis-(2080s-and-2083s)?_g=(refreshInterval:(display:Off,pause:!f,section:0,value:0),time:(from:'2017-04-14T13:03:48-0600',mode:absolute,to:'2017-04-14T15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1" s="183" t="str">
        <f t="shared" si="29"/>
        <v>N</v>
      </c>
      <c r="X91" s="183">
        <f t="shared" si="30"/>
        <v>1</v>
      </c>
      <c r="Y91" s="62">
        <f t="shared" si="31"/>
        <v>23.2957</v>
      </c>
      <c r="Z91" s="62">
        <f t="shared" si="32"/>
        <v>1.67E-2</v>
      </c>
      <c r="AA91" s="62">
        <f t="shared" si="33"/>
        <v>23.279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4"/>
        <v>0178-14</v>
      </c>
      <c r="AE91" s="85" t="str">
        <f t="shared" si="35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91" s="82" t="str">
        <f t="shared" si="36"/>
        <v>"C:\Program Files (x86)\AstroGrep\AstroGrep.exe" /e /r /s /spath="%USERPROFILE%\AppData\Local\Temp\OnboardLogs" /stypes="app*4009*20170414*" /stext=" 20:.+((SYSTEM_STATE.+slice.+state.+changed )|(ment ac)|(multiple cpu faults)|(system.+state.+changed )|(\[timeout)|(PRM\|1\|D)|(kpr)|(kdp)|(\|lc)|(penalty))"</v>
      </c>
      <c r="AG91" s="1" t="str">
        <f t="shared" si="37"/>
        <v>EC</v>
      </c>
      <c r="AH91" s="86" t="str">
        <f t="shared" si="38"/>
        <v>"%USERPROFILE%\Documents\GitHub\eaglep3\Utilities\RefineRTDCRunTimes.py" --tripid 178-14 --locoid 4009 --swversion DE.1.0.9.0 --startMP 204:232957 --initTime 2017-04-14T14:03:48 --startdatetime 2017-04-14T14:11:15 --delay 1 --endMP 204:167 --enddatetime 2017-04-14T14:51:31 --enforcementcount 0 &gt;&gt;C:\Users\stu\Documents\GitHub\eaglep3-reporting\EC\2017-04-14-refined-times.txt</v>
      </c>
      <c r="AI91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{"issue":{"subject":"","project_id":79,"tracker_id":40,"status_id":1,"priority_id":2,"assigned_to_id":23,"start_date":"2017-04-14","description":"","custom_fields":[{"id":1,"name":"Subdivision","value":"EC"},{"id":4,"name":"Milepost","value":"0.0167"},{"id":17,"name":"Train ID","value":"178-14"},{"id":16,"name":"Locomotive ID","value":"4009"},{"id":130,"name":"Impact","value":""},{"id":150,"name":"Time of Event (Mountain Time)","value":"14:51:31"},{"id":151,"name":"Denver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0"/>
        <v>start /low /b %USERPROFILE%\Documents\GitHub\eaglep3\Utilities\DownloadLogsFromS3.py --loco 4009 --day 2017-04-14</v>
      </c>
      <c r="AN91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759</v>
      </c>
      <c r="B92" s="7">
        <v>4032</v>
      </c>
      <c r="C92" s="21" t="s">
        <v>214</v>
      </c>
      <c r="D92" s="21" t="s">
        <v>209</v>
      </c>
      <c r="E92" s="13">
        <v>42839.557847222219</v>
      </c>
      <c r="F92" s="13">
        <v>42839.562696759262</v>
      </c>
      <c r="G92" s="7">
        <v>1</v>
      </c>
      <c r="H92" s="21" t="s">
        <v>466</v>
      </c>
      <c r="I92" s="13">
        <v>42839.587384259263</v>
      </c>
      <c r="J92" s="7">
        <v>0</v>
      </c>
      <c r="K92" s="97" t="str">
        <f t="shared" si="23"/>
        <v>4031/4032</v>
      </c>
      <c r="L92" s="21" t="str">
        <f>VLOOKUP(A92,'Trips&amp;Operators'!$C$1:$G$99999,5,FALSE)</f>
        <v>BRUDER RICHARD</v>
      </c>
      <c r="M92" s="6">
        <f t="shared" si="24"/>
        <v>2.4687500001164153E-2</v>
      </c>
      <c r="N92" s="7">
        <f t="shared" si="25"/>
        <v>35.550000001676381</v>
      </c>
      <c r="O92" s="7"/>
      <c r="P92" s="7"/>
      <c r="Q92" s="22"/>
      <c r="R92" s="22"/>
      <c r="S92" s="31">
        <f t="shared" si="26"/>
        <v>1</v>
      </c>
      <c r="T92" s="46" t="str">
        <f t="shared" si="27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28"/>
        <v>https://d0f6bd738d7f1b3e5a7ca70fe4ff75f0.us-east-1.aws.found.io/app/kibana#/discover/Steve-Slow-Train-Analysis-(2080s-and-2083s)?_g=(refreshInterval:(display:Off,pause:!f,section:0,value:0),time:(from:'2017-04-14T12:23:18-0600',mode:absolute,to:'2017-04-14T15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183" t="str">
        <f t="shared" si="29"/>
        <v>N</v>
      </c>
      <c r="X92" s="183">
        <f t="shared" si="30"/>
        <v>1</v>
      </c>
      <c r="Y92" s="62">
        <f t="shared" si="31"/>
        <v>4.53E-2</v>
      </c>
      <c r="Z92" s="62">
        <f t="shared" si="32"/>
        <v>23.3306</v>
      </c>
      <c r="AA92" s="62">
        <f t="shared" si="33"/>
        <v>23.285299999999999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4"/>
        <v>0179-14</v>
      </c>
      <c r="AE92" s="85" t="str">
        <f t="shared" si="35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92" s="82" t="str">
        <f t="shared" si="36"/>
        <v>"C:\Program Files (x86)\AstroGrep\AstroGrep.exe" /e /r /s /spath="%USERPROFILE%\AppData\Local\Temp\OnboardLogs" /stypes="app*4032*20170414*" /stext=" 20:.+((SYSTEM_STATE.+slice.+state.+changed )|(ment ac)|(multiple cpu faults)|(system.+state.+changed )|(\[timeout)|(PRM\|1\|D)|(kpr)|(kdp)|(\|lc)|(penalty))"</v>
      </c>
      <c r="AG92" s="1" t="str">
        <f t="shared" si="37"/>
        <v>EC</v>
      </c>
      <c r="AH92" s="86" t="str">
        <f t="shared" si="38"/>
        <v>"%USERPROFILE%\Documents\GitHub\eaglep3\Utilities\RefineRTDCRunTimes.py" --tripid 179-14 --locoid 4032 --swversion DE.1.0.9.0 --startMP 204:453 --initTime 2017-04-14T13:23:18 --startdatetime 2017-04-14T13:30:17 --delay 1 --endMP 204:233306 --enddatetime 2017-04-14T14:05:50 --enforcementcount 0 &gt;&gt;C:\Users\stu\Documents\GitHub\eaglep3-reporting\EC\2017-04-14-refined-times.txt</v>
      </c>
      <c r="AI92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{"issue":{"subject":"","project_id":79,"tracker_id":40,"status_id":1,"priority_id":2,"assigned_to_id":23,"start_date":"2017-04-14","description":"","custom_fields":[{"id":1,"name":"Subdivision","value":"EC"},{"id":4,"name":"Milepost","value":"23.3306"},{"id":17,"name":"Train ID","value":"179-14"},{"id":16,"name":"Locomotive ID","value":"4032"},{"id":130,"name":"Impact","value":""},{"id":150,"name":"Time of Event (Mountain Time)","value":"14:05:50"},{"id":151,"name":"Denver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0"/>
        <v>start /low /b %USERPROFILE%\Documents\GitHub\eaglep3\Utilities\DownloadLogsFromS3.py --loco 4032 --day 2017-04-14</v>
      </c>
      <c r="AN92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767</v>
      </c>
      <c r="B93" s="7">
        <v>4031</v>
      </c>
      <c r="C93" s="21" t="s">
        <v>214</v>
      </c>
      <c r="D93" s="21" t="s">
        <v>410</v>
      </c>
      <c r="E93" s="13">
        <v>42839.596689814818</v>
      </c>
      <c r="F93" s="13">
        <v>42839.601597222223</v>
      </c>
      <c r="G93" s="7">
        <v>1</v>
      </c>
      <c r="H93" s="21" t="s">
        <v>507</v>
      </c>
      <c r="I93" s="13">
        <v>42839.628159722219</v>
      </c>
      <c r="J93" s="7">
        <v>0</v>
      </c>
      <c r="K93" s="97" t="str">
        <f t="shared" si="23"/>
        <v>4031/4032</v>
      </c>
      <c r="L93" s="21" t="str">
        <f>VLOOKUP(A93,'Trips&amp;Operators'!$C$1:$G$99999,5,FALSE)</f>
        <v>BRUDER RICHARD</v>
      </c>
      <c r="M93" s="6">
        <f t="shared" si="24"/>
        <v>2.6562499995634425E-2</v>
      </c>
      <c r="N93" s="7">
        <f t="shared" si="25"/>
        <v>38.249999993713573</v>
      </c>
      <c r="O93" s="7"/>
      <c r="P93" s="7"/>
      <c r="Q93" s="22"/>
      <c r="R93" s="22"/>
      <c r="S93" s="31">
        <f t="shared" si="26"/>
        <v>1</v>
      </c>
      <c r="T93" s="46" t="str">
        <f t="shared" si="27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28"/>
        <v>https://d0f6bd738d7f1b3e5a7ca70fe4ff75f0.us-east-1.aws.found.io/app/kibana#/discover/Steve-Slow-Train-Analysis-(2080s-and-2083s)?_g=(refreshInterval:(display:Off,pause:!f,section:0,value:0),time:(from:'2017-04-14T13:19:14-0600',mode:absolute,to:'2017-04-14T16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183" t="str">
        <f t="shared" si="29"/>
        <v>N</v>
      </c>
      <c r="X93" s="183">
        <f t="shared" si="30"/>
        <v>1</v>
      </c>
      <c r="Y93" s="62">
        <f t="shared" si="31"/>
        <v>23.2989</v>
      </c>
      <c r="Z93" s="62">
        <f t="shared" si="32"/>
        <v>1.67E-2</v>
      </c>
      <c r="AA93" s="62">
        <f t="shared" si="33"/>
        <v>23.2822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4"/>
        <v>0180-14</v>
      </c>
      <c r="AE93" s="85" t="str">
        <f t="shared" si="35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93" s="82" t="str">
        <f t="shared" si="36"/>
        <v>"C:\Program Files (x86)\AstroGrep\AstroGrep.exe" /e /r /s /spath="%USERPROFILE%\AppData\Local\Temp\OnboardLogs" /stypes="app*4031*20170414*" /stext=" 21:.+((SYSTEM_STATE.+slice.+state.+changed )|(ment ac)|(multiple cpu faults)|(system.+state.+changed )|(\[timeout)|(PRM\|1\|D)|(kpr)|(kdp)|(\|lc)|(penalty))"</v>
      </c>
      <c r="AG93" s="1" t="str">
        <f t="shared" si="37"/>
        <v>EC</v>
      </c>
      <c r="AH93" s="86" t="str">
        <f t="shared" si="38"/>
        <v>"%USERPROFILE%\Documents\GitHub\eaglep3\Utilities\RefineRTDCRunTimes.py" --tripid 180-14 --locoid 4031 --swversion DE.1.0.9.0 --startMP 204:232989 --initTime 2017-04-14T14:19:14 --startdatetime 2017-04-14T14:26:18 --delay 1 --endMP 204:167 --enddatetime 2017-04-14T15:04:33 --enforcementcount 0 &gt;&gt;C:\Users\stu\Documents\GitHub\eaglep3-reporting\EC\2017-04-14-refined-times.txt</v>
      </c>
      <c r="AI93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{"issue":{"subject":"","project_id":79,"tracker_id":40,"status_id":1,"priority_id":2,"assigned_to_id":23,"start_date":"2017-04-14","description":"","custom_fields":[{"id":1,"name":"Subdivision","value":"EC"},{"id":4,"name":"Milepost","value":"0.0167"},{"id":17,"name":"Train ID","value":"180-14"},{"id":16,"name":"Locomotive ID","value":"4031"},{"id":130,"name":"Impact","value":""},{"id":150,"name":"Time of Event (Mountain Time)","value":"15:04:33"},{"id":151,"name":"Denver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40"/>
        <v>start /low /b %USERPROFILE%\Documents\GitHub\eaglep3\Utilities\DownloadLogsFromS3.py --loco 4031 --day 2017-04-14</v>
      </c>
      <c r="AN93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761</v>
      </c>
      <c r="B94" s="7">
        <v>4040</v>
      </c>
      <c r="C94" s="21" t="s">
        <v>214</v>
      </c>
      <c r="D94" s="21" t="s">
        <v>594</v>
      </c>
      <c r="E94" s="13">
        <v>42839.568356481483</v>
      </c>
      <c r="F94" s="13">
        <v>42839.573333333334</v>
      </c>
      <c r="G94" s="7">
        <v>2</v>
      </c>
      <c r="H94" s="21" t="s">
        <v>469</v>
      </c>
      <c r="I94" s="13">
        <v>42839.597708333335</v>
      </c>
      <c r="J94" s="7">
        <v>0</v>
      </c>
      <c r="K94" s="97" t="str">
        <f t="shared" si="23"/>
        <v>4039/4040</v>
      </c>
      <c r="L94" s="21" t="str">
        <f>VLOOKUP(A94,'Trips&amp;Operators'!$C$1:$G$99999,5,FALSE)</f>
        <v>MENGES BRAD</v>
      </c>
      <c r="M94" s="6">
        <f t="shared" si="24"/>
        <v>2.4375000000873115E-2</v>
      </c>
      <c r="N94" s="7">
        <f t="shared" si="25"/>
        <v>35.100000001257285</v>
      </c>
      <c r="O94" s="7"/>
      <c r="P94" s="7"/>
      <c r="Q94" s="22"/>
      <c r="R94" s="22"/>
      <c r="S94" s="31">
        <f t="shared" si="26"/>
        <v>1</v>
      </c>
      <c r="T94" s="46" t="str">
        <f t="shared" si="27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28"/>
        <v>https://d0f6bd738d7f1b3e5a7ca70fe4ff75f0.us-east-1.aws.found.io/app/kibana#/discover/Steve-Slow-Train-Analysis-(2080s-and-2083s)?_g=(refreshInterval:(display:Off,pause:!f,section:0,value:0),time:(from:'2017-04-14T12:38:26-0600',mode:absolute,to:'2017-04-14T15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4" s="183" t="str">
        <f t="shared" si="29"/>
        <v>N</v>
      </c>
      <c r="X94" s="183">
        <f t="shared" si="30"/>
        <v>1</v>
      </c>
      <c r="Y94" s="62">
        <f t="shared" si="31"/>
        <v>4.6600000000000003E-2</v>
      </c>
      <c r="Z94" s="62">
        <f t="shared" si="32"/>
        <v>23.3291</v>
      </c>
      <c r="AA94" s="62">
        <f t="shared" si="33"/>
        <v>23.282499999999999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4"/>
        <v>0181-14</v>
      </c>
      <c r="AE94" s="85" t="str">
        <f t="shared" si="35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94" s="82" t="str">
        <f t="shared" si="36"/>
        <v>"C:\Program Files (x86)\AstroGrep\AstroGrep.exe" /e /r /s /spath="%USERPROFILE%\AppData\Local\Temp\OnboardLogs" /stypes="app*4040*20170414*" /stext=" 20:.+((SYSTEM_STATE.+slice.+state.+changed )|(ment ac)|(multiple cpu faults)|(system.+state.+changed )|(\[timeout)|(PRM\|1\|D)|(kpr)|(kdp)|(\|lc)|(penalty))"</v>
      </c>
      <c r="AG94" s="1" t="str">
        <f t="shared" si="37"/>
        <v>EC</v>
      </c>
      <c r="AH94" s="86" t="str">
        <f t="shared" si="38"/>
        <v>"%USERPROFILE%\Documents\GitHub\eaglep3\Utilities\RefineRTDCRunTimes.py" --tripid 181-14 --locoid 4040 --swversion DE.1.0.9.0 --startMP 204:466 --initTime 2017-04-14T13:38:26 --startdatetime 2017-04-14T13:45:36 --delay 2 --endMP 204:233291 --enddatetime 2017-04-14T14:20:42 --enforcementcount 0 &gt;&gt;C:\Users\stu\Documents\GitHub\eaglep3-reporting\EC\2017-04-14-refined-times.txt</v>
      </c>
      <c r="AI94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{"issue":{"subject":"","project_id":79,"tracker_id":40,"status_id":1,"priority_id":2,"assigned_to_id":23,"start_date":"2017-04-14","description":"","custom_fields":[{"id":1,"name":"Subdivision","value":"EC"},{"id":4,"name":"Milepost","value":"23.3291"},{"id":17,"name":"Train ID","value":"181-14"},{"id":16,"name":"Locomotive ID","value":"4040"},{"id":130,"name":"Impact","value":""},{"id":150,"name":"Time of Event (Mountain Time)","value":"14:20:42"},{"id":151,"name":"Denver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0"/>
        <v>start /low /b %USERPROFILE%\Documents\GitHub\eaglep3\Utilities\DownloadLogsFromS3.py --loco 4040 --day 2017-04-14</v>
      </c>
      <c r="AN94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641</v>
      </c>
      <c r="B95" s="7">
        <v>4039</v>
      </c>
      <c r="C95" s="21" t="s">
        <v>214</v>
      </c>
      <c r="D95" s="21" t="s">
        <v>897</v>
      </c>
      <c r="E95" s="13">
        <v>42839.620567129627</v>
      </c>
      <c r="F95" s="13">
        <v>42839.62164351852</v>
      </c>
      <c r="G95" s="7">
        <v>0</v>
      </c>
      <c r="H95" s="21" t="s">
        <v>417</v>
      </c>
      <c r="I95" s="13">
        <v>42839.641944444447</v>
      </c>
      <c r="J95" s="7">
        <v>0</v>
      </c>
      <c r="K95" s="97" t="str">
        <f t="shared" si="23"/>
        <v>4039/4040</v>
      </c>
      <c r="L95" s="21" t="str">
        <f>VLOOKUP(A95,'Trips&amp;Operators'!$C$1:$G$99999,5,FALSE)</f>
        <v>MENGES BRAD</v>
      </c>
      <c r="M95" s="6">
        <f t="shared" si="24"/>
        <v>2.0300925927585922E-2</v>
      </c>
      <c r="N95" s="7"/>
      <c r="O95" s="7"/>
      <c r="P95" s="7">
        <f t="shared" si="25"/>
        <v>29.233333335723728</v>
      </c>
      <c r="Q95" s="22"/>
      <c r="R95" s="22" t="s">
        <v>1027</v>
      </c>
      <c r="S95" s="31">
        <f t="shared" si="26"/>
        <v>1</v>
      </c>
      <c r="T95" s="46" t="str">
        <f t="shared" si="27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28"/>
        <v>https://d0f6bd738d7f1b3e5a7ca70fe4ff75f0.us-east-1.aws.found.io/app/kibana#/discover/Steve-Slow-Train-Analysis-(2080s-and-2083s)?_g=(refreshInterval:(display:Off,pause:!f,section:0,value:0),time:(from:'2017-04-14T13:53:37-0600',mode:absolute,to:'2017-04-14T16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5" s="183" t="str">
        <f t="shared" si="29"/>
        <v>Y</v>
      </c>
      <c r="X95" s="183">
        <f t="shared" si="30"/>
        <v>1</v>
      </c>
      <c r="Y95" s="62">
        <f t="shared" si="31"/>
        <v>15.401</v>
      </c>
      <c r="Z95" s="62">
        <f t="shared" si="32"/>
        <v>1.6E-2</v>
      </c>
      <c r="AA95" s="62">
        <f t="shared" si="33"/>
        <v>15.385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4"/>
        <v>0182-14</v>
      </c>
      <c r="AE95" s="85" t="str">
        <f t="shared" si="35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95" s="82" t="str">
        <f t="shared" si="36"/>
        <v>"C:\Program Files (x86)\AstroGrep\AstroGrep.exe" /e /r /s /spath="%USERPROFILE%\AppData\Local\Temp\OnboardLogs" /stypes="app*4039*20170414*" /stext=" 21:.+((SYSTEM_STATE.+slice.+state.+changed )|(ment ac)|(multiple cpu faults)|(system.+state.+changed )|(\[timeout)|(PRM\|1\|D)|(kpr)|(kdp)|(\|lc)|(penalty))"</v>
      </c>
      <c r="AG95" s="1" t="str">
        <f t="shared" si="37"/>
        <v>EC</v>
      </c>
      <c r="AH95" s="86" t="str">
        <f t="shared" si="38"/>
        <v>"%USERPROFILE%\Documents\GitHub\eaglep3\Utilities\RefineRTDCRunTimes.py" --tripid 182-14 --locoid 4039 --swversion DE.1.0.9.0 --startMP 204:154010 --initTime 2017-04-14T14:53:37 --startdatetime 2017-04-14T14:55:10 --delay 0 --endMP 204:160 --enddatetime 2017-04-14T15:24:24 --enforcementcount 0 &gt;&gt;C:\Users\stu\Documents\GitHub\eaglep3-reporting\EC\2017-04-14-refined-times.txt</v>
      </c>
      <c r="AI95" s="104" t="str">
        <f t="shared" si="39"/>
        <v>echo {"issue":{"subject":"Poor GPS at DIA","project_id":79,"tracker_id":40,"status_id":1,"priority_id":2,"assigned_to_id":23,"start_date":"2017-04-14","description":"","custom_fields":[{"id":1,"name":"Subdivision","value":"EC"},{"id":4,"name":"Milepost","value":"0.016"},{"id":17,"name":"Train ID","value":"182-14"},{"id":16,"name":"Locomotive ID","value":"4039"},{"id":130,"name":"Impact","value":""},{"id":150,"name":"Time of Event (Mountain Time)","value":"15:24:24"},{"id":151,"name":"Denver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0"/>
        <v>start /low /b %USERPROFILE%\Documents\GitHub\eaglep3\Utilities\DownloadLogsFromS3.py --loco 4039 --day 2017-04-14</v>
      </c>
      <c r="AN95" s="159" t="str">
        <f t="shared" si="41"/>
        <v>echo {"issue":{"subject":"Poor GPS at DIA","project_id":30,"tracker_id":4,"status_id":1,"priority_id":1,"assigned_to_id":10,"start_date":"2017-04-14","description":"","custom_fields":[{"id":30,"name":"Category","value":"Issue"},{"id":3,"name":"Functional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641</v>
      </c>
      <c r="B96" s="7">
        <v>4039</v>
      </c>
      <c r="C96" s="21" t="s">
        <v>214</v>
      </c>
      <c r="D96" s="21" t="s">
        <v>889</v>
      </c>
      <c r="E96" s="13">
        <v>42839.609525462962</v>
      </c>
      <c r="F96" s="13">
        <v>42839.62164351852</v>
      </c>
      <c r="G96" s="7">
        <v>1</v>
      </c>
      <c r="H96" s="21" t="s">
        <v>898</v>
      </c>
      <c r="I96" s="13">
        <v>42839.641944444447</v>
      </c>
      <c r="J96" s="7">
        <v>0</v>
      </c>
      <c r="K96" s="97" t="str">
        <f t="shared" si="23"/>
        <v>4039/4040</v>
      </c>
      <c r="L96" s="21" t="str">
        <f>VLOOKUP(A96,'Trips&amp;Operators'!$C$1:$G$99999,5,FALSE)</f>
        <v>MENGES BRAD</v>
      </c>
      <c r="M96" s="6">
        <f t="shared" si="24"/>
        <v>2.0300925927585922E-2</v>
      </c>
      <c r="N96" s="7"/>
      <c r="O96" s="7"/>
      <c r="P96" s="7"/>
      <c r="Q96" s="22"/>
      <c r="R96" s="22"/>
      <c r="S96" s="31"/>
      <c r="T96" s="46" t="str">
        <f t="shared" si="27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182" t="str">
        <f t="shared" si="28"/>
        <v>https://d0f6bd738d7f1b3e5a7ca70fe4ff75f0.us-east-1.aws.found.io/app/kibana#/discover/Steve-Slow-Train-Analysis-(2080s-and-2083s)?_g=(refreshInterval:(display:Off,pause:!f,section:0,value:0),time:(from:'2017-04-14T13:37:43-0600',mode:absolute,to:'2017-04-14T16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83" t="str">
        <f t="shared" si="29"/>
        <v>Y</v>
      </c>
      <c r="X96" s="183">
        <f t="shared" si="30"/>
        <v>0</v>
      </c>
      <c r="Y96" s="62">
        <f t="shared" si="31"/>
        <v>23.297899999999998</v>
      </c>
      <c r="Z96" s="62">
        <f t="shared" si="32"/>
        <v>23.004300000000001</v>
      </c>
      <c r="AA96" s="62">
        <f t="shared" si="33"/>
        <v>0.29359999999999786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4"/>
        <v>0182-14</v>
      </c>
      <c r="AE96" s="85" t="str">
        <f t="shared" si="35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96" s="82" t="str">
        <f t="shared" si="36"/>
        <v>"C:\Program Files (x86)\AstroGrep\AstroGrep.exe" /e /r /s /spath="%USERPROFILE%\AppData\Local\Temp\OnboardLogs" /stypes="app*4039*20170414*" /stext=" 21:.+((SYSTEM_STATE.+slice.+state.+changed )|(ment ac)|(multiple cpu faults)|(system.+state.+changed )|(\[timeout)|(PRM\|1\|D)|(kpr)|(kdp)|(\|lc)|(penalty))"</v>
      </c>
      <c r="AG96" s="1" t="str">
        <f t="shared" si="37"/>
        <v>EC</v>
      </c>
      <c r="AH96" s="86" t="str">
        <f t="shared" si="38"/>
        <v>"%USERPROFILE%\Documents\GitHub\eaglep3\Utilities\RefineRTDCRunTimes.py" --tripid 182-14 --locoid 4039 --swversion DE.1.0.9.0 --startMP 204:232979 --initTime 2017-04-14T14:37:43 --startdatetime 2017-04-14T14:55:10 --delay 1 --endMP 204:230043 --enddatetime 2017-04-14T15:24:24 --enforcementcount 0 &gt;&gt;C:\Users\stu\Documents\GitHub\eaglep3-reporting\EC\2017-04-14-refined-times.txt</v>
      </c>
      <c r="AI96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{"issue":{"subject":"","project_id":79,"tracker_id":40,"status_id":1,"priority_id":2,"assigned_to_id":23,"start_date":"2017-04-14","description":"","custom_fields":[{"id":1,"name":"Subdivision","value":"EC"},{"id":4,"name":"Milepost","value":"23.0043"},{"id":17,"name":"Train ID","value":"182-14"},{"id":16,"name":"Locomotive ID","value":"4039"},{"id":130,"name":"Impact","value":""},{"id":150,"name":"Time of Event (Mountain Time)","value":"15:24:24"},{"id":151,"name":"Denver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0"/>
        <v>start /low /b %USERPROFILE%\Documents\GitHub\eaglep3\Utilities\DownloadLogsFromS3.py --loco 4039 --day 2017-04-14</v>
      </c>
      <c r="AN96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639</v>
      </c>
      <c r="B97" s="7">
        <v>4020</v>
      </c>
      <c r="C97" s="21" t="s">
        <v>214</v>
      </c>
      <c r="D97" s="21" t="s">
        <v>205</v>
      </c>
      <c r="E97" s="13">
        <v>42839.579733796294</v>
      </c>
      <c r="F97" s="13">
        <v>42839.583518518521</v>
      </c>
      <c r="G97" s="7">
        <v>1</v>
      </c>
      <c r="H97" s="21" t="s">
        <v>453</v>
      </c>
      <c r="I97" s="13">
        <v>42839.608854166669</v>
      </c>
      <c r="J97" s="7">
        <v>0</v>
      </c>
      <c r="K97" s="97" t="str">
        <f t="shared" si="23"/>
        <v>4019/4020</v>
      </c>
      <c r="L97" s="21" t="str">
        <f>VLOOKUP(A97,'Trips&amp;Operators'!$C$1:$G$99999,5,FALSE)</f>
        <v>BRANDNER MELINDA</v>
      </c>
      <c r="M97" s="6">
        <f t="shared" si="24"/>
        <v>2.5335648148029577E-2</v>
      </c>
      <c r="N97" s="7">
        <f t="shared" si="25"/>
        <v>36.483333333162591</v>
      </c>
      <c r="O97" s="7"/>
      <c r="P97" s="7"/>
      <c r="Q97" s="22"/>
      <c r="R97" s="22"/>
      <c r="S97" s="31">
        <f t="shared" si="26"/>
        <v>1</v>
      </c>
      <c r="T97" s="46" t="str">
        <f t="shared" si="27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28"/>
        <v>https://d0f6bd738d7f1b3e5a7ca70fe4ff75f0.us-east-1.aws.found.io/app/kibana#/discover/Steve-Slow-Train-Analysis-(2080s-and-2083s)?_g=(refreshInterval:(display:Off,pause:!f,section:0,value:0),time:(from:'2017-04-14T12:54:49-0600',mode:absolute,to:'2017-04-14T15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183" t="str">
        <f t="shared" si="29"/>
        <v>N</v>
      </c>
      <c r="X97" s="183">
        <f t="shared" si="30"/>
        <v>1</v>
      </c>
      <c r="Y97" s="62">
        <f t="shared" si="31"/>
        <v>4.5699999999999998E-2</v>
      </c>
      <c r="Z97" s="62">
        <f t="shared" si="32"/>
        <v>23.331199999999999</v>
      </c>
      <c r="AA97" s="62">
        <f t="shared" si="33"/>
        <v>23.285499999999999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4"/>
        <v>0183-14</v>
      </c>
      <c r="AE97" s="85" t="str">
        <f t="shared" si="35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97" s="82" t="str">
        <f t="shared" si="36"/>
        <v>"C:\Program Files (x86)\AstroGrep\AstroGrep.exe" /e /r /s /spath="%USERPROFILE%\AppData\Local\Temp\OnboardLogs" /stypes="app*4020*20170414*" /stext=" 20:.+((SYSTEM_STATE.+slice.+state.+changed )|(ment ac)|(multiple cpu faults)|(system.+state.+changed )|(\[timeout)|(PRM\|1\|D)|(kpr)|(kdp)|(\|lc)|(penalty))"</v>
      </c>
      <c r="AG97" s="1" t="str">
        <f t="shared" si="37"/>
        <v>EC</v>
      </c>
      <c r="AH97" s="86" t="str">
        <f t="shared" si="38"/>
        <v>"%USERPROFILE%\Documents\GitHub\eaglep3\Utilities\RefineRTDCRunTimes.py" --tripid 183-14 --locoid 4020 --swversion DE.1.0.9.0 --startMP 204:457 --initTime 2017-04-14T13:54:49 --startdatetime 2017-04-14T14:00:16 --delay 1 --endMP 204:233312 --enddatetime 2017-04-14T14:36:45 --enforcementcount 0 &gt;&gt;C:\Users\stu\Documents\GitHub\eaglep3-reporting\EC\2017-04-14-refined-times.txt</v>
      </c>
      <c r="AI97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{"issue":{"subject":"","project_id":79,"tracker_id":40,"status_id":1,"priority_id":2,"assigned_to_id":23,"start_date":"2017-04-14","description":"","custom_fields":[{"id":1,"name":"Subdivision","value":"EC"},{"id":4,"name":"Milepost","value":"23.3312"},{"id":17,"name":"Train ID","value":"183-14"},{"id":16,"name":"Locomotive ID","value":"4020"},{"id":130,"name":"Impact","value":""},{"id":150,"name":"Time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0"/>
        <v>start /low /b %USERPROFILE%\Documents\GitHub\eaglep3\Utilities\DownloadLogsFromS3.py --loco 4020 --day 2017-04-14</v>
      </c>
      <c r="AN97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770</v>
      </c>
      <c r="B98" s="7">
        <v>4019</v>
      </c>
      <c r="C98" s="21" t="s">
        <v>214</v>
      </c>
      <c r="D98" s="21" t="s">
        <v>899</v>
      </c>
      <c r="E98" s="13">
        <v>42839.618692129632</v>
      </c>
      <c r="F98" s="13">
        <v>42839.622488425928</v>
      </c>
      <c r="G98" s="7">
        <v>1</v>
      </c>
      <c r="H98" s="21" t="s">
        <v>877</v>
      </c>
      <c r="I98" s="13">
        <v>42839.650173611109</v>
      </c>
      <c r="J98" s="7">
        <v>0</v>
      </c>
      <c r="K98" s="97" t="str">
        <f t="shared" si="23"/>
        <v>4019/4020</v>
      </c>
      <c r="L98" s="21" t="str">
        <f>VLOOKUP(A98,'Trips&amp;Operators'!$C$1:$G$99999,5,FALSE)</f>
        <v>BRANDNER MELINDA</v>
      </c>
      <c r="M98" s="6">
        <f t="shared" si="24"/>
        <v>2.7685185181326233E-2</v>
      </c>
      <c r="N98" s="7">
        <f t="shared" si="25"/>
        <v>39.866666661109775</v>
      </c>
      <c r="O98" s="7"/>
      <c r="P98" s="7"/>
      <c r="Q98" s="22"/>
      <c r="R98" s="22"/>
      <c r="S98" s="31">
        <f t="shared" si="26"/>
        <v>1</v>
      </c>
      <c r="T98" s="46" t="str">
        <f t="shared" si="27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28"/>
        <v>https://d0f6bd738d7f1b3e5a7ca70fe4ff75f0.us-east-1.aws.found.io/app/kibana#/discover/Steve-Slow-Train-Analysis-(2080s-and-2083s)?_g=(refreshInterval:(display:Off,pause:!f,section:0,value:0),time:(from:'2017-04-14T13:50:55-0600',mode:absolute,to:'2017-04-14T16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183" t="str">
        <f t="shared" si="29"/>
        <v>N</v>
      </c>
      <c r="X98" s="183">
        <f t="shared" si="30"/>
        <v>1</v>
      </c>
      <c r="Y98" s="62">
        <f t="shared" si="31"/>
        <v>23.3</v>
      </c>
      <c r="Z98" s="62">
        <f t="shared" si="32"/>
        <v>1.3599999999999999E-2</v>
      </c>
      <c r="AA98" s="62">
        <f t="shared" si="33"/>
        <v>23.2864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4"/>
        <v>0184-14</v>
      </c>
      <c r="AE98" s="85" t="str">
        <f t="shared" si="35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98" s="82" t="str">
        <f t="shared" si="36"/>
        <v>"C:\Program Files (x86)\AstroGrep\AstroGrep.exe" /e /r /s /spath="%USERPROFILE%\AppData\Local\Temp\OnboardLogs" /stypes="app*4019*20170414*" /stext=" 21:.+((SYSTEM_STATE.+slice.+state.+changed )|(ment ac)|(multiple cpu faults)|(system.+state.+changed )|(\[timeout)|(PRM\|1\|D)|(kpr)|(kdp)|(\|lc)|(penalty))"</v>
      </c>
      <c r="AG98" s="1" t="str">
        <f t="shared" si="37"/>
        <v>EC</v>
      </c>
      <c r="AH98" s="86" t="str">
        <f t="shared" si="38"/>
        <v>"%USERPROFILE%\Documents\GitHub\eaglep3\Utilities\RefineRTDCRunTimes.py" --tripid 184-14 --locoid 4019 --swversion DE.1.0.9.0 --startMP 204:233000 --initTime 2017-04-14T14:50:55 --startdatetime 2017-04-14T14:56:23 --delay 1 --endMP 204:136 --enddatetime 2017-04-14T15:36:15 --enforcementcount 0 &gt;&gt;C:\Users\stu\Documents\GitHub\eaglep3-reporting\EC\2017-04-14-refined-times.txt</v>
      </c>
      <c r="AI98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{"issue":{"subject":"","project_id":79,"tracker_id":40,"status_id":1,"priority_id":2,"assigned_to_id":23,"start_date":"2017-04-14","description":"","custom_fields":[{"id":1,"name":"Subdivision","value":"EC"},{"id":4,"name":"Milepost","value":"0.0136"},{"id":17,"name":"Train ID","value":"184-14"},{"id":16,"name":"Locomotive ID","value":"4019"},{"id":130,"name":"Impact","value":""},{"id":150,"name":"Time of Event (Mountain Time)","value":"15:36:15"},{"id":151,"name":"Denver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0"/>
        <v>start /low /b %USERPROFILE%\Documents\GitHub\eaglep3\Utilities\DownloadLogsFromS3.py --loco 4019 --day 2017-04-14</v>
      </c>
      <c r="AN98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766</v>
      </c>
      <c r="B99" s="7">
        <v>4046</v>
      </c>
      <c r="C99" s="21" t="s">
        <v>214</v>
      </c>
      <c r="D99" s="21" t="s">
        <v>522</v>
      </c>
      <c r="E99" s="13">
        <v>42839.58902777778</v>
      </c>
      <c r="F99" s="13">
        <v>42839.594004629631</v>
      </c>
      <c r="G99" s="7">
        <v>1</v>
      </c>
      <c r="H99" s="21" t="s">
        <v>900</v>
      </c>
      <c r="I99" s="13">
        <v>42839.618831018517</v>
      </c>
      <c r="J99" s="7">
        <v>0</v>
      </c>
      <c r="K99" s="97" t="str">
        <f t="shared" si="23"/>
        <v>4045/4046</v>
      </c>
      <c r="L99" s="21" t="str">
        <f>VLOOKUP(A99,'Trips&amp;Operators'!$C$1:$G$99999,5,FALSE)</f>
        <v>MCREYNOLDS KYLE</v>
      </c>
      <c r="M99" s="6">
        <f t="shared" si="24"/>
        <v>2.4826388886140194E-2</v>
      </c>
      <c r="N99" s="7">
        <f t="shared" si="25"/>
        <v>35.749999996041879</v>
      </c>
      <c r="O99" s="7"/>
      <c r="P99" s="7"/>
      <c r="Q99" s="22"/>
      <c r="R99" s="22"/>
      <c r="S99" s="31">
        <f t="shared" si="26"/>
        <v>1</v>
      </c>
      <c r="T99" s="46" t="str">
        <f t="shared" si="27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28"/>
        <v>https://d0f6bd738d7f1b3e5a7ca70fe4ff75f0.us-east-1.aws.found.io/app/kibana#/discover/Steve-Slow-Train-Analysis-(2080s-and-2083s)?_g=(refreshInterval:(display:Off,pause:!f,section:0,value:0),time:(from:'2017-04-14T13:08:12-0600',mode:absolute,to:'2017-04-14T15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9" s="183" t="str">
        <f t="shared" si="29"/>
        <v>N</v>
      </c>
      <c r="X99" s="183">
        <f t="shared" si="30"/>
        <v>1</v>
      </c>
      <c r="Y99" s="62">
        <f t="shared" si="31"/>
        <v>4.3999999999999997E-2</v>
      </c>
      <c r="Z99" s="62">
        <f t="shared" si="32"/>
        <v>23.338200000000001</v>
      </c>
      <c r="AA99" s="62">
        <f t="shared" si="33"/>
        <v>23.2942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4"/>
        <v>0185-14</v>
      </c>
      <c r="AE99" s="85" t="str">
        <f t="shared" si="35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99" s="82" t="str">
        <f t="shared" si="36"/>
        <v>"C:\Program Files (x86)\AstroGrep\AstroGrep.exe" /e /r /s /spath="%USERPROFILE%\AppData\Local\Temp\OnboardLogs" /stypes="app*4046*20170414*" /stext=" 20:.+((SYSTEM_STATE.+slice.+state.+changed )|(ment ac)|(multiple cpu faults)|(system.+state.+changed )|(\[timeout)|(PRM\|1\|D)|(kpr)|(kdp)|(\|lc)|(penalty))"</v>
      </c>
      <c r="AG99" s="1" t="str">
        <f t="shared" si="37"/>
        <v>EC</v>
      </c>
      <c r="AH99" s="86" t="str">
        <f t="shared" si="38"/>
        <v>"%USERPROFILE%\Documents\GitHub\eaglep3\Utilities\RefineRTDCRunTimes.py" --tripid 185-14 --locoid 4046 --swversion DE.1.0.9.0 --startMP 204:440 --initTime 2017-04-14T14:08:12 --startdatetime 2017-04-14T14:15:22 --delay 1 --endMP 204:233382 --enddatetime 2017-04-14T14:51:07 --enforcementcount 0 &gt;&gt;C:\Users\stu\Documents\GitHub\eaglep3-reporting\EC\2017-04-14-refined-times.txt</v>
      </c>
      <c r="AI99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{"issue":{"subject":"","project_id":79,"tracker_id":40,"status_id":1,"priority_id":2,"assigned_to_id":23,"start_date":"2017-04-14","description":"","custom_fields":[{"id":1,"name":"Subdivision","value":"EC"},{"id":4,"name":"Milepost","value":"23.3382"},{"id":17,"name":"Train ID","value":"185-14"},{"id":16,"name":"Locomotive ID","value":"4046"},{"id":130,"name":"Impact","value":""},{"id":150,"name":"Time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0"/>
        <v>start /low /b %USERPROFILE%\Documents\GitHub\eaglep3\Utilities\DownloadLogsFromS3.py --loco 4046 --day 2017-04-14</v>
      </c>
      <c r="AN99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772</v>
      </c>
      <c r="B100" s="7">
        <v>4045</v>
      </c>
      <c r="C100" s="21" t="s">
        <v>214</v>
      </c>
      <c r="D100" s="21" t="s">
        <v>901</v>
      </c>
      <c r="E100" s="13">
        <v>42839.624259259261</v>
      </c>
      <c r="F100" s="13">
        <v>42839.6328587963</v>
      </c>
      <c r="G100" s="7">
        <v>1</v>
      </c>
      <c r="H100" s="21" t="s">
        <v>508</v>
      </c>
      <c r="I100" s="13">
        <v>42839.660532407404</v>
      </c>
      <c r="J100" s="7">
        <v>0</v>
      </c>
      <c r="K100" s="97" t="str">
        <f t="shared" si="23"/>
        <v>4045/4046</v>
      </c>
      <c r="L100" s="21" t="str">
        <f>VLOOKUP(A100,'Trips&amp;Operators'!$C$1:$G$99999,5,FALSE)</f>
        <v>MCREYNOLDS KYLE</v>
      </c>
      <c r="M100" s="6">
        <f t="shared" si="24"/>
        <v>2.767361110454658E-2</v>
      </c>
      <c r="N100" s="7">
        <f t="shared" si="25"/>
        <v>39.849999990547076</v>
      </c>
      <c r="O100" s="7"/>
      <c r="P100" s="7"/>
      <c r="Q100" s="22"/>
      <c r="R100" s="22"/>
      <c r="S100" s="31">
        <f t="shared" si="26"/>
        <v>1</v>
      </c>
      <c r="T100" s="46" t="str">
        <f t="shared" si="27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28"/>
        <v>https://d0f6bd738d7f1b3e5a7ca70fe4ff75f0.us-east-1.aws.found.io/app/kibana#/discover/Steve-Slow-Train-Analysis-(2080s-and-2083s)?_g=(refreshInterval:(display:Off,pause:!f,section:0,value:0),time:(from:'2017-04-14T13:58:56-0600',mode:absolute,to:'2017-04-14T16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0" s="183" t="str">
        <f t="shared" si="29"/>
        <v>N</v>
      </c>
      <c r="X100" s="183">
        <f t="shared" si="30"/>
        <v>1</v>
      </c>
      <c r="Y100" s="62">
        <f t="shared" si="31"/>
        <v>23.303999999999998</v>
      </c>
      <c r="Z100" s="62">
        <f t="shared" si="32"/>
        <v>1.49E-2</v>
      </c>
      <c r="AA100" s="62">
        <f t="shared" si="33"/>
        <v>23.289099999999998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4"/>
        <v>0186-14</v>
      </c>
      <c r="AE100" s="85" t="str">
        <f t="shared" si="35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100" s="82" t="str">
        <f t="shared" si="36"/>
        <v>"C:\Program Files (x86)\AstroGrep\AstroGrep.exe" /e /r /s /spath="%USERPROFILE%\AppData\Local\Temp\OnboardLogs" /stypes="app*4045*20170414*" /stext=" 21:.+((SYSTEM_STATE.+slice.+state.+changed )|(ment ac)|(multiple cpu faults)|(system.+state.+changed )|(\[timeout)|(PRM\|1\|D)|(kpr)|(kdp)|(\|lc)|(penalty))"</v>
      </c>
      <c r="AG100" s="1" t="str">
        <f t="shared" si="37"/>
        <v>EC</v>
      </c>
      <c r="AH100" s="86" t="str">
        <f t="shared" si="38"/>
        <v>"%USERPROFILE%\Documents\GitHub\eaglep3\Utilities\RefineRTDCRunTimes.py" --tripid 186-14 --locoid 4045 --swversion DE.1.0.9.0 --startMP 204:233040 --initTime 2017-04-14T14:58:56 --startdatetime 2017-04-14T15:11:19 --delay 1 --endMP 204:149 --enddatetime 2017-04-14T15:51:10 --enforcementcount 0 &gt;&gt;C:\Users\stu\Documents\GitHub\eaglep3-reporting\EC\2017-04-14-refined-times.txt</v>
      </c>
      <c r="AI100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{"issue":{"subject":"","project_id":79,"tracker_id":40,"status_id":1,"priority_id":2,"assigned_to_id":23,"start_date":"2017-04-14","description":"","custom_fields":[{"id":1,"name":"Subdivision","value":"EC"},{"id":4,"name":"Milepost","value":"0.0149"},{"id":17,"name":"Train ID","value":"186-14"},{"id":16,"name":"Locomotive ID","value":"4045"},{"id":130,"name":"Impact","value":""},{"id":150,"name":"Time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0"/>
        <v>start /low /b %USERPROFILE%\Documents\GitHub\eaglep3\Utilities\DownloadLogsFromS3.py --loco 4045 --day 2017-04-14</v>
      </c>
      <c r="AN100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642</v>
      </c>
      <c r="B101" s="7">
        <v>4042</v>
      </c>
      <c r="C101" s="21" t="s">
        <v>214</v>
      </c>
      <c r="D101" s="21" t="s">
        <v>209</v>
      </c>
      <c r="E101" s="13">
        <v>42839.599965277775</v>
      </c>
      <c r="F101" s="13">
        <v>42839.604375000003</v>
      </c>
      <c r="G101" s="7">
        <v>2</v>
      </c>
      <c r="H101" s="21" t="s">
        <v>902</v>
      </c>
      <c r="I101" s="13">
        <v>42839.629594907405</v>
      </c>
      <c r="J101" s="7">
        <v>0</v>
      </c>
      <c r="K101" s="97" t="str">
        <f t="shared" si="23"/>
        <v>4041/4042</v>
      </c>
      <c r="L101" s="21" t="str">
        <f>VLOOKUP(A101,'Trips&amp;Operators'!$C$1:$G$99999,5,FALSE)</f>
        <v>STEWART MICHAEL</v>
      </c>
      <c r="M101" s="6">
        <f t="shared" si="24"/>
        <v>2.5219907402060926E-2</v>
      </c>
      <c r="N101" s="7">
        <f t="shared" si="25"/>
        <v>36.316666658967733</v>
      </c>
      <c r="O101" s="7"/>
      <c r="P101" s="7"/>
      <c r="Q101" s="22"/>
      <c r="R101" s="22"/>
      <c r="S101" s="31">
        <f t="shared" si="26"/>
        <v>1</v>
      </c>
      <c r="T101" s="46" t="str">
        <f t="shared" si="27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28"/>
        <v>https://d0f6bd738d7f1b3e5a7ca70fe4ff75f0.us-east-1.aws.found.io/app/kibana#/discover/Steve-Slow-Train-Analysis-(2080s-and-2083s)?_g=(refreshInterval:(display:Off,pause:!f,section:0,value:0),time:(from:'2017-04-14T13:23:57-0600',mode:absolute,to:'2017-04-14T16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83" t="str">
        <f t="shared" si="29"/>
        <v>N</v>
      </c>
      <c r="X101" s="183">
        <f t="shared" si="30"/>
        <v>1</v>
      </c>
      <c r="Y101" s="62">
        <f t="shared" si="31"/>
        <v>4.53E-2</v>
      </c>
      <c r="Z101" s="62">
        <f t="shared" si="32"/>
        <v>23.302499999999998</v>
      </c>
      <c r="AA101" s="62">
        <f t="shared" si="33"/>
        <v>23.257199999999997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4"/>
        <v>0187-14</v>
      </c>
      <c r="AE101" s="85" t="str">
        <f t="shared" si="35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101" s="82" t="str">
        <f t="shared" si="36"/>
        <v>"C:\Program Files (x86)\AstroGrep\AstroGrep.exe" /e /r /s /spath="%USERPROFILE%\AppData\Local\Temp\OnboardLogs" /stypes="app*4042*20170414*" /stext=" 21:.+((SYSTEM_STATE.+slice.+state.+changed )|(ment ac)|(multiple cpu faults)|(system.+state.+changed )|(\[timeout)|(PRM\|1\|D)|(kpr)|(kdp)|(\|lc)|(penalty))"</v>
      </c>
      <c r="AG101" s="1" t="str">
        <f t="shared" si="37"/>
        <v>EC</v>
      </c>
      <c r="AH101" s="86" t="str">
        <f t="shared" si="38"/>
        <v>"%USERPROFILE%\Documents\GitHub\eaglep3\Utilities\RefineRTDCRunTimes.py" --tripid 187-14 --locoid 4042 --swversion DE.1.0.9.0 --startMP 204:453 --initTime 2017-04-14T14:23:57 --startdatetime 2017-04-14T14:30:18 --delay 2 --endMP 204:233025 --enddatetime 2017-04-14T15:06:37 --enforcementcount 0 &gt;&gt;C:\Users\stu\Documents\GitHub\eaglep3-reporting\EC\2017-04-14-refined-times.txt</v>
      </c>
      <c r="AI101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{"issue":{"subject":"","project_id":79,"tracker_id":40,"status_id":1,"priority_id":2,"assigned_to_id":23,"start_date":"2017-04-14","description":"","custom_fields":[{"id":1,"name":"Subdivision","value":"EC"},{"id":4,"name":"Milepost","value":"23.3025"},{"id":17,"name":"Train ID","value":"187-14"},{"id":16,"name":"Locomotive ID","value":"4042"},{"id":130,"name":"Impact","value":""},{"id":150,"name":"Time of Event (Mountain Time)","value":"15:06:37"},{"id":151,"name":"Denver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0"/>
        <v>start /low /b %USERPROFILE%\Documents\GitHub\eaglep3\Utilities\DownloadLogsFromS3.py --loco 4042 --day 2017-04-14</v>
      </c>
      <c r="AN101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776</v>
      </c>
      <c r="B102" s="7">
        <v>4041</v>
      </c>
      <c r="C102" s="21" t="s">
        <v>214</v>
      </c>
      <c r="D102" s="21" t="s">
        <v>545</v>
      </c>
      <c r="E102" s="13">
        <v>42839.641446759262</v>
      </c>
      <c r="F102" s="13">
        <v>42839.643240740741</v>
      </c>
      <c r="G102" s="7">
        <v>1</v>
      </c>
      <c r="H102" s="21" t="s">
        <v>489</v>
      </c>
      <c r="I102" s="13">
        <v>42839.670960648145</v>
      </c>
      <c r="J102" s="7">
        <v>0</v>
      </c>
      <c r="K102" s="97" t="str">
        <f t="shared" si="23"/>
        <v>4041/4042</v>
      </c>
      <c r="L102" s="21" t="str">
        <f>VLOOKUP(A102,'Trips&amp;Operators'!$C$1:$G$99999,5,FALSE)</f>
        <v>STEWART MICHAEL</v>
      </c>
      <c r="M102" s="6">
        <f t="shared" si="24"/>
        <v>2.7719907404389232E-2</v>
      </c>
      <c r="N102" s="7">
        <f t="shared" si="25"/>
        <v>39.916666662320495</v>
      </c>
      <c r="O102" s="7"/>
      <c r="P102" s="7"/>
      <c r="Q102" s="22"/>
      <c r="R102" s="22"/>
      <c r="S102" s="31">
        <f t="shared" si="26"/>
        <v>1</v>
      </c>
      <c r="T102" s="46" t="str">
        <f t="shared" si="27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28"/>
        <v>https://d0f6bd738d7f1b3e5a7ca70fe4ff75f0.us-east-1.aws.found.io/app/kibana#/discover/Steve-Slow-Train-Analysis-(2080s-and-2083s)?_g=(refreshInterval:(display:Off,pause:!f,section:0,value:0),time:(from:'2017-04-14T14:23:41-0600',mode:absolute,to:'2017-04-14T17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83" t="str">
        <f t="shared" si="29"/>
        <v>N</v>
      </c>
      <c r="X102" s="183">
        <f t="shared" si="30"/>
        <v>1</v>
      </c>
      <c r="Y102" s="62">
        <f t="shared" si="31"/>
        <v>23.298100000000002</v>
      </c>
      <c r="Z102" s="62">
        <f t="shared" si="32"/>
        <v>1.4999999999999999E-2</v>
      </c>
      <c r="AA102" s="62">
        <f t="shared" si="33"/>
        <v>23.283100000000001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4"/>
        <v>0188-14</v>
      </c>
      <c r="AE102" s="85" t="str">
        <f t="shared" si="35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102" s="82" t="str">
        <f t="shared" si="36"/>
        <v>"C:\Program Files (x86)\AstroGrep\AstroGrep.exe" /e /r /s /spath="%USERPROFILE%\AppData\Local\Temp\OnboardLogs" /stypes="app*4041*20170414*" /stext=" 22:.+((SYSTEM_STATE.+slice.+state.+changed )|(ment ac)|(multiple cpu faults)|(system.+state.+changed )|(\[timeout)|(PRM\|1\|D)|(kpr)|(kdp)|(\|lc)|(penalty))"</v>
      </c>
      <c r="AG102" s="1" t="str">
        <f t="shared" si="37"/>
        <v>EC</v>
      </c>
      <c r="AH102" s="86" t="str">
        <f t="shared" si="38"/>
        <v>"%USERPROFILE%\Documents\GitHub\eaglep3\Utilities\RefineRTDCRunTimes.py" --tripid 188-14 --locoid 4041 --swversion DE.1.0.9.0 --startMP 204:232981 --initTime 2017-04-14T15:23:41 --startdatetime 2017-04-14T15:26:16 --delay 1 --endMP 204:150 --enddatetime 2017-04-14T16:06:11 --enforcementcount 0 &gt;&gt;C:\Users\stu\Documents\GitHub\eaglep3-reporting\EC\2017-04-14-refined-times.txt</v>
      </c>
      <c r="AI102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{"issue":{"subject":"","project_id":79,"tracker_id":40,"status_id":1,"priority_id":2,"assigned_to_id":23,"start_date":"2017-04-14","description":"","custom_fields":[{"id":1,"name":"Subdivision","value":"EC"},{"id":4,"name":"Milepost","value":"0.015"},{"id":17,"name":"Train ID","value":"188-14"},{"id":16,"name":"Locomotive ID","value":"4041"},{"id":130,"name":"Impact","value":""},{"id":150,"name":"Time of Event (Mountain Time)","value":"16:06:11"},{"id":151,"name":"Denver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0"/>
        <v>start /low /b %USERPROFILE%\Documents\GitHub\eaglep3\Utilities\DownloadLogsFromS3.py --loco 4041 --day 2017-04-14</v>
      </c>
      <c r="AN102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769</v>
      </c>
      <c r="B103" s="7">
        <v>4004</v>
      </c>
      <c r="C103" s="21" t="s">
        <v>214</v>
      </c>
      <c r="D103" s="21" t="s">
        <v>411</v>
      </c>
      <c r="E103" s="13">
        <v>42839.609571759262</v>
      </c>
      <c r="F103" s="13">
        <v>42839.614745370367</v>
      </c>
      <c r="G103" s="7">
        <v>1</v>
      </c>
      <c r="H103" s="21" t="s">
        <v>903</v>
      </c>
      <c r="I103" s="13">
        <v>42839.639722222222</v>
      </c>
      <c r="J103" s="7">
        <v>0</v>
      </c>
      <c r="K103" s="97" t="str">
        <f t="shared" si="23"/>
        <v>4003/4004</v>
      </c>
      <c r="L103" s="21" t="str">
        <f>VLOOKUP(A103,'Trips&amp;Operators'!$C$1:$G$99999,5,FALSE)</f>
        <v>WHITED DUSTIN</v>
      </c>
      <c r="M103" s="6">
        <f t="shared" si="24"/>
        <v>2.4976851855171844E-2</v>
      </c>
      <c r="N103" s="7">
        <f t="shared" si="25"/>
        <v>35.966666671447456</v>
      </c>
      <c r="O103" s="7"/>
      <c r="P103" s="7"/>
      <c r="Q103" s="22"/>
      <c r="R103" s="22"/>
      <c r="S103" s="31">
        <f t="shared" si="26"/>
        <v>1</v>
      </c>
      <c r="T103" s="46" t="str">
        <f t="shared" si="27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28"/>
        <v>https://d0f6bd738d7f1b3e5a7ca70fe4ff75f0.us-east-1.aws.found.io/app/kibana#/discover/Steve-Slow-Train-Analysis-(2080s-and-2083s)?_g=(refreshInterval:(display:Off,pause:!f,section:0,value:0),time:(from:'2017-04-14T13:37:47-0600',mode:absolute,to:'2017-04-14T16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183" t="str">
        <f t="shared" si="29"/>
        <v>N</v>
      </c>
      <c r="X103" s="183">
        <f t="shared" si="30"/>
        <v>1</v>
      </c>
      <c r="Y103" s="62">
        <f t="shared" si="31"/>
        <v>4.4600000000000001E-2</v>
      </c>
      <c r="Z103" s="62">
        <f t="shared" si="32"/>
        <v>23.332599999999999</v>
      </c>
      <c r="AA103" s="62">
        <f t="shared" si="33"/>
        <v>23.288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4"/>
        <v>0189-14</v>
      </c>
      <c r="AE103" s="85" t="str">
        <f t="shared" si="35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103" s="82" t="str">
        <f t="shared" si="36"/>
        <v>"C:\Program Files (x86)\AstroGrep\AstroGrep.exe" /e /r /s /spath="%USERPROFILE%\AppData\Local\Temp\OnboardLogs" /stypes="app*4004*20170414*" /stext=" 21:.+((SYSTEM_STATE.+slice.+state.+changed )|(ment ac)|(multiple cpu faults)|(system.+state.+changed )|(\[timeout)|(PRM\|1\|D)|(kpr)|(kdp)|(\|lc)|(penalty))"</v>
      </c>
      <c r="AG103" s="1" t="str">
        <f t="shared" si="37"/>
        <v>EC</v>
      </c>
      <c r="AH103" s="86" t="str">
        <f t="shared" si="38"/>
        <v>"%USERPROFILE%\Documents\GitHub\eaglep3\Utilities\RefineRTDCRunTimes.py" --tripid 189-14 --locoid 4004 --swversion DE.1.0.9.0 --startMP 204:446 --initTime 2017-04-14T14:37:47 --startdatetime 2017-04-14T14:45:14 --delay 1 --endMP 204:233326 --enddatetime 2017-04-14T15:21:12 --enforcementcount 0 &gt;&gt;C:\Users\stu\Documents\GitHub\eaglep3-reporting\EC\2017-04-14-refined-times.txt</v>
      </c>
      <c r="AI103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{"issue":{"subject":"","project_id":79,"tracker_id":40,"status_id":1,"priority_id":2,"assigned_to_id":23,"start_date":"2017-04-14","description":"","custom_fields":[{"id":1,"name":"Subdivision","value":"EC"},{"id":4,"name":"Milepost","value":"23.3326"},{"id":17,"name":"Train ID","value":"189-14"},{"id":16,"name":"Locomotive ID","value":"4004"},{"id":130,"name":"Impact","value":""},{"id":150,"name":"Time of Event (Mountain Time)","value":"15:21:12"},{"id":151,"name":"Denver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0"/>
        <v>start /low /b %USERPROFILE%\Documents\GitHub\eaglep3\Utilities\DownloadLogsFromS3.py --loco 4004 --day 2017-04-14</v>
      </c>
      <c r="AN103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778</v>
      </c>
      <c r="B104" s="7">
        <v>4003</v>
      </c>
      <c r="C104" s="21" t="s">
        <v>214</v>
      </c>
      <c r="D104" s="21" t="s">
        <v>904</v>
      </c>
      <c r="E104" s="13">
        <v>42839.648379629631</v>
      </c>
      <c r="F104" s="13">
        <v>42839.653726851851</v>
      </c>
      <c r="G104" s="7">
        <v>1</v>
      </c>
      <c r="H104" s="21" t="s">
        <v>546</v>
      </c>
      <c r="I104" s="13">
        <v>42839.681006944447</v>
      </c>
      <c r="J104" s="7">
        <v>0</v>
      </c>
      <c r="K104" s="97" t="str">
        <f t="shared" si="23"/>
        <v>4003/4004</v>
      </c>
      <c r="L104" s="21" t="str">
        <f>VLOOKUP(A104,'Trips&amp;Operators'!$C$1:$G$99999,5,FALSE)</f>
        <v>WHITED DUSTIN</v>
      </c>
      <c r="M104" s="6">
        <f t="shared" si="24"/>
        <v>2.7280092595901806E-2</v>
      </c>
      <c r="N104" s="7">
        <f t="shared" si="25"/>
        <v>39.283333338098601</v>
      </c>
      <c r="O104" s="7"/>
      <c r="P104" s="7"/>
      <c r="Q104" s="22"/>
      <c r="R104" s="22"/>
      <c r="S104" s="31">
        <f t="shared" si="26"/>
        <v>1</v>
      </c>
      <c r="T104" s="46" t="str">
        <f t="shared" si="27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28"/>
        <v>https://d0f6bd738d7f1b3e5a7ca70fe4ff75f0.us-east-1.aws.found.io/app/kibana#/discover/Steve-Slow-Train-Analysis-(2080s-and-2083s)?_g=(refreshInterval:(display:Off,pause:!f,section:0,value:0),time:(from:'2017-04-14T14:33:40-0600',mode:absolute,to:'2017-04-14T17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183" t="str">
        <f t="shared" si="29"/>
        <v>N</v>
      </c>
      <c r="X104" s="183">
        <f t="shared" si="30"/>
        <v>1</v>
      </c>
      <c r="Y104" s="62">
        <f t="shared" si="31"/>
        <v>23.300899999999999</v>
      </c>
      <c r="Z104" s="62">
        <f t="shared" si="32"/>
        <v>1.3899999999999999E-2</v>
      </c>
      <c r="AA104" s="62">
        <f t="shared" si="33"/>
        <v>23.286999999999999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4"/>
        <v>0190-14</v>
      </c>
      <c r="AE104" s="85" t="str">
        <f t="shared" si="35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104" s="82" t="str">
        <f t="shared" si="36"/>
        <v>"C:\Program Files (x86)\AstroGrep\AstroGrep.exe" /e /r /s /spath="%USERPROFILE%\AppData\Local\Temp\OnboardLogs" /stypes="app*4003*20170414*" /stext=" 22:.+((SYSTEM_STATE.+slice.+state.+changed )|(ment ac)|(multiple cpu faults)|(system.+state.+changed )|(\[timeout)|(PRM\|1\|D)|(kpr)|(kdp)|(\|lc)|(penalty))"</v>
      </c>
      <c r="AG104" s="1" t="str">
        <f t="shared" si="37"/>
        <v>EC</v>
      </c>
      <c r="AH104" s="86" t="str">
        <f t="shared" si="38"/>
        <v>"%USERPROFILE%\Documents\GitHub\eaglep3\Utilities\RefineRTDCRunTimes.py" --tripid 190-14 --locoid 4003 --swversion DE.1.0.9.0 --startMP 204:233009 --initTime 2017-04-14T15:33:40 --startdatetime 2017-04-14T15:41:22 --delay 1 --endMP 204:139 --enddatetime 2017-04-14T16:20:39 --enforcementcount 0 &gt;&gt;C:\Users\stu\Documents\GitHub\eaglep3-reporting\EC\2017-04-14-refined-times.txt</v>
      </c>
      <c r="AI104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ID","value":"190-14"},{"id":16,"name":"Locomotive ID","value":"4003"},{"id":130,"name":"Impact","value":""},{"id":150,"name":"Time of Event (Mountain Time)","value":"16:20:39"},{"id":151,"name":"Denver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0"/>
        <v>start /low /b %USERPROFILE%\Documents\GitHub\eaglep3\Utilities\DownloadLogsFromS3.py --loco 4003 --day 2017-04-14</v>
      </c>
      <c r="AN104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771</v>
      </c>
      <c r="B105" s="7">
        <v>4010</v>
      </c>
      <c r="C105" s="21" t="s">
        <v>214</v>
      </c>
      <c r="D105" s="21" t="s">
        <v>464</v>
      </c>
      <c r="E105" s="13">
        <v>42839.622094907405</v>
      </c>
      <c r="F105" s="13">
        <v>42839.625185185185</v>
      </c>
      <c r="G105" s="7">
        <v>0</v>
      </c>
      <c r="H105" s="21" t="s">
        <v>905</v>
      </c>
      <c r="I105" s="13">
        <v>42839.650833333333</v>
      </c>
      <c r="J105" s="7">
        <v>0</v>
      </c>
      <c r="K105" s="97" t="str">
        <f t="shared" si="23"/>
        <v>4009/4010</v>
      </c>
      <c r="L105" s="21" t="str">
        <f>VLOOKUP(A105,'Trips&amp;Operators'!$C$1:$G$99999,5,FALSE)</f>
        <v>CLARK KATHLEEN</v>
      </c>
      <c r="M105" s="6">
        <f t="shared" si="24"/>
        <v>2.5648148148320615E-2</v>
      </c>
      <c r="N105" s="7">
        <f t="shared" si="25"/>
        <v>36.933333333581686</v>
      </c>
      <c r="O105" s="7"/>
      <c r="P105" s="7"/>
      <c r="Q105" s="22"/>
      <c r="R105" s="22"/>
      <c r="S105" s="31">
        <f t="shared" si="26"/>
        <v>1</v>
      </c>
      <c r="T105" s="46" t="str">
        <f t="shared" si="27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28"/>
        <v>https://d0f6bd738d7f1b3e5a7ca70fe4ff75f0.us-east-1.aws.found.io/app/kibana#/discover/Steve-Slow-Train-Analysis-(2080s-and-2083s)?_g=(refreshInterval:(display:Off,pause:!f,section:0,value:0),time:(from:'2017-04-14T13:55:49-0600',mode:absolute,to:'2017-04-14T16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183" t="str">
        <f t="shared" si="29"/>
        <v>N</v>
      </c>
      <c r="X105" s="183">
        <f t="shared" si="30"/>
        <v>1</v>
      </c>
      <c r="Y105" s="62">
        <f t="shared" si="31"/>
        <v>4.6899999999999997E-2</v>
      </c>
      <c r="Z105" s="62">
        <f t="shared" si="32"/>
        <v>23.3263</v>
      </c>
      <c r="AA105" s="62">
        <f t="shared" si="33"/>
        <v>23.279399999999999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4"/>
        <v>0191-14</v>
      </c>
      <c r="AE105" s="85" t="str">
        <f t="shared" si="35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105" s="82" t="str">
        <f t="shared" si="36"/>
        <v>"C:\Program Files (x86)\AstroGrep\AstroGrep.exe" /e /r /s /spath="%USERPROFILE%\AppData\Local\Temp\OnboardLogs" /stypes="app*4010*20170414*" /stext=" 21:.+((SYSTEM_STATE.+slice.+state.+changed )|(ment ac)|(multiple cpu faults)|(system.+state.+changed )|(\[timeout)|(PRM\|1\|D)|(kpr)|(kdp)|(\|lc)|(penalty))"</v>
      </c>
      <c r="AG105" s="1" t="str">
        <f t="shared" si="37"/>
        <v>EC</v>
      </c>
      <c r="AH105" s="86" t="str">
        <f t="shared" si="38"/>
        <v>"%USERPROFILE%\Documents\GitHub\eaglep3\Utilities\RefineRTDCRunTimes.py" --tripid 191-14 --locoid 4010 --swversion DE.1.0.9.0 --startMP 204:469 --initTime 2017-04-14T14:55:49 --startdatetime 2017-04-14T15:00:16 --delay 0 --endMP 204:233263 --enddatetime 2017-04-14T15:37:12 --enforcementcount 0 &gt;&gt;C:\Users\stu\Documents\GitHub\eaglep3-reporting\EC\2017-04-14-refined-times.txt</v>
      </c>
      <c r="AI105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{"issue":{"subject":"","project_id":79,"tracker_id":40,"status_id":1,"priority_id":2,"assigned_to_id":23,"start_date":"2017-04-14","description":"","custom_fields":[{"id":1,"name":"Subdivision","value":"EC"},{"id":4,"name":"Milepost","value":"23.3263"},{"id":17,"name":"Train ID","value":"191-14"},{"id":16,"name":"Locomotive ID","value":"4010"},{"id":130,"name":"Impact","value":""},{"id":150,"name":"Time of Event (Mountain Time)","value":"15:37:12"},{"id":151,"name":"Denver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0"/>
        <v>start /low /b %USERPROFILE%\Documents\GitHub\eaglep3\Utilities\DownloadLogsFromS3.py --loco 4010 --day 2017-04-14</v>
      </c>
      <c r="AN105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782</v>
      </c>
      <c r="B106" s="7">
        <v>4009</v>
      </c>
      <c r="C106" s="21" t="s">
        <v>214</v>
      </c>
      <c r="D106" s="21" t="s">
        <v>906</v>
      </c>
      <c r="E106" s="13">
        <v>42839.659317129626</v>
      </c>
      <c r="F106" s="13">
        <v>42839.6640625</v>
      </c>
      <c r="G106" s="7">
        <v>1</v>
      </c>
      <c r="H106" s="21" t="s">
        <v>495</v>
      </c>
      <c r="I106" s="13">
        <v>42839.692418981482</v>
      </c>
      <c r="J106" s="7">
        <v>0</v>
      </c>
      <c r="K106" s="97" t="str">
        <f t="shared" si="23"/>
        <v>4009/4010</v>
      </c>
      <c r="L106" s="21" t="str">
        <f>VLOOKUP(A106,'Trips&amp;Operators'!$C$1:$G$99999,5,FALSE)</f>
        <v>CLARK KATHLEEN</v>
      </c>
      <c r="M106" s="6">
        <f t="shared" si="24"/>
        <v>2.8356481481750961E-2</v>
      </c>
      <c r="N106" s="7">
        <f t="shared" si="25"/>
        <v>40.833333333721384</v>
      </c>
      <c r="O106" s="7"/>
      <c r="P106" s="7"/>
      <c r="Q106" s="22"/>
      <c r="R106" s="22"/>
      <c r="S106" s="31">
        <f t="shared" si="26"/>
        <v>1</v>
      </c>
      <c r="T106" s="46" t="str">
        <f t="shared" si="27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28"/>
        <v>https://d0f6bd738d7f1b3e5a7ca70fe4ff75f0.us-east-1.aws.found.io/app/kibana#/discover/Steve-Slow-Train-Analysis-(2080s-and-2083s)?_g=(refreshInterval:(display:Off,pause:!f,section:0,value:0),time:(from:'2017-04-14T14:49:25-0600',mode:absolute,to:'2017-04-14T17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183" t="str">
        <f t="shared" si="29"/>
        <v>N</v>
      </c>
      <c r="X106" s="183">
        <f t="shared" si="30"/>
        <v>1</v>
      </c>
      <c r="Y106" s="62">
        <f t="shared" si="31"/>
        <v>23.293800000000001</v>
      </c>
      <c r="Z106" s="62">
        <f t="shared" si="32"/>
        <v>1.7000000000000001E-2</v>
      </c>
      <c r="AA106" s="62">
        <f t="shared" si="33"/>
        <v>23.276800000000001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4"/>
        <v>0192-14</v>
      </c>
      <c r="AE106" s="85" t="str">
        <f t="shared" si="35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106" s="82" t="str">
        <f t="shared" si="36"/>
        <v>"C:\Program Files (x86)\AstroGrep\AstroGrep.exe" /e /r /s /spath="%USERPROFILE%\AppData\Local\Temp\OnboardLogs" /stypes="app*4009*20170414*" /stext=" 22:.+((SYSTEM_STATE.+slice.+state.+changed )|(ment ac)|(multiple cpu faults)|(system.+state.+changed )|(\[timeout)|(PRM\|1\|D)|(kpr)|(kdp)|(\|lc)|(penalty))"</v>
      </c>
      <c r="AG106" s="1" t="str">
        <f t="shared" si="37"/>
        <v>EC</v>
      </c>
      <c r="AH106" s="86" t="str">
        <f t="shared" si="38"/>
        <v>"%USERPROFILE%\Documents\GitHub\eaglep3\Utilities\RefineRTDCRunTimes.py" --tripid 192-14 --locoid 4009 --swversion DE.1.0.9.0 --startMP 204:232938 --initTime 2017-04-14T15:49:25 --startdatetime 2017-04-14T15:56:15 --delay 1 --endMP 204:170 --enddatetime 2017-04-14T16:37:05 --enforcementcount 0 &gt;&gt;C:\Users\stu\Documents\GitHub\eaglep3-reporting\EC\2017-04-14-refined-times.txt</v>
      </c>
      <c r="AI106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{"issue":{"subject":"","project_id":79,"tracker_id":40,"status_id":1,"priority_id":2,"assigned_to_id":23,"start_date":"2017-04-14","description":"","custom_fields":[{"id":1,"name":"Subdivision","value":"EC"},{"id":4,"name":"Milepost","value":"0.017"},{"id":17,"name":"Train ID","value":"192-14"},{"id":16,"name":"Locomotive ID","value":"4009"},{"id":130,"name":"Impact","value":""},{"id":150,"name":"Time of Event (Mountain Time)","value":"16:37:05"},{"id":151,"name":"Denver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0"/>
        <v>start /low /b %USERPROFILE%\Documents\GitHub\eaglep3\Utilities\DownloadLogsFromS3.py --loco 4009 --day 2017-04-14</v>
      </c>
      <c r="AN106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773</v>
      </c>
      <c r="B107" s="7">
        <v>4032</v>
      </c>
      <c r="C107" s="21" t="s">
        <v>214</v>
      </c>
      <c r="D107" s="21" t="s">
        <v>420</v>
      </c>
      <c r="E107" s="13">
        <v>42839.630219907405</v>
      </c>
      <c r="F107" s="13">
        <v>42839.635659722226</v>
      </c>
      <c r="G107" s="7">
        <v>1</v>
      </c>
      <c r="H107" s="21" t="s">
        <v>593</v>
      </c>
      <c r="I107" s="13">
        <v>42839.659988425927</v>
      </c>
      <c r="J107" s="7">
        <v>0</v>
      </c>
      <c r="K107" s="97" t="str">
        <f t="shared" si="23"/>
        <v>4031/4032</v>
      </c>
      <c r="L107" s="21" t="str">
        <f>VLOOKUP(A107,'Trips&amp;Operators'!$C$1:$G$99999,5,FALSE)</f>
        <v>BRUDER RICHARD</v>
      </c>
      <c r="M107" s="6">
        <f t="shared" si="24"/>
        <v>2.4328703701030463E-2</v>
      </c>
      <c r="N107" s="7">
        <f t="shared" si="25"/>
        <v>35.033333329483867</v>
      </c>
      <c r="O107" s="7"/>
      <c r="P107" s="7"/>
      <c r="Q107" s="22"/>
      <c r="R107" s="22"/>
      <c r="S107" s="31">
        <f t="shared" si="26"/>
        <v>1</v>
      </c>
      <c r="T107" s="46" t="str">
        <f t="shared" si="27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28"/>
        <v>https://d0f6bd738d7f1b3e5a7ca70fe4ff75f0.us-east-1.aws.found.io/app/kibana#/discover/Steve-Slow-Train-Analysis-(2080s-and-2083s)?_g=(refreshInterval:(display:Off,pause:!f,section:0,value:0),time:(from:'2017-04-14T14:07:31-0600',mode:absolute,to:'2017-04-14T16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83" t="str">
        <f t="shared" si="29"/>
        <v>N</v>
      </c>
      <c r="X107" s="183">
        <f t="shared" si="30"/>
        <v>1</v>
      </c>
      <c r="Y107" s="62">
        <f t="shared" si="31"/>
        <v>4.58E-2</v>
      </c>
      <c r="Z107" s="62">
        <f t="shared" si="32"/>
        <v>23.328399999999998</v>
      </c>
      <c r="AA107" s="62">
        <f t="shared" si="33"/>
        <v>23.282599999999999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4"/>
        <v>0193-14</v>
      </c>
      <c r="AE107" s="85" t="str">
        <f t="shared" si="35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107" s="82" t="str">
        <f t="shared" si="36"/>
        <v>"C:\Program Files (x86)\AstroGrep\AstroGrep.exe" /e /r /s /spath="%USERPROFILE%\AppData\Local\Temp\OnboardLogs" /stypes="app*4032*20170414*" /stext=" 21:.+((SYSTEM_STATE.+slice.+state.+changed )|(ment ac)|(multiple cpu faults)|(system.+state.+changed )|(\[timeout)|(PRM\|1\|D)|(kpr)|(kdp)|(\|lc)|(penalty))"</v>
      </c>
      <c r="AG107" s="1" t="str">
        <f t="shared" si="37"/>
        <v>EC</v>
      </c>
      <c r="AH107" s="86" t="str">
        <f t="shared" si="38"/>
        <v>"%USERPROFILE%\Documents\GitHub\eaglep3\Utilities\RefineRTDCRunTimes.py" --tripid 193-14 --locoid 4032 --swversion DE.1.0.9.0 --startMP 204:458 --initTime 2017-04-14T15:07:31 --startdatetime 2017-04-14T15:15:21 --delay 1 --endMP 204:233284 --enddatetime 2017-04-14T15:50:23 --enforcementcount 0 &gt;&gt;C:\Users\stu\Documents\GitHub\eaglep3-reporting\EC\2017-04-14-refined-times.txt</v>
      </c>
      <c r="AI107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{"issue":{"subject":"","project_id":79,"tracker_id":40,"status_id":1,"priority_id":2,"assigned_to_id":23,"start_date":"2017-04-14","description":"","custom_fields":[{"id":1,"name":"Subdivision","value":"EC"},{"id":4,"name":"Milepost","value":"23.3284"},{"id":17,"name":"Train ID","value":"193-14"},{"id":16,"name":"Locomotive ID","value":"4032"},{"id":130,"name":"Impact","value":""},{"id":150,"name":"Time of Event (Mountain Time)","value":"15:50:23"},{"id":151,"name":"Denver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0"/>
        <v>start /low /b %USERPROFILE%\Documents\GitHub\eaglep3\Utilities\DownloadLogsFromS3.py --loco 4032 --day 2017-04-14</v>
      </c>
      <c r="AN107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785</v>
      </c>
      <c r="B108" s="7">
        <v>4031</v>
      </c>
      <c r="C108" s="21" t="s">
        <v>214</v>
      </c>
      <c r="D108" s="21" t="s">
        <v>397</v>
      </c>
      <c r="E108" s="13">
        <v>42839.66909722222</v>
      </c>
      <c r="F108" s="13">
        <v>42839.674502314818</v>
      </c>
      <c r="G108" s="7">
        <v>1</v>
      </c>
      <c r="H108" s="21" t="s">
        <v>197</v>
      </c>
      <c r="I108" s="13">
        <v>42839.701435185183</v>
      </c>
      <c r="J108" s="7">
        <v>0</v>
      </c>
      <c r="K108" s="97" t="str">
        <f t="shared" si="23"/>
        <v>4031/4032</v>
      </c>
      <c r="L108" s="21" t="str">
        <f>VLOOKUP(A108,'Trips&amp;Operators'!$C$1:$G$99999,5,FALSE)</f>
        <v>BRUDER RICHARD</v>
      </c>
      <c r="M108" s="6">
        <f t="shared" si="24"/>
        <v>2.693287036527181E-2</v>
      </c>
      <c r="N108" s="7">
        <f t="shared" si="25"/>
        <v>38.783333325991407</v>
      </c>
      <c r="O108" s="7"/>
      <c r="P108" s="7"/>
      <c r="Q108" s="22"/>
      <c r="R108" s="22"/>
      <c r="S108" s="31">
        <f t="shared" si="26"/>
        <v>1</v>
      </c>
      <c r="T108" s="46" t="str">
        <f t="shared" si="27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28"/>
        <v>https://d0f6bd738d7f1b3e5a7ca70fe4ff75f0.us-east-1.aws.found.io/app/kibana#/discover/Steve-Slow-Train-Analysis-(2080s-and-2083s)?_g=(refreshInterval:(display:Off,pause:!f,section:0,value:0),time:(from:'2017-04-14T15:03:30-0600',mode:absolute,to:'2017-04-14T17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183" t="str">
        <f t="shared" si="29"/>
        <v>N</v>
      </c>
      <c r="X108" s="183">
        <f t="shared" si="30"/>
        <v>1</v>
      </c>
      <c r="Y108" s="62">
        <f t="shared" si="31"/>
        <v>23.297699999999999</v>
      </c>
      <c r="Z108" s="62">
        <f t="shared" si="32"/>
        <v>1.52E-2</v>
      </c>
      <c r="AA108" s="62">
        <f t="shared" si="33"/>
        <v>23.282499999999999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4"/>
        <v>0194-14</v>
      </c>
      <c r="AE108" s="85" t="str">
        <f t="shared" si="35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108" s="82" t="str">
        <f t="shared" si="36"/>
        <v>"C:\Program Files (x86)\AstroGrep\AstroGrep.exe" /e /r /s /spath="%USERPROFILE%\AppData\Local\Temp\OnboardLogs" /stypes="app*4031*20170414*" /stext=" 22:.+((SYSTEM_STATE.+slice.+state.+changed )|(ment ac)|(multiple cpu faults)|(system.+state.+changed )|(\[timeout)|(PRM\|1\|D)|(kpr)|(kdp)|(\|lc)|(penalty))"</v>
      </c>
      <c r="AG108" s="1" t="str">
        <f t="shared" si="37"/>
        <v>EC</v>
      </c>
      <c r="AH108" s="86" t="str">
        <f t="shared" si="38"/>
        <v>"%USERPROFILE%\Documents\GitHub\eaglep3\Utilities\RefineRTDCRunTimes.py" --tripid 194-14 --locoid 4031 --swversion DE.1.0.9.0 --startMP 204:232977 --initTime 2017-04-14T16:03:30 --startdatetime 2017-04-14T16:11:17 --delay 1 --endMP 204:152 --enddatetime 2017-04-14T16:50:04 --enforcementcount 0 &gt;&gt;C:\Users\stu\Documents\GitHub\eaglep3-reporting\EC\2017-04-14-refined-times.txt</v>
      </c>
      <c r="AI108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ID","value":"194-14"},{"id":16,"name":"Locomotive ID","value":"4031"},{"id":130,"name":"Impact","value":""},{"id":150,"name":"Time of Event (Mountain Time)","value":"16:50:04"},{"id":151,"name":"Denver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0"/>
        <v>start /low /b %USERPROFILE%\Documents\GitHub\eaglep3\Utilities\DownloadLogsFromS3.py --loco 4031 --day 2017-04-14</v>
      </c>
      <c r="AN108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777</v>
      </c>
      <c r="B109" s="7">
        <v>4040</v>
      </c>
      <c r="C109" s="21" t="s">
        <v>214</v>
      </c>
      <c r="D109" s="21" t="s">
        <v>594</v>
      </c>
      <c r="E109" s="13">
        <v>42839.643518518518</v>
      </c>
      <c r="F109" s="13">
        <v>42839.64607638889</v>
      </c>
      <c r="G109" s="7">
        <v>1</v>
      </c>
      <c r="H109" s="21" t="s">
        <v>605</v>
      </c>
      <c r="I109" s="13">
        <v>42839.671689814815</v>
      </c>
      <c r="J109" s="7">
        <v>0</v>
      </c>
      <c r="K109" s="97" t="str">
        <f t="shared" si="23"/>
        <v>4039/4040</v>
      </c>
      <c r="L109" s="21" t="str">
        <f>VLOOKUP(A109,'Trips&amp;Operators'!$C$1:$G$99999,5,FALSE)</f>
        <v>MENGES BRAD</v>
      </c>
      <c r="M109" s="6">
        <f t="shared" si="24"/>
        <v>2.5613425925257616E-2</v>
      </c>
      <c r="N109" s="7">
        <f t="shared" si="25"/>
        <v>36.883333332370967</v>
      </c>
      <c r="O109" s="7"/>
      <c r="P109" s="7"/>
      <c r="Q109" s="22"/>
      <c r="R109" s="22"/>
      <c r="S109" s="31">
        <f t="shared" si="26"/>
        <v>1</v>
      </c>
      <c r="T109" s="46" t="str">
        <f t="shared" si="2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28"/>
        <v>https://d0f6bd738d7f1b3e5a7ca70fe4ff75f0.us-east-1.aws.found.io/app/kibana#/discover/Steve-Slow-Train-Analysis-(2080s-and-2083s)?_g=(refreshInterval:(display:Off,pause:!f,section:0,value:0),time:(from:'2017-04-14T14:26:40-0600',mode:absolute,to:'2017-04-14T17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83" t="str">
        <f t="shared" si="29"/>
        <v>N</v>
      </c>
      <c r="X109" s="183">
        <f t="shared" si="30"/>
        <v>1</v>
      </c>
      <c r="Y109" s="62">
        <f t="shared" si="31"/>
        <v>4.6600000000000003E-2</v>
      </c>
      <c r="Z109" s="62">
        <f t="shared" si="32"/>
        <v>23.330200000000001</v>
      </c>
      <c r="AA109" s="62">
        <f t="shared" si="33"/>
        <v>23.2836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4"/>
        <v>0195-14</v>
      </c>
      <c r="AE109" s="85" t="str">
        <f t="shared" si="35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109" s="82" t="str">
        <f t="shared" si="36"/>
        <v>"C:\Program Files (x86)\AstroGrep\AstroGrep.exe" /e /r /s /spath="%USERPROFILE%\AppData\Local\Temp\OnboardLogs" /stypes="app*4040*20170414*" /stext=" 22:.+((SYSTEM_STATE.+slice.+state.+changed )|(ment ac)|(multiple cpu faults)|(system.+state.+changed )|(\[timeout)|(PRM\|1\|D)|(kpr)|(kdp)|(\|lc)|(penalty))"</v>
      </c>
      <c r="AG109" s="1" t="str">
        <f t="shared" si="37"/>
        <v>EC</v>
      </c>
      <c r="AH109" s="86" t="str">
        <f t="shared" si="38"/>
        <v>"%USERPROFILE%\Documents\GitHub\eaglep3\Utilities\RefineRTDCRunTimes.py" --tripid 195-14 --locoid 4040 --swversion DE.1.0.9.0 --startMP 204:466 --initTime 2017-04-14T15:26:40 --startdatetime 2017-04-14T15:30:21 --delay 1 --endMP 204:233302 --enddatetime 2017-04-14T16:07:14 --enforcementcount 0 &gt;&gt;C:\Users\stu\Documents\GitHub\eaglep3-reporting\EC\2017-04-14-refined-times.txt</v>
      </c>
      <c r="AI109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{"issue":{"subject":"","project_id":79,"tracker_id":40,"status_id":1,"priority_id":2,"assigned_to_id":23,"start_date":"2017-04-14","description":"","custom_fields":[{"id":1,"name":"Subdivision","value":"EC"},{"id":4,"name":"Milepost","value":"23.3302"},{"id":17,"name":"Train ID","value":"195-14"},{"id":16,"name":"Locomotive ID","value":"4040"},{"id":130,"name":"Impact","value":""},{"id":150,"name":"Time of Event (Mountain Time)","value":"16:07:14"},{"id":151,"name":"Denver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0"/>
        <v>start /low /b %USERPROFILE%\Documents\GitHub\eaglep3\Utilities\DownloadLogsFromS3.py --loco 4040 --day 2017-04-14</v>
      </c>
      <c r="AN109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644</v>
      </c>
      <c r="B110" s="7">
        <v>4039</v>
      </c>
      <c r="C110" s="21" t="s">
        <v>214</v>
      </c>
      <c r="D110" s="21" t="s">
        <v>410</v>
      </c>
      <c r="E110" s="13">
        <v>42839.682071759256</v>
      </c>
      <c r="F110" s="13">
        <v>42839.684942129628</v>
      </c>
      <c r="G110" s="7">
        <v>1</v>
      </c>
      <c r="H110" s="21" t="s">
        <v>489</v>
      </c>
      <c r="I110" s="13">
        <v>42839.71298611111</v>
      </c>
      <c r="J110" s="7">
        <v>0</v>
      </c>
      <c r="K110" s="97" t="str">
        <f t="shared" si="23"/>
        <v>4039/4040</v>
      </c>
      <c r="L110" s="21" t="str">
        <f>VLOOKUP(A110,'Trips&amp;Operators'!$C$1:$G$99999,5,FALSE)</f>
        <v>MENGES BRAD</v>
      </c>
      <c r="M110" s="6">
        <f t="shared" si="24"/>
        <v>2.8043981481459923E-2</v>
      </c>
      <c r="N110" s="7">
        <f t="shared" si="25"/>
        <v>40.383333333302289</v>
      </c>
      <c r="O110" s="7"/>
      <c r="P110" s="7"/>
      <c r="Q110" s="22"/>
      <c r="R110" s="22"/>
      <c r="S110" s="31">
        <f t="shared" si="26"/>
        <v>1</v>
      </c>
      <c r="T110" s="46" t="str">
        <f t="shared" si="2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28"/>
        <v>https://d0f6bd738d7f1b3e5a7ca70fe4ff75f0.us-east-1.aws.found.io/app/kibana#/discover/Steve-Slow-Train-Analysis-(2080s-and-2083s)?_g=(refreshInterval:(display:Off,pause:!f,section:0,value:0),time:(from:'2017-04-14T15:22:11-0600',mode:absolute,to:'2017-04-14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83" t="str">
        <f t="shared" si="29"/>
        <v>N</v>
      </c>
      <c r="X110" s="183">
        <f t="shared" si="30"/>
        <v>1</v>
      </c>
      <c r="Y110" s="62">
        <f t="shared" si="31"/>
        <v>23.2989</v>
      </c>
      <c r="Z110" s="62">
        <f t="shared" si="32"/>
        <v>1.4999999999999999E-2</v>
      </c>
      <c r="AA110" s="62">
        <f t="shared" si="33"/>
        <v>23.283899999999999</v>
      </c>
      <c r="AB110" s="59" t="str">
        <f>VLOOKUP(A110,Enforcements!$C$7:$K$13,8,0)</f>
        <v>Speed (6)</v>
      </c>
      <c r="AC110" s="55" t="str">
        <f>VLOOKUP(A110,Enforcements!$C$7:$E$13,3,0)</f>
        <v>PERMANENT SPEED RESTRICTION</v>
      </c>
      <c r="AD110" s="56" t="str">
        <f t="shared" si="34"/>
        <v>0196-14</v>
      </c>
      <c r="AE110" s="85" t="str">
        <f t="shared" si="35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110" s="82" t="str">
        <f t="shared" si="36"/>
        <v>"C:\Program Files (x86)\AstroGrep\AstroGrep.exe" /e /r /s /spath="%USERPROFILE%\AppData\Local\Temp\OnboardLogs" /stypes="app*4039*20170414*" /stext=" 23:.+((SYSTEM_STATE.+slice.+state.+changed )|(ment ac)|(multiple cpu faults)|(system.+state.+changed )|(\[timeout)|(PRM\|1\|D)|(kpr)|(kdp)|(\|lc)|(penalty))"</v>
      </c>
      <c r="AG110" s="1" t="str">
        <f t="shared" si="37"/>
        <v>EC</v>
      </c>
      <c r="AH110" s="86" t="str">
        <f t="shared" si="38"/>
        <v>"%USERPROFILE%\Documents\GitHub\eaglep3\Utilities\RefineRTDCRunTimes.py" --tripid 196-14 --locoid 4039 --swversion DE.1.0.9.0 --startMP 204:232989 --initTime 2017-04-14T16:22:11 --startdatetime 2017-04-14T16:26:19 --delay 1 --endMP 204:150 --enddatetime 2017-04-14T17:06:42 --enforcementcount 0 &gt;&gt;C:\Users\stu\Documents\GitHub\eaglep3-reporting\EC\2017-04-14-refined-times.txt</v>
      </c>
      <c r="AI110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{"issue":{"subject":"","project_id":79,"tracker_id":40,"status_id":1,"priority_id":2,"assigned_to_id":23,"start_date":"2017-04-14","description":"","custom_fields":[{"id":1,"name":"Subdivision","value":"EC"},{"id":4,"name":"Milepost","value":"0.015"},{"id":17,"name":"Train ID","value":"196-14"},{"id":16,"name":"Locomotive ID","value":"4039"},{"id":130,"name":"Impact","value":""},{"id":150,"name":"Time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0"/>
        <v>start /low /b %USERPROFILE%\Documents\GitHub\eaglep3\Utilities\DownloadLogsFromS3.py --loco 4039 --day 2017-04-14</v>
      </c>
      <c r="AN110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781</v>
      </c>
      <c r="B111" s="7">
        <v>4020</v>
      </c>
      <c r="C111" s="21" t="s">
        <v>214</v>
      </c>
      <c r="D111" s="21" t="s">
        <v>907</v>
      </c>
      <c r="E111" s="13">
        <v>42839.652905092589</v>
      </c>
      <c r="F111" s="13">
        <v>42839.656574074077</v>
      </c>
      <c r="G111" s="7">
        <v>1</v>
      </c>
      <c r="H111" s="21" t="s">
        <v>601</v>
      </c>
      <c r="I111" s="13">
        <v>42839.682303240741</v>
      </c>
      <c r="J111" s="7">
        <v>0</v>
      </c>
      <c r="K111" s="97" t="str">
        <f t="shared" si="23"/>
        <v>4019/4020</v>
      </c>
      <c r="L111" s="21" t="str">
        <f>VLOOKUP(A111,'Trips&amp;Operators'!$C$1:$G$99999,5,FALSE)</f>
        <v>BRANDNER MELINDA</v>
      </c>
      <c r="M111" s="6">
        <f t="shared" si="24"/>
        <v>2.5729166663950309E-2</v>
      </c>
      <c r="N111" s="7">
        <f t="shared" si="25"/>
        <v>37.049999996088445</v>
      </c>
      <c r="O111" s="7"/>
      <c r="P111" s="7"/>
      <c r="Q111" s="22"/>
      <c r="R111" s="22"/>
      <c r="S111" s="31">
        <f t="shared" si="26"/>
        <v>1</v>
      </c>
      <c r="T111" s="46" t="str">
        <f t="shared" si="2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28"/>
        <v>https://d0f6bd738d7f1b3e5a7ca70fe4ff75f0.us-east-1.aws.found.io/app/kibana#/discover/Steve-Slow-Train-Analysis-(2080s-and-2083s)?_g=(refreshInterval:(display:Off,pause:!f,section:0,value:0),time:(from:'2017-04-14T14:40:11-0600',mode:absolute,to:'2017-04-14T17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183" t="str">
        <f t="shared" si="29"/>
        <v>N</v>
      </c>
      <c r="X111" s="183">
        <f t="shared" si="30"/>
        <v>1</v>
      </c>
      <c r="Y111" s="62">
        <f t="shared" si="31"/>
        <v>4.2200000000000001E-2</v>
      </c>
      <c r="Z111" s="62">
        <f t="shared" si="32"/>
        <v>23.328600000000002</v>
      </c>
      <c r="AA111" s="62">
        <f t="shared" si="33"/>
        <v>23.2864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4"/>
        <v>0197-14</v>
      </c>
      <c r="AE111" s="85" t="str">
        <f t="shared" si="35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111" s="82" t="str">
        <f t="shared" si="36"/>
        <v>"C:\Program Files (x86)\AstroGrep\AstroGrep.exe" /e /r /s /spath="%USERPROFILE%\AppData\Local\Temp\OnboardLogs" /stypes="app*4020*20170414*" /stext=" 22:.+((SYSTEM_STATE.+slice.+state.+changed )|(ment ac)|(multiple cpu faults)|(system.+state.+changed )|(\[timeout)|(PRM\|1\|D)|(kpr)|(kdp)|(\|lc)|(penalty))"</v>
      </c>
      <c r="AG111" s="1" t="str">
        <f t="shared" si="37"/>
        <v>EC</v>
      </c>
      <c r="AH111" s="86" t="str">
        <f t="shared" si="38"/>
        <v>"%USERPROFILE%\Documents\GitHub\eaglep3\Utilities\RefineRTDCRunTimes.py" --tripid 197-14 --locoid 4020 --swversion DE.1.0.9.0 --startMP 204:422 --initTime 2017-04-14T15:40:11 --startdatetime 2017-04-14T15:45:28 --delay 1 --endMP 204:233286 --enddatetime 2017-04-14T16:22:31 --enforcementcount 0 &gt;&gt;C:\Users\stu\Documents\GitHub\eaglep3-reporting\EC\2017-04-14-refined-times.txt</v>
      </c>
      <c r="AI111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{"issue":{"subject":"","project_id":79,"tracker_id":40,"status_id":1,"priority_id":2,"assigned_to_id":23,"start_date":"2017-04-14","description":"","custom_fields":[{"id":1,"name":"Subdivision","value":"EC"},{"id":4,"name":"Milepost","value":"23.3286"},{"id":17,"name":"Train ID","value":"197-14"},{"id":16,"name":"Locomotive ID","value":"4020"},{"id":130,"name":"Impact","value":""},{"id":150,"name":"Time of Event (Mountain Time)","value":"16:22:31"},{"id":151,"name":"Denver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0"/>
        <v>start /low /b %USERPROFILE%\Documents\GitHub\eaglep3\Utilities\DownloadLogsFromS3.py --loco 4020 --day 2017-04-14</v>
      </c>
      <c r="AN111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788</v>
      </c>
      <c r="B112" s="7">
        <v>4019</v>
      </c>
      <c r="C112" s="21" t="s">
        <v>214</v>
      </c>
      <c r="D112" s="21" t="s">
        <v>555</v>
      </c>
      <c r="E112" s="13">
        <v>42839.689768518518</v>
      </c>
      <c r="F112" s="13">
        <v>42839.695428240739</v>
      </c>
      <c r="G112" s="7">
        <v>1</v>
      </c>
      <c r="H112" s="21" t="s">
        <v>416</v>
      </c>
      <c r="I112" s="13">
        <v>42839.724004629628</v>
      </c>
      <c r="J112" s="7">
        <v>0</v>
      </c>
      <c r="K112" s="97" t="str">
        <f t="shared" si="23"/>
        <v>4019/4020</v>
      </c>
      <c r="L112" s="21" t="str">
        <f>VLOOKUP(A112,'Trips&amp;Operators'!$C$1:$G$99999,5,FALSE)</f>
        <v>BRANDNER MELINDA</v>
      </c>
      <c r="M112" s="6">
        <f t="shared" si="24"/>
        <v>2.8576388889632653E-2</v>
      </c>
      <c r="N112" s="7">
        <f t="shared" si="25"/>
        <v>41.150000001071021</v>
      </c>
      <c r="O112" s="7"/>
      <c r="P112" s="7"/>
      <c r="Q112" s="22"/>
      <c r="R112" s="22"/>
      <c r="S112" s="31">
        <f t="shared" si="26"/>
        <v>1</v>
      </c>
      <c r="T112" s="46" t="str">
        <f t="shared" si="2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28"/>
        <v>https://d0f6bd738d7f1b3e5a7ca70fe4ff75f0.us-east-1.aws.found.io/app/kibana#/discover/Steve-Slow-Train-Analysis-(2080s-and-2083s)?_g=(refreshInterval:(display:Off,pause:!f,section:0,value:0),time:(from:'2017-04-14T15:33:16-0600',mode:absolute,to:'2017-04-14T18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183" t="str">
        <f t="shared" si="29"/>
        <v>N</v>
      </c>
      <c r="X112" s="183">
        <f t="shared" si="30"/>
        <v>1</v>
      </c>
      <c r="Y112" s="62">
        <f t="shared" si="31"/>
        <v>23.2971</v>
      </c>
      <c r="Z112" s="62">
        <f t="shared" si="32"/>
        <v>1.4500000000000001E-2</v>
      </c>
      <c r="AA112" s="62">
        <f t="shared" si="33"/>
        <v>23.282599999999999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4"/>
        <v>0198-14</v>
      </c>
      <c r="AE112" s="85" t="str">
        <f t="shared" si="35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112" s="82" t="str">
        <f t="shared" si="36"/>
        <v>"C:\Program Files (x86)\AstroGrep\AstroGrep.exe" /e /r /s /spath="%USERPROFILE%\AppData\Local\Temp\OnboardLogs" /stypes="app*4019*20170414*" /stext=" 23:.+((SYSTEM_STATE.+slice.+state.+changed )|(ment ac)|(multiple cpu faults)|(system.+state.+changed )|(\[timeout)|(PRM\|1\|D)|(kpr)|(kdp)|(\|lc)|(penalty))"</v>
      </c>
      <c r="AG112" s="1" t="str">
        <f t="shared" si="37"/>
        <v>EC</v>
      </c>
      <c r="AH112" s="86" t="str">
        <f t="shared" si="38"/>
        <v>"%USERPROFILE%\Documents\GitHub\eaglep3\Utilities\RefineRTDCRunTimes.py" --tripid 198-14 --locoid 4019 --swversion DE.1.0.9.0 --startMP 204:232971 --initTime 2017-04-14T16:33:16 --startdatetime 2017-04-14T16:41:25 --delay 1 --endMP 204:145 --enddatetime 2017-04-14T17:22:34 --enforcementcount 0 &gt;&gt;C:\Users\stu\Documents\GitHub\eaglep3-reporting\EC\2017-04-14-refined-times.txt</v>
      </c>
      <c r="AI112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{"issue":{"subject":"","project_id":79,"tracker_id":40,"status_id":1,"priority_id":2,"assigned_to_id":23,"start_date":"2017-04-14","description":"","custom_fields":[{"id":1,"name":"Subdivision","value":"EC"},{"id":4,"name":"Milepost","value":"0.0145"},{"id":17,"name":"Train ID","value":"198-14"},{"id":16,"name":"Locomotive ID","value":"4019"},{"id":130,"name":"Impact","value":""},{"id":150,"name":"Time of Event (Mountain Time)","value":"17:22:34"},{"id":151,"name":"Denver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0"/>
        <v>start /low /b %USERPROFILE%\Documents\GitHub\eaglep3\Utilities\DownloadLogsFromS3.py --loco 4019 --day 2017-04-14</v>
      </c>
      <c r="AN112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783</v>
      </c>
      <c r="B113" s="7">
        <v>4046</v>
      </c>
      <c r="C113" s="21" t="s">
        <v>214</v>
      </c>
      <c r="D113" s="21" t="s">
        <v>885</v>
      </c>
      <c r="E113" s="13">
        <v>42839.662546296298</v>
      </c>
      <c r="F113" s="13">
        <v>42839.667002314818</v>
      </c>
      <c r="G113" s="7">
        <v>1</v>
      </c>
      <c r="H113" s="21" t="s">
        <v>466</v>
      </c>
      <c r="I113" s="13">
        <v>42839.692037037035</v>
      </c>
      <c r="J113" s="7">
        <v>0</v>
      </c>
      <c r="K113" s="97" t="str">
        <f t="shared" si="23"/>
        <v>4045/4046</v>
      </c>
      <c r="L113" s="21" t="str">
        <f>VLOOKUP(A113,'Trips&amp;Operators'!$C$1:$G$99999,5,FALSE)</f>
        <v>MCREYNOLDS KYLE</v>
      </c>
      <c r="M113" s="6">
        <f t="shared" si="24"/>
        <v>2.5034722217242233E-2</v>
      </c>
      <c r="N113" s="7">
        <f t="shared" si="25"/>
        <v>36.049999992828816</v>
      </c>
      <c r="O113" s="7"/>
      <c r="P113" s="7"/>
      <c r="Q113" s="22"/>
      <c r="R113" s="22"/>
      <c r="S113" s="31">
        <f t="shared" si="26"/>
        <v>1</v>
      </c>
      <c r="T113" s="46" t="str">
        <f t="shared" si="2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28"/>
        <v>https://d0f6bd738d7f1b3e5a7ca70fe4ff75f0.us-east-1.aws.found.io/app/kibana#/discover/Steve-Slow-Train-Analysis-(2080s-and-2083s)?_g=(refreshInterval:(display:Off,pause:!f,section:0,value:0),time:(from:'2017-04-14T14:54:04-0600',mode:absolute,to:'2017-04-14T17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3" s="183" t="str">
        <f t="shared" si="29"/>
        <v>N</v>
      </c>
      <c r="X113" s="183">
        <f t="shared" si="30"/>
        <v>1</v>
      </c>
      <c r="Y113" s="62">
        <f t="shared" si="31"/>
        <v>4.3299999999999998E-2</v>
      </c>
      <c r="Z113" s="62">
        <f t="shared" si="32"/>
        <v>23.3306</v>
      </c>
      <c r="AA113" s="62">
        <f t="shared" si="33"/>
        <v>23.287300000000002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4"/>
        <v>0199-14</v>
      </c>
      <c r="AE113" s="85" t="str">
        <f t="shared" si="35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113" s="82" t="str">
        <f t="shared" si="36"/>
        <v>"C:\Program Files (x86)\AstroGrep\AstroGrep.exe" /e /r /s /spath="%USERPROFILE%\AppData\Local\Temp\OnboardLogs" /stypes="app*4046*20170414*" /stext=" 22:.+((SYSTEM_STATE.+slice.+state.+changed )|(ment ac)|(multiple cpu faults)|(system.+state.+changed )|(\[timeout)|(PRM\|1\|D)|(kpr)|(kdp)|(\|lc)|(penalty))"</v>
      </c>
      <c r="AG113" s="1" t="str">
        <f t="shared" si="37"/>
        <v>EC</v>
      </c>
      <c r="AH113" s="86" t="str">
        <f t="shared" si="38"/>
        <v>"%USERPROFILE%\Documents\GitHub\eaglep3\Utilities\RefineRTDCRunTimes.py" --tripid 199-14 --locoid 4046 --swversion DE.1.0.9.0 --startMP 204:433 --initTime 2017-04-14T15:54:04 --startdatetime 2017-04-14T16:00:29 --delay 1 --endMP 204:233306 --enddatetime 2017-04-14T16:36:32 --enforcementcount 0 &gt;&gt;C:\Users\stu\Documents\GitHub\eaglep3-reporting\EC\2017-04-14-refined-times.txt</v>
      </c>
      <c r="AI113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{"issue":{"subject":"","project_id":79,"tracker_id":40,"status_id":1,"priority_id":2,"assigned_to_id":23,"start_date":"2017-04-14","description":"","custom_fields":[{"id":1,"name":"Subdivision","value":"EC"},{"id":4,"name":"Milepost","value":"23.3306"},{"id":17,"name":"Train ID","value":"199-14"},{"id":16,"name":"Locomotive ID","value":"4046"},{"id":130,"name":"Impact","value":""},{"id":150,"name":"Time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0"/>
        <v>start /low /b %USERPROFILE%\Documents\GitHub\eaglep3\Utilities\DownloadLogsFromS3.py --loco 4046 --day 2017-04-14</v>
      </c>
      <c r="AN113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792</v>
      </c>
      <c r="B114" s="7">
        <v>4045</v>
      </c>
      <c r="C114" s="21" t="s">
        <v>214</v>
      </c>
      <c r="D114" s="21" t="s">
        <v>908</v>
      </c>
      <c r="E114" s="13">
        <v>42839.698182870372</v>
      </c>
      <c r="F114" s="13">
        <v>42839.705879629626</v>
      </c>
      <c r="G114" s="7">
        <v>1</v>
      </c>
      <c r="H114" s="21" t="s">
        <v>203</v>
      </c>
      <c r="I114" s="13">
        <v>42839.732766203706</v>
      </c>
      <c r="J114" s="7">
        <v>0</v>
      </c>
      <c r="K114" s="97" t="str">
        <f t="shared" si="23"/>
        <v>4045/4046</v>
      </c>
      <c r="L114" s="21" t="str">
        <f>VLOOKUP(A114,'Trips&amp;Operators'!$C$1:$G$99999,5,FALSE)</f>
        <v>MCREYNOLDS KYLE</v>
      </c>
      <c r="M114" s="6">
        <f t="shared" si="24"/>
        <v>2.6886574079981074E-2</v>
      </c>
      <c r="N114" s="7">
        <f t="shared" si="25"/>
        <v>38.716666675172746</v>
      </c>
      <c r="O114" s="7"/>
      <c r="P114" s="7"/>
      <c r="Q114" s="22"/>
      <c r="R114" s="22"/>
      <c r="S114" s="31">
        <f t="shared" si="26"/>
        <v>1</v>
      </c>
      <c r="T114" s="46" t="str">
        <f t="shared" si="2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28"/>
        <v>https://d0f6bd738d7f1b3e5a7ca70fe4ff75f0.us-east-1.aws.found.io/app/kibana#/discover/Steve-Slow-Train-Analysis-(2080s-and-2083s)?_g=(refreshInterval:(display:Off,pause:!f,section:0,value:0),time:(from:'2017-04-14T15:45:23-0600',mode:absolute,to:'2017-04-14T18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4" s="183" t="str">
        <f t="shared" si="29"/>
        <v>N</v>
      </c>
      <c r="X114" s="183">
        <f t="shared" si="30"/>
        <v>1</v>
      </c>
      <c r="Y114" s="62">
        <f t="shared" si="31"/>
        <v>23.300599999999999</v>
      </c>
      <c r="Z114" s="62">
        <f t="shared" si="32"/>
        <v>1.54E-2</v>
      </c>
      <c r="AA114" s="62">
        <f t="shared" si="33"/>
        <v>23.2852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4"/>
        <v>0200-14</v>
      </c>
      <c r="AE114" s="85" t="str">
        <f t="shared" si="35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114" s="82" t="str">
        <f t="shared" si="36"/>
        <v>"C:\Program Files (x86)\AstroGrep\AstroGrep.exe" /e /r /s /spath="%USERPROFILE%\AppData\Local\Temp\OnboardLogs" /stypes="app*4045*20170414*" /stext=" 23:.+((SYSTEM_STATE.+slice.+state.+changed )|(ment ac)|(multiple cpu faults)|(system.+state.+changed )|(\[timeout)|(PRM\|1\|D)|(kpr)|(kdp)|(\|lc)|(penalty))"</v>
      </c>
      <c r="AG114" s="1" t="str">
        <f t="shared" si="37"/>
        <v>EC</v>
      </c>
      <c r="AH114" s="86" t="str">
        <f t="shared" si="38"/>
        <v>"%USERPROFILE%\Documents\GitHub\eaglep3\Utilities\RefineRTDCRunTimes.py" --tripid 200-14 --locoid 4045 --swversion DE.1.0.9.0 --startMP 204:233006 --initTime 2017-04-14T16:45:23 --startdatetime 2017-04-14T16:56:28 --delay 1 --endMP 204:154 --enddatetime 2017-04-14T17:35:11 --enforcementcount 0 &gt;&gt;C:\Users\stu\Documents\GitHub\eaglep3-reporting\EC\2017-04-14-refined-times.txt</v>
      </c>
      <c r="AI114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{"issue":{"subject":"","project_id":79,"tracker_id":40,"status_id":1,"priority_id":2,"assigned_to_id":23,"start_date":"2017-04-14","description":"","custom_fields":[{"id":1,"name":"Subdivision","value":"EC"},{"id":4,"name":"Milepost","value":"0.0154"},{"id":17,"name":"Train ID","value":"200-14"},{"id":16,"name":"Locomotive ID","value":"4045"},{"id":130,"name":"Impact","value":""},{"id":150,"name":"Time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0"/>
        <v>start /low /b %USERPROFILE%\Documents\GitHub\eaglep3\Utilities\DownloadLogsFromS3.py --loco 4045 --day 2017-04-14</v>
      </c>
      <c r="AN114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786</v>
      </c>
      <c r="B115" s="7">
        <v>4042</v>
      </c>
      <c r="C115" s="21" t="s">
        <v>214</v>
      </c>
      <c r="D115" s="21" t="s">
        <v>420</v>
      </c>
      <c r="E115" s="13">
        <v>42839.673460648148</v>
      </c>
      <c r="F115" s="13">
        <v>42839.677418981482</v>
      </c>
      <c r="G115" s="7">
        <v>1</v>
      </c>
      <c r="H115" s="21" t="s">
        <v>909</v>
      </c>
      <c r="I115" s="13">
        <v>42839.702430555553</v>
      </c>
      <c r="J115" s="7">
        <v>0</v>
      </c>
      <c r="K115" s="97" t="str">
        <f t="shared" si="23"/>
        <v>4041/4042</v>
      </c>
      <c r="L115" s="21" t="str">
        <f>VLOOKUP(A115,'Trips&amp;Operators'!$C$1:$G$99999,5,FALSE)</f>
        <v>STEWART MICHAEL</v>
      </c>
      <c r="M115" s="6">
        <f t="shared" si="24"/>
        <v>2.5011574070958886E-2</v>
      </c>
      <c r="N115" s="7">
        <f t="shared" si="25"/>
        <v>36.016666662180796</v>
      </c>
      <c r="O115" s="7"/>
      <c r="P115" s="7"/>
      <c r="Q115" s="22"/>
      <c r="R115" s="22"/>
      <c r="S115" s="31">
        <f t="shared" si="26"/>
        <v>1</v>
      </c>
      <c r="T115" s="46" t="str">
        <f t="shared" si="2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28"/>
        <v>https://d0f6bd738d7f1b3e5a7ca70fe4ff75f0.us-east-1.aws.found.io/app/kibana#/discover/Steve-Slow-Train-Analysis-(2080s-and-2083s)?_g=(refreshInterval:(display:Off,pause:!f,section:0,value:0),time:(from:'2017-04-14T15:09:47-0600',mode:absolute,to:'2017-04-14T17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83" t="str">
        <f t="shared" si="29"/>
        <v>N</v>
      </c>
      <c r="X115" s="183">
        <f t="shared" si="30"/>
        <v>1</v>
      </c>
      <c r="Y115" s="62">
        <f t="shared" si="31"/>
        <v>4.58E-2</v>
      </c>
      <c r="Z115" s="62">
        <f t="shared" si="32"/>
        <v>23.331600000000002</v>
      </c>
      <c r="AA115" s="62">
        <f t="shared" si="33"/>
        <v>23.285800000000002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4"/>
        <v>0201-14</v>
      </c>
      <c r="AE115" s="85" t="str">
        <f t="shared" si="35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115" s="82" t="str">
        <f t="shared" si="36"/>
        <v>"C:\Program Files (x86)\AstroGrep\AstroGrep.exe" /e /r /s /spath="%USERPROFILE%\AppData\Local\Temp\OnboardLogs" /stypes="app*4042*20170414*" /stext=" 22:.+((SYSTEM_STATE.+slice.+state.+changed )|(ment ac)|(multiple cpu faults)|(system.+state.+changed )|(\[timeout)|(PRM\|1\|D)|(kpr)|(kdp)|(\|lc)|(penalty))"</v>
      </c>
      <c r="AG115" s="1" t="str">
        <f t="shared" si="37"/>
        <v>EC</v>
      </c>
      <c r="AH115" s="86" t="str">
        <f t="shared" si="38"/>
        <v>"%USERPROFILE%\Documents\GitHub\eaglep3\Utilities\RefineRTDCRunTimes.py" --tripid 201-14 --locoid 4042 --swversion DE.1.0.9.0 --startMP 204:458 --initTime 2017-04-14T16:09:47 --startdatetime 2017-04-14T16:15:29 --delay 1 --endMP 204:233316 --enddatetime 2017-04-14T16:51:30 --enforcementcount 0 &gt;&gt;C:\Users\stu\Documents\GitHub\eaglep3-reporting\EC\2017-04-14-refined-times.txt</v>
      </c>
      <c r="AI115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{"issue":{"subject":"","project_id":79,"tracker_id":40,"status_id":1,"priority_id":2,"assigned_to_id":23,"start_date":"2017-04-14","description":"","custom_fields":[{"id":1,"name":"Subdivision","value":"EC"},{"id":4,"name":"Milepost","value":"23.3316"},{"id":17,"name":"Train ID","value":"201-14"},{"id":16,"name":"Locomotive ID","value":"4042"},{"id":130,"name":"Impact","value":""},{"id":150,"name":"Time of Event (Mountain Time)","value":"16:51:30"},{"id":151,"name":"Denver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0"/>
        <v>start /low /b %USERPROFILE%\Documents\GitHub\eaglep3\Utilities\DownloadLogsFromS3.py --loco 4042 --day 2017-04-14</v>
      </c>
      <c r="AN115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793</v>
      </c>
      <c r="B116" s="7">
        <v>4041</v>
      </c>
      <c r="C116" s="21" t="s">
        <v>214</v>
      </c>
      <c r="D116" s="21" t="s">
        <v>397</v>
      </c>
      <c r="E116" s="13">
        <v>42839.712361111109</v>
      </c>
      <c r="F116" s="13">
        <v>42839.716145833336</v>
      </c>
      <c r="G116" s="7">
        <v>1</v>
      </c>
      <c r="H116" s="21" t="s">
        <v>895</v>
      </c>
      <c r="I116" s="13">
        <v>42839.743125000001</v>
      </c>
      <c r="J116" s="7">
        <v>0</v>
      </c>
      <c r="K116" s="97" t="str">
        <f t="shared" si="23"/>
        <v>4041/4042</v>
      </c>
      <c r="L116" s="21" t="str">
        <f>VLOOKUP(A116,'Trips&amp;Operators'!$C$1:$G$99999,5,FALSE)</f>
        <v>STEWART MICHAEL</v>
      </c>
      <c r="M116" s="6">
        <f t="shared" si="24"/>
        <v>2.6979166665114462E-2</v>
      </c>
      <c r="N116" s="7">
        <f t="shared" si="25"/>
        <v>38.849999997764826</v>
      </c>
      <c r="O116" s="7"/>
      <c r="P116" s="7"/>
      <c r="Q116" s="22"/>
      <c r="R116" s="22"/>
      <c r="S116" s="31">
        <f t="shared" si="26"/>
        <v>1</v>
      </c>
      <c r="T116" s="46" t="str">
        <f t="shared" si="2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28"/>
        <v>https://d0f6bd738d7f1b3e5a7ca70fe4ff75f0.us-east-1.aws.found.io/app/kibana#/discover/Steve-Slow-Train-Analysis-(2080s-and-2083s)?_g=(refreshInterval:(display:Off,pause:!f,section:0,value:0),time:(from:'2017-04-14T16:05:48-0600',mode:absolute,to:'2017-04-14T18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83" t="str">
        <f t="shared" si="29"/>
        <v>N</v>
      </c>
      <c r="X116" s="183">
        <f t="shared" si="30"/>
        <v>1</v>
      </c>
      <c r="Y116" s="62">
        <f t="shared" si="31"/>
        <v>23.297699999999999</v>
      </c>
      <c r="Z116" s="62">
        <f t="shared" si="32"/>
        <v>1.61E-2</v>
      </c>
      <c r="AA116" s="62">
        <f t="shared" si="33"/>
        <v>23.281599999999997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4"/>
        <v>0202-14</v>
      </c>
      <c r="AE116" s="85" t="str">
        <f t="shared" si="35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116" s="82" t="str">
        <f t="shared" si="36"/>
        <v>"C:\Program Files (x86)\AstroGrep\AstroGrep.exe" /e /r /s /spath="%USERPROFILE%\AppData\Local\Temp\OnboardLogs" /stypes="app*4041*20170414*" /stext=" 23:.+((SYSTEM_STATE.+slice.+state.+changed )|(ment ac)|(multiple cpu faults)|(system.+state.+changed )|(\[timeout)|(PRM\|1\|D)|(kpr)|(kdp)|(\|lc)|(penalty))"</v>
      </c>
      <c r="AG116" s="1" t="str">
        <f t="shared" si="37"/>
        <v>EC</v>
      </c>
      <c r="AH116" s="86" t="str">
        <f t="shared" si="38"/>
        <v>"%USERPROFILE%\Documents\GitHub\eaglep3\Utilities\RefineRTDCRunTimes.py" --tripid 202-14 --locoid 4041 --swversion DE.1.0.9.0 --startMP 204:232977 --initTime 2017-04-14T17:05:48 --startdatetime 2017-04-14T17:11:15 --delay 1 --endMP 204:161 --enddatetime 2017-04-14T17:50:06 --enforcementcount 0 &gt;&gt;C:\Users\stu\Documents\GitHub\eaglep3-reporting\EC\2017-04-14-refined-times.txt</v>
      </c>
      <c r="AI116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{"issue":{"subject":"","project_id":79,"tracker_id":40,"status_id":1,"priority_id":2,"assigned_to_id":23,"start_date":"2017-04-14","description":"","custom_fields":[{"id":1,"name":"Subdivision","value":"EC"},{"id":4,"name":"Milepost","value":"0.0161"},{"id":17,"name":"Train ID","value":"202-14"},{"id":16,"name":"Locomotive ID","value":"4041"},{"id":130,"name":"Impact","value":""},{"id":150,"name":"Time of Event (Mountain Time)","value":"17:50:06"},{"id":151,"name":"Denver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0"/>
        <v>start /low /b %USERPROFILE%\Documents\GitHub\eaglep3\Utilities\DownloadLogsFromS3.py --loco 4041 --day 2017-04-14</v>
      </c>
      <c r="AN116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787</v>
      </c>
      <c r="B117" s="7">
        <v>4004</v>
      </c>
      <c r="C117" s="21" t="s">
        <v>214</v>
      </c>
      <c r="D117" s="21" t="s">
        <v>408</v>
      </c>
      <c r="E117" s="13">
        <v>42839.683287037034</v>
      </c>
      <c r="F117" s="13">
        <v>42839.687662037039</v>
      </c>
      <c r="G117" s="7">
        <v>1</v>
      </c>
      <c r="H117" s="21" t="s">
        <v>910</v>
      </c>
      <c r="I117" s="13">
        <v>42839.712511574071</v>
      </c>
      <c r="J117" s="7">
        <v>0</v>
      </c>
      <c r="K117" s="97" t="str">
        <f t="shared" si="23"/>
        <v>4003/4004</v>
      </c>
      <c r="L117" s="21" t="str">
        <f>VLOOKUP(A117,'Trips&amp;Operators'!$C$1:$G$99999,5,FALSE)</f>
        <v>WHITED DUSTIN</v>
      </c>
      <c r="M117" s="6">
        <f t="shared" si="24"/>
        <v>2.4849537032423541E-2</v>
      </c>
      <c r="N117" s="7">
        <f t="shared" si="25"/>
        <v>35.783333326689899</v>
      </c>
      <c r="O117" s="7"/>
      <c r="P117" s="7"/>
      <c r="Q117" s="22"/>
      <c r="R117" s="22"/>
      <c r="S117" s="31">
        <f t="shared" si="26"/>
        <v>1</v>
      </c>
      <c r="T117" s="46" t="str">
        <f t="shared" si="2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28"/>
        <v>https://d0f6bd738d7f1b3e5a7ca70fe4ff75f0.us-east-1.aws.found.io/app/kibana#/discover/Steve-Slow-Train-Analysis-(2080s-and-2083s)?_g=(refreshInterval:(display:Off,pause:!f,section:0,value:0),time:(from:'2017-04-14T15:23:56-0600',mode:absolute,to:'2017-04-14T18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83" t="str">
        <f t="shared" si="29"/>
        <v>N</v>
      </c>
      <c r="X117" s="183">
        <f t="shared" si="30"/>
        <v>1</v>
      </c>
      <c r="Y117" s="62">
        <f t="shared" si="31"/>
        <v>4.6199999999999998E-2</v>
      </c>
      <c r="Z117" s="62">
        <f t="shared" si="32"/>
        <v>23.33</v>
      </c>
      <c r="AA117" s="62">
        <f t="shared" si="33"/>
        <v>23.283799999999999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4"/>
        <v>0203-14</v>
      </c>
      <c r="AE117" s="85" t="str">
        <f t="shared" si="35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117" s="82" t="str">
        <f t="shared" si="36"/>
        <v>"C:\Program Files (x86)\AstroGrep\AstroGrep.exe" /e /r /s /spath="%USERPROFILE%\AppData\Local\Temp\OnboardLogs" /stypes="app*4004*20170414*" /stext=" 23:.+((SYSTEM_STATE.+slice.+state.+changed )|(ment ac)|(multiple cpu faults)|(system.+state.+changed )|(\[timeout)|(PRM\|1\|D)|(kpr)|(kdp)|(\|lc)|(penalty))"</v>
      </c>
      <c r="AG117" s="1" t="str">
        <f t="shared" si="37"/>
        <v>EC</v>
      </c>
      <c r="AH117" s="86" t="str">
        <f t="shared" si="38"/>
        <v>"%USERPROFILE%\Documents\GitHub\eaglep3\Utilities\RefineRTDCRunTimes.py" --tripid 203-14 --locoid 4004 --swversion DE.1.0.9.0 --startMP 204:462 --initTime 2017-04-14T16:23:56 --startdatetime 2017-04-14T16:30:14 --delay 1 --endMP 204:233300 --enddatetime 2017-04-14T17:06:01 --enforcementcount 0 &gt;&gt;C:\Users\stu\Documents\GitHub\eaglep3-reporting\EC\2017-04-14-refined-times.txt</v>
      </c>
      <c r="AI117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{"issue":{"subject":"","project_id":79,"tracker_id":40,"status_id":1,"priority_id":2,"assigned_to_id":23,"start_date":"2017-04-14","description":"","custom_fields":[{"id":1,"name":"Subdivision","value":"EC"},{"id":4,"name":"Milepost","value":"23.33"},{"id":17,"name":"Train ID","value":"203-14"},{"id":16,"name":"Locomotive ID","value":"4004"},{"id":130,"name":"Impact","value":""},{"id":150,"name":"Time of Event (Mountain Time)","value":"17:06:01"},{"id":151,"name":"Denver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0"/>
        <v>start /low /b %USERPROFILE%\Documents\GitHub\eaglep3\Utilities\DownloadLogsFromS3.py --loco 4004 --day 2017-04-14</v>
      </c>
      <c r="AN117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796</v>
      </c>
      <c r="B118" s="7">
        <v>4003</v>
      </c>
      <c r="C118" s="21" t="s">
        <v>214</v>
      </c>
      <c r="D118" s="21" t="s">
        <v>410</v>
      </c>
      <c r="E118" s="13">
        <v>42839.720208333332</v>
      </c>
      <c r="F118" s="13">
        <v>42839.726689814815</v>
      </c>
      <c r="G118" s="7">
        <v>1</v>
      </c>
      <c r="H118" s="21" t="s">
        <v>402</v>
      </c>
      <c r="I118" s="13">
        <v>42839.753321759257</v>
      </c>
      <c r="J118" s="7">
        <v>0</v>
      </c>
      <c r="K118" s="97" t="str">
        <f t="shared" si="23"/>
        <v>4003/4004</v>
      </c>
      <c r="L118" s="21" t="str">
        <f>VLOOKUP(A118,'Trips&amp;Operators'!$C$1:$G$99999,5,FALSE)</f>
        <v>WHITED DUSTIN</v>
      </c>
      <c r="M118" s="6">
        <f t="shared" si="24"/>
        <v>2.6631944441760425E-2</v>
      </c>
      <c r="N118" s="7">
        <f t="shared" si="25"/>
        <v>38.349999996135011</v>
      </c>
      <c r="O118" s="7"/>
      <c r="P118" s="7"/>
      <c r="Q118" s="22"/>
      <c r="R118" s="22"/>
      <c r="S118" s="31">
        <f t="shared" si="26"/>
        <v>1</v>
      </c>
      <c r="T118" s="46" t="str">
        <f t="shared" si="2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28"/>
        <v>https://d0f6bd738d7f1b3e5a7ca70fe4ff75f0.us-east-1.aws.found.io/app/kibana#/discover/Steve-Slow-Train-Analysis-(2080s-and-2083s)?_g=(refreshInterval:(display:Off,pause:!f,section:0,value:0),time:(from:'2017-04-14T16:17:06-0600',mode:absolute,to:'2017-04-14T19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83" t="str">
        <f t="shared" si="29"/>
        <v>N</v>
      </c>
      <c r="X118" s="183">
        <f t="shared" si="30"/>
        <v>1</v>
      </c>
      <c r="Y118" s="62">
        <f t="shared" si="31"/>
        <v>23.2989</v>
      </c>
      <c r="Z118" s="62">
        <f t="shared" si="32"/>
        <v>1.41E-2</v>
      </c>
      <c r="AA118" s="62">
        <f t="shared" si="33"/>
        <v>23.284800000000001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4"/>
        <v>0204-14</v>
      </c>
      <c r="AE118" s="85" t="str">
        <f t="shared" si="35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118" s="82" t="str">
        <f t="shared" si="36"/>
        <v>"C:\Program Files (x86)\AstroGrep\AstroGrep.exe" /e /r /s /spath="%USERPROFILE%\AppData\Local\Temp\OnboardLogs" /stypes="app*4003*20170415*" /stext=" 00:.+((SYSTEM_STATE.+slice.+state.+changed )|(ment ac)|(multiple cpu faults)|(system.+state.+changed )|(\[timeout)|(PRM\|1\|D)|(kpr)|(kdp)|(\|lc)|(penalty))"</v>
      </c>
      <c r="AG118" s="1" t="str">
        <f t="shared" si="37"/>
        <v>EC</v>
      </c>
      <c r="AH118" s="86" t="str">
        <f t="shared" si="38"/>
        <v>"%USERPROFILE%\Documents\GitHub\eaglep3\Utilities\RefineRTDCRunTimes.py" --tripid 204-14 --locoid 4003 --swversion DE.1.0.9.0 --startMP 204:232989 --initTime 2017-04-14T17:17:06 --startdatetime 2017-04-14T17:26:26 --delay 1 --endMP 204:141 --enddatetime 2017-04-14T18:04:47 --enforcementcount 0 &gt;&gt;C:\Users\stu\Documents\GitHub\eaglep3-reporting\EC\2017-04-14-refined-times.txt</v>
      </c>
      <c r="AI118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{"issue":{"subject":"","project_id":79,"tracker_id":40,"status_id":1,"priority_id":2,"assigned_to_id":23,"start_date":"2017-04-14","description":"","custom_fields":[{"id":1,"name":"Subdivision","value":"EC"},{"id":4,"name":"Milepost","value":"0.0141"},{"id":17,"name":"Train ID","value":"204-14"},{"id":16,"name":"Locomotive ID","value":"4003"},{"id":130,"name":"Impact","value":""},{"id":150,"name":"Time of Event (Mountain Time)","value":"18:04:47"},{"id":151,"name":"Denver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0"/>
        <v>start /low /b %USERPROFILE%\Documents\GitHub\eaglep3\Utilities\DownloadLogsFromS3.py --loco 4003 --day 2017-04-14</v>
      </c>
      <c r="AN118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791</v>
      </c>
      <c r="B119" s="7">
        <v>4010</v>
      </c>
      <c r="C119" s="21" t="s">
        <v>214</v>
      </c>
      <c r="D119" s="21" t="s">
        <v>512</v>
      </c>
      <c r="E119" s="13">
        <v>42839.695381944446</v>
      </c>
      <c r="F119" s="13">
        <v>42839.698101851849</v>
      </c>
      <c r="G119" s="7">
        <v>1</v>
      </c>
      <c r="H119" s="21" t="s">
        <v>911</v>
      </c>
      <c r="I119" s="13">
        <v>42839.723634259259</v>
      </c>
      <c r="J119" s="7">
        <v>0</v>
      </c>
      <c r="K119" s="97" t="str">
        <f t="shared" si="23"/>
        <v>4009/4010</v>
      </c>
      <c r="L119" s="21" t="str">
        <f>VLOOKUP(A119,'Trips&amp;Operators'!$C$1:$G$99999,5,FALSE)</f>
        <v>CLARK KATHLEEN</v>
      </c>
      <c r="M119" s="6">
        <f t="shared" si="24"/>
        <v>2.5532407409627922E-2</v>
      </c>
      <c r="N119" s="7">
        <f t="shared" si="25"/>
        <v>36.766666669864208</v>
      </c>
      <c r="O119" s="7"/>
      <c r="P119" s="7"/>
      <c r="Q119" s="22"/>
      <c r="R119" s="22"/>
      <c r="S119" s="31">
        <f t="shared" si="26"/>
        <v>1</v>
      </c>
      <c r="T119" s="46" t="str">
        <f t="shared" si="2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28"/>
        <v>https://d0f6bd738d7f1b3e5a7ca70fe4ff75f0.us-east-1.aws.found.io/app/kibana#/discover/Steve-Slow-Train-Analysis-(2080s-and-2083s)?_g=(refreshInterval:(display:Off,pause:!f,section:0,value:0),time:(from:'2017-04-14T15:41:21-0600',mode:absolute,to:'2017-04-14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183" t="str">
        <f t="shared" si="29"/>
        <v>N</v>
      </c>
      <c r="X119" s="183">
        <f t="shared" si="30"/>
        <v>1</v>
      </c>
      <c r="Y119" s="62">
        <f t="shared" si="31"/>
        <v>4.7500000000000001E-2</v>
      </c>
      <c r="Z119" s="62">
        <f t="shared" si="32"/>
        <v>23.327000000000002</v>
      </c>
      <c r="AA119" s="62">
        <f t="shared" si="33"/>
        <v>23.279500000000002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4"/>
        <v>0205-14</v>
      </c>
      <c r="AE119" s="85" t="str">
        <f t="shared" si="35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119" s="82" t="str">
        <f t="shared" si="36"/>
        <v>"C:\Program Files (x86)\AstroGrep\AstroGrep.exe" /e /r /s /spath="%USERPROFILE%\AppData\Local\Temp\OnboardLogs" /stypes="app*4010*20170414*" /stext=" 23:.+((SYSTEM_STATE.+slice.+state.+changed )|(ment ac)|(multiple cpu faults)|(system.+state.+changed )|(\[timeout)|(PRM\|1\|D)|(kpr)|(kdp)|(\|lc)|(penalty))"</v>
      </c>
      <c r="AG119" s="1" t="str">
        <f t="shared" si="37"/>
        <v>EC</v>
      </c>
      <c r="AH119" s="86" t="str">
        <f t="shared" si="38"/>
        <v>"%USERPROFILE%\Documents\GitHub\eaglep3\Utilities\RefineRTDCRunTimes.py" --tripid 205-14 --locoid 4010 --swversion DE.1.0.9.0 --startMP 204:475 --initTime 2017-04-14T16:41:21 --startdatetime 2017-04-14T16:45:16 --delay 1 --endMP 204:233270 --enddatetime 2017-04-14T17:22:02 --enforcementcount 0 &gt;&gt;C:\Users\stu\Documents\GitHub\eaglep3-reporting\EC\2017-04-14-refined-times.txt</v>
      </c>
      <c r="AI119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{"issue":{"subject":"","project_id":79,"tracker_id":40,"status_id":1,"priority_id":2,"assigned_to_id":23,"start_date":"2017-04-14","description":"","custom_fields":[{"id":1,"name":"Subdivision","value":"EC"},{"id":4,"name":"Milepost","value":"23.327"},{"id":17,"name":"Train ID","value":"205-14"},{"id":16,"name":"Locomotive ID","value":"4010"},{"id":130,"name":"Impact","value":""},{"id":150,"name":"Time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0"/>
        <v>start /low /b %USERPROFILE%\Documents\GitHub\eaglep3\Utilities\DownloadLogsFromS3.py --loco 4010 --day 2017-04-14</v>
      </c>
      <c r="AN119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798</v>
      </c>
      <c r="B120" s="7">
        <v>4009</v>
      </c>
      <c r="C120" s="21" t="s">
        <v>214</v>
      </c>
      <c r="D120" s="21" t="s">
        <v>912</v>
      </c>
      <c r="E120" s="13">
        <v>42839.73196759259</v>
      </c>
      <c r="F120" s="13">
        <v>42839.736979166664</v>
      </c>
      <c r="G120" s="7">
        <v>1</v>
      </c>
      <c r="H120" s="21" t="s">
        <v>913</v>
      </c>
      <c r="I120" s="13">
        <v>42839.765682870369</v>
      </c>
      <c r="J120" s="7">
        <v>0</v>
      </c>
      <c r="K120" s="97" t="str">
        <f t="shared" si="23"/>
        <v>4009/4010</v>
      </c>
      <c r="L120" s="21" t="str">
        <f>VLOOKUP(A120,'Trips&amp;Operators'!$C$1:$G$99999,5,FALSE)</f>
        <v>CLARK KATHLEEN</v>
      </c>
      <c r="M120" s="6">
        <f t="shared" si="24"/>
        <v>2.8703703705104999E-2</v>
      </c>
      <c r="N120" s="7">
        <f t="shared" si="25"/>
        <v>41.333333335351199</v>
      </c>
      <c r="O120" s="7"/>
      <c r="P120" s="7"/>
      <c r="Q120" s="22"/>
      <c r="R120" s="22"/>
      <c r="S120" s="31">
        <f t="shared" si="26"/>
        <v>1</v>
      </c>
      <c r="T120" s="46" t="str">
        <f t="shared" si="2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28"/>
        <v>https://d0f6bd738d7f1b3e5a7ca70fe4ff75f0.us-east-1.aws.found.io/app/kibana#/discover/Steve-Slow-Train-Analysis-(2080s-and-2083s)?_g=(refreshInterval:(display:Off,pause:!f,section:0,value:0),time:(from:'2017-04-14T16:34:02-0600',mode:absolute,to:'2017-04-14T19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183" t="str">
        <f t="shared" si="29"/>
        <v>N</v>
      </c>
      <c r="X120" s="183">
        <f t="shared" si="30"/>
        <v>1</v>
      </c>
      <c r="Y120" s="62">
        <f t="shared" si="31"/>
        <v>23.295000000000002</v>
      </c>
      <c r="Z120" s="62">
        <f t="shared" si="32"/>
        <v>1.9099999999999999E-2</v>
      </c>
      <c r="AA120" s="62">
        <f t="shared" si="33"/>
        <v>23.2759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4"/>
        <v>0206-14</v>
      </c>
      <c r="AE120" s="85" t="str">
        <f t="shared" si="35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120" s="82" t="str">
        <f t="shared" si="36"/>
        <v>"C:\Program Files (x86)\AstroGrep\AstroGrep.exe" /e /r /s /spath="%USERPROFILE%\AppData\Local\Temp\OnboardLogs" /stypes="app*4009*20170415*" /stext=" 00:.+((SYSTEM_STATE.+slice.+state.+changed )|(ment ac)|(multiple cpu faults)|(system.+state.+changed )|(\[timeout)|(PRM\|1\|D)|(kpr)|(kdp)|(\|lc)|(penalty))"</v>
      </c>
      <c r="AG120" s="1" t="str">
        <f t="shared" si="37"/>
        <v>EC</v>
      </c>
      <c r="AH120" s="86" t="str">
        <f t="shared" si="38"/>
        <v>"%USERPROFILE%\Documents\GitHub\eaglep3\Utilities\RefineRTDCRunTimes.py" --tripid 206-14 --locoid 4009 --swversion DE.1.0.9.0 --startMP 204:232950 --initTime 2017-04-14T17:34:02 --startdatetime 2017-04-14T17:41:15 --delay 1 --endMP 204:191 --enddatetime 2017-04-14T18:22:35 --enforcementcount 0 &gt;&gt;C:\Users\stu\Documents\GitHub\eaglep3-reporting\EC\2017-04-14-refined-times.txt</v>
      </c>
      <c r="AI120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{"issue":{"subject":"","project_id":79,"tracker_id":40,"status_id":1,"priority_id":2,"assigned_to_id":23,"start_date":"2017-04-14","description":"","custom_fields":[{"id":1,"name":"Subdivision","value":"EC"},{"id":4,"name":"Milepost","value":"0.0191"},{"id":17,"name":"Train ID","value":"206-14"},{"id":16,"name":"Locomotive ID","value":"4009"},{"id":130,"name":"Impact","value":""},{"id":150,"name":"Time of Event (Mountain Time)","value":"18:22:35"},{"id":151,"name":"Denver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0"/>
        <v>start /low /b %USERPROFILE%\Documents\GitHub\eaglep3\Utilities\DownloadLogsFromS3.py --loco 4009 --day 2017-04-14</v>
      </c>
      <c r="AN120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646</v>
      </c>
      <c r="B121" s="7">
        <v>4032</v>
      </c>
      <c r="C121" s="21" t="s">
        <v>214</v>
      </c>
      <c r="D121" s="21" t="s">
        <v>408</v>
      </c>
      <c r="E121" s="13">
        <v>42839.703298611108</v>
      </c>
      <c r="F121" s="13">
        <v>42839.708680555559</v>
      </c>
      <c r="G121" s="7">
        <v>1</v>
      </c>
      <c r="H121" s="21" t="s">
        <v>605</v>
      </c>
      <c r="I121" s="13">
        <v>42839.733090277776</v>
      </c>
      <c r="J121" s="7">
        <v>0</v>
      </c>
      <c r="K121" s="97" t="str">
        <f t="shared" si="23"/>
        <v>4031/4032</v>
      </c>
      <c r="L121" s="21" t="str">
        <f>VLOOKUP(A121,'Trips&amp;Operators'!$C$1:$G$99999,5,FALSE)</f>
        <v>BRUDER RICHARD</v>
      </c>
      <c r="M121" s="6">
        <f t="shared" si="24"/>
        <v>2.4409722216660157E-2</v>
      </c>
      <c r="N121" s="7">
        <f t="shared" si="25"/>
        <v>35.149999991990626</v>
      </c>
      <c r="O121" s="7"/>
      <c r="P121" s="7"/>
      <c r="Q121" s="22"/>
      <c r="R121" s="22"/>
      <c r="S121" s="31">
        <f t="shared" si="26"/>
        <v>1</v>
      </c>
      <c r="T121" s="46" t="str">
        <f t="shared" si="2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28"/>
        <v>https://d0f6bd738d7f1b3e5a7ca70fe4ff75f0.us-east-1.aws.found.io/app/kibana#/discover/Steve-Slow-Train-Analysis-(2080s-and-2083s)?_g=(refreshInterval:(display:Off,pause:!f,section:0,value:0),time:(from:'2017-04-14T15:52:45-0600',mode:absolute,to:'2017-04-14T18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183" t="str">
        <f t="shared" si="29"/>
        <v>N</v>
      </c>
      <c r="X121" s="183">
        <f t="shared" si="30"/>
        <v>1</v>
      </c>
      <c r="Y121" s="62">
        <f t="shared" si="31"/>
        <v>4.6199999999999998E-2</v>
      </c>
      <c r="Z121" s="62">
        <f t="shared" si="32"/>
        <v>23.330200000000001</v>
      </c>
      <c r="AA121" s="62">
        <f t="shared" si="33"/>
        <v>23.284000000000002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4"/>
        <v>0207-14</v>
      </c>
      <c r="AE121" s="85" t="str">
        <f t="shared" si="35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121" s="82" t="str">
        <f t="shared" si="36"/>
        <v>"C:\Program Files (x86)\AstroGrep\AstroGrep.exe" /e /r /s /spath="%USERPROFILE%\AppData\Local\Temp\OnboardLogs" /stypes="app*4032*20170414*" /stext=" 23:.+((SYSTEM_STATE.+slice.+state.+changed )|(ment ac)|(multiple cpu faults)|(system.+state.+changed )|(\[timeout)|(PRM\|1\|D)|(kpr)|(kdp)|(\|lc)|(penalty))"</v>
      </c>
      <c r="AG121" s="1" t="str">
        <f t="shared" si="37"/>
        <v>EC</v>
      </c>
      <c r="AH121" s="86" t="str">
        <f t="shared" si="38"/>
        <v>"%USERPROFILE%\Documents\GitHub\eaglep3\Utilities\RefineRTDCRunTimes.py" --tripid 207-14 --locoid 4032 --swversion DE.1.0.9.0 --startMP 204:462 --initTime 2017-04-14T16:52:45 --startdatetime 2017-04-14T17:00:30 --delay 1 --endMP 204:233302 --enddatetime 2017-04-14T17:35:39 --enforcementcount 0 &gt;&gt;C:\Users\stu\Documents\GitHub\eaglep3-reporting\EC\2017-04-14-refined-times.txt</v>
      </c>
      <c r="AI121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{"issue":{"subject":"","project_id":79,"tracker_id":40,"status_id":1,"priority_id":2,"assigned_to_id":23,"start_date":"2017-04-14","description":"","custom_fields":[{"id":1,"name":"Subdivision","value":"EC"},{"id":4,"name":"Milepost","value":"23.3302"},{"id":17,"name":"Train ID","value":"207-14"},{"id":16,"name":"Locomotive ID","value":"4032"},{"id":130,"name":"Impact","value":""},{"id":150,"name":"Time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0"/>
        <v>start /low /b %USERPROFILE%\Documents\GitHub\eaglep3\Utilities\DownloadLogsFromS3.py --loco 4032 --day 2017-04-14</v>
      </c>
      <c r="AN121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808</v>
      </c>
      <c r="B122" s="7">
        <v>4031</v>
      </c>
      <c r="C122" s="21" t="s">
        <v>214</v>
      </c>
      <c r="D122" s="21" t="s">
        <v>410</v>
      </c>
      <c r="E122" s="13">
        <v>42839.743263888886</v>
      </c>
      <c r="F122" s="13">
        <v>42839.747418981482</v>
      </c>
      <c r="G122" s="7">
        <v>1</v>
      </c>
      <c r="H122" s="21" t="s">
        <v>197</v>
      </c>
      <c r="I122" s="13">
        <v>42839.775405092594</v>
      </c>
      <c r="J122" s="7">
        <v>0</v>
      </c>
      <c r="K122" s="97" t="str">
        <f t="shared" si="23"/>
        <v>4031/4032</v>
      </c>
      <c r="L122" s="21" t="str">
        <f>VLOOKUP(A122,'Trips&amp;Operators'!$C$1:$G$99999,5,FALSE)</f>
        <v>BRUDER RICHARD</v>
      </c>
      <c r="M122" s="6">
        <f t="shared" si="24"/>
        <v>2.7986111112113576E-2</v>
      </c>
      <c r="N122" s="7">
        <f t="shared" si="25"/>
        <v>40.30000000144355</v>
      </c>
      <c r="O122" s="7"/>
      <c r="P122" s="7"/>
      <c r="Q122" s="22"/>
      <c r="R122" s="22"/>
      <c r="S122" s="31">
        <f t="shared" si="26"/>
        <v>1</v>
      </c>
      <c r="T122" s="46" t="str">
        <f t="shared" si="2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28"/>
        <v>https://d0f6bd738d7f1b3e5a7ca70fe4ff75f0.us-east-1.aws.found.io/app/kibana#/discover/Steve-Slow-Train-Analysis-(2080s-and-2083s)?_g=(refreshInterval:(display:Off,pause:!f,section:0,value:0),time:(from:'2017-04-14T16:50:18-0600',mode:absolute,to:'2017-04-14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183" t="str">
        <f t="shared" si="29"/>
        <v>N</v>
      </c>
      <c r="X122" s="183">
        <f t="shared" si="30"/>
        <v>1</v>
      </c>
      <c r="Y122" s="62">
        <f t="shared" si="31"/>
        <v>23.2989</v>
      </c>
      <c r="Z122" s="62">
        <f t="shared" si="32"/>
        <v>1.52E-2</v>
      </c>
      <c r="AA122" s="62">
        <f t="shared" si="33"/>
        <v>23.2837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4"/>
        <v>0208-14</v>
      </c>
      <c r="AE122" s="85" t="str">
        <f t="shared" si="35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122" s="82" t="str">
        <f t="shared" si="36"/>
        <v>"C:\Program Files (x86)\AstroGrep\AstroGrep.exe" /e /r /s /spath="%USERPROFILE%\AppData\Local\Temp\OnboardLogs" /stypes="app*4031*20170415*" /stext=" 00:.+((SYSTEM_STATE.+slice.+state.+changed )|(ment ac)|(multiple cpu faults)|(system.+state.+changed )|(\[timeout)|(PRM\|1\|D)|(kpr)|(kdp)|(\|lc)|(penalty))"</v>
      </c>
      <c r="AG122" s="1" t="str">
        <f t="shared" si="37"/>
        <v>EC</v>
      </c>
      <c r="AH122" s="86" t="str">
        <f t="shared" si="38"/>
        <v>"%USERPROFILE%\Documents\GitHub\eaglep3\Utilities\RefineRTDCRunTimes.py" --tripid 208-14 --locoid 4031 --swversion DE.1.0.9.0 --startMP 204:232989 --initTime 2017-04-14T17:50:18 --startdatetime 2017-04-14T17:56:17 --delay 1 --endMP 204:152 --enddatetime 2017-04-14T18:36:35 --enforcementcount 0 &gt;&gt;C:\Users\stu\Documents\GitHub\eaglep3-reporting\EC\2017-04-14-refined-times.txt</v>
      </c>
      <c r="AI122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{"issue":{"subject":"","project_id":79,"tracker_id":40,"status_id":1,"priority_id":2,"assigned_to_id":23,"start_date":"2017-04-14","description":"","custom_fields":[{"id":1,"name":"Subdivision","value":"EC"},{"id":4,"name":"Milepost","value":"0.0152"},{"id":17,"name":"Train ID","value":"208-14"},{"id":16,"name":"Locomotive ID","value":"4031"},{"id":130,"name":"Impact","value":""},{"id":150,"name":"Time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0"/>
        <v>start /low /b %USERPROFILE%\Documents\GitHub\eaglep3\Utilities\DownloadLogsFromS3.py --loco 4031 --day 2017-04-14</v>
      </c>
      <c r="AN122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794</v>
      </c>
      <c r="B123" s="7">
        <v>4040</v>
      </c>
      <c r="C123" s="21" t="s">
        <v>214</v>
      </c>
      <c r="D123" s="21" t="s">
        <v>391</v>
      </c>
      <c r="E123" s="13">
        <v>42839.714953703704</v>
      </c>
      <c r="F123" s="13">
        <v>42839.7190625</v>
      </c>
      <c r="G123" s="7">
        <v>1</v>
      </c>
      <c r="H123" s="21" t="s">
        <v>593</v>
      </c>
      <c r="I123" s="13">
        <v>42839.744479166664</v>
      </c>
      <c r="J123" s="7">
        <v>0</v>
      </c>
      <c r="K123" s="97" t="str">
        <f t="shared" si="23"/>
        <v>4039/4040</v>
      </c>
      <c r="L123" s="21" t="str">
        <f>VLOOKUP(A123,'Trips&amp;Operators'!$C$1:$G$99999,5,FALSE)</f>
        <v>MENGES BRAD</v>
      </c>
      <c r="M123" s="6">
        <f t="shared" si="24"/>
        <v>2.5416666663659271E-2</v>
      </c>
      <c r="N123" s="7">
        <f t="shared" si="25"/>
        <v>36.59999999566935</v>
      </c>
      <c r="O123" s="7"/>
      <c r="P123" s="7"/>
      <c r="Q123" s="22"/>
      <c r="R123" s="22"/>
      <c r="S123" s="31">
        <f t="shared" si="26"/>
        <v>1</v>
      </c>
      <c r="T123" s="46" t="str">
        <f t="shared" si="2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28"/>
        <v>https://d0f6bd738d7f1b3e5a7ca70fe4ff75f0.us-east-1.aws.found.io/app/kibana#/discover/Steve-Slow-Train-Analysis-(2080s-and-2083s)?_g=(refreshInterval:(display:Off,pause:!f,section:0,value:0),time:(from:'2017-04-14T16:09:32-0600',mode:absolute,to:'2017-04-14T18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83" t="str">
        <f t="shared" si="29"/>
        <v>N</v>
      </c>
      <c r="X123" s="183">
        <f t="shared" si="30"/>
        <v>1</v>
      </c>
      <c r="Y123" s="62">
        <f t="shared" si="31"/>
        <v>4.4900000000000002E-2</v>
      </c>
      <c r="Z123" s="62">
        <f t="shared" si="32"/>
        <v>23.328399999999998</v>
      </c>
      <c r="AA123" s="62">
        <f t="shared" si="33"/>
        <v>23.2835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4"/>
        <v>0209-14</v>
      </c>
      <c r="AE123" s="85" t="str">
        <f t="shared" si="35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123" s="82" t="str">
        <f t="shared" si="36"/>
        <v>"C:\Program Files (x86)\AstroGrep\AstroGrep.exe" /e /r /s /spath="%USERPROFILE%\AppData\Local\Temp\OnboardLogs" /stypes="app*4040*20170414*" /stext=" 23:.+((SYSTEM_STATE.+slice.+state.+changed )|(ment ac)|(multiple cpu faults)|(system.+state.+changed )|(\[timeout)|(PRM\|1\|D)|(kpr)|(kdp)|(\|lc)|(penalty))"</v>
      </c>
      <c r="AG123" s="1" t="str">
        <f t="shared" si="37"/>
        <v>EC</v>
      </c>
      <c r="AH123" s="86" t="str">
        <f t="shared" si="38"/>
        <v>"%USERPROFILE%\Documents\GitHub\eaglep3\Utilities\RefineRTDCRunTimes.py" --tripid 209-14 --locoid 4040 --swversion DE.1.0.9.0 --startMP 204:449 --initTime 2017-04-14T17:09:32 --startdatetime 2017-04-14T17:15:27 --delay 1 --endMP 204:233284 --enddatetime 2017-04-14T17:52:03 --enforcementcount 0 &gt;&gt;C:\Users\stu\Documents\GitHub\eaglep3-reporting\EC\2017-04-14-refined-times.txt</v>
      </c>
      <c r="AI123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{"issue":{"subject":"","project_id":79,"tracker_id":40,"status_id":1,"priority_id":2,"assigned_to_id":23,"start_date":"2017-04-14","description":"","custom_fields":[{"id":1,"name":"Subdivision","value":"EC"},{"id":4,"name":"Milepost","value":"23.3284"},{"id":17,"name":"Train ID","value":"209-14"},{"id":16,"name":"Locomotive ID","value":"4040"},{"id":130,"name":"Impact","value":""},{"id":150,"name":"Time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0"/>
        <v>start /low /b %USERPROFILE%\Documents\GitHub\eaglep3\Utilities\DownloadLogsFromS3.py --loco 4040 --day 2017-04-14</v>
      </c>
      <c r="AN123" s="159" t="str">
        <f t="shared" si="41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813</v>
      </c>
      <c r="B124" s="7">
        <v>4039</v>
      </c>
      <c r="C124" s="21" t="s">
        <v>214</v>
      </c>
      <c r="D124" s="21" t="s">
        <v>914</v>
      </c>
      <c r="E124" s="13">
        <v>42839.755023148151</v>
      </c>
      <c r="F124" s="13">
        <v>42839.758067129631</v>
      </c>
      <c r="G124" s="7">
        <v>1</v>
      </c>
      <c r="H124" s="21" t="s">
        <v>607</v>
      </c>
      <c r="I124" s="13">
        <v>42839.785150462965</v>
      </c>
      <c r="J124" s="7">
        <v>0</v>
      </c>
      <c r="K124" s="97" t="str">
        <f t="shared" si="23"/>
        <v>4039/4040</v>
      </c>
      <c r="L124" s="21" t="str">
        <f>VLOOKUP(A124,'Trips&amp;Operators'!$C$1:$G$99999,5,FALSE)</f>
        <v>MENGES BRAD</v>
      </c>
      <c r="M124" s="6">
        <f t="shared" si="24"/>
        <v>2.7083333334303461E-2</v>
      </c>
      <c r="N124" s="7">
        <f t="shared" si="25"/>
        <v>39.000000001396984</v>
      </c>
      <c r="O124" s="7"/>
      <c r="P124" s="7"/>
      <c r="Q124" s="22"/>
      <c r="R124" s="22"/>
      <c r="S124" s="31">
        <f t="shared" si="26"/>
        <v>1</v>
      </c>
      <c r="T124" s="46" t="str">
        <f t="shared" si="2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28"/>
        <v>https://d0f6bd738d7f1b3e5a7ca70fe4ff75f0.us-east-1.aws.found.io/app/kibana#/discover/Steve-Slow-Train-Analysis-(2080s-and-2083s)?_g=(refreshInterval:(display:Off,pause:!f,section:0,value:0),time:(from:'2017-04-14T17:07:14-0600',mode:absolute,to:'2017-04-14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83" t="str">
        <f t="shared" si="29"/>
        <v>N</v>
      </c>
      <c r="X124" s="183">
        <f t="shared" si="30"/>
        <v>1</v>
      </c>
      <c r="Y124" s="62">
        <f t="shared" si="31"/>
        <v>23.2959</v>
      </c>
      <c r="Z124" s="62">
        <f t="shared" si="32"/>
        <v>1.5599999999999999E-2</v>
      </c>
      <c r="AA124" s="62">
        <f t="shared" si="33"/>
        <v>23.2803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4"/>
        <v>0210-14</v>
      </c>
      <c r="AE124" s="85" t="str">
        <f t="shared" si="35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124" s="82" t="str">
        <f t="shared" si="36"/>
        <v>"C:\Program Files (x86)\AstroGrep\AstroGrep.exe" /e /r /s /spath="%USERPROFILE%\AppData\Local\Temp\OnboardLogs" /stypes="app*4039*20170415*" /stext=" 00:.+((SYSTEM_STATE.+slice.+state.+changed )|(ment ac)|(multiple cpu faults)|(system.+state.+changed )|(\[timeout)|(PRM\|1\|D)|(kpr)|(kdp)|(\|lc)|(penalty))"</v>
      </c>
      <c r="AG124" s="1" t="str">
        <f t="shared" si="37"/>
        <v>EC</v>
      </c>
      <c r="AH124" s="86" t="str">
        <f t="shared" si="38"/>
        <v>"%USERPROFILE%\Documents\GitHub\eaglep3\Utilities\RefineRTDCRunTimes.py" --tripid 210-14 --locoid 4039 --swversion DE.1.0.9.0 --startMP 204:232959 --initTime 2017-04-14T18:07:14 --startdatetime 2017-04-14T18:11:37 --delay 1 --endMP 204:156 --enddatetime 2017-04-14T18:50:37 --enforcementcount 0 &gt;&gt;C:\Users\stu\Documents\GitHub\eaglep3-reporting\EC\2017-04-14-refined-times.txt</v>
      </c>
      <c r="AI124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{"issue":{"subject":"","project_id":79,"tracker_id":40,"status_id":1,"priority_id":2,"assigned_to_id":23,"start_date":"2017-04-14","description":"","custom_fields":[{"id":1,"name":"Subdivision","value":"EC"},{"id":4,"name":"Milepost","value":"0.0156"},{"id":17,"name":"Train ID","value":"210-14"},{"id":16,"name":"Locomotive ID","value":"4039"},{"id":130,"name":"Impact","value":""},{"id":150,"name":"Time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0"/>
        <v>start /low /b %USERPROFILE%\Documents\GitHub\eaglep3\Utilities\DownloadLogsFromS3.py --loco 4039 --day 2017-04-14</v>
      </c>
      <c r="AN124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797</v>
      </c>
      <c r="B125" s="7">
        <v>4020</v>
      </c>
      <c r="C125" s="21" t="s">
        <v>214</v>
      </c>
      <c r="D125" s="21" t="s">
        <v>209</v>
      </c>
      <c r="E125" s="13">
        <v>42839.727800925924</v>
      </c>
      <c r="F125" s="13">
        <v>42839.73</v>
      </c>
      <c r="G125" s="7">
        <v>1</v>
      </c>
      <c r="H125" s="21" t="s">
        <v>915</v>
      </c>
      <c r="I125" s="13">
        <v>42839.756967592592</v>
      </c>
      <c r="J125" s="7">
        <v>0</v>
      </c>
      <c r="K125" s="97" t="str">
        <f t="shared" si="23"/>
        <v>4019/4020</v>
      </c>
      <c r="L125" s="21" t="str">
        <f>VLOOKUP(A125,'Trips&amp;Operators'!$C$1:$G$99999,5,FALSE)</f>
        <v>BRANDNER MELINDA</v>
      </c>
      <c r="M125" s="6">
        <f t="shared" si="24"/>
        <v>2.696759258833481E-2</v>
      </c>
      <c r="N125" s="7">
        <f t="shared" si="25"/>
        <v>38.833333327202126</v>
      </c>
      <c r="O125" s="7"/>
      <c r="P125" s="7"/>
      <c r="Q125" s="22"/>
      <c r="R125" s="22"/>
      <c r="S125" s="31">
        <f t="shared" si="26"/>
        <v>1</v>
      </c>
      <c r="T125" s="46" t="str">
        <f t="shared" si="2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28"/>
        <v>https://d0f6bd738d7f1b3e5a7ca70fe4ff75f0.us-east-1.aws.found.io/app/kibana#/discover/Steve-Slow-Train-Analysis-(2080s-and-2083s)?_g=(refreshInterval:(display:Off,pause:!f,section:0,value:0),time:(from:'2017-04-14T16:28:02-0600',mode:absolute,to:'2017-04-14T19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183" t="str">
        <f t="shared" si="29"/>
        <v>N</v>
      </c>
      <c r="X125" s="183">
        <f t="shared" si="30"/>
        <v>1</v>
      </c>
      <c r="Y125" s="62">
        <f t="shared" si="31"/>
        <v>4.53E-2</v>
      </c>
      <c r="Z125" s="62">
        <v>23.3</v>
      </c>
      <c r="AA125" s="62">
        <f t="shared" si="33"/>
        <v>23.2547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4"/>
        <v>0211-14</v>
      </c>
      <c r="AE125" s="85" t="str">
        <f t="shared" si="35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125" s="82" t="str">
        <f t="shared" si="36"/>
        <v>"C:\Program Files (x86)\AstroGrep\AstroGrep.exe" /e /r /s /spath="%USERPROFILE%\AppData\Local\Temp\OnboardLogs" /stypes="app*4020*20170415*" /stext=" 00:.+((SYSTEM_STATE.+slice.+state.+changed )|(ment ac)|(multiple cpu faults)|(system.+state.+changed )|(\[timeout)|(PRM\|1\|D)|(kpr)|(kdp)|(\|lc)|(penalty))"</v>
      </c>
      <c r="AG125" s="1" t="str">
        <f t="shared" si="37"/>
        <v>EC</v>
      </c>
      <c r="AH125" s="86" t="str">
        <f t="shared" si="38"/>
        <v>"%USERPROFILE%\Documents\GitHub\eaglep3\Utilities\RefineRTDCRunTimes.py" --tripid 211-14 --locoid 4020 --swversion DE.1.0.9.0 --startMP 204:453 --initTime 2017-04-14T17:28:02 --startdatetime 2017-04-14T17:31:12 --delay 1 --endMP 300:23026 --enddatetime 2017-04-14T18:10:02 --enforcementcount 0 &gt;&gt;C:\Users\stu\Documents\GitHub\eaglep3-reporting\EC\2017-04-14-refined-times.txt</v>
      </c>
      <c r="AI125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{"issue":{"subject":"","project_id":79,"tracker_id":40,"status_id":1,"priority_id":2,"assigned_to_id":23,"start_date":"2017-04-14","description":"","custom_fields":[{"id":1,"name":"Subdivision","value":"EC"},{"id":4,"name":"Milepost","value":"23.3"},{"id":17,"name":"Train ID","value":"211-14"},{"id":16,"name":"Locomotive ID","value":"4020"},{"id":130,"name":"Impact","value":""},{"id":150,"name":"Time of Event (Mountain Time)","value":"18:10:02"},{"id":151,"name":"Denver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0"/>
        <v>start /low /b %USERPROFILE%\Documents\GitHub\eaglep3\Utilities\DownloadLogsFromS3.py --loco 4020 --day 2017-04-14</v>
      </c>
      <c r="AN125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817</v>
      </c>
      <c r="B126" s="7">
        <v>4019</v>
      </c>
      <c r="C126" s="21" t="s">
        <v>214</v>
      </c>
      <c r="D126" s="21" t="s">
        <v>916</v>
      </c>
      <c r="E126" s="13">
        <v>42839.76394675926</v>
      </c>
      <c r="F126" s="13">
        <v>42839.768425925926</v>
      </c>
      <c r="G126" s="7">
        <v>1</v>
      </c>
      <c r="H126" s="21" t="s">
        <v>546</v>
      </c>
      <c r="I126" s="13">
        <v>42839.797164351854</v>
      </c>
      <c r="J126" s="7">
        <v>0</v>
      </c>
      <c r="K126" s="97" t="str">
        <f t="shared" si="23"/>
        <v>4019/4020</v>
      </c>
      <c r="L126" s="21" t="str">
        <f>VLOOKUP(A126,'Trips&amp;Operators'!$C$1:$G$99999,5,FALSE)</f>
        <v>BRANDNER MELINDA</v>
      </c>
      <c r="M126" s="6">
        <f t="shared" si="24"/>
        <v>2.8738425928167999E-2</v>
      </c>
      <c r="N126" s="7">
        <f t="shared" si="25"/>
        <v>41.383333336561918</v>
      </c>
      <c r="O126" s="7"/>
      <c r="P126" s="7"/>
      <c r="Q126" s="22"/>
      <c r="R126" s="22"/>
      <c r="S126" s="31">
        <f t="shared" si="26"/>
        <v>1</v>
      </c>
      <c r="T126" s="46" t="str">
        <f t="shared" si="2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28"/>
        <v>https://d0f6bd738d7f1b3e5a7ca70fe4ff75f0.us-east-1.aws.found.io/app/kibana#/discover/Steve-Slow-Train-Analysis-(2080s-and-2083s)?_g=(refreshInterval:(display:Off,pause:!f,section:0,value:0),time:(from:'2017-04-14T17:20:05-0600',mode:absolute,to:'2017-04-14T20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183" t="str">
        <f t="shared" si="29"/>
        <v>N</v>
      </c>
      <c r="X126" s="183">
        <f t="shared" si="30"/>
        <v>1</v>
      </c>
      <c r="Y126" s="62">
        <f t="shared" si="31"/>
        <v>23.297599999999999</v>
      </c>
      <c r="Z126" s="62">
        <f t="shared" si="32"/>
        <v>1.3899999999999999E-2</v>
      </c>
      <c r="AA126" s="62">
        <f t="shared" si="33"/>
        <v>23.2837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4"/>
        <v>0212-14</v>
      </c>
      <c r="AE126" s="85" t="str">
        <f t="shared" si="35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126" s="82" t="str">
        <f t="shared" si="36"/>
        <v>"C:\Program Files (x86)\AstroGrep\AstroGrep.exe" /e /r /s /spath="%USERPROFILE%\AppData\Local\Temp\OnboardLogs" /stypes="app*4019*20170415*" /stext=" 01:.+((SYSTEM_STATE.+slice.+state.+changed )|(ment ac)|(multiple cpu faults)|(system.+state.+changed )|(\[timeout)|(PRM\|1\|D)|(kpr)|(kdp)|(\|lc)|(penalty))"</v>
      </c>
      <c r="AG126" s="1" t="str">
        <f t="shared" si="37"/>
        <v>EC</v>
      </c>
      <c r="AH126" s="86" t="str">
        <f t="shared" si="38"/>
        <v>"%USERPROFILE%\Documents\GitHub\eaglep3\Utilities\RefineRTDCRunTimes.py" --tripid 212-14 --locoid 4019 --swversion DE.1.0.9.0 --startMP 204:232976 --initTime 2017-04-14T18:20:05 --startdatetime 2017-04-14T18:26:32 --delay 1 --endMP 204:139 --enddatetime 2017-04-14T19:07:55 --enforcementcount 0 &gt;&gt;C:\Users\stu\Documents\GitHub\eaglep3-reporting\EC\2017-04-14-refined-times.txt</v>
      </c>
      <c r="AI126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ID","value":"212-14"},{"id":16,"name":"Locomotive ID","value":"4019"},{"id":130,"name":"Impact","value":""},{"id":150,"name":"Time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0"/>
        <v>start /low /b %USERPROFILE%\Documents\GitHub\eaglep3\Utilities\DownloadLogsFromS3.py --loco 4019 --day 2017-04-14</v>
      </c>
      <c r="AN126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807</v>
      </c>
      <c r="B127" s="7">
        <v>4046</v>
      </c>
      <c r="C127" s="21" t="s">
        <v>214</v>
      </c>
      <c r="D127" s="21" t="s">
        <v>204</v>
      </c>
      <c r="E127" s="13">
        <v>42839.736493055556</v>
      </c>
      <c r="F127" s="13">
        <v>42839.73982638889</v>
      </c>
      <c r="G127" s="7">
        <v>2</v>
      </c>
      <c r="H127" s="21" t="s">
        <v>597</v>
      </c>
      <c r="I127" s="13">
        <v>42839.764398148145</v>
      </c>
      <c r="J127" s="7">
        <v>0</v>
      </c>
      <c r="K127" s="97" t="str">
        <f t="shared" si="23"/>
        <v>4045/4046</v>
      </c>
      <c r="L127" s="21" t="str">
        <f>VLOOKUP(A127,'Trips&amp;Operators'!$C$1:$G$99999,5,FALSE)</f>
        <v>FORTUNATO FRANK</v>
      </c>
      <c r="M127" s="6">
        <f t="shared" si="24"/>
        <v>2.4571759255195502E-2</v>
      </c>
      <c r="N127" s="7">
        <f t="shared" si="25"/>
        <v>35.383333327481523</v>
      </c>
      <c r="O127" s="7"/>
      <c r="P127" s="7"/>
      <c r="Q127" s="22"/>
      <c r="R127" s="22"/>
      <c r="S127" s="31">
        <f t="shared" si="26"/>
        <v>1</v>
      </c>
      <c r="T127" s="46" t="str">
        <f t="shared" si="2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28"/>
        <v>https://d0f6bd738d7f1b3e5a7ca70fe4ff75f0.us-east-1.aws.found.io/app/kibana#/discover/Steve-Slow-Train-Analysis-(2080s-and-2083s)?_g=(refreshInterval:(display:Off,pause:!f,section:0,value:0),time:(from:'2017-04-14T16:40:33-0600',mode:absolute,to:'2017-04-14T19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7" s="183" t="str">
        <f t="shared" si="29"/>
        <v>N</v>
      </c>
      <c r="X127" s="183">
        <f t="shared" si="30"/>
        <v>1</v>
      </c>
      <c r="Y127" s="62">
        <f t="shared" si="31"/>
        <v>4.5100000000000001E-2</v>
      </c>
      <c r="Z127" s="62">
        <f t="shared" si="32"/>
        <v>23.327400000000001</v>
      </c>
      <c r="AA127" s="62">
        <f t="shared" si="33"/>
        <v>23.282299999999999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4"/>
        <v>0213-14</v>
      </c>
      <c r="AE127" s="85" t="str">
        <f t="shared" si="35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127" s="82" t="str">
        <f t="shared" si="36"/>
        <v>"C:\Program Files (x86)\AstroGrep\AstroGrep.exe" /e /r /s /spath="%USERPROFILE%\AppData\Local\Temp\OnboardLogs" /stypes="app*4046*20170415*" /stext=" 00:.+((SYSTEM_STATE.+slice.+state.+changed )|(ment ac)|(multiple cpu faults)|(system.+state.+changed )|(\[timeout)|(PRM\|1\|D)|(kpr)|(kdp)|(\|lc)|(penalty))"</v>
      </c>
      <c r="AG127" s="1" t="str">
        <f t="shared" si="37"/>
        <v>EC</v>
      </c>
      <c r="AH127" s="86" t="str">
        <f t="shared" si="38"/>
        <v>"%USERPROFILE%\Documents\GitHub\eaglep3\Utilities\RefineRTDCRunTimes.py" --tripid 213-14 --locoid 4046 --swversion DE.1.0.9.0 --startMP 204:451 --initTime 2017-04-14T17:40:33 --startdatetime 2017-04-14T17:45:21 --delay 2 --endMP 204:233274 --enddatetime 2017-04-14T18:20:44 --enforcementcount 0 &gt;&gt;C:\Users\stu\Documents\GitHub\eaglep3-reporting\EC\2017-04-14-refined-times.txt</v>
      </c>
      <c r="AI127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{"issue":{"subject":"","project_id":79,"tracker_id":40,"status_id":1,"priority_id":2,"assigned_to_id":23,"start_date":"2017-04-14","description":"","custom_fields":[{"id":1,"name":"Subdivision","value":"EC"},{"id":4,"name":"Milepost","value":"23.3274"},{"id":17,"name":"Train ID","value":"213-14"},{"id":16,"name":"Locomotive ID","value":"4046"},{"id":130,"name":"Impact","value":""},{"id":150,"name":"Time of Event (Mountain Time)","value":"18:20:44"},{"id":151,"name":"Denver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0"/>
        <v>start /low /b %USERPROFILE%\Documents\GitHub\eaglep3\Utilities\DownloadLogsFromS3.py --loco 4046 --day 2017-04-14</v>
      </c>
      <c r="AN127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818</v>
      </c>
      <c r="B128" s="7">
        <v>4045</v>
      </c>
      <c r="C128" s="21" t="s">
        <v>214</v>
      </c>
      <c r="D128" s="21" t="s">
        <v>595</v>
      </c>
      <c r="E128" s="13">
        <v>42839.766967592594</v>
      </c>
      <c r="F128" s="13">
        <v>42839.778981481482</v>
      </c>
      <c r="G128" s="7">
        <v>1</v>
      </c>
      <c r="H128" s="21" t="s">
        <v>508</v>
      </c>
      <c r="I128" s="13">
        <v>42839.806655092594</v>
      </c>
      <c r="J128" s="7">
        <v>0</v>
      </c>
      <c r="K128" s="97" t="str">
        <f t="shared" si="23"/>
        <v>4045/4046</v>
      </c>
      <c r="L128" s="21" t="str">
        <f>VLOOKUP(A128,'Trips&amp;Operators'!$C$1:$G$99999,5,FALSE)</f>
        <v>FORTUNATO FRANK</v>
      </c>
      <c r="M128" s="6">
        <f t="shared" si="24"/>
        <v>2.7673611111822538E-2</v>
      </c>
      <c r="N128" s="7">
        <f t="shared" si="25"/>
        <v>39.850000001024455</v>
      </c>
      <c r="O128" s="7"/>
      <c r="P128" s="7"/>
      <c r="Q128" s="22"/>
      <c r="R128" s="22"/>
      <c r="S128" s="31">
        <f t="shared" si="26"/>
        <v>1</v>
      </c>
      <c r="T128" s="46" t="str">
        <f t="shared" si="2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28"/>
        <v>https://d0f6bd738d7f1b3e5a7ca70fe4ff75f0.us-east-1.aws.found.io/app/kibana#/discover/Steve-Slow-Train-Analysis-(2080s-and-2083s)?_g=(refreshInterval:(display:Off,pause:!f,section:0,value:0),time:(from:'2017-04-14T17:24:26-0600',mode:absolute,to:'2017-04-14T20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8" s="183" t="str">
        <f t="shared" si="29"/>
        <v>N</v>
      </c>
      <c r="X128" s="183">
        <f t="shared" si="30"/>
        <v>1</v>
      </c>
      <c r="Y128" s="62">
        <f t="shared" si="31"/>
        <v>23.295500000000001</v>
      </c>
      <c r="Z128" s="62">
        <f t="shared" si="32"/>
        <v>1.49E-2</v>
      </c>
      <c r="AA128" s="62">
        <f t="shared" si="33"/>
        <v>23.2806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4"/>
        <v>0214-14</v>
      </c>
      <c r="AE128" s="85" t="str">
        <f t="shared" si="35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128" s="82" t="str">
        <f t="shared" si="36"/>
        <v>"C:\Program Files (x86)\AstroGrep\AstroGrep.exe" /e /r /s /spath="%USERPROFILE%\AppData\Local\Temp\OnboardLogs" /stypes="app*4045*20170415*" /stext=" 01:.+((SYSTEM_STATE.+slice.+state.+changed )|(ment ac)|(multiple cpu faults)|(system.+state.+changed )|(\[timeout)|(PRM\|1\|D)|(kpr)|(kdp)|(\|lc)|(penalty))"</v>
      </c>
      <c r="AG128" s="1" t="str">
        <f t="shared" si="37"/>
        <v>EC</v>
      </c>
      <c r="AH128" s="86" t="str">
        <f t="shared" si="38"/>
        <v>"%USERPROFILE%\Documents\GitHub\eaglep3\Utilities\RefineRTDCRunTimes.py" --tripid 214-14 --locoid 4045 --swversion DE.1.0.9.0 --startMP 204:232955 --initTime 2017-04-14T18:24:26 --startdatetime 2017-04-14T18:41:44 --delay 1 --endMP 204:149 --enddatetime 2017-04-14T19:21:35 --enforcementcount 0 &gt;&gt;C:\Users\stu\Documents\GitHub\eaglep3-reporting\EC\2017-04-14-refined-times.txt</v>
      </c>
      <c r="AI128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{"issue":{"subject":"","project_id":79,"tracker_id":40,"status_id":1,"priority_id":2,"assigned_to_id":23,"start_date":"2017-04-14","description":"","custom_fields":[{"id":1,"name":"Subdivision","value":"EC"},{"id":4,"name":"Milepost","value":"0.0149"},{"id":17,"name":"Train ID","value":"214-14"},{"id":16,"name":"Locomotive ID","value":"4045"},{"id":130,"name":"Impact","value":""},{"id":150,"name":"Time of Event (Mountain Time)","value":"19:21:35"},{"id":151,"name":"Denver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0"/>
        <v>start /low /b %USERPROFILE%\Documents\GitHub\eaglep3\Utilities\DownloadLogsFromS3.py --loco 4045 --day 2017-04-14</v>
      </c>
      <c r="AN128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810</v>
      </c>
      <c r="B129" s="7">
        <v>4042</v>
      </c>
      <c r="C129" s="21" t="s">
        <v>214</v>
      </c>
      <c r="D129" s="21" t="s">
        <v>471</v>
      </c>
      <c r="E129" s="13">
        <v>42839.745659722219</v>
      </c>
      <c r="F129" s="13">
        <v>42839.752025462964</v>
      </c>
      <c r="G129" s="7">
        <v>1</v>
      </c>
      <c r="H129" s="21" t="s">
        <v>497</v>
      </c>
      <c r="I129" s="13">
        <v>42839.77579861111</v>
      </c>
      <c r="J129" s="7">
        <v>0</v>
      </c>
      <c r="K129" s="97" t="str">
        <f t="shared" si="23"/>
        <v>4041/4042</v>
      </c>
      <c r="L129" s="21" t="str">
        <f>VLOOKUP(A129,'Trips&amp;Operators'!$C$1:$G$99999,5,FALSE)</f>
        <v>PERKINS DARREN</v>
      </c>
      <c r="M129" s="6">
        <f t="shared" si="24"/>
        <v>2.3773148146574385E-2</v>
      </c>
      <c r="N129" s="7">
        <f t="shared" si="25"/>
        <v>34.233333331067115</v>
      </c>
      <c r="O129" s="7"/>
      <c r="P129" s="7"/>
      <c r="Q129" s="22"/>
      <c r="R129" s="22"/>
      <c r="S129" s="31">
        <f t="shared" si="26"/>
        <v>1</v>
      </c>
      <c r="T129" s="46" t="str">
        <f t="shared" si="2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28"/>
        <v>https://d0f6bd738d7f1b3e5a7ca70fe4ff75f0.us-east-1.aws.found.io/app/kibana#/discover/Steve-Slow-Train-Analysis-(2080s-and-2083s)?_g=(refreshInterval:(display:Off,pause:!f,section:0,value:0),time:(from:'2017-04-14T16:53:45-0600',mode:absolute,to:'2017-04-14T19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83" t="str">
        <f t="shared" si="29"/>
        <v>N</v>
      </c>
      <c r="X129" s="183">
        <f t="shared" si="30"/>
        <v>1</v>
      </c>
      <c r="Y129" s="62">
        <f t="shared" si="31"/>
        <v>4.6399999999999997E-2</v>
      </c>
      <c r="Z129" s="62">
        <f t="shared" si="32"/>
        <v>23.331399999999999</v>
      </c>
      <c r="AA129" s="62">
        <f t="shared" si="33"/>
        <v>23.285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4"/>
        <v>0215-14</v>
      </c>
      <c r="AE129" s="85" t="str">
        <f t="shared" si="35"/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AF129" s="82" t="str">
        <f t="shared" si="36"/>
        <v>"C:\Program Files (x86)\AstroGrep\AstroGrep.exe" /e /r /s /spath="%USERPROFILE%\AppData\Local\Temp\OnboardLogs" /stypes="app*4042*20170415*" /stext=" 00:.+((SYSTEM_STATE.+slice.+state.+changed )|(ment ac)|(multiple cpu faults)|(system.+state.+changed )|(\[timeout)|(PRM\|1\|D)|(kpr)|(kdp)|(\|lc)|(penalty))"</v>
      </c>
      <c r="AG129" s="1" t="str">
        <f t="shared" si="37"/>
        <v>EC</v>
      </c>
      <c r="AH129" s="86" t="str">
        <f t="shared" si="38"/>
        <v>"%USERPROFILE%\Documents\GitHub\eaglep3\Utilities\RefineRTDCRunTimes.py" --tripid 215-14 --locoid 4042 --swversion DE.1.0.9.0 --startMP 204:464 --initTime 2017-04-14T17:53:45 --startdatetime 2017-04-14T18:02:55 --delay 1 --endMP 204:233314 --enddatetime 2017-04-14T18:37:09 --enforcementcount 0 &gt;&gt;C:\Users\stu\Documents\GitHub\eaglep3-reporting\EC\2017-04-14-refined-times.txt</v>
      </c>
      <c r="AI129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{"issue":{"subject":"","project_id":79,"tracker_id":40,"status_id":1,"priority_id":2,"assigned_to_id":23,"start_date":"2017-04-14","description":"","custom_fields":[{"id":1,"name":"Subdivision","value":"EC"},{"id":4,"name":"Milepost","value":"23.3314"},{"id":17,"name":"Train ID","value":"215-14"},{"id":16,"name":"Locomotive ID","value":"4042"},{"id":130,"name":"Impact","value":""},{"id":150,"name":"Time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0"/>
        <v>start /low /b %USERPROFILE%\Documents\GitHub\eaglep3\Utilities\DownloadLogsFromS3.py --loco 4042 --day 2017-04-14</v>
      </c>
      <c r="AN129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649</v>
      </c>
      <c r="B130" s="7">
        <v>4041</v>
      </c>
      <c r="C130" s="21" t="s">
        <v>214</v>
      </c>
      <c r="D130" s="21" t="s">
        <v>409</v>
      </c>
      <c r="E130" s="13">
        <v>42839.785729166666</v>
      </c>
      <c r="F130" s="13">
        <v>42839.789351851854</v>
      </c>
      <c r="G130" s="7">
        <v>2</v>
      </c>
      <c r="H130" s="21" t="s">
        <v>203</v>
      </c>
      <c r="I130" s="13">
        <v>42839.817418981482</v>
      </c>
      <c r="J130" s="7">
        <v>0</v>
      </c>
      <c r="K130" s="97" t="str">
        <f t="shared" si="23"/>
        <v>4041/4042</v>
      </c>
      <c r="L130" s="21" t="str">
        <f>VLOOKUP(A130,'Trips&amp;Operators'!$C$1:$G$99999,5,FALSE)</f>
        <v>PERKINS DARREN</v>
      </c>
      <c r="M130" s="6">
        <f t="shared" si="24"/>
        <v>2.806712962774327E-2</v>
      </c>
      <c r="N130" s="7">
        <f t="shared" si="25"/>
        <v>40.416666663950309</v>
      </c>
      <c r="O130" s="7"/>
      <c r="P130" s="7"/>
      <c r="Q130" s="22"/>
      <c r="R130" s="22"/>
      <c r="S130" s="31">
        <f t="shared" si="26"/>
        <v>1</v>
      </c>
      <c r="T130" s="46" t="str">
        <f t="shared" si="2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28"/>
        <v>https://d0f6bd738d7f1b3e5a7ca70fe4ff75f0.us-east-1.aws.found.io/app/kibana#/discover/Steve-Slow-Train-Analysis-(2080s-and-2083s)?_g=(refreshInterval:(display:Off,pause:!f,section:0,value:0),time:(from:'2017-04-14T17:51:27-0600',mode:absolute,to:'2017-04-14T20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83" t="str">
        <f t="shared" si="29"/>
        <v>N</v>
      </c>
      <c r="X130" s="183">
        <f t="shared" si="30"/>
        <v>1</v>
      </c>
      <c r="Y130" s="62">
        <f t="shared" si="31"/>
        <v>23.299299999999999</v>
      </c>
      <c r="Z130" s="62">
        <f t="shared" si="32"/>
        <v>1.54E-2</v>
      </c>
      <c r="AA130" s="62">
        <f t="shared" si="33"/>
        <v>23.283899999999999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4"/>
        <v>0216-14</v>
      </c>
      <c r="AE130" s="85" t="str">
        <f t="shared" si="35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130" s="82" t="str">
        <f t="shared" si="36"/>
        <v>"C:\Program Files (x86)\AstroGrep\AstroGrep.exe" /e /r /s /spath="%USERPROFILE%\AppData\Local\Temp\OnboardLogs" /stypes="app*4041*20170415*" /stext=" 01:.+((SYSTEM_STATE.+slice.+state.+changed )|(ment ac)|(multiple cpu faults)|(system.+state.+changed )|(\[timeout)|(PRM\|1\|D)|(kpr)|(kdp)|(\|lc)|(penalty))"</v>
      </c>
      <c r="AG130" s="1" t="str">
        <f t="shared" si="37"/>
        <v>EC</v>
      </c>
      <c r="AH130" s="86" t="str">
        <f t="shared" si="38"/>
        <v>"%USERPROFILE%\Documents\GitHub\eaglep3\Utilities\RefineRTDCRunTimes.py" --tripid 216-14 --locoid 4041 --swversion DE.1.0.9.0 --startMP 204:232993 --initTime 2017-04-14T18:51:27 --startdatetime 2017-04-14T18:56:40 --delay 2 --endMP 204:154 --enddatetime 2017-04-14T19:37:05 --enforcementcount 0 &gt;&gt;C:\Users\stu\Documents\GitHub\eaglep3-reporting\EC\2017-04-14-refined-times.txt</v>
      </c>
      <c r="AI130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{"issue":{"subject":"","project_id":79,"tracker_id":40,"status_id":1,"priority_id":2,"assigned_to_id":23,"start_date":"2017-04-14","description":"","custom_fields":[{"id":1,"name":"Subdivision","value":"EC"},{"id":4,"name":"Milepost","value":"0.0154"},{"id":17,"name":"Train ID","value":"216-14"},{"id":16,"name":"Locomotive ID","value":"4041"},{"id":130,"name":"Impact","value":""},{"id":150,"name":"Time of Event (Mountain Time)","value":"19:37:05"},{"id":151,"name":"Denver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0"/>
        <v>start /low /b %USERPROFILE%\Documents\GitHub\eaglep3\Utilities\DownloadLogsFromS3.py --loco 4041 --day 2017-04-14</v>
      </c>
      <c r="AN130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814</v>
      </c>
      <c r="B131" s="7">
        <v>4004</v>
      </c>
      <c r="C131" s="21" t="s">
        <v>214</v>
      </c>
      <c r="D131" s="21" t="s">
        <v>205</v>
      </c>
      <c r="E131" s="13">
        <v>42839.755613425928</v>
      </c>
      <c r="F131" s="13">
        <v>42839.760682870372</v>
      </c>
      <c r="G131" s="7">
        <v>1</v>
      </c>
      <c r="H131" s="21" t="s">
        <v>917</v>
      </c>
      <c r="I131" s="13">
        <v>42839.786898148152</v>
      </c>
      <c r="J131" s="7">
        <v>0</v>
      </c>
      <c r="K131" s="97" t="str">
        <f t="shared" si="23"/>
        <v>4003/4004</v>
      </c>
      <c r="L131" s="21" t="str">
        <f>VLOOKUP(A131,'Trips&amp;Operators'!$C$1:$G$99999,5,FALSE)</f>
        <v>DAVIDSON DAVID</v>
      </c>
      <c r="M131" s="6">
        <f t="shared" si="24"/>
        <v>2.6215277779556345E-2</v>
      </c>
      <c r="N131" s="7">
        <f t="shared" si="25"/>
        <v>37.750000002561137</v>
      </c>
      <c r="O131" s="7"/>
      <c r="P131" s="7"/>
      <c r="Q131" s="22"/>
      <c r="R131" s="22"/>
      <c r="S131" s="31">
        <f t="shared" si="26"/>
        <v>1</v>
      </c>
      <c r="T131" s="46" t="str">
        <f t="shared" si="2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28"/>
        <v>https://d0f6bd738d7f1b3e5a7ca70fe4ff75f0.us-east-1.aws.found.io/app/kibana#/discover/Steve-Slow-Train-Analysis-(2080s-and-2083s)?_g=(refreshInterval:(display:Off,pause:!f,section:0,value:0),time:(from:'2017-04-14T17:08:05-0600',mode:absolute,to:'2017-04-14T19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83" t="str">
        <f t="shared" si="29"/>
        <v>N</v>
      </c>
      <c r="X131" s="183">
        <f t="shared" si="30"/>
        <v>1</v>
      </c>
      <c r="Y131" s="62">
        <f t="shared" si="31"/>
        <v>4.5699999999999998E-2</v>
      </c>
      <c r="Z131" s="62">
        <f t="shared" si="32"/>
        <v>23.3278</v>
      </c>
      <c r="AA131" s="62">
        <f t="shared" si="33"/>
        <v>23.2821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4"/>
        <v>0217-14</v>
      </c>
      <c r="AE131" s="85" t="str">
        <f t="shared" si="35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131" s="82" t="str">
        <f t="shared" si="36"/>
        <v>"C:\Program Files (x86)\AstroGrep\AstroGrep.exe" /e /r /s /spath="%USERPROFILE%\AppData\Local\Temp\OnboardLogs" /stypes="app*4004*20170415*" /stext=" 00:.+((SYSTEM_STATE.+slice.+state.+changed )|(ment ac)|(multiple cpu faults)|(system.+state.+changed )|(\[timeout)|(PRM\|1\|D)|(kpr)|(kdp)|(\|lc)|(penalty))"</v>
      </c>
      <c r="AG131" s="1" t="str">
        <f t="shared" si="37"/>
        <v>EC</v>
      </c>
      <c r="AH131" s="86" t="str">
        <f t="shared" si="38"/>
        <v>"%USERPROFILE%\Documents\GitHub\eaglep3\Utilities\RefineRTDCRunTimes.py" --tripid 217-14 --locoid 4004 --swversion DE.1.0.9.0 --startMP 204:457 --initTime 2017-04-14T18:08:05 --startdatetime 2017-04-14T18:15:23 --delay 1 --endMP 204:233278 --enddatetime 2017-04-14T18:53:08 --enforcementcount 0 &gt;&gt;C:\Users\stu\Documents\GitHub\eaglep3-reporting\EC\2017-04-14-refined-times.txt</v>
      </c>
      <c r="AI131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{"issue":{"subject":"","project_id":79,"tracker_id":40,"status_id":1,"priority_id":2,"assigned_to_id":23,"start_date":"2017-04-14","description":"","custom_fields":[{"id":1,"name":"Subdivision","value":"EC"},{"id":4,"name":"Milepost","value":"23.3278"},{"id":17,"name":"Train ID","value":"217-14"},{"id":16,"name":"Locomotive ID","value":"4004"},{"id":130,"name":"Impact","value":""},{"id":150,"name":"Time of Event (Mountain Time)","value":"18:53:08"},{"id":151,"name":"Denver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0"/>
        <v>start /low /b %USERPROFILE%\Documents\GitHub\eaglep3\Utilities\DownloadLogsFromS3.py --loco 4004 --day 2017-04-14</v>
      </c>
      <c r="AN131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823</v>
      </c>
      <c r="B132" s="7">
        <v>4003</v>
      </c>
      <c r="C132" s="21" t="s">
        <v>214</v>
      </c>
      <c r="D132" s="21" t="s">
        <v>914</v>
      </c>
      <c r="E132" s="13">
        <v>42839.789456018516</v>
      </c>
      <c r="F132" s="13">
        <v>42839.800520833334</v>
      </c>
      <c r="G132" s="7">
        <v>1</v>
      </c>
      <c r="H132" s="21" t="s">
        <v>417</v>
      </c>
      <c r="I132" s="13">
        <v>42839.829016203701</v>
      </c>
      <c r="J132" s="7">
        <v>0</v>
      </c>
      <c r="K132" s="97" t="str">
        <f t="shared" si="23"/>
        <v>4003/4004</v>
      </c>
      <c r="L132" s="21" t="str">
        <f>VLOOKUP(A132,'Trips&amp;Operators'!$C$1:$G$99999,5,FALSE)</f>
        <v>DAVIDSON DAVID</v>
      </c>
      <c r="M132" s="6">
        <f t="shared" si="24"/>
        <v>2.8495370366727002E-2</v>
      </c>
      <c r="N132" s="7">
        <f t="shared" si="25"/>
        <v>41.033333328086883</v>
      </c>
      <c r="O132" s="7"/>
      <c r="P132" s="7"/>
      <c r="Q132" s="22"/>
      <c r="R132" s="22"/>
      <c r="S132" s="31">
        <f t="shared" si="26"/>
        <v>1</v>
      </c>
      <c r="T132" s="46" t="str">
        <f t="shared" si="27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28"/>
        <v>https://d0f6bd738d7f1b3e5a7ca70fe4ff75f0.us-east-1.aws.found.io/app/kibana#/discover/Steve-Slow-Train-Analysis-(2080s-and-2083s)?_g=(refreshInterval:(display:Off,pause:!f,section:0,value:0),time:(from:'2017-04-14T17:56:49-0600',mode:absolute,to:'2017-04-14T20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83" t="str">
        <f t="shared" si="29"/>
        <v>N</v>
      </c>
      <c r="X132" s="183">
        <f t="shared" si="30"/>
        <v>1</v>
      </c>
      <c r="Y132" s="62">
        <f t="shared" si="31"/>
        <v>23.2959</v>
      </c>
      <c r="Z132" s="62">
        <f t="shared" si="32"/>
        <v>1.6E-2</v>
      </c>
      <c r="AA132" s="62">
        <f t="shared" si="33"/>
        <v>23.279900000000001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4"/>
        <v>0218-14</v>
      </c>
      <c r="AE132" s="85" t="str">
        <f t="shared" si="35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132" s="82" t="str">
        <f t="shared" si="36"/>
        <v>"C:\Program Files (x86)\AstroGrep\AstroGrep.exe" /e /r /s /spath="%USERPROFILE%\AppData\Local\Temp\OnboardLogs" /stypes="app*4003*20170415*" /stext=" 01:.+((SYSTEM_STATE.+slice.+state.+changed )|(ment ac)|(multiple cpu faults)|(system.+state.+changed )|(\[timeout)|(PRM\|1\|D)|(kpr)|(kdp)|(\|lc)|(penalty))"</v>
      </c>
      <c r="AG132" s="1" t="str">
        <f t="shared" si="37"/>
        <v>EC</v>
      </c>
      <c r="AH132" s="86" t="str">
        <f t="shared" si="38"/>
        <v>"%USERPROFILE%\Documents\GitHub\eaglep3\Utilities\RefineRTDCRunTimes.py" --tripid 218-14 --locoid 4003 --swversion DE.1.0.9.0 --startMP 204:232959 --initTime 2017-04-14T18:56:49 --startdatetime 2017-04-14T19:12:45 --delay 1 --endMP 204:160 --enddatetime 2017-04-14T19:53:47 --enforcementcount 0 &gt;&gt;C:\Users\stu\Documents\GitHub\eaglep3-reporting\EC\2017-04-14-refined-times.txt</v>
      </c>
      <c r="AI132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{"issue":{"subject":"","project_id":79,"tracker_id":40,"status_id":1,"priority_id":2,"assigned_to_id":23,"start_date":"2017-04-14","description":"","custom_fields":[{"id":1,"name":"Subdivision","value":"EC"},{"id":4,"name":"Milepost","value":"0.016"},{"id":17,"name":"Train ID","value":"218-14"},{"id":16,"name":"Locomotive ID","value":"4003"},{"id":130,"name":"Impact","value":""},{"id":150,"name":"Time of Event (Mountain Time)","value":"19:53:47"},{"id":151,"name":"Denver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0"/>
        <v>start /low /b %USERPROFILE%\Documents\GitHub\eaglep3\Utilities\DownloadLogsFromS3.py --loco 4003 --day 2017-04-14</v>
      </c>
      <c r="AN132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819</v>
      </c>
      <c r="B133" s="7">
        <v>4010</v>
      </c>
      <c r="C133" s="21" t="s">
        <v>214</v>
      </c>
      <c r="D133" s="21" t="s">
        <v>918</v>
      </c>
      <c r="E133" s="13">
        <v>42839.767754629633</v>
      </c>
      <c r="F133" s="13">
        <v>42839.771180555559</v>
      </c>
      <c r="G133" s="7">
        <v>2</v>
      </c>
      <c r="H133" s="21" t="s">
        <v>919</v>
      </c>
      <c r="I133" s="13">
        <v>42839.796886574077</v>
      </c>
      <c r="J133" s="7">
        <v>0</v>
      </c>
      <c r="K133" s="97" t="str">
        <f t="shared" si="23"/>
        <v>4009/4010</v>
      </c>
      <c r="L133" s="21" t="str">
        <f>VLOOKUP(A133,'Trips&amp;Operators'!$C$1:$G$99999,5,FALSE)</f>
        <v>SWANSON BRYCE</v>
      </c>
      <c r="M133" s="6">
        <f t="shared" si="24"/>
        <v>2.5706018517666962E-2</v>
      </c>
      <c r="N133" s="7">
        <f t="shared" si="25"/>
        <v>37.016666665440425</v>
      </c>
      <c r="O133" s="7"/>
      <c r="P133" s="7"/>
      <c r="Q133" s="22"/>
      <c r="R133" s="22"/>
      <c r="S133" s="31">
        <f t="shared" si="26"/>
        <v>1</v>
      </c>
      <c r="T133" s="46" t="str">
        <f t="shared" si="27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28"/>
        <v>https://d0f6bd738d7f1b3e5a7ca70fe4ff75f0.us-east-1.aws.found.io/app/kibana#/discover/Steve-Slow-Train-Analysis-(2080s-and-2083s)?_g=(refreshInterval:(display:Off,pause:!f,section:0,value:0),time:(from:'2017-04-14T17:25:34-0600',mode:absolute,to:'2017-04-14T20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3" s="183" t="str">
        <f t="shared" si="29"/>
        <v>N</v>
      </c>
      <c r="X133" s="183">
        <f t="shared" si="30"/>
        <v>1</v>
      </c>
      <c r="Y133" s="62">
        <f t="shared" si="31"/>
        <v>5.1999999999999998E-2</v>
      </c>
      <c r="Z133" s="62">
        <f t="shared" si="32"/>
        <v>23.331700000000001</v>
      </c>
      <c r="AA133" s="62">
        <f t="shared" si="33"/>
        <v>23.279700000000002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4"/>
        <v>0219-14</v>
      </c>
      <c r="AE133" s="85" t="str">
        <f t="shared" si="35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133" s="82" t="str">
        <f t="shared" si="36"/>
        <v>"C:\Program Files (x86)\AstroGrep\AstroGrep.exe" /e /r /s /spath="%USERPROFILE%\AppData\Local\Temp\OnboardLogs" /stypes="app*4010*20170415*" /stext=" 01:.+((SYSTEM_STATE.+slice.+state.+changed )|(ment ac)|(multiple cpu faults)|(system.+state.+changed )|(\[timeout)|(PRM\|1\|D)|(kpr)|(kdp)|(\|lc)|(penalty))"</v>
      </c>
      <c r="AG133" s="1" t="str">
        <f t="shared" si="37"/>
        <v>EC</v>
      </c>
      <c r="AH133" s="86" t="str">
        <f t="shared" si="38"/>
        <v>"%USERPROFILE%\Documents\GitHub\eaglep3\Utilities\RefineRTDCRunTimes.py" --tripid 219-14 --locoid 4010 --swversion DE.1.0.9.0 --startMP 204:520 --initTime 2017-04-14T18:25:34 --startdatetime 2017-04-14T18:30:30 --delay 2 --endMP 204:233317 --enddatetime 2017-04-14T19:07:31 --enforcementcount 0 &gt;&gt;C:\Users\stu\Documents\GitHub\eaglep3-reporting\EC\2017-04-14-refined-times.txt</v>
      </c>
      <c r="AI133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{"issue":{"subject":"","project_id":79,"tracker_id":40,"status_id":1,"priority_id":2,"assigned_to_id":23,"start_date":"2017-04-14","description":"","custom_fields":[{"id":1,"name":"Subdivision","value":"EC"},{"id":4,"name":"Milepost","value":"23.3317"},{"id":17,"name":"Train ID","value":"219-14"},{"id":16,"name":"Locomotive ID","value":"4010"},{"id":130,"name":"Impact","value":""},{"id":150,"name":"Time of Event (Mountain Time)","value":"19:07:31"},{"id":151,"name":"Denver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0"/>
        <v>start /low /b %USERPROFILE%\Documents\GitHub\eaglep3\Utilities\DownloadLogsFromS3.py --loco 4010 --day 2017-04-14</v>
      </c>
      <c r="AN133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826</v>
      </c>
      <c r="B134" s="7">
        <v>4009</v>
      </c>
      <c r="C134" s="21" t="s">
        <v>214</v>
      </c>
      <c r="D134" s="21" t="s">
        <v>524</v>
      </c>
      <c r="E134" s="13">
        <v>42839.799097222225</v>
      </c>
      <c r="F134" s="13">
        <v>42839.809976851851</v>
      </c>
      <c r="G134" s="7">
        <v>1</v>
      </c>
      <c r="H134" s="21" t="s">
        <v>402</v>
      </c>
      <c r="I134" s="13">
        <v>42839.83792824074</v>
      </c>
      <c r="J134" s="7">
        <v>0</v>
      </c>
      <c r="K134" s="97" t="str">
        <f t="shared" si="23"/>
        <v>4009/4010</v>
      </c>
      <c r="L134" s="21" t="str">
        <f>VLOOKUP(A134,'Trips&amp;Operators'!$C$1:$G$99999,5,FALSE)</f>
        <v>SWANSON BRYCE</v>
      </c>
      <c r="M134" s="6">
        <f t="shared" si="24"/>
        <v>2.7951388889050577E-2</v>
      </c>
      <c r="N134" s="7">
        <f t="shared" si="25"/>
        <v>40.250000000232831</v>
      </c>
      <c r="O134" s="7"/>
      <c r="P134" s="7"/>
      <c r="Q134" s="22"/>
      <c r="R134" s="22"/>
      <c r="S134" s="31">
        <f t="shared" si="26"/>
        <v>1</v>
      </c>
      <c r="T134" s="46" t="str">
        <f t="shared" si="27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28"/>
        <v>https://d0f6bd738d7f1b3e5a7ca70fe4ff75f0.us-east-1.aws.found.io/app/kibana#/discover/Steve-Slow-Train-Analysis-(2080s-and-2083s)?_g=(refreshInterval:(display:Off,pause:!f,section:0,value:0),time:(from:'2017-04-14T18:10:42-0600',mode:absolute,to:'2017-04-14T21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4" s="183" t="str">
        <f t="shared" si="29"/>
        <v>N</v>
      </c>
      <c r="X134" s="183">
        <f t="shared" si="30"/>
        <v>1</v>
      </c>
      <c r="Y134" s="62">
        <f t="shared" si="31"/>
        <v>23.301300000000001</v>
      </c>
      <c r="Z134" s="62">
        <f t="shared" si="32"/>
        <v>1.41E-2</v>
      </c>
      <c r="AA134" s="62">
        <f t="shared" si="33"/>
        <v>23.287200000000002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4"/>
        <v>0220-14</v>
      </c>
      <c r="AE134" s="85" t="str">
        <f t="shared" si="35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134" s="82" t="str">
        <f t="shared" si="36"/>
        <v>"C:\Program Files (x86)\AstroGrep\AstroGrep.exe" /e /r /s /spath="%USERPROFILE%\AppData\Local\Temp\OnboardLogs" /stypes="app*4009*20170415*" /stext=" 02:.+((SYSTEM_STATE.+slice.+state.+changed )|(ment ac)|(multiple cpu faults)|(system.+state.+changed )|(\[timeout)|(PRM\|1\|D)|(kpr)|(kdp)|(\|lc)|(penalty))"</v>
      </c>
      <c r="AG134" s="1" t="str">
        <f t="shared" si="37"/>
        <v>EC</v>
      </c>
      <c r="AH134" s="86" t="str">
        <f t="shared" si="38"/>
        <v>"%USERPROFILE%\Documents\GitHub\eaglep3\Utilities\RefineRTDCRunTimes.py" --tripid 220-14 --locoid 4009 --swversion DE.1.0.9.0 --startMP 204:233013 --initTime 2017-04-14T19:10:42 --startdatetime 2017-04-14T19:26:22 --delay 1 --endMP 204:141 --enddatetime 2017-04-14T20:06:37 --enforcementcount 0 &gt;&gt;C:\Users\stu\Documents\GitHub\eaglep3-reporting\EC\2017-04-14-refined-times.txt</v>
      </c>
      <c r="AI134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{"issue":{"subject":"","project_id":79,"tracker_id":40,"status_id":1,"priority_id":2,"assigned_to_id":23,"start_date":"2017-04-14","description":"","custom_fields":[{"id":1,"name":"Subdivision","value":"EC"},{"id":4,"name":"Milepost","value":"0.0141"},{"id":17,"name":"Train ID","value":"220-14"},{"id":16,"name":"Locomotive ID","value":"4009"},{"id":130,"name":"Impact","value":""},{"id":150,"name":"Time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0"/>
        <v>start /low /b %USERPROFILE%\Documents\GitHub\eaglep3\Utilities\DownloadLogsFromS3.py --loco 4009 --day 2017-04-14</v>
      </c>
      <c r="AN134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650</v>
      </c>
      <c r="B135" s="7">
        <v>4040</v>
      </c>
      <c r="C135" s="21" t="s">
        <v>214</v>
      </c>
      <c r="D135" s="21" t="s">
        <v>512</v>
      </c>
      <c r="E135" s="13">
        <v>42839.789039351854</v>
      </c>
      <c r="F135" s="13">
        <v>42839.791956018518</v>
      </c>
      <c r="G135" s="7">
        <v>2</v>
      </c>
      <c r="H135" s="21" t="s">
        <v>415</v>
      </c>
      <c r="I135" s="13">
        <v>42839.816678240742</v>
      </c>
      <c r="J135" s="7">
        <v>0</v>
      </c>
      <c r="K135" s="97" t="str">
        <f t="shared" si="23"/>
        <v>4039/4040</v>
      </c>
      <c r="L135" s="21" t="str">
        <f>VLOOKUP(A135,'Trips&amp;Operators'!$C$1:$G$99999,5,FALSE)</f>
        <v>BROWN JACOB</v>
      </c>
      <c r="M135" s="6">
        <f t="shared" si="24"/>
        <v>2.4722222224227153E-2</v>
      </c>
      <c r="N135" s="7">
        <f t="shared" si="25"/>
        <v>35.6000000028871</v>
      </c>
      <c r="O135" s="7"/>
      <c r="P135" s="7"/>
      <c r="Q135" s="22"/>
      <c r="R135" s="22"/>
      <c r="S135" s="31">
        <f t="shared" si="26"/>
        <v>1</v>
      </c>
      <c r="T135" s="46" t="str">
        <f t="shared" si="27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28"/>
        <v>https://d0f6bd738d7f1b3e5a7ca70fe4ff75f0.us-east-1.aws.found.io/app/kibana#/discover/Steve-Slow-Train-Analysis-(2080s-and-2083s)?_g=(refreshInterval:(display:Off,pause:!f,section:0,value:0),time:(from:'2017-04-14T17:56:13-0600',mode:absolute,to:'2017-04-14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83" t="str">
        <f t="shared" si="29"/>
        <v>N</v>
      </c>
      <c r="X135" s="183">
        <f t="shared" si="30"/>
        <v>1</v>
      </c>
      <c r="Y135" s="62">
        <f t="shared" si="31"/>
        <v>4.7500000000000001E-2</v>
      </c>
      <c r="Z135" s="62">
        <f t="shared" si="32"/>
        <v>23.329699999999999</v>
      </c>
      <c r="AA135" s="62">
        <f t="shared" si="33"/>
        <v>23.2822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4"/>
        <v>0221-14</v>
      </c>
      <c r="AE135" s="85" t="str">
        <f t="shared" si="35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135" s="82" t="str">
        <f t="shared" si="36"/>
        <v>"C:\Program Files (x86)\AstroGrep\AstroGrep.exe" /e /r /s /spath="%USERPROFILE%\AppData\Local\Temp\OnboardLogs" /stypes="app*4040*20170415*" /stext=" 01:.+((SYSTEM_STATE.+slice.+state.+changed )|(ment ac)|(multiple cpu faults)|(system.+state.+changed )|(\[timeout)|(PRM\|1\|D)|(kpr)|(kdp)|(\|lc)|(penalty))"</v>
      </c>
      <c r="AG135" s="1" t="str">
        <f t="shared" si="37"/>
        <v>EC</v>
      </c>
      <c r="AH135" s="86" t="str">
        <f t="shared" si="38"/>
        <v>"%USERPROFILE%\Documents\GitHub\eaglep3\Utilities\RefineRTDCRunTimes.py" --tripid 221-14 --locoid 4040 --swversion DE.1.0.9.0 --startMP 204:475 --initTime 2017-04-14T18:56:13 --startdatetime 2017-04-14T19:00:25 --delay 2 --endMP 204:233297 --enddatetime 2017-04-14T19:36:01 --enforcementcount 0 &gt;&gt;C:\Users\stu\Documents\GitHub\eaglep3-reporting\EC\2017-04-14-refined-times.txt</v>
      </c>
      <c r="AI135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{"issue":{"subject":"","project_id":79,"tracker_id":40,"status_id":1,"priority_id":2,"assigned_to_id":23,"start_date":"2017-04-14","description":"","custom_fields":[{"id":1,"name":"Subdivision","value":"EC"},{"id":4,"name":"Milepost","value":"23.3297"},{"id":17,"name":"Train ID","value":"221-14"},{"id":16,"name":"Locomotive ID","value":"4040"},{"id":130,"name":"Impact","value":""},{"id":150,"name":"Time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0"/>
        <v>start /low /b %USERPROFILE%\Documents\GitHub\eaglep3\Utilities\DownloadLogsFromS3.py --loco 4040 --day 2017-04-14</v>
      </c>
      <c r="AN135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651</v>
      </c>
      <c r="B136" s="7">
        <v>4039</v>
      </c>
      <c r="C136" s="21" t="s">
        <v>214</v>
      </c>
      <c r="D136" s="21" t="s">
        <v>397</v>
      </c>
      <c r="E136" s="13">
        <v>42839.826412037037</v>
      </c>
      <c r="F136" s="13">
        <v>42839.830694444441</v>
      </c>
      <c r="G136" s="7">
        <v>1</v>
      </c>
      <c r="H136" s="21" t="s">
        <v>489</v>
      </c>
      <c r="I136" s="13">
        <v>42839.861284722225</v>
      </c>
      <c r="J136" s="7">
        <v>0</v>
      </c>
      <c r="K136" s="97" t="str">
        <f t="shared" si="23"/>
        <v>4039/4040</v>
      </c>
      <c r="L136" s="21" t="str">
        <f>VLOOKUP(A136,'Trips&amp;Operators'!$C$1:$G$99999,5,FALSE)</f>
        <v>BROWN JACOB</v>
      </c>
      <c r="M136" s="6">
        <f t="shared" si="24"/>
        <v>3.0590277783630881E-2</v>
      </c>
      <c r="N136" s="7">
        <f t="shared" si="25"/>
        <v>44.050000008428469</v>
      </c>
      <c r="O136" s="7"/>
      <c r="P136" s="7"/>
      <c r="Q136" s="22"/>
      <c r="R136" s="22"/>
      <c r="S136" s="31">
        <f t="shared" si="26"/>
        <v>1</v>
      </c>
      <c r="T136" s="46" t="str">
        <f t="shared" si="27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28"/>
        <v>https://d0f6bd738d7f1b3e5a7ca70fe4ff75f0.us-east-1.aws.found.io/app/kibana#/discover/Steve-Slow-Train-Analysis-(2080s-and-2083s)?_g=(refreshInterval:(display:Off,pause:!f,section:0,value:0),time:(from:'2017-04-14T18:50:02-0600',mode:absolute,to:'2017-04-14T21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83" t="str">
        <f t="shared" si="29"/>
        <v>N</v>
      </c>
      <c r="X136" s="183">
        <f t="shared" si="30"/>
        <v>1</v>
      </c>
      <c r="Y136" s="62">
        <f t="shared" si="31"/>
        <v>23.297699999999999</v>
      </c>
      <c r="Z136" s="62">
        <f t="shared" si="32"/>
        <v>1.4999999999999999E-2</v>
      </c>
      <c r="AA136" s="62">
        <f t="shared" si="33"/>
        <v>23.282699999999998</v>
      </c>
      <c r="AB136" s="59" t="str">
        <f>VLOOKUP(A136,Enforcements!$C$7:$K$13,8,0)</f>
        <v>Bulletin (2)</v>
      </c>
      <c r="AC136" s="55" t="str">
        <f>VLOOKUP(A136,Enforcements!$C$7:$E$13,3,0)</f>
        <v>GRADE CROSSING</v>
      </c>
      <c r="AD136" s="56" t="str">
        <f t="shared" si="34"/>
        <v>0222-14</v>
      </c>
      <c r="AE136" s="85" t="str">
        <f t="shared" si="35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136" s="82" t="str">
        <f t="shared" si="36"/>
        <v>"C:\Program Files (x86)\AstroGrep\AstroGrep.exe" /e /r /s /spath="%USERPROFILE%\AppData\Local\Temp\OnboardLogs" /stypes="app*4039*20170415*" /stext=" 02:.+((SYSTEM_STATE.+slice.+state.+changed )|(ment ac)|(multiple cpu faults)|(system.+state.+changed )|(\[timeout)|(PRM\|1\|D)|(kpr)|(kdp)|(\|lc)|(penalty))"</v>
      </c>
      <c r="AG136" s="1" t="str">
        <f t="shared" si="37"/>
        <v>EC</v>
      </c>
      <c r="AH136" s="86" t="str">
        <f t="shared" si="38"/>
        <v>"%USERPROFILE%\Documents\GitHub\eaglep3\Utilities\RefineRTDCRunTimes.py" --tripid 222-14 --locoid 4039 --swversion DE.1.0.9.0 --startMP 204:232977 --initTime 2017-04-14T19:50:02 --startdatetime 2017-04-14T19:56:12 --delay 1 --endMP 204:150 --enddatetime 2017-04-14T20:40:15 --enforcementcount 0 &gt;&gt;C:\Users\stu\Documents\GitHub\eaglep3-reporting\EC\2017-04-14-refined-times.txt</v>
      </c>
      <c r="AI136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{"issue":{"subject":"","project_id":79,"tracker_id":40,"status_id":1,"priority_id":2,"assigned_to_id":23,"start_date":"2017-04-14","description":"","custom_fields":[{"id":1,"name":"Subdivision","value":"EC"},{"id":4,"name":"Milepost","value":"0.015"},{"id":17,"name":"Train ID","value":"222-14"},{"id":16,"name":"Locomotive ID","value":"4039"},{"id":130,"name":"Impact","value":""},{"id":150,"name":"Time of Event (Mountain Time)","value":"20:40:15"},{"id":151,"name":"Denver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0"/>
        <v>start /low /b %USERPROFILE%\Documents\GitHub\eaglep3\Utilities\DownloadLogsFromS3.py --loco 4039 --day 2017-04-14</v>
      </c>
      <c r="AN136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02:40:15"},{"id":29,"name":"Sharepoint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828</v>
      </c>
      <c r="B137" s="7">
        <v>4046</v>
      </c>
      <c r="C137" s="21" t="s">
        <v>214</v>
      </c>
      <c r="D137" s="21" t="s">
        <v>891</v>
      </c>
      <c r="E137" s="13">
        <v>42839.807916666665</v>
      </c>
      <c r="F137" s="13">
        <v>42839.812719907408</v>
      </c>
      <c r="G137" s="7">
        <v>1</v>
      </c>
      <c r="H137" s="21" t="s">
        <v>920</v>
      </c>
      <c r="I137" s="13">
        <v>42839.839722222219</v>
      </c>
      <c r="J137" s="7">
        <v>0</v>
      </c>
      <c r="K137" s="97" t="str">
        <f t="shared" si="23"/>
        <v>4045/4046</v>
      </c>
      <c r="L137" s="21" t="str">
        <f>VLOOKUP(A137,'Trips&amp;Operators'!$C$1:$G$99999,5,FALSE)</f>
        <v>FORTUNATO FRANK</v>
      </c>
      <c r="M137" s="6">
        <f t="shared" si="24"/>
        <v>2.700231481139781E-2</v>
      </c>
      <c r="N137" s="7">
        <f t="shared" si="25"/>
        <v>38.883333328412846</v>
      </c>
      <c r="O137" s="7"/>
      <c r="P137" s="7"/>
      <c r="Q137" s="22"/>
      <c r="R137" s="22"/>
      <c r="S137" s="31">
        <f t="shared" si="26"/>
        <v>1</v>
      </c>
      <c r="T137" s="46" t="str">
        <f t="shared" si="27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28"/>
        <v>https://d0f6bd738d7f1b3e5a7ca70fe4ff75f0.us-east-1.aws.found.io/app/kibana#/discover/Steve-Slow-Train-Analysis-(2080s-and-2083s)?_g=(refreshInterval:(display:Off,pause:!f,section:0,value:0),time:(from:'2017-04-14T18:23:24-0600',mode:absolute,to:'2017-04-14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7" s="183" t="str">
        <f t="shared" si="29"/>
        <v>N</v>
      </c>
      <c r="X137" s="183">
        <f t="shared" si="30"/>
        <v>1</v>
      </c>
      <c r="Y137" s="62">
        <f t="shared" si="31"/>
        <v>4.4400000000000002E-2</v>
      </c>
      <c r="Z137" s="62">
        <f t="shared" si="32"/>
        <v>23.328299999999999</v>
      </c>
      <c r="AA137" s="62">
        <f t="shared" si="33"/>
        <v>23.283899999999999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4"/>
        <v>0223-14</v>
      </c>
      <c r="AE137" s="85" t="str">
        <f t="shared" si="35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137" s="82" t="str">
        <f t="shared" si="36"/>
        <v>"C:\Program Files (x86)\AstroGrep\AstroGrep.exe" /e /r /s /spath="%USERPROFILE%\AppData\Local\Temp\OnboardLogs" /stypes="app*4046*20170415*" /stext=" 02:.+((SYSTEM_STATE.+slice.+state.+changed )|(ment ac)|(multiple cpu faults)|(system.+state.+changed )|(\[timeout)|(PRM\|1\|D)|(kpr)|(kdp)|(\|lc)|(penalty))"</v>
      </c>
      <c r="AG137" s="1" t="str">
        <f t="shared" si="37"/>
        <v>EC</v>
      </c>
      <c r="AH137" s="86" t="str">
        <f t="shared" si="38"/>
        <v>"%USERPROFILE%\Documents\GitHub\eaglep3\Utilities\RefineRTDCRunTimes.py" --tripid 223-14 --locoid 4046 --swversion DE.1.0.9.0 --startMP 204:444 --initTime 2017-04-14T19:23:24 --startdatetime 2017-04-14T19:30:19 --delay 1 --endMP 204:233283 --enddatetime 2017-04-14T20:09:12 --enforcementcount 0 &gt;&gt;C:\Users\stu\Documents\GitHub\eaglep3-reporting\EC\2017-04-14-refined-times.txt</v>
      </c>
      <c r="AI137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{"issue":{"subject":"","project_id":79,"tracker_id":40,"status_id":1,"priority_id":2,"assigned_to_id":23,"start_date":"2017-04-14","description":"","custom_fields":[{"id":1,"name":"Subdivision","value":"EC"},{"id":4,"name":"Milepost","value":"23.3283"},{"id":17,"name":"Train ID","value":"223-14"},{"id":16,"name":"Locomotive ID","value":"4046"},{"id":130,"name":"Impact","value":""},{"id":150,"name":"Time of Event (Mountain Time)","value":"20:09:12"},{"id":151,"name":"Denver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0"/>
        <v>start /low /b %USERPROFILE%\Documents\GitHub\eaglep3\Utilities\DownloadLogsFromS3.py --loco 4046 --day 2017-04-14</v>
      </c>
      <c r="AN137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833</v>
      </c>
      <c r="B138" s="7">
        <v>4045</v>
      </c>
      <c r="C138" s="21" t="s">
        <v>214</v>
      </c>
      <c r="D138" s="21" t="s">
        <v>397</v>
      </c>
      <c r="E138" s="13">
        <v>42839.841412037036</v>
      </c>
      <c r="F138" s="13">
        <v>42839.8516087963</v>
      </c>
      <c r="G138" s="7">
        <v>1</v>
      </c>
      <c r="H138" s="21" t="s">
        <v>211</v>
      </c>
      <c r="I138" s="13">
        <v>42839.880104166667</v>
      </c>
      <c r="J138" s="7">
        <v>0</v>
      </c>
      <c r="K138" s="97" t="str">
        <f t="shared" si="23"/>
        <v>4045/4046</v>
      </c>
      <c r="L138" s="21" t="str">
        <f>VLOOKUP(A138,'Trips&amp;Operators'!$C$1:$G$99999,5,FALSE)</f>
        <v>FORTUNATO FRANK</v>
      </c>
      <c r="M138" s="6">
        <f t="shared" si="24"/>
        <v>2.8495370366727002E-2</v>
      </c>
      <c r="N138" s="7">
        <f t="shared" si="25"/>
        <v>41.033333328086883</v>
      </c>
      <c r="O138" s="7"/>
      <c r="P138" s="7"/>
      <c r="Q138" s="22"/>
      <c r="R138" s="22"/>
      <c r="S138" s="31">
        <f t="shared" si="26"/>
        <v>1</v>
      </c>
      <c r="T138" s="46" t="str">
        <f t="shared" si="27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28"/>
        <v>https://d0f6bd738d7f1b3e5a7ca70fe4ff75f0.us-east-1.aws.found.io/app/kibana#/discover/Steve-Slow-Train-Analysis-(2080s-and-2083s)?_g=(refreshInterval:(display:Off,pause:!f,section:0,value:0),time:(from:'2017-04-14T19:11:38-0600',mode:absolute,to:'2017-04-14T22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8" s="183" t="str">
        <f t="shared" si="29"/>
        <v>N</v>
      </c>
      <c r="X138" s="183">
        <f t="shared" si="30"/>
        <v>1</v>
      </c>
      <c r="Y138" s="62">
        <f t="shared" si="31"/>
        <v>23.297699999999999</v>
      </c>
      <c r="Z138" s="62">
        <f t="shared" si="32"/>
        <v>1.47E-2</v>
      </c>
      <c r="AA138" s="62">
        <f t="shared" si="33"/>
        <v>23.282999999999998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4"/>
        <v>0224-14</v>
      </c>
      <c r="AE138" s="85" t="str">
        <f t="shared" si="35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138" s="82" t="str">
        <f t="shared" si="36"/>
        <v>"C:\Program Files (x86)\AstroGrep\AstroGrep.exe" /e /r /s /spath="%USERPROFILE%\AppData\Local\Temp\OnboardLogs" /stypes="app*4045*20170415*" /stext=" 03:.+((SYSTEM_STATE.+slice.+state.+changed )|(ment ac)|(multiple cpu faults)|(system.+state.+changed )|(\[timeout)|(PRM\|1\|D)|(kpr)|(kdp)|(\|lc)|(penalty))"</v>
      </c>
      <c r="AG138" s="1" t="str">
        <f t="shared" si="37"/>
        <v>EC</v>
      </c>
      <c r="AH138" s="86" t="str">
        <f t="shared" si="38"/>
        <v>"%USERPROFILE%\Documents\GitHub\eaglep3\Utilities\RefineRTDCRunTimes.py" --tripid 224-14 --locoid 4045 --swversion DE.1.0.9.0 --startMP 204:232977 --initTime 2017-04-14T20:11:38 --startdatetime 2017-04-14T20:26:19 --delay 1 --endMP 204:147 --enddatetime 2017-04-14T21:07:21 --enforcementcount 0 &gt;&gt;C:\Users\stu\Documents\GitHub\eaglep3-reporting\EC\2017-04-14-refined-times.txt</v>
      </c>
      <c r="AI138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{"issue":{"subject":"","project_id":79,"tracker_id":40,"status_id":1,"priority_id":2,"assigned_to_id":23,"start_date":"2017-04-14","description":"","custom_fields":[{"id":1,"name":"Subdivision","value":"EC"},{"id":4,"name":"Milepost","value":"0.0147"},{"id":17,"name":"Train ID","value":"224-14"},{"id":16,"name":"Locomotive ID","value":"4045"},{"id":130,"name":"Impact","value":""},{"id":150,"name":"Time of Event (Mountain Time)","value":"21:07:21"},{"id":151,"name":"Denver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0"/>
        <v>start /low /b %USERPROFILE%\Documents\GitHub\eaglep3\Utilities\DownloadLogsFromS3.py --loco 4045 --day 2017-04-14</v>
      </c>
      <c r="AN138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03:07:21"},{"id":29,"name":"Sharepoint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831</v>
      </c>
      <c r="B139" s="7">
        <v>4004</v>
      </c>
      <c r="C139" s="21" t="s">
        <v>214</v>
      </c>
      <c r="D139" s="21" t="s">
        <v>204</v>
      </c>
      <c r="E139" s="13">
        <v>42839.830300925925</v>
      </c>
      <c r="F139" s="13">
        <v>42839.833668981482</v>
      </c>
      <c r="G139" s="7">
        <v>1</v>
      </c>
      <c r="H139" s="21" t="s">
        <v>921</v>
      </c>
      <c r="I139" s="13">
        <v>42839.858090277776</v>
      </c>
      <c r="J139" s="7">
        <v>0</v>
      </c>
      <c r="K139" s="97" t="str">
        <f t="shared" si="23"/>
        <v>4003/4004</v>
      </c>
      <c r="L139" s="21" t="str">
        <f>VLOOKUP(A139,'Trips&amp;Operators'!$C$1:$G$99999,5,FALSE)</f>
        <v>STAMBAUGH JAMES</v>
      </c>
      <c r="M139" s="6">
        <f t="shared" si="24"/>
        <v>2.4421296293439809E-2</v>
      </c>
      <c r="N139" s="7">
        <f t="shared" si="25"/>
        <v>35.166666662553325</v>
      </c>
      <c r="O139" s="7"/>
      <c r="P139" s="7"/>
      <c r="Q139" s="22"/>
      <c r="R139" s="22"/>
      <c r="S139" s="31">
        <f t="shared" si="26"/>
        <v>1</v>
      </c>
      <c r="T139" s="46" t="str">
        <f t="shared" si="27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28"/>
        <v>https://d0f6bd738d7f1b3e5a7ca70fe4ff75f0.us-east-1.aws.found.io/app/kibana#/discover/Steve-Slow-Train-Analysis-(2080s-and-2083s)?_g=(refreshInterval:(display:Off,pause:!f,section:0,value:0),time:(from:'2017-04-14T18:55:38-0600',mode:absolute,to:'2017-04-14T21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183" t="str">
        <f t="shared" si="29"/>
        <v>N</v>
      </c>
      <c r="X139" s="183">
        <f t="shared" si="30"/>
        <v>1</v>
      </c>
      <c r="Y139" s="62">
        <f t="shared" si="31"/>
        <v>4.5100000000000001E-2</v>
      </c>
      <c r="Z139" s="62">
        <f t="shared" si="32"/>
        <v>23.339700000000001</v>
      </c>
      <c r="AA139" s="62">
        <f t="shared" si="33"/>
        <v>23.294599999999999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4"/>
        <v>0225-14</v>
      </c>
      <c r="AE139" s="85" t="str">
        <f t="shared" si="35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139" s="82" t="str">
        <f t="shared" si="36"/>
        <v>"C:\Program Files (x86)\AstroGrep\AstroGrep.exe" /e /r /s /spath="%USERPROFILE%\AppData\Local\Temp\OnboardLogs" /stypes="app*4004*20170415*" /stext=" 02:.+((SYSTEM_STATE.+slice.+state.+changed )|(ment ac)|(multiple cpu faults)|(system.+state.+changed )|(\[timeout)|(PRM\|1\|D)|(kpr)|(kdp)|(\|lc)|(penalty))"</v>
      </c>
      <c r="AG139" s="1" t="str">
        <f t="shared" si="37"/>
        <v>EC</v>
      </c>
      <c r="AH139" s="86" t="str">
        <f t="shared" si="38"/>
        <v>"%USERPROFILE%\Documents\GitHub\eaglep3\Utilities\RefineRTDCRunTimes.py" --tripid 225-14 --locoid 4004 --swversion DE.1.0.9.0 --startMP 204:451 --initTime 2017-04-14T19:55:38 --startdatetime 2017-04-14T20:00:29 --delay 1 --endMP 204:233397 --enddatetime 2017-04-14T20:35:39 --enforcementcount 0 &gt;&gt;C:\Users\stu\Documents\GitHub\eaglep3-reporting\EC\2017-04-14-refined-times.txt</v>
      </c>
      <c r="AI139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{"issue":{"subject":"","project_id":79,"tracker_id":40,"status_id":1,"priority_id":2,"assigned_to_id":23,"start_date":"2017-04-14","description":"","custom_fields":[{"id":1,"name":"Subdivision","value":"EC"},{"id":4,"name":"Milepost","value":"23.3397"},{"id":17,"name":"Train ID","value":"225-14"},{"id":16,"name":"Locomotive ID","value":"4004"},{"id":130,"name":"Impact","value":""},{"id":150,"name":"Time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0"/>
        <v>start /low /b %USERPROFILE%\Documents\GitHub\eaglep3\Utilities\DownloadLogsFromS3.py --loco 4004 --day 2017-04-14</v>
      </c>
      <c r="AN139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838</v>
      </c>
      <c r="B140" s="7">
        <v>4003</v>
      </c>
      <c r="C140" s="21" t="s">
        <v>214</v>
      </c>
      <c r="D140" s="21" t="s">
        <v>922</v>
      </c>
      <c r="E140" s="13">
        <v>42839.865983796299</v>
      </c>
      <c r="F140" s="13">
        <v>42839.872511574074</v>
      </c>
      <c r="G140" s="7">
        <v>1</v>
      </c>
      <c r="H140" s="21" t="s">
        <v>877</v>
      </c>
      <c r="I140" s="13">
        <v>42839.90048611111</v>
      </c>
      <c r="J140" s="7">
        <v>0</v>
      </c>
      <c r="K140" s="97" t="str">
        <f t="shared" si="23"/>
        <v>4003/4004</v>
      </c>
      <c r="L140" s="21" t="str">
        <f>VLOOKUP(A140,'Trips&amp;Operators'!$C$1:$G$99999,5,FALSE)</f>
        <v>STAMBAUGH JAMES</v>
      </c>
      <c r="M140" s="6">
        <f t="shared" si="24"/>
        <v>2.7974537035333924E-2</v>
      </c>
      <c r="N140" s="7">
        <f t="shared" si="25"/>
        <v>40.283333330880851</v>
      </c>
      <c r="O140" s="7"/>
      <c r="P140" s="7"/>
      <c r="Q140" s="22"/>
      <c r="R140" s="22"/>
      <c r="S140" s="31">
        <f t="shared" si="26"/>
        <v>1</v>
      </c>
      <c r="T140" s="46" t="str">
        <f t="shared" si="27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28"/>
        <v>https://d0f6bd738d7f1b3e5a7ca70fe4ff75f0.us-east-1.aws.found.io/app/kibana#/discover/Steve-Slow-Train-Analysis-(2080s-and-2083s)?_g=(refreshInterval:(display:Off,pause:!f,section:0,value:0),time:(from:'2017-04-14T19:47:01-0600',mode:absolute,to:'2017-04-14T22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3" t="str">
        <f t="shared" si="29"/>
        <v>N</v>
      </c>
      <c r="X140" s="183">
        <f t="shared" si="30"/>
        <v>1</v>
      </c>
      <c r="Y140" s="62">
        <f t="shared" si="31"/>
        <v>23.307200000000002</v>
      </c>
      <c r="Z140" s="62">
        <f t="shared" si="32"/>
        <v>1.3599999999999999E-2</v>
      </c>
      <c r="AA140" s="62">
        <f t="shared" si="33"/>
        <v>23.293600000000001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4"/>
        <v>0226-14</v>
      </c>
      <c r="AE140" s="85" t="str">
        <f t="shared" si="35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140" s="82" t="str">
        <f t="shared" si="36"/>
        <v>"C:\Program Files (x86)\AstroGrep\AstroGrep.exe" /e /r /s /spath="%USERPROFILE%\AppData\Local\Temp\OnboardLogs" /stypes="app*4003*20170415*" /stext=" 03:.+((SYSTEM_STATE.+slice.+state.+changed )|(ment ac)|(multiple cpu faults)|(system.+state.+changed )|(\[timeout)|(PRM\|1\|D)|(kpr)|(kdp)|(\|lc)|(penalty))"</v>
      </c>
      <c r="AG140" s="1" t="str">
        <f t="shared" si="37"/>
        <v>EC</v>
      </c>
      <c r="AH140" s="86" t="str">
        <f t="shared" si="38"/>
        <v>"%USERPROFILE%\Documents\GitHub\eaglep3\Utilities\RefineRTDCRunTimes.py" --tripid 226-14 --locoid 4003 --swversion DE.1.0.9.0 --startMP 204:233072 --initTime 2017-04-14T20:47:01 --startdatetime 2017-04-14T20:56:25 --delay 1 --endMP 204:136 --enddatetime 2017-04-14T21:36:42 --enforcementcount 0 &gt;&gt;C:\Users\stu\Documents\GitHub\eaglep3-reporting\EC\2017-04-14-refined-times.txt</v>
      </c>
      <c r="AI140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{"issue":{"subject":"","project_id":79,"tracker_id":40,"status_id":1,"priority_id":2,"assigned_to_id":23,"start_date":"2017-04-14","description":"","custom_fields":[{"id":1,"name":"Subdivision","value":"EC"},{"id":4,"name":"Milepost","value":"0.0136"},{"id":17,"name":"Train ID","value":"226-14"},{"id":16,"name":"Locomotive ID","value":"4003"},{"id":130,"name":"Impact","value":""},{"id":150,"name":"Time of Event (Mountain Time)","value":"21:36:42"},{"id":151,"name":"Denver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0"/>
        <v>start /low /b %USERPROFILE%\Documents\GitHub\eaglep3\Utilities\DownloadLogsFromS3.py --loco 4003 --day 2017-04-14</v>
      </c>
      <c r="AN140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832</v>
      </c>
      <c r="B141" s="7">
        <v>4010</v>
      </c>
      <c r="C141" s="21" t="s">
        <v>214</v>
      </c>
      <c r="D141" s="21" t="s">
        <v>494</v>
      </c>
      <c r="E141" s="13">
        <v>42839.839907407404</v>
      </c>
      <c r="F141" s="13">
        <v>42839.854386574072</v>
      </c>
      <c r="G141" s="7">
        <v>2</v>
      </c>
      <c r="H141" s="21" t="s">
        <v>400</v>
      </c>
      <c r="I141" s="13">
        <v>42839.881469907406</v>
      </c>
      <c r="J141" s="7">
        <v>0</v>
      </c>
      <c r="K141" s="97" t="str">
        <f t="shared" ref="K141:K203" si="42">IF(ISEVEN(B141),(B141-1)&amp;"/"&amp;B141,B141&amp;"/"&amp;(B141+1))</f>
        <v>4009/4010</v>
      </c>
      <c r="L141" s="21" t="str">
        <f>VLOOKUP(A141,'Trips&amp;Operators'!$C$1:$G$99999,5,FALSE)</f>
        <v>DUNCAN SHEILA</v>
      </c>
      <c r="M141" s="6">
        <f t="shared" ref="M141:M203" si="43">I141-F141</f>
        <v>2.7083333334303461E-2</v>
      </c>
      <c r="N141" s="7">
        <f t="shared" ref="N141:N203" si="44">24*60*SUM($M141:$M141)</f>
        <v>39.000000001396984</v>
      </c>
      <c r="O141" s="7"/>
      <c r="P141" s="7"/>
      <c r="Q141" s="22"/>
      <c r="R141" s="22"/>
      <c r="S141" s="31">
        <f t="shared" ref="S141:S203" si="45">SUM(U141:U141)/IF(AG141="EC",12,1)</f>
        <v>1</v>
      </c>
      <c r="T141" s="46" t="str">
        <f t="shared" ref="T141:T203" si="46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3" si="4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-14T19:09:28-0600',mode:absolute,to:'2017-04-14T22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1" s="183" t="str">
        <f t="shared" ref="W141:W203" si="48">IF(AA141&lt;IF(AG141="EC",23,5.65),"Y","N")</f>
        <v>N</v>
      </c>
      <c r="X141" s="183">
        <f t="shared" ref="X141:X203" si="49">VALUE(LEFT(AD141,4))-VALUE(LEFT(AD140,4))</f>
        <v>1</v>
      </c>
      <c r="Y141" s="62">
        <f t="shared" ref="Y141:Y203" si="50">RIGHT(D141,LEN(D141)-4)/10000</f>
        <v>4.4699999999999997E-2</v>
      </c>
      <c r="Z141" s="62">
        <f t="shared" ref="Z141:Z203" si="51">RIGHT(H141,LEN(H141)-4)/10000</f>
        <v>23.329499999999999</v>
      </c>
      <c r="AA141" s="62">
        <f t="shared" ref="AA141:AA203" si="52">ABS(Z141-Y141)</f>
        <v>23.284800000000001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3" si="53">IF(LEN(A141)=6,"0"&amp;A141,A141)</f>
        <v>0227-14</v>
      </c>
      <c r="AE141" s="85" t="str">
        <f t="shared" ref="AE141:AE203" si="5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141" s="82" t="str">
        <f t="shared" ref="AF141:AF203" si="5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/stypes="app*4010*20170415*" /stext=" 03:.+((SYSTEM_STATE.+slice.+state.+changed )|(ment ac)|(multiple cpu faults)|(system.+state.+changed )|(\[timeout)|(PRM\|1\|D)|(kpr)|(kdp)|(\|lc)|(penalty))"</v>
      </c>
      <c r="AG141" s="1" t="str">
        <f t="shared" ref="AG141:AG203" si="56">IFERROR(IF(VALUE(LEFT(AD141,2))&lt;=2,"EC",IF(OR(VALUE(LEFT(AD141,2))=8,VALUE(LEFT(AD141,2))=18),"NW","Other")),"Other")</f>
        <v>EC</v>
      </c>
      <c r="AH141" s="86" t="str">
        <f t="shared" si="38"/>
        <v>"%USERPROFILE%\Documents\GitHub\eaglep3\Utilities\RefineRTDCRunTimes.py" --tripid 227-14 --locoid 4010 --swversion DE.1.0.9.0 --startMP 204:447 --initTime 2017-04-14T20:09:28 --startdatetime 2017-04-14T20:30:19 --delay 2 --endMP 204:233295 --enddatetime 2017-04-14T21:09:19 --enforcementcount 0 &gt;&gt;C:\Users\stu\Documents\GitHub\eaglep3-reporting\EC\2017-04-14-refined-times.txt</v>
      </c>
      <c r="AI141" s="104" t="str">
        <f t="shared" si="39"/>
        <v>echo {"issue":{"subject":"","project_id":79,"tracker_id":40,"status_id":1,"priority_id":2,"assigned_to_id":23,"start_date":"2017-04-14","description":"","custom_fields":[{"id":1,"name":"Subdivision","value":"EC"},{"id":4,"name":"Milepost","value":"23.3295"},{"id":17,"name":"Train ID","value":"227-14"},{"id":16,"name":"Locomotive ID","value":"4010"},{"id":130,"name":"Impact","value":""},{"id":150,"name":"Time of Event (Mountain Time)","value":"21:09:19"},{"id":151,"name":"Denver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0"/>
        <v>start /low /b %USERPROFILE%\Documents\GitHub\eaglep3\Utilities\DownloadLogsFromS3.py --loco 4010 --day 2017-04-14</v>
      </c>
      <c r="AN141" s="159" t="str">
        <f t="shared" si="41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03:09:19"},{"id":29,"name":"Sharepoint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841</v>
      </c>
      <c r="B142" s="7">
        <v>4009</v>
      </c>
      <c r="C142" s="21" t="s">
        <v>214</v>
      </c>
      <c r="D142" s="21" t="s">
        <v>545</v>
      </c>
      <c r="E142" s="13">
        <v>42839.883703703701</v>
      </c>
      <c r="F142" s="13">
        <v>42839.893240740741</v>
      </c>
      <c r="G142" s="7">
        <v>4</v>
      </c>
      <c r="H142" s="21" t="s">
        <v>417</v>
      </c>
      <c r="I142" s="13">
        <v>42839.9221412037</v>
      </c>
      <c r="J142" s="7">
        <v>0</v>
      </c>
      <c r="K142" s="97" t="str">
        <f t="shared" si="42"/>
        <v>4009/4010</v>
      </c>
      <c r="L142" s="21" t="str">
        <f>VLOOKUP(A142,'Trips&amp;Operators'!$C$1:$G$99999,5,FALSE)</f>
        <v>DUNCAN SHEILA</v>
      </c>
      <c r="M142" s="6">
        <f t="shared" si="43"/>
        <v>2.8900462959427387E-2</v>
      </c>
      <c r="N142" s="7">
        <f t="shared" si="44"/>
        <v>41.616666661575437</v>
      </c>
      <c r="O142" s="7"/>
      <c r="P142" s="7"/>
      <c r="Q142" s="22"/>
      <c r="R142" s="22"/>
      <c r="S142" s="31">
        <f t="shared" si="45"/>
        <v>1</v>
      </c>
      <c r="T142" s="46" t="str">
        <f t="shared" si="46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47"/>
        <v>https://d0f6bd738d7f1b3e5a7ca70fe4ff75f0.us-east-1.aws.found.io/app/kibana#/discover/Steve-Slow-Train-Analysis-(2080s-and-2083s)?_g=(refreshInterval:(display:Off,pause:!f,section:0,value:0),time:(from:'2017-04-14T20:12:32-0600',mode:absolute,to:'2017-04-14T23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183" t="str">
        <f t="shared" si="48"/>
        <v>N</v>
      </c>
      <c r="X142" s="183">
        <f t="shared" si="49"/>
        <v>1</v>
      </c>
      <c r="Y142" s="62">
        <f t="shared" si="50"/>
        <v>23.298100000000002</v>
      </c>
      <c r="Z142" s="62">
        <f t="shared" si="51"/>
        <v>1.6E-2</v>
      </c>
      <c r="AA142" s="62">
        <f t="shared" si="52"/>
        <v>23.282100000000003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3"/>
        <v>0228-14</v>
      </c>
      <c r="AE142" s="85" t="str">
        <f t="shared" si="54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142" s="82" t="str">
        <f t="shared" si="55"/>
        <v>"C:\Program Files (x86)\AstroGrep\AstroGrep.exe" /e /r /s /spath="%USERPROFILE%\AppData\Local\Temp\OnboardLogs" /stypes="app*4009*20170415*" /stext=" 04:.+((SYSTEM_STATE.+slice.+state.+changed )|(ment ac)|(multiple cpu faults)|(system.+state.+changed )|(\[timeout)|(PRM\|1\|D)|(kpr)|(kdp)|(\|lc)|(penalty))"</v>
      </c>
      <c r="AG142" s="1" t="str">
        <f t="shared" si="56"/>
        <v>EC</v>
      </c>
      <c r="AH142" s="86" t="str">
        <f t="shared" ref="AH142:AH204" si="5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228-14 --locoid 4009 --swversion DE.1.0.9.0 --startMP 204:232981 --initTime 2017-04-14T21:12:32 --startdatetime 2017-04-14T21:26:16 --delay 4 --endMP 204:160 --enddatetime 2017-04-14T22:07:53 --enforcementcount 0 &gt;&gt;C:\Users\stu\Documents\GitHub\eaglep3-reporting\EC\2017-04-14-refined-times.txt</v>
      </c>
      <c r="AI142" s="104" t="str">
        <f t="shared" ref="AI142:AI204" si="5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{"issue":{"subject":"","project_id":79,"tracker_id":40,"status_id":1,"priority_id":2,"assigned_to_id":23,"start_date":"2017-04-14","description":"","custom_fields":[{"id":1,"name":"Subdivision","value":"EC"},{"id":4,"name":"Milepost","value":"0.016"},{"id":17,"name":"Train ID","value":"228-14"},{"id":16,"name":"Locomotive ID","value":"4009"},{"id":130,"name":"Impact","value":""},{"id":150,"name":"Time of Event (Mountain Time)","value":"22:07:53"},{"id":151,"name":"Denver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4" si="59">"start /low /b "&amp;dls3logs&amp;" --loco "&amp;B142&amp;" --day "&amp;TEXT(F142,"YYYY-MM-DD")</f>
        <v>start /low /b %USERPROFILE%\Documents\GitHub\eaglep3\Utilities\DownloadLogsFromS3.py --loco 4009 --day 2017-04-14</v>
      </c>
      <c r="AN142" s="159" t="str">
        <f t="shared" ref="AN142:AN204" si="6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04:07:53"},{"id":29,"name":"Sharepoint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839</v>
      </c>
      <c r="B143" s="7">
        <v>4040</v>
      </c>
      <c r="C143" s="21" t="s">
        <v>214</v>
      </c>
      <c r="D143" s="21" t="s">
        <v>210</v>
      </c>
      <c r="E143" s="13">
        <v>42839.871087962965</v>
      </c>
      <c r="F143" s="13">
        <v>42839.875300925924</v>
      </c>
      <c r="G143" s="7">
        <v>1</v>
      </c>
      <c r="H143" s="21" t="s">
        <v>506</v>
      </c>
      <c r="I143" s="13">
        <v>42839.900868055556</v>
      </c>
      <c r="J143" s="7">
        <v>0</v>
      </c>
      <c r="K143" s="97" t="str">
        <f t="shared" si="42"/>
        <v>4039/4040</v>
      </c>
      <c r="L143" s="21" t="str">
        <f>VLOOKUP(A143,'Trips&amp;Operators'!$C$1:$G$99999,5,FALSE)</f>
        <v>SAFIEF AEIMEN</v>
      </c>
      <c r="M143" s="6">
        <f t="shared" si="43"/>
        <v>2.5567129632690921E-2</v>
      </c>
      <c r="N143" s="7">
        <f t="shared" si="44"/>
        <v>36.816666671074927</v>
      </c>
      <c r="O143" s="7"/>
      <c r="P143" s="7"/>
      <c r="Q143" s="22"/>
      <c r="R143" s="22"/>
      <c r="S143" s="31">
        <f t="shared" si="45"/>
        <v>1</v>
      </c>
      <c r="T143" s="46" t="str">
        <f t="shared" si="46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47"/>
        <v>https://d0f6bd738d7f1b3e5a7ca70fe4ff75f0.us-east-1.aws.found.io/app/kibana#/discover/Steve-Slow-Train-Analysis-(2080s-and-2083s)?_g=(refreshInterval:(display:Off,pause:!f,section:0,value:0),time:(from:'2017-04-14T19:54:22-0600',mode:absolute,to:'2017-04-14T22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83" t="str">
        <f t="shared" si="48"/>
        <v>N</v>
      </c>
      <c r="X143" s="183">
        <f t="shared" si="49"/>
        <v>1</v>
      </c>
      <c r="Y143" s="62">
        <f t="shared" si="50"/>
        <v>4.5499999999999999E-2</v>
      </c>
      <c r="Z143" s="62">
        <f t="shared" si="51"/>
        <v>23.330300000000001</v>
      </c>
      <c r="AA143" s="62">
        <f t="shared" si="52"/>
        <v>23.284800000000001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3"/>
        <v>0229-14</v>
      </c>
      <c r="AE143" s="85" t="str">
        <f t="shared" si="54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143" s="82" t="str">
        <f t="shared" si="55"/>
        <v>"C:\Program Files (x86)\AstroGrep\AstroGrep.exe" /e /r /s /spath="%USERPROFILE%\AppData\Local\Temp\OnboardLogs" /stypes="app*4040*20170415*" /stext=" 03:.+((SYSTEM_STATE.+slice.+state.+changed )|(ment ac)|(multiple cpu faults)|(system.+state.+changed )|(\[timeout)|(PRM\|1\|D)|(kpr)|(kdp)|(\|lc)|(penalty))"</v>
      </c>
      <c r="AG143" s="1" t="str">
        <f t="shared" si="56"/>
        <v>EC</v>
      </c>
      <c r="AH143" s="86" t="str">
        <f t="shared" si="57"/>
        <v>"%USERPROFILE%\Documents\GitHub\eaglep3\Utilities\RefineRTDCRunTimes.py" --tripid 229-14 --locoid 4040 --swversion DE.1.0.9.0 --startMP 204:455 --initTime 2017-04-14T20:54:22 --startdatetime 2017-04-14T21:00:26 --delay 1 --endMP 204:233303 --enddatetime 2017-04-14T21:37:15 --enforcementcount 0 &gt;&gt;C:\Users\stu\Documents\GitHub\eaglep3-reporting\EC\2017-04-14-refined-times.txt</v>
      </c>
      <c r="AI143" s="104" t="str">
        <f t="shared" si="58"/>
        <v>echo {"issue":{"subject":"","project_id":79,"tracker_id":40,"status_id":1,"priority_id":2,"assigned_to_id":23,"start_date":"2017-04-14","description":"","custom_fields":[{"id":1,"name":"Subdivision","value":"EC"},{"id":4,"name":"Milepost","value":"23.3303"},{"id":17,"name":"Train ID","value":"229-14"},{"id":16,"name":"Locomotive ID","value":"4040"},{"id":130,"name":"Impact","value":""},{"id":150,"name":"Time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59"/>
        <v>start /low /b %USERPROFILE%\Documents\GitHub\eaglep3\Utilities\DownloadLogsFromS3.py --loco 4040 --day 2017-04-14</v>
      </c>
      <c r="AN143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844</v>
      </c>
      <c r="B144" s="7">
        <v>4039</v>
      </c>
      <c r="C144" s="21" t="s">
        <v>214</v>
      </c>
      <c r="D144" s="21" t="s">
        <v>397</v>
      </c>
      <c r="E144" s="13">
        <v>42839.904756944445</v>
      </c>
      <c r="F144" s="13">
        <v>42839.914259259262</v>
      </c>
      <c r="G144" s="7">
        <v>1</v>
      </c>
      <c r="H144" s="21" t="s">
        <v>895</v>
      </c>
      <c r="I144" s="13">
        <v>42839.942187499997</v>
      </c>
      <c r="J144" s="7">
        <v>0</v>
      </c>
      <c r="K144" s="97" t="str">
        <f t="shared" si="42"/>
        <v>4039/4040</v>
      </c>
      <c r="L144" s="21" t="str">
        <f>VLOOKUP(A144,'Trips&amp;Operators'!$C$1:$G$99999,5,FALSE)</f>
        <v>SAFIEF AEIMEN</v>
      </c>
      <c r="M144" s="6">
        <f t="shared" si="43"/>
        <v>2.7928240735491272E-2</v>
      </c>
      <c r="N144" s="7">
        <f t="shared" si="44"/>
        <v>40.216666659107432</v>
      </c>
      <c r="O144" s="7"/>
      <c r="P144" s="7"/>
      <c r="Q144" s="22"/>
      <c r="R144" s="22"/>
      <c r="S144" s="31">
        <f t="shared" si="45"/>
        <v>1</v>
      </c>
      <c r="T144" s="46" t="str">
        <f t="shared" si="46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47"/>
        <v>https://d0f6bd738d7f1b3e5a7ca70fe4ff75f0.us-east-1.aws.found.io/app/kibana#/discover/Steve-Slow-Train-Analysis-(2080s-and-2083s)?_g=(refreshInterval:(display:Off,pause:!f,section:0,value:0),time:(from:'2017-04-14T20:42:51-0600',mode:absolute,to:'2017-04-14T23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83" t="str">
        <f t="shared" si="48"/>
        <v>N</v>
      </c>
      <c r="X144" s="183">
        <f t="shared" si="49"/>
        <v>1</v>
      </c>
      <c r="Y144" s="62">
        <f t="shared" si="50"/>
        <v>23.297699999999999</v>
      </c>
      <c r="Z144" s="62">
        <f t="shared" si="51"/>
        <v>1.61E-2</v>
      </c>
      <c r="AA144" s="62">
        <f t="shared" si="52"/>
        <v>23.281599999999997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3"/>
        <v>0230-14</v>
      </c>
      <c r="AE144" s="85" t="str">
        <f t="shared" si="54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144" s="82" t="str">
        <f t="shared" si="55"/>
        <v>"C:\Program Files (x86)\AstroGrep\AstroGrep.exe" /e /r /s /spath="%USERPROFILE%\AppData\Local\Temp\OnboardLogs" /stypes="app*4039*20170415*" /stext=" 04:.+((SYSTEM_STATE.+slice.+state.+changed )|(ment ac)|(multiple cpu faults)|(system.+state.+changed )|(\[timeout)|(PRM\|1\|D)|(kpr)|(kdp)|(\|lc)|(penalty))"</v>
      </c>
      <c r="AG144" s="1" t="str">
        <f t="shared" si="56"/>
        <v>EC</v>
      </c>
      <c r="AH144" s="86" t="str">
        <f t="shared" si="57"/>
        <v>"%USERPROFILE%\Documents\GitHub\eaglep3\Utilities\RefineRTDCRunTimes.py" --tripid 230-14 --locoid 4039 --swversion DE.1.0.9.0 --startMP 204:232977 --initTime 2017-04-14T21:42:51 --startdatetime 2017-04-14T21:56:32 --delay 1 --endMP 204:161 --enddatetime 2017-04-14T22:36:45 --enforcementcount 0 &gt;&gt;C:\Users\stu\Documents\GitHub\eaglep3-reporting\EC\2017-04-14-refined-times.txt</v>
      </c>
      <c r="AI144" s="104" t="str">
        <f t="shared" si="58"/>
        <v>echo {"issue":{"subject":"","project_id":79,"tracker_id":40,"status_id":1,"priority_id":2,"assigned_to_id":23,"start_date":"2017-04-14","description":"","custom_fields":[{"id":1,"name":"Subdivision","value":"EC"},{"id":4,"name":"Milepost","value":"0.0161"},{"id":17,"name":"Train ID","value":"230-14"},{"id":16,"name":"Locomotive ID","value":"4039"},{"id":130,"name":"Impact","value":""},{"id":150,"name":"Time of Event (Mountain Time)","value":"22:36:45"},{"id":151,"name":"Denver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59"/>
        <v>start /low /b %USERPROFILE%\Documents\GitHub\eaglep3\Utilities\DownloadLogsFromS3.py --loco 4039 --day 2017-04-14</v>
      </c>
      <c r="AN144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04:36:45"},{"id":29,"name":"Sharepoint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840</v>
      </c>
      <c r="B145" s="7">
        <v>4046</v>
      </c>
      <c r="C145" s="21" t="s">
        <v>214</v>
      </c>
      <c r="D145" s="21" t="s">
        <v>594</v>
      </c>
      <c r="E145" s="13">
        <v>42839.883831018517</v>
      </c>
      <c r="F145" s="13">
        <v>42839.895983796298</v>
      </c>
      <c r="G145" s="7">
        <v>1</v>
      </c>
      <c r="H145" s="21" t="s">
        <v>923</v>
      </c>
      <c r="I145" s="13">
        <v>42839.922777777778</v>
      </c>
      <c r="J145" s="7">
        <v>0</v>
      </c>
      <c r="K145" s="97" t="str">
        <f t="shared" si="42"/>
        <v>4045/4046</v>
      </c>
      <c r="L145" s="21" t="str">
        <f>VLOOKUP(A145,'Trips&amp;Operators'!$C$1:$G$99999,5,FALSE)</f>
        <v>FORTUNATO FRANK</v>
      </c>
      <c r="M145" s="6">
        <f t="shared" si="43"/>
        <v>2.679398148029577E-2</v>
      </c>
      <c r="N145" s="7">
        <f t="shared" si="44"/>
        <v>38.583333331625909</v>
      </c>
      <c r="O145" s="7"/>
      <c r="P145" s="7"/>
      <c r="Q145" s="22"/>
      <c r="R145" s="22"/>
      <c r="S145" s="31">
        <f t="shared" si="45"/>
        <v>1</v>
      </c>
      <c r="T145" s="46" t="str">
        <f t="shared" si="46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47"/>
        <v>https://d0f6bd738d7f1b3e5a7ca70fe4ff75f0.us-east-1.aws.found.io/app/kibana#/discover/Steve-Slow-Train-Analysis-(2080s-and-2083s)?_g=(refreshInterval:(display:Off,pause:!f,section:0,value:0),time:(from:'2017-04-14T20:12:43-0600',mode:absolute,to:'2017-04-14T23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5" s="183" t="str">
        <f t="shared" si="48"/>
        <v>N</v>
      </c>
      <c r="X145" s="183">
        <f t="shared" si="49"/>
        <v>1</v>
      </c>
      <c r="Y145" s="62">
        <f t="shared" si="50"/>
        <v>4.6600000000000003E-2</v>
      </c>
      <c r="Z145" s="62">
        <f t="shared" si="51"/>
        <v>23.332899999999999</v>
      </c>
      <c r="AA145" s="62">
        <f t="shared" si="52"/>
        <v>23.286299999999997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3"/>
        <v>0231-14</v>
      </c>
      <c r="AE145" s="85" t="str">
        <f t="shared" si="54"/>
        <v>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 &amp; 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</v>
      </c>
      <c r="AF145" s="82" t="str">
        <f t="shared" si="55"/>
        <v>"C:\Program Files (x86)\AstroGrep\AstroGrep.exe" /e /r /s /spath="%USERPROFILE%\AppData\Local\Temp\OnboardLogs" /stypes="app*4046*20170415*" /stext=" 04:.+((SYSTEM_STATE.+slice.+state.+changed )|(ment ac)|(multiple cpu faults)|(system.+state.+changed )|(\[timeout)|(PRM\|1\|D)|(kpr)|(kdp)|(\|lc)|(penalty))"</v>
      </c>
      <c r="AG145" s="1" t="str">
        <f t="shared" si="56"/>
        <v>EC</v>
      </c>
      <c r="AH145" s="86" t="str">
        <f t="shared" si="57"/>
        <v>"%USERPROFILE%\Documents\GitHub\eaglep3\Utilities\RefineRTDCRunTimes.py" --tripid 231-14 --locoid 4046 --swversion DE.1.0.9.0 --startMP 204:466 --initTime 2017-04-14T21:12:43 --startdatetime 2017-04-14T21:30:13 --delay 1 --endMP 204:233329 --enddatetime 2017-04-14T22:08:48 --enforcementcount 0 &gt;&gt;C:\Users\stu\Documents\GitHub\eaglep3-reporting\EC\2017-04-14-refined-times.txt</v>
      </c>
      <c r="AI145" s="104" t="str">
        <f t="shared" si="58"/>
        <v>echo {"issue":{"subject":"","project_id":79,"tracker_id":40,"status_id":1,"priority_id":2,"assigned_to_id":23,"start_date":"2017-04-14","description":"","custom_fields":[{"id":1,"name":"Subdivision","value":"EC"},{"id":4,"name":"Milepost","value":"23.3329"},{"id":17,"name":"Train ID","value":"231-14"},{"id":16,"name":"Locomotive ID","value":"4046"},{"id":130,"name":"Impact","value":""},{"id":150,"name":"Time of Event (Mountain Time)","value":"22:08:48"},{"id":151,"name":"Denver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59"/>
        <v>start /low /b %USERPROFILE%\Documents\GitHub\eaglep3\Utilities\DownloadLogsFromS3.py --loco 4046 --day 2017-04-14</v>
      </c>
      <c r="AN145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04:08:48"},{"id":29,"name":"Sharepoint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846</v>
      </c>
      <c r="B146" s="7">
        <v>4045</v>
      </c>
      <c r="C146" s="21" t="s">
        <v>214</v>
      </c>
      <c r="D146" s="21" t="s">
        <v>410</v>
      </c>
      <c r="E146" s="13">
        <v>42839.92628472222</v>
      </c>
      <c r="F146" s="13">
        <v>42839.935150462959</v>
      </c>
      <c r="G146" s="7">
        <v>1</v>
      </c>
      <c r="H146" s="21" t="s">
        <v>877</v>
      </c>
      <c r="I146" s="13">
        <v>42839.963483796295</v>
      </c>
      <c r="J146" s="7">
        <v>0</v>
      </c>
      <c r="K146" s="97" t="str">
        <f t="shared" si="42"/>
        <v>4045/4046</v>
      </c>
      <c r="L146" s="21" t="str">
        <f>VLOOKUP(A146,'Trips&amp;Operators'!$C$1:$G$99999,5,FALSE)</f>
        <v>FORTUNATO FRANK</v>
      </c>
      <c r="M146" s="6">
        <f t="shared" si="43"/>
        <v>2.8333333335467614E-2</v>
      </c>
      <c r="N146" s="7">
        <f t="shared" si="44"/>
        <v>40.800000003073364</v>
      </c>
      <c r="O146" s="7"/>
      <c r="P146" s="7"/>
      <c r="Q146" s="22"/>
      <c r="R146" s="22"/>
      <c r="S146" s="31">
        <f t="shared" si="45"/>
        <v>1</v>
      </c>
      <c r="T146" s="46" t="str">
        <f t="shared" si="46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47"/>
        <v>https://d0f6bd738d7f1b3e5a7ca70fe4ff75f0.us-east-1.aws.found.io/app/kibana#/discover/Steve-Slow-Train-Analysis-(2080s-and-2083s)?_g=(refreshInterval:(display:Off,pause:!f,section:0,value:0),time:(from:'2017-04-14T21:13:51-0600',mode:absolute,to:'2017-04-15T00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6" s="183" t="str">
        <f t="shared" si="48"/>
        <v>N</v>
      </c>
      <c r="X146" s="183">
        <f t="shared" si="49"/>
        <v>1</v>
      </c>
      <c r="Y146" s="62">
        <f t="shared" si="50"/>
        <v>23.2989</v>
      </c>
      <c r="Z146" s="62">
        <f t="shared" si="51"/>
        <v>1.3599999999999999E-2</v>
      </c>
      <c r="AA146" s="62">
        <f t="shared" si="52"/>
        <v>23.285299999999999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3"/>
        <v>0232-14</v>
      </c>
      <c r="AE146" s="85" t="str">
        <f t="shared" si="54"/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AF146" s="82" t="str">
        <f t="shared" si="55"/>
        <v>"C:\Program Files (x86)\AstroGrep\AstroGrep.exe" /e /r /s /spath="%USERPROFILE%\AppData\Local\Temp\OnboardLogs" /stypes="app*4045*20170415*" /stext=" 05:.+((SYSTEM_STATE.+slice.+state.+changed )|(ment ac)|(multiple cpu faults)|(system.+state.+changed )|(\[timeout)|(PRM\|1\|D)|(kpr)|(kdp)|(\|lc)|(penalty))"</v>
      </c>
      <c r="AG146" s="1" t="str">
        <f t="shared" si="56"/>
        <v>EC</v>
      </c>
      <c r="AH146" s="86" t="str">
        <f t="shared" si="57"/>
        <v>"%USERPROFILE%\Documents\GitHub\eaglep3\Utilities\RefineRTDCRunTimes.py" --tripid 232-14 --locoid 4045 --swversion DE.1.0.9.0 --startMP 204:232989 --initTime 2017-04-14T22:13:51 --startdatetime 2017-04-14T22:26:37 --delay 1 --endMP 204:136 --enddatetime 2017-04-14T23:07:25 --enforcementcount 0 &gt;&gt;C:\Users\stu\Documents\GitHub\eaglep3-reporting\EC\2017-04-14-refined-times.txt</v>
      </c>
      <c r="AI146" s="104" t="str">
        <f t="shared" si="58"/>
        <v>echo {"issue":{"subject":"","project_id":79,"tracker_id":40,"status_id":1,"priority_id":2,"assigned_to_id":23,"start_date":"2017-04-14","description":"","custom_fields":[{"id":1,"name":"Subdivision","value":"EC"},{"id":4,"name":"Milepost","value":"0.0136"},{"id":17,"name":"Train ID","value":"232-14"},{"id":16,"name":"Locomotive ID","value":"4045"},{"id":130,"name":"Impact","value":""},{"id":150,"name":"Time of Event (Mountain Time)","value":"23:07:25"},{"id":151,"name":"Denver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59"/>
        <v>start /low /b %USERPROFILE%\Documents\GitHub\eaglep3\Utilities\DownloadLogsFromS3.py --loco 4045 --day 2017-04-14</v>
      </c>
      <c r="AN146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843</v>
      </c>
      <c r="B147" s="7">
        <v>4004</v>
      </c>
      <c r="C147" s="21" t="s">
        <v>214</v>
      </c>
      <c r="D147" s="21" t="s">
        <v>924</v>
      </c>
      <c r="E147" s="13">
        <v>42839.90148148148</v>
      </c>
      <c r="F147" s="13">
        <v>42839.917141203703</v>
      </c>
      <c r="G147" s="7">
        <v>1</v>
      </c>
      <c r="H147" s="21" t="s">
        <v>925</v>
      </c>
      <c r="I147" s="13">
        <v>42839.941921296297</v>
      </c>
      <c r="J147" s="7">
        <v>0</v>
      </c>
      <c r="K147" s="97" t="str">
        <f t="shared" si="42"/>
        <v>4003/4004</v>
      </c>
      <c r="L147" s="21" t="str">
        <f>VLOOKUP(A147,'Trips&amp;Operators'!$C$1:$G$99999,5,FALSE)</f>
        <v>STAMBAUGH JAMES</v>
      </c>
      <c r="M147" s="6">
        <f t="shared" si="43"/>
        <v>2.4780092593573499E-2</v>
      </c>
      <c r="N147" s="7">
        <f t="shared" si="44"/>
        <v>35.683333334745839</v>
      </c>
      <c r="O147" s="7"/>
      <c r="P147" s="7"/>
      <c r="Q147" s="22"/>
      <c r="R147" s="22"/>
      <c r="S147" s="31">
        <f t="shared" si="45"/>
        <v>1</v>
      </c>
      <c r="T147" s="46" t="str">
        <f t="shared" si="46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47"/>
        <v>https://d0f6bd738d7f1b3e5a7ca70fe4ff75f0.us-east-1.aws.found.io/app/kibana#/discover/Steve-Slow-Train-Analysis-(2080s-and-2083s)?_g=(refreshInterval:(display:Off,pause:!f,section:0,value:0),time:(from:'2017-04-14T20:38:08-0600',mode:absolute,to:'2017-04-14T23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183" t="str">
        <f t="shared" si="48"/>
        <v>N</v>
      </c>
      <c r="X147" s="183">
        <f t="shared" si="49"/>
        <v>1</v>
      </c>
      <c r="Y147" s="62">
        <f t="shared" si="50"/>
        <v>4.2599999999999999E-2</v>
      </c>
      <c r="Z147" s="62">
        <f t="shared" si="51"/>
        <v>23.341200000000001</v>
      </c>
      <c r="AA147" s="62">
        <f t="shared" si="52"/>
        <v>23.2986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3"/>
        <v>0233-14</v>
      </c>
      <c r="AE147" s="85" t="str">
        <f t="shared" si="54"/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AF147" s="82" t="str">
        <f t="shared" si="55"/>
        <v>"C:\Program Files (x86)\AstroGrep\AstroGrep.exe" /e /r /s /spath="%USERPROFILE%\AppData\Local\Temp\OnboardLogs" /stypes="app*4004*20170415*" /stext=" 04:.+((SYSTEM_STATE.+slice.+state.+changed )|(ment ac)|(multiple cpu faults)|(system.+state.+changed )|(\[timeout)|(PRM\|1\|D)|(kpr)|(kdp)|(\|lc)|(penalty))"</v>
      </c>
      <c r="AG147" s="1" t="str">
        <f t="shared" si="56"/>
        <v>EC</v>
      </c>
      <c r="AH147" s="86" t="str">
        <f t="shared" si="57"/>
        <v>"%USERPROFILE%\Documents\GitHub\eaglep3\Utilities\RefineRTDCRunTimes.py" --tripid 233-14 --locoid 4004 --swversion DE.1.0.9.0 --startMP 204:426 --initTime 2017-04-14T21:38:08 --startdatetime 2017-04-14T22:00:41 --delay 1 --endMP 204:233412 --enddatetime 2017-04-14T22:36:22 --enforcementcount 0 &gt;&gt;C:\Users\stu\Documents\GitHub\eaglep3-reporting\EC\2017-04-14-refined-times.txt</v>
      </c>
      <c r="AI147" s="104" t="str">
        <f t="shared" si="58"/>
        <v>echo {"issue":{"subject":"","project_id":79,"tracker_id":40,"status_id":1,"priority_id":2,"assigned_to_id":23,"start_date":"2017-04-14","description":"","custom_fields":[{"id":1,"name":"Subdivision","value":"EC"},{"id":4,"name":"Milepost","value":"23.3412"},{"id":17,"name":"Train ID","value":"233-14"},{"id":16,"name":"Locomotive ID","value":"4004"},{"id":130,"name":"Impact","value":""},{"id":150,"name":"Time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9"/>
        <v>start /low /b %USERPROFILE%\Documents\GitHub\eaglep3\Utilities\DownloadLogsFromS3.py --loco 4004 --day 2017-04-14</v>
      </c>
      <c r="AN147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04:36:22"},{"id":29,"name":"Sharepoint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849</v>
      </c>
      <c r="B148" s="7">
        <v>4003</v>
      </c>
      <c r="C148" s="21" t="s">
        <v>214</v>
      </c>
      <c r="D148" s="21" t="s">
        <v>926</v>
      </c>
      <c r="E148" s="13">
        <v>42839.955636574072</v>
      </c>
      <c r="F148" s="13">
        <v>42839.951493055552</v>
      </c>
      <c r="G148" s="7">
        <v>1</v>
      </c>
      <c r="H148" s="21" t="s">
        <v>508</v>
      </c>
      <c r="I148" s="13">
        <v>42839.983553240738</v>
      </c>
      <c r="J148" s="7">
        <v>0</v>
      </c>
      <c r="K148" s="97" t="str">
        <f t="shared" si="42"/>
        <v>4003/4004</v>
      </c>
      <c r="L148" s="21" t="str">
        <f>VLOOKUP(A148,'Trips&amp;Operators'!$C$1:$G$99999,5,FALSE)</f>
        <v>STAMBAUGH JAMES</v>
      </c>
      <c r="M148" s="6">
        <f t="shared" si="43"/>
        <v>3.2060185185400769E-2</v>
      </c>
      <c r="N148" s="7">
        <f t="shared" si="44"/>
        <v>46.166666666977108</v>
      </c>
      <c r="O148" s="7"/>
      <c r="P148" s="7"/>
      <c r="Q148" s="22"/>
      <c r="R148" s="22" t="s">
        <v>1028</v>
      </c>
      <c r="S148" s="31">
        <f t="shared" si="45"/>
        <v>1</v>
      </c>
      <c r="T148" s="46" t="str">
        <f t="shared" si="46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47"/>
        <v>https://d0f6bd738d7f1b3e5a7ca70fe4ff75f0.us-east-1.aws.found.io/app/kibana#/discover/Steve-Slow-Train-Analysis-(2080s-and-2083s)?_g=(refreshInterval:(display:Off,pause:!f,section:0,value:0),time:(from:'2017-04-14T21:56:07-0600',mode:absolute,to:'2017-04-15T00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3" t="str">
        <f t="shared" si="48"/>
        <v>N</v>
      </c>
      <c r="X148" s="183">
        <f t="shared" si="49"/>
        <v>1</v>
      </c>
      <c r="Y148" s="62">
        <f t="shared" si="50"/>
        <v>23.308299999999999</v>
      </c>
      <c r="Z148" s="62">
        <f t="shared" si="51"/>
        <v>1.49E-2</v>
      </c>
      <c r="AA148" s="62">
        <f t="shared" si="52"/>
        <v>23.293399999999998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3"/>
        <v>0234-14</v>
      </c>
      <c r="AE148" s="85" t="str">
        <f t="shared" si="54"/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AF148" s="82" t="str">
        <f t="shared" si="55"/>
        <v>"C:\Program Files (x86)\AstroGrep\AstroGrep.exe" /e /r /s /spath="%USERPROFILE%\AppData\Local\Temp\OnboardLogs" /stypes="app*4003*20170415*" /stext=" 05:.+((SYSTEM_STATE.+slice.+state.+changed )|(ment ac)|(multiple cpu faults)|(system.+state.+changed )|(\[timeout)|(PRM\|1\|D)|(kpr)|(kdp)|(\|lc)|(penalty))"</v>
      </c>
      <c r="AG148" s="1" t="str">
        <f t="shared" si="56"/>
        <v>EC</v>
      </c>
      <c r="AH148" s="86" t="str">
        <f t="shared" si="57"/>
        <v>"%USERPROFILE%\Documents\GitHub\eaglep3\Utilities\RefineRTDCRunTimes.py" --tripid 234-14 --locoid 4003 --swversion DE.1.0.9.0 --startMP 204:233083 --initTime 2017-04-14T22:56:07 --startdatetime 2017-04-14T22:50:09 --delay 1 --endMP 204:149 --enddatetime 2017-04-14T23:36:19 --enforcementcount 0 &gt;&gt;C:\Users\stu\Documents\GitHub\eaglep3-reporting\EC\2017-04-14-refined-times.txt</v>
      </c>
      <c r="AI148" s="104" t="str">
        <f t="shared" si="58"/>
        <v>echo {"issue":{"subject":"Delayed by onboard in-route failure","project_id":79,"tracker_id":40,"status_id":1,"priority_id":2,"assigned_to_id":23,"start_date":"2017-04-14","description":"","custom_fields":[{"id":1,"name":"Subdivision","value":"EC"},{"id":4,"name":"Milepost","value":"0.0149"},{"id":17,"name":"Train ID","value":"234-14"},{"id":16,"name":"Locomotive ID","value":"4003"},{"id":130,"name":"Impact","value":""},{"id":150,"name":"Time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9"/>
        <v>start /low /b %USERPROFILE%\Documents\GitHub\eaglep3\Utilities\DownloadLogsFromS3.py --loco 4003 --day 2017-04-14</v>
      </c>
      <c r="AN148" s="159" t="str">
        <f t="shared" si="60"/>
        <v>echo {"issue":{"subject":"Delayed by onboard in-route failure","project_id":30,"tracker_id":4,"status_id":1,"priority_id":1,"assigned_to_id":10,"start_date":"2017-04-15","description":"","custom_fields":[{"id":30,"name":"Category","value":"Issue"},{"id":3,"name":"Functional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847</v>
      </c>
      <c r="B149" s="7">
        <v>4010</v>
      </c>
      <c r="C149" s="21" t="s">
        <v>214</v>
      </c>
      <c r="D149" s="21" t="s">
        <v>420</v>
      </c>
      <c r="E149" s="13">
        <v>42839.926307870373</v>
      </c>
      <c r="F149" s="13">
        <v>42839.937916666669</v>
      </c>
      <c r="G149" s="7">
        <v>1</v>
      </c>
      <c r="H149" s="21" t="s">
        <v>927</v>
      </c>
      <c r="I149" s="13">
        <v>42839.965081018519</v>
      </c>
      <c r="J149" s="7">
        <v>0</v>
      </c>
      <c r="K149" s="97" t="str">
        <f t="shared" si="42"/>
        <v>4009/4010</v>
      </c>
      <c r="L149" s="21" t="str">
        <f>VLOOKUP(A149,'Trips&amp;Operators'!$C$1:$G$99999,5,FALSE)</f>
        <v>SWANSON BRYCE</v>
      </c>
      <c r="M149" s="6">
        <f t="shared" si="43"/>
        <v>2.7164351849933155E-2</v>
      </c>
      <c r="N149" s="7">
        <f t="shared" si="44"/>
        <v>39.116666663903743</v>
      </c>
      <c r="O149" s="7"/>
      <c r="P149" s="7"/>
      <c r="Q149" s="22"/>
      <c r="R149" s="22"/>
      <c r="S149" s="31">
        <f t="shared" si="45"/>
        <v>1</v>
      </c>
      <c r="T149" s="46" t="str">
        <f t="shared" si="46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47"/>
        <v>https://d0f6bd738d7f1b3e5a7ca70fe4ff75f0.us-east-1.aws.found.io/app/kibana#/discover/Steve-Slow-Train-Analysis-(2080s-and-2083s)?_g=(refreshInterval:(display:Off,pause:!f,section:0,value:0),time:(from:'2017-04-14T21:13:53-0600',mode:absolute,to:'2017-04-15T00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9" s="183" t="str">
        <f t="shared" si="48"/>
        <v>N</v>
      </c>
      <c r="X149" s="183">
        <f t="shared" si="49"/>
        <v>1</v>
      </c>
      <c r="Y149" s="62">
        <f t="shared" si="50"/>
        <v>4.58E-2</v>
      </c>
      <c r="Z149" s="62">
        <f t="shared" si="51"/>
        <v>23.333100000000002</v>
      </c>
      <c r="AA149" s="62">
        <f t="shared" si="52"/>
        <v>23.287300000000002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3"/>
        <v>0235-14</v>
      </c>
      <c r="AE149" s="85" t="str">
        <f t="shared" si="54"/>
        <v>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 &amp; 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</v>
      </c>
      <c r="AF149" s="82" t="str">
        <f t="shared" si="55"/>
        <v>"C:\Program Files (x86)\AstroGrep\AstroGrep.exe" /e /r /s /spath="%USERPROFILE%\AppData\Local\Temp\OnboardLogs" /stypes="app*4010*20170415*" /stext=" 05:.+((SYSTEM_STATE.+slice.+state.+changed )|(ment ac)|(multiple cpu faults)|(system.+state.+changed )|(\[timeout)|(PRM\|1\|D)|(kpr)|(kdp)|(\|lc)|(penalty))"</v>
      </c>
      <c r="AG149" s="1" t="str">
        <f t="shared" si="56"/>
        <v>EC</v>
      </c>
      <c r="AH149" s="86" t="str">
        <f t="shared" si="57"/>
        <v>"%USERPROFILE%\Documents\GitHub\eaglep3\Utilities\RefineRTDCRunTimes.py" --tripid 235-14 --locoid 4010 --swversion DE.1.0.9.0 --startMP 204:458 --initTime 2017-04-14T22:13:53 --startdatetime 2017-04-14T22:30:36 --delay 1 --endMP 204:233331 --enddatetime 2017-04-14T23:09:43 --enforcementcount 0 &gt;&gt;C:\Users\stu\Documents\GitHub\eaglep3-reporting\EC\2017-04-14-refined-times.txt</v>
      </c>
      <c r="AI149" s="104" t="str">
        <f t="shared" si="58"/>
        <v>echo {"issue":{"subject":"","project_id":79,"tracker_id":40,"status_id":1,"priority_id":2,"assigned_to_id":23,"start_date":"2017-04-14","description":"","custom_fields":[{"id":1,"name":"Subdivision","value":"EC"},{"id":4,"name":"Milepost","value":"23.3331"},{"id":17,"name":"Train ID","value":"235-14"},{"id":16,"name":"Locomotive ID","value":"4010"},{"id":130,"name":"Impact","value":""},{"id":150,"name":"Time of Event (Mountain Time)","value":"23:09:43"},{"id":151,"name":"Denver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59"/>
        <v>start /low /b %USERPROFILE%\Documents\GitHub\eaglep3\Utilities\DownloadLogsFromS3.py --loco 4010 --day 2017-04-14</v>
      </c>
      <c r="AN149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05:09:43"},{"id":29,"name":"Sharepoint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852</v>
      </c>
      <c r="B150" s="7">
        <v>4009</v>
      </c>
      <c r="C150" s="21" t="s">
        <v>214</v>
      </c>
      <c r="D150" s="21" t="s">
        <v>908</v>
      </c>
      <c r="E150" s="13">
        <v>42839.969166666669</v>
      </c>
      <c r="F150" s="13">
        <v>42839.976643518516</v>
      </c>
      <c r="G150" s="7">
        <v>1</v>
      </c>
      <c r="H150" s="21" t="s">
        <v>211</v>
      </c>
      <c r="I150" s="13">
        <v>42840.005173611113</v>
      </c>
      <c r="J150" s="7">
        <v>0</v>
      </c>
      <c r="K150" s="97" t="str">
        <f t="shared" si="42"/>
        <v>4009/4010</v>
      </c>
      <c r="L150" s="21" t="str">
        <f>VLOOKUP(A150,'Trips&amp;Operators'!$C$1:$G$99999,5,FALSE)</f>
        <v>SWANSON BRYCE</v>
      </c>
      <c r="M150" s="6">
        <f t="shared" si="43"/>
        <v>2.8530092597065959E-2</v>
      </c>
      <c r="N150" s="7">
        <f t="shared" si="44"/>
        <v>41.083333339774981</v>
      </c>
      <c r="O150" s="7"/>
      <c r="P150" s="7"/>
      <c r="Q150" s="22"/>
      <c r="R150" s="22"/>
      <c r="S150" s="31">
        <f t="shared" si="45"/>
        <v>1</v>
      </c>
      <c r="T150" s="46" t="str">
        <f t="shared" si="46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47"/>
        <v>https://d0f6bd738d7f1b3e5a7ca70fe4ff75f0.us-east-1.aws.found.io/app/kibana#/discover/Steve-Slow-Train-Analysis-(2080s-and-2083s)?_g=(refreshInterval:(display:Off,pause:!f,section:0,value:0),time:(from:'2017-04-14T22:15:36-0600',mode:absolute,to:'2017-04-15T01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0" s="183" t="str">
        <f t="shared" si="48"/>
        <v>N</v>
      </c>
      <c r="X150" s="183">
        <f t="shared" si="49"/>
        <v>1</v>
      </c>
      <c r="Y150" s="62">
        <f t="shared" si="50"/>
        <v>23.300599999999999</v>
      </c>
      <c r="Z150" s="62">
        <f t="shared" si="51"/>
        <v>1.47E-2</v>
      </c>
      <c r="AA150" s="62">
        <f t="shared" si="52"/>
        <v>23.285899999999998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3"/>
        <v>0236-14</v>
      </c>
      <c r="AE150" s="85" t="str">
        <f t="shared" si="54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150" s="82" t="str">
        <f t="shared" si="55"/>
        <v>"C:\Program Files (x86)\AstroGrep\AstroGrep.exe" /e /r /s /spath="%USERPROFILE%\AppData\Local\Temp\OnboardLogs" /stypes="app*4009*20170415*" /stext=" 06:.+((SYSTEM_STATE.+slice.+state.+changed )|(ment ac)|(multiple cpu faults)|(system.+state.+changed )|(\[timeout)|(PRM\|1\|D)|(kpr)|(kdp)|(\|lc)|(penalty))"</v>
      </c>
      <c r="AG150" s="1" t="str">
        <f t="shared" si="56"/>
        <v>EC</v>
      </c>
      <c r="AH150" s="86" t="str">
        <f t="shared" si="57"/>
        <v>"%USERPROFILE%\Documents\GitHub\eaglep3\Utilities\RefineRTDCRunTimes.py" --tripid 236-14 --locoid 4009 --swversion DE.1.0.9.0 --startMP 204:233006 --initTime 2017-04-14T23:15:36 --startdatetime 2017-04-14T23:26:22 --delay 1 --endMP 204:147 --enddatetime 2017-04-15T00:07:27 --enforcementcount 0 &gt;&gt;C:\Users\stu\Documents\GitHub\eaglep3-reporting\EC\2017-04-14-refined-times.txt</v>
      </c>
      <c r="AI150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ID","value":"236-14"},{"id":16,"name":"Locomotive ID","value":"4009"},{"id":130,"name":"Impact","value":""},{"id":150,"name":"Time of Event (Mountain Time)","value":"00:07:27"},{"id":151,"name":"Denver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59"/>
        <v>start /low /b %USERPROFILE%\Documents\GitHub\eaglep3\Utilities\DownloadLogsFromS3.py --loco 4009 --day 2017-04-14</v>
      </c>
      <c r="AN150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06:07:27"},{"id":29,"name":"Sharepoint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850</v>
      </c>
      <c r="B151" s="7">
        <v>4040</v>
      </c>
      <c r="C151" s="21" t="s">
        <v>214</v>
      </c>
      <c r="D151" s="21" t="s">
        <v>464</v>
      </c>
      <c r="E151" s="13">
        <v>42839.949745370373</v>
      </c>
      <c r="F151" s="13">
        <v>42839.958518518521</v>
      </c>
      <c r="G151" s="7">
        <v>2</v>
      </c>
      <c r="H151" s="21" t="s">
        <v>928</v>
      </c>
      <c r="I151" s="13">
        <v>42839.983078703706</v>
      </c>
      <c r="J151" s="7">
        <v>0</v>
      </c>
      <c r="K151" s="97" t="str">
        <f t="shared" si="42"/>
        <v>4039/4040</v>
      </c>
      <c r="L151" s="21" t="str">
        <f>VLOOKUP(A151,'Trips&amp;Operators'!$C$1:$G$99999,5,FALSE)</f>
        <v>BROWN JACOB</v>
      </c>
      <c r="M151" s="6">
        <f t="shared" si="43"/>
        <v>2.4560185185691807E-2</v>
      </c>
      <c r="N151" s="7">
        <f t="shared" si="44"/>
        <v>35.366666667396203</v>
      </c>
      <c r="O151" s="7"/>
      <c r="P151" s="7"/>
      <c r="Q151" s="22"/>
      <c r="R151" s="22"/>
      <c r="S151" s="31">
        <f t="shared" si="45"/>
        <v>1</v>
      </c>
      <c r="T151" s="46" t="str">
        <f t="shared" si="46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47"/>
        <v>https://d0f6bd738d7f1b3e5a7ca70fe4ff75f0.us-east-1.aws.found.io/app/kibana#/discover/Steve-Slow-Train-Analysis-(2080s-and-2083s)?_g=(refreshInterval:(display:Off,pause:!f,section:0,value:0),time:(from:'2017-04-14T21:47:38-0600',mode:absolute,to:'2017-04-15T00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83" t="str">
        <f t="shared" si="48"/>
        <v>N</v>
      </c>
      <c r="X151" s="183">
        <f t="shared" si="49"/>
        <v>1</v>
      </c>
      <c r="Y151" s="62">
        <f t="shared" si="50"/>
        <v>4.6899999999999997E-2</v>
      </c>
      <c r="Z151" s="62">
        <f t="shared" si="51"/>
        <v>23.332100000000001</v>
      </c>
      <c r="AA151" s="62">
        <f t="shared" si="52"/>
        <v>23.2852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3"/>
        <v>0237-14</v>
      </c>
      <c r="AE151" s="85" t="str">
        <f t="shared" si="54"/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AF151" s="82" t="str">
        <f t="shared" si="55"/>
        <v>"C:\Program Files (x86)\AstroGrep\AstroGrep.exe" /e /r /s /spath="%USERPROFILE%\AppData\Local\Temp\OnboardLogs" /stypes="app*4040*20170415*" /stext=" 05:.+((SYSTEM_STATE.+slice.+state.+changed )|(ment ac)|(multiple cpu faults)|(system.+state.+changed )|(\[timeout)|(PRM\|1\|D)|(kpr)|(kdp)|(\|lc)|(penalty))"</v>
      </c>
      <c r="AG151" s="1" t="str">
        <f t="shared" si="56"/>
        <v>EC</v>
      </c>
      <c r="AH151" s="86" t="str">
        <f t="shared" si="57"/>
        <v>"%USERPROFILE%\Documents\GitHub\eaglep3\Utilities\RefineRTDCRunTimes.py" --tripid 237-14 --locoid 4040 --swversion DE.1.0.9.0 --startMP 204:469 --initTime 2017-04-14T22:47:38 --startdatetime 2017-04-14T23:00:16 --delay 2 --endMP 204:233321 --enddatetime 2017-04-14T23:35:38 --enforcementcount 0 &gt;&gt;C:\Users\stu\Documents\GitHub\eaglep3-reporting\EC\2017-04-14-refined-times.txt</v>
      </c>
      <c r="AI151" s="104" t="str">
        <f t="shared" si="58"/>
        <v>echo {"issue":{"subject":"","project_id":79,"tracker_id":40,"status_id":1,"priority_id":2,"assigned_to_id":23,"start_date":"2017-04-14","description":"","custom_fields":[{"id":1,"name":"Subdivision","value":"EC"},{"id":4,"name":"Milepost","value":"23.3321"},{"id":17,"name":"Train ID","value":"237-14"},{"id":16,"name":"Locomotive ID","value":"4040"},{"id":130,"name":"Impact","value":""},{"id":150,"name":"Time of Event (Mountain Time)","value":"23:35:38"},{"id":151,"name":"Denver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59"/>
        <v>start /low /b %USERPROFILE%\Documents\GitHub\eaglep3\Utilities\DownloadLogsFromS3.py --loco 4040 --day 2017-04-14</v>
      </c>
      <c r="AN151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854</v>
      </c>
      <c r="B152" s="7">
        <v>4039</v>
      </c>
      <c r="C152" s="21" t="s">
        <v>214</v>
      </c>
      <c r="D152" s="21" t="s">
        <v>896</v>
      </c>
      <c r="E152" s="13">
        <v>42839.994942129626</v>
      </c>
      <c r="F152" s="13">
        <v>42839.997442129628</v>
      </c>
      <c r="G152" s="7">
        <v>1</v>
      </c>
      <c r="H152" s="21" t="s">
        <v>211</v>
      </c>
      <c r="I152" s="13">
        <v>42840.025023148148</v>
      </c>
      <c r="J152" s="7">
        <v>0</v>
      </c>
      <c r="K152" s="97" t="str">
        <f t="shared" si="42"/>
        <v>4039/4040</v>
      </c>
      <c r="L152" s="21" t="str">
        <f>VLOOKUP(A152,'Trips&amp;Operators'!$C$1:$G$99999,5,FALSE)</f>
        <v>BROWN JACOB</v>
      </c>
      <c r="M152" s="6">
        <f t="shared" si="43"/>
        <v>2.7581018519413192E-2</v>
      </c>
      <c r="N152" s="7">
        <f t="shared" si="44"/>
        <v>39.716666667954996</v>
      </c>
      <c r="O152" s="7"/>
      <c r="P152" s="7"/>
      <c r="Q152" s="22"/>
      <c r="R152" s="22"/>
      <c r="S152" s="31">
        <f t="shared" si="45"/>
        <v>1</v>
      </c>
      <c r="T152" s="46" t="str">
        <f t="shared" si="46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47"/>
        <v>https://d0f6bd738d7f1b3e5a7ca70fe4ff75f0.us-east-1.aws.found.io/app/kibana#/discover/Steve-Slow-Train-Analysis-(2080s-and-2083s)?_g=(refreshInterval:(display:Off,pause:!f,section:0,value:0),time:(from:'2017-04-14T22:52:43-0600',mode:absolute,to:'2017-04-15T01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83" t="str">
        <f t="shared" si="48"/>
        <v>N</v>
      </c>
      <c r="X152" s="183">
        <f t="shared" si="49"/>
        <v>1</v>
      </c>
      <c r="Y152" s="62">
        <f t="shared" si="50"/>
        <v>23.300999999999998</v>
      </c>
      <c r="Z152" s="62">
        <f t="shared" si="51"/>
        <v>1.47E-2</v>
      </c>
      <c r="AA152" s="62">
        <f t="shared" si="52"/>
        <v>23.286299999999997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3"/>
        <v>0238-14</v>
      </c>
      <c r="AE152" s="85" t="str">
        <f t="shared" si="54"/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AF152" s="82" t="str">
        <f t="shared" si="55"/>
        <v>"C:\Program Files (x86)\AstroGrep\AstroGrep.exe" /e /r /s /spath="%USERPROFILE%\AppData\Local\Temp\OnboardLogs" /stypes="app*4039*20170415*" /stext=" 06:.+((SYSTEM_STATE.+slice.+state.+changed )|(ment ac)|(multiple cpu faults)|(system.+state.+changed )|(\[timeout)|(PRM\|1\|D)|(kpr)|(kdp)|(\|lc)|(penalty))"</v>
      </c>
      <c r="AG152" s="1" t="str">
        <f t="shared" si="56"/>
        <v>EC</v>
      </c>
      <c r="AH152" s="86" t="str">
        <f t="shared" si="57"/>
        <v>"%USERPROFILE%\Documents\GitHub\eaglep3\Utilities\RefineRTDCRunTimes.py" --tripid 238-14 --locoid 4039 --swversion DE.1.0.9.0 --startMP 204:233010 --initTime 2017-04-14T23:52:43 --startdatetime 2017-04-14T23:56:19 --delay 1 --endMP 204:147 --enddatetime 2017-04-15T00:36:02 --enforcementcount 0 &gt;&gt;C:\Users\stu\Documents\GitHub\eaglep3-reporting\EC\2017-04-14-refined-times.txt</v>
      </c>
      <c r="AI152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ID","value":"238-14"},{"id":16,"name":"Locomotive ID","value":"4039"},{"id":130,"name":"Impact","value":""},{"id":150,"name":"Time of Event (Mountain Time)","value":"00:36:02"},{"id":151,"name":"Denver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59"/>
        <v>start /low /b %USERPROFILE%\Documents\GitHub\eaglep3\Utilities\DownloadLogsFromS3.py --loco 4039 --day 2017-04-14</v>
      </c>
      <c r="AN152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06:36:02"},{"id":29,"name":"Sharepoint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851</v>
      </c>
      <c r="B153" s="7">
        <v>4046</v>
      </c>
      <c r="C153" s="21" t="s">
        <v>214</v>
      </c>
      <c r="D153" s="21" t="s">
        <v>210</v>
      </c>
      <c r="E153" s="13">
        <v>42839.965428240743</v>
      </c>
      <c r="F153" s="13">
        <v>42840.01834490741</v>
      </c>
      <c r="G153" s="7">
        <v>1</v>
      </c>
      <c r="H153" s="21" t="s">
        <v>919</v>
      </c>
      <c r="I153" s="13">
        <v>42840.046678240738</v>
      </c>
      <c r="J153" s="7">
        <v>0</v>
      </c>
      <c r="K153" s="97" t="str">
        <f t="shared" si="42"/>
        <v>4045/4046</v>
      </c>
      <c r="L153" s="21" t="str">
        <f>VLOOKUP(A153,'Trips&amp;Operators'!$C$1:$G$99999,5,FALSE)</f>
        <v>FORTUNATO FRANK</v>
      </c>
      <c r="M153" s="6">
        <f t="shared" si="43"/>
        <v>2.8333333328191657E-2</v>
      </c>
      <c r="N153" s="7">
        <f t="shared" si="44"/>
        <v>40.799999992595986</v>
      </c>
      <c r="O153" s="7"/>
      <c r="P153" s="7"/>
      <c r="Q153" s="22"/>
      <c r="R153" s="22"/>
      <c r="S153" s="31">
        <f t="shared" si="45"/>
        <v>1</v>
      </c>
      <c r="T153" s="46" t="str">
        <f t="shared" si="46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47"/>
        <v>https://d0f6bd738d7f1b3e5a7ca70fe4ff75f0.us-east-1.aws.found.io/app/kibana#/discover/Steve-Slow-Train-Analysis-(2080s-and-2083s)?_g=(refreshInterval:(display:Off,pause:!f,section:0,value:0),time:(from:'2017-04-14T22:10:13-0600',mode:absolute,to:'2017-04-15T02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3" s="183" t="str">
        <f t="shared" si="48"/>
        <v>N</v>
      </c>
      <c r="X153" s="183">
        <f t="shared" si="49"/>
        <v>1</v>
      </c>
      <c r="Y153" s="62">
        <f t="shared" si="50"/>
        <v>4.5499999999999999E-2</v>
      </c>
      <c r="Z153" s="62">
        <f t="shared" si="51"/>
        <v>23.331700000000001</v>
      </c>
      <c r="AA153" s="62">
        <f t="shared" si="52"/>
        <v>23.286200000000001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3"/>
        <v>0239-14</v>
      </c>
      <c r="AE153" s="85" t="str">
        <f t="shared" si="54"/>
        <v>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 &amp; 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</v>
      </c>
      <c r="AF153" s="82" t="str">
        <f t="shared" si="55"/>
        <v>"C:\Program Files (x86)\AstroGrep\AstroGrep.exe" /e /r /s /spath="%USERPROFILE%\AppData\Local\Temp\OnboardLogs" /stypes="app*4046*20170415*" /stext=" 07:.+((SYSTEM_STATE.+slice.+state.+changed )|(ment ac)|(multiple cpu faults)|(system.+state.+changed )|(\[timeout)|(PRM\|1\|D)|(kpr)|(kdp)|(\|lc)|(penalty))"</v>
      </c>
      <c r="AG153" s="1" t="str">
        <f t="shared" si="56"/>
        <v>EC</v>
      </c>
      <c r="AH153" s="86" t="str">
        <f t="shared" si="57"/>
        <v>"%USERPROFILE%\Documents\GitHub\eaglep3\Utilities\RefineRTDCRunTimes.py" --tripid 239-14 --locoid 4046 --swversion DE.1.0.9.0 --startMP 204:455 --initTime 2017-04-14T23:10:13 --startdatetime 2017-04-15T00:26:25 --delay 1 --endMP 204:233317 --enddatetime 2017-04-15T01:07:13 --enforcementcount 0 &gt;&gt;C:\Users\stu\Documents\GitHub\eaglep3-reporting\EC\2017-04-14-refined-times.txt</v>
      </c>
      <c r="AI153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{"issue":{"subject":"","project_id":79,"tracker_id":40,"status_id":1,"priority_id":2,"assigned_to_id":23,"start_date":"2017-04-15","description":"","custom_fields":[{"id":1,"name":"Subdivision","value":"EC"},{"id":4,"name":"Milepost","value":"23.3317"},{"id":17,"name":"Train ID","value":"239-14"},{"id":16,"name":"Locomotive ID","value":"4046"},{"id":130,"name":"Impact","value":""},{"id":150,"name":"Time of Event (Mountain Time)","value":"01:07:13"},{"id":151,"name":"Denver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59"/>
        <v>start /low /b %USERPROFILE%\Documents\GitHub\eaglep3\Utilities\DownloadLogsFromS3.py --loco 4046 --day 2017-04-15</v>
      </c>
      <c r="AN153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07:07:13"},{"id":29,"name":"Sharepoint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856</v>
      </c>
      <c r="B154" s="7">
        <v>4045</v>
      </c>
      <c r="C154" s="21" t="s">
        <v>214</v>
      </c>
      <c r="D154" s="21" t="s">
        <v>929</v>
      </c>
      <c r="E154" s="13">
        <v>42840.011053240742</v>
      </c>
      <c r="F154" s="13">
        <v>42840.01834490741</v>
      </c>
      <c r="G154" s="7">
        <v>1</v>
      </c>
      <c r="H154" s="21" t="s">
        <v>211</v>
      </c>
      <c r="I154" s="13">
        <v>42840.046678240738</v>
      </c>
      <c r="J154" s="7">
        <v>0</v>
      </c>
      <c r="K154" s="97" t="str">
        <f t="shared" si="42"/>
        <v>4045/4046</v>
      </c>
      <c r="L154" s="21" t="str">
        <f>VLOOKUP(A154,'Trips&amp;Operators'!$C$1:$G$99999,5,FALSE)</f>
        <v>FORTUNATO FRANK</v>
      </c>
      <c r="M154" s="6">
        <f t="shared" si="43"/>
        <v>2.8333333328191657E-2</v>
      </c>
      <c r="N154" s="7">
        <f t="shared" si="44"/>
        <v>40.799999992595986</v>
      </c>
      <c r="O154" s="7"/>
      <c r="P154" s="7"/>
      <c r="Q154" s="22"/>
      <c r="R154" s="22"/>
      <c r="S154" s="31">
        <f t="shared" si="45"/>
        <v>1</v>
      </c>
      <c r="T154" s="46" t="str">
        <f t="shared" si="46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47"/>
        <v>https://d0f6bd738d7f1b3e5a7ca70fe4ff75f0.us-east-1.aws.found.io/app/kibana#/discover/Steve-Slow-Train-Analysis-(2080s-and-2083s)?_g=(refreshInterval:(display:Off,pause:!f,section:0,value:0),time:(from:'2017-04-14T23:15:55-0600',mode:absolute,to:'2017-04-15T02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183" t="str">
        <f t="shared" si="48"/>
        <v>N</v>
      </c>
      <c r="X154" s="183">
        <f t="shared" si="49"/>
        <v>1</v>
      </c>
      <c r="Y154" s="62">
        <f t="shared" si="50"/>
        <v>23.300799999999999</v>
      </c>
      <c r="Z154" s="62">
        <f t="shared" si="51"/>
        <v>1.47E-2</v>
      </c>
      <c r="AA154" s="62">
        <f t="shared" si="52"/>
        <v>23.286099999999998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3"/>
        <v>0240-14</v>
      </c>
      <c r="AE154" s="85" t="str">
        <f t="shared" si="54"/>
        <v>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 &amp; 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</v>
      </c>
      <c r="AF154" s="82" t="str">
        <f t="shared" si="55"/>
        <v>"C:\Program Files (x86)\AstroGrep\AstroGrep.exe" /e /r /s /spath="%USERPROFILE%\AppData\Local\Temp\OnboardLogs" /stypes="app*4045*20170415*" /stext=" 07:.+((SYSTEM_STATE.+slice.+state.+changed )|(ment ac)|(multiple cpu faults)|(system.+state.+changed )|(\[timeout)|(PRM\|1\|D)|(kpr)|(kdp)|(\|lc)|(penalty))"</v>
      </c>
      <c r="AG154" s="1" t="str">
        <f t="shared" si="56"/>
        <v>EC</v>
      </c>
      <c r="AH154" s="86" t="str">
        <f t="shared" si="57"/>
        <v>"%USERPROFILE%\Documents\GitHub\eaglep3\Utilities\RefineRTDCRunTimes.py" --tripid 240-14 --locoid 4045 --swversion DE.1.0.9.0 --startMP 204:233008 --initTime 2017-04-15T00:15:55 --startdatetime 2017-04-15T00:26:25 --delay 1 --endMP 204:147 --enddatetime 2017-04-15T01:07:13 --enforcementcount 0 &gt;&gt;C:\Users\stu\Documents\GitHub\eaglep3-reporting\EC\2017-04-14-refined-times.txt</v>
      </c>
      <c r="AI154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ID","value":"240-14"},{"id":16,"name":"Locomotive ID","value":"4045"},{"id":130,"name":"Impact","value":""},{"id":150,"name":"Time of Event (Mountain Time)","value":"01:07:13"},{"id":151,"name":"Denver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59"/>
        <v>start /low /b %USERPROFILE%\Documents\GitHub\eaglep3\Utilities\DownloadLogsFromS3.py --loco 4045 --day 2017-04-15</v>
      </c>
      <c r="AN154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07:07:13"},{"id":29,"name":"Sharepoint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853</v>
      </c>
      <c r="B155" s="7">
        <v>4004</v>
      </c>
      <c r="C155" s="21" t="s">
        <v>214</v>
      </c>
      <c r="D155" s="21" t="s">
        <v>520</v>
      </c>
      <c r="E155" s="13">
        <v>42839.98605324074</v>
      </c>
      <c r="F155" s="13">
        <v>42840.000428240739</v>
      </c>
      <c r="G155" s="7">
        <v>0</v>
      </c>
      <c r="H155" s="21" t="s">
        <v>930</v>
      </c>
      <c r="I155" s="13">
        <v>42840.024560185186</v>
      </c>
      <c r="J155" s="7">
        <v>0</v>
      </c>
      <c r="K155" s="97" t="str">
        <f t="shared" si="42"/>
        <v>4003/4004</v>
      </c>
      <c r="L155" s="21" t="str">
        <f>VLOOKUP(A155,'Trips&amp;Operators'!$C$1:$G$99999,5,FALSE)</f>
        <v>STAMBAUGH JAMES</v>
      </c>
      <c r="M155" s="6">
        <f t="shared" si="43"/>
        <v>2.4131944446708076E-2</v>
      </c>
      <c r="N155" s="7">
        <f t="shared" si="44"/>
        <v>34.750000003259629</v>
      </c>
      <c r="O155" s="7"/>
      <c r="P155" s="7"/>
      <c r="Q155" s="22"/>
      <c r="R155" s="22"/>
      <c r="S155" s="31">
        <f t="shared" si="45"/>
        <v>1</v>
      </c>
      <c r="T155" s="46" t="str">
        <f t="shared" si="46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47"/>
        <v>https://d0f6bd738d7f1b3e5a7ca70fe4ff75f0.us-east-1.aws.found.io/app/kibana#/discover/Steve-Slow-Train-Analysis-(2080s-and-2083s)?_g=(refreshInterval:(display:Off,pause:!f,section:0,value:0),time:(from:'2017-04-14T22:39:55-0600',mode:absolute,to:'2017-04-15T01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183" t="str">
        <f t="shared" si="48"/>
        <v>N</v>
      </c>
      <c r="X155" s="183">
        <f t="shared" si="49"/>
        <v>1</v>
      </c>
      <c r="Y155" s="62">
        <f t="shared" si="50"/>
        <v>4.4200000000000003E-2</v>
      </c>
      <c r="Z155" s="62">
        <f t="shared" si="51"/>
        <v>23.338100000000001</v>
      </c>
      <c r="AA155" s="62">
        <f t="shared" si="52"/>
        <v>23.293900000000001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3"/>
        <v>0241-14</v>
      </c>
      <c r="AE155" s="85" t="str">
        <f t="shared" si="54"/>
        <v>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 &amp; aws s3 cp s3://rtdc.mdm.uploadarchive.raw/RTDC4004/ "%USERPROFILE%\AppData\Local\Temp\OnboardLogs"\RTDC4004\2017-04-16 --exclude "*" --recursive --include "*20170416*" &amp; "%USERPROFILE%\Documents\GitHub\mrs-test-scripts\Headless Mode &amp; Sideloading\WalkAndUnGZ.bat" "%USERPROFILE%\AppData\Local\Temp\OnboardLogs"\RTDC4004\2017-04-16</v>
      </c>
      <c r="AF155" s="82" t="str">
        <f t="shared" si="55"/>
        <v>"C:\Program Files (x86)\AstroGrep\AstroGrep.exe" /e /r /s /spath="%USERPROFILE%\AppData\Local\Temp\OnboardLogs" /stypes="app*4004*20170415*" /stext=" 06:.+((SYSTEM_STATE.+slice.+state.+changed )|(ment ac)|(multiple cpu faults)|(system.+state.+changed )|(\[timeout)|(PRM\|1\|D)|(kpr)|(kdp)|(\|lc)|(penalty))"</v>
      </c>
      <c r="AG155" s="1" t="str">
        <f t="shared" si="56"/>
        <v>EC</v>
      </c>
      <c r="AH155" s="86" t="str">
        <f t="shared" si="57"/>
        <v>"%USERPROFILE%\Documents\GitHub\eaglep3\Utilities\RefineRTDCRunTimes.py" --tripid 241-14 --locoid 4004 --swversion DE.1.0.9.0 --startMP 204:442 --initTime 2017-04-14T23:39:55 --startdatetime 2017-04-15T00:00:37 --delay 0 --endMP 204:233381 --enddatetime 2017-04-15T00:35:22 --enforcementcount 0 &gt;&gt;C:\Users\stu\Documents\GitHub\eaglep3-reporting\EC\2017-04-14-refined-times.txt</v>
      </c>
      <c r="AI155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{"issue":{"subject":"","project_id":79,"tracker_id":40,"status_id":1,"priority_id":2,"assigned_to_id":23,"start_date":"2017-04-15","description":"","custom_fields":[{"id":1,"name":"Subdivision","value":"EC"},{"id":4,"name":"Milepost","value":"23.3381"},{"id":17,"name":"Train ID","value":"241-14"},{"id":16,"name":"Locomotive ID","value":"4004"},{"id":130,"name":"Impact","value":""},{"id":150,"name":"Time of Event (Mountain Time)","value":"00:35:22"},{"id":151,"name":"Denver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59"/>
        <v>start /low /b %USERPROFILE%\Documents\GitHub\eaglep3\Utilities\DownloadLogsFromS3.py --loco 4004 --day 2017-04-15</v>
      </c>
      <c r="AN155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06:35:22"},{"id":29,"name":"Sharepoint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857</v>
      </c>
      <c r="B156" s="7">
        <v>4003</v>
      </c>
      <c r="C156" s="21" t="s">
        <v>214</v>
      </c>
      <c r="D156" s="21" t="s">
        <v>931</v>
      </c>
      <c r="E156" s="13">
        <v>42840.035405092596</v>
      </c>
      <c r="F156" s="13">
        <v>42840.039467592593</v>
      </c>
      <c r="G156" s="7">
        <v>2</v>
      </c>
      <c r="H156" s="21" t="s">
        <v>197</v>
      </c>
      <c r="I156" s="13">
        <v>42840.066504629627</v>
      </c>
      <c r="J156" s="7">
        <v>0</v>
      </c>
      <c r="K156" s="97" t="str">
        <f t="shared" si="42"/>
        <v>4003/4004</v>
      </c>
      <c r="L156" s="21" t="str">
        <f>VLOOKUP(A156,'Trips&amp;Operators'!$C$1:$G$99999,5,FALSE)</f>
        <v>STAMBAUGH JAMES</v>
      </c>
      <c r="M156" s="6">
        <f t="shared" si="43"/>
        <v>2.7037037034460809E-2</v>
      </c>
      <c r="N156" s="7">
        <f t="shared" si="44"/>
        <v>38.933333329623565</v>
      </c>
      <c r="O156" s="7"/>
      <c r="P156" s="7"/>
      <c r="Q156" s="22"/>
      <c r="R156" s="22"/>
      <c r="S156" s="31">
        <f t="shared" si="45"/>
        <v>1</v>
      </c>
      <c r="T156" s="46" t="str">
        <f t="shared" si="46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47"/>
        <v>https://d0f6bd738d7f1b3e5a7ca70fe4ff75f0.us-east-1.aws.found.io/app/kibana#/discover/Steve-Slow-Train-Analysis-(2080s-and-2083s)?_g=(refreshInterval:(display:Off,pause:!f,section:0,value:0),time:(from:'2017-04-14T23:50:59-0600',mode:absolute,to:'2017-04-15T02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3" t="str">
        <f t="shared" si="48"/>
        <v>N</v>
      </c>
      <c r="X156" s="183">
        <f t="shared" si="49"/>
        <v>1</v>
      </c>
      <c r="Y156" s="62">
        <f t="shared" si="50"/>
        <v>23.3079</v>
      </c>
      <c r="Z156" s="62">
        <f t="shared" si="51"/>
        <v>1.52E-2</v>
      </c>
      <c r="AA156" s="62">
        <f t="shared" si="52"/>
        <v>23.2927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3"/>
        <v>0242-14</v>
      </c>
      <c r="AE156" s="85" t="str">
        <f t="shared" si="54"/>
        <v>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 &amp; aws s3 cp s3://rtdc.mdm.uploadarchive.raw/RTDC4003/ "%USERPROFILE%\AppData\Local\Temp\OnboardLogs"\RTDC4003\2017-04-16 --exclude "*" --recursive --include "*20170416*" &amp; "%USERPROFILE%\Documents\GitHub\mrs-test-scripts\Headless Mode &amp; Sideloading\WalkAndUnGZ.bat" "%USERPROFILE%\AppData\Local\Temp\OnboardLogs"\RTDC4003\2017-04-16</v>
      </c>
      <c r="AF156" s="82" t="str">
        <f t="shared" si="55"/>
        <v>"C:\Program Files (x86)\AstroGrep\AstroGrep.exe" /e /r /s /spath="%USERPROFILE%\AppData\Local\Temp\OnboardLogs" /stypes="app*4003*20170415*" /stext=" 07:.+((SYSTEM_STATE.+slice.+state.+changed )|(ment ac)|(multiple cpu faults)|(system.+state.+changed )|(\[timeout)|(PRM\|1\|D)|(kpr)|(kdp)|(\|lc)|(penalty))"</v>
      </c>
      <c r="AG156" s="1" t="str">
        <f t="shared" si="56"/>
        <v>EC</v>
      </c>
      <c r="AH156" s="86" t="str">
        <f t="shared" si="57"/>
        <v>"%USERPROFILE%\Documents\GitHub\eaglep3\Utilities\RefineRTDCRunTimes.py" --tripid 242-14 --locoid 4003 --swversion DE.1.0.9.0 --startMP 204:233079 --initTime 2017-04-15T00:50:59 --startdatetime 2017-04-15T00:56:50 --delay 2 --endMP 204:152 --enddatetime 2017-04-15T01:35:46 --enforcementcount 0 &gt;&gt;C:\Users\stu\Documents\GitHub\eaglep3-reporting\EC\2017-04-14-refined-times.txt</v>
      </c>
      <c r="AI156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{"issue":{"subject":"","project_id":79,"tracker_id":40,"status_id":1,"priority_id":2,"assigned_to_id":23,"start_date":"2017-04-15","description":"","custom_fields":[{"id":1,"name":"Subdivision","value":"EC"},{"id":4,"name":"Milepost","value":"0.0152"},{"id":17,"name":"Train ID","value":"242-14"},{"id":16,"name":"Locomotive ID","value":"4003"},{"id":130,"name":"Impact","value":""},{"id":150,"name":"Time of Event (Mountain Time)","value":"01:35:46"},{"id":151,"name":"Denver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59"/>
        <v>start /low /b %USERPROFILE%\Documents\GitHub\eaglep3\Utilities\DownloadLogsFromS3.py --loco 4003 --day 2017-04-15</v>
      </c>
      <c r="AN156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855</v>
      </c>
      <c r="B157" s="7">
        <v>4010</v>
      </c>
      <c r="C157" s="21" t="s">
        <v>214</v>
      </c>
      <c r="D157" s="21" t="s">
        <v>891</v>
      </c>
      <c r="E157" s="13">
        <v>42840.010578703703</v>
      </c>
      <c r="F157" s="13">
        <v>42840.021064814813</v>
      </c>
      <c r="G157" s="7">
        <v>1</v>
      </c>
      <c r="H157" s="21" t="s">
        <v>490</v>
      </c>
      <c r="I157" s="13">
        <v>42840.048206018517</v>
      </c>
      <c r="J157" s="7">
        <v>0</v>
      </c>
      <c r="K157" s="97" t="str">
        <f t="shared" si="42"/>
        <v>4009/4010</v>
      </c>
      <c r="L157" s="21" t="str">
        <f>VLOOKUP(A157,'Trips&amp;Operators'!$C$1:$G$99999,5,FALSE)</f>
        <v>SWANSON BRYCE</v>
      </c>
      <c r="M157" s="6">
        <f t="shared" si="43"/>
        <v>2.7141203703649808E-2</v>
      </c>
      <c r="N157" s="7">
        <f t="shared" si="44"/>
        <v>39.083333333255723</v>
      </c>
      <c r="O157" s="7"/>
      <c r="P157" s="7"/>
      <c r="Q157" s="22"/>
      <c r="R157" s="22"/>
      <c r="S157" s="31">
        <f t="shared" si="45"/>
        <v>1</v>
      </c>
      <c r="T157" s="46" t="str">
        <f t="shared" si="46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47"/>
        <v>https://d0f6bd738d7f1b3e5a7ca70fe4ff75f0.us-east-1.aws.found.io/app/kibana#/discover/Steve-Slow-Train-Analysis-(2080s-and-2083s)?_g=(refreshInterval:(display:Off,pause:!f,section:0,value:0),time:(from:'2017-04-14T23:15:14-0600',mode:absolute,to:'2017-04-15T02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7" s="183" t="str">
        <f t="shared" si="48"/>
        <v>N</v>
      </c>
      <c r="X157" s="183">
        <f t="shared" si="49"/>
        <v>1</v>
      </c>
      <c r="Y157" s="62">
        <f t="shared" si="50"/>
        <v>4.4400000000000002E-2</v>
      </c>
      <c r="Z157" s="62">
        <f t="shared" si="51"/>
        <v>23.327999999999999</v>
      </c>
      <c r="AA157" s="62">
        <f t="shared" si="52"/>
        <v>23.2836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3"/>
        <v>0243-14</v>
      </c>
      <c r="AE157" s="85" t="str">
        <f t="shared" si="54"/>
        <v>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 &amp; aws s3 cp s3://rtdc.mdm.uploadarchive.raw/RTDC4010/ "%USERPROFILE%\AppData\Local\Temp\OnboardLogs"\RTDC4010\2017-04-16 --exclude "*" --recursive --include "*20170416*" &amp; "%USERPROFILE%\Documents\GitHub\mrs-test-scripts\Headless Mode &amp; Sideloading\WalkAndUnGZ.bat" "%USERPROFILE%\AppData\Local\Temp\OnboardLogs"\RTDC4010\2017-04-16</v>
      </c>
      <c r="AF157" s="82" t="str">
        <f t="shared" si="55"/>
        <v>"C:\Program Files (x86)\AstroGrep\AstroGrep.exe" /e /r /s /spath="%USERPROFILE%\AppData\Local\Temp\OnboardLogs" /stypes="app*4010*20170415*" /stext=" 07:.+((SYSTEM_STATE.+slice.+state.+changed )|(ment ac)|(multiple cpu faults)|(system.+state.+changed )|(\[timeout)|(PRM\|1\|D)|(kpr)|(kdp)|(\|lc)|(penalty))"</v>
      </c>
      <c r="AG157" s="1" t="str">
        <f t="shared" si="56"/>
        <v>EC</v>
      </c>
      <c r="AH157" s="86" t="str">
        <f t="shared" si="57"/>
        <v>"%USERPROFILE%\Documents\GitHub\eaglep3\Utilities\RefineRTDCRunTimes.py" --tripid 243-14 --locoid 4010 --swversion DE.1.0.9.0 --startMP 204:444 --initTime 2017-04-15T00:15:14 --startdatetime 2017-04-15T00:30:20 --delay 1 --endMP 204:233280 --enddatetime 2017-04-15T01:09:25 --enforcementcount 0 &gt;&gt;C:\Users\stu\Documents\GitHub\eaglep3-reporting\EC\2017-04-14-refined-times.txt</v>
      </c>
      <c r="AI157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{"issue":{"subject":"","project_id":79,"tracker_id":40,"status_id":1,"priority_id":2,"assigned_to_id":23,"start_date":"2017-04-15","description":"","custom_fields":[{"id":1,"name":"Subdivision","value":"EC"},{"id":4,"name":"Milepost","value":"23.328"},{"id":17,"name":"Train ID","value":"243-14"},{"id":16,"name":"Locomotive ID","value":"4010"},{"id":130,"name":"Impact","value":""},{"id":150,"name":"Time of Event (Mountain Time)","value":"01:09:25"},{"id":151,"name":"Denver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59"/>
        <v>start /low /b %USERPROFILE%\Documents\GitHub\eaglep3\Utilities\DownloadLogsFromS3.py --loco 4010 --day 2017-04-15</v>
      </c>
      <c r="AN157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07:09:25"},{"id":29,"name":"Sharepoint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860</v>
      </c>
      <c r="B158" s="7">
        <v>4009</v>
      </c>
      <c r="C158" s="21" t="s">
        <v>214</v>
      </c>
      <c r="D158" s="21" t="s">
        <v>889</v>
      </c>
      <c r="E158" s="13">
        <v>42840.05810185185</v>
      </c>
      <c r="F158" s="13">
        <v>42840.060069444444</v>
      </c>
      <c r="G158" s="7">
        <v>1</v>
      </c>
      <c r="H158" s="21" t="s">
        <v>489</v>
      </c>
      <c r="I158" s="13">
        <v>42840.087222222224</v>
      </c>
      <c r="J158" s="7">
        <v>0</v>
      </c>
      <c r="K158" s="97" t="str">
        <f t="shared" si="42"/>
        <v>4009/4010</v>
      </c>
      <c r="L158" s="21" t="str">
        <f>VLOOKUP(A158,'Trips&amp;Operators'!$C$1:$G$99999,5,FALSE)</f>
        <v>SWANSON BRYCE</v>
      </c>
      <c r="M158" s="6">
        <f t="shared" si="43"/>
        <v>2.715277778042946E-2</v>
      </c>
      <c r="N158" s="7">
        <f t="shared" si="44"/>
        <v>39.100000003818423</v>
      </c>
      <c r="O158" s="7"/>
      <c r="P158" s="7"/>
      <c r="Q158" s="22"/>
      <c r="R158" s="22"/>
      <c r="S158" s="31">
        <f t="shared" si="45"/>
        <v>1</v>
      </c>
      <c r="T158" s="46" t="str">
        <f t="shared" si="46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47"/>
        <v>https://d0f6bd738d7f1b3e5a7ca70fe4ff75f0.us-east-1.aws.found.io/app/kibana#/discover/Steve-Slow-Train-Analysis-(2080s-and-2083s)?_g=(refreshInterval:(display:Off,pause:!f,section:0,value:0),time:(from:'2017-04-15T00:23:40-0600',mode:absolute,to:'2017-04-15T03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183" t="str">
        <f t="shared" si="48"/>
        <v>N</v>
      </c>
      <c r="X158" s="183">
        <f t="shared" si="49"/>
        <v>1</v>
      </c>
      <c r="Y158" s="62">
        <f t="shared" si="50"/>
        <v>23.297899999999998</v>
      </c>
      <c r="Z158" s="62">
        <f t="shared" si="51"/>
        <v>1.4999999999999999E-2</v>
      </c>
      <c r="AA158" s="62">
        <f t="shared" si="52"/>
        <v>23.282899999999998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3"/>
        <v>0244-14</v>
      </c>
      <c r="AE158" s="85" t="str">
        <f t="shared" si="54"/>
        <v>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 &amp; aws s3 cp s3://rtdc.mdm.uploadarchive.raw/RTDC4009/ "%USERPROFILE%\AppData\Local\Temp\OnboardLogs"\RTDC4009\2017-04-16 --exclude "*" --recursive --include "*20170416*" &amp; "%USERPROFILE%\Documents\GitHub\mrs-test-scripts\Headless Mode &amp; Sideloading\WalkAndUnGZ.bat" "%USERPROFILE%\AppData\Local\Temp\OnboardLogs"\RTDC4009\2017-04-16</v>
      </c>
      <c r="AF158" s="82" t="str">
        <f t="shared" si="55"/>
        <v>"C:\Program Files (x86)\AstroGrep\AstroGrep.exe" /e /r /s /spath="%USERPROFILE%\AppData\Local\Temp\OnboardLogs" /stypes="app*4009*20170415*" /stext=" 08:.+((SYSTEM_STATE.+slice.+state.+changed )|(ment ac)|(multiple cpu faults)|(system.+state.+changed )|(\[timeout)|(PRM\|1\|D)|(kpr)|(kdp)|(\|lc)|(penalty))"</v>
      </c>
      <c r="AG158" s="1" t="str">
        <f t="shared" si="56"/>
        <v>EC</v>
      </c>
      <c r="AH158" s="86" t="str">
        <f t="shared" si="57"/>
        <v>"%USERPROFILE%\Documents\GitHub\eaglep3\Utilities\RefineRTDCRunTimes.py" --tripid 244-14 --locoid 4009 --swversion DE.1.0.9.0 --startMP 204:232979 --initTime 2017-04-15T01:23:40 --startdatetime 2017-04-15T01:26:30 --delay 1 --endMP 204:150 --enddatetime 2017-04-15T02:05:36 --enforcementcount 0 &gt;&gt;C:\Users\stu\Documents\GitHub\eaglep3-reporting\EC\2017-04-14-refined-times.txt</v>
      </c>
      <c r="AI158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ID","value":"244-14"},{"id":16,"name":"Locomotive ID","value":"4009"},{"id":130,"name":"Impact","value":""},{"id":150,"name":"Time of Event (Mountain Time)","value":"02:05:36"},{"id":151,"name":"Denver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59"/>
        <v>start /low /b %USERPROFILE%\Documents\GitHub\eaglep3\Utilities\DownloadLogsFromS3.py --loco 4009 --day 2017-04-15</v>
      </c>
      <c r="AN158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3" t="s">
        <v>858</v>
      </c>
      <c r="B159" s="7">
        <v>4040</v>
      </c>
      <c r="C159" s="21" t="s">
        <v>214</v>
      </c>
      <c r="D159" s="21" t="s">
        <v>408</v>
      </c>
      <c r="E159" s="13">
        <v>42840.03633101852</v>
      </c>
      <c r="F159" s="13">
        <v>42840.041828703703</v>
      </c>
      <c r="G159" s="7">
        <v>1</v>
      </c>
      <c r="H159" s="21" t="s">
        <v>407</v>
      </c>
      <c r="I159" s="13">
        <v>42840.06627314815</v>
      </c>
      <c r="J159" s="7">
        <v>0</v>
      </c>
      <c r="K159" s="97" t="str">
        <f t="shared" si="42"/>
        <v>4039/4040</v>
      </c>
      <c r="L159" s="21" t="str">
        <f>VLOOKUP(A159,'Trips&amp;Operators'!$C$1:$G$99999,5,FALSE)</f>
        <v>BROWN JACOB</v>
      </c>
      <c r="M159" s="6">
        <f t="shared" si="43"/>
        <v>2.4444444446999114E-2</v>
      </c>
      <c r="N159" s="7">
        <f t="shared" si="44"/>
        <v>35.200000003678724</v>
      </c>
      <c r="O159" s="7"/>
      <c r="P159" s="7"/>
      <c r="Q159" s="22"/>
      <c r="R159" s="22"/>
      <c r="S159" s="31">
        <f t="shared" si="45"/>
        <v>1</v>
      </c>
      <c r="T159" s="46" t="str">
        <f t="shared" si="46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 t="shared" si="47"/>
        <v>https://d0f6bd738d7f1b3e5a7ca70fe4ff75f0.us-east-1.aws.found.io/app/kibana#/discover/Steve-Slow-Train-Analysis-(2080s-and-2083s)?_g=(refreshInterval:(display:Off,pause:!f,section:0,value:0),time:(from:'2017-04-14T23:52:19-0600',mode:absolute,to:'2017-04-15T02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183" t="str">
        <f t="shared" si="48"/>
        <v>N</v>
      </c>
      <c r="X159" s="183">
        <f t="shared" si="49"/>
        <v>1</v>
      </c>
      <c r="Y159" s="62">
        <f t="shared" si="50"/>
        <v>4.6199999999999998E-2</v>
      </c>
      <c r="Z159" s="62">
        <f t="shared" si="51"/>
        <v>23.330400000000001</v>
      </c>
      <c r="AA159" s="62">
        <f t="shared" si="52"/>
        <v>23.284200000000002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3"/>
        <v>0245-14</v>
      </c>
      <c r="AE159" s="85" t="str">
        <f t="shared" si="54"/>
        <v>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 &amp; 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</v>
      </c>
      <c r="AF159" s="82" t="str">
        <f t="shared" si="55"/>
        <v>"C:\Program Files (x86)\AstroGrep\AstroGrep.exe" /e /r /s /spath="%USERPROFILE%\AppData\Local\Temp\OnboardLogs" /stypes="app*4040*20170415*" /stext=" 07:.+((SYSTEM_STATE.+slice.+state.+changed )|(ment ac)|(multiple cpu faults)|(system.+state.+changed )|(\[timeout)|(PRM\|1\|D)|(kpr)|(kdp)|(\|lc)|(penalty))"</v>
      </c>
      <c r="AG159" s="1" t="str">
        <f t="shared" si="56"/>
        <v>EC</v>
      </c>
      <c r="AH159" s="86" t="str">
        <f t="shared" si="57"/>
        <v>"%USERPROFILE%\Documents\GitHub\eaglep3\Utilities\RefineRTDCRunTimes.py" --tripid 245-14 --locoid 4040 --swversion DE.1.0.9.0 --startMP 204:462 --initTime 2017-04-15T00:52:19 --startdatetime 2017-04-15T01:00:14 --delay 1 --endMP 204:233304 --enddatetime 2017-04-15T01:35:26 --enforcementcount 0 &gt;&gt;C:\Users\stu\Documents\GitHub\eaglep3-reporting\EC\2017-04-14-refined-times.txt</v>
      </c>
      <c r="AI159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{"issue":{"subject":"","project_id":79,"tracker_id":40,"status_id":1,"priority_id":2,"assigned_to_id":23,"start_date":"2017-04-15","description":"","custom_fields":[{"id":1,"name":"Subdivision","value":"EC"},{"id":4,"name":"Milepost","value":"23.3304"},{"id":17,"name":"Train ID","value":"245-14"},{"id":16,"name":"Locomotive ID","value":"4040"},{"id":130,"name":"Impact","value":""},{"id":150,"name":"Time of Event (Mountain Time)","value":"01:35:26"},{"id":151,"name":"Denver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8"/>
      <c r="AL159" s="48"/>
      <c r="AM159" s="150" t="str">
        <f t="shared" si="59"/>
        <v>start /low /b %USERPROFILE%\Documents\GitHub\eaglep3\Utilities\DownloadLogsFromS3.py --loco 4040 --day 2017-04-15</v>
      </c>
      <c r="AN159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862</v>
      </c>
      <c r="B160" s="7">
        <v>4039</v>
      </c>
      <c r="C160" s="21" t="s">
        <v>214</v>
      </c>
      <c r="D160" s="21" t="s">
        <v>874</v>
      </c>
      <c r="E160" s="13">
        <v>42840.072175925925</v>
      </c>
      <c r="F160" s="13">
        <v>42840.080659722225</v>
      </c>
      <c r="G160" s="7">
        <v>2</v>
      </c>
      <c r="H160" s="21" t="s">
        <v>489</v>
      </c>
      <c r="I160" s="13">
        <v>42840.108472222222</v>
      </c>
      <c r="J160" s="7">
        <v>0</v>
      </c>
      <c r="K160" s="97" t="str">
        <f t="shared" si="42"/>
        <v>4039/4040</v>
      </c>
      <c r="L160" s="21" t="str">
        <f>VLOOKUP(A160,'Trips&amp;Operators'!$C$1:$G$99999,5,FALSE)</f>
        <v>BROWN JACOB</v>
      </c>
      <c r="M160" s="6">
        <f t="shared" si="43"/>
        <v>2.7812499996798579E-2</v>
      </c>
      <c r="N160" s="7">
        <f t="shared" si="44"/>
        <v>40.049999995389953</v>
      </c>
      <c r="O160" s="7"/>
      <c r="P160" s="7"/>
      <c r="Q160" s="22"/>
      <c r="R160" s="22"/>
      <c r="S160" s="31">
        <f t="shared" si="45"/>
        <v>1</v>
      </c>
      <c r="T160" s="46" t="str">
        <f t="shared" si="46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2" t="str">
        <f t="shared" si="47"/>
        <v>https://d0f6bd738d7f1b3e5a7ca70fe4ff75f0.us-east-1.aws.found.io/app/kibana#/discover/Steve-Slow-Train-Analysis-(2080s-and-2083s)?_g=(refreshInterval:(display:Off,pause:!f,section:0,value:0),time:(from:'2017-04-15T00:43:56-0600',mode:absolute,to:'2017-04-15T03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183" t="str">
        <f t="shared" si="48"/>
        <v>N</v>
      </c>
      <c r="X160" s="183">
        <f t="shared" si="49"/>
        <v>1</v>
      </c>
      <c r="Y160" s="62">
        <f t="shared" si="50"/>
        <v>23.297000000000001</v>
      </c>
      <c r="Z160" s="62">
        <f t="shared" si="51"/>
        <v>1.4999999999999999E-2</v>
      </c>
      <c r="AA160" s="62">
        <f t="shared" si="52"/>
        <v>23.282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3"/>
        <v>0246-14</v>
      </c>
      <c r="AE160" s="85" t="str">
        <f t="shared" si="54"/>
        <v>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 &amp; 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</v>
      </c>
      <c r="AF160" s="82" t="str">
        <f t="shared" si="55"/>
        <v>"C:\Program Files (x86)\AstroGrep\AstroGrep.exe" /e /r /s /spath="%USERPROFILE%\AppData\Local\Temp\OnboardLogs" /stypes="app*4039*20170415*" /stext=" 08:.+((SYSTEM_STATE.+slice.+state.+changed )|(ment ac)|(multiple cpu faults)|(system.+state.+changed )|(\[timeout)|(PRM\|1\|D)|(kpr)|(kdp)|(\|lc)|(penalty))"</v>
      </c>
      <c r="AG160" s="1" t="str">
        <f t="shared" si="56"/>
        <v>EC</v>
      </c>
      <c r="AH160" s="86" t="str">
        <f t="shared" si="57"/>
        <v>"%USERPROFILE%\Documents\GitHub\eaglep3\Utilities\RefineRTDCRunTimes.py" --tripid 246-14 --locoid 4039 --swversion DE.1.0.9.0 --startMP 204:232970 --initTime 2017-04-15T01:43:56 --startdatetime 2017-04-15T01:56:09 --delay 2 --endMP 204:150 --enddatetime 2017-04-15T02:36:12 --enforcementcount 0 &gt;&gt;C:\Users\stu\Documents\GitHub\eaglep3-reporting\EC\2017-04-14-refined-times.txt</v>
      </c>
      <c r="AI160" s="104" t="str">
        <f t="shared" si="58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ID","value":"246-14"},{"id":16,"name":"Locomotive ID","value":"4039"},{"id":130,"name":"Impact","value":""},{"id":150,"name":"Time of Event (Mountain Time)","value":"02:36:12"},{"id":151,"name":"Denver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59"/>
        <v>start /low /b %USERPROFILE%\Documents\GitHub\eaglep3\Utilities\DownloadLogsFromS3.py --loco 4039 --day 2017-04-15</v>
      </c>
      <c r="AN160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676</v>
      </c>
      <c r="B161" s="7">
        <v>4027</v>
      </c>
      <c r="C161" s="21" t="s">
        <v>214</v>
      </c>
      <c r="D161" s="21" t="s">
        <v>955</v>
      </c>
      <c r="E161" s="13">
        <v>42839.212685185186</v>
      </c>
      <c r="F161" s="13">
        <v>42839.214548611111</v>
      </c>
      <c r="G161" s="7">
        <v>2</v>
      </c>
      <c r="H161" s="21" t="s">
        <v>956</v>
      </c>
      <c r="I161" s="13">
        <v>42839.22556712963</v>
      </c>
      <c r="J161" s="7">
        <v>0</v>
      </c>
      <c r="K161" s="97" t="str">
        <f t="shared" si="42"/>
        <v>4027/4028</v>
      </c>
      <c r="L161" s="21" t="str">
        <f>VLOOKUP(A161,'Trips&amp;Operators'!$C$1:$G$99999,5,FALSE)</f>
        <v>GEBRETEKLE DAGNEW</v>
      </c>
      <c r="M161" s="6">
        <f t="shared" si="43"/>
        <v>1.1018518518540077E-2</v>
      </c>
      <c r="N161" s="7">
        <f t="shared" si="44"/>
        <v>15.866666666697711</v>
      </c>
      <c r="O161" s="7"/>
      <c r="P161" s="7"/>
      <c r="Q161" s="22"/>
      <c r="R161" s="22"/>
      <c r="S161" s="31">
        <f t="shared" si="45"/>
        <v>1</v>
      </c>
      <c r="T161" s="46" t="str">
        <f t="shared" si="46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47"/>
        <v>https://d0f6bd738d7f1b3e5a7ca70fe4ff75f0.us-east-1.aws.found.io/app/kibana#/discover/Steve-Slow-Train-Analysis-(2080s-and-2083s)?_g=(refreshInterval:(display:Off,pause:!f,section:0,value:0),time:(from:'2017-04-14T04:06:16-0600',mode:absolute,to:'2017-04-14T06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83" t="str">
        <f t="shared" si="48"/>
        <v>N</v>
      </c>
      <c r="X161" s="183">
        <f t="shared" si="49"/>
        <v>554</v>
      </c>
      <c r="Y161" s="62">
        <f t="shared" si="50"/>
        <v>5.8677000000000001</v>
      </c>
      <c r="Z161" s="62">
        <f t="shared" si="51"/>
        <v>6.9199999999999998E-2</v>
      </c>
      <c r="AA161" s="62">
        <f t="shared" si="52"/>
        <v>5.7984999999999998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3"/>
        <v>0800-14</v>
      </c>
      <c r="AE161" s="85" t="str">
        <f t="shared" si="54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161" s="82" t="str">
        <f t="shared" si="55"/>
        <v>"C:\Program Files (x86)\AstroGrep\AstroGrep.exe" /e /r /s /spath="%USERPROFILE%\AppData\Local\Temp\OnboardLogs" /stypes="app*4027*20170414*" /stext=" 11:.+((SYSTEM_STATE.+slice.+state.+changed )|(ment ac)|(multiple cpu faults)|(system.+state.+changed )|(\[timeout)|(PRM\|1\|D)|(kpr)|(kdp)|(\|lc)|(penalty))"</v>
      </c>
      <c r="AG161" s="1" t="str">
        <f t="shared" si="56"/>
        <v>NW</v>
      </c>
      <c r="AH161" s="86" t="str">
        <f t="shared" si="57"/>
        <v>"%USERPROFILE%\Documents\GitHub\eaglep3\Utilities\RefineRTDCRunTimes.py" --tripid 800-14 --locoid 4027 --swversion DE.1.0.9.0 --startMP 300:58677 --initTime 2017-04-14T05:06:16 --startdatetime 2017-04-14T05:08:57 --delay 2 --endMP 204:692 --enddatetime 2017-04-14T05:24:49 --enforcementcount 0 &gt;&gt;C:\Users\stu\Documents\GitHub\eaglep3-reporting\EC\2017-04-14-refined-times.txt</v>
      </c>
      <c r="AI161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{"issue":{"subject":"","project_id":79,"tracker_id":40,"status_id":1,"priority_id":2,"assigned_to_id":23,"start_date":"2017-04-14","description":"","custom_fields":[{"id":1,"name":"Subdivision","value":"NW"},{"id":4,"name":"Milepost","value":"0.0692"},{"id":17,"name":"Train ID","value":"800-14"},{"id":16,"name":"Locomotive ID","value":"4027"},{"id":130,"name":"Impact","value":""},{"id":150,"name":"Time of Event (Mountain Time)","value":"05:24:49"},{"id":151,"name":"Denver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59"/>
        <v>start /low /b %USERPROFILE%\Documents\GitHub\eaglep3\Utilities\DownloadLogsFromS3.py --loco 4027 --day 2017-04-14</v>
      </c>
      <c r="AN161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677</v>
      </c>
      <c r="B162" s="7">
        <v>4028</v>
      </c>
      <c r="C162" s="21" t="s">
        <v>214</v>
      </c>
      <c r="D162" s="21" t="s">
        <v>624</v>
      </c>
      <c r="E162" s="13">
        <v>42839.227210648147</v>
      </c>
      <c r="F162" s="13">
        <v>42839.243923611109</v>
      </c>
      <c r="G162" s="7">
        <v>1</v>
      </c>
      <c r="H162" s="21" t="s">
        <v>615</v>
      </c>
      <c r="I162" s="13">
        <v>42839.252881944441</v>
      </c>
      <c r="J162" s="7">
        <v>0</v>
      </c>
      <c r="K162" s="97" t="str">
        <f t="shared" si="42"/>
        <v>4027/4028</v>
      </c>
      <c r="L162" s="21" t="str">
        <f>VLOOKUP(A162,'Trips&amp;Operators'!$C$1:$G$99999,5,FALSE)</f>
        <v>GEBRETEKLE DAGNEW</v>
      </c>
      <c r="M162" s="6">
        <f t="shared" si="43"/>
        <v>8.9583333319751546E-3</v>
      </c>
      <c r="N162" s="7">
        <f t="shared" si="44"/>
        <v>12.899999998044223</v>
      </c>
      <c r="O162" s="7"/>
      <c r="P162" s="7"/>
      <c r="Q162" s="22"/>
      <c r="R162" s="22"/>
      <c r="S162" s="31">
        <f t="shared" si="45"/>
        <v>1</v>
      </c>
      <c r="T162" s="46" t="str">
        <f t="shared" si="46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47"/>
        <v>https://d0f6bd738d7f1b3e5a7ca70fe4ff75f0.us-east-1.aws.found.io/app/kibana#/discover/Steve-Slow-Train-Analysis-(2080s-and-2083s)?_g=(refreshInterval:(display:Off,pause:!f,section:0,value:0),time:(from:'2017-04-14T04:27:11-0600',mode:absolute,to:'2017-04-14T07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183" t="str">
        <f t="shared" si="48"/>
        <v>N</v>
      </c>
      <c r="X162" s="183">
        <f t="shared" si="49"/>
        <v>1</v>
      </c>
      <c r="Y162" s="62">
        <f t="shared" si="50"/>
        <v>9.7900000000000001E-2</v>
      </c>
      <c r="Z162" s="62">
        <f t="shared" si="51"/>
        <v>5.8959999999999999</v>
      </c>
      <c r="AA162" s="62">
        <f t="shared" si="52"/>
        <v>5.7980999999999998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3"/>
        <v>0801-14</v>
      </c>
      <c r="AE162" s="85" t="str">
        <f t="shared" si="54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162" s="82" t="str">
        <f t="shared" si="55"/>
        <v>"C:\Program Files (x86)\AstroGrep\AstroGrep.exe" /e /r /s /spath="%USERPROFILE%\AppData\Local\Temp\OnboardLogs" /stypes="app*4028*20170414*" /stext=" 12:.+((SYSTEM_STATE.+slice.+state.+changed )|(ment ac)|(multiple cpu faults)|(system.+state.+changed )|(\[timeout)|(PRM\|1\|D)|(kpr)|(kdp)|(\|lc)|(penalty))"</v>
      </c>
      <c r="AG162" s="1" t="str">
        <f t="shared" si="56"/>
        <v>NW</v>
      </c>
      <c r="AH162" s="86" t="str">
        <f t="shared" si="57"/>
        <v>"%USERPROFILE%\Documents\GitHub\eaglep3\Utilities\RefineRTDCRunTimes.py" --tripid 801-14 --locoid 4028 --swversion DE.1.0.9.0 --startMP 204:979 --initTime 2017-04-14T05:27:11 --startdatetime 2017-04-14T05:51:15 --delay 1 --endMP 300:58960 --enddatetime 2017-04-14T06:04:09 --enforcementcount 0 &gt;&gt;C:\Users\stu\Documents\GitHub\eaglep3-reporting\EC\2017-04-14-refined-times.txt</v>
      </c>
      <c r="AI162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{"issue":{"subject":"","project_id":79,"tracker_id":40,"status_id":1,"priority_id":2,"assigned_to_id":23,"start_date":"2017-04-14","description":"","custom_fields":[{"id":1,"name":"Subdivision","value":"NW"},{"id":4,"name":"Milepost","value":"5.896"},{"id":17,"name":"Train ID","value":"801-14"},{"id":16,"name":"Locomotive ID","value":"4028"},{"id":130,"name":"Impact","value":""},{"id":150,"name":"Time of Event (Mountain Time)","value":"06:04:09"},{"id":151,"name":"Denver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59"/>
        <v>start /low /b %USERPROFILE%\Documents\GitHub\eaglep3\Utilities\DownloadLogsFromS3.py --loco 4028 --day 2017-04-14</v>
      </c>
      <c r="AN162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684</v>
      </c>
      <c r="B163" s="7">
        <v>4027</v>
      </c>
      <c r="C163" s="21" t="s">
        <v>214</v>
      </c>
      <c r="D163" s="21" t="s">
        <v>957</v>
      </c>
      <c r="E163" s="13">
        <v>42839.254641203705</v>
      </c>
      <c r="F163" s="13">
        <v>42839.256203703706</v>
      </c>
      <c r="G163" s="7">
        <v>1</v>
      </c>
      <c r="H163" s="21" t="s">
        <v>958</v>
      </c>
      <c r="I163" s="13">
        <v>42839.267476851855</v>
      </c>
      <c r="J163" s="7">
        <v>0</v>
      </c>
      <c r="K163" s="97" t="str">
        <f t="shared" si="42"/>
        <v>4027/4028</v>
      </c>
      <c r="L163" s="21" t="str">
        <f>VLOOKUP(A163,'Trips&amp;Operators'!$C$1:$G$99999,5,FALSE)</f>
        <v>GEBRETEKLE DAGNEW</v>
      </c>
      <c r="M163" s="6">
        <f t="shared" si="43"/>
        <v>1.1273148149484769E-2</v>
      </c>
      <c r="N163" s="7">
        <f t="shared" si="44"/>
        <v>16.233333335258067</v>
      </c>
      <c r="O163" s="7"/>
      <c r="P163" s="7"/>
      <c r="Q163" s="22"/>
      <c r="R163" s="22"/>
      <c r="S163" s="31">
        <f t="shared" si="45"/>
        <v>1</v>
      </c>
      <c r="T163" s="46" t="str">
        <f t="shared" si="46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47"/>
        <v>https://d0f6bd738d7f1b3e5a7ca70fe4ff75f0.us-east-1.aws.found.io/app/kibana#/discover/Steve-Slow-Train-Analysis-(2080s-and-2083s)?_g=(refreshInterval:(display:Off,pause:!f,section:0,value:0),time:(from:'2017-04-14T05:06:41-0600',mode:absolute,to:'2017-04-14T07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183" t="str">
        <f t="shared" si="48"/>
        <v>N</v>
      </c>
      <c r="X163" s="183">
        <f t="shared" si="49"/>
        <v>1</v>
      </c>
      <c r="Y163" s="62">
        <f t="shared" si="50"/>
        <v>5.8654999999999999</v>
      </c>
      <c r="Z163" s="62">
        <f t="shared" si="51"/>
        <v>7.1199999999999999E-2</v>
      </c>
      <c r="AA163" s="62">
        <f t="shared" si="52"/>
        <v>5.7942999999999998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3"/>
        <v>0802-14</v>
      </c>
      <c r="AE163" s="85" t="str">
        <f t="shared" si="54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163" s="82" t="str">
        <f t="shared" si="55"/>
        <v>"C:\Program Files (x86)\AstroGrep\AstroGrep.exe" /e /r /s /spath="%USERPROFILE%\AppData\Local\Temp\OnboardLogs" /stypes="app*4027*20170414*" /stext=" 12:.+((SYSTEM_STATE.+slice.+state.+changed )|(ment ac)|(multiple cpu faults)|(system.+state.+changed )|(\[timeout)|(PRM\|1\|D)|(kpr)|(kdp)|(\|lc)|(penalty))"</v>
      </c>
      <c r="AG163" s="1" t="str">
        <f t="shared" si="56"/>
        <v>NW</v>
      </c>
      <c r="AH163" s="86" t="str">
        <f t="shared" si="57"/>
        <v>"%USERPROFILE%\Documents\GitHub\eaglep3\Utilities\RefineRTDCRunTimes.py" --tripid 802-14 --locoid 4027 --swversion DE.1.0.9.0 --startMP 300:58655 --initTime 2017-04-14T06:06:41 --startdatetime 2017-04-14T06:08:56 --delay 1 --endMP 204:712 --enddatetime 2017-04-14T06:25:10 --enforcementcount 0 &gt;&gt;C:\Users\stu\Documents\GitHub\eaglep3-reporting\EC\2017-04-14-refined-times.txt</v>
      </c>
      <c r="AI163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{"issue":{"subject":"","project_id":79,"tracker_id":40,"status_id":1,"priority_id":2,"assigned_to_id":23,"start_date":"2017-04-14","description":"","custom_fields":[{"id":1,"name":"Subdivision","value":"NW"},{"id":4,"name":"Milepost","value":"0.0712"},{"id":17,"name":"Train ID","value":"802-14"},{"id":16,"name":"Locomotive ID","value":"4027"},{"id":130,"name":"Impact","value":""},{"id":150,"name":"Time of Event (Mountain Time)","value":"06:25:10"},{"id":151,"name":"Denver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9"/>
        <v>start /low /b %USERPROFILE%\Documents\GitHub\eaglep3\Utilities\DownloadLogsFromS3.py --loco 4027 --day 2017-04-14</v>
      </c>
      <c r="AN163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685</v>
      </c>
      <c r="B164" s="7">
        <v>4054</v>
      </c>
      <c r="C164" s="21" t="s">
        <v>214</v>
      </c>
      <c r="D164" s="21" t="s">
        <v>959</v>
      </c>
      <c r="E164" s="13">
        <v>42839.256354166668</v>
      </c>
      <c r="F164" s="13">
        <v>42839.264837962961</v>
      </c>
      <c r="G164" s="7">
        <v>1</v>
      </c>
      <c r="H164" s="21" t="s">
        <v>960</v>
      </c>
      <c r="I164" s="13">
        <v>42839.27443287037</v>
      </c>
      <c r="J164" s="7">
        <v>0</v>
      </c>
      <c r="K164" s="97" t="str">
        <f t="shared" si="42"/>
        <v>4053/4054</v>
      </c>
      <c r="L164" s="21" t="str">
        <f>VLOOKUP(A164,'Trips&amp;Operators'!$C$1:$G$99999,5,FALSE)</f>
        <v>SHOOK JOHN</v>
      </c>
      <c r="M164" s="6">
        <f t="shared" si="43"/>
        <v>9.5949074093368836E-3</v>
      </c>
      <c r="N164" s="7">
        <f t="shared" si="44"/>
        <v>13.816666669445112</v>
      </c>
      <c r="O164" s="7"/>
      <c r="P164" s="7"/>
      <c r="Q164" s="22"/>
      <c r="R164" s="22"/>
      <c r="S164" s="31">
        <f t="shared" si="45"/>
        <v>1</v>
      </c>
      <c r="T164" s="46" t="str">
        <f t="shared" si="46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47"/>
        <v>https://d0f6bd738d7f1b3e5a7ca70fe4ff75f0.us-east-1.aws.found.io/app/kibana#/discover/Steve-Slow-Train-Analysis-(2080s-and-2083s)?_g=(refreshInterval:(display:Off,pause:!f,section:0,value:0),time:(from:'2017-04-14T05:09:09-0600',mode:absolute,to:'2017-04-14T07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4" s="183" t="str">
        <f t="shared" si="48"/>
        <v>N</v>
      </c>
      <c r="X164" s="183">
        <f t="shared" si="49"/>
        <v>1</v>
      </c>
      <c r="Y164" s="62">
        <f t="shared" si="50"/>
        <v>0.1014</v>
      </c>
      <c r="Z164" s="62">
        <f t="shared" si="51"/>
        <v>5.8982000000000001</v>
      </c>
      <c r="AA164" s="62">
        <f t="shared" si="52"/>
        <v>5.7968000000000002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3"/>
        <v>0803-14</v>
      </c>
      <c r="AE164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64" s="82" t="str">
        <f t="shared" si="55"/>
        <v>"C:\Program Files (x86)\AstroGrep\AstroGrep.exe" /e /r /s /spath="%USERPROFILE%\AppData\Local\Temp\OnboardLogs" /stypes="app*4054*20170414*" /stext=" 12:.+((SYSTEM_STATE.+slice.+state.+changed )|(ment ac)|(multiple cpu faults)|(system.+state.+changed )|(\[timeout)|(PRM\|1\|D)|(kpr)|(kdp)|(\|lc)|(penalty))"</v>
      </c>
      <c r="AG164" s="1" t="str">
        <f t="shared" si="56"/>
        <v>NW</v>
      </c>
      <c r="AH164" s="86" t="str">
        <f t="shared" si="57"/>
        <v>"%USERPROFILE%\Documents\GitHub\eaglep3\Utilities\RefineRTDCRunTimes.py" --tripid 803-14 --locoid 4054 --swversion DE.1.0.9.0 --startMP 204:1014 --initTime 2017-04-14T06:09:09 --startdatetime 2017-04-14T06:21:22 --delay 1 --endMP 300:58982 --enddatetime 2017-04-14T06:35:11 --enforcementcount 0 &gt;&gt;C:\Users\stu\Documents\GitHub\eaglep3-reporting\EC\2017-04-14-refined-times.txt</v>
      </c>
      <c r="AI164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{"issue":{"subject":"","project_id":79,"tracker_id":40,"status_id":1,"priority_id":2,"assigned_to_id":23,"start_date":"2017-04-14","description":"","custom_fields":[{"id":1,"name":"Subdivision","value":"NW"},{"id":4,"name":"Milepost","value":"5.8982"},{"id":17,"name":"Train ID","value":"803-14"},{"id":16,"name":"Locomotive ID","value":"4054"},{"id":130,"name":"Impact","value":""},{"id":150,"name":"Time of Event (Mountain Time)","value":"06:35:11"},{"id":151,"name":"Denver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59"/>
        <v>start /low /b %USERPROFILE%\Documents\GitHub\eaglep3\Utilities\DownloadLogsFromS3.py --loco 4054 --day 2017-04-14</v>
      </c>
      <c r="AN164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690</v>
      </c>
      <c r="B165" s="7">
        <v>4053</v>
      </c>
      <c r="C165" s="21" t="s">
        <v>214</v>
      </c>
      <c r="D165" s="21" t="s">
        <v>528</v>
      </c>
      <c r="E165" s="13">
        <v>42839.276284722226</v>
      </c>
      <c r="F165" s="13">
        <v>42839.278356481482</v>
      </c>
      <c r="G165" s="7">
        <v>1</v>
      </c>
      <c r="H165" s="21" t="s">
        <v>961</v>
      </c>
      <c r="I165" s="13">
        <v>42839.289097222223</v>
      </c>
      <c r="J165" s="7">
        <v>0</v>
      </c>
      <c r="K165" s="97" t="str">
        <f t="shared" si="42"/>
        <v>4053/4054</v>
      </c>
      <c r="L165" s="21" t="str">
        <f>VLOOKUP(A165,'Trips&amp;Operators'!$C$1:$G$99999,5,FALSE)</f>
        <v>SHOOK JOHN</v>
      </c>
      <c r="M165" s="6">
        <f t="shared" si="43"/>
        <v>1.0740740741312038E-2</v>
      </c>
      <c r="N165" s="7">
        <f t="shared" si="44"/>
        <v>15.466666667489335</v>
      </c>
      <c r="O165" s="7"/>
      <c r="P165" s="7"/>
      <c r="Q165" s="22"/>
      <c r="R165" s="22"/>
      <c r="S165" s="31">
        <f t="shared" si="45"/>
        <v>1</v>
      </c>
      <c r="T165" s="46" t="str">
        <f t="shared" si="46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47"/>
        <v>https://d0f6bd738d7f1b3e5a7ca70fe4ff75f0.us-east-1.aws.found.io/app/kibana#/discover/Steve-Slow-Train-Analysis-(2080s-and-2083s)?_g=(refreshInterval:(display:Off,pause:!f,section:0,value:0),time:(from:'2017-04-14T05:37:51-0600',mode:absolute,to:'2017-04-14T07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5" s="183" t="str">
        <f t="shared" si="48"/>
        <v>N</v>
      </c>
      <c r="X165" s="183">
        <f t="shared" si="49"/>
        <v>1</v>
      </c>
      <c r="Y165" s="62">
        <f t="shared" si="50"/>
        <v>5.867</v>
      </c>
      <c r="Z165" s="62">
        <f t="shared" si="51"/>
        <v>7.4999999999999997E-2</v>
      </c>
      <c r="AA165" s="62">
        <f t="shared" si="52"/>
        <v>5.7919999999999998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3"/>
        <v>0804-14</v>
      </c>
      <c r="AE165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65" s="82" t="str">
        <f t="shared" si="55"/>
        <v>"C:\Program Files (x86)\AstroGrep\AstroGrep.exe" /e /r /s /spath="%USERPROFILE%\AppData\Local\Temp\OnboardLogs" /stypes="app*4053*20170414*" /stext=" 12:.+((SYSTEM_STATE.+slice.+state.+changed )|(ment ac)|(multiple cpu faults)|(system.+state.+changed )|(\[timeout)|(PRM\|1\|D)|(kpr)|(kdp)|(\|lc)|(penalty))"</v>
      </c>
      <c r="AG165" s="1" t="str">
        <f t="shared" si="56"/>
        <v>NW</v>
      </c>
      <c r="AH165" s="86" t="str">
        <f t="shared" si="57"/>
        <v>"%USERPROFILE%\Documents\GitHub\eaglep3\Utilities\RefineRTDCRunTimes.py" --tripid 804-14 --locoid 4053 --swversion DE.1.0.9.0 --startMP 300:58670 --initTime 2017-04-14T06:37:51 --startdatetime 2017-04-14T06:40:50 --delay 1 --endMP 204:750 --enddatetime 2017-04-14T06:56:18 --enforcementcount 0 &gt;&gt;C:\Users\stu\Documents\GitHub\eaglep3-reporting\EC\2017-04-14-refined-times.txt</v>
      </c>
      <c r="AI165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{"issue":{"subject":"","project_id":79,"tracker_id":40,"status_id":1,"priority_id":2,"assigned_to_id":23,"start_date":"2017-04-14","description":"","custom_fields":[{"id":1,"name":"Subdivision","value":"NW"},{"id":4,"name":"Milepost","value":"0.075"},{"id":17,"name":"Train ID","value":"804-14"},{"id":16,"name":"Locomotive ID","value":"4053"},{"id":130,"name":"Impact","value":""},{"id":150,"name":"Time of Event (Mountain Time)","value":"06:56:18"},{"id":151,"name":"Denver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59"/>
        <v>start /low /b %USERPROFILE%\Documents\GitHub\eaglep3\Utilities\DownloadLogsFromS3.py --loco 4053 --day 2017-04-14</v>
      </c>
      <c r="AN165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631</v>
      </c>
      <c r="B166" s="7">
        <v>4028</v>
      </c>
      <c r="C166" s="21" t="s">
        <v>214</v>
      </c>
      <c r="D166" s="21" t="s">
        <v>962</v>
      </c>
      <c r="E166" s="13">
        <v>42839.268680555557</v>
      </c>
      <c r="F166" s="13">
        <v>42839.285601851851</v>
      </c>
      <c r="G166" s="7">
        <v>1</v>
      </c>
      <c r="H166" s="21" t="s">
        <v>626</v>
      </c>
      <c r="I166" s="13">
        <v>42839.294849537036</v>
      </c>
      <c r="J166" s="7">
        <v>0</v>
      </c>
      <c r="K166" s="97" t="str">
        <f t="shared" si="42"/>
        <v>4027/4028</v>
      </c>
      <c r="L166" s="21" t="str">
        <f>VLOOKUP(A166,'Trips&amp;Operators'!$C$1:$G$99999,5,FALSE)</f>
        <v>GEBRETEKLE DAGNEW</v>
      </c>
      <c r="M166" s="6">
        <f t="shared" si="43"/>
        <v>9.2476851859828457E-3</v>
      </c>
      <c r="N166" s="7">
        <f t="shared" si="44"/>
        <v>13.316666667815298</v>
      </c>
      <c r="O166" s="7"/>
      <c r="P166" s="7"/>
      <c r="Q166" s="22"/>
      <c r="R166" s="22"/>
      <c r="S166" s="31">
        <f t="shared" si="45"/>
        <v>1</v>
      </c>
      <c r="T166" s="46" t="str">
        <f t="shared" si="46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47"/>
        <v>https://d0f6bd738d7f1b3e5a7ca70fe4ff75f0.us-east-1.aws.found.io/app/kibana#/discover/Steve-Slow-Train-Analysis-(2080s-and-2083s)?_g=(refreshInterval:(display:Off,pause:!f,section:0,value:0),time:(from:'2017-04-14T05:26:54-0600',mode:absolute,to:'2017-04-14T08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183" t="str">
        <f t="shared" si="48"/>
        <v>N</v>
      </c>
      <c r="X166" s="183">
        <f t="shared" si="49"/>
        <v>1</v>
      </c>
      <c r="Y166" s="62">
        <f t="shared" si="50"/>
        <v>9.9299999999999999E-2</v>
      </c>
      <c r="Z166" s="62">
        <f t="shared" si="51"/>
        <v>5.8992000000000004</v>
      </c>
      <c r="AA166" s="62">
        <f t="shared" si="52"/>
        <v>5.7999000000000001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3"/>
        <v>0805-14</v>
      </c>
      <c r="AE166" s="85" t="str">
        <f t="shared" si="54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166" s="82" t="str">
        <f t="shared" si="55"/>
        <v>"C:\Program Files (x86)\AstroGrep\AstroGrep.exe" /e /r /s /spath="%USERPROFILE%\AppData\Local\Temp\OnboardLogs" /stypes="app*4028*20170414*" /stext=" 13:.+((SYSTEM_STATE.+slice.+state.+changed )|(ment ac)|(multiple cpu faults)|(system.+state.+changed )|(\[timeout)|(PRM\|1\|D)|(kpr)|(kdp)|(\|lc)|(penalty))"</v>
      </c>
      <c r="AG166" s="1" t="str">
        <f t="shared" si="56"/>
        <v>NW</v>
      </c>
      <c r="AH166" s="86" t="str">
        <f t="shared" si="57"/>
        <v>"%USERPROFILE%\Documents\GitHub\eaglep3\Utilities\RefineRTDCRunTimes.py" --tripid 805-14 --locoid 4028 --swversion DE.1.0.9.0 --startMP 204:993 --initTime 2017-04-14T06:26:54 --startdatetime 2017-04-14T06:51:16 --delay 1 --endMP 300:58992 --enddatetime 2017-04-14T07:04:35 --enforcementcount 0 &gt;&gt;C:\Users\stu\Documents\GitHub\eaglep3-reporting\EC\2017-04-14-refined-times.txt</v>
      </c>
      <c r="AI166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{"issue":{"subject":"","project_id":79,"tracker_id":40,"status_id":1,"priority_id":2,"assigned_to_id":23,"start_date":"2017-04-14","description":"","custom_fields":[{"id":1,"name":"Subdivision","value":"NW"},{"id":4,"name":"Milepost","value":"5.8992"},{"id":17,"name":"Train ID","value":"805-14"},{"id":16,"name":"Locomotive ID","value":"4028"},{"id":130,"name":"Impact","value":""},{"id":150,"name":"Time of Event (Mountain Time)","value":"07:04:35"},{"id":151,"name":"Denver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59"/>
        <v>start /low /b %USERPROFILE%\Documents\GitHub\eaglep3\Utilities\DownloadLogsFromS3.py --loco 4028 --day 2017-04-14</v>
      </c>
      <c r="AN166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695</v>
      </c>
      <c r="B167" s="7">
        <v>4027</v>
      </c>
      <c r="C167" s="21" t="s">
        <v>214</v>
      </c>
      <c r="D167" s="21" t="s">
        <v>611</v>
      </c>
      <c r="E167" s="13">
        <v>42839.296041666668</v>
      </c>
      <c r="F167" s="13">
        <v>42839.297592592593</v>
      </c>
      <c r="G167" s="7">
        <v>1</v>
      </c>
      <c r="H167" s="21" t="s">
        <v>963</v>
      </c>
      <c r="I167" s="13">
        <v>42839.308946759258</v>
      </c>
      <c r="J167" s="7">
        <v>0</v>
      </c>
      <c r="K167" s="97" t="str">
        <f t="shared" si="42"/>
        <v>4027/4028</v>
      </c>
      <c r="L167" s="21" t="str">
        <f>VLOOKUP(A167,'Trips&amp;Operators'!$C$1:$G$99999,5,FALSE)</f>
        <v>GEBRETEKLE DAGNEW</v>
      </c>
      <c r="M167" s="6">
        <f t="shared" si="43"/>
        <v>1.1354166665114462E-2</v>
      </c>
      <c r="N167" s="7">
        <f t="shared" si="44"/>
        <v>16.349999997764826</v>
      </c>
      <c r="O167" s="7"/>
      <c r="P167" s="7"/>
      <c r="Q167" s="22"/>
      <c r="R167" s="22"/>
      <c r="S167" s="31">
        <f t="shared" si="45"/>
        <v>1</v>
      </c>
      <c r="T167" s="46" t="str">
        <f t="shared" si="46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47"/>
        <v>https://d0f6bd738d7f1b3e5a7ca70fe4ff75f0.us-east-1.aws.found.io/app/kibana#/discover/Steve-Slow-Train-Analysis-(2080s-and-2083s)?_g=(refreshInterval:(display:Off,pause:!f,section:0,value:0),time:(from:'2017-04-14T06:06:18-0600',mode:absolute,to:'2017-04-14T08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183" t="str">
        <f t="shared" si="48"/>
        <v>N</v>
      </c>
      <c r="X167" s="183">
        <f t="shared" si="49"/>
        <v>1</v>
      </c>
      <c r="Y167" s="62">
        <f t="shared" si="50"/>
        <v>5.8681000000000001</v>
      </c>
      <c r="Z167" s="62">
        <f t="shared" si="51"/>
        <v>7.0800000000000002E-2</v>
      </c>
      <c r="AA167" s="62">
        <f t="shared" si="52"/>
        <v>5.7972999999999999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3"/>
        <v>0806-14</v>
      </c>
      <c r="AE167" s="85" t="str">
        <f t="shared" si="54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167" s="82" t="str">
        <f t="shared" si="55"/>
        <v>"C:\Program Files (x86)\AstroGrep\AstroGrep.exe" /e /r /s /spath="%USERPROFILE%\AppData\Local\Temp\OnboardLogs" /stypes="app*4027*20170414*" /stext=" 13:.+((SYSTEM_STATE.+slice.+state.+changed )|(ment ac)|(multiple cpu faults)|(system.+state.+changed )|(\[timeout)|(PRM\|1\|D)|(kpr)|(kdp)|(\|lc)|(penalty))"</v>
      </c>
      <c r="AG167" s="1" t="str">
        <f t="shared" si="56"/>
        <v>NW</v>
      </c>
      <c r="AH167" s="86" t="str">
        <f t="shared" si="57"/>
        <v>"%USERPROFILE%\Documents\GitHub\eaglep3\Utilities\RefineRTDCRunTimes.py" --tripid 806-14 --locoid 4027 --swversion DE.1.0.9.0 --startMP 300:58681 --initTime 2017-04-14T07:06:18 --startdatetime 2017-04-14T07:08:32 --delay 1 --endMP 204:708 --enddatetime 2017-04-14T07:24:53 --enforcementcount 0 &gt;&gt;C:\Users\stu\Documents\GitHub\eaglep3-reporting\EC\2017-04-14-refined-times.txt</v>
      </c>
      <c r="AI167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{"issue":{"subject":"","project_id":79,"tracker_id":40,"status_id":1,"priority_id":2,"assigned_to_id":23,"start_date":"2017-04-14","description":"","custom_fields":[{"id":1,"name":"Subdivision","value":"NW"},{"id":4,"name":"Milepost","value":"0.0708"},{"id":17,"name":"Train ID","value":"806-14"},{"id":16,"name":"Locomotive ID","value":"4027"},{"id":130,"name":"Impact","value":""},{"id":150,"name":"Time of Event (Mountain Time)","value":"07:24:53"},{"id":151,"name":"Denver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59"/>
        <v>start /low /b %USERPROFILE%\Documents\GitHub\eaglep3\Utilities\DownloadLogsFromS3.py --loco 4027 --day 2017-04-14</v>
      </c>
      <c r="AN167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3" t="s">
        <v>693</v>
      </c>
      <c r="B168" s="7">
        <v>4054</v>
      </c>
      <c r="C168" s="21" t="s">
        <v>214</v>
      </c>
      <c r="D168" s="21" t="s">
        <v>964</v>
      </c>
      <c r="E168" s="13">
        <v>42839.290775462963</v>
      </c>
      <c r="F168" s="13">
        <v>42839.306423611109</v>
      </c>
      <c r="G168" s="7">
        <v>0</v>
      </c>
      <c r="H168" s="21" t="s">
        <v>965</v>
      </c>
      <c r="I168" s="13">
        <v>42839.316504629627</v>
      </c>
      <c r="J168" s="7">
        <v>0</v>
      </c>
      <c r="K168" s="97" t="str">
        <f t="shared" si="42"/>
        <v>4053/4054</v>
      </c>
      <c r="L168" s="21" t="str">
        <f>VLOOKUP(A168,'Trips&amp;Operators'!$C$1:$G$99999,5,FALSE)</f>
        <v>SHOOK JOHN</v>
      </c>
      <c r="M168" s="6">
        <f t="shared" si="43"/>
        <v>1.0081018517666962E-2</v>
      </c>
      <c r="N168" s="7">
        <f t="shared" si="44"/>
        <v>14.516666665440425</v>
      </c>
      <c r="O168" s="7"/>
      <c r="P168" s="7"/>
      <c r="Q168" s="22"/>
      <c r="R168" s="22"/>
      <c r="S168" s="31">
        <f t="shared" si="45"/>
        <v>1</v>
      </c>
      <c r="T168" s="46" t="str">
        <f t="shared" si="46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47"/>
        <v>https://d0f6bd738d7f1b3e5a7ca70fe4ff75f0.us-east-1.aws.found.io/app/kibana#/discover/Steve-Slow-Train-Analysis-(2080s-and-2083s)?_g=(refreshInterval:(display:Off,pause:!f,section:0,value:0),time:(from:'2017-04-14T05:58:43-0600',mode:absolute,to:'2017-04-14T08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8" s="183" t="str">
        <f t="shared" si="48"/>
        <v>N</v>
      </c>
      <c r="X168" s="183">
        <f t="shared" si="49"/>
        <v>1</v>
      </c>
      <c r="Y168" s="62">
        <f t="shared" si="50"/>
        <v>0.1016</v>
      </c>
      <c r="Z168" s="62">
        <f t="shared" si="51"/>
        <v>5.8987999999999996</v>
      </c>
      <c r="AA168" s="62">
        <f t="shared" si="52"/>
        <v>5.7971999999999992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3"/>
        <v>0807-14</v>
      </c>
      <c r="AE168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68" s="82" t="str">
        <f t="shared" si="55"/>
        <v>"C:\Program Files (x86)\AstroGrep\AstroGrep.exe" /e /r /s /spath="%USERPROFILE%\AppData\Local\Temp\OnboardLogs" /stypes="app*4054*20170414*" /stext=" 13:.+((SYSTEM_STATE.+slice.+state.+changed )|(ment ac)|(multiple cpu faults)|(system.+state.+changed )|(\[timeout)|(PRM\|1\|D)|(kpr)|(kdp)|(\|lc)|(penalty))"</v>
      </c>
      <c r="AG168" s="1" t="str">
        <f t="shared" si="56"/>
        <v>NW</v>
      </c>
      <c r="AH168" s="86" t="str">
        <f t="shared" si="57"/>
        <v>"%USERPROFILE%\Documents\GitHub\eaglep3\Utilities\RefineRTDCRunTimes.py" --tripid 807-14 --locoid 4054 --swversion DE.1.0.9.0 --startMP 204:1016 --initTime 2017-04-14T06:58:43 --startdatetime 2017-04-14T07:21:15 --delay 0 --endMP 300:58988 --enddatetime 2017-04-14T07:35:46 --enforcementcount 0 &gt;&gt;C:\Users\stu\Documents\GitHub\eaglep3-reporting\EC\2017-04-14-refined-times.txt</v>
      </c>
      <c r="AI168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{"issue":{"subject":"","project_id":79,"tracker_id":40,"status_id":1,"priority_id":2,"assigned_to_id":23,"start_date":"2017-04-14","description":"","custom_fields":[{"id":1,"name":"Subdivision","value":"NW"},{"id":4,"name":"Milepost","value":"5.8988"},{"id":17,"name":"Train ID","value":"807-14"},{"id":16,"name":"Locomotive ID","value":"4054"},{"id":130,"name":"Impact","value":""},{"id":150,"name":"Time of Event (Mountain Time)","value":"07:35:46"},{"id":151,"name":"Denver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59"/>
        <v>start /low /b %USERPROFILE%\Documents\GitHub\eaglep3\Utilities\DownloadLogsFromS3.py --loco 4054 --day 2017-04-14</v>
      </c>
      <c r="AN168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3" t="s">
        <v>701</v>
      </c>
      <c r="B169" s="7">
        <v>4053</v>
      </c>
      <c r="C169" s="21" t="s">
        <v>214</v>
      </c>
      <c r="D169" s="21" t="s">
        <v>966</v>
      </c>
      <c r="E169" s="13">
        <v>42839.318032407406</v>
      </c>
      <c r="F169" s="13">
        <v>42839.319965277777</v>
      </c>
      <c r="G169" s="7">
        <v>1</v>
      </c>
      <c r="H169" s="21" t="s">
        <v>967</v>
      </c>
      <c r="I169" s="13">
        <v>42839.33085648148</v>
      </c>
      <c r="J169" s="7">
        <v>0</v>
      </c>
      <c r="K169" s="97" t="str">
        <f t="shared" si="42"/>
        <v>4053/4054</v>
      </c>
      <c r="L169" s="21" t="str">
        <f>VLOOKUP(A169,'Trips&amp;Operators'!$C$1:$G$99999,5,FALSE)</f>
        <v>SHOOK JOHN</v>
      </c>
      <c r="M169" s="6">
        <f t="shared" si="43"/>
        <v>1.0891203703067731E-2</v>
      </c>
      <c r="N169" s="7">
        <f t="shared" si="44"/>
        <v>15.683333332417533</v>
      </c>
      <c r="O169" s="7"/>
      <c r="P169" s="7"/>
      <c r="Q169" s="22"/>
      <c r="R169" s="22"/>
      <c r="S169" s="31">
        <f t="shared" si="45"/>
        <v>1</v>
      </c>
      <c r="T169" s="46" t="str">
        <f t="shared" si="46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47"/>
        <v>https://d0f6bd738d7f1b3e5a7ca70fe4ff75f0.us-east-1.aws.found.io/app/kibana#/discover/Steve-Slow-Train-Analysis-(2080s-and-2083s)?_g=(refreshInterval:(display:Off,pause:!f,section:0,value:0),time:(from:'2017-04-14T06:37:58-0600',mode:absolute,to:'2017-04-14T08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9" s="183" t="str">
        <f t="shared" si="48"/>
        <v>N</v>
      </c>
      <c r="X169" s="183">
        <f t="shared" si="49"/>
        <v>1</v>
      </c>
      <c r="Y169" s="62">
        <f t="shared" si="50"/>
        <v>5.8667999999999996</v>
      </c>
      <c r="Z169" s="62">
        <f t="shared" si="51"/>
        <v>7.4499999999999997E-2</v>
      </c>
      <c r="AA169" s="62">
        <f t="shared" si="52"/>
        <v>5.7923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3"/>
        <v>0808-14</v>
      </c>
      <c r="AE169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69" s="82" t="str">
        <f t="shared" si="55"/>
        <v>"C:\Program Files (x86)\AstroGrep\AstroGrep.exe" /e /r /s /spath="%USERPROFILE%\AppData\Local\Temp\OnboardLogs" /stypes="app*4053*20170414*" /stext=" 13:.+((SYSTEM_STATE.+slice.+state.+changed )|(ment ac)|(multiple cpu faults)|(system.+state.+changed )|(\[timeout)|(PRM\|1\|D)|(kpr)|(kdp)|(\|lc)|(penalty))"</v>
      </c>
      <c r="AG169" s="1" t="str">
        <f t="shared" si="56"/>
        <v>NW</v>
      </c>
      <c r="AH169" s="86" t="str">
        <f t="shared" si="57"/>
        <v>"%USERPROFILE%\Documents\GitHub\eaglep3\Utilities\RefineRTDCRunTimes.py" --tripid 808-14 --locoid 4053 --swversion DE.1.0.9.0 --startMP 300:58668 --initTime 2017-04-14T07:37:58 --startdatetime 2017-04-14T07:40:45 --delay 1 --endMP 204:745 --enddatetime 2017-04-14T07:56:26 --enforcementcount 0 &gt;&gt;C:\Users\stu\Documents\GitHub\eaglep3-reporting\EC\2017-04-14-refined-times.txt</v>
      </c>
      <c r="AI169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{"issue":{"subject":"","project_id":79,"tracker_id":40,"status_id":1,"priority_id":2,"assigned_to_id":23,"start_date":"2017-04-14","description":"","custom_fields":[{"id":1,"name":"Subdivision","value":"NW"},{"id":4,"name":"Milepost","value":"0.0745"},{"id":17,"name":"Train ID","value":"808-14"},{"id":16,"name":"Locomotive ID","value":"4053"},{"id":130,"name":"Impact","value":""},{"id":150,"name":"Time of Event (Mountain Time)","value":"07:56:26"},{"id":151,"name":"Denver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59"/>
        <v>start /low /b %USERPROFILE%\Documents\GitHub\eaglep3\Utilities\DownloadLogsFromS3.py --loco 4053 --day 2017-04-14</v>
      </c>
      <c r="AN169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13:56:26"},{"id":29,"name":"Sharepoint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699</v>
      </c>
      <c r="B170" s="7">
        <v>4028</v>
      </c>
      <c r="C170" s="21" t="s">
        <v>214</v>
      </c>
      <c r="D170" s="21" t="s">
        <v>619</v>
      </c>
      <c r="E170" s="13">
        <v>42839.310358796298</v>
      </c>
      <c r="F170" s="13">
        <v>42839.327268518522</v>
      </c>
      <c r="G170" s="7">
        <v>1</v>
      </c>
      <c r="H170" s="21" t="s">
        <v>965</v>
      </c>
      <c r="I170" s="13">
        <v>42839.336099537039</v>
      </c>
      <c r="J170" s="7">
        <v>0</v>
      </c>
      <c r="K170" s="97" t="str">
        <f t="shared" si="42"/>
        <v>4027/4028</v>
      </c>
      <c r="L170" s="21" t="str">
        <f>VLOOKUP(A170,'Trips&amp;Operators'!$C$1:$G$99999,5,FALSE)</f>
        <v>GEBRETEKLE DAGNEW</v>
      </c>
      <c r="M170" s="6">
        <f t="shared" si="43"/>
        <v>8.8310185165028088E-3</v>
      </c>
      <c r="N170" s="7">
        <f t="shared" si="44"/>
        <v>12.716666663764045</v>
      </c>
      <c r="O170" s="7"/>
      <c r="P170" s="7"/>
      <c r="Q170" s="22"/>
      <c r="R170" s="22"/>
      <c r="S170" s="31">
        <f t="shared" si="45"/>
        <v>1</v>
      </c>
      <c r="T170" s="46" t="str">
        <f t="shared" si="46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47"/>
        <v>https://d0f6bd738d7f1b3e5a7ca70fe4ff75f0.us-east-1.aws.found.io/app/kibana#/discover/Steve-Slow-Train-Analysis-(2080s-and-2083s)?_g=(refreshInterval:(display:Off,pause:!f,section:0,value:0),time:(from:'2017-04-14T06:26:55-0600',mode:absolute,to:'2017-04-14T09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183" t="str">
        <f t="shared" si="48"/>
        <v>N</v>
      </c>
      <c r="X170" s="183">
        <f t="shared" si="49"/>
        <v>1</v>
      </c>
      <c r="Y170" s="62">
        <f t="shared" si="50"/>
        <v>9.8799999999999999E-2</v>
      </c>
      <c r="Z170" s="62">
        <f t="shared" si="51"/>
        <v>5.8987999999999996</v>
      </c>
      <c r="AA170" s="62">
        <f t="shared" si="52"/>
        <v>5.8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3"/>
        <v>0809-14</v>
      </c>
      <c r="AE170" s="85" t="str">
        <f t="shared" si="54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170" s="82" t="str">
        <f t="shared" si="55"/>
        <v>"C:\Program Files (x86)\AstroGrep\AstroGrep.exe" /e /r /s /spath="%USERPROFILE%\AppData\Local\Temp\OnboardLogs" /stypes="app*4028*20170414*" /stext=" 14:.+((SYSTEM_STATE.+slice.+state.+changed )|(ment ac)|(multiple cpu faults)|(system.+state.+changed )|(\[timeout)|(PRM\|1\|D)|(kpr)|(kdp)|(\|lc)|(penalty))"</v>
      </c>
      <c r="AG170" s="1" t="str">
        <f t="shared" si="56"/>
        <v>NW</v>
      </c>
      <c r="AH170" s="86" t="str">
        <f t="shared" si="57"/>
        <v>"%USERPROFILE%\Documents\GitHub\eaglep3\Utilities\RefineRTDCRunTimes.py" --tripid 809-14 --locoid 4028 --swversion DE.1.0.9.0 --startMP 204:988 --initTime 2017-04-14T07:26:55 --startdatetime 2017-04-14T07:51:16 --delay 1 --endMP 300:58988 --enddatetime 2017-04-14T08:03:59 --enforcementcount 0 &gt;&gt;C:\Users\stu\Documents\GitHub\eaglep3-reporting\EC\2017-04-14-refined-times.txt</v>
      </c>
      <c r="AI170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{"issue":{"subject":"","project_id":79,"tracker_id":40,"status_id":1,"priority_id":2,"assigned_to_id":23,"start_date":"2017-04-14","description":"","custom_fields":[{"id":1,"name":"Subdivision","value":"NW"},{"id":4,"name":"Milepost","value":"5.8988"},{"id":17,"name":"Train ID","value":"809-14"},{"id":16,"name":"Locomotive ID","value":"4028"},{"id":130,"name":"Impact","value":""},{"id":150,"name":"Time of Event (Mountain Time)","value":"08:03:59"},{"id":151,"name":"Denver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59"/>
        <v>start /low /b %USERPROFILE%\Documents\GitHub\eaglep3\Utilities\DownloadLogsFromS3.py --loco 4028 --day 2017-04-14</v>
      </c>
      <c r="AN170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707</v>
      </c>
      <c r="B171" s="7">
        <v>4027</v>
      </c>
      <c r="C171" s="21" t="s">
        <v>214</v>
      </c>
      <c r="D171" s="21" t="s">
        <v>528</v>
      </c>
      <c r="E171" s="13">
        <v>42839.337256944447</v>
      </c>
      <c r="F171" s="13">
        <v>42839.338750000003</v>
      </c>
      <c r="G171" s="7">
        <v>1</v>
      </c>
      <c r="H171" s="21" t="s">
        <v>970</v>
      </c>
      <c r="I171" s="13">
        <v>42839.350428240738</v>
      </c>
      <c r="J171" s="7">
        <v>0</v>
      </c>
      <c r="K171" s="97" t="str">
        <f t="shared" si="42"/>
        <v>4027/4028</v>
      </c>
      <c r="L171" s="21" t="str">
        <f>VLOOKUP(A171,'Trips&amp;Operators'!$C$1:$G$99999,5,FALSE)</f>
        <v>GEBRETEKLE DAGNEW</v>
      </c>
      <c r="M171" s="6">
        <f t="shared" si="43"/>
        <v>1.1678240734909195E-2</v>
      </c>
      <c r="N171" s="7">
        <f t="shared" si="44"/>
        <v>16.816666658269241</v>
      </c>
      <c r="O171" s="7"/>
      <c r="P171" s="7"/>
      <c r="Q171" s="22"/>
      <c r="R171" s="22"/>
      <c r="S171" s="31">
        <f t="shared" si="45"/>
        <v>1</v>
      </c>
      <c r="T171" s="46" t="str">
        <f t="shared" si="46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47"/>
        <v>https://d0f6bd738d7f1b3e5a7ca70fe4ff75f0.us-east-1.aws.found.io/app/kibana#/discover/Steve-Slow-Train-Analysis-(2080s-and-2083s)?_g=(refreshInterval:(display:Off,pause:!f,section:0,value:0),time:(from:'2017-04-14T07:05:39-0600',mode:absolute,to:'2017-04-14T09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183" t="str">
        <f t="shared" si="48"/>
        <v>N</v>
      </c>
      <c r="X171" s="183">
        <f t="shared" si="49"/>
        <v>1</v>
      </c>
      <c r="Y171" s="62">
        <f t="shared" si="50"/>
        <v>5.867</v>
      </c>
      <c r="Z171" s="62">
        <f t="shared" si="51"/>
        <v>1.44E-2</v>
      </c>
      <c r="AA171" s="62">
        <f t="shared" si="52"/>
        <v>5.8525999999999998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3"/>
        <v>0810-14</v>
      </c>
      <c r="AE171" s="85" t="str">
        <f t="shared" si="54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171" s="82" t="str">
        <f t="shared" si="55"/>
        <v>"C:\Program Files (x86)\AstroGrep\AstroGrep.exe" /e /r /s /spath="%USERPROFILE%\AppData\Local\Temp\OnboardLogs" /stypes="app*4027*20170414*" /stext=" 14:.+((SYSTEM_STATE.+slice.+state.+changed )|(ment ac)|(multiple cpu faults)|(system.+state.+changed )|(\[timeout)|(PRM\|1\|D)|(kpr)|(kdp)|(\|lc)|(penalty))"</v>
      </c>
      <c r="AG171" s="1" t="str">
        <f t="shared" si="56"/>
        <v>NW</v>
      </c>
      <c r="AH171" s="86" t="str">
        <f t="shared" si="57"/>
        <v>"%USERPROFILE%\Documents\GitHub\eaglep3\Utilities\RefineRTDCRunTimes.py" --tripid 810-14 --locoid 4027 --swversion DE.1.0.9.0 --startMP 300:58670 --initTime 2017-04-14T08:05:39 --startdatetime 2017-04-14T08:07:48 --delay 1 --endMP 204:144 --enddatetime 2017-04-14T08:24:37 --enforcementcount 0 &gt;&gt;C:\Users\stu\Documents\GitHub\eaglep3-reporting\EC\2017-04-14-refined-times.txt</v>
      </c>
      <c r="AI171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{"issue":{"subject":"","project_id":79,"tracker_id":40,"status_id":1,"priority_id":2,"assigned_to_id":23,"start_date":"2017-04-14","description":"","custom_fields":[{"id":1,"name":"Subdivision","value":"NW"},{"id":4,"name":"Milepost","value":"0.0144"},{"id":17,"name":"Train ID","value":"810-14"},{"id":16,"name":"Locomotive ID","value":"4027"},{"id":130,"name":"Impact","value":""},{"id":150,"name":"Time of Event (Mountain Time)","value":"08:24:37"},{"id":151,"name":"Denver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59"/>
        <v>start /low /b %USERPROFILE%\Documents\GitHub\eaglep3\Utilities\DownloadLogsFromS3.py --loco 4027 --day 2017-04-14</v>
      </c>
      <c r="AN171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706</v>
      </c>
      <c r="B172" s="7">
        <v>4054</v>
      </c>
      <c r="C172" s="21" t="s">
        <v>214</v>
      </c>
      <c r="D172" s="21" t="s">
        <v>527</v>
      </c>
      <c r="E172" s="13">
        <v>42839.332673611112</v>
      </c>
      <c r="F172" s="13">
        <v>42839.348067129627</v>
      </c>
      <c r="G172" s="7">
        <v>1</v>
      </c>
      <c r="H172" s="21" t="s">
        <v>626</v>
      </c>
      <c r="I172" s="13">
        <v>42839.357314814813</v>
      </c>
      <c r="J172" s="7">
        <v>0</v>
      </c>
      <c r="K172" s="97" t="str">
        <f t="shared" si="42"/>
        <v>4053/4054</v>
      </c>
      <c r="L172" s="21" t="str">
        <f>VLOOKUP(A172,'Trips&amp;Operators'!$C$1:$G$99999,5,FALSE)</f>
        <v>SHOOK JOHN</v>
      </c>
      <c r="M172" s="6">
        <f t="shared" si="43"/>
        <v>9.2476851859828457E-3</v>
      </c>
      <c r="N172" s="7">
        <f t="shared" si="44"/>
        <v>13.316666667815298</v>
      </c>
      <c r="O172" s="7"/>
      <c r="P172" s="7"/>
      <c r="Q172" s="22"/>
      <c r="R172" s="22"/>
      <c r="S172" s="31">
        <f t="shared" si="45"/>
        <v>1</v>
      </c>
      <c r="T172" s="46" t="str">
        <f t="shared" si="46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47"/>
        <v>https://d0f6bd738d7f1b3e5a7ca70fe4ff75f0.us-east-1.aws.found.io/app/kibana#/discover/Steve-Slow-Train-Analysis-(2080s-and-2083s)?_g=(refreshInterval:(display:Off,pause:!f,section:0,value:0),time:(from:'2017-04-14T06:59:03-0600',mode:absolute,to:'2017-04-14T09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2" s="183" t="str">
        <f t="shared" si="48"/>
        <v>N</v>
      </c>
      <c r="X172" s="183">
        <f t="shared" si="49"/>
        <v>1</v>
      </c>
      <c r="Y172" s="62">
        <f t="shared" si="50"/>
        <v>0.1027</v>
      </c>
      <c r="Z172" s="62">
        <f t="shared" si="51"/>
        <v>5.8992000000000004</v>
      </c>
      <c r="AA172" s="62">
        <f t="shared" si="52"/>
        <v>5.7965000000000009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3"/>
        <v>0811-14</v>
      </c>
      <c r="AE172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72" s="82" t="str">
        <f t="shared" si="55"/>
        <v>"C:\Program Files (x86)\AstroGrep\AstroGrep.exe" /e /r /s /spath="%USERPROFILE%\AppData\Local\Temp\OnboardLogs" /stypes="app*4054*20170414*" /stext=" 14:.+((SYSTEM_STATE.+slice.+state.+changed )|(ment ac)|(multiple cpu faults)|(system.+state.+changed )|(\[timeout)|(PRM\|1\|D)|(kpr)|(kdp)|(\|lc)|(penalty))"</v>
      </c>
      <c r="AG172" s="1" t="str">
        <f t="shared" si="56"/>
        <v>NW</v>
      </c>
      <c r="AH172" s="86" t="str">
        <f t="shared" si="57"/>
        <v>"%USERPROFILE%\Documents\GitHub\eaglep3\Utilities\RefineRTDCRunTimes.py" --tripid 811-14 --locoid 4054 --swversion DE.1.0.9.0 --startMP 204:1027 --initTime 2017-04-14T07:59:03 --startdatetime 2017-04-14T08:21:13 --delay 1 --endMP 300:58992 --enddatetime 2017-04-14T08:34:32 --enforcementcount 0 &gt;&gt;C:\Users\stu\Documents\GitHub\eaglep3-reporting\EC\2017-04-14-refined-times.txt</v>
      </c>
      <c r="AI172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{"issue":{"subject":"","project_id":79,"tracker_id":40,"status_id":1,"priority_id":2,"assigned_to_id":23,"start_date":"2017-04-14","description":"","custom_fields":[{"id":1,"name":"Subdivision","value":"NW"},{"id":4,"name":"Milepost","value":"5.8992"},{"id":17,"name":"Train ID","value":"811-14"},{"id":16,"name":"Locomotive ID","value":"4054"},{"id":130,"name":"Impact","value":""},{"id":150,"name":"Time of Event (Mountain Time)","value":"08:34:32"},{"id":151,"name":"Denver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59"/>
        <v>start /low /b %USERPROFILE%\Documents\GitHub\eaglep3\Utilities\DownloadLogsFromS3.py --loco 4054 --day 2017-04-14</v>
      </c>
      <c r="AN172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713</v>
      </c>
      <c r="B173" s="7">
        <v>4053</v>
      </c>
      <c r="C173" s="21" t="s">
        <v>214</v>
      </c>
      <c r="D173" s="21" t="s">
        <v>971</v>
      </c>
      <c r="E173" s="13">
        <v>42839.358946759261</v>
      </c>
      <c r="F173" s="13">
        <v>42839.361597222225</v>
      </c>
      <c r="G173" s="7">
        <v>1</v>
      </c>
      <c r="H173" s="21" t="s">
        <v>972</v>
      </c>
      <c r="I173" s="13">
        <v>42839.371655092589</v>
      </c>
      <c r="J173" s="7">
        <v>0</v>
      </c>
      <c r="K173" s="97" t="str">
        <f t="shared" si="42"/>
        <v>4053/4054</v>
      </c>
      <c r="L173" s="21" t="str">
        <f>VLOOKUP(A173,'Trips&amp;Operators'!$C$1:$G$99999,5,FALSE)</f>
        <v>SHOOK JOHN</v>
      </c>
      <c r="M173" s="6">
        <f t="shared" si="43"/>
        <v>1.0057870364107657E-2</v>
      </c>
      <c r="N173" s="7">
        <f t="shared" si="44"/>
        <v>14.483333324315026</v>
      </c>
      <c r="O173" s="7"/>
      <c r="P173" s="7"/>
      <c r="Q173" s="22"/>
      <c r="R173" s="22"/>
      <c r="S173" s="31">
        <f t="shared" si="45"/>
        <v>1</v>
      </c>
      <c r="T173" s="46" t="str">
        <f t="shared" si="46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47"/>
        <v>https://d0f6bd738d7f1b3e5a7ca70fe4ff75f0.us-east-1.aws.found.io/app/kibana#/discover/Steve-Slow-Train-Analysis-(2080s-and-2083s)?_g=(refreshInterval:(display:Off,pause:!f,section:0,value:0),time:(from:'2017-04-14T07:36:53-0600',mode:absolute,to:'2017-04-14T09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3" s="183" t="str">
        <f t="shared" si="48"/>
        <v>N</v>
      </c>
      <c r="X173" s="183">
        <f t="shared" si="49"/>
        <v>1</v>
      </c>
      <c r="Y173" s="62">
        <f t="shared" si="50"/>
        <v>5.8673000000000002</v>
      </c>
      <c r="Z173" s="62">
        <f t="shared" si="51"/>
        <v>7.2700000000000001E-2</v>
      </c>
      <c r="AA173" s="62">
        <f t="shared" si="52"/>
        <v>5.7946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3"/>
        <v>0812-14</v>
      </c>
      <c r="AE173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73" s="82" t="str">
        <f t="shared" si="55"/>
        <v>"C:\Program Files (x86)\AstroGrep\AstroGrep.exe" /e /r /s /spath="%USERPROFILE%\AppData\Local\Temp\OnboardLogs" /stypes="app*4053*20170414*" /stext=" 14:.+((SYSTEM_STATE.+slice.+state.+changed )|(ment ac)|(multiple cpu faults)|(system.+state.+changed )|(\[timeout)|(PRM\|1\|D)|(kpr)|(kdp)|(\|lc)|(penalty))"</v>
      </c>
      <c r="AG173" s="1" t="str">
        <f t="shared" si="56"/>
        <v>NW</v>
      </c>
      <c r="AH173" s="86" t="str">
        <f t="shared" si="57"/>
        <v>"%USERPROFILE%\Documents\GitHub\eaglep3\Utilities\RefineRTDCRunTimes.py" --tripid 812-14 --locoid 4053 --swversion DE.1.0.9.0 --startMP 300:58673 --initTime 2017-04-14T08:36:53 --startdatetime 2017-04-14T08:40:42 --delay 1 --endMP 204:727 --enddatetime 2017-04-14T08:55:11 --enforcementcount 0 &gt;&gt;C:\Users\stu\Documents\GitHub\eaglep3-reporting\EC\2017-04-14-refined-times.txt</v>
      </c>
      <c r="AI173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{"issue":{"subject":"","project_id":79,"tracker_id":40,"status_id":1,"priority_id":2,"assigned_to_id":23,"start_date":"2017-04-14","description":"","custom_fields":[{"id":1,"name":"Subdivision","value":"NW"},{"id":4,"name":"Milepost","value":"0.0727"},{"id":17,"name":"Train ID","value":"812-14"},{"id":16,"name":"Locomotive ID","value":"4053"},{"id":130,"name":"Impact","value":""},{"id":150,"name":"Time of Event (Mountain Time)","value":"08:55:11"},{"id":151,"name":"Denver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59"/>
        <v>start /low /b %USERPROFILE%\Documents\GitHub\eaglep3\Utilities\DownloadLogsFromS3.py --loco 4053 --day 2017-04-14</v>
      </c>
      <c r="AN173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717</v>
      </c>
      <c r="B174" s="7">
        <v>4054</v>
      </c>
      <c r="C174" s="21" t="s">
        <v>214</v>
      </c>
      <c r="D174" s="21" t="s">
        <v>973</v>
      </c>
      <c r="E174" s="13">
        <v>42839.373761574076</v>
      </c>
      <c r="F174" s="13">
        <v>42839.389745370368</v>
      </c>
      <c r="G174" s="7">
        <v>1</v>
      </c>
      <c r="H174" s="21" t="s">
        <v>965</v>
      </c>
      <c r="I174" s="13">
        <v>42839.399050925924</v>
      </c>
      <c r="J174" s="7">
        <v>0</v>
      </c>
      <c r="K174" s="97" t="str">
        <f t="shared" si="42"/>
        <v>4053/4054</v>
      </c>
      <c r="L174" s="21" t="str">
        <f>VLOOKUP(A174,'Trips&amp;Operators'!$C$1:$G$99999,5,FALSE)</f>
        <v>SHOOK JOHN</v>
      </c>
      <c r="M174" s="6">
        <f t="shared" si="43"/>
        <v>9.3055555553291924E-3</v>
      </c>
      <c r="N174" s="7">
        <f t="shared" si="44"/>
        <v>13.399999999674037</v>
      </c>
      <c r="O174" s="7"/>
      <c r="P174" s="7"/>
      <c r="Q174" s="22"/>
      <c r="R174" s="22"/>
      <c r="S174" s="31">
        <f t="shared" si="45"/>
        <v>1</v>
      </c>
      <c r="T174" s="46" t="str">
        <f t="shared" si="46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47"/>
        <v>https://d0f6bd738d7f1b3e5a7ca70fe4ff75f0.us-east-1.aws.found.io/app/kibana#/discover/Steve-Slow-Train-Analysis-(2080s-and-2083s)?_g=(refreshInterval:(display:Off,pause:!f,section:0,value:0),time:(from:'2017-04-14T07:58:13-0600',mode:absolute,to:'2017-04-14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4" s="183" t="str">
        <f t="shared" si="48"/>
        <v>N</v>
      </c>
      <c r="X174" s="183">
        <f t="shared" si="49"/>
        <v>1</v>
      </c>
      <c r="Y174" s="62">
        <f t="shared" si="50"/>
        <v>0.10199999999999999</v>
      </c>
      <c r="Z174" s="62">
        <f t="shared" si="51"/>
        <v>5.8987999999999996</v>
      </c>
      <c r="AA174" s="62">
        <f t="shared" si="52"/>
        <v>5.7967999999999993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3"/>
        <v>0813-14</v>
      </c>
      <c r="AE174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74" s="82" t="str">
        <f t="shared" si="55"/>
        <v>"C:\Program Files (x86)\AstroGrep\AstroGrep.exe" /e /r /s /spath="%USERPROFILE%\AppData\Local\Temp\OnboardLogs" /stypes="app*4054*20170414*" /stext=" 15:.+((SYSTEM_STATE.+slice.+state.+changed )|(ment ac)|(multiple cpu faults)|(system.+state.+changed )|(\[timeout)|(PRM\|1\|D)|(kpr)|(kdp)|(\|lc)|(penalty))"</v>
      </c>
      <c r="AG174" s="1" t="str">
        <f t="shared" si="56"/>
        <v>NW</v>
      </c>
      <c r="AH174" s="86" t="str">
        <f t="shared" si="57"/>
        <v>"%USERPROFILE%\Documents\GitHub\eaglep3\Utilities\RefineRTDCRunTimes.py" --tripid 813-14 --locoid 4054 --swversion DE.1.0.9.0 --startMP 204:1020 --initTime 2017-04-14T08:58:13 --startdatetime 2017-04-14T09:21:14 --delay 1 --endMP 300:58988 --enddatetime 2017-04-14T09:34:38 --enforcementcount 0 &gt;&gt;C:\Users\stu\Documents\GitHub\eaglep3-reporting\EC\2017-04-14-refined-times.txt</v>
      </c>
      <c r="AI174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{"issue":{"subject":"","project_id":79,"tracker_id":40,"status_id":1,"priority_id":2,"assigned_to_id":23,"start_date":"2017-04-14","description":"","custom_fields":[{"id":1,"name":"Subdivision","value":"NW"},{"id":4,"name":"Milepost","value":"5.8988"},{"id":17,"name":"Train ID","value":"813-14"},{"id":16,"name":"Locomotive ID","value":"4054"},{"id":130,"name":"Impact","value":""},{"id":150,"name":"Time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8"/>
      <c r="AL174" s="48"/>
      <c r="AM174" s="150" t="str">
        <f t="shared" si="59"/>
        <v>start /low /b %USERPROFILE%\Documents\GitHub\eaglep3\Utilities\DownloadLogsFromS3.py --loco 4054 --day 2017-04-14</v>
      </c>
      <c r="AN174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721</v>
      </c>
      <c r="B175" s="7">
        <v>4053</v>
      </c>
      <c r="C175" s="21" t="s">
        <v>214</v>
      </c>
      <c r="D175" s="21" t="s">
        <v>614</v>
      </c>
      <c r="E175" s="13">
        <v>42839.400601851848</v>
      </c>
      <c r="F175" s="13">
        <v>42839.403275462966</v>
      </c>
      <c r="G175" s="7">
        <v>1</v>
      </c>
      <c r="H175" s="21" t="s">
        <v>612</v>
      </c>
      <c r="I175" s="13">
        <v>42839.413229166668</v>
      </c>
      <c r="J175" s="7">
        <v>0</v>
      </c>
      <c r="K175" s="97" t="str">
        <f t="shared" si="42"/>
        <v>4053/4054</v>
      </c>
      <c r="L175" s="21" t="str">
        <f>VLOOKUP(A175,'Trips&amp;Operators'!$C$1:$G$99999,5,FALSE)</f>
        <v>SHOOK JOHN</v>
      </c>
      <c r="M175" s="6">
        <f t="shared" si="43"/>
        <v>9.9537037021946162E-3</v>
      </c>
      <c r="N175" s="7">
        <f t="shared" si="44"/>
        <v>14.333333331160247</v>
      </c>
      <c r="O175" s="7"/>
      <c r="P175" s="7"/>
      <c r="Q175" s="22"/>
      <c r="R175" s="22"/>
      <c r="S175" s="31">
        <f t="shared" si="45"/>
        <v>1</v>
      </c>
      <c r="T175" s="46" t="str">
        <f t="shared" si="46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47"/>
        <v>https://d0f6bd738d7f1b3e5a7ca70fe4ff75f0.us-east-1.aws.found.io/app/kibana#/discover/Steve-Slow-Train-Analysis-(2080s-and-2083s)?_g=(refreshInterval:(display:Off,pause:!f,section:0,value:0),time:(from:'2017-04-14T08:36:52-0600',mode:absolute,to:'2017-04-14T10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5" s="183" t="str">
        <f t="shared" si="48"/>
        <v>N</v>
      </c>
      <c r="X175" s="183">
        <f t="shared" si="49"/>
        <v>1</v>
      </c>
      <c r="Y175" s="62">
        <f t="shared" si="50"/>
        <v>5.8678999999999997</v>
      </c>
      <c r="Z175" s="62">
        <f t="shared" si="51"/>
        <v>7.3800000000000004E-2</v>
      </c>
      <c r="AA175" s="62">
        <f t="shared" si="52"/>
        <v>5.7940999999999994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3"/>
        <v>0814-14</v>
      </c>
      <c r="AE175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75" s="82" t="str">
        <f t="shared" si="55"/>
        <v>"C:\Program Files (x86)\AstroGrep\AstroGrep.exe" /e /r /s /spath="%USERPROFILE%\AppData\Local\Temp\OnboardLogs" /stypes="app*4053*20170414*" /stext=" 15:.+((SYSTEM_STATE.+slice.+state.+changed )|(ment ac)|(multiple cpu faults)|(system.+state.+changed )|(\[timeout)|(PRM\|1\|D)|(kpr)|(kdp)|(\|lc)|(penalty))"</v>
      </c>
      <c r="AG175" s="1" t="str">
        <f t="shared" si="56"/>
        <v>NW</v>
      </c>
      <c r="AH175" s="86" t="str">
        <f t="shared" si="57"/>
        <v>"%USERPROFILE%\Documents\GitHub\eaglep3\Utilities\RefineRTDCRunTimes.py" --tripid 814-14 --locoid 4053 --swversion DE.1.0.9.0 --startMP 300:58679 --initTime 2017-04-14T09:36:52 --startdatetime 2017-04-14T09:40:43 --delay 1 --endMP 204:738 --enddatetime 2017-04-14T09:55:03 --enforcementcount 0 &gt;&gt;C:\Users\stu\Documents\GitHub\eaglep3-reporting\EC\2017-04-14-refined-times.txt</v>
      </c>
      <c r="AI175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{"issue":{"subject":"","project_id":79,"tracker_id":40,"status_id":1,"priority_id":2,"assigned_to_id":23,"start_date":"2017-04-14","description":"","custom_fields":[{"id":1,"name":"Subdivision","value":"NW"},{"id":4,"name":"Milepost","value":"0.0738"},{"id":17,"name":"Train ID","value":"814-14"},{"id":16,"name":"Locomotive ID","value":"4053"},{"id":130,"name":"Impact","value":""},{"id":150,"name":"Time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59"/>
        <v>start /low /b %USERPROFILE%\Documents\GitHub\eaglep3\Utilities\DownloadLogsFromS3.py --loco 4053 --day 2017-04-14</v>
      </c>
      <c r="AN175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725</v>
      </c>
      <c r="B176" s="7">
        <v>4054</v>
      </c>
      <c r="C176" s="21" t="s">
        <v>214</v>
      </c>
      <c r="D176" s="21" t="s">
        <v>974</v>
      </c>
      <c r="E176" s="13">
        <v>42839.415277777778</v>
      </c>
      <c r="F176" s="13">
        <v>42839.431400462963</v>
      </c>
      <c r="G176" s="7">
        <v>1</v>
      </c>
      <c r="H176" s="21" t="s">
        <v>975</v>
      </c>
      <c r="I176" s="13">
        <v>42839.440787037034</v>
      </c>
      <c r="J176" s="7">
        <v>0</v>
      </c>
      <c r="K176" s="97" t="str">
        <f t="shared" si="42"/>
        <v>4053/4054</v>
      </c>
      <c r="L176" s="21" t="str">
        <f>VLOOKUP(A176,'Trips&amp;Operators'!$C$1:$G$99999,5,FALSE)</f>
        <v>SHOOK JOHN</v>
      </c>
      <c r="M176" s="6">
        <f t="shared" si="43"/>
        <v>9.3865740709588863E-3</v>
      </c>
      <c r="N176" s="7">
        <f t="shared" si="44"/>
        <v>13.516666662180796</v>
      </c>
      <c r="O176" s="7"/>
      <c r="P176" s="7"/>
      <c r="Q176" s="22"/>
      <c r="R176" s="22"/>
      <c r="S176" s="31">
        <f t="shared" si="45"/>
        <v>1</v>
      </c>
      <c r="T176" s="46" t="str">
        <f t="shared" si="46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47"/>
        <v>https://d0f6bd738d7f1b3e5a7ca70fe4ff75f0.us-east-1.aws.found.io/app/kibana#/discover/Steve-Slow-Train-Analysis-(2080s-and-2083s)?_g=(refreshInterval:(display:Off,pause:!f,section:0,value:0),time:(from:'2017-04-14T08:58:00-0600',mode:absolute,to:'2017-04-14T11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6" s="183" t="str">
        <f t="shared" si="48"/>
        <v>N</v>
      </c>
      <c r="X176" s="183">
        <f t="shared" si="49"/>
        <v>1</v>
      </c>
      <c r="Y176" s="62">
        <f t="shared" si="50"/>
        <v>0.1018</v>
      </c>
      <c r="Z176" s="62">
        <f t="shared" si="51"/>
        <v>5.8986000000000001</v>
      </c>
      <c r="AA176" s="62">
        <f t="shared" si="52"/>
        <v>5.7968000000000002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3"/>
        <v>0815-14</v>
      </c>
      <c r="AE176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76" s="82" t="str">
        <f t="shared" si="55"/>
        <v>"C:\Program Files (x86)\AstroGrep\AstroGrep.exe" /e /r /s /spath="%USERPROFILE%\AppData\Local\Temp\OnboardLogs" /stypes="app*4054*20170414*" /stext=" 16:.+((SYSTEM_STATE.+slice.+state.+changed )|(ment ac)|(multiple cpu faults)|(system.+state.+changed )|(\[timeout)|(PRM\|1\|D)|(kpr)|(kdp)|(\|lc)|(penalty))"</v>
      </c>
      <c r="AG176" s="1" t="str">
        <f t="shared" si="56"/>
        <v>NW</v>
      </c>
      <c r="AH176" s="86" t="str">
        <f t="shared" si="57"/>
        <v>"%USERPROFILE%\Documents\GitHub\eaglep3\Utilities\RefineRTDCRunTimes.py" --tripid 815-14 --locoid 4054 --swversion DE.1.0.9.0 --startMP 204:1018 --initTime 2017-04-14T09:58:00 --startdatetime 2017-04-14T10:21:13 --delay 1 --endMP 300:58986 --enddatetime 2017-04-14T10:34:44 --enforcementcount 0 &gt;&gt;C:\Users\stu\Documents\GitHub\eaglep3-reporting\EC\2017-04-14-refined-times.txt</v>
      </c>
      <c r="AI176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{"issue":{"subject":"","project_id":79,"tracker_id":40,"status_id":1,"priority_id":2,"assigned_to_id":23,"start_date":"2017-04-14","description":"","custom_fields":[{"id":1,"name":"Subdivision","value":"NW"},{"id":4,"name":"Milepost","value":"5.8986"},{"id":17,"name":"Train ID","value":"815-14"},{"id":16,"name":"Locomotive ID","value":"4054"},{"id":130,"name":"Impact","value":""},{"id":150,"name":"Time of Event (Mountain Time)","value":"10:34:44"},{"id":151,"name":"Denver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59"/>
        <v>start /low /b %USERPROFILE%\Documents\GitHub\eaglep3\Utilities\DownloadLogsFromS3.py --loco 4054 --day 2017-04-14</v>
      </c>
      <c r="AN176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730</v>
      </c>
      <c r="B177" s="7">
        <v>4053</v>
      </c>
      <c r="C177" s="21" t="s">
        <v>214</v>
      </c>
      <c r="D177" s="21" t="s">
        <v>976</v>
      </c>
      <c r="E177" s="13">
        <v>42839.442418981482</v>
      </c>
      <c r="F177" s="13">
        <v>42839.444976851853</v>
      </c>
      <c r="G177" s="7">
        <v>1</v>
      </c>
      <c r="H177" s="21" t="s">
        <v>977</v>
      </c>
      <c r="I177" s="13">
        <v>42839.454942129632</v>
      </c>
      <c r="J177" s="7">
        <v>0</v>
      </c>
      <c r="K177" s="97" t="str">
        <f t="shared" si="42"/>
        <v>4053/4054</v>
      </c>
      <c r="L177" s="21" t="str">
        <f>VLOOKUP(A177,'Trips&amp;Operators'!$C$1:$G$99999,5,FALSE)</f>
        <v>SHOOK JOHN</v>
      </c>
      <c r="M177" s="6">
        <f t="shared" si="43"/>
        <v>9.9652777789742686E-3</v>
      </c>
      <c r="N177" s="7">
        <f t="shared" si="44"/>
        <v>14.350000001722947</v>
      </c>
      <c r="O177" s="7"/>
      <c r="P177" s="7"/>
      <c r="Q177" s="22"/>
      <c r="R177" s="22"/>
      <c r="S177" s="31">
        <f t="shared" si="45"/>
        <v>1</v>
      </c>
      <c r="T177" s="46" t="str">
        <f t="shared" si="46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47"/>
        <v>https://d0f6bd738d7f1b3e5a7ca70fe4ff75f0.us-east-1.aws.found.io/app/kibana#/discover/Steve-Slow-Train-Analysis-(2080s-and-2083s)?_g=(refreshInterval:(display:Off,pause:!f,section:0,value:0),time:(from:'2017-04-14T09:37:05-0600',mode:absolute,to:'2017-04-14T11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7" s="183" t="str">
        <f t="shared" si="48"/>
        <v>N</v>
      </c>
      <c r="X177" s="183">
        <f t="shared" si="49"/>
        <v>1</v>
      </c>
      <c r="Y177" s="62">
        <f t="shared" si="50"/>
        <v>5.8672000000000004</v>
      </c>
      <c r="Z177" s="62">
        <f t="shared" si="51"/>
        <v>7.3999999999999996E-2</v>
      </c>
      <c r="AA177" s="62">
        <f t="shared" si="52"/>
        <v>5.7932000000000006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3"/>
        <v>0816-14</v>
      </c>
      <c r="AE177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77" s="82" t="str">
        <f t="shared" si="55"/>
        <v>"C:\Program Files (x86)\AstroGrep\AstroGrep.exe" /e /r /s /spath="%USERPROFILE%\AppData\Local\Temp\OnboardLogs" /stypes="app*4053*20170414*" /stext=" 16:.+((SYSTEM_STATE.+slice.+state.+changed )|(ment ac)|(multiple cpu faults)|(system.+state.+changed )|(\[timeout)|(PRM\|1\|D)|(kpr)|(kdp)|(\|lc)|(penalty))"</v>
      </c>
      <c r="AG177" s="1" t="str">
        <f t="shared" si="56"/>
        <v>NW</v>
      </c>
      <c r="AH177" s="86" t="str">
        <f t="shared" si="57"/>
        <v>"%USERPROFILE%\Documents\GitHub\eaglep3\Utilities\RefineRTDCRunTimes.py" --tripid 816-14 --locoid 4053 --swversion DE.1.0.9.0 --startMP 300:58672 --initTime 2017-04-14T10:37:05 --startdatetime 2017-04-14T10:40:46 --delay 1 --endMP 204:740 --enddatetime 2017-04-14T10:55:07 --enforcementcount 0 &gt;&gt;C:\Users\stu\Documents\GitHub\eaglep3-reporting\EC\2017-04-14-refined-times.txt</v>
      </c>
      <c r="AI177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{"issue":{"subject":"","project_id":79,"tracker_id":40,"status_id":1,"priority_id":2,"assigned_to_id":23,"start_date":"2017-04-14","description":"","custom_fields":[{"id":1,"name":"Subdivision","value":"NW"},{"id":4,"name":"Milepost","value":"0.074"},{"id":17,"name":"Train ID","value":"816-14"},{"id":16,"name":"Locomotive ID","value":"4053"},{"id":130,"name":"Impact","value":""},{"id":150,"name":"Time of Event (Mountain Time)","value":"10:55:07"},{"id":151,"name":"Denver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59"/>
        <v>start /low /b %USERPROFILE%\Documents\GitHub\eaglep3\Utilities\DownloadLogsFromS3.py --loco 4053 --day 2017-04-14</v>
      </c>
      <c r="AN177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734</v>
      </c>
      <c r="B178" s="7">
        <v>4054</v>
      </c>
      <c r="C178" s="21" t="s">
        <v>214</v>
      </c>
      <c r="D178" s="21" t="s">
        <v>978</v>
      </c>
      <c r="E178" s="13">
        <v>42839.457002314812</v>
      </c>
      <c r="F178" s="13">
        <v>42839.473067129627</v>
      </c>
      <c r="G178" s="7">
        <v>1</v>
      </c>
      <c r="H178" s="21" t="s">
        <v>979</v>
      </c>
      <c r="I178" s="13">
        <v>42839.482349537036</v>
      </c>
      <c r="J178" s="7">
        <v>0</v>
      </c>
      <c r="K178" s="97" t="str">
        <f t="shared" si="42"/>
        <v>4053/4054</v>
      </c>
      <c r="L178" s="21" t="str">
        <f>VLOOKUP(A178,'Trips&amp;Operators'!$C$1:$G$99999,5,FALSE)</f>
        <v>SHOOK JOHN</v>
      </c>
      <c r="M178" s="6">
        <f t="shared" si="43"/>
        <v>9.2824074090458453E-3</v>
      </c>
      <c r="N178" s="7">
        <f t="shared" si="44"/>
        <v>13.366666669026017</v>
      </c>
      <c r="O178" s="7"/>
      <c r="P178" s="7"/>
      <c r="Q178" s="22"/>
      <c r="R178" s="22"/>
      <c r="S178" s="31">
        <f t="shared" si="45"/>
        <v>1</v>
      </c>
      <c r="T178" s="46" t="str">
        <f t="shared" si="46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47"/>
        <v>https://d0f6bd738d7f1b3e5a7ca70fe4ff75f0.us-east-1.aws.found.io/app/kibana#/discover/Steve-Slow-Train-Analysis-(2080s-and-2083s)?_g=(refreshInterval:(display:Off,pause:!f,section:0,value:0),time:(from:'2017-04-14T09:58:05-0600',mode:absolute,to:'2017-04-14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8" s="183" t="str">
        <f t="shared" si="48"/>
        <v>N</v>
      </c>
      <c r="X178" s="183">
        <f t="shared" si="49"/>
        <v>1</v>
      </c>
      <c r="Y178" s="62">
        <f t="shared" si="50"/>
        <v>0.1021</v>
      </c>
      <c r="Z178" s="62">
        <f t="shared" si="51"/>
        <v>5.8983999999999996</v>
      </c>
      <c r="AA178" s="62">
        <f t="shared" si="52"/>
        <v>5.7962999999999996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3"/>
        <v>0817-14</v>
      </c>
      <c r="AE178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78" s="82" t="str">
        <f t="shared" si="55"/>
        <v>"C:\Program Files (x86)\AstroGrep\AstroGrep.exe" /e /r /s /spath="%USERPROFILE%\AppData\Local\Temp\OnboardLogs" /stypes="app*4054*20170414*" /stext=" 17:.+((SYSTEM_STATE.+slice.+state.+changed )|(ment ac)|(multiple cpu faults)|(system.+state.+changed )|(\[timeout)|(PRM\|1\|D)|(kpr)|(kdp)|(\|lc)|(penalty))"</v>
      </c>
      <c r="AG178" s="1" t="str">
        <f t="shared" si="56"/>
        <v>NW</v>
      </c>
      <c r="AH178" s="86" t="str">
        <f t="shared" si="57"/>
        <v>"%USERPROFILE%\Documents\GitHub\eaglep3\Utilities\RefineRTDCRunTimes.py" --tripid 817-14 --locoid 4054 --swversion DE.1.0.9.0 --startMP 204:1021 --initTime 2017-04-14T10:58:05 --startdatetime 2017-04-14T11:21:13 --delay 1 --endMP 300:58984 --enddatetime 2017-04-14T11:34:35 --enforcementcount 0 &gt;&gt;C:\Users\stu\Documents\GitHub\eaglep3-reporting\EC\2017-04-14-refined-times.txt</v>
      </c>
      <c r="AI178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{"issue":{"subject":"","project_id":79,"tracker_id":40,"status_id":1,"priority_id":2,"assigned_to_id":23,"start_date":"2017-04-14","description":"","custom_fields":[{"id":1,"name":"Subdivision","value":"NW"},{"id":4,"name":"Milepost","value":"5.8984"},{"id":17,"name":"Train ID","value":"817-14"},{"id":16,"name":"Locomotive ID","value":"4054"},{"id":130,"name":"Impact","value":""},{"id":150,"name":"Time of Event (Mountain Time)","value":"11:34:35"},{"id":151,"name":"Denver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59"/>
        <v>start /low /b %USERPROFILE%\Documents\GitHub\eaglep3\Utilities\DownloadLogsFromS3.py --loco 4054 --day 2017-04-14</v>
      </c>
      <c r="AN178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739</v>
      </c>
      <c r="B179" s="7">
        <v>4053</v>
      </c>
      <c r="C179" s="21" t="s">
        <v>214</v>
      </c>
      <c r="D179" s="21" t="s">
        <v>528</v>
      </c>
      <c r="E179" s="13">
        <v>42839.484016203707</v>
      </c>
      <c r="F179" s="13">
        <v>42839.486643518518</v>
      </c>
      <c r="G179" s="7">
        <v>1</v>
      </c>
      <c r="H179" s="21" t="s">
        <v>612</v>
      </c>
      <c r="I179" s="13">
        <v>42839.496469907404</v>
      </c>
      <c r="J179" s="7">
        <v>0</v>
      </c>
      <c r="K179" s="97" t="str">
        <f t="shared" si="42"/>
        <v>4053/4054</v>
      </c>
      <c r="L179" s="21" t="str">
        <f>VLOOKUP(A179,'Trips&amp;Operators'!$C$1:$G$99999,5,FALSE)</f>
        <v>SHOOK JOHN</v>
      </c>
      <c r="M179" s="6">
        <f t="shared" si="43"/>
        <v>9.8263888867222704E-3</v>
      </c>
      <c r="N179" s="7">
        <f t="shared" si="44"/>
        <v>14.149999996880069</v>
      </c>
      <c r="O179" s="7"/>
      <c r="P179" s="7"/>
      <c r="Q179" s="22"/>
      <c r="R179" s="22"/>
      <c r="S179" s="31">
        <f t="shared" si="45"/>
        <v>1</v>
      </c>
      <c r="T179" s="46" t="str">
        <f t="shared" si="46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47"/>
        <v>https://d0f6bd738d7f1b3e5a7ca70fe4ff75f0.us-east-1.aws.found.io/app/kibana#/discover/Steve-Slow-Train-Analysis-(2080s-and-2083s)?_g=(refreshInterval:(display:Off,pause:!f,section:0,value:0),time:(from:'2017-04-14T10:36:59-0600',mode:absolute,to:'2017-04-14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9" s="183" t="str">
        <f t="shared" si="48"/>
        <v>N</v>
      </c>
      <c r="X179" s="183">
        <f t="shared" si="49"/>
        <v>1</v>
      </c>
      <c r="Y179" s="62">
        <f t="shared" si="50"/>
        <v>5.867</v>
      </c>
      <c r="Z179" s="62">
        <f t="shared" si="51"/>
        <v>7.3800000000000004E-2</v>
      </c>
      <c r="AA179" s="62">
        <f t="shared" si="52"/>
        <v>5.7931999999999997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3"/>
        <v>0818-14</v>
      </c>
      <c r="AE179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79" s="82" t="str">
        <f t="shared" si="55"/>
        <v>"C:\Program Files (x86)\AstroGrep\AstroGrep.exe" /e /r /s /spath="%USERPROFILE%\AppData\Local\Temp\OnboardLogs" /stypes="app*4053*20170414*" /stext=" 17:.+((SYSTEM_STATE.+slice.+state.+changed )|(ment ac)|(multiple cpu faults)|(system.+state.+changed )|(\[timeout)|(PRM\|1\|D)|(kpr)|(kdp)|(\|lc)|(penalty))"</v>
      </c>
      <c r="AG179" s="1" t="str">
        <f t="shared" si="56"/>
        <v>NW</v>
      </c>
      <c r="AH179" s="86" t="str">
        <f t="shared" si="57"/>
        <v>"%USERPROFILE%\Documents\GitHub\eaglep3\Utilities\RefineRTDCRunTimes.py" --tripid 818-14 --locoid 4053 --swversion DE.1.0.9.0 --startMP 300:58670 --initTime 2017-04-14T11:36:59 --startdatetime 2017-04-14T11:40:46 --delay 1 --endMP 204:738 --enddatetime 2017-04-14T11:54:55 --enforcementcount 0 &gt;&gt;C:\Users\stu\Documents\GitHub\eaglep3-reporting\EC\2017-04-14-refined-times.txt</v>
      </c>
      <c r="AI179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{"issue":{"subject":"","project_id":79,"tracker_id":40,"status_id":1,"priority_id":2,"assigned_to_id":23,"start_date":"2017-04-14","description":"","custom_fields":[{"id":1,"name":"Subdivision","value":"NW"},{"id":4,"name":"Milepost","value":"0.0738"},{"id":17,"name":"Train ID","value":"818-14"},{"id":16,"name":"Locomotive ID","value":"4053"},{"id":130,"name":"Impact","value":""},{"id":150,"name":"Time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59"/>
        <v>start /low /b %USERPROFILE%\Documents\GitHub\eaglep3\Utilities\DownloadLogsFromS3.py --loco 4053 --day 2017-04-14</v>
      </c>
      <c r="AN179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743</v>
      </c>
      <c r="B180" s="7">
        <v>4054</v>
      </c>
      <c r="C180" s="21" t="s">
        <v>214</v>
      </c>
      <c r="D180" s="21" t="s">
        <v>527</v>
      </c>
      <c r="E180" s="13">
        <v>42839.498414351852</v>
      </c>
      <c r="F180" s="13">
        <v>42839.514756944445</v>
      </c>
      <c r="G180" s="7">
        <v>1</v>
      </c>
      <c r="H180" s="21" t="s">
        <v>565</v>
      </c>
      <c r="I180" s="13">
        <v>42839.52412037037</v>
      </c>
      <c r="J180" s="7">
        <v>0</v>
      </c>
      <c r="K180" s="97" t="str">
        <f t="shared" si="42"/>
        <v>4053/4054</v>
      </c>
      <c r="L180" s="21" t="str">
        <f>VLOOKUP(A180,'Trips&amp;Operators'!$C$1:$G$99999,5,FALSE)</f>
        <v>SHOOK JOHN</v>
      </c>
      <c r="M180" s="6">
        <f t="shared" si="43"/>
        <v>9.3634259246755391E-3</v>
      </c>
      <c r="N180" s="7">
        <f t="shared" si="44"/>
        <v>13.483333331532776</v>
      </c>
      <c r="O180" s="7"/>
      <c r="P180" s="7"/>
      <c r="Q180" s="22"/>
      <c r="R180" s="22"/>
      <c r="S180" s="31">
        <f t="shared" si="45"/>
        <v>1</v>
      </c>
      <c r="T180" s="46" t="str">
        <f t="shared" si="46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47"/>
        <v>https://d0f6bd738d7f1b3e5a7ca70fe4ff75f0.us-east-1.aws.found.io/app/kibana#/discover/Steve-Slow-Train-Analysis-(2080s-and-2083s)?_g=(refreshInterval:(display:Off,pause:!f,section:0,value:0),time:(from:'2017-04-14T10:57:43-0600',mode:absolute,to:'2017-04-14T13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0" s="183" t="str">
        <f t="shared" si="48"/>
        <v>N</v>
      </c>
      <c r="X180" s="183">
        <f t="shared" si="49"/>
        <v>1</v>
      </c>
      <c r="Y180" s="62">
        <f t="shared" si="50"/>
        <v>0.1027</v>
      </c>
      <c r="Z180" s="62">
        <f t="shared" si="51"/>
        <v>5.8994999999999997</v>
      </c>
      <c r="AA180" s="62">
        <f t="shared" si="52"/>
        <v>5.7968000000000002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3"/>
        <v>0819-14</v>
      </c>
      <c r="AE180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80" s="82" t="str">
        <f t="shared" si="55"/>
        <v>"C:\Program Files (x86)\AstroGrep\AstroGrep.exe" /e /r /s /spath="%USERPROFILE%\AppData\Local\Temp\OnboardLogs" /stypes="app*4054*20170414*" /stext=" 18:.+((SYSTEM_STATE.+slice.+state.+changed )|(ment ac)|(multiple cpu faults)|(system.+state.+changed )|(\[timeout)|(PRM\|1\|D)|(kpr)|(kdp)|(\|lc)|(penalty))"</v>
      </c>
      <c r="AG180" s="1" t="str">
        <f t="shared" si="56"/>
        <v>NW</v>
      </c>
      <c r="AH180" s="86" t="str">
        <f t="shared" si="57"/>
        <v>"%USERPROFILE%\Documents\GitHub\eaglep3\Utilities\RefineRTDCRunTimes.py" --tripid 819-14 --locoid 4054 --swversion DE.1.0.9.0 --startMP 204:1027 --initTime 2017-04-14T11:57:43 --startdatetime 2017-04-14T12:21:15 --delay 1 --endMP 300:58995 --enddatetime 2017-04-14T12:34:44 --enforcementcount 0 &gt;&gt;C:\Users\stu\Documents\GitHub\eaglep3-reporting\EC\2017-04-14-refined-times.txt</v>
      </c>
      <c r="AI180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{"issue":{"subject":"","project_id":79,"tracker_id":40,"status_id":1,"priority_id":2,"assigned_to_id":23,"start_date":"2017-04-14","description":"","custom_fields":[{"id":1,"name":"Subdivision","value":"NW"},{"id":4,"name":"Milepost","value":"5.8995"},{"id":17,"name":"Train ID","value":"819-14"},{"id":16,"name":"Locomotive ID","value":"4054"},{"id":130,"name":"Impact","value":""},{"id":150,"name":"Time of Event (Mountain Time)","value":"12:34:44"},{"id":151,"name":"Denver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59"/>
        <v>start /low /b %USERPROFILE%\Documents\GitHub\eaglep3\Utilities\DownloadLogsFromS3.py --loco 4054 --day 2017-04-14</v>
      </c>
      <c r="AN180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750</v>
      </c>
      <c r="B181" s="7">
        <v>4053</v>
      </c>
      <c r="C181" s="21" t="s">
        <v>214</v>
      </c>
      <c r="D181" s="21" t="s">
        <v>955</v>
      </c>
      <c r="E181" s="13">
        <v>42839.525671296295</v>
      </c>
      <c r="F181" s="13">
        <v>42839.528263888889</v>
      </c>
      <c r="G181" s="7">
        <v>1</v>
      </c>
      <c r="H181" s="21" t="s">
        <v>982</v>
      </c>
      <c r="I181" s="13">
        <v>42839.540578703702</v>
      </c>
      <c r="J181" s="7">
        <v>0</v>
      </c>
      <c r="K181" s="97" t="str">
        <f t="shared" si="42"/>
        <v>4053/4054</v>
      </c>
      <c r="L181" s="21" t="str">
        <f>VLOOKUP(A181,'Trips&amp;Operators'!$C$1:$G$99999,5,FALSE)</f>
        <v>SHOOK JOHN</v>
      </c>
      <c r="M181" s="6">
        <f t="shared" si="43"/>
        <v>1.2314814812270924E-2</v>
      </c>
      <c r="N181" s="7">
        <f t="shared" si="44"/>
        <v>17.733333329670131</v>
      </c>
      <c r="O181" s="7"/>
      <c r="P181" s="7"/>
      <c r="Q181" s="22"/>
      <c r="R181" s="22"/>
      <c r="S181" s="31">
        <f t="shared" si="45"/>
        <v>1</v>
      </c>
      <c r="T181" s="46" t="str">
        <f t="shared" si="46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47"/>
        <v>https://d0f6bd738d7f1b3e5a7ca70fe4ff75f0.us-east-1.aws.found.io/app/kibana#/discover/Steve-Slow-Train-Analysis-(2080s-and-2083s)?_g=(refreshInterval:(display:Off,pause:!f,section:0,value:0),time:(from:'2017-04-14T11:36:58-0600',mode:absolute,to:'2017-04-14T13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1" s="183" t="str">
        <f t="shared" si="48"/>
        <v>N</v>
      </c>
      <c r="X181" s="183">
        <f t="shared" si="49"/>
        <v>1</v>
      </c>
      <c r="Y181" s="62">
        <f t="shared" si="50"/>
        <v>5.8677000000000001</v>
      </c>
      <c r="Z181" s="62">
        <f t="shared" si="51"/>
        <v>7.3300000000000004E-2</v>
      </c>
      <c r="AA181" s="62">
        <f t="shared" si="52"/>
        <v>5.7944000000000004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3"/>
        <v>0820-14</v>
      </c>
      <c r="AE181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81" s="82" t="str">
        <f t="shared" si="55"/>
        <v>"C:\Program Files (x86)\AstroGrep\AstroGrep.exe" /e /r /s /spath="%USERPROFILE%\AppData\Local\Temp\OnboardLogs" /stypes="app*4053*20170414*" /stext=" 18:.+((SYSTEM_STATE.+slice.+state.+changed )|(ment ac)|(multiple cpu faults)|(system.+state.+changed )|(\[timeout)|(PRM\|1\|D)|(kpr)|(kdp)|(\|lc)|(penalty))"</v>
      </c>
      <c r="AG181" s="1" t="str">
        <f t="shared" si="56"/>
        <v>NW</v>
      </c>
      <c r="AH181" s="86" t="str">
        <f t="shared" si="57"/>
        <v>"%USERPROFILE%\Documents\GitHub\eaglep3\Utilities\RefineRTDCRunTimes.py" --tripid 820-14 --locoid 4053 --swversion DE.1.0.9.0 --startMP 300:58677 --initTime 2017-04-14T12:36:58 --startdatetime 2017-04-14T12:40:42 --delay 1 --endMP 204:733 --enddatetime 2017-04-14T12:58:26 --enforcementcount 0 &gt;&gt;C:\Users\stu\Documents\GitHub\eaglep3-reporting\EC\2017-04-14-refined-times.txt</v>
      </c>
      <c r="AI181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{"issue":{"subject":"","project_id":79,"tracker_id":40,"status_id":1,"priority_id":2,"assigned_to_id":23,"start_date":"2017-04-14","description":"","custom_fields":[{"id":1,"name":"Subdivision","value":"NW"},{"id":4,"name":"Milepost","value":"0.0733"},{"id":17,"name":"Train ID","value":"820-14"},{"id":16,"name":"Locomotive ID","value":"4053"},{"id":130,"name":"Impact","value":""},{"id":150,"name":"Time of Event (Mountain Time)","value":"12:58:26"},{"id":151,"name":"Denver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59"/>
        <v>start /low /b %USERPROFILE%\Documents\GitHub\eaglep3\Utilities\DownloadLogsFromS3.py --loco 4053 --day 2017-04-14</v>
      </c>
      <c r="AN181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18:58:26"},{"id":29,"name":"Sharepoint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756</v>
      </c>
      <c r="B182" s="7">
        <v>4054</v>
      </c>
      <c r="C182" s="21" t="s">
        <v>214</v>
      </c>
      <c r="D182" s="21" t="s">
        <v>974</v>
      </c>
      <c r="E182" s="13">
        <v>42839.548576388886</v>
      </c>
      <c r="F182" s="13">
        <v>42839.556504629632</v>
      </c>
      <c r="G182" s="7">
        <v>1</v>
      </c>
      <c r="H182" s="21" t="s">
        <v>615</v>
      </c>
      <c r="I182" s="13">
        <v>42839.567812499998</v>
      </c>
      <c r="J182" s="7">
        <v>0</v>
      </c>
      <c r="K182" s="97" t="str">
        <f t="shared" si="42"/>
        <v>4053/4054</v>
      </c>
      <c r="L182" s="21" t="str">
        <f>VLOOKUP(A182,'Trips&amp;Operators'!$C$1:$G$99999,5,FALSE)</f>
        <v>GUZMAN DANNY</v>
      </c>
      <c r="M182" s="6">
        <f t="shared" si="43"/>
        <v>1.130787036527181E-2</v>
      </c>
      <c r="N182" s="7">
        <f t="shared" si="44"/>
        <v>16.283333325991407</v>
      </c>
      <c r="O182" s="7"/>
      <c r="P182" s="7"/>
      <c r="Q182" s="22"/>
      <c r="R182" s="22"/>
      <c r="S182" s="31">
        <f t="shared" si="45"/>
        <v>1</v>
      </c>
      <c r="T182" s="46" t="str">
        <f t="shared" si="46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47"/>
        <v>https://d0f6bd738d7f1b3e5a7ca70fe4ff75f0.us-east-1.aws.found.io/app/kibana#/discover/Steve-Slow-Train-Analysis-(2080s-and-2083s)?_g=(refreshInterval:(display:Off,pause:!f,section:0,value:0),time:(from:'2017-04-14T12:09:57-0600',mode:absolute,to:'2017-04-14T14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2" s="183" t="str">
        <f t="shared" si="48"/>
        <v>N</v>
      </c>
      <c r="X182" s="183">
        <f t="shared" si="49"/>
        <v>1</v>
      </c>
      <c r="Y182" s="62">
        <f t="shared" si="50"/>
        <v>0.1018</v>
      </c>
      <c r="Z182" s="62">
        <f t="shared" si="51"/>
        <v>5.8959999999999999</v>
      </c>
      <c r="AA182" s="62">
        <f t="shared" si="52"/>
        <v>5.7942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3"/>
        <v>0821-14</v>
      </c>
      <c r="AE182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82" s="82" t="str">
        <f t="shared" si="55"/>
        <v>"C:\Program Files (x86)\AstroGrep\AstroGrep.exe" /e /r /s /spath="%USERPROFILE%\AppData\Local\Temp\OnboardLogs" /stypes="app*4054*20170414*" /stext=" 19:.+((SYSTEM_STATE.+slice.+state.+changed )|(ment ac)|(multiple cpu faults)|(system.+state.+changed )|(\[timeout)|(PRM\|1\|D)|(kpr)|(kdp)|(\|lc)|(penalty))"</v>
      </c>
      <c r="AG182" s="1" t="str">
        <f t="shared" si="56"/>
        <v>NW</v>
      </c>
      <c r="AH182" s="86" t="str">
        <f t="shared" si="57"/>
        <v>"%USERPROFILE%\Documents\GitHub\eaglep3\Utilities\RefineRTDCRunTimes.py" --tripid 821-14 --locoid 4054 --swversion DE.1.0.9.0 --startMP 204:1018 --initTime 2017-04-14T13:09:57 --startdatetime 2017-04-14T13:21:22 --delay 1 --endMP 300:58960 --enddatetime 2017-04-14T13:37:39 --enforcementcount 0 &gt;&gt;C:\Users\stu\Documents\GitHub\eaglep3-reporting\EC\2017-04-14-refined-times.txt</v>
      </c>
      <c r="AI182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{"issue":{"subject":"","project_id":79,"tracker_id":40,"status_id":1,"priority_id":2,"assigned_to_id":23,"start_date":"2017-04-14","description":"","custom_fields":[{"id":1,"name":"Subdivision","value":"NW"},{"id":4,"name":"Milepost","value":"5.896"},{"id":17,"name":"Train ID","value":"821-14"},{"id":16,"name":"Locomotive ID","value":"4054"},{"id":130,"name":"Impact","value":""},{"id":150,"name":"Time of Event (Mountain Time)","value":"13:37:39"},{"id":151,"name":"Denver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59"/>
        <v>start /low /b %USERPROFILE%\Documents\GitHub\eaglep3\Utilities\DownloadLogsFromS3.py --loco 4054 --day 2017-04-14</v>
      </c>
      <c r="AN182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762</v>
      </c>
      <c r="B183" s="7">
        <v>4053</v>
      </c>
      <c r="C183" s="21" t="s">
        <v>214</v>
      </c>
      <c r="D183" s="21" t="s">
        <v>622</v>
      </c>
      <c r="E183" s="13">
        <v>42839.56858796296</v>
      </c>
      <c r="F183" s="13">
        <v>42839.570462962962</v>
      </c>
      <c r="G183" s="7">
        <v>1</v>
      </c>
      <c r="H183" s="21" t="s">
        <v>983</v>
      </c>
      <c r="I183" s="13">
        <v>42839.580312500002</v>
      </c>
      <c r="J183" s="7">
        <v>0</v>
      </c>
      <c r="K183" s="97" t="str">
        <f t="shared" si="42"/>
        <v>4053/4054</v>
      </c>
      <c r="L183" s="21" t="str">
        <f>VLOOKUP(A183,'Trips&amp;Operators'!$C$1:$G$99999,5,FALSE)</f>
        <v>GUZMAN DANNY</v>
      </c>
      <c r="M183" s="6">
        <f t="shared" si="43"/>
        <v>9.8495370402815752E-3</v>
      </c>
      <c r="N183" s="7">
        <f t="shared" si="44"/>
        <v>14.183333338005468</v>
      </c>
      <c r="O183" s="7"/>
      <c r="P183" s="7"/>
      <c r="Q183" s="22"/>
      <c r="R183" s="22"/>
      <c r="S183" s="31">
        <f t="shared" si="45"/>
        <v>1</v>
      </c>
      <c r="T183" s="46" t="str">
        <f t="shared" si="46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47"/>
        <v>https://d0f6bd738d7f1b3e5a7ca70fe4ff75f0.us-east-1.aws.found.io/app/kibana#/discover/Steve-Slow-Train-Analysis-(2080s-and-2083s)?_g=(refreshInterval:(display:Off,pause:!f,section:0,value:0),time:(from:'2017-04-14T12:38:46-0600',mode:absolute,to:'2017-04-14T14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3" s="183" t="str">
        <f t="shared" si="48"/>
        <v>N</v>
      </c>
      <c r="X183" s="183">
        <f t="shared" si="49"/>
        <v>1</v>
      </c>
      <c r="Y183" s="62">
        <f t="shared" si="50"/>
        <v>5.8644999999999996</v>
      </c>
      <c r="Z183" s="62">
        <f t="shared" si="51"/>
        <v>6.8699999999999997E-2</v>
      </c>
      <c r="AA183" s="62">
        <f t="shared" si="52"/>
        <v>5.7957999999999998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3"/>
        <v>0822-14</v>
      </c>
      <c r="AE183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83" s="82" t="str">
        <f t="shared" si="55"/>
        <v>"C:\Program Files (x86)\AstroGrep\AstroGrep.exe" /e /r /s /spath="%USERPROFILE%\AppData\Local\Temp\OnboardLogs" /stypes="app*4053*20170414*" /stext=" 19:.+((SYSTEM_STATE.+slice.+state.+changed )|(ment ac)|(multiple cpu faults)|(system.+state.+changed )|(\[timeout)|(PRM\|1\|D)|(kpr)|(kdp)|(\|lc)|(penalty))"</v>
      </c>
      <c r="AG183" s="1" t="str">
        <f t="shared" si="56"/>
        <v>NW</v>
      </c>
      <c r="AH183" s="86" t="str">
        <f t="shared" si="57"/>
        <v>"%USERPROFILE%\Documents\GitHub\eaglep3\Utilities\RefineRTDCRunTimes.py" --tripid 822-14 --locoid 4053 --swversion DE.1.0.9.0 --startMP 300:58645 --initTime 2017-04-14T13:38:46 --startdatetime 2017-04-14T13:41:28 --delay 1 --endMP 204:687 --enddatetime 2017-04-14T13:55:39 --enforcementcount 0 &gt;&gt;C:\Users\stu\Documents\GitHub\eaglep3-reporting\EC\2017-04-14-refined-times.txt</v>
      </c>
      <c r="AI183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{"issue":{"subject":"","project_id":79,"tracker_id":40,"status_id":1,"priority_id":2,"assigned_to_id":23,"start_date":"2017-04-14","description":"","custom_fields":[{"id":1,"name":"Subdivision","value":"NW"},{"id":4,"name":"Milepost","value":"0.0687"},{"id":17,"name":"Train ID","value":"822-14"},{"id":16,"name":"Locomotive ID","value":"4053"},{"id":130,"name":"Impact","value":""},{"id":150,"name":"Time of Event (Mountain Time)","value":"13:55:39"},{"id":151,"name":"Denver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59"/>
        <v>start /low /b %USERPROFILE%\Documents\GitHub\eaglep3\Utilities\DownloadLogsFromS3.py --loco 4053 --day 2017-04-14</v>
      </c>
      <c r="AN183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19:55:39"},{"id":29,"name":"Sharepoint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764</v>
      </c>
      <c r="B184" s="7">
        <v>4054</v>
      </c>
      <c r="C184" s="21" t="s">
        <v>214</v>
      </c>
      <c r="D184" s="21" t="s">
        <v>513</v>
      </c>
      <c r="E184" s="13">
        <v>42839.5858912037</v>
      </c>
      <c r="F184" s="13">
        <v>42839.598090277781</v>
      </c>
      <c r="G184" s="7">
        <v>0</v>
      </c>
      <c r="H184" s="21" t="s">
        <v>615</v>
      </c>
      <c r="I184" s="13">
        <v>42839.607812499999</v>
      </c>
      <c r="J184" s="7">
        <v>0</v>
      </c>
      <c r="K184" s="97" t="str">
        <f t="shared" si="42"/>
        <v>4053/4054</v>
      </c>
      <c r="L184" s="21" t="str">
        <f>VLOOKUP(A184,'Trips&amp;Operators'!$C$1:$G$99999,5,FALSE)</f>
        <v>GUZMAN DANNY</v>
      </c>
      <c r="M184" s="6">
        <f t="shared" si="43"/>
        <v>9.7222222175332718E-3</v>
      </c>
      <c r="N184" s="7">
        <f t="shared" si="44"/>
        <v>13.999999993247911</v>
      </c>
      <c r="O184" s="7"/>
      <c r="P184" s="7"/>
      <c r="Q184" s="22"/>
      <c r="R184" s="22"/>
      <c r="S184" s="31">
        <f t="shared" si="45"/>
        <v>1</v>
      </c>
      <c r="T184" s="46" t="str">
        <f t="shared" si="46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47"/>
        <v>https://d0f6bd738d7f1b3e5a7ca70fe4ff75f0.us-east-1.aws.found.io/app/kibana#/discover/Steve-Slow-Train-Analysis-(2080s-and-2083s)?_g=(refreshInterval:(display:Off,pause:!f,section:0,value:0),time:(from:'2017-04-14T13:03:41-0600',mode:absolute,to:'2017-04-14T15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183" t="str">
        <f t="shared" si="48"/>
        <v>N</v>
      </c>
      <c r="X184" s="183">
        <f t="shared" si="49"/>
        <v>1</v>
      </c>
      <c r="Y184" s="62">
        <f t="shared" si="50"/>
        <v>9.6699999999999994E-2</v>
      </c>
      <c r="Z184" s="62">
        <f t="shared" si="51"/>
        <v>5.8959999999999999</v>
      </c>
      <c r="AA184" s="62">
        <f t="shared" si="52"/>
        <v>5.7992999999999997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3"/>
        <v>0823-14</v>
      </c>
      <c r="AE184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84" s="82" t="str">
        <f t="shared" si="55"/>
        <v>"C:\Program Files (x86)\AstroGrep\AstroGrep.exe" /e /r /s /spath="%USERPROFILE%\AppData\Local\Temp\OnboardLogs" /stypes="app*4054*20170414*" /stext=" 20:.+((SYSTEM_STATE.+slice.+state.+changed )|(ment ac)|(multiple cpu faults)|(system.+state.+changed )|(\[timeout)|(PRM\|1\|D)|(kpr)|(kdp)|(\|lc)|(penalty))"</v>
      </c>
      <c r="AG184" s="1" t="str">
        <f t="shared" si="56"/>
        <v>NW</v>
      </c>
      <c r="AH184" s="86" t="str">
        <f t="shared" si="57"/>
        <v>"%USERPROFILE%\Documents\GitHub\eaglep3\Utilities\RefineRTDCRunTimes.py" --tripid 823-14 --locoid 4054 --swversion DE.1.0.9.0 --startMP 204:967 --initTime 2017-04-14T14:03:41 --startdatetime 2017-04-14T14:21:15 --delay 0 --endMP 300:58960 --enddatetime 2017-04-14T14:35:15 --enforcementcount 0 &gt;&gt;C:\Users\stu\Documents\GitHub\eaglep3-reporting\EC\2017-04-14-refined-times.txt</v>
      </c>
      <c r="AI184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{"issue":{"subject":"","project_id":79,"tracker_id":40,"status_id":1,"priority_id":2,"assigned_to_id":23,"start_date":"2017-04-14","description":"","custom_fields":[{"id":1,"name":"Subdivision","value":"NW"},{"id":4,"name":"Milepost","value":"5.896"},{"id":17,"name":"Train ID","value":"823-14"},{"id":16,"name":"Locomotive ID","value":"4054"},{"id":130,"name":"Impact","value":""},{"id":150,"name":"Time of Event (Mountain Time)","value":"14:35:15"},{"id":151,"name":"Denver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59"/>
        <v>start /low /b %USERPROFILE%\Documents\GitHub\eaglep3\Utilities\DownloadLogsFromS3.py --loco 4054 --day 2017-04-14</v>
      </c>
      <c r="AN184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20:35:15"},{"id":29,"name":"Sharepoint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768</v>
      </c>
      <c r="B185" s="7">
        <v>4053</v>
      </c>
      <c r="C185" s="21" t="s">
        <v>214</v>
      </c>
      <c r="D185" s="21" t="s">
        <v>616</v>
      </c>
      <c r="E185" s="13">
        <v>42839.608761574076</v>
      </c>
      <c r="F185" s="13">
        <v>42839.639768518522</v>
      </c>
      <c r="G185" s="7">
        <v>1</v>
      </c>
      <c r="H185" s="21" t="s">
        <v>558</v>
      </c>
      <c r="I185" s="13">
        <v>42839.649606481478</v>
      </c>
      <c r="J185" s="7">
        <v>0</v>
      </c>
      <c r="K185" s="97" t="str">
        <f t="shared" si="42"/>
        <v>4053/4054</v>
      </c>
      <c r="L185" s="21" t="str">
        <f>VLOOKUP(A185,'Trips&amp;Operators'!$C$1:$G$99999,5,FALSE)</f>
        <v>GUZMAN DANNY</v>
      </c>
      <c r="M185" s="6">
        <f t="shared" si="43"/>
        <v>9.8379629562259652E-3</v>
      </c>
      <c r="N185" s="7">
        <f t="shared" si="44"/>
        <v>14.16666665696539</v>
      </c>
      <c r="O185" s="7"/>
      <c r="P185" s="7"/>
      <c r="Q185" s="22"/>
      <c r="R185" s="22"/>
      <c r="S185" s="31">
        <f t="shared" si="45"/>
        <v>1</v>
      </c>
      <c r="T185" s="46" t="str">
        <f t="shared" si="46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47"/>
        <v>https://d0f6bd738d7f1b3e5a7ca70fe4ff75f0.us-east-1.aws.found.io/app/kibana#/discover/Steve-Slow-Train-Analysis-(2080s-and-2083s)?_g=(refreshInterval:(display:Off,pause:!f,section:0,value:0),time:(from:'2017-04-14T13:36:37-0600',mode:absolute,to:'2017-04-14T16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5" s="183" t="str">
        <f t="shared" si="48"/>
        <v>N</v>
      </c>
      <c r="X185" s="183">
        <f t="shared" si="49"/>
        <v>1</v>
      </c>
      <c r="Y185" s="62">
        <f t="shared" si="50"/>
        <v>5.8648999999999996</v>
      </c>
      <c r="Z185" s="62">
        <f t="shared" si="51"/>
        <v>6.8199999999999997E-2</v>
      </c>
      <c r="AA185" s="62">
        <f t="shared" si="52"/>
        <v>5.7966999999999995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3"/>
        <v>0824-14</v>
      </c>
      <c r="AE185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85" s="82" t="str">
        <f t="shared" si="55"/>
        <v>"C:\Program Files (x86)\AstroGrep\AstroGrep.exe" /e /r /s /spath="%USERPROFILE%\AppData\Local\Temp\OnboardLogs" /stypes="app*4053*20170414*" /stext=" 21:.+((SYSTEM_STATE.+slice.+state.+changed )|(ment ac)|(multiple cpu faults)|(system.+state.+changed )|(\[timeout)|(PRM\|1\|D)|(kpr)|(kdp)|(\|lc)|(penalty))"</v>
      </c>
      <c r="AG185" s="1" t="str">
        <f t="shared" si="56"/>
        <v>NW</v>
      </c>
      <c r="AH185" s="86" t="str">
        <f t="shared" si="57"/>
        <v>"%USERPROFILE%\Documents\GitHub\eaglep3\Utilities\RefineRTDCRunTimes.py" --tripid 824-14 --locoid 4053 --swversion DE.1.0.9.0 --startMP 300:58649 --initTime 2017-04-14T14:36:37 --startdatetime 2017-04-14T15:21:16 --delay 1 --endMP 204:682 --enddatetime 2017-04-14T15:35:26 --enforcementcount 0 &gt;&gt;C:\Users\stu\Documents\GitHub\eaglep3-reporting\EC\2017-04-14-refined-times.txt</v>
      </c>
      <c r="AI185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{"issue":{"subject":"","project_id":79,"tracker_id":40,"status_id":1,"priority_id":2,"assigned_to_id":23,"start_date":"2017-04-14","description":"","custom_fields":[{"id":1,"name":"Subdivision","value":"NW"},{"id":4,"name":"Milepost","value":"0.0682"},{"id":17,"name":"Train ID","value":"824-14"},{"id":16,"name":"Locomotive ID","value":"4053"},{"id":130,"name":"Impact","value":""},{"id":150,"name":"Time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59"/>
        <v>start /low /b %USERPROFILE%\Documents\GitHub\eaglep3\Utilities\DownloadLogsFromS3.py --loco 4053 --day 2017-04-14</v>
      </c>
      <c r="AN185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3" t="s">
        <v>775</v>
      </c>
      <c r="B186" s="7">
        <v>4054</v>
      </c>
      <c r="C186" s="21" t="s">
        <v>214</v>
      </c>
      <c r="D186" s="21" t="s">
        <v>984</v>
      </c>
      <c r="E186" s="13">
        <v>42839.63349537037</v>
      </c>
      <c r="F186" s="13">
        <v>42839.639768518522</v>
      </c>
      <c r="G186" s="7">
        <v>1</v>
      </c>
      <c r="H186" s="21" t="s">
        <v>985</v>
      </c>
      <c r="I186" s="13">
        <v>42839.649606481478</v>
      </c>
      <c r="J186" s="7">
        <v>0</v>
      </c>
      <c r="K186" s="97" t="str">
        <f t="shared" si="42"/>
        <v>4053/4054</v>
      </c>
      <c r="L186" s="21" t="str">
        <f>VLOOKUP(A186,'Trips&amp;Operators'!$C$1:$G$99999,5,FALSE)</f>
        <v>GUZMAN DANNY</v>
      </c>
      <c r="M186" s="6">
        <f t="shared" si="43"/>
        <v>9.8379629562259652E-3</v>
      </c>
      <c r="N186" s="7">
        <f t="shared" si="44"/>
        <v>14.16666665696539</v>
      </c>
      <c r="O186" s="7"/>
      <c r="P186" s="7"/>
      <c r="Q186" s="22"/>
      <c r="R186" s="22"/>
      <c r="S186" s="31">
        <f t="shared" si="45"/>
        <v>1</v>
      </c>
      <c r="T186" s="46" t="str">
        <f t="shared" si="46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47"/>
        <v>https://d0f6bd738d7f1b3e5a7ca70fe4ff75f0.us-east-1.aws.found.io/app/kibana#/discover/Steve-Slow-Train-Analysis-(2080s-and-2083s)?_g=(refreshInterval:(display:Off,pause:!f,section:0,value:0),time:(from:'2017-04-14T14:12:14-0600',mode:absolute,to:'2017-04-14T16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6" s="183" t="str">
        <f t="shared" si="48"/>
        <v>N</v>
      </c>
      <c r="X186" s="183">
        <f t="shared" si="49"/>
        <v>1</v>
      </c>
      <c r="Y186" s="62">
        <f t="shared" si="50"/>
        <v>9.64E-2</v>
      </c>
      <c r="Z186" s="62">
        <f t="shared" si="51"/>
        <v>5.8939000000000004</v>
      </c>
      <c r="AA186" s="62">
        <f t="shared" si="52"/>
        <v>5.7975000000000003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3"/>
        <v>0825-14</v>
      </c>
      <c r="AE186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86" s="82" t="str">
        <f t="shared" si="55"/>
        <v>"C:\Program Files (x86)\AstroGrep\AstroGrep.exe" /e /r /s /spath="%USERPROFILE%\AppData\Local\Temp\OnboardLogs" /stypes="app*4054*20170414*" /stext=" 21:.+((SYSTEM_STATE.+slice.+state.+changed )|(ment ac)|(multiple cpu faults)|(system.+state.+changed )|(\[timeout)|(PRM\|1\|D)|(kpr)|(kdp)|(\|lc)|(penalty))"</v>
      </c>
      <c r="AG186" s="1" t="str">
        <f t="shared" si="56"/>
        <v>NW</v>
      </c>
      <c r="AH186" s="86" t="str">
        <f t="shared" si="57"/>
        <v>"%USERPROFILE%\Documents\GitHub\eaglep3\Utilities\RefineRTDCRunTimes.py" --tripid 825-14 --locoid 4054 --swversion DE.1.0.9.0 --startMP 204:964 --initTime 2017-04-14T15:12:14 --startdatetime 2017-04-14T15:21:16 --delay 1 --endMP 300:58939 --enddatetime 2017-04-14T15:35:26 --enforcementcount 0 &gt;&gt;C:\Users\stu\Documents\GitHub\eaglep3-reporting\EC\2017-04-14-refined-times.txt</v>
      </c>
      <c r="AI186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{"issue":{"subject":"","project_id":79,"tracker_id":40,"status_id":1,"priority_id":2,"assigned_to_id":23,"start_date":"2017-04-14","description":"","custom_fields":[{"id":1,"name":"Subdivision","value":"NW"},{"id":4,"name":"Milepost","value":"5.8939"},{"id":17,"name":"Train ID","value":"825-14"},{"id":16,"name":"Locomotive ID","value":"4054"},{"id":130,"name":"Impact","value":""},{"id":150,"name":"Time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59"/>
        <v>start /low /b %USERPROFILE%\Documents\GitHub\eaglep3\Utilities\DownloadLogsFromS3.py --loco 4054 --day 2017-04-14</v>
      </c>
      <c r="AN186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779</v>
      </c>
      <c r="B187" s="7">
        <v>4053</v>
      </c>
      <c r="C187" s="21" t="s">
        <v>214</v>
      </c>
      <c r="D187" s="21" t="s">
        <v>986</v>
      </c>
      <c r="E187" s="13">
        <v>42839.650682870371</v>
      </c>
      <c r="F187" s="13">
        <v>42839.652418981481</v>
      </c>
      <c r="G187" s="7">
        <v>1</v>
      </c>
      <c r="H187" s="21" t="s">
        <v>610</v>
      </c>
      <c r="I187" s="13">
        <v>42839.663946759261</v>
      </c>
      <c r="J187" s="7">
        <v>0</v>
      </c>
      <c r="K187" s="97" t="str">
        <f t="shared" si="42"/>
        <v>4053/4054</v>
      </c>
      <c r="L187" s="21" t="str">
        <f>VLOOKUP(A187,'Trips&amp;Operators'!$C$1:$G$99999,5,FALSE)</f>
        <v>GUZMAN DANNY</v>
      </c>
      <c r="M187" s="6">
        <f t="shared" si="43"/>
        <v>1.152777778042946E-2</v>
      </c>
      <c r="N187" s="7">
        <f t="shared" si="44"/>
        <v>16.600000003818423</v>
      </c>
      <c r="O187" s="7"/>
      <c r="P187" s="7"/>
      <c r="Q187" s="22"/>
      <c r="R187" s="22"/>
      <c r="S187" s="31">
        <f t="shared" si="45"/>
        <v>1</v>
      </c>
      <c r="T187" s="46" t="str">
        <f t="shared" si="46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47"/>
        <v>https://d0f6bd738d7f1b3e5a7ca70fe4ff75f0.us-east-1.aws.found.io/app/kibana#/discover/Steve-Slow-Train-Analysis-(2080s-and-2083s)?_g=(refreshInterval:(display:Off,pause:!f,section:0,value:0),time:(from:'2017-04-14T14:36:59-0600',mode:absolute,to:'2017-04-14T16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7" s="183" t="str">
        <f t="shared" si="48"/>
        <v>N</v>
      </c>
      <c r="X187" s="183">
        <f t="shared" si="49"/>
        <v>1</v>
      </c>
      <c r="Y187" s="62">
        <f t="shared" si="50"/>
        <v>5.8624000000000001</v>
      </c>
      <c r="Z187" s="62">
        <f t="shared" si="51"/>
        <v>6.8900000000000003E-2</v>
      </c>
      <c r="AA187" s="62">
        <f t="shared" si="52"/>
        <v>5.7934999999999999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3"/>
        <v>0826-14</v>
      </c>
      <c r="AE187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87" s="82" t="str">
        <f t="shared" si="55"/>
        <v>"C:\Program Files (x86)\AstroGrep\AstroGrep.exe" /e /r /s /spath="%USERPROFILE%\AppData\Local\Temp\OnboardLogs" /stypes="app*4053*20170414*" /stext=" 21:.+((SYSTEM_STATE.+slice.+state.+changed )|(ment ac)|(multiple cpu faults)|(system.+state.+changed )|(\[timeout)|(PRM\|1\|D)|(kpr)|(kdp)|(\|lc)|(penalty))"</v>
      </c>
      <c r="AG187" s="1" t="str">
        <f t="shared" si="56"/>
        <v>NW</v>
      </c>
      <c r="AH187" s="86" t="str">
        <f t="shared" si="57"/>
        <v>"%USERPROFILE%\Documents\GitHub\eaglep3\Utilities\RefineRTDCRunTimes.py" --tripid 826-14 --locoid 4053 --swversion DE.1.0.9.0 --startMP 300:58624 --initTime 2017-04-14T15:36:59 --startdatetime 2017-04-14T15:39:29 --delay 1 --endMP 204:689 --enddatetime 2017-04-14T15:56:05 --enforcementcount 0 &gt;&gt;C:\Users\stu\Documents\GitHub\eaglep3-reporting\EC\2017-04-14-refined-times.txt</v>
      </c>
      <c r="AI187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{"issue":{"subject":"","project_id":79,"tracker_id":40,"status_id":1,"priority_id":2,"assigned_to_id":23,"start_date":"2017-04-14","description":"","custom_fields":[{"id":1,"name":"Subdivision","value":"NW"},{"id":4,"name":"Milepost","value":"0.0689"},{"id":17,"name":"Train ID","value":"826-14"},{"id":16,"name":"Locomotive ID","value":"4053"},{"id":130,"name":"Impact","value":""},{"id":150,"name":"Time of Event (Mountain Time)","value":"15:56:05"},{"id":151,"name":"Denver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9"/>
        <v>start /low /b %USERPROFILE%\Documents\GitHub\eaglep3\Utilities\DownloadLogsFromS3.py --loco 4053 --day 2017-04-14</v>
      </c>
      <c r="AN187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780</v>
      </c>
      <c r="B188" s="7">
        <v>4028</v>
      </c>
      <c r="C188" s="21" t="s">
        <v>214</v>
      </c>
      <c r="D188" s="21" t="s">
        <v>557</v>
      </c>
      <c r="E188" s="13">
        <v>42839.65252314815</v>
      </c>
      <c r="F188" s="13">
        <v>42839.660590277781</v>
      </c>
      <c r="G188" s="7">
        <v>1</v>
      </c>
      <c r="H188" s="21" t="s">
        <v>625</v>
      </c>
      <c r="I188" s="13">
        <v>42839.670381944445</v>
      </c>
      <c r="J188" s="7">
        <v>0</v>
      </c>
      <c r="K188" s="97" t="str">
        <f t="shared" si="42"/>
        <v>4027/4028</v>
      </c>
      <c r="L188" s="21" t="str">
        <f>VLOOKUP(A188,'Trips&amp;Operators'!$C$1:$G$99999,5,FALSE)</f>
        <v>SULLIVAN BRANDON</v>
      </c>
      <c r="M188" s="6">
        <f t="shared" si="43"/>
        <v>9.7916666636592709E-3</v>
      </c>
      <c r="N188" s="7">
        <f t="shared" si="44"/>
        <v>14.09999999566935</v>
      </c>
      <c r="O188" s="7"/>
      <c r="P188" s="7"/>
      <c r="Q188" s="22"/>
      <c r="R188" s="22"/>
      <c r="S188" s="31">
        <f t="shared" si="45"/>
        <v>1</v>
      </c>
      <c r="T188" s="46" t="str">
        <f t="shared" si="46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47"/>
        <v>https://d0f6bd738d7f1b3e5a7ca70fe4ff75f0.us-east-1.aws.found.io/app/kibana#/discover/Steve-Slow-Train-Analysis-(2080s-and-2083s)?_g=(refreshInterval:(display:Off,pause:!f,section:0,value:0),time:(from:'2017-04-14T14:39:38-0600',mode:absolute,to:'2017-04-14T17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183" t="str">
        <f t="shared" si="48"/>
        <v>N</v>
      </c>
      <c r="X188" s="183">
        <f t="shared" si="49"/>
        <v>1</v>
      </c>
      <c r="Y188" s="62">
        <f t="shared" si="50"/>
        <v>9.69E-2</v>
      </c>
      <c r="Z188" s="62">
        <f t="shared" si="51"/>
        <v>5.8958000000000004</v>
      </c>
      <c r="AA188" s="62">
        <f t="shared" si="52"/>
        <v>5.7989000000000006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3"/>
        <v>0827-14</v>
      </c>
      <c r="AE188" s="85" t="str">
        <f t="shared" si="54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188" s="82" t="str">
        <f t="shared" si="55"/>
        <v>"C:\Program Files (x86)\AstroGrep\AstroGrep.exe" /e /r /s /spath="%USERPROFILE%\AppData\Local\Temp\OnboardLogs" /stypes="app*4028*20170414*" /stext=" 22:.+((SYSTEM_STATE.+slice.+state.+changed )|(ment ac)|(multiple cpu faults)|(system.+state.+changed )|(\[timeout)|(PRM\|1\|D)|(kpr)|(kdp)|(\|lc)|(penalty))"</v>
      </c>
      <c r="AG188" s="1" t="str">
        <f t="shared" si="56"/>
        <v>NW</v>
      </c>
      <c r="AH188" s="86" t="str">
        <f t="shared" si="57"/>
        <v>"%USERPROFILE%\Documents\GitHub\eaglep3\Utilities\RefineRTDCRunTimes.py" --tripid 827-14 --locoid 4028 --swversion DE.1.0.9.0 --startMP 204:969 --initTime 2017-04-14T15:39:38 --startdatetime 2017-04-14T15:51:15 --delay 1 --endMP 300:58958 --enddatetime 2017-04-14T16:05:21 --enforcementcount 0 &gt;&gt;C:\Users\stu\Documents\GitHub\eaglep3-reporting\EC\2017-04-14-refined-times.txt</v>
      </c>
      <c r="AI188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{"issue":{"subject":"","project_id":79,"tracker_id":40,"status_id":1,"priority_id":2,"assigned_to_id":23,"start_date":"2017-04-14","description":"","custom_fields":[{"id":1,"name":"Subdivision","value":"NW"},{"id":4,"name":"Milepost","value":"5.8958"},{"id":17,"name":"Train ID","value":"827-14"},{"id":16,"name":"Locomotive ID","value":"4028"},{"id":130,"name":"Impact","value":""},{"id":150,"name":"Time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9"/>
        <v>start /low /b %USERPROFILE%\Documents\GitHub\eaglep3\Utilities\DownloadLogsFromS3.py --loco 4028 --day 2017-04-14</v>
      </c>
      <c r="AN188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643</v>
      </c>
      <c r="B189" s="7">
        <v>4027</v>
      </c>
      <c r="C189" s="21" t="s">
        <v>214</v>
      </c>
      <c r="D189" s="21" t="s">
        <v>987</v>
      </c>
      <c r="E189" s="13">
        <v>42839.671261574076</v>
      </c>
      <c r="F189" s="13">
        <v>42839.672685185185</v>
      </c>
      <c r="G189" s="7">
        <v>1</v>
      </c>
      <c r="H189" s="21" t="s">
        <v>561</v>
      </c>
      <c r="I189" s="13">
        <v>42839.684560185182</v>
      </c>
      <c r="J189" s="7">
        <v>0</v>
      </c>
      <c r="K189" s="97" t="str">
        <f t="shared" si="42"/>
        <v>4027/4028</v>
      </c>
      <c r="L189" s="21" t="str">
        <f>VLOOKUP(A189,'Trips&amp;Operators'!$C$1:$G$99999,5,FALSE)</f>
        <v>SULLIVAN BRANDON</v>
      </c>
      <c r="M189" s="6">
        <f t="shared" si="43"/>
        <v>1.187499999650754E-2</v>
      </c>
      <c r="N189" s="7">
        <f t="shared" si="44"/>
        <v>17.099999994970858</v>
      </c>
      <c r="O189" s="7"/>
      <c r="P189" s="7"/>
      <c r="Q189" s="22"/>
      <c r="R189" s="22"/>
      <c r="S189" s="31">
        <f t="shared" si="45"/>
        <v>1</v>
      </c>
      <c r="T189" s="46" t="str">
        <f t="shared" si="46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47"/>
        <v>https://d0f6bd738d7f1b3e5a7ca70fe4ff75f0.us-east-1.aws.found.io/app/kibana#/discover/Steve-Slow-Train-Analysis-(2080s-and-2083s)?_g=(refreshInterval:(display:Off,pause:!f,section:0,value:0),time:(from:'2017-04-14T15:06:37-0600',mode:absolute,to:'2017-04-14T17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183" t="str">
        <f t="shared" si="48"/>
        <v>N</v>
      </c>
      <c r="X189" s="183">
        <f t="shared" si="49"/>
        <v>1</v>
      </c>
      <c r="Y189" s="62">
        <f t="shared" si="50"/>
        <v>5.8640999999999996</v>
      </c>
      <c r="Z189" s="62">
        <f t="shared" si="51"/>
        <v>6.6600000000000006E-2</v>
      </c>
      <c r="AA189" s="62">
        <f t="shared" si="52"/>
        <v>5.7974999999999994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3"/>
        <v>0828-14</v>
      </c>
      <c r="AE189" s="85" t="str">
        <f t="shared" si="54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189" s="82" t="str">
        <f t="shared" si="55"/>
        <v>"C:\Program Files (x86)\AstroGrep\AstroGrep.exe" /e /r /s /spath="%USERPROFILE%\AppData\Local\Temp\OnboardLogs" /stypes="app*4027*20170414*" /stext=" 22:.+((SYSTEM_STATE.+slice.+state.+changed )|(ment ac)|(multiple cpu faults)|(system.+state.+changed )|(\[timeout)|(PRM\|1\|D)|(kpr)|(kdp)|(\|lc)|(penalty))"</v>
      </c>
      <c r="AG189" s="1" t="str">
        <f t="shared" si="56"/>
        <v>NW</v>
      </c>
      <c r="AH189" s="86" t="str">
        <f t="shared" si="57"/>
        <v>"%USERPROFILE%\Documents\GitHub\eaglep3\Utilities\RefineRTDCRunTimes.py" --tripid 828-14 --locoid 4027 --swversion DE.1.0.9.0 --startMP 300:58641 --initTime 2017-04-14T16:06:37 --startdatetime 2017-04-14T16:08:40 --delay 1 --endMP 204:666 --enddatetime 2017-04-14T16:25:46 --enforcementcount 0 &gt;&gt;C:\Users\stu\Documents\GitHub\eaglep3-reporting\EC\2017-04-14-refined-times.txt</v>
      </c>
      <c r="AI189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{"issue":{"subject":"","project_id":79,"tracker_id":40,"status_id":1,"priority_id":2,"assigned_to_id":23,"start_date":"2017-04-14","description":"","custom_fields":[{"id":1,"name":"Subdivision","value":"NW"},{"id":4,"name":"Milepost","value":"0.0666"},{"id":17,"name":"Train ID","value":"828-14"},{"id":16,"name":"Locomotive ID","value":"4027"},{"id":130,"name":"Impact","value":""},{"id":150,"name":"Time of Event (Mountain Time)","value":"16:25:46"},{"id":151,"name":"Denver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9"/>
        <v>start /low /b %USERPROFILE%\Documents\GitHub\eaglep3\Utilities\DownloadLogsFromS3.py --loco 4027 --day 2017-04-14</v>
      </c>
      <c r="AN189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784</v>
      </c>
      <c r="B190" s="7">
        <v>4054</v>
      </c>
      <c r="C190" s="21" t="s">
        <v>214</v>
      </c>
      <c r="D190" s="21" t="s">
        <v>988</v>
      </c>
      <c r="E190" s="13">
        <v>42839.665011574078</v>
      </c>
      <c r="F190" s="13">
        <v>42839.681446759256</v>
      </c>
      <c r="G190" s="7">
        <v>0</v>
      </c>
      <c r="H190" s="21" t="s">
        <v>621</v>
      </c>
      <c r="I190" s="13">
        <v>42839.691134259258</v>
      </c>
      <c r="J190" s="7">
        <v>0</v>
      </c>
      <c r="K190" s="97" t="str">
        <f t="shared" si="42"/>
        <v>4053/4054</v>
      </c>
      <c r="L190" s="21" t="str">
        <f>VLOOKUP(A190,'Trips&amp;Operators'!$C$1:$G$99999,5,FALSE)</f>
        <v>GUZMAN DANNY</v>
      </c>
      <c r="M190" s="6">
        <f t="shared" si="43"/>
        <v>9.6875000017462298E-3</v>
      </c>
      <c r="N190" s="7">
        <f t="shared" si="44"/>
        <v>13.950000002514571</v>
      </c>
      <c r="O190" s="7"/>
      <c r="P190" s="7"/>
      <c r="Q190" s="22"/>
      <c r="R190" s="22"/>
      <c r="S190" s="31">
        <f t="shared" si="45"/>
        <v>1</v>
      </c>
      <c r="T190" s="46" t="str">
        <f t="shared" si="46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47"/>
        <v>https://d0f6bd738d7f1b3e5a7ca70fe4ff75f0.us-east-1.aws.found.io/app/kibana#/discover/Steve-Slow-Train-Analysis-(2080s-and-2083s)?_g=(refreshInterval:(display:Off,pause:!f,section:0,value:0),time:(from:'2017-04-14T14:57:37-0600',mode:absolute,to:'2017-04-14T17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0" s="183" t="str">
        <f t="shared" si="48"/>
        <v>N</v>
      </c>
      <c r="X190" s="183">
        <f t="shared" si="49"/>
        <v>1</v>
      </c>
      <c r="Y190" s="62">
        <f t="shared" si="50"/>
        <v>9.6500000000000002E-2</v>
      </c>
      <c r="Z190" s="62">
        <f t="shared" si="51"/>
        <v>5.8963000000000001</v>
      </c>
      <c r="AA190" s="62">
        <f t="shared" si="52"/>
        <v>5.7998000000000003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3"/>
        <v>0829-14</v>
      </c>
      <c r="AE190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90" s="82" t="str">
        <f t="shared" si="55"/>
        <v>"C:\Program Files (x86)\AstroGrep\AstroGrep.exe" /e /r /s /spath="%USERPROFILE%\AppData\Local\Temp\OnboardLogs" /stypes="app*4054*20170414*" /stext=" 22:.+((SYSTEM_STATE.+slice.+state.+changed )|(ment ac)|(multiple cpu faults)|(system.+state.+changed )|(\[timeout)|(PRM\|1\|D)|(kpr)|(kdp)|(\|lc)|(penalty))"</v>
      </c>
      <c r="AG190" s="1" t="str">
        <f t="shared" si="56"/>
        <v>NW</v>
      </c>
      <c r="AH190" s="86" t="str">
        <f t="shared" si="57"/>
        <v>"%USERPROFILE%\Documents\GitHub\eaglep3\Utilities\RefineRTDCRunTimes.py" --tripid 829-14 --locoid 4054 --swversion DE.1.0.9.0 --startMP 204:965 --initTime 2017-04-14T15:57:37 --startdatetime 2017-04-14T16:21:17 --delay 0 --endMP 300:58963 --enddatetime 2017-04-14T16:35:14 --enforcementcount 0 &gt;&gt;C:\Users\stu\Documents\GitHub\eaglep3-reporting\EC\2017-04-14-refined-times.txt</v>
      </c>
      <c r="AI190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{"issue":{"subject":"","project_id":79,"tracker_id":40,"status_id":1,"priority_id":2,"assigned_to_id":23,"start_date":"2017-04-14","description":"","custom_fields":[{"id":1,"name":"Subdivision","value":"NW"},{"id":4,"name":"Milepost","value":"5.8963"},{"id":17,"name":"Train ID","value":"829-14"},{"id":16,"name":"Locomotive ID","value":"4054"},{"id":130,"name":"Impact","value":""},{"id":150,"name":"Time of Event (Mountain Time)","value":"16:35:14"},{"id":151,"name":"Denver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59"/>
        <v>start /low /b %USERPROFILE%\Documents\GitHub\eaglep3\Utilities\DownloadLogsFromS3.py --loco 4054 --day 2017-04-14</v>
      </c>
      <c r="AN190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789</v>
      </c>
      <c r="B191" s="7">
        <v>4053</v>
      </c>
      <c r="C191" s="21" t="s">
        <v>214</v>
      </c>
      <c r="D191" s="21" t="s">
        <v>989</v>
      </c>
      <c r="E191" s="13">
        <v>42839.692337962966</v>
      </c>
      <c r="F191" s="13">
        <v>42839.694050925929</v>
      </c>
      <c r="G191" s="7">
        <v>1</v>
      </c>
      <c r="H191" s="21" t="s">
        <v>618</v>
      </c>
      <c r="I191" s="13">
        <v>42839.705752314818</v>
      </c>
      <c r="J191" s="7">
        <v>0</v>
      </c>
      <c r="K191" s="97" t="str">
        <f t="shared" si="42"/>
        <v>4053/4054</v>
      </c>
      <c r="L191" s="21" t="str">
        <f>VLOOKUP(A191,'Trips&amp;Operators'!$C$1:$G$99999,5,FALSE)</f>
        <v>GUZMAN DANNY</v>
      </c>
      <c r="M191" s="6">
        <f t="shared" si="43"/>
        <v>1.17013888884685E-2</v>
      </c>
      <c r="N191" s="7">
        <f t="shared" si="44"/>
        <v>16.84999999939464</v>
      </c>
      <c r="O191" s="7"/>
      <c r="P191" s="7"/>
      <c r="Q191" s="22"/>
      <c r="R191" s="22"/>
      <c r="S191" s="31">
        <f t="shared" si="45"/>
        <v>1</v>
      </c>
      <c r="T191" s="46" t="str">
        <f t="shared" si="46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47"/>
        <v>https://d0f6bd738d7f1b3e5a7ca70fe4ff75f0.us-east-1.aws.found.io/app/kibana#/discover/Steve-Slow-Train-Analysis-(2080s-and-2083s)?_g=(refreshInterval:(display:Off,pause:!f,section:0,value:0),time:(from:'2017-04-14T15:36:58-0600',mode:absolute,to:'2017-04-14T17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1" s="183" t="str">
        <f t="shared" si="48"/>
        <v>N</v>
      </c>
      <c r="X191" s="183">
        <f t="shared" si="49"/>
        <v>1</v>
      </c>
      <c r="Y191" s="62">
        <f t="shared" si="50"/>
        <v>5.8647</v>
      </c>
      <c r="Z191" s="62">
        <f t="shared" si="51"/>
        <v>6.8000000000000005E-2</v>
      </c>
      <c r="AA191" s="62">
        <f t="shared" si="52"/>
        <v>5.7967000000000004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3"/>
        <v>0830-14</v>
      </c>
      <c r="AE191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91" s="82" t="str">
        <f t="shared" si="55"/>
        <v>"C:\Program Files (x86)\AstroGrep\AstroGrep.exe" /e /r /s /spath="%USERPROFILE%\AppData\Local\Temp\OnboardLogs" /stypes="app*4053*20170414*" /stext=" 22:.+((SYSTEM_STATE.+slice.+state.+changed )|(ment ac)|(multiple cpu faults)|(system.+state.+changed )|(\[timeout)|(PRM\|1\|D)|(kpr)|(kdp)|(\|lc)|(penalty))"</v>
      </c>
      <c r="AG191" s="1" t="str">
        <f t="shared" si="56"/>
        <v>NW</v>
      </c>
      <c r="AH191" s="86" t="str">
        <f t="shared" si="57"/>
        <v>"%USERPROFILE%\Documents\GitHub\eaglep3\Utilities\RefineRTDCRunTimes.py" --tripid 830-14 --locoid 4053 --swversion DE.1.0.9.0 --startMP 300:58647 --initTime 2017-04-14T16:36:58 --startdatetime 2017-04-14T16:39:26 --delay 1 --endMP 204:680 --enddatetime 2017-04-14T16:56:17 --enforcementcount 0 &gt;&gt;C:\Users\stu\Documents\GitHub\eaglep3-reporting\EC\2017-04-14-refined-times.txt</v>
      </c>
      <c r="AI191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{"issue":{"subject":"","project_id":79,"tracker_id":40,"status_id":1,"priority_id":2,"assigned_to_id":23,"start_date":"2017-04-14","description":"","custom_fields":[{"id":1,"name":"Subdivision","value":"NW"},{"id":4,"name":"Milepost","value":"0.068"},{"id":17,"name":"Train ID","value":"830-14"},{"id":16,"name":"Locomotive ID","value":"4053"},{"id":130,"name":"Impact","value":""},{"id":150,"name":"Time of Event (Mountain Time)","value":"16:56:17"},{"id":151,"name":"Denver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9"/>
        <v>start /low /b %USERPROFILE%\Documents\GitHub\eaglep3\Utilities\DownloadLogsFromS3.py --loco 4053 --day 2017-04-14</v>
      </c>
      <c r="AN191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22:56:17"},{"id":29,"name":"Sharepoint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790</v>
      </c>
      <c r="B192" s="7">
        <v>4028</v>
      </c>
      <c r="C192" s="21" t="s">
        <v>214</v>
      </c>
      <c r="D192" s="21" t="s">
        <v>990</v>
      </c>
      <c r="E192" s="13">
        <v>42839.693807870368</v>
      </c>
      <c r="F192" s="13">
        <v>42839.702233796299</v>
      </c>
      <c r="G192" s="7">
        <v>1</v>
      </c>
      <c r="H192" s="21" t="s">
        <v>621</v>
      </c>
      <c r="I192" s="13">
        <v>42839.712118055555</v>
      </c>
      <c r="J192" s="7">
        <v>0</v>
      </c>
      <c r="K192" s="97" t="str">
        <f t="shared" si="42"/>
        <v>4027/4028</v>
      </c>
      <c r="L192" s="21" t="str">
        <f>VLOOKUP(A192,'Trips&amp;Operators'!$C$1:$G$99999,5,FALSE)</f>
        <v>SULLIVAN BRANDON</v>
      </c>
      <c r="M192" s="6">
        <f t="shared" si="43"/>
        <v>9.8842592560686171E-3</v>
      </c>
      <c r="N192" s="7">
        <f t="shared" si="44"/>
        <v>14.233333328738809</v>
      </c>
      <c r="O192" s="7"/>
      <c r="P192" s="7"/>
      <c r="Q192" s="22"/>
      <c r="R192" s="22"/>
      <c r="S192" s="31">
        <f t="shared" si="45"/>
        <v>1</v>
      </c>
      <c r="T192" s="46" t="str">
        <f t="shared" si="46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47"/>
        <v>https://d0f6bd738d7f1b3e5a7ca70fe4ff75f0.us-east-1.aws.found.io/app/kibana#/discover/Steve-Slow-Train-Analysis-(2080s-and-2083s)?_g=(refreshInterval:(display:Off,pause:!f,section:0,value:0),time:(from:'2017-04-14T15:39:05-0600',mode:absolute,to:'2017-04-14T18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183" t="str">
        <f t="shared" si="48"/>
        <v>N</v>
      </c>
      <c r="X192" s="183">
        <f t="shared" si="49"/>
        <v>1</v>
      </c>
      <c r="Y192" s="62">
        <f t="shared" si="50"/>
        <v>9.6199999999999994E-2</v>
      </c>
      <c r="Z192" s="62">
        <f t="shared" si="51"/>
        <v>5.8963000000000001</v>
      </c>
      <c r="AA192" s="62">
        <f t="shared" si="52"/>
        <v>5.8001000000000005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3"/>
        <v>0831-14</v>
      </c>
      <c r="AE192" s="85" t="str">
        <f t="shared" si="54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192" s="82" t="str">
        <f t="shared" si="55"/>
        <v>"C:\Program Files (x86)\AstroGrep\AstroGrep.exe" /e /r /s /spath="%USERPROFILE%\AppData\Local\Temp\OnboardLogs" /stypes="app*4028*20170414*" /stext=" 23:.+((SYSTEM_STATE.+slice.+state.+changed )|(ment ac)|(multiple cpu faults)|(system.+state.+changed )|(\[timeout)|(PRM\|1\|D)|(kpr)|(kdp)|(\|lc)|(penalty))"</v>
      </c>
      <c r="AG192" s="1" t="str">
        <f t="shared" si="56"/>
        <v>NW</v>
      </c>
      <c r="AH192" s="86" t="str">
        <f t="shared" si="57"/>
        <v>"%USERPROFILE%\Documents\GitHub\eaglep3\Utilities\RefineRTDCRunTimes.py" --tripid 831-14 --locoid 4028 --swversion DE.1.0.9.0 --startMP 204:962 --initTime 2017-04-14T16:39:05 --startdatetime 2017-04-14T16:51:13 --delay 1 --endMP 300:58963 --enddatetime 2017-04-14T17:05:27 --enforcementcount 0 &gt;&gt;C:\Users\stu\Documents\GitHub\eaglep3-reporting\EC\2017-04-14-refined-times.txt</v>
      </c>
      <c r="AI192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{"issue":{"subject":"","project_id":79,"tracker_id":40,"status_id":1,"priority_id":2,"assigned_to_id":23,"start_date":"2017-04-14","description":"","custom_fields":[{"id":1,"name":"Subdivision","value":"NW"},{"id":4,"name":"Milepost","value":"5.8963"},{"id":17,"name":"Train ID","value":"831-14"},{"id":16,"name":"Locomotive ID","value":"4028"},{"id":130,"name":"Impact","value":""},{"id":150,"name":"Time of Event (Mountain Time)","value":"17:05:27"},{"id":151,"name":"Denver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9"/>
        <v>start /low /b %USERPROFILE%\Documents\GitHub\eaglep3\Utilities\DownloadLogsFromS3.py --loco 4028 --day 2017-04-14</v>
      </c>
      <c r="AN192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645</v>
      </c>
      <c r="B193" s="7">
        <v>4027</v>
      </c>
      <c r="C193" s="21" t="s">
        <v>214</v>
      </c>
      <c r="D193" s="21" t="s">
        <v>991</v>
      </c>
      <c r="E193" s="13">
        <v>42839.712997685187</v>
      </c>
      <c r="F193" s="13">
        <v>42839.714409722219</v>
      </c>
      <c r="G193" s="7">
        <v>1</v>
      </c>
      <c r="H193" s="21" t="s">
        <v>612</v>
      </c>
      <c r="I193" s="13">
        <v>42839.726006944446</v>
      </c>
      <c r="J193" s="7">
        <v>0</v>
      </c>
      <c r="K193" s="97" t="str">
        <f t="shared" si="42"/>
        <v>4027/4028</v>
      </c>
      <c r="L193" s="21" t="str">
        <f>VLOOKUP(A193,'Trips&amp;Operators'!$C$1:$G$99999,5,FALSE)</f>
        <v>SULLIVAN BRANDON</v>
      </c>
      <c r="M193" s="6">
        <f t="shared" si="43"/>
        <v>1.1597222226555459E-2</v>
      </c>
      <c r="N193" s="7">
        <f t="shared" si="44"/>
        <v>16.700000006239861</v>
      </c>
      <c r="O193" s="7"/>
      <c r="P193" s="7"/>
      <c r="Q193" s="22"/>
      <c r="R193" s="22"/>
      <c r="S193" s="31">
        <f t="shared" si="45"/>
        <v>1</v>
      </c>
      <c r="T193" s="46" t="str">
        <f t="shared" si="46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47"/>
        <v>https://d0f6bd738d7f1b3e5a7ca70fe4ff75f0.us-east-1.aws.found.io/app/kibana#/discover/Steve-Slow-Train-Analysis-(2080s-and-2083s)?_g=(refreshInterval:(display:Off,pause:!f,section:0,value:0),time:(from:'2017-04-14T16:06:43-0600',mode:absolute,to:'2017-04-14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183" t="str">
        <f t="shared" si="48"/>
        <v>N</v>
      </c>
      <c r="X193" s="183">
        <f t="shared" si="49"/>
        <v>1</v>
      </c>
      <c r="Y193" s="62">
        <f t="shared" si="50"/>
        <v>5.8655999999999997</v>
      </c>
      <c r="Z193" s="62">
        <f t="shared" si="51"/>
        <v>7.3800000000000004E-2</v>
      </c>
      <c r="AA193" s="62">
        <f t="shared" si="52"/>
        <v>5.7917999999999994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3"/>
        <v>0832-14</v>
      </c>
      <c r="AE193" s="85" t="str">
        <f t="shared" si="54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193" s="82" t="str">
        <f t="shared" si="55"/>
        <v>"C:\Program Files (x86)\AstroGrep\AstroGrep.exe" /e /r /s /spath="%USERPROFILE%\AppData\Local\Temp\OnboardLogs" /stypes="app*4027*20170414*" /stext=" 23:.+((SYSTEM_STATE.+slice.+state.+changed )|(ment ac)|(multiple cpu faults)|(system.+state.+changed )|(\[timeout)|(PRM\|1\|D)|(kpr)|(kdp)|(\|lc)|(penalty))"</v>
      </c>
      <c r="AG193" s="1" t="str">
        <f t="shared" si="56"/>
        <v>NW</v>
      </c>
      <c r="AH193" s="86" t="str">
        <f t="shared" si="57"/>
        <v>"%USERPROFILE%\Documents\GitHub\eaglep3\Utilities\RefineRTDCRunTimes.py" --tripid 832-14 --locoid 4027 --swversion DE.1.0.9.0 --startMP 300:58656 --initTime 2017-04-14T17:06:43 --startdatetime 2017-04-14T17:08:45 --delay 1 --endMP 204:738 --enddatetime 2017-04-14T17:25:27 --enforcementcount 0 &gt;&gt;C:\Users\stu\Documents\GitHub\eaglep3-reporting\EC\2017-04-14-refined-times.txt</v>
      </c>
      <c r="AI193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{"issue":{"subject":"","project_id":79,"tracker_id":40,"status_id":1,"priority_id":2,"assigned_to_id":23,"start_date":"2017-04-14","description":"","custom_fields":[{"id":1,"name":"Subdivision","value":"NW"},{"id":4,"name":"Milepost","value":"0.0738"},{"id":17,"name":"Train ID","value":"832-14"},{"id":16,"name":"Locomotive ID","value":"4027"},{"id":130,"name":"Impact","value":""},{"id":150,"name":"Time of Event (Mountain Time)","value":"17:25:27"},{"id":151,"name":"Denver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59"/>
        <v>start /low /b %USERPROFILE%\Documents\GitHub\eaglep3\Utilities\DownloadLogsFromS3.py --loco 4027 --day 2017-04-14</v>
      </c>
      <c r="AN193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795</v>
      </c>
      <c r="B194" s="7">
        <v>4054</v>
      </c>
      <c r="C194" s="21" t="s">
        <v>214</v>
      </c>
      <c r="D194" s="21" t="s">
        <v>992</v>
      </c>
      <c r="E194" s="13">
        <v>42839.716770833336</v>
      </c>
      <c r="F194" s="13">
        <v>42839.723101851851</v>
      </c>
      <c r="G194" s="7">
        <v>1</v>
      </c>
      <c r="H194" s="21" t="s">
        <v>529</v>
      </c>
      <c r="I194" s="13">
        <v>42839.732766203706</v>
      </c>
      <c r="J194" s="7">
        <v>0</v>
      </c>
      <c r="K194" s="97" t="str">
        <f t="shared" si="42"/>
        <v>4053/4054</v>
      </c>
      <c r="L194" s="21" t="str">
        <f>VLOOKUP(A194,'Trips&amp;Operators'!$C$1:$G$99999,5,FALSE)</f>
        <v>GUZMAN DANNY</v>
      </c>
      <c r="M194" s="6">
        <f t="shared" si="43"/>
        <v>9.6643518554628827E-3</v>
      </c>
      <c r="N194" s="7">
        <f t="shared" si="44"/>
        <v>13.916666671866551</v>
      </c>
      <c r="O194" s="7"/>
      <c r="P194" s="7"/>
      <c r="Q194" s="22"/>
      <c r="R194" s="22"/>
      <c r="S194" s="31">
        <f t="shared" si="45"/>
        <v>1</v>
      </c>
      <c r="T194" s="46" t="str">
        <f t="shared" si="46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47"/>
        <v>https://d0f6bd738d7f1b3e5a7ca70fe4ff75f0.us-east-1.aws.found.io/app/kibana#/discover/Steve-Slow-Train-Analysis-(2080s-and-2083s)?_g=(refreshInterval:(display:Off,pause:!f,section:0,value:0),time:(from:'2017-04-14T16:12:09-0600',mode:absolute,to:'2017-04-14T18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4" s="183" t="str">
        <f t="shared" si="48"/>
        <v>N</v>
      </c>
      <c r="X194" s="183">
        <f t="shared" si="49"/>
        <v>1</v>
      </c>
      <c r="Y194" s="62">
        <f t="shared" si="50"/>
        <v>9.74E-2</v>
      </c>
      <c r="Z194" s="62">
        <f t="shared" si="51"/>
        <v>5.8949999999999996</v>
      </c>
      <c r="AA194" s="62">
        <f t="shared" si="52"/>
        <v>5.7975999999999992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3"/>
        <v>0833-14</v>
      </c>
      <c r="AE194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94" s="82" t="str">
        <f t="shared" si="55"/>
        <v>"C:\Program Files (x86)\AstroGrep\AstroGrep.exe" /e /r /s /spath="%USERPROFILE%\AppData\Local\Temp\OnboardLogs" /stypes="app*4054*20170414*" /stext=" 23:.+((SYSTEM_STATE.+slice.+state.+changed )|(ment ac)|(multiple cpu faults)|(system.+state.+changed )|(\[timeout)|(PRM\|1\|D)|(kpr)|(kdp)|(\|lc)|(penalty))"</v>
      </c>
      <c r="AG194" s="1" t="str">
        <f t="shared" si="56"/>
        <v>NW</v>
      </c>
      <c r="AH194" s="86" t="str">
        <f t="shared" si="57"/>
        <v>"%USERPROFILE%\Documents\GitHub\eaglep3\Utilities\RefineRTDCRunTimes.py" --tripid 833-14 --locoid 4054 --swversion DE.1.0.9.0 --startMP 204:974 --initTime 2017-04-14T17:12:09 --startdatetime 2017-04-14T17:21:16 --delay 1 --endMP 300:58950 --enddatetime 2017-04-14T17:35:11 --enforcementcount 0 &gt;&gt;C:\Users\stu\Documents\GitHub\eaglep3-reporting\EC\2017-04-14-refined-times.txt</v>
      </c>
      <c r="AI194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{"issue":{"subject":"","project_id":79,"tracker_id":40,"status_id":1,"priority_id":2,"assigned_to_id":23,"start_date":"2017-04-14","description":"","custom_fields":[{"id":1,"name":"Subdivision","value":"NW"},{"id":4,"name":"Milepost","value":"5.895"},{"id":17,"name":"Train ID","value":"833-14"},{"id":16,"name":"Locomotive ID","value":"4054"},{"id":130,"name":"Impact","value":""},{"id":150,"name":"Time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59"/>
        <v>start /low /b %USERPROFILE%\Documents\GitHub\eaglep3\Utilities\DownloadLogsFromS3.py --loco 4054 --day 2017-04-14</v>
      </c>
      <c r="AN194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804</v>
      </c>
      <c r="B195" s="7">
        <v>4053</v>
      </c>
      <c r="C195" s="21" t="s">
        <v>214</v>
      </c>
      <c r="D195" s="21" t="s">
        <v>987</v>
      </c>
      <c r="E195" s="13">
        <v>42839.733807870369</v>
      </c>
      <c r="F195" s="13">
        <v>42839.735358796293</v>
      </c>
      <c r="G195" s="7">
        <v>1</v>
      </c>
      <c r="H195" s="21" t="s">
        <v>956</v>
      </c>
      <c r="I195" s="13">
        <v>42839.747199074074</v>
      </c>
      <c r="J195" s="7">
        <v>0</v>
      </c>
      <c r="K195" s="97" t="str">
        <f t="shared" si="42"/>
        <v>4053/4054</v>
      </c>
      <c r="L195" s="21" t="str">
        <f>VLOOKUP(A195,'Trips&amp;Operators'!$C$1:$G$99999,5,FALSE)</f>
        <v>GUZMAN DANNY</v>
      </c>
      <c r="M195" s="6">
        <f t="shared" si="43"/>
        <v>1.1840277780720498E-2</v>
      </c>
      <c r="N195" s="7">
        <f t="shared" si="44"/>
        <v>17.050000004237518</v>
      </c>
      <c r="O195" s="7"/>
      <c r="P195" s="7"/>
      <c r="Q195" s="22"/>
      <c r="R195" s="22"/>
      <c r="S195" s="31">
        <f t="shared" si="45"/>
        <v>1</v>
      </c>
      <c r="T195" s="46" t="str">
        <f t="shared" si="46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47"/>
        <v>https://d0f6bd738d7f1b3e5a7ca70fe4ff75f0.us-east-1.aws.found.io/app/kibana#/discover/Steve-Slow-Train-Analysis-(2080s-and-2083s)?_g=(refreshInterval:(display:Off,pause:!f,section:0,value:0),time:(from:'2017-04-14T16:36:41-0600',mode:absolute,to:'2017-04-14T18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5" s="183" t="str">
        <f t="shared" si="48"/>
        <v>N</v>
      </c>
      <c r="X195" s="183">
        <f t="shared" si="49"/>
        <v>1</v>
      </c>
      <c r="Y195" s="62">
        <f t="shared" si="50"/>
        <v>5.8640999999999996</v>
      </c>
      <c r="Z195" s="62">
        <f t="shared" si="51"/>
        <v>6.9199999999999998E-2</v>
      </c>
      <c r="AA195" s="62">
        <f t="shared" si="52"/>
        <v>5.7948999999999993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3"/>
        <v>0834-14</v>
      </c>
      <c r="AE195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95" s="82" t="str">
        <f t="shared" si="55"/>
        <v>"C:\Program Files (x86)\AstroGrep\AstroGrep.exe" /e /r /s /spath="%USERPROFILE%\AppData\Local\Temp\OnboardLogs" /stypes="app*4053*20170414*" /stext=" 23:.+((SYSTEM_STATE.+slice.+state.+changed )|(ment ac)|(multiple cpu faults)|(system.+state.+changed )|(\[timeout)|(PRM\|1\|D)|(kpr)|(kdp)|(\|lc)|(penalty))"</v>
      </c>
      <c r="AG195" s="1" t="str">
        <f t="shared" si="56"/>
        <v>NW</v>
      </c>
      <c r="AH195" s="86" t="str">
        <f t="shared" si="57"/>
        <v>"%USERPROFILE%\Documents\GitHub\eaglep3\Utilities\RefineRTDCRunTimes.py" --tripid 834-14 --locoid 4053 --swversion DE.1.0.9.0 --startMP 300:58641 --initTime 2017-04-14T17:36:41 --startdatetime 2017-04-14T17:38:55 --delay 1 --endMP 204:692 --enddatetime 2017-04-14T17:55:58 --enforcementcount 0 &gt;&gt;C:\Users\stu\Documents\GitHub\eaglep3-reporting\EC\2017-04-14-refined-times.txt</v>
      </c>
      <c r="AI195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{"issue":{"subject":"","project_id":79,"tracker_id":40,"status_id":1,"priority_id":2,"assigned_to_id":23,"start_date":"2017-04-14","description":"","custom_fields":[{"id":1,"name":"Subdivision","value":"NW"},{"id":4,"name":"Milepost","value":"0.0692"},{"id":17,"name":"Train ID","value":"834-14"},{"id":16,"name":"Locomotive ID","value":"4053"},{"id":130,"name":"Impact","value":""},{"id":150,"name":"Time of Event (Mountain Time)","value":"17:55:58"},{"id":151,"name":"Denver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59"/>
        <v>start /low /b %USERPROFILE%\Documents\GitHub\eaglep3\Utilities\DownloadLogsFromS3.py --loco 4053 --day 2017-04-14</v>
      </c>
      <c r="AN195" s="159" t="str">
        <f t="shared" si="60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803</v>
      </c>
      <c r="B196" s="7">
        <v>4028</v>
      </c>
      <c r="C196" s="21" t="s">
        <v>214</v>
      </c>
      <c r="D196" s="21" t="s">
        <v>613</v>
      </c>
      <c r="E196" s="13">
        <v>42839.733518518522</v>
      </c>
      <c r="F196" s="13">
        <v>42839.743923611109</v>
      </c>
      <c r="G196" s="7">
        <v>1</v>
      </c>
      <c r="H196" s="21" t="s">
        <v>993</v>
      </c>
      <c r="I196" s="13">
        <v>42839.753854166665</v>
      </c>
      <c r="J196" s="7">
        <v>0</v>
      </c>
      <c r="K196" s="97" t="str">
        <f t="shared" si="42"/>
        <v>4027/4028</v>
      </c>
      <c r="L196" s="21" t="str">
        <f>VLOOKUP(A196,'Trips&amp;Operators'!$C$1:$G$99999,5,FALSE)</f>
        <v>SULLIVAN BRANDON</v>
      </c>
      <c r="M196" s="6">
        <f t="shared" si="43"/>
        <v>9.930555555911269E-3</v>
      </c>
      <c r="N196" s="7">
        <f t="shared" si="44"/>
        <v>14.300000000512227</v>
      </c>
      <c r="O196" s="7"/>
      <c r="P196" s="7"/>
      <c r="Q196" s="22"/>
      <c r="R196" s="22"/>
      <c r="S196" s="31">
        <f t="shared" si="45"/>
        <v>1</v>
      </c>
      <c r="T196" s="46" t="str">
        <f t="shared" si="46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47"/>
        <v>https://d0f6bd738d7f1b3e5a7ca70fe4ff75f0.us-east-1.aws.found.io/app/kibana#/discover/Steve-Slow-Train-Analysis-(2080s-and-2083s)?_g=(refreshInterval:(display:Off,pause:!f,section:0,value:0),time:(from:'2017-04-14T16:36:16-0600',mode:absolute,to:'2017-04-14T19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183" t="str">
        <f t="shared" si="48"/>
        <v>N</v>
      </c>
      <c r="X196" s="183">
        <f t="shared" si="49"/>
        <v>1</v>
      </c>
      <c r="Y196" s="62">
        <f t="shared" si="50"/>
        <v>0.10299999999999999</v>
      </c>
      <c r="Z196" s="62">
        <f t="shared" si="51"/>
        <v>5.8944000000000001</v>
      </c>
      <c r="AA196" s="62">
        <f t="shared" si="52"/>
        <v>5.7914000000000003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3"/>
        <v>0835-14</v>
      </c>
      <c r="AE196" s="85" t="str">
        <f t="shared" si="54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196" s="82" t="str">
        <f t="shared" si="55"/>
        <v>"C:\Program Files (x86)\AstroGrep\AstroGrep.exe" /e /r /s /spath="%USERPROFILE%\AppData\Local\Temp\OnboardLogs" /stypes="app*4028*20170415*" /stext=" 00:.+((SYSTEM_STATE.+slice.+state.+changed )|(ment ac)|(multiple cpu faults)|(system.+state.+changed )|(\[timeout)|(PRM\|1\|D)|(kpr)|(kdp)|(\|lc)|(penalty))"</v>
      </c>
      <c r="AG196" s="1" t="str">
        <f t="shared" si="56"/>
        <v>NW</v>
      </c>
      <c r="AH196" s="86" t="str">
        <f t="shared" si="57"/>
        <v>"%USERPROFILE%\Documents\GitHub\eaglep3\Utilities\RefineRTDCRunTimes.py" --tripid 835-14 --locoid 4028 --swversion DE.1.0.9.0 --startMP 204:1030 --initTime 2017-04-14T17:36:16 --startdatetime 2017-04-14T17:51:15 --delay 1 --endMP 300:58944 --enddatetime 2017-04-14T18:05:33 --enforcementcount 0 &gt;&gt;C:\Users\stu\Documents\GitHub\eaglep3-reporting\EC\2017-04-14-refined-times.txt</v>
      </c>
      <c r="AI196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{"issue":{"subject":"","project_id":79,"tracker_id":40,"status_id":1,"priority_id":2,"assigned_to_id":23,"start_date":"2017-04-14","description":"","custom_fields":[{"id":1,"name":"Subdivision","value":"NW"},{"id":4,"name":"Milepost","value":"5.8944"},{"id":17,"name":"Train ID","value":"835-14"},{"id":16,"name":"Locomotive ID","value":"4028"},{"id":130,"name":"Impact","value":""},{"id":150,"name":"Time of Event (Mountain Time)","value":"18:05:33"},{"id":151,"name":"Denver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59"/>
        <v>start /low /b %USERPROFILE%\Documents\GitHub\eaglep3\Utilities\DownloadLogsFromS3.py --loco 4028 --day 2017-04-14</v>
      </c>
      <c r="AN196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s="20" customFormat="1" x14ac:dyDescent="0.25">
      <c r="A197" s="33" t="s">
        <v>812</v>
      </c>
      <c r="B197" s="7">
        <v>4027</v>
      </c>
      <c r="C197" s="21" t="s">
        <v>214</v>
      </c>
      <c r="D197" s="21" t="s">
        <v>563</v>
      </c>
      <c r="E197" s="13">
        <v>42839.754652777781</v>
      </c>
      <c r="F197" s="13">
        <v>42839.756377314814</v>
      </c>
      <c r="G197" s="7">
        <v>1</v>
      </c>
      <c r="H197" s="21" t="s">
        <v>983</v>
      </c>
      <c r="I197" s="13">
        <v>42839.767997685187</v>
      </c>
      <c r="J197" s="7">
        <v>0</v>
      </c>
      <c r="K197" s="97" t="str">
        <f t="shared" si="42"/>
        <v>4027/4028</v>
      </c>
      <c r="L197" s="21" t="str">
        <f>VLOOKUP(A197,'Trips&amp;Operators'!$C$1:$G$99999,5,FALSE)</f>
        <v>SULLIVAN BRANDON</v>
      </c>
      <c r="M197" s="6">
        <f t="shared" si="43"/>
        <v>1.1620370372838806E-2</v>
      </c>
      <c r="N197" s="7">
        <f t="shared" si="44"/>
        <v>16.733333336887881</v>
      </c>
      <c r="O197" s="7"/>
      <c r="P197" s="7"/>
      <c r="Q197" s="22"/>
      <c r="R197" s="22"/>
      <c r="S197" s="31">
        <f t="shared" si="45"/>
        <v>1</v>
      </c>
      <c r="T197" s="46" t="str">
        <f t="shared" si="46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47"/>
        <v>https://d0f6bd738d7f1b3e5a7ca70fe4ff75f0.us-east-1.aws.found.io/app/kibana#/discover/Steve-Slow-Train-Analysis-(2080s-and-2083s)?_g=(refreshInterval:(display:Off,pause:!f,section:0,value:0),time:(from:'2017-04-14T17:06:42-0600',mode:absolute,to:'2017-04-14T19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183" t="str">
        <f t="shared" si="48"/>
        <v>N</v>
      </c>
      <c r="X197" s="183">
        <f t="shared" si="49"/>
        <v>1</v>
      </c>
      <c r="Y197" s="62">
        <f t="shared" si="50"/>
        <v>5.8632</v>
      </c>
      <c r="Z197" s="62">
        <f t="shared" si="51"/>
        <v>6.8699999999999997E-2</v>
      </c>
      <c r="AA197" s="62">
        <f t="shared" si="52"/>
        <v>5.7945000000000002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3"/>
        <v>0836-14</v>
      </c>
      <c r="AE197" s="85" t="str">
        <f t="shared" si="54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197" s="82" t="str">
        <f t="shared" si="55"/>
        <v>"C:\Program Files (x86)\AstroGrep\AstroGrep.exe" /e /r /s /spath="%USERPROFILE%\AppData\Local\Temp\OnboardLogs" /stypes="app*4027*20170415*" /stext=" 00:.+((SYSTEM_STATE.+slice.+state.+changed )|(ment ac)|(multiple cpu faults)|(system.+state.+changed )|(\[timeout)|(PRM\|1\|D)|(kpr)|(kdp)|(\|lc)|(penalty))"</v>
      </c>
      <c r="AG197" s="1" t="str">
        <f t="shared" si="56"/>
        <v>NW</v>
      </c>
      <c r="AH197" s="86" t="str">
        <f t="shared" si="57"/>
        <v>"%USERPROFILE%\Documents\GitHub\eaglep3\Utilities\RefineRTDCRunTimes.py" --tripid 836-14 --locoid 4027 --swversion DE.1.0.9.0 --startMP 300:58632 --initTime 2017-04-14T18:06:42 --startdatetime 2017-04-14T18:09:11 --delay 1 --endMP 204:687 --enddatetime 2017-04-14T18:25:55 --enforcementcount 0 &gt;&gt;C:\Users\stu\Documents\GitHub\eaglep3-reporting\EC\2017-04-14-refined-times.txt</v>
      </c>
      <c r="AI197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{"issue":{"subject":"","project_id":79,"tracker_id":40,"status_id":1,"priority_id":2,"assigned_to_id":23,"start_date":"2017-04-14","description":"","custom_fields":[{"id":1,"name":"Subdivision","value":"NW"},{"id":4,"name":"Milepost","value":"0.0687"},{"id":17,"name":"Train ID","value":"836-14"},{"id":16,"name":"Locomotive ID","value":"4027"},{"id":130,"name":"Impact","value":""},{"id":150,"name":"Time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8"/>
      <c r="AL197" s="48"/>
      <c r="AM197" s="150" t="str">
        <f t="shared" si="59"/>
        <v>start /low /b %USERPROFILE%\Documents\GitHub\eaglep3\Utilities\DownloadLogsFromS3.py --loco 4027 --day 2017-04-14</v>
      </c>
      <c r="AN197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811</v>
      </c>
      <c r="B198" s="7">
        <v>4054</v>
      </c>
      <c r="C198" s="21" t="s">
        <v>214</v>
      </c>
      <c r="D198" s="21" t="s">
        <v>513</v>
      </c>
      <c r="E198" s="13">
        <v>42839.748124999998</v>
      </c>
      <c r="F198" s="13">
        <v>42839.764745370368</v>
      </c>
      <c r="G198" s="7">
        <v>1</v>
      </c>
      <c r="H198" s="21" t="s">
        <v>564</v>
      </c>
      <c r="I198" s="13">
        <v>42839.774328703701</v>
      </c>
      <c r="J198" s="7">
        <v>0</v>
      </c>
      <c r="K198" s="97" t="str">
        <f t="shared" si="42"/>
        <v>4053/4054</v>
      </c>
      <c r="L198" s="21" t="str">
        <f>VLOOKUP(A198,'Trips&amp;Operators'!$C$1:$G$99999,5,FALSE)</f>
        <v>GUZMAN DANNY</v>
      </c>
      <c r="M198" s="6">
        <f t="shared" si="43"/>
        <v>9.5833333325572312E-3</v>
      </c>
      <c r="N198" s="7">
        <f t="shared" si="44"/>
        <v>13.799999998882413</v>
      </c>
      <c r="O198" s="7"/>
      <c r="P198" s="7"/>
      <c r="Q198" s="22"/>
      <c r="R198" s="22"/>
      <c r="S198" s="31">
        <f t="shared" si="45"/>
        <v>1</v>
      </c>
      <c r="T198" s="46" t="str">
        <f t="shared" si="46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47"/>
        <v>https://d0f6bd738d7f1b3e5a7ca70fe4ff75f0.us-east-1.aws.found.io/app/kibana#/discover/Steve-Slow-Train-Analysis-(2080s-and-2083s)?_g=(refreshInterval:(display:Off,pause:!f,section:0,value:0),time:(from:'2017-04-14T16:57:18-0600',mode:absolute,to:'2017-04-14T19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8" s="183" t="str">
        <f t="shared" si="48"/>
        <v>N</v>
      </c>
      <c r="X198" s="183">
        <f t="shared" si="49"/>
        <v>1</v>
      </c>
      <c r="Y198" s="62">
        <f t="shared" si="50"/>
        <v>9.6699999999999994E-2</v>
      </c>
      <c r="Z198" s="62">
        <f t="shared" si="51"/>
        <v>5.8936999999999999</v>
      </c>
      <c r="AA198" s="62">
        <f t="shared" si="52"/>
        <v>5.7969999999999997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3"/>
        <v>0837-14</v>
      </c>
      <c r="AE198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198" s="82" t="str">
        <f t="shared" si="55"/>
        <v>"C:\Program Files (x86)\AstroGrep\AstroGrep.exe" /e /r /s /spath="%USERPROFILE%\AppData\Local\Temp\OnboardLogs" /stypes="app*4054*20170415*" /stext=" 00:.+((SYSTEM_STATE.+slice.+state.+changed )|(ment ac)|(multiple cpu faults)|(system.+state.+changed )|(\[timeout)|(PRM\|1\|D)|(kpr)|(kdp)|(\|lc)|(penalty))"</v>
      </c>
      <c r="AG198" s="1" t="str">
        <f t="shared" si="56"/>
        <v>NW</v>
      </c>
      <c r="AH198" s="86" t="str">
        <f t="shared" si="57"/>
        <v>"%USERPROFILE%\Documents\GitHub\eaglep3\Utilities\RefineRTDCRunTimes.py" --tripid 837-14 --locoid 4054 --swversion DE.1.0.9.0 --startMP 204:967 --initTime 2017-04-14T17:57:18 --startdatetime 2017-04-14T18:21:14 --delay 1 --endMP 300:58937 --enddatetime 2017-04-14T18:35:02 --enforcementcount 0 &gt;&gt;C:\Users\stu\Documents\GitHub\eaglep3-reporting\EC\2017-04-14-refined-times.txt</v>
      </c>
      <c r="AI198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{"issue":{"subject":"","project_id":79,"tracker_id":40,"status_id":1,"priority_id":2,"assigned_to_id":23,"start_date":"2017-04-14","description":"","custom_fields":[{"id":1,"name":"Subdivision","value":"NW"},{"id":4,"name":"Milepost","value":"5.8937"},{"id":17,"name":"Train ID","value":"837-14"},{"id":16,"name":"Locomotive ID","value":"4054"},{"id":130,"name":"Impact","value":""},{"id":150,"name":"Time of Event (Mountain Time)","value":"18:35:02"},{"id":151,"name":"Denver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9"/>
        <v>start /low /b %USERPROFILE%\Documents\GitHub\eaglep3\Utilities\DownloadLogsFromS3.py --loco 4054 --day 2017-04-14</v>
      </c>
      <c r="AN198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648</v>
      </c>
      <c r="B199" s="7">
        <v>4053</v>
      </c>
      <c r="C199" s="21" t="s">
        <v>214</v>
      </c>
      <c r="D199" s="21" t="s">
        <v>560</v>
      </c>
      <c r="E199" s="13">
        <v>42839.775266203702</v>
      </c>
      <c r="F199" s="13">
        <v>42839.776863425926</v>
      </c>
      <c r="G199" s="7">
        <v>1</v>
      </c>
      <c r="H199" s="21" t="s">
        <v>994</v>
      </c>
      <c r="I199" s="13">
        <v>42839.79078703704</v>
      </c>
      <c r="J199" s="7">
        <v>0</v>
      </c>
      <c r="K199" s="97" t="str">
        <f t="shared" si="42"/>
        <v>4053/4054</v>
      </c>
      <c r="L199" s="21" t="str">
        <f>VLOOKUP(A199,'Trips&amp;Operators'!$C$1:$G$99999,5,FALSE)</f>
        <v>GUZMAN DANNY</v>
      </c>
      <c r="M199" s="6">
        <f t="shared" si="43"/>
        <v>1.3923611113568768E-2</v>
      </c>
      <c r="N199" s="7">
        <f t="shared" si="44"/>
        <v>20.050000003539026</v>
      </c>
      <c r="O199" s="7"/>
      <c r="P199" s="7"/>
      <c r="Q199" s="22"/>
      <c r="R199" s="22"/>
      <c r="S199" s="31">
        <f t="shared" si="45"/>
        <v>1</v>
      </c>
      <c r="T199" s="46" t="str">
        <f t="shared" si="46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47"/>
        <v>https://d0f6bd738d7f1b3e5a7ca70fe4ff75f0.us-east-1.aws.found.io/app/kibana#/discover/Steve-Slow-Train-Analysis-(2080s-and-2083s)?_g=(refreshInterval:(display:Off,pause:!f,section:0,value:0),time:(from:'2017-04-14T17:36:23-0600',mode:absolute,to:'2017-04-14T19:58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9" s="183" t="str">
        <f t="shared" si="48"/>
        <v>N</v>
      </c>
      <c r="X199" s="183">
        <f t="shared" si="49"/>
        <v>1</v>
      </c>
      <c r="Y199" s="62">
        <f t="shared" si="50"/>
        <v>5.8635999999999999</v>
      </c>
      <c r="Z199" s="62">
        <f t="shared" si="51"/>
        <v>7.0999999999999994E-2</v>
      </c>
      <c r="AA199" s="62">
        <f t="shared" si="52"/>
        <v>5.7926000000000002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3"/>
        <v>0838-14</v>
      </c>
      <c r="AE199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199" s="82" t="str">
        <f t="shared" si="55"/>
        <v>"C:\Program Files (x86)\AstroGrep\AstroGrep.exe" /e /r /s /spath="%USERPROFILE%\AppData\Local\Temp\OnboardLogs" /stypes="app*4053*20170415*" /stext=" 00:.+((SYSTEM_STATE.+slice.+state.+changed )|(ment ac)|(multiple cpu faults)|(system.+state.+changed )|(\[timeout)|(PRM\|1\|D)|(kpr)|(kdp)|(\|lc)|(penalty))"</v>
      </c>
      <c r="AG199" s="1" t="str">
        <f t="shared" si="56"/>
        <v>NW</v>
      </c>
      <c r="AH199" s="86" t="str">
        <f t="shared" si="57"/>
        <v>"%USERPROFILE%\Documents\GitHub\eaglep3\Utilities\RefineRTDCRunTimes.py" --tripid 838-14 --locoid 4053 --swversion DE.1.0.9.0 --startMP 300:58636 --initTime 2017-04-14T18:36:23 --startdatetime 2017-04-14T18:38:41 --delay 1 --endMP 204:710 --enddatetime 2017-04-14T18:58:44 --enforcementcount 0 &gt;&gt;C:\Users\stu\Documents\GitHub\eaglep3-reporting\EC\2017-04-14-refined-times.txt</v>
      </c>
      <c r="AI199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{"issue":{"subject":"","project_id":79,"tracker_id":40,"status_id":1,"priority_id":2,"assigned_to_id":23,"start_date":"2017-04-14","description":"","custom_fields":[{"id":1,"name":"Subdivision","value":"NW"},{"id":4,"name":"Milepost","value":"0.071"},{"id":17,"name":"Train ID","value":"838-14"},{"id":16,"name":"Locomotive ID","value":"4053"},{"id":130,"name":"Impact","value":""},{"id":150,"name":"Time of Event (Mountain Time)","value":"18:58:44"},{"id":151,"name":"Denver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9"/>
        <v>start /low /b %USERPROFILE%\Documents\GitHub\eaglep3\Utilities\DownloadLogsFromS3.py --loco 4053 --day 2017-04-14</v>
      </c>
      <c r="AN199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00:58:44"},{"id":29,"name":"Sharepoint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822</v>
      </c>
      <c r="B200" s="7">
        <v>4028</v>
      </c>
      <c r="C200" s="21" t="s">
        <v>214</v>
      </c>
      <c r="D200" s="21" t="s">
        <v>557</v>
      </c>
      <c r="E200" s="13">
        <v>42839.777337962965</v>
      </c>
      <c r="F200" s="13">
        <v>42839.785590277781</v>
      </c>
      <c r="G200" s="7">
        <v>1</v>
      </c>
      <c r="H200" s="21" t="s">
        <v>529</v>
      </c>
      <c r="I200" s="13">
        <v>42839.795682870368</v>
      </c>
      <c r="J200" s="7">
        <v>0</v>
      </c>
      <c r="K200" s="97" t="str">
        <f t="shared" si="42"/>
        <v>4027/4028</v>
      </c>
      <c r="L200" s="21" t="str">
        <f>VLOOKUP(A200,'Trips&amp;Operators'!$C$1:$G$99999,5,FALSE)</f>
        <v>SULLIVAN BRANDON</v>
      </c>
      <c r="M200" s="6">
        <f t="shared" si="43"/>
        <v>1.0092592587170657E-2</v>
      </c>
      <c r="N200" s="7">
        <f t="shared" si="44"/>
        <v>14.533333325525746</v>
      </c>
      <c r="O200" s="7"/>
      <c r="P200" s="7"/>
      <c r="Q200" s="22"/>
      <c r="R200" s="22"/>
      <c r="S200" s="31">
        <f t="shared" si="45"/>
        <v>1</v>
      </c>
      <c r="T200" s="46" t="str">
        <f t="shared" si="46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47"/>
        <v>https://d0f6bd738d7f1b3e5a7ca70fe4ff75f0.us-east-1.aws.found.io/app/kibana#/discover/Steve-Slow-Train-Analysis-(2080s-and-2083s)?_g=(refreshInterval:(display:Off,pause:!f,section:0,value:0),time:(from:'2017-04-14T17:39:22-0600',mode:absolute,to:'2017-04-14T20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183" t="str">
        <f t="shared" si="48"/>
        <v>N</v>
      </c>
      <c r="X200" s="183">
        <f t="shared" si="49"/>
        <v>1</v>
      </c>
      <c r="Y200" s="62">
        <f t="shared" si="50"/>
        <v>9.69E-2</v>
      </c>
      <c r="Z200" s="62">
        <f t="shared" si="51"/>
        <v>5.8949999999999996</v>
      </c>
      <c r="AA200" s="62">
        <f t="shared" si="52"/>
        <v>5.7980999999999998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3"/>
        <v>0839-14</v>
      </c>
      <c r="AE200" s="85" t="str">
        <f t="shared" si="54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200" s="82" t="str">
        <f t="shared" si="55"/>
        <v>"C:\Program Files (x86)\AstroGrep\AstroGrep.exe" /e /r /s /spath="%USERPROFILE%\AppData\Local\Temp\OnboardLogs" /stypes="app*4028*20170415*" /stext=" 01:.+((SYSTEM_STATE.+slice.+state.+changed )|(ment ac)|(multiple cpu faults)|(system.+state.+changed )|(\[timeout)|(PRM\|1\|D)|(kpr)|(kdp)|(\|lc)|(penalty))"</v>
      </c>
      <c r="AG200" s="1" t="str">
        <f t="shared" si="56"/>
        <v>NW</v>
      </c>
      <c r="AH200" s="86" t="str">
        <f t="shared" si="57"/>
        <v>"%USERPROFILE%\Documents\GitHub\eaglep3\Utilities\RefineRTDCRunTimes.py" --tripid 839-14 --locoid 4028 --swversion DE.1.0.9.0 --startMP 204:969 --initTime 2017-04-14T18:39:22 --startdatetime 2017-04-14T18:51:15 --delay 1 --endMP 300:58950 --enddatetime 2017-04-14T19:05:47 --enforcementcount 0 &gt;&gt;C:\Users\stu\Documents\GitHub\eaglep3-reporting\EC\2017-04-14-refined-times.txt</v>
      </c>
      <c r="AI200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{"issue":{"subject":"","project_id":79,"tracker_id":40,"status_id":1,"priority_id":2,"assigned_to_id":23,"start_date":"2017-04-14","description":"","custom_fields":[{"id":1,"name":"Subdivision","value":"NW"},{"id":4,"name":"Milepost","value":"5.895"},{"id":17,"name":"Train ID","value":"839-14"},{"id":16,"name":"Locomotive ID","value":"4028"},{"id":130,"name":"Impact","value":""},{"id":150,"name":"Time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59"/>
        <v>start /low /b %USERPROFILE%\Documents\GitHub\eaglep3\Utilities\DownloadLogsFromS3.py --loco 4028 --day 2017-04-14</v>
      </c>
      <c r="AN200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829</v>
      </c>
      <c r="B201" s="7">
        <v>4053</v>
      </c>
      <c r="C201" s="21" t="s">
        <v>214</v>
      </c>
      <c r="D201" s="21" t="s">
        <v>620</v>
      </c>
      <c r="E201" s="13">
        <v>42839.817303240743</v>
      </c>
      <c r="F201" s="13">
        <v>42839.818807870368</v>
      </c>
      <c r="G201" s="7">
        <v>1</v>
      </c>
      <c r="H201" s="21" t="s">
        <v>530</v>
      </c>
      <c r="I201" s="13">
        <v>42839.832349537035</v>
      </c>
      <c r="J201" s="7">
        <v>0</v>
      </c>
      <c r="K201" s="97" t="str">
        <f t="shared" si="42"/>
        <v>4053/4054</v>
      </c>
      <c r="L201" s="21" t="str">
        <f>VLOOKUP(A201,'Trips&amp;Operators'!$C$1:$G$99999,5,FALSE)</f>
        <v>GUZMAN DANNY</v>
      </c>
      <c r="M201" s="6">
        <f t="shared" si="43"/>
        <v>1.3541666667151731E-2</v>
      </c>
      <c r="N201" s="7">
        <f t="shared" si="44"/>
        <v>19.500000000698492</v>
      </c>
      <c r="O201" s="7"/>
      <c r="P201" s="7"/>
      <c r="Q201" s="22"/>
      <c r="R201" s="22"/>
      <c r="S201" s="31">
        <f t="shared" si="45"/>
        <v>1</v>
      </c>
      <c r="T201" s="46" t="str">
        <f t="shared" si="46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47"/>
        <v>https://d0f6bd738d7f1b3e5a7ca70fe4ff75f0.us-east-1.aws.found.io/app/kibana#/discover/Steve-Slow-Train-Analysis-(2080s-and-2083s)?_g=(refreshInterval:(display:Off,pause:!f,section:0,value:0),time:(from:'2017-04-14T18:36:55-0600',mode:absolute,to:'2017-04-14T20:58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1" s="183" t="str">
        <f t="shared" si="48"/>
        <v>N</v>
      </c>
      <c r="X201" s="183">
        <f t="shared" si="49"/>
        <v>1</v>
      </c>
      <c r="Y201" s="62">
        <f t="shared" si="50"/>
        <v>5.8638000000000003</v>
      </c>
      <c r="Z201" s="62">
        <f t="shared" si="51"/>
        <v>6.9400000000000003E-2</v>
      </c>
      <c r="AA201" s="62">
        <f t="shared" si="52"/>
        <v>5.7944000000000004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3"/>
        <v>0840-14</v>
      </c>
      <c r="AE201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201" s="82" t="str">
        <f t="shared" si="55"/>
        <v>"C:\Program Files (x86)\AstroGrep\AstroGrep.exe" /e /r /s /spath="%USERPROFILE%\AppData\Local\Temp\OnboardLogs" /stypes="app*4053*20170415*" /stext=" 01:.+((SYSTEM_STATE.+slice.+state.+changed )|(ment ac)|(multiple cpu faults)|(system.+state.+changed )|(\[timeout)|(PRM\|1\|D)|(kpr)|(kdp)|(\|lc)|(penalty))"</v>
      </c>
      <c r="AG201" s="1" t="str">
        <f t="shared" si="56"/>
        <v>NW</v>
      </c>
      <c r="AH201" s="86" t="str">
        <f t="shared" si="57"/>
        <v>"%USERPROFILE%\Documents\GitHub\eaglep3\Utilities\RefineRTDCRunTimes.py" --tripid 840-14 --locoid 4053 --swversion DE.1.0.9.0 --startMP 300:58638 --initTime 2017-04-14T19:36:55 --startdatetime 2017-04-14T19:39:05 --delay 1 --endMP 204:694 --enddatetime 2017-04-14T19:58:35 --enforcementcount 0 &gt;&gt;C:\Users\stu\Documents\GitHub\eaglep3-reporting\EC\2017-04-14-refined-times.txt</v>
      </c>
      <c r="AI201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{"issue":{"subject":"","project_id":79,"tracker_id":40,"status_id":1,"priority_id":2,"assigned_to_id":23,"start_date":"2017-04-14","description":"","custom_fields":[{"id":1,"name":"Subdivision","value":"NW"},{"id":4,"name":"Milepost","value":"0.0694"},{"id":17,"name":"Train ID","value":"840-14"},{"id":16,"name":"Locomotive ID","value":"4053"},{"id":130,"name":"Impact","value":""},{"id":150,"name":"Time of Event (Mountain Time)","value":"19:58:35"},{"id":151,"name":"Denver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9"/>
        <v>start /low /b %USERPROFILE%\Documents\GitHub\eaglep3\Utilities\DownloadLogsFromS3.py --loco 4053 --day 2017-04-14</v>
      </c>
      <c r="AN201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824</v>
      </c>
      <c r="B202" s="7">
        <v>4054</v>
      </c>
      <c r="C202" s="21" t="s">
        <v>214</v>
      </c>
      <c r="D202" s="21" t="s">
        <v>623</v>
      </c>
      <c r="E202" s="13">
        <v>42839.792210648149</v>
      </c>
      <c r="F202" s="13">
        <v>42839.80641203704</v>
      </c>
      <c r="G202" s="7">
        <v>0</v>
      </c>
      <c r="H202" s="21" t="s">
        <v>995</v>
      </c>
      <c r="I202" s="13">
        <v>42839.816354166665</v>
      </c>
      <c r="J202" s="7">
        <v>0</v>
      </c>
      <c r="K202" s="97" t="str">
        <f t="shared" si="42"/>
        <v>4053/4054</v>
      </c>
      <c r="L202" s="21" t="str">
        <f>VLOOKUP(A202,'Trips&amp;Operators'!$C$1:$G$99999,5,FALSE)</f>
        <v>GUZMAN DANNY</v>
      </c>
      <c r="M202" s="6">
        <f t="shared" si="43"/>
        <v>9.9421296254149638E-3</v>
      </c>
      <c r="N202" s="7">
        <f t="shared" si="44"/>
        <v>14.316666660597548</v>
      </c>
      <c r="O202" s="7"/>
      <c r="P202" s="7"/>
      <c r="Q202" s="22"/>
      <c r="R202" s="22"/>
      <c r="S202" s="31">
        <f t="shared" si="45"/>
        <v>1</v>
      </c>
      <c r="T202" s="46" t="str">
        <f t="shared" si="46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47"/>
        <v>https://d0f6bd738d7f1b3e5a7ca70fe4ff75f0.us-east-1.aws.found.io/app/kibana#/discover/Steve-Slow-Train-Analysis-(2080s-and-2083s)?_g=(refreshInterval:(display:Off,pause:!f,section:0,value:0),time:(from:'2017-04-14T18:00:47-0600',mode:absolute,to:'2017-04-14T20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2" s="183" t="str">
        <f t="shared" si="48"/>
        <v>N</v>
      </c>
      <c r="X202" s="183">
        <f t="shared" si="49"/>
        <v>1</v>
      </c>
      <c r="Y202" s="62">
        <f t="shared" si="50"/>
        <v>9.7100000000000006E-2</v>
      </c>
      <c r="Z202" s="62">
        <f t="shared" si="51"/>
        <v>5.8952</v>
      </c>
      <c r="AA202" s="62">
        <f t="shared" si="52"/>
        <v>5.7980999999999998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3"/>
        <v>0841-14</v>
      </c>
      <c r="AE202" s="85" t="str">
        <f t="shared" si="54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202" s="82" t="str">
        <f t="shared" si="55"/>
        <v>"C:\Program Files (x86)\AstroGrep\AstroGrep.exe" /e /r /s /spath="%USERPROFILE%\AppData\Local\Temp\OnboardLogs" /stypes="app*4054*20170415*" /stext=" 01:.+((SYSTEM_STATE.+slice.+state.+changed )|(ment ac)|(multiple cpu faults)|(system.+state.+changed )|(\[timeout)|(PRM\|1\|D)|(kpr)|(kdp)|(\|lc)|(penalty))"</v>
      </c>
      <c r="AG202" s="1" t="str">
        <f t="shared" si="56"/>
        <v>NW</v>
      </c>
      <c r="AH202" s="86" t="str">
        <f t="shared" si="57"/>
        <v>"%USERPROFILE%\Documents\GitHub\eaglep3\Utilities\RefineRTDCRunTimes.py" --tripid 841-14 --locoid 4054 --swversion DE.1.0.9.0 --startMP 204:971 --initTime 2017-04-14T19:00:47 --startdatetime 2017-04-14T19:21:14 --delay 0 --endMP 300:58952 --enddatetime 2017-04-14T19:35:33 --enforcementcount 0 &gt;&gt;C:\Users\stu\Documents\GitHub\eaglep3-reporting\EC\2017-04-14-refined-times.txt</v>
      </c>
      <c r="AI202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{"issue":{"subject":"","project_id":79,"tracker_id":40,"status_id":1,"priority_id":2,"assigned_to_id":23,"start_date":"2017-04-14","description":"","custom_fields":[{"id":1,"name":"Subdivision","value":"NW"},{"id":4,"name":"Milepost","value":"5.8952"},{"id":17,"name":"Train ID","value":"841-14"},{"id":16,"name":"Locomotive ID","value":"4054"},{"id":130,"name":"Impact","value":""},{"id":150,"name":"Time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59"/>
        <v>start /low /b %USERPROFILE%\Documents\GitHub\eaglep3\Utilities\DownloadLogsFromS3.py --loco 4054 --day 2017-04-14</v>
      </c>
      <c r="AN202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835</v>
      </c>
      <c r="B203" s="7">
        <v>4053</v>
      </c>
      <c r="C203" s="21" t="s">
        <v>214</v>
      </c>
      <c r="D203" s="21" t="s">
        <v>620</v>
      </c>
      <c r="E203" s="13">
        <v>42839.859097222223</v>
      </c>
      <c r="F203" s="13">
        <v>42839.860879629632</v>
      </c>
      <c r="G203" s="7">
        <v>1</v>
      </c>
      <c r="H203" s="21" t="s">
        <v>610</v>
      </c>
      <c r="I203" s="13">
        <v>42839.872407407405</v>
      </c>
      <c r="J203" s="7">
        <v>0</v>
      </c>
      <c r="K203" s="97" t="str">
        <f t="shared" si="42"/>
        <v>4053/4054</v>
      </c>
      <c r="L203" s="21" t="str">
        <f>VLOOKUP(A203,'Trips&amp;Operators'!$C$1:$G$99999,5,FALSE)</f>
        <v>GUZMAN DANNY</v>
      </c>
      <c r="M203" s="6">
        <f t="shared" si="43"/>
        <v>1.1527777773153502E-2</v>
      </c>
      <c r="N203" s="7">
        <f t="shared" si="44"/>
        <v>16.599999993341044</v>
      </c>
      <c r="O203" s="7"/>
      <c r="P203" s="7"/>
      <c r="Q203" s="22"/>
      <c r="R203" s="22"/>
      <c r="S203" s="31">
        <f t="shared" si="45"/>
        <v>1</v>
      </c>
      <c r="T203" s="46" t="str">
        <f t="shared" si="46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47"/>
        <v>https://d0f6bd738d7f1b3e5a7ca70fe4ff75f0.us-east-1.aws.found.io/app/kibana#/discover/Steve-Slow-Train-Analysis-(2080s-and-2083s)?_g=(refreshInterval:(display:Off,pause:!f,section:0,value:0),time:(from:'2017-04-14T19:37:06-0600',mode:absolute,to:'2017-04-14T21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3" s="183" t="str">
        <f t="shared" si="48"/>
        <v>N</v>
      </c>
      <c r="X203" s="183">
        <f t="shared" si="49"/>
        <v>1</v>
      </c>
      <c r="Y203" s="62">
        <f t="shared" si="50"/>
        <v>5.8638000000000003</v>
      </c>
      <c r="Z203" s="62">
        <f t="shared" si="51"/>
        <v>6.8900000000000003E-2</v>
      </c>
      <c r="AA203" s="62">
        <f t="shared" si="52"/>
        <v>5.7949000000000002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3"/>
        <v>0842-14</v>
      </c>
      <c r="AE203" s="85" t="str">
        <f t="shared" si="54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203" s="82" t="str">
        <f t="shared" si="55"/>
        <v>"C:\Program Files (x86)\AstroGrep\AstroGrep.exe" /e /r /s /spath="%USERPROFILE%\AppData\Local\Temp\OnboardLogs" /stypes="app*4053*20170415*" /stext=" 02:.+((SYSTEM_STATE.+slice.+state.+changed )|(ment ac)|(multiple cpu faults)|(system.+state.+changed )|(\[timeout)|(PRM\|1\|D)|(kpr)|(kdp)|(\|lc)|(penalty))"</v>
      </c>
      <c r="AG203" s="1" t="str">
        <f t="shared" si="56"/>
        <v>NW</v>
      </c>
      <c r="AH203" s="86" t="str">
        <f t="shared" si="57"/>
        <v>"%USERPROFILE%\Documents\GitHub\eaglep3\Utilities\RefineRTDCRunTimes.py" --tripid 842-14 --locoid 4053 --swversion DE.1.0.9.0 --startMP 300:58638 --initTime 2017-04-14T20:37:06 --startdatetime 2017-04-14T20:39:40 --delay 1 --endMP 204:689 --enddatetime 2017-04-14T20:56:16 --enforcementcount 0 &gt;&gt;C:\Users\stu\Documents\GitHub\eaglep3-reporting\EC\2017-04-14-refined-times.txt</v>
      </c>
      <c r="AI203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{"issue":{"subject":"","project_id":79,"tracker_id":40,"status_id":1,"priority_id":2,"assigned_to_id":23,"start_date":"2017-04-14","description":"","custom_fields":[{"id":1,"name":"Subdivision","value":"NW"},{"id":4,"name":"Milepost","value":"0.0689"},{"id":17,"name":"Train ID","value":"842-14"},{"id":16,"name":"Locomotive ID","value":"4053"},{"id":130,"name":"Impact","value":""},{"id":150,"name":"Time of Event (Mountain Time)","value":"20:56:16"},{"id":151,"name":"Denver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59"/>
        <v>start /low /b %USERPROFILE%\Documents\GitHub\eaglep3\Utilities\DownloadLogsFromS3.py --loco 4053 --day 2017-04-14</v>
      </c>
      <c r="AN203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s="20" customFormat="1" x14ac:dyDescent="0.25">
      <c r="A204" s="33" t="s">
        <v>834</v>
      </c>
      <c r="B204" s="7">
        <v>4054</v>
      </c>
      <c r="C204" s="21" t="s">
        <v>214</v>
      </c>
      <c r="D204" s="21" t="s">
        <v>559</v>
      </c>
      <c r="E204" s="13">
        <v>42839.841550925928</v>
      </c>
      <c r="F204" s="13">
        <v>42839.848101851851</v>
      </c>
      <c r="G204" s="7">
        <v>1</v>
      </c>
      <c r="H204" s="21" t="s">
        <v>617</v>
      </c>
      <c r="I204" s="13">
        <v>42839.858206018522</v>
      </c>
      <c r="J204" s="7">
        <v>0</v>
      </c>
      <c r="K204" s="97" t="str">
        <f t="shared" ref="K204:K234" si="61">IF(ISEVEN(B204),(B204-1)&amp;"/"&amp;B204,B204&amp;"/"&amp;(B204+1))</f>
        <v>4053/4054</v>
      </c>
      <c r="L204" s="21" t="str">
        <f>VLOOKUP(A204,'Trips&amp;Operators'!$C$1:$G$99999,5,FALSE)</f>
        <v>GUZMAN DANNY</v>
      </c>
      <c r="M204" s="6">
        <f t="shared" ref="M204:M234" si="62">I204-F204</f>
        <v>1.0104166671226267E-2</v>
      </c>
      <c r="N204" s="7">
        <f t="shared" ref="N204:P234" si="63">24*60*SUM($M204:$M204)</f>
        <v>14.550000006565824</v>
      </c>
      <c r="O204" s="7"/>
      <c r="P204" s="7"/>
      <c r="Q204" s="22"/>
      <c r="R204" s="22"/>
      <c r="S204" s="31">
        <f t="shared" ref="S204:S234" si="64">SUM(U204:U204)/IF(AG204="EC",12,1)</f>
        <v>1</v>
      </c>
      <c r="T204" s="46" t="str">
        <f t="shared" ref="T204:T234" si="65"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ref="V204:V234" si="66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-14T19:11:50-0600',mode:absolute,to:'2017-04-14T21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4" s="183" t="str">
        <f t="shared" ref="W204:W234" si="67">IF(AA204&lt;IF(AG204="EC",23,5.65),"Y","N")</f>
        <v>N</v>
      </c>
      <c r="X204" s="183">
        <f t="shared" ref="X204:X234" si="68">VALUE(LEFT(AD204,4))-VALUE(LEFT(AD203,4))</f>
        <v>1</v>
      </c>
      <c r="Y204" s="62">
        <f t="shared" ref="Y204:Y234" si="69">RIGHT(D204,LEN(D204)-4)/10000</f>
        <v>9.7600000000000006E-2</v>
      </c>
      <c r="Z204" s="62">
        <f t="shared" ref="Z204:Z234" si="70">RIGHT(H204,LEN(H204)-4)/10000</f>
        <v>5.8954000000000004</v>
      </c>
      <c r="AA204" s="62">
        <f t="shared" ref="AA204:AA234" si="71">ABS(Z204-Y204)</f>
        <v>5.7978000000000005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34" si="72">IF(LEN(A204)=6,"0"&amp;A204,A204)</f>
        <v>0843-14</v>
      </c>
      <c r="AE204" s="85" t="str">
        <f t="shared" ref="AE204:AE234" si="73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204" s="82" t="str">
        <f t="shared" ref="AF204:AF234" si="74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/stypes="app*4054*20170415*" /stext=" 02:.+((SYSTEM_STATE.+slice.+state.+changed )|(ment ac)|(multiple cpu faults)|(system.+state.+changed )|(\[timeout)|(PRM\|1\|D)|(kpr)|(kdp)|(\|lc)|(penalty))"</v>
      </c>
      <c r="AG204" s="1" t="str">
        <f t="shared" ref="AG204:AG234" si="75">IFERROR(IF(VALUE(LEFT(AD204,2))&lt;=2,"EC",IF(OR(VALUE(LEFT(AD204,2))=8,VALUE(LEFT(AD204,2))=18),"NW","Other")),"Other")</f>
        <v>NW</v>
      </c>
      <c r="AH204" s="86" t="str">
        <f t="shared" si="57"/>
        <v>"%USERPROFILE%\Documents\GitHub\eaglep3\Utilities\RefineRTDCRunTimes.py" --tripid 843-14 --locoid 4054 --swversion DE.1.0.9.0 --startMP 204:976 --initTime 2017-04-14T20:11:50 --startdatetime 2017-04-14T20:21:16 --delay 1 --endMP 300:58954 --enddatetime 2017-04-14T20:35:49 --enforcementcount 0 &gt;&gt;C:\Users\stu\Documents\GitHub\eaglep3-reporting\EC\2017-04-14-refined-times.txt</v>
      </c>
      <c r="AI204" s="104" t="str">
        <f t="shared" si="58"/>
        <v>echo {"issue":{"subject":"","project_id":79,"tracker_id":40,"status_id":1,"priority_id":2,"assigned_to_id":23,"start_date":"2017-04-14","description":"","custom_fields":[{"id":1,"name":"Subdivision","value":"NW"},{"id":4,"name":"Milepost","value":"5.8954"},{"id":17,"name":"Train ID","value":"843-14"},{"id":16,"name":"Locomotive ID","value":"4054"},{"id":130,"name":"Impact","value":""},{"id":150,"name":"Time of Event (Mountain Time)","value":"20:35:49"},{"id":151,"name":"Denver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8"/>
      <c r="AL204" s="48"/>
      <c r="AM204" s="150" t="str">
        <f t="shared" si="59"/>
        <v>start /low /b %USERPROFILE%\Documents\GitHub\eaglep3\Utilities\DownloadLogsFromS3.py --loco 4054 --day 2017-04-14</v>
      </c>
      <c r="AN204" s="159" t="str">
        <f t="shared" si="6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842</v>
      </c>
      <c r="B205" s="7">
        <v>4053</v>
      </c>
      <c r="C205" s="21" t="s">
        <v>214</v>
      </c>
      <c r="D205" s="21" t="s">
        <v>987</v>
      </c>
      <c r="E205" s="13">
        <v>42839.900763888887</v>
      </c>
      <c r="F205" s="13">
        <v>42839.902499999997</v>
      </c>
      <c r="G205" s="7">
        <v>1</v>
      </c>
      <c r="H205" s="21" t="s">
        <v>996</v>
      </c>
      <c r="I205" s="13">
        <v>42839.913819444446</v>
      </c>
      <c r="J205" s="7">
        <v>0</v>
      </c>
      <c r="K205" s="97" t="str">
        <f t="shared" si="61"/>
        <v>4053/4054</v>
      </c>
      <c r="L205" s="21" t="str">
        <f>VLOOKUP(A205,'Trips&amp;Operators'!$C$1:$G$99999,5,FALSE)</f>
        <v>SULLIVAN BRANDON</v>
      </c>
      <c r="M205" s="6">
        <f t="shared" si="62"/>
        <v>1.131944444932742E-2</v>
      </c>
      <c r="N205" s="7">
        <f t="shared" si="63"/>
        <v>16.300000007031485</v>
      </c>
      <c r="O205" s="7"/>
      <c r="P205" s="7"/>
      <c r="Q205" s="22"/>
      <c r="R205" s="22"/>
      <c r="S205" s="31">
        <f t="shared" si="64"/>
        <v>1</v>
      </c>
      <c r="T205" s="46" t="str">
        <f t="shared" si="65"/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si="66"/>
        <v>https://d0f6bd738d7f1b3e5a7ca70fe4ff75f0.us-east-1.aws.found.io/app/kibana#/discover/Steve-Slow-Train-Analysis-(2080s-and-2083s)?_g=(refreshInterval:(display:Off,pause:!f,section:0,value:0),time:(from:'2017-04-14T20:37:06-0600',mode:absolute,to:'2017-04-14T22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3" t="str">
        <f t="shared" si="67"/>
        <v>N</v>
      </c>
      <c r="X205" s="183">
        <f t="shared" si="68"/>
        <v>1</v>
      </c>
      <c r="Y205" s="62">
        <f t="shared" si="69"/>
        <v>5.8640999999999996</v>
      </c>
      <c r="Z205" s="62">
        <f t="shared" si="70"/>
        <v>6.7799999999999999E-2</v>
      </c>
      <c r="AA205" s="62">
        <f t="shared" si="71"/>
        <v>5.7962999999999996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72"/>
        <v>0844-14</v>
      </c>
      <c r="AE205" s="85" t="str">
        <f t="shared" si="73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205" s="82" t="str">
        <f t="shared" si="74"/>
        <v>"C:\Program Files (x86)\AstroGrep\AstroGrep.exe" /e /r /s /spath="%USERPROFILE%\AppData\Local\Temp\OnboardLogs" /stypes="app*4053*20170415*" /stext=" 03:.+((SYSTEM_STATE.+slice.+state.+changed )|(ment ac)|(multiple cpu faults)|(system.+state.+changed )|(\[timeout)|(PRM\|1\|D)|(kpr)|(kdp)|(\|lc)|(penalty))"</v>
      </c>
      <c r="AG205" s="1" t="str">
        <f t="shared" si="75"/>
        <v>NW</v>
      </c>
      <c r="AH205" s="86" t="str">
        <f t="shared" ref="AH205:AH234" si="7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844-14 --locoid 4053 --swversion DE.1.0.9.0 --startMP 300:58641 --initTime 2017-04-14T21:37:06 --startdatetime 2017-04-14T21:39:36 --delay 1 --endMP 204:678 --enddatetime 2017-04-14T21:55:54 --enforcementcount 0 &gt;&gt;C:\Users\stu\Documents\GitHub\eaglep3-reporting\EC\2017-04-14-refined-times.txt</v>
      </c>
      <c r="AI205" s="104" t="str">
        <f t="shared" ref="AI205:AI234" si="7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{"issue":{"subject":"","project_id":79,"tracker_id":40,"status_id":1,"priority_id":2,"assigned_to_id":23,"start_date":"2017-04-14","description":"","custom_fields":[{"id":1,"name":"Subdivision","value":"NW"},{"id":4,"name":"Milepost","value":"0.0678"},{"id":17,"name":"Train ID","value":"844-14"},{"id":16,"name":"Locomotive ID","value":"4053"},{"id":130,"name":"Impact","value":""},{"id":150,"name":"Time of Event (Mountain Time)","value":"21:55:54"},{"id":151,"name":"Denver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ref="AM205:AM234" si="78">"start /low /b "&amp;dls3logs&amp;" --loco "&amp;B205&amp;" --day "&amp;TEXT(F205,"YYYY-MM-DD")</f>
        <v>start /low /b %USERPROFILE%\Documents\GitHub\eaglep3\Utilities\DownloadLogsFromS3.py --loco 4053 --day 2017-04-14</v>
      </c>
      <c r="AN205" s="159" t="str">
        <f t="shared" ref="AN205:AN234" si="7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652</v>
      </c>
      <c r="B206" s="7">
        <v>4054</v>
      </c>
      <c r="C206" s="21" t="s">
        <v>214</v>
      </c>
      <c r="D206" s="21" t="s">
        <v>562</v>
      </c>
      <c r="E206" s="13">
        <v>42839.876145833332</v>
      </c>
      <c r="F206" s="13">
        <v>42839.889756944445</v>
      </c>
      <c r="G206" s="7">
        <v>2</v>
      </c>
      <c r="H206" s="21" t="s">
        <v>625</v>
      </c>
      <c r="I206" s="13">
        <v>42839.899722222224</v>
      </c>
      <c r="J206" s="7">
        <v>0</v>
      </c>
      <c r="K206" s="97" t="str">
        <f t="shared" si="61"/>
        <v>4053/4054</v>
      </c>
      <c r="L206" s="21" t="str">
        <f>VLOOKUP(A206,'Trips&amp;Operators'!$C$1:$G$99999,5,FALSE)</f>
        <v>SULLIVAN BRANDON</v>
      </c>
      <c r="M206" s="6">
        <f t="shared" si="62"/>
        <v>9.9652777789742686E-3</v>
      </c>
      <c r="N206" s="7">
        <f t="shared" si="63"/>
        <v>14.350000001722947</v>
      </c>
      <c r="O206" s="7"/>
      <c r="P206" s="7"/>
      <c r="Q206" s="22"/>
      <c r="R206" s="22"/>
      <c r="S206" s="31">
        <f t="shared" si="64"/>
        <v>1</v>
      </c>
      <c r="T206" s="46" t="str">
        <f t="shared" si="65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66"/>
        <v>https://d0f6bd738d7f1b3e5a7ca70fe4ff75f0.us-east-1.aws.found.io/app/kibana#/discover/Steve-Slow-Train-Analysis-(2080s-and-2083s)?_g=(refreshInterval:(display:Off,pause:!f,section:0,value:0),time:(from:'2017-04-14T20:01:39-0600',mode:absolute,to:'2017-04-14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6" s="183" t="str">
        <f t="shared" si="67"/>
        <v>N</v>
      </c>
      <c r="X206" s="183">
        <f t="shared" si="68"/>
        <v>1</v>
      </c>
      <c r="Y206" s="62">
        <f t="shared" si="69"/>
        <v>9.8599999999999993E-2</v>
      </c>
      <c r="Z206" s="62">
        <f t="shared" si="70"/>
        <v>5.8958000000000004</v>
      </c>
      <c r="AA206" s="62">
        <f t="shared" si="71"/>
        <v>5.7972000000000001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2"/>
        <v>0845-14</v>
      </c>
      <c r="AE206" s="85" t="str">
        <f t="shared" si="73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206" s="82" t="str">
        <f t="shared" si="74"/>
        <v>"C:\Program Files (x86)\AstroGrep\AstroGrep.exe" /e /r /s /spath="%USERPROFILE%\AppData\Local\Temp\OnboardLogs" /stypes="app*4054*20170415*" /stext=" 03:.+((SYSTEM_STATE.+slice.+state.+changed )|(ment ac)|(multiple cpu faults)|(system.+state.+changed )|(\[timeout)|(PRM\|1\|D)|(kpr)|(kdp)|(\|lc)|(penalty))"</v>
      </c>
      <c r="AG206" s="1" t="str">
        <f t="shared" si="75"/>
        <v>NW</v>
      </c>
      <c r="AH206" s="86" t="str">
        <f t="shared" si="76"/>
        <v>"%USERPROFILE%\Documents\GitHub\eaglep3\Utilities\RefineRTDCRunTimes.py" --tripid 845-14 --locoid 4054 --swversion DE.1.0.9.0 --startMP 204:986 --initTime 2017-04-14T21:01:39 --startdatetime 2017-04-14T21:21:15 --delay 2 --endMP 300:58958 --enddatetime 2017-04-14T21:35:36 --enforcementcount 0 &gt;&gt;C:\Users\stu\Documents\GitHub\eaglep3-reporting\EC\2017-04-14-refined-times.txt</v>
      </c>
      <c r="AI206" s="104" t="str">
        <f t="shared" si="77"/>
        <v>echo {"issue":{"subject":"","project_id":79,"tracker_id":40,"status_id":1,"priority_id":2,"assigned_to_id":23,"start_date":"2017-04-14","description":"","custom_fields":[{"id":1,"name":"Subdivision","value":"NW"},{"id":4,"name":"Milepost","value":"5.8958"},{"id":17,"name":"Train ID","value":"845-14"},{"id":16,"name":"Locomotive ID","value":"4054"},{"id":130,"name":"Impact","value":""},{"id":150,"name":"Time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8"/>
        <v>start /low /b %USERPROFILE%\Documents\GitHub\eaglep3\Utilities\DownloadLogsFromS3.py --loco 4054 --day 2017-04-14</v>
      </c>
      <c r="AN206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845</v>
      </c>
      <c r="B207" s="7">
        <v>4054</v>
      </c>
      <c r="C207" s="21" t="s">
        <v>214</v>
      </c>
      <c r="D207" s="21" t="s">
        <v>557</v>
      </c>
      <c r="E207" s="13">
        <v>42839.917812500003</v>
      </c>
      <c r="F207" s="13">
        <v>42839.931435185186</v>
      </c>
      <c r="G207" s="7">
        <v>1</v>
      </c>
      <c r="H207" s="21" t="s">
        <v>493</v>
      </c>
      <c r="I207" s="13">
        <v>42839.941759259258</v>
      </c>
      <c r="J207" s="7">
        <v>0</v>
      </c>
      <c r="K207" s="97" t="str">
        <f t="shared" si="61"/>
        <v>4053/4054</v>
      </c>
      <c r="L207" s="21" t="str">
        <f>VLOOKUP(A207,'Trips&amp;Operators'!$C$1:$G$99999,5,FALSE)</f>
        <v>SULLIVAN BRANDON</v>
      </c>
      <c r="M207" s="6">
        <f t="shared" si="62"/>
        <v>1.0324074071832001E-2</v>
      </c>
      <c r="N207" s="7">
        <f t="shared" si="63"/>
        <v>14.866666663438082</v>
      </c>
      <c r="O207" s="7"/>
      <c r="P207" s="7"/>
      <c r="Q207" s="22"/>
      <c r="R207" s="22"/>
      <c r="S207" s="31">
        <f t="shared" si="64"/>
        <v>1</v>
      </c>
      <c r="T207" s="46" t="str">
        <f t="shared" si="65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66"/>
        <v>https://d0f6bd738d7f1b3e5a7ca70fe4ff75f0.us-east-1.aws.found.io/app/kibana#/discover/Steve-Slow-Train-Analysis-(2080s-and-2083s)?_g=(refreshInterval:(display:Off,pause:!f,section:0,value:0),time:(from:'2017-04-14T21:01:39-0600',mode:absolute,to:'2017-04-14T23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3" t="str">
        <f t="shared" si="67"/>
        <v>N</v>
      </c>
      <c r="X207" s="183">
        <f t="shared" si="68"/>
        <v>2</v>
      </c>
      <c r="Y207" s="62">
        <f t="shared" si="69"/>
        <v>9.69E-2</v>
      </c>
      <c r="Z207" s="62">
        <f t="shared" si="70"/>
        <v>5.8935000000000004</v>
      </c>
      <c r="AA207" s="62">
        <f t="shared" si="71"/>
        <v>5.7966000000000006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2"/>
        <v>0847-14</v>
      </c>
      <c r="AE207" s="85" t="str">
        <f t="shared" si="73"/>
        <v>aws s3 cp s3://rtdc.mdm.uploadarchive.raw/RTDC4054/ "%USERPROFILE%\AppData\Local\Temp\OnboardLogs"\RTDC4054\2017-04-14 --exclude "*" --recursive --include "*20170414*" &amp; "%USERPROFILE%\Documents\GitHub\mrs-test-scripts\Headless Mode &amp; Sideloading\WalkAndUnGZ.bat" "%USERPROFILE%\AppData\Local\Temp\OnboardLogs"\RTDC4054\2017-04-14 &amp; 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</v>
      </c>
      <c r="AF207" s="82" t="str">
        <f t="shared" si="74"/>
        <v>"C:\Program Files (x86)\AstroGrep\AstroGrep.exe" /e /r /s /spath="%USERPROFILE%\AppData\Local\Temp\OnboardLogs" /stypes="app*4054*20170415*" /stext=" 04:.+((SYSTEM_STATE.+slice.+state.+changed )|(ment ac)|(multiple cpu faults)|(system.+state.+changed )|(\[timeout)|(PRM\|1\|D)|(kpr)|(kdp)|(\|lc)|(penalty))"</v>
      </c>
      <c r="AG207" s="1" t="str">
        <f t="shared" si="75"/>
        <v>NW</v>
      </c>
      <c r="AH207" s="86" t="str">
        <f t="shared" si="76"/>
        <v>"%USERPROFILE%\Documents\GitHub\eaglep3\Utilities\RefineRTDCRunTimes.py" --tripid 847-14 --locoid 4054 --swversion DE.1.0.9.0 --startMP 204:969 --initTime 2017-04-14T22:01:39 --startdatetime 2017-04-14T22:21:16 --delay 1 --endMP 300:58935 --enddatetime 2017-04-14T22:36:08 --enforcementcount 0 &gt;&gt;C:\Users\stu\Documents\GitHub\eaglep3-reporting\EC\2017-04-14-refined-times.txt</v>
      </c>
      <c r="AI207" s="104" t="str">
        <f t="shared" si="77"/>
        <v>echo {"issue":{"subject":"","project_id":79,"tracker_id":40,"status_id":1,"priority_id":2,"assigned_to_id":23,"start_date":"2017-04-14","description":"","custom_fields":[{"id":1,"name":"Subdivision","value":"NW"},{"id":4,"name":"Milepost","value":"5.8935"},{"id":17,"name":"Train ID","value":"847-14"},{"id":16,"name":"Locomotive ID","value":"4054"},{"id":130,"name":"Impact","value":""},{"id":150,"name":"Time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78"/>
        <v>start /low /b %USERPROFILE%\Documents\GitHub\eaglep3\Utilities\DownloadLogsFromS3.py --loco 4054 --day 2017-04-14</v>
      </c>
      <c r="AN207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653</v>
      </c>
      <c r="B208" s="7">
        <v>4019</v>
      </c>
      <c r="C208" s="21" t="s">
        <v>214</v>
      </c>
      <c r="D208" s="21" t="s">
        <v>932</v>
      </c>
      <c r="E208" s="13">
        <v>42839.117812500001</v>
      </c>
      <c r="F208" s="13">
        <v>42839.121435185189</v>
      </c>
      <c r="G208" s="7">
        <v>5</v>
      </c>
      <c r="H208" s="21" t="s">
        <v>933</v>
      </c>
      <c r="I208" s="13">
        <v>42839.127511574072</v>
      </c>
      <c r="J208" s="7">
        <v>0</v>
      </c>
      <c r="K208" s="97" t="str">
        <f t="shared" si="61"/>
        <v>4019/4020</v>
      </c>
      <c r="L208" s="21" t="str">
        <f>VLOOKUP(A208,'Trips&amp;Operators'!$C$1:$G$99999,5,FALSE)</f>
        <v>BADERTSCHER DIANE</v>
      </c>
      <c r="M208" s="6">
        <f t="shared" si="62"/>
        <v>6.0763888832298107E-3</v>
      </c>
      <c r="N208" s="7">
        <f t="shared" si="63"/>
        <v>8.7499999918509275</v>
      </c>
      <c r="O208" s="7"/>
      <c r="P208" s="7"/>
      <c r="Q208" s="22"/>
      <c r="R208" s="22"/>
      <c r="S208" s="31">
        <f t="shared" si="64"/>
        <v>1</v>
      </c>
      <c r="T208" s="46" t="str">
        <f t="shared" si="65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66"/>
        <v>https://d0f6bd738d7f1b3e5a7ca70fe4ff75f0.us-east-1.aws.found.io/app/kibana#/discover/Steve-Slow-Train-Analysis-(2080s-and-2083s)?_g=(refreshInterval:(display:Off,pause:!f,section:0,value:0),time:(from:'2017-04-14T01:49:39-0600',mode:absolute,to:'2017-04-14T04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8" s="183" t="str">
        <f t="shared" si="67"/>
        <v>Y</v>
      </c>
      <c r="X208" s="183">
        <f t="shared" si="68"/>
        <v>-545</v>
      </c>
      <c r="Y208" s="62">
        <f t="shared" si="69"/>
        <v>2.2690000000000001</v>
      </c>
      <c r="Z208" s="62">
        <f t="shared" si="70"/>
        <v>1.34E-2</v>
      </c>
      <c r="AA208" s="62">
        <f t="shared" si="71"/>
        <v>2.2556000000000003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2"/>
        <v>0302-14</v>
      </c>
      <c r="AE208" s="85" t="str">
        <f t="shared" si="73"/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AF208" s="82" t="str">
        <f t="shared" si="74"/>
        <v>"C:\Program Files (x86)\AstroGrep\AstroGrep.exe" /e /r /s /spath="%USERPROFILE%\AppData\Local\Temp\OnboardLogs" /stypes="app*4019*20170414*" /stext=" 09:.+((SYSTEM_STATE.+slice.+state.+changed )|(ment ac)|(multiple cpu faults)|(system.+state.+changed )|(\[timeout)|(PRM\|1\|D)|(kpr)|(kdp)|(\|lc)|(penalty))"</v>
      </c>
      <c r="AG208" s="1" t="str">
        <f t="shared" si="75"/>
        <v>Other</v>
      </c>
      <c r="AH208" s="86" t="str">
        <f t="shared" si="76"/>
        <v>"%USERPROFILE%\Documents\GitHub\eaglep3\Utilities\RefineRTDCRunTimes.py" --tripid 302-14 --locoid 4019 --swversion DE.1.0.9.0 --startMP 300:22690 --initTime 2017-04-14T02:49:39 --startdatetime 2017-04-14T02:54:52 --delay 5 --endMP 204:134 --enddatetime 2017-04-14T03:03:37 --enforcementcount 0 &gt;&gt;C:\Users\stu\Documents\GitHub\eaglep3-reporting\EC\2017-04-14-refined-times.txt</v>
      </c>
      <c r="AI208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{"issue":{"subject":"","project_id":79,"tracker_id":40,"status_id":1,"priority_id":2,"assigned_to_id":23,"start_date":"2017-04-14","description":"","custom_fields":[{"id":1,"name":"Subdivision","value":"Other"},{"id":4,"name":"Milepost","value":"0.0134"},{"id":17,"name":"Train ID","value":"302-14"},{"id":16,"name":"Locomotive ID","value":"4019"},{"id":130,"name":"Impact","value":""},{"id":150,"name":"Time of Event (Mountain Time)","value":"03:03:37"},{"id":151,"name":"Denver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78"/>
        <v>start /low /b %USERPROFILE%\Documents\GitHub\eaglep3\Utilities\DownloadLogsFromS3.py --loco 4019 --day 2017-04-14</v>
      </c>
      <c r="AN208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09:03:37"},{"id":29,"name":"Sharepoint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821</v>
      </c>
      <c r="B209" s="7">
        <v>4032</v>
      </c>
      <c r="C209" s="21" t="s">
        <v>214</v>
      </c>
      <c r="D209" s="21" t="s">
        <v>204</v>
      </c>
      <c r="E209" s="13">
        <v>42839.776990740742</v>
      </c>
      <c r="F209" s="13">
        <v>42839.778483796297</v>
      </c>
      <c r="G209" s="7">
        <v>1</v>
      </c>
      <c r="H209" s="21" t="s">
        <v>934</v>
      </c>
      <c r="I209" s="13">
        <v>42839.791273148148</v>
      </c>
      <c r="J209" s="7">
        <v>0</v>
      </c>
      <c r="K209" s="97" t="str">
        <f t="shared" si="61"/>
        <v>4031/4032</v>
      </c>
      <c r="L209" s="21" t="str">
        <f>VLOOKUP(A209,'Trips&amp;Operators'!$C$1:$G$99999,5,FALSE)</f>
        <v>BRUDER RICHARD</v>
      </c>
      <c r="M209" s="6">
        <f t="shared" si="62"/>
        <v>1.2789351851097308E-2</v>
      </c>
      <c r="N209" s="7">
        <f t="shared" si="63"/>
        <v>18.416666665580124</v>
      </c>
      <c r="O209" s="7"/>
      <c r="P209" s="7"/>
      <c r="Q209" s="22"/>
      <c r="R209" s="22"/>
      <c r="S209" s="31">
        <f t="shared" si="64"/>
        <v>1</v>
      </c>
      <c r="T209" s="46" t="str">
        <f t="shared" si="65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66"/>
        <v>https://d0f6bd738d7f1b3e5a7ca70fe4ff75f0.us-east-1.aws.found.io/app/kibana#/discover/Steve-Slow-Train-Analysis-(2080s-and-2083s)?_g=(refreshInterval:(display:Off,pause:!f,section:0,value:0),time:(from:'2017-04-14T17:38:52-0600',mode:absolute,to:'2017-04-14T19:59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183" t="str">
        <f t="shared" si="67"/>
        <v>Y</v>
      </c>
      <c r="X209" s="183">
        <f t="shared" si="68"/>
        <v>1</v>
      </c>
      <c r="Y209" s="62">
        <f t="shared" si="69"/>
        <v>4.5100000000000001E-2</v>
      </c>
      <c r="Z209" s="62">
        <f t="shared" si="70"/>
        <v>2.3306</v>
      </c>
      <c r="AA209" s="62">
        <f t="shared" si="71"/>
        <v>2.2854999999999999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2"/>
        <v>0303-14</v>
      </c>
      <c r="AE209" s="85" t="str">
        <f t="shared" si="73"/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AF209" s="82" t="str">
        <f t="shared" si="74"/>
        <v>"C:\Program Files (x86)\AstroGrep\AstroGrep.exe" /e /r /s /spath="%USERPROFILE%\AppData\Local\Temp\OnboardLogs" /stypes="app*4032*20170415*" /stext=" 00:.+((SYSTEM_STATE.+slice.+state.+changed )|(ment ac)|(multiple cpu faults)|(system.+state.+changed )|(\[timeout)|(PRM\|1\|D)|(kpr)|(kdp)|(\|lc)|(penalty))"</v>
      </c>
      <c r="AG209" s="1" t="str">
        <f t="shared" si="75"/>
        <v>Other</v>
      </c>
      <c r="AH209" s="86" t="str">
        <f t="shared" si="76"/>
        <v>"%USERPROFILE%\Documents\GitHub\eaglep3\Utilities\RefineRTDCRunTimes.py" --tripid 303-14 --locoid 4032 --swversion DE.1.0.9.0 --startMP 204:451 --initTime 2017-04-14T18:38:52 --startdatetime 2017-04-14T18:41:01 --delay 1 --endMP 300:23306 --enddatetime 2017-04-14T18:59:26 --enforcementcount 0 &gt;&gt;C:\Users\stu\Documents\GitHub\eaglep3-reporting\EC\2017-04-14-refined-times.txt</v>
      </c>
      <c r="AI209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{"issue":{"subject":"","project_id":79,"tracker_id":40,"status_id":1,"priority_id":2,"assigned_to_id":23,"start_date":"2017-04-14","description":"","custom_fields":[{"id":1,"name":"Subdivision","value":"Other"},{"id":4,"name":"Milepost","value":"2.3306"},{"id":17,"name":"Train ID","value":"303-14"},{"id":16,"name":"Locomotive ID","value":"4032"},{"id":130,"name":"Impact","value":""},{"id":150,"name":"Time of Event (Mountain Time)","value":"18:59:26"},{"id":151,"name":"Denver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78"/>
        <v>start /low /b %USERPROFILE%\Documents\GitHub\eaglep3\Utilities\DownloadLogsFromS3.py --loco 4032 --day 2017-04-14</v>
      </c>
      <c r="AN209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00:59:26"},{"id":29,"name":"Sharepoint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656</v>
      </c>
      <c r="B210" s="7">
        <v>4041</v>
      </c>
      <c r="C210" s="21" t="s">
        <v>214</v>
      </c>
      <c r="D210" s="21" t="s">
        <v>935</v>
      </c>
      <c r="E210" s="13">
        <v>42839.137106481481</v>
      </c>
      <c r="F210" s="13">
        <v>42839.140532407408</v>
      </c>
      <c r="G210" s="7">
        <v>4</v>
      </c>
      <c r="H210" s="21" t="s">
        <v>510</v>
      </c>
      <c r="I210" s="13">
        <v>42839.14675925926</v>
      </c>
      <c r="J210" s="7">
        <v>0</v>
      </c>
      <c r="K210" s="97" t="str">
        <f t="shared" si="61"/>
        <v>4041/4042</v>
      </c>
      <c r="L210" s="21" t="str">
        <f>VLOOKUP(A210,'Trips&amp;Operators'!$C$1:$G$99999,5,FALSE)</f>
        <v>DAVIS WENDY</v>
      </c>
      <c r="M210" s="6">
        <f t="shared" si="62"/>
        <v>6.2268518522614613E-3</v>
      </c>
      <c r="N210" s="7">
        <f t="shared" si="63"/>
        <v>8.9666666672565043</v>
      </c>
      <c r="O210" s="7"/>
      <c r="P210" s="7"/>
      <c r="Q210" s="22"/>
      <c r="R210" s="22"/>
      <c r="S210" s="31">
        <f t="shared" si="64"/>
        <v>1</v>
      </c>
      <c r="T210" s="46" t="str">
        <f t="shared" si="65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66"/>
        <v>https://d0f6bd738d7f1b3e5a7ca70fe4ff75f0.us-east-1.aws.found.io/app/kibana#/discover/Steve-Slow-Train-Analysis-(2080s-and-2083s)?_g=(refreshInterval:(display:Off,pause:!f,section:0,value:0),time:(from:'2017-04-14T02:17:26-0600',mode:absolute,to:'2017-04-14T04:31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0" s="183" t="str">
        <f t="shared" si="67"/>
        <v>Y</v>
      </c>
      <c r="X210" s="183">
        <f t="shared" si="68"/>
        <v>1</v>
      </c>
      <c r="Y210" s="62">
        <f t="shared" si="69"/>
        <v>2.3616000000000001</v>
      </c>
      <c r="Z210" s="62">
        <f t="shared" si="70"/>
        <v>1.43E-2</v>
      </c>
      <c r="AA210" s="62">
        <f t="shared" si="71"/>
        <v>2.3473000000000002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2"/>
        <v>0304-14</v>
      </c>
      <c r="AE210" s="85" t="str">
        <f t="shared" si="73"/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AF210" s="82" t="str">
        <f t="shared" si="74"/>
        <v>"C:\Program Files (x86)\AstroGrep\AstroGrep.exe" /e /r /s /spath="%USERPROFILE%\AppData\Local\Temp\OnboardLogs" /stypes="app*4041*20170414*" /stext=" 09:.+((SYSTEM_STATE.+slice.+state.+changed )|(ment ac)|(multiple cpu faults)|(system.+state.+changed )|(\[timeout)|(PRM\|1\|D)|(kpr)|(kdp)|(\|lc)|(penalty))"</v>
      </c>
      <c r="AG210" s="1" t="str">
        <f t="shared" si="75"/>
        <v>Other</v>
      </c>
      <c r="AH210" s="86" t="str">
        <f t="shared" si="76"/>
        <v>"%USERPROFILE%\Documents\GitHub\eaglep3\Utilities\RefineRTDCRunTimes.py" --tripid 304-14 --locoid 4041 --swversion DE.1.0.9.0 --startMP 300:23616 --initTime 2017-04-14T03:17:26 --startdatetime 2017-04-14T03:22:22 --delay 4 --endMP 204:143 --enddatetime 2017-04-14T03:31:20 --enforcementcount 0 &gt;&gt;C:\Users\stu\Documents\GitHub\eaglep3-reporting\EC\2017-04-14-refined-times.txt</v>
      </c>
      <c r="AI210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{"issue":{"subject":"","project_id":79,"tracker_id":40,"status_id":1,"priority_id":2,"assigned_to_id":23,"start_date":"2017-04-14","description":"","custom_fields":[{"id":1,"name":"Subdivision","value":"Other"},{"id":4,"name":"Milepost","value":"0.0143"},{"id":17,"name":"Train ID","value":"304-14"},{"id":16,"name":"Locomotive ID","value":"4041"},{"id":130,"name":"Impact","value":""},{"id":150,"name":"Time of Event (Mountain Time)","value":"03:31:20"},{"id":151,"name":"Denver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78"/>
        <v>start /low /b %USERPROFILE%\Documents\GitHub\eaglep3\Utilities\DownloadLogsFromS3.py --loco 4041 --day 2017-04-14</v>
      </c>
      <c r="AN210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09:31:20"},{"id":29,"name":"Sharepoint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827</v>
      </c>
      <c r="B211" s="7">
        <v>4020</v>
      </c>
      <c r="C211" s="21" t="s">
        <v>214</v>
      </c>
      <c r="D211" s="21" t="s">
        <v>924</v>
      </c>
      <c r="E211" s="13">
        <v>42839.799664351849</v>
      </c>
      <c r="F211" s="13">
        <v>42839.801157407404</v>
      </c>
      <c r="G211" s="7">
        <v>1</v>
      </c>
      <c r="H211" s="21" t="s">
        <v>915</v>
      </c>
      <c r="I211" s="13">
        <v>42839.80678240741</v>
      </c>
      <c r="J211" s="7">
        <v>0</v>
      </c>
      <c r="K211" s="97" t="str">
        <f t="shared" si="61"/>
        <v>4019/4020</v>
      </c>
      <c r="L211" s="21" t="str">
        <f>VLOOKUP(A211,'Trips&amp;Operators'!$C$1:$G$99999,5,FALSE)</f>
        <v>BRANDNER MELINDA</v>
      </c>
      <c r="M211" s="6">
        <f t="shared" si="62"/>
        <v>5.6250000052386895E-3</v>
      </c>
      <c r="N211" s="7">
        <f t="shared" si="63"/>
        <v>8.1000000075437129</v>
      </c>
      <c r="O211" s="7"/>
      <c r="P211" s="7"/>
      <c r="Q211" s="22"/>
      <c r="R211" s="22"/>
      <c r="S211" s="31">
        <f t="shared" si="64"/>
        <v>1</v>
      </c>
      <c r="T211" s="46" t="str">
        <f t="shared" si="65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66"/>
        <v>https://d0f6bd738d7f1b3e5a7ca70fe4ff75f0.us-east-1.aws.found.io/app/kibana#/discover/Steve-Slow-Train-Analysis-(2080s-and-2083s)?_g=(refreshInterval:(display:Off,pause:!f,section:0,value:0),time:(from:'2017-04-14T18:11:31-0600',mode:absolute,to:'2017-04-14T20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183" t="str">
        <f t="shared" si="67"/>
        <v>Y</v>
      </c>
      <c r="X211" s="183">
        <f t="shared" si="68"/>
        <v>1</v>
      </c>
      <c r="Y211" s="62">
        <f t="shared" si="69"/>
        <v>4.2599999999999999E-2</v>
      </c>
      <c r="Z211" s="62">
        <f t="shared" si="70"/>
        <v>2.3026</v>
      </c>
      <c r="AA211" s="62">
        <f t="shared" si="71"/>
        <v>2.2599999999999998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2"/>
        <v>0305-14</v>
      </c>
      <c r="AE211" s="85" t="str">
        <f t="shared" si="73"/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AF211" s="82" t="str">
        <f t="shared" si="74"/>
        <v>"C:\Program Files (x86)\AstroGrep\AstroGrep.exe" /e /r /s /spath="%USERPROFILE%\AppData\Local\Temp\OnboardLogs" /stypes="app*4020*20170415*" /stext=" 01:.+((SYSTEM_STATE.+slice.+state.+changed )|(ment ac)|(multiple cpu faults)|(system.+state.+changed )|(\[timeout)|(PRM\|1\|D)|(kpr)|(kdp)|(\|lc)|(penalty))"</v>
      </c>
      <c r="AG211" s="1" t="str">
        <f t="shared" si="75"/>
        <v>Other</v>
      </c>
      <c r="AH211" s="86" t="str">
        <f t="shared" si="76"/>
        <v>"%USERPROFILE%\Documents\GitHub\eaglep3\Utilities\RefineRTDCRunTimes.py" --tripid 305-14 --locoid 4020 --swversion DE.1.0.9.0 --startMP 204:426 --initTime 2017-04-14T19:11:31 --startdatetime 2017-04-14T19:13:40 --delay 1 --endMP 300:23026 --enddatetime 2017-04-14T19:21:46 --enforcementcount 0 &gt;&gt;C:\Users\stu\Documents\GitHub\eaglep3-reporting\EC\2017-04-14-refined-times.txt</v>
      </c>
      <c r="AI211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{"issue":{"subject":"","project_id":79,"tracker_id":40,"status_id":1,"priority_id":2,"assigned_to_id":23,"start_date":"2017-04-14","description":"","custom_fields":[{"id":1,"name":"Subdivision","value":"Other"},{"id":4,"name":"Milepost","value":"2.3026"},{"id":17,"name":"Train ID","value":"305-14"},{"id":16,"name":"Locomotive ID","value":"4020"},{"id":130,"name":"Impact","value":""},{"id":150,"name":"Time of Event (Mountain Time)","value":"19:21:46"},{"id":151,"name":"Denver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78"/>
        <v>start /low /b %USERPROFILE%\Documents\GitHub\eaglep3\Utilities\DownloadLogsFromS3.py --loco 4020 --day 2017-04-14</v>
      </c>
      <c r="AN211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661</v>
      </c>
      <c r="B212" s="7">
        <v>4015</v>
      </c>
      <c r="C212" s="21" t="s">
        <v>214</v>
      </c>
      <c r="D212" s="21" t="s">
        <v>936</v>
      </c>
      <c r="E212" s="13">
        <v>42839.157256944447</v>
      </c>
      <c r="F212" s="13">
        <v>42839.16101851852</v>
      </c>
      <c r="G212" s="7">
        <v>1</v>
      </c>
      <c r="H212" s="21" t="s">
        <v>489</v>
      </c>
      <c r="I212" s="13">
        <v>42839.167534722219</v>
      </c>
      <c r="J212" s="7">
        <v>0</v>
      </c>
      <c r="K212" s="97" t="str">
        <f t="shared" si="61"/>
        <v>4015/4016</v>
      </c>
      <c r="L212" s="21" t="str">
        <f>VLOOKUP(A212,'Trips&amp;Operators'!$C$1:$G$99999,5,FALSE)</f>
        <v>COOLAHAN JOHN</v>
      </c>
      <c r="M212" s="6">
        <f t="shared" si="62"/>
        <v>6.5162036989931948E-3</v>
      </c>
      <c r="N212" s="7">
        <f t="shared" si="63"/>
        <v>9.3833333265502006</v>
      </c>
      <c r="O212" s="7"/>
      <c r="P212" s="7"/>
      <c r="Q212" s="22"/>
      <c r="R212" s="22"/>
      <c r="S212" s="31">
        <f t="shared" si="64"/>
        <v>1</v>
      </c>
      <c r="T212" s="46" t="str">
        <f t="shared" si="65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66"/>
        <v>https://d0f6bd738d7f1b3e5a7ca70fe4ff75f0.us-east-1.aws.found.io/app/kibana#/discover/Steve-Slow-Train-Analysis-(2080s-and-2083s)?_g=(refreshInterval:(display:Off,pause:!f,section:0,value:0),time:(from:'2017-04-14T02:46:27-0600',mode:absolute,to:'2017-04-14T05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83" t="str">
        <f t="shared" si="67"/>
        <v>Y</v>
      </c>
      <c r="X212" s="183">
        <f t="shared" si="68"/>
        <v>1</v>
      </c>
      <c r="Y212" s="62">
        <f t="shared" si="69"/>
        <v>2.5122</v>
      </c>
      <c r="Z212" s="62">
        <f t="shared" si="70"/>
        <v>1.4999999999999999E-2</v>
      </c>
      <c r="AA212" s="62">
        <f t="shared" si="71"/>
        <v>2.4971999999999999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2"/>
        <v>0306-14</v>
      </c>
      <c r="AE212" s="85" t="str">
        <f t="shared" si="73"/>
        <v>aws s3 cp s3://rtdc.mdm.uploadarchive.raw/RTDC4015/ "%USERPROFILE%\AppData\Local\Temp\OnboardLogs"\RTDC4015\2017-04-14 --exclude "*" --recursive --include "*20170414*" &amp; "%USERPROFILE%\Documents\GitHub\mrs-test-scripts\Headless Mode &amp; Sideloading\WalkAndUnGZ.bat" "%USERPROFILE%\AppData\Local\Temp\OnboardLogs"\RTDC4015\2017-04-14 &amp; aws s3 cp s3://rtdc.mdm.uploadarchive.raw/RTDC4015/ "%USERPROFILE%\AppData\Local\Temp\OnboardLogs"\RTDC4015\2017-04-15 --exclude "*" --recursive --include "*20170415*" &amp; "%USERPROFILE%\Documents\GitHub\mrs-test-scripts\Headless Mode &amp; Sideloading\WalkAndUnGZ.bat" "%USERPROFILE%\AppData\Local\Temp\OnboardLogs"\RTDC4015\2017-04-15</v>
      </c>
      <c r="AF212" s="82" t="str">
        <f t="shared" si="74"/>
        <v>"C:\Program Files (x86)\AstroGrep\AstroGrep.exe" /e /r /s /spath="%USERPROFILE%\AppData\Local\Temp\OnboardLogs" /stypes="app*4015*20170414*" /stext=" 10:.+((SYSTEM_STATE.+slice.+state.+changed )|(ment ac)|(multiple cpu faults)|(system.+state.+changed )|(\[timeout)|(PRM\|1\|D)|(kpr)|(kdp)|(\|lc)|(penalty))"</v>
      </c>
      <c r="AG212" s="1" t="str">
        <f t="shared" si="75"/>
        <v>Other</v>
      </c>
      <c r="AH212" s="86" t="str">
        <f t="shared" si="76"/>
        <v>"%USERPROFILE%\Documents\GitHub\eaglep3\Utilities\RefineRTDCRunTimes.py" --tripid 306-14 --locoid 4015 --swversion DE.1.0.9.0 --startMP 300:25122 --initTime 2017-04-14T03:46:27 --startdatetime 2017-04-14T03:51:52 --delay 1 --endMP 204:150 --enddatetime 2017-04-14T04:01:15 --enforcementcount 0 &gt;&gt;C:\Users\stu\Documents\GitHub\eaglep3-reporting\EC\2017-04-14-refined-times.txt</v>
      </c>
      <c r="AI212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{"issue":{"subject":"","project_id":79,"tracker_id":40,"status_id":1,"priority_id":2,"assigned_to_id":23,"start_date":"2017-04-14","description":"","custom_fields":[{"id":1,"name":"Subdivision","value":"Other"},{"id":4,"name":"Milepost","value":"0.015"},{"id":17,"name":"Train ID","value":"306-14"},{"id":16,"name":"Locomotive ID","value":"4015"},{"id":130,"name":"Impact","value":""},{"id":150,"name":"Time of Event (Mountain Time)","value":"04:01:15"},{"id":151,"name":"Denver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78"/>
        <v>start /low /b %USERPROFILE%\Documents\GitHub\eaglep3\Utilities\DownloadLogsFromS3.py --loco 4015 --day 2017-04-14</v>
      </c>
      <c r="AN212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10:01:15"},{"id":29,"name":"Sharepoint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663</v>
      </c>
      <c r="B213" s="7">
        <v>4009</v>
      </c>
      <c r="C213" s="21" t="s">
        <v>214</v>
      </c>
      <c r="D213" s="21" t="s">
        <v>937</v>
      </c>
      <c r="E213" s="13">
        <v>42839.17150462963</v>
      </c>
      <c r="F213" s="13">
        <v>42839.173877314817</v>
      </c>
      <c r="G213" s="7">
        <v>1</v>
      </c>
      <c r="H213" s="21" t="s">
        <v>607</v>
      </c>
      <c r="I213" s="13">
        <v>42839.174039351848</v>
      </c>
      <c r="J213" s="7">
        <v>0</v>
      </c>
      <c r="K213" s="97" t="str">
        <f t="shared" si="61"/>
        <v>4009/4010</v>
      </c>
      <c r="L213" s="21" t="str">
        <f>VLOOKUP(A213,'Trips&amp;Operators'!$C$1:$G$99999,5,FALSE)</f>
        <v>STARKS ANGELINA</v>
      </c>
      <c r="M213" s="6">
        <f t="shared" si="62"/>
        <v>1.6203703125938773E-4</v>
      </c>
      <c r="N213" s="7">
        <f t="shared" si="63"/>
        <v>0.23333332501351833</v>
      </c>
      <c r="O213" s="7"/>
      <c r="P213" s="7"/>
      <c r="Q213" s="22"/>
      <c r="R213" s="22"/>
      <c r="S213" s="31">
        <f t="shared" si="64"/>
        <v>1</v>
      </c>
      <c r="T213" s="46" t="str">
        <f t="shared" si="65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66"/>
        <v>https://d0f6bd738d7f1b3e5a7ca70fe4ff75f0.us-east-1.aws.found.io/app/kibana#/discover/Steve-Slow-Train-Analysis-(2080s-and-2083s)?_g=(refreshInterval:(display:Off,pause:!f,section:0,value:0),time:(from:'2017-04-14T03:06:58-0600',mode:absolute,to:'2017-04-14T05:10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3" s="183" t="str">
        <f t="shared" si="67"/>
        <v>Y</v>
      </c>
      <c r="X213" s="183">
        <f t="shared" si="68"/>
        <v>2</v>
      </c>
      <c r="Y213" s="62">
        <f t="shared" si="69"/>
        <v>2.5771999999999999</v>
      </c>
      <c r="Z213" s="62">
        <f t="shared" si="70"/>
        <v>1.5599999999999999E-2</v>
      </c>
      <c r="AA213" s="62">
        <f t="shared" si="71"/>
        <v>2.5615999999999999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2"/>
        <v>0308-14</v>
      </c>
      <c r="AE213" s="85" t="str">
        <f t="shared" si="73"/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AF213" s="82" t="str">
        <f t="shared" si="74"/>
        <v>"C:\Program Files (x86)\AstroGrep\AstroGrep.exe" /e /r /s /spath="%USERPROFILE%\AppData\Local\Temp\OnboardLogs" /stypes="app*4009*20170414*" /stext=" 10:.+((SYSTEM_STATE.+slice.+state.+changed )|(ment ac)|(multiple cpu faults)|(system.+state.+changed )|(\[timeout)|(PRM\|1\|D)|(kpr)|(kdp)|(\|lc)|(penalty))"</v>
      </c>
      <c r="AG213" s="1" t="str">
        <f t="shared" si="75"/>
        <v>Other</v>
      </c>
      <c r="AH213" s="86" t="str">
        <f t="shared" si="76"/>
        <v>"%USERPROFILE%\Documents\GitHub\eaglep3\Utilities\RefineRTDCRunTimes.py" --tripid 308-14 --locoid 4009 --swversion DE.1.0.9.0 --startMP 300:25772 --initTime 2017-04-14T04:06:58 --startdatetime 2017-04-14T04:10:23 --delay 1 --endMP 204:156 --enddatetime 2017-04-14T04:10:37 --enforcementcount 0 &gt;&gt;C:\Users\stu\Documents\GitHub\eaglep3-reporting\EC\2017-04-14-refined-times.txt</v>
      </c>
      <c r="AI213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{"issue":{"subject":"","project_id":79,"tracker_id":40,"status_id":1,"priority_id":2,"assigned_to_id":23,"start_date":"2017-04-14","description":"","custom_fields":[{"id":1,"name":"Subdivision","value":"Other"},{"id":4,"name":"Milepost","value":"0.0156"},{"id":17,"name":"Train ID","value":"308-14"},{"id":16,"name":"Locomotive ID","value":"4009"},{"id":130,"name":"Impact","value":""},{"id":150,"name":"Time of Event (Mountain Time)","value":"04:10:37"},{"id":151,"name":"Denver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78"/>
        <v>start /low /b %USERPROFILE%\Documents\GitHub\eaglep3\Utilities\DownloadLogsFromS3.py --loco 4009 --day 2017-04-14</v>
      </c>
      <c r="AN213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10:10:37"},{"id":29,"name":"Sharepoint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859</v>
      </c>
      <c r="B214" s="7">
        <v>4046</v>
      </c>
      <c r="C214" s="21" t="s">
        <v>214</v>
      </c>
      <c r="D214" s="21" t="s">
        <v>464</v>
      </c>
      <c r="E214" s="13">
        <v>42840.047939814816</v>
      </c>
      <c r="F214" s="13">
        <v>42840.050115740742</v>
      </c>
      <c r="G214" s="7">
        <v>0</v>
      </c>
      <c r="H214" s="21" t="s">
        <v>608</v>
      </c>
      <c r="I214" s="13">
        <v>42840.052893518521</v>
      </c>
      <c r="J214" s="7">
        <v>0</v>
      </c>
      <c r="K214" s="97" t="str">
        <f t="shared" si="61"/>
        <v>4045/4046</v>
      </c>
      <c r="L214" s="21" t="str">
        <f>VLOOKUP(A214,'Trips&amp;Operators'!$C$1:$G$99999,5,FALSE)</f>
        <v>FORTUNATO FRANK</v>
      </c>
      <c r="M214" s="6">
        <f t="shared" si="62"/>
        <v>2.7777777795563452E-3</v>
      </c>
      <c r="N214" s="7"/>
      <c r="O214" s="7"/>
      <c r="P214" s="7">
        <f t="shared" si="63"/>
        <v>4.0000000025611371</v>
      </c>
      <c r="Q214" s="22"/>
      <c r="R214" s="22" t="s">
        <v>1032</v>
      </c>
      <c r="S214" s="31">
        <f t="shared" si="64"/>
        <v>1</v>
      </c>
      <c r="T214" s="46" t="str">
        <f t="shared" si="65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66"/>
        <v>https://d0f6bd738d7f1b3e5a7ca70fe4ff75f0.us-east-1.aws.found.io/app/kibana#/discover/Steve-Slow-Train-Analysis-(2080s-and-2083s)?_g=(refreshInterval:(display:Off,pause:!f,section:0,value:0),time:(from:'2017-04-15T00:09:02-0600',mode:absolute,to:'2017-04-15T02:16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83" t="str">
        <f t="shared" si="67"/>
        <v>Y</v>
      </c>
      <c r="X214" s="183">
        <f t="shared" si="68"/>
        <v>1</v>
      </c>
      <c r="Y214" s="62">
        <f t="shared" si="69"/>
        <v>4.6899999999999997E-2</v>
      </c>
      <c r="Z214" s="62">
        <f t="shared" si="70"/>
        <v>2.3302</v>
      </c>
      <c r="AA214" s="62">
        <f t="shared" si="71"/>
        <v>2.2833000000000001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2"/>
        <v>0309-14</v>
      </c>
      <c r="AE214" s="85" t="str">
        <f t="shared" si="73"/>
        <v>aws s3 cp s3://rtdc.mdm.uploadarchive.raw/RTDC4046/ "%USERPROFILE%\AppData\Local\Temp\OnboardLogs"\RTDC4046\2017-04-15 --exclude "*" --recursive --include "*20170415*" &amp; "%USERPROFILE%\Documents\GitHub\mrs-test-scripts\Headless Mode &amp; Sideloading\WalkAndUnGZ.bat" "%USERPROFILE%\AppData\Local\Temp\OnboardLogs"\RTDC4046\2017-04-15 &amp; 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</v>
      </c>
      <c r="AF214" s="82" t="str">
        <f t="shared" si="74"/>
        <v>"C:\Program Files (x86)\AstroGrep\AstroGrep.exe" /e /r /s /spath="%USERPROFILE%\AppData\Local\Temp\OnboardLogs" /stypes="app*4046*20170415*" /stext=" 07:.+((SYSTEM_STATE.+slice.+state.+changed )|(ment ac)|(multiple cpu faults)|(system.+state.+changed )|(\[timeout)|(PRM\|1\|D)|(kpr)|(kdp)|(\|lc)|(penalty))"</v>
      </c>
      <c r="AG214" s="1" t="str">
        <f t="shared" si="75"/>
        <v>Other</v>
      </c>
      <c r="AH214" s="86" t="str">
        <f t="shared" si="76"/>
        <v>"%USERPROFILE%\Documents\GitHub\eaglep3\Utilities\RefineRTDCRunTimes.py" --tripid 309-14 --locoid 4046 --swversion DE.1.0.9.0 --startMP 204:469 --initTime 2017-04-15T01:09:02 --startdatetime 2017-04-15T01:12:10 --delay 0 --endMP 300:23302 --enddatetime 2017-04-15T01:16:10 --enforcementcount 0 &gt;&gt;C:\Users\stu\Documents\GitHub\eaglep3-reporting\EC\2017-04-14-refined-times.txt</v>
      </c>
      <c r="AI214" s="104" t="str">
        <f t="shared" si="77"/>
        <v>echo {"issue":{"subject":"Failed PSS due to mismatched data","project_id":79,"tracker_id":40,"status_id":1,"priority_id":2,"assigned_to_id":23,"start_date":"2017-04-15","description":"","custom_fields":[{"id":1,"name":"Subdivision","value":"Other"},{"id":4,"name":"Milepost","value":"2.3302"},{"id":17,"name":"Train ID","value":"309-14"},{"id":16,"name":"Locomotive ID","value":"4046"},{"id":130,"name":"Impact","value":""},{"id":150,"name":"Time of Event (Mountain Time)","value":"01:16:10"},{"id":151,"name":"Denver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78"/>
        <v>start /low /b %USERPROFILE%\Documents\GitHub\eaglep3\Utilities\DownloadLogsFromS3.py --loco 4046 --day 2017-04-15</v>
      </c>
      <c r="AN214" s="159" t="str">
        <f t="shared" si="79"/>
        <v>echo {"issue":{"subject":"Failed PSS due to mismatched data","project_id":30,"tracker_id":4,"status_id":1,"priority_id":1,"assigned_to_id":10,"start_date":"2017-04-15","description":"","custom_fields":[{"id":30,"name":"Category","value":"Issue"},{"id":3,"name":"Functional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07:16:10"},{"id":29,"name":"Sharepoint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667</v>
      </c>
      <c r="B215" s="7">
        <v>4031</v>
      </c>
      <c r="C215" s="21" t="s">
        <v>214</v>
      </c>
      <c r="D215" s="21" t="s">
        <v>938</v>
      </c>
      <c r="E215" s="13">
        <v>42839.180844907409</v>
      </c>
      <c r="F215" s="13">
        <v>42839.18540509259</v>
      </c>
      <c r="G215" s="7">
        <v>5</v>
      </c>
      <c r="H215" s="21" t="s">
        <v>203</v>
      </c>
      <c r="I215" s="13">
        <v>42839.191608796296</v>
      </c>
      <c r="J215" s="7">
        <v>0</v>
      </c>
      <c r="K215" s="97" t="str">
        <f t="shared" si="61"/>
        <v>4031/4032</v>
      </c>
      <c r="L215" s="21" t="str">
        <f>VLOOKUP(A215,'Trips&amp;Operators'!$C$1:$G$99999,5,FALSE)</f>
        <v>WILLIAMS DONTE</v>
      </c>
      <c r="M215" s="6">
        <f t="shared" si="62"/>
        <v>6.2037037059781142E-3</v>
      </c>
      <c r="N215" s="7">
        <f t="shared" si="63"/>
        <v>8.9333333366084844</v>
      </c>
      <c r="O215" s="7"/>
      <c r="P215" s="7"/>
      <c r="Q215" s="22"/>
      <c r="R215" s="22"/>
      <c r="S215" s="31">
        <f t="shared" si="64"/>
        <v>1</v>
      </c>
      <c r="T215" s="46" t="str">
        <f t="shared" si="65"/>
        <v>Southbound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66"/>
        <v>https://d0f6bd738d7f1b3e5a7ca70fe4ff75f0.us-east-1.aws.found.io/app/kibana#/discover/Steve-Slow-Train-Analysis-(2080s-and-2083s)?_g=(refreshInterval:(display:Off,pause:!f,section:0,value:0),time:(from:'2017-04-14T03:20:25-0600',mode:absolute,to:'2017-04-14T05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5" s="183" t="str">
        <f t="shared" si="67"/>
        <v>Y</v>
      </c>
      <c r="X215" s="183">
        <f t="shared" si="68"/>
        <v>1</v>
      </c>
      <c r="Y215" s="62">
        <f t="shared" si="69"/>
        <v>2.3029000000000002</v>
      </c>
      <c r="Z215" s="62">
        <f t="shared" si="70"/>
        <v>1.54E-2</v>
      </c>
      <c r="AA215" s="62">
        <f t="shared" si="71"/>
        <v>2.2875000000000001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2"/>
        <v>0310-14</v>
      </c>
      <c r="AE215" s="85" t="str">
        <f t="shared" si="73"/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AF215" s="82" t="str">
        <f t="shared" si="74"/>
        <v>"C:\Program Files (x86)\AstroGrep\AstroGrep.exe" /e /r /s /spath="%USERPROFILE%\AppData\Local\Temp\OnboardLogs" /stypes="app*4031*20170414*" /stext=" 10:.+((SYSTEM_STATE.+slice.+state.+changed )|(ment ac)|(multiple cpu faults)|(system.+state.+changed )|(\[timeout)|(PRM\|1\|D)|(kpr)|(kdp)|(\|lc)|(penalty))"</v>
      </c>
      <c r="AG215" s="1" t="str">
        <f t="shared" si="75"/>
        <v>Other</v>
      </c>
      <c r="AH215" s="86" t="str">
        <f t="shared" si="76"/>
        <v>"%USERPROFILE%\Documents\GitHub\eaglep3\Utilities\RefineRTDCRunTimes.py" --tripid 310-14 --locoid 4031 --swversion DE.1.0.9.0 --startMP 300:23029 --initTime 2017-04-14T04:20:25 --startdatetime 2017-04-14T04:26:59 --delay 5 --endMP 204:154 --enddatetime 2017-04-14T04:35:55 --enforcementcount 0 &gt;&gt;C:\Users\stu\Documents\GitHub\eaglep3-reporting\EC\2017-04-14-refined-times.txt</v>
      </c>
      <c r="AI215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{"issue":{"subject":"","project_id":79,"tracker_id":40,"status_id":1,"priority_id":2,"assigned_to_id":23,"start_date":"2017-04-14","description":"","custom_fields":[{"id":1,"name":"Subdivision","value":"Other"},{"id":4,"name":"Milepost","value":"0.0154"},{"id":17,"name":"Train ID","value":"310-14"},{"id":16,"name":"Locomotive ID","value":"4031"},{"id":130,"name":"Impact","value":""},{"id":150,"name":"Time of Event (Mountain Time)","value":"04:35:55"},{"id":151,"name":"Denver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78"/>
        <v>start /low /b %USERPROFILE%\Documents\GitHub\eaglep3\Utilities\DownloadLogsFromS3.py --loco 4031 --day 2017-04-14</v>
      </c>
      <c r="AN215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10:35:55"},{"id":29,"name":"Sharepoint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861</v>
      </c>
      <c r="B216" s="7">
        <v>4004</v>
      </c>
      <c r="C216" s="21" t="s">
        <v>214</v>
      </c>
      <c r="D216" s="21" t="s">
        <v>494</v>
      </c>
      <c r="E216" s="13">
        <v>42840.068402777775</v>
      </c>
      <c r="F216" s="13">
        <v>42840.069502314815</v>
      </c>
      <c r="G216" s="7">
        <v>1</v>
      </c>
      <c r="H216" s="21" t="s">
        <v>939</v>
      </c>
      <c r="I216" s="13">
        <v>42840.072268518517</v>
      </c>
      <c r="J216" s="7">
        <v>0</v>
      </c>
      <c r="K216" s="97" t="str">
        <f t="shared" si="61"/>
        <v>4003/4004</v>
      </c>
      <c r="L216" s="21" t="str">
        <f>VLOOKUP(A216,'Trips&amp;Operators'!$C$1:$G$99999,5,FALSE)</f>
        <v>STAMBAUGH JAMES</v>
      </c>
      <c r="M216" s="6">
        <f t="shared" si="62"/>
        <v>2.7662037027766928E-3</v>
      </c>
      <c r="N216" s="7"/>
      <c r="O216" s="7"/>
      <c r="P216" s="7">
        <f t="shared" si="63"/>
        <v>3.9833333319984376</v>
      </c>
      <c r="Q216" s="22"/>
      <c r="R216" s="22" t="s">
        <v>1032</v>
      </c>
      <c r="S216" s="31">
        <f t="shared" ref="S216" si="80">SUM(U216:U216)/IF(AG216="EC",12,1)</f>
        <v>1</v>
      </c>
      <c r="T216" s="46" t="str">
        <f t="shared" si="65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66"/>
        <v>https://d0f6bd738d7f1b3e5a7ca70fe4ff75f0.us-east-1.aws.found.io/app/kibana#/discover/Steve-Slow-Train-Analysis-(2080s-and-2083s)?_g=(refreshInterval:(display:Off,pause:!f,section:0,value:0),time:(from:'2017-04-15T00:38:30-0600',mode:absolute,to:'2017-04-15T02:44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83" t="str">
        <f t="shared" si="67"/>
        <v>Y</v>
      </c>
      <c r="X216" s="183">
        <f t="shared" si="68"/>
        <v>1</v>
      </c>
      <c r="Y216" s="62">
        <f t="shared" si="69"/>
        <v>4.4699999999999997E-2</v>
      </c>
      <c r="Z216" s="62">
        <f t="shared" si="70"/>
        <v>2.3172000000000001</v>
      </c>
      <c r="AA216" s="62">
        <f t="shared" si="71"/>
        <v>2.2725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2"/>
        <v>0311-14</v>
      </c>
      <c r="AE216" s="85" t="str">
        <f t="shared" si="73"/>
        <v>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 &amp; aws s3 cp s3://rtdc.mdm.uploadarchive.raw/RTDC4004/ "%USERPROFILE%\AppData\Local\Temp\OnboardLogs"\RTDC4004\2017-04-16 --exclude "*" --recursive --include "*20170416*" &amp; "%USERPROFILE%\Documents\GitHub\mrs-test-scripts\Headless Mode &amp; Sideloading\WalkAndUnGZ.bat" "%USERPROFILE%\AppData\Local\Temp\OnboardLogs"\RTDC4004\2017-04-16</v>
      </c>
      <c r="AF216" s="82" t="str">
        <f t="shared" si="74"/>
        <v>"C:\Program Files (x86)\AstroGrep\AstroGrep.exe" /e /r /s /spath="%USERPROFILE%\AppData\Local\Temp\OnboardLogs" /stypes="app*4004*20170415*" /stext=" 07:.+((SYSTEM_STATE.+slice.+state.+changed )|(ment ac)|(multiple cpu faults)|(system.+state.+changed )|(\[timeout)|(PRM\|1\|D)|(kpr)|(kdp)|(\|lc)|(penalty))"</v>
      </c>
      <c r="AG216" s="1" t="str">
        <f t="shared" si="75"/>
        <v>Other</v>
      </c>
      <c r="AH216" s="86" t="str">
        <f t="shared" si="76"/>
        <v>"%USERPROFILE%\Documents\GitHub\eaglep3\Utilities\RefineRTDCRunTimes.py" --tripid 311-14 --locoid 4004 --swversion DE.1.0.9.0 --startMP 204:447 --initTime 2017-04-15T01:38:30 --startdatetime 2017-04-15T01:40:05 --delay 1 --endMP 300:23172 --enddatetime 2017-04-15T01:44:04 --enforcementcount 0 &gt;&gt;C:\Users\stu\Documents\GitHub\eaglep3-reporting\EC\2017-04-14-refined-times.txt</v>
      </c>
      <c r="AI216" s="104" t="str">
        <f t="shared" si="77"/>
        <v>echo {"issue":{"subject":"Failed PSS due to mismatched data","project_id":79,"tracker_id":40,"status_id":1,"priority_id":2,"assigned_to_id":23,"start_date":"2017-04-15","description":"","custom_fields":[{"id":1,"name":"Subdivision","value":"Other"},{"id":4,"name":"Milepost","value":"2.3172"},{"id":17,"name":"Train ID","value":"311-14"},{"id":16,"name":"Locomotive ID","value":"4004"},{"id":130,"name":"Impact","value":""},{"id":150,"name":"Time of Event (Mountain Time)","value":"01:44:04"},{"id":151,"name":"Denver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78"/>
        <v>start /low /b %USERPROFILE%\Documents\GitHub\eaglep3\Utilities\DownloadLogsFromS3.py --loco 4004 --day 2017-04-15</v>
      </c>
      <c r="AN216" s="159" t="str">
        <f t="shared" si="79"/>
        <v>echo {"issue":{"subject":"Failed PSS due to mismatched data","project_id":30,"tracker_id":4,"status_id":1,"priority_id":1,"assigned_to_id":10,"start_date":"2017-04-15","description":"","custom_fields":[{"id":30,"name":"Category","value":"Issue"},{"id":3,"name":"Functional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07:44:04"},{"id":29,"name":"Sharepoint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863</v>
      </c>
      <c r="B217" s="7">
        <v>4010</v>
      </c>
      <c r="C217" s="21" t="s">
        <v>214</v>
      </c>
      <c r="D217" s="21" t="s">
        <v>408</v>
      </c>
      <c r="E217" s="13">
        <v>42840.091481481482</v>
      </c>
      <c r="F217" s="13">
        <v>42840.09375</v>
      </c>
      <c r="G217" s="7">
        <v>1</v>
      </c>
      <c r="H217" s="21" t="s">
        <v>526</v>
      </c>
      <c r="I217" s="13">
        <v>42840.097812499997</v>
      </c>
      <c r="J217" s="7">
        <v>0</v>
      </c>
      <c r="K217" s="97" t="str">
        <f t="shared" si="61"/>
        <v>4009/4010</v>
      </c>
      <c r="L217" s="21" t="str">
        <f>VLOOKUP(A217,'Trips&amp;Operators'!$C$1:$G$99999,5,FALSE)</f>
        <v>SWANSON BRYCE</v>
      </c>
      <c r="M217" s="6">
        <f t="shared" si="62"/>
        <v>4.0624999965075403E-3</v>
      </c>
      <c r="N217" s="7"/>
      <c r="O217" s="7"/>
      <c r="P217" s="7">
        <f t="shared" si="63"/>
        <v>5.8499999949708581</v>
      </c>
      <c r="Q217" s="22"/>
      <c r="R217" s="22" t="s">
        <v>1032</v>
      </c>
      <c r="S217" s="31">
        <f t="shared" ref="S217" si="81">SUM(U217:U217)/IF(AG217="EC",12,1)</f>
        <v>1</v>
      </c>
      <c r="T217" s="46" t="str">
        <f t="shared" si="65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66"/>
        <v>https://d0f6bd738d7f1b3e5a7ca70fe4ff75f0.us-east-1.aws.found.io/app/kibana#/discover/Steve-Slow-Train-Analysis-(2080s-and-2083s)?_g=(refreshInterval:(display:Off,pause:!f,section:0,value:0),time:(from:'2017-04-15T01:11:44-0600',mode:absolute,to:'2017-04-15T03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7" s="183" t="str">
        <f t="shared" si="67"/>
        <v>Y</v>
      </c>
      <c r="X217" s="183">
        <f t="shared" si="68"/>
        <v>2</v>
      </c>
      <c r="Y217" s="62">
        <f t="shared" si="69"/>
        <v>4.6199999999999998E-2</v>
      </c>
      <c r="Z217" s="62">
        <f t="shared" si="70"/>
        <v>2.3346</v>
      </c>
      <c r="AA217" s="62">
        <f t="shared" si="71"/>
        <v>2.2884000000000002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2"/>
        <v>0313-14</v>
      </c>
      <c r="AE217" s="85" t="str">
        <f t="shared" si="73"/>
        <v>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 &amp; aws s3 cp s3://rtdc.mdm.uploadarchive.raw/RTDC4010/ "%USERPROFILE%\AppData\Local\Temp\OnboardLogs"\RTDC4010\2017-04-16 --exclude "*" --recursive --include "*20170416*" &amp; "%USERPROFILE%\Documents\GitHub\mrs-test-scripts\Headless Mode &amp; Sideloading\WalkAndUnGZ.bat" "%USERPROFILE%\AppData\Local\Temp\OnboardLogs"\RTDC4010\2017-04-16</v>
      </c>
      <c r="AF217" s="82" t="str">
        <f t="shared" si="74"/>
        <v>"C:\Program Files (x86)\AstroGrep\AstroGrep.exe" /e /r /s /spath="%USERPROFILE%\AppData\Local\Temp\OnboardLogs" /stypes="app*4010*20170415*" /stext=" 08:.+((SYSTEM_STATE.+slice.+state.+changed )|(ment ac)|(multiple cpu faults)|(system.+state.+changed )|(\[timeout)|(PRM\|1\|D)|(kpr)|(kdp)|(\|lc)|(penalty))"</v>
      </c>
      <c r="AG217" s="1" t="str">
        <f t="shared" si="75"/>
        <v>Other</v>
      </c>
      <c r="AH217" s="86" t="str">
        <f t="shared" si="76"/>
        <v>"%USERPROFILE%\Documents\GitHub\eaglep3\Utilities\RefineRTDCRunTimes.py" --tripid 313-14 --locoid 4010 --swversion DE.1.0.9.0 --startMP 204:462 --initTime 2017-04-15T02:11:44 --startdatetime 2017-04-15T02:15:00 --delay 1 --endMP 300:23346 --enddatetime 2017-04-15T02:20:51 --enforcementcount 0 &gt;&gt;C:\Users\stu\Documents\GitHub\eaglep3-reporting\EC\2017-04-14-refined-times.txt</v>
      </c>
      <c r="AI217" s="104" t="str">
        <f t="shared" si="77"/>
        <v>echo {"issue":{"subject":"Failed PSS due to mismatched data","project_id":79,"tracker_id":40,"status_id":1,"priority_id":2,"assigned_to_id":23,"start_date":"2017-04-15","description":"","custom_fields":[{"id":1,"name":"Subdivision","value":"Other"},{"id":4,"name":"Milepost","value":"2.3346"},{"id":17,"name":"Train ID","value":"313-14"},{"id":16,"name":"Locomotive ID","value":"4010"},{"id":130,"name":"Impact","value":""},{"id":150,"name":"Time of Event (Mountain Time)","value":"02:20:51"},{"id":151,"name":"Denver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78"/>
        <v>start /low /b %USERPROFILE%\Documents\GitHub\eaglep3\Utilities\DownloadLogsFromS3.py --loco 4010 --day 2017-04-15</v>
      </c>
      <c r="AN217" s="159" t="str">
        <f t="shared" si="79"/>
        <v>echo {"issue":{"subject":"Failed PSS due to mismatched data","project_id":30,"tracker_id":4,"status_id":1,"priority_id":1,"assigned_to_id":10,"start_date":"2017-04-15","description":"","custom_fields":[{"id":30,"name":"Category","value":"Issue"},{"id":3,"name":"Functional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864</v>
      </c>
      <c r="B218" s="7">
        <v>4040</v>
      </c>
      <c r="C218" s="21" t="s">
        <v>214</v>
      </c>
      <c r="D218" s="21" t="s">
        <v>512</v>
      </c>
      <c r="E218" s="13">
        <v>42840.110277777778</v>
      </c>
      <c r="F218" s="13">
        <v>42840.111608796295</v>
      </c>
      <c r="G218" s="7">
        <v>1</v>
      </c>
      <c r="H218" s="21" t="s">
        <v>940</v>
      </c>
      <c r="I218" s="13">
        <v>42840.115405092591</v>
      </c>
      <c r="J218" s="7">
        <v>0</v>
      </c>
      <c r="K218" s="97" t="str">
        <f t="shared" si="61"/>
        <v>4039/4040</v>
      </c>
      <c r="L218" s="21" t="str">
        <f>VLOOKUP(A218,'Trips&amp;Operators'!$C$1:$G$99999,5,FALSE)</f>
        <v>BROWN JACOB</v>
      </c>
      <c r="M218" s="6">
        <f t="shared" si="62"/>
        <v>3.796296296059154E-3</v>
      </c>
      <c r="N218" s="7">
        <f t="shared" si="63"/>
        <v>5.4666666663251817</v>
      </c>
      <c r="O218" s="7"/>
      <c r="P218" s="7"/>
      <c r="Q218" s="22"/>
      <c r="R218" s="22"/>
      <c r="S218" s="31">
        <f t="shared" si="64"/>
        <v>1</v>
      </c>
      <c r="T218" s="46" t="str">
        <f t="shared" si="65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66"/>
        <v>https://d0f6bd738d7f1b3e5a7ca70fe4ff75f0.us-east-1.aws.found.io/app/kibana#/discover/Steve-Slow-Train-Analysis-(2080s-and-2083s)?_g=(refreshInterval:(display:Off,pause:!f,section:0,value:0),time:(from:'2017-04-15T01:38:48-0600',mode:absolute,to:'2017-04-15T03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183" t="str">
        <f t="shared" si="67"/>
        <v>Y</v>
      </c>
      <c r="X218" s="183">
        <f t="shared" si="68"/>
        <v>2</v>
      </c>
      <c r="Y218" s="62">
        <f t="shared" si="69"/>
        <v>4.7500000000000001E-2</v>
      </c>
      <c r="Z218" s="62">
        <f t="shared" si="70"/>
        <v>1.3314999999999999</v>
      </c>
      <c r="AA218" s="62">
        <f t="shared" si="71"/>
        <v>1.2839999999999998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2"/>
        <v>0315-14</v>
      </c>
      <c r="AE218" s="85" t="str">
        <f t="shared" si="73"/>
        <v>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 &amp; 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</v>
      </c>
      <c r="AF218" s="82" t="str">
        <f t="shared" si="74"/>
        <v>"C:\Program Files (x86)\AstroGrep\AstroGrep.exe" /e /r /s /spath="%USERPROFILE%\AppData\Local\Temp\OnboardLogs" /stypes="app*4040*20170415*" /stext=" 08:.+((SYSTEM_STATE.+slice.+state.+changed )|(ment ac)|(multiple cpu faults)|(system.+state.+changed )|(\[timeout)|(PRM\|1\|D)|(kpr)|(kdp)|(\|lc)|(penalty))"</v>
      </c>
      <c r="AG218" s="1" t="str">
        <f t="shared" si="75"/>
        <v>Other</v>
      </c>
      <c r="AH218" s="86" t="str">
        <f t="shared" si="76"/>
        <v>"%USERPROFILE%\Documents\GitHub\eaglep3\Utilities\RefineRTDCRunTimes.py" --tripid 315-14 --locoid 4040 --swversion DE.1.0.9.0 --startMP 204:475 --initTime 2017-04-15T02:38:48 --startdatetime 2017-04-15T02:40:43 --delay 1 --endMP 300:13315 --enddatetime 2017-04-15T02:46:11 --enforcementcount 0 &gt;&gt;C:\Users\stu\Documents\GitHub\eaglep3-reporting\EC\2017-04-14-refined-times.txt</v>
      </c>
      <c r="AI218" s="104" t="str">
        <f t="shared" si="77"/>
        <v>echo {"issue":{"subject":"","project_id":79,"tracker_id":40,"status_id":1,"priority_id":2,"assigned_to_id":23,"start_date":"2017-04-15","description":"","custom_fields":[{"id":1,"name":"Subdivision","value":"Other"},{"id":4,"name":"Milepost","value":"1.3315"},{"id":17,"name":"Train ID","value":"315-14"},{"id":16,"name":"Locomotive ID","value":"4040"},{"id":130,"name":"Impact","value":""},{"id":150,"name":"Time of Event (Mountain Time)","value":"02:46:11"},{"id":151,"name":"Denver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78"/>
        <v>start /low /b %USERPROFILE%\Documents\GitHub\eaglep3\Utilities\DownloadLogsFromS3.py --loco 4040 --day 2017-04-15</v>
      </c>
      <c r="AN218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628</v>
      </c>
      <c r="B219" s="7">
        <v>4028</v>
      </c>
      <c r="C219" s="21" t="s">
        <v>214</v>
      </c>
      <c r="D219" s="21" t="s">
        <v>997</v>
      </c>
      <c r="E219" s="13">
        <v>42839.201192129629</v>
      </c>
      <c r="F219" s="13">
        <v>42839.204988425925</v>
      </c>
      <c r="G219" s="7">
        <v>5</v>
      </c>
      <c r="H219" s="21" t="s">
        <v>998</v>
      </c>
      <c r="I219" s="13">
        <v>42839.211099537039</v>
      </c>
      <c r="J219" s="7">
        <v>0</v>
      </c>
      <c r="K219" s="97" t="str">
        <f t="shared" si="61"/>
        <v>4027/4028</v>
      </c>
      <c r="L219" s="21" t="str">
        <f>VLOOKUP(A219,'Trips&amp;Operators'!$C$1:$G$99999,5,FALSE)</f>
        <v>GEBRETEKLE DAGNEW</v>
      </c>
      <c r="M219" s="6">
        <f t="shared" si="62"/>
        <v>6.1111111135687679E-3</v>
      </c>
      <c r="N219" s="7">
        <f t="shared" si="63"/>
        <v>8.8000000035390258</v>
      </c>
      <c r="O219" s="7"/>
      <c r="P219" s="7"/>
      <c r="Q219" s="22"/>
      <c r="R219" s="22"/>
      <c r="S219" s="31">
        <f t="shared" si="64"/>
        <v>0</v>
      </c>
      <c r="T219" s="46" t="str">
        <f t="shared" si="65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66"/>
        <v>https://d0f6bd738d7f1b3e5a7ca70fe4ff75f0.us-east-1.aws.found.io/app/kibana#/discover/Steve-Slow-Train-Analysis-(2080s-and-2083s)?_g=(refreshInterval:(display:Off,pause:!f,section:0,value:0),time:(from:'2017-04-14T03:49:43-0600',mode:absolute,to:'2017-04-14T06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183" t="str">
        <f t="shared" si="67"/>
        <v>Y</v>
      </c>
      <c r="X219" s="183">
        <f t="shared" si="68"/>
        <v>586</v>
      </c>
      <c r="Y219" s="62">
        <f t="shared" si="69"/>
        <v>2.9702999999999999</v>
      </c>
      <c r="Z219" s="62">
        <f t="shared" si="70"/>
        <v>5.899</v>
      </c>
      <c r="AA219" s="62">
        <f t="shared" si="71"/>
        <v>2.9287000000000001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2"/>
        <v>0901-14</v>
      </c>
      <c r="AE219" s="85" t="str">
        <f t="shared" si="73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219" s="82" t="str">
        <f t="shared" si="74"/>
        <v>"C:\Program Files (x86)\AstroGrep\AstroGrep.exe" /e /r /s /spath="%USERPROFILE%\AppData\Local\Temp\OnboardLogs" /stypes="app*4028*20170414*" /stext=" 11:.+((SYSTEM_STATE.+slice.+state.+changed )|(ment ac)|(multiple cpu faults)|(system.+state.+changed )|(\[timeout)|(PRM\|1\|D)|(kpr)|(kdp)|(\|lc)|(penalty))"</v>
      </c>
      <c r="AG219" s="1" t="str">
        <f t="shared" si="75"/>
        <v>Other</v>
      </c>
      <c r="AH219" s="86" t="str">
        <f t="shared" si="76"/>
        <v>"%USERPROFILE%\Documents\GitHub\eaglep3\Utilities\RefineRTDCRunTimes.py" --tripid 901-14 --locoid 4028 --swversion DE.1.0.9.0 --startMP 300:29703 --initTime 2017-04-14T04:49:43 --startdatetime 2017-04-14T04:55:11 --delay 5 --endMP 300:58990 --enddatetime 2017-04-14T05:03:59 --enforcementcount 0 &gt;&gt;C:\Users\stu\Documents\GitHub\eaglep3-reporting\EC\2017-04-14-refined-times.txt</v>
      </c>
      <c r="AI219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{"issue":{"subject":"","project_id":79,"tracker_id":40,"status_id":1,"priority_id":2,"assigned_to_id":23,"start_date":"2017-04-14","description":"","custom_fields":[{"id":1,"name":"Subdivision","value":"Other"},{"id":4,"name":"Milepost","value":"5.899"},{"id":17,"name":"Train ID","value":"901-14"},{"id":16,"name":"Locomotive ID","value":"4028"},{"id":130,"name":"Impact","value":""},{"id":150,"name":"Time of Event (Mountain Time)","value":"05:03:59"},{"id":151,"name":"Denver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78"/>
        <v>start /low /b %USERPROFILE%\Documents\GitHub\eaglep3\Utilities\DownloadLogsFromS3.py --loco 4028 --day 2017-04-14</v>
      </c>
      <c r="AN219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11:03:59"},{"id":29,"name":"Sharepoint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682</v>
      </c>
      <c r="B220" s="7">
        <v>4053</v>
      </c>
      <c r="C220" s="21" t="s">
        <v>214</v>
      </c>
      <c r="D220" s="21" t="s">
        <v>999</v>
      </c>
      <c r="E220" s="13">
        <v>42839.244375000002</v>
      </c>
      <c r="F220" s="13">
        <v>42839.249247685184</v>
      </c>
      <c r="G220" s="7">
        <v>6</v>
      </c>
      <c r="H220" s="21" t="s">
        <v>1000</v>
      </c>
      <c r="I220" s="13">
        <v>42839.254537037035</v>
      </c>
      <c r="J220" s="7">
        <v>0</v>
      </c>
      <c r="K220" s="97" t="str">
        <f t="shared" si="61"/>
        <v>4053/4054</v>
      </c>
      <c r="L220" s="21" t="str">
        <f>VLOOKUP(A220,'Trips&amp;Operators'!$C$1:$G$99999,5,FALSE)</f>
        <v>SHOOK JOHN</v>
      </c>
      <c r="M220" s="6">
        <f t="shared" si="62"/>
        <v>5.2893518513883464E-3</v>
      </c>
      <c r="N220" s="7">
        <f t="shared" si="63"/>
        <v>7.6166666659992188</v>
      </c>
      <c r="O220" s="7"/>
      <c r="P220" s="7"/>
      <c r="Q220" s="22"/>
      <c r="R220" s="22"/>
      <c r="S220" s="31">
        <f t="shared" si="64"/>
        <v>1</v>
      </c>
      <c r="T220" s="46" t="str">
        <f t="shared" si="65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66"/>
        <v>https://d0f6bd738d7f1b3e5a7ca70fe4ff75f0.us-east-1.aws.found.io/app/kibana#/discover/Steve-Slow-Train-Analysis-(2080s-and-2083s)?_g=(refreshInterval:(display:Off,pause:!f,section:0,value:0),time:(from:'2017-04-14T04:51:54-0600',mode:absolute,to:'2017-04-14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0" s="183" t="str">
        <f t="shared" si="67"/>
        <v>Y</v>
      </c>
      <c r="X220" s="183">
        <f t="shared" si="68"/>
        <v>1</v>
      </c>
      <c r="Y220" s="62">
        <f t="shared" si="69"/>
        <v>2.3022999999999998</v>
      </c>
      <c r="Z220" s="62">
        <f t="shared" si="70"/>
        <v>7.22E-2</v>
      </c>
      <c r="AA220" s="62">
        <f t="shared" si="71"/>
        <v>2.2300999999999997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2"/>
        <v>0902-14</v>
      </c>
      <c r="AE220" s="85" t="str">
        <f t="shared" si="73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220" s="82" t="str">
        <f t="shared" si="74"/>
        <v>"C:\Program Files (x86)\AstroGrep\AstroGrep.exe" /e /r /s /spath="%USERPROFILE%\AppData\Local\Temp\OnboardLogs" /stypes="app*4053*20170414*" /stext=" 12:.+((SYSTEM_STATE.+slice.+state.+changed )|(ment ac)|(multiple cpu faults)|(system.+state.+changed )|(\[timeout)|(PRM\|1\|D)|(kpr)|(kdp)|(\|lc)|(penalty))"</v>
      </c>
      <c r="AG220" s="1" t="str">
        <f t="shared" si="75"/>
        <v>Other</v>
      </c>
      <c r="AH220" s="86" t="str">
        <f t="shared" si="76"/>
        <v>"%USERPROFILE%\Documents\GitHub\eaglep3\Utilities\RefineRTDCRunTimes.py" --tripid 902-14 --locoid 4053 --swversion DE.1.0.9.0 --startMP 300:23023 --initTime 2017-04-14T05:51:54 --startdatetime 2017-04-14T05:58:55 --delay 6 --endMP 204:722 --enddatetime 2017-04-14T06:06:32 --enforcementcount 0 &gt;&gt;C:\Users\stu\Documents\GitHub\eaglep3-reporting\EC\2017-04-14-refined-times.txt</v>
      </c>
      <c r="AI220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{"issue":{"subject":"","project_id":79,"tracker_id":40,"status_id":1,"priority_id":2,"assigned_to_id":23,"start_date":"2017-04-14","description":"","custom_fields":[{"id":1,"name":"Subdivision","value":"Other"},{"id":4,"name":"Milepost","value":"0.0722"},{"id":17,"name":"Train ID","value":"902-14"},{"id":16,"name":"Locomotive ID","value":"4053"},{"id":130,"name":"Impact","value":""},{"id":150,"name":"Time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78"/>
        <v>start /low /b %USERPROFILE%\Documents\GitHub\eaglep3\Utilities\DownloadLogsFromS3.py --loco 4053 --day 2017-04-14</v>
      </c>
      <c r="AN220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711</v>
      </c>
      <c r="B221" s="7">
        <v>4028</v>
      </c>
      <c r="C221" s="21" t="s">
        <v>214</v>
      </c>
      <c r="D221" s="21" t="s">
        <v>411</v>
      </c>
      <c r="E221" s="13">
        <v>42839.352453703701</v>
      </c>
      <c r="F221" s="13">
        <v>42839.353645833333</v>
      </c>
      <c r="G221" s="7">
        <v>1</v>
      </c>
      <c r="H221" s="21" t="s">
        <v>1001</v>
      </c>
      <c r="I221" s="13">
        <v>42839.360856481479</v>
      </c>
      <c r="J221" s="7">
        <v>0</v>
      </c>
      <c r="K221" s="97" t="str">
        <f t="shared" si="61"/>
        <v>4027/4028</v>
      </c>
      <c r="L221" s="21" t="str">
        <f>VLOOKUP(A221,'Trips&amp;Operators'!$C$1:$G$99999,5,FALSE)</f>
        <v>GEBRETEKLE DAGNEW</v>
      </c>
      <c r="M221" s="6">
        <f t="shared" si="62"/>
        <v>7.2106481457012706E-3</v>
      </c>
      <c r="N221" s="7">
        <f t="shared" si="63"/>
        <v>10.38333332980983</v>
      </c>
      <c r="O221" s="7"/>
      <c r="P221" s="7"/>
      <c r="Q221" s="22"/>
      <c r="R221" s="22"/>
      <c r="S221" s="31">
        <f t="shared" si="64"/>
        <v>1</v>
      </c>
      <c r="T221" s="46" t="str">
        <f t="shared" si="65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66"/>
        <v>https://d0f6bd738d7f1b3e5a7ca70fe4ff75f0.us-east-1.aws.found.io/app/kibana#/discover/Steve-Slow-Train-Analysis-(2080s-and-2083s)?_g=(refreshInterval:(display:Off,pause:!f,section:0,value:0),time:(from:'2017-04-14T07:27:32-0600',mode:absolute,to:'2017-04-14T09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183" t="str">
        <f t="shared" si="67"/>
        <v>Y</v>
      </c>
      <c r="X221" s="183">
        <f t="shared" si="68"/>
        <v>1</v>
      </c>
      <c r="Y221" s="62">
        <f t="shared" si="69"/>
        <v>4.4600000000000001E-2</v>
      </c>
      <c r="Z221" s="62">
        <f t="shared" si="70"/>
        <v>2.4243000000000001</v>
      </c>
      <c r="AA221" s="62">
        <f t="shared" si="71"/>
        <v>2.3797000000000001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2"/>
        <v>0903-14</v>
      </c>
      <c r="AE221" s="85" t="str">
        <f t="shared" si="73"/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AF221" s="82" t="str">
        <f t="shared" si="74"/>
        <v>"C:\Program Files (x86)\AstroGrep\AstroGrep.exe" /e /r /s /spath="%USERPROFILE%\AppData\Local\Temp\OnboardLogs" /stypes="app*4028*20170414*" /stext=" 14:.+((SYSTEM_STATE.+slice.+state.+changed )|(ment ac)|(multiple cpu faults)|(system.+state.+changed )|(\[timeout)|(PRM\|1\|D)|(kpr)|(kdp)|(\|lc)|(penalty))"</v>
      </c>
      <c r="AG221" s="1" t="str">
        <f t="shared" si="75"/>
        <v>Other</v>
      </c>
      <c r="AH221" s="86" t="str">
        <f t="shared" si="76"/>
        <v>"%USERPROFILE%\Documents\GitHub\eaglep3\Utilities\RefineRTDCRunTimes.py" --tripid 903-14 --locoid 4028 --swversion DE.1.0.9.0 --startMP 204:446 --initTime 2017-04-14T08:27:32 --startdatetime 2017-04-14T08:29:15 --delay 1 --endMP 300:24243 --enddatetime 2017-04-14T08:39:38 --enforcementcount 0 &gt;&gt;C:\Users\stu\Documents\GitHub\eaglep3-reporting\EC\2017-04-14-refined-times.txt</v>
      </c>
      <c r="AI221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{"issue":{"subject":"","project_id":79,"tracker_id":40,"status_id":1,"priority_id":2,"assigned_to_id":23,"start_date":"2017-04-14","description":"","custom_fields":[{"id":1,"name":"Subdivision","value":"Other"},{"id":4,"name":"Milepost","value":"2.4243"},{"id":17,"name":"Train ID","value":"903-14"},{"id":16,"name":"Locomotive ID","value":"4028"},{"id":130,"name":"Impact","value":""},{"id":150,"name":"Time of Event (Mountain Time)","value":"08:39:38"},{"id":151,"name":"Denver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78"/>
        <v>start /low /b %USERPROFILE%\Documents\GitHub\eaglep3\Utilities\DownloadLogsFromS3.py --loco 4028 --day 2017-04-14</v>
      </c>
      <c r="AN221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14:39:38"},{"id":29,"name":"Sharepoint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774</v>
      </c>
      <c r="B222" s="7">
        <v>4027</v>
      </c>
      <c r="C222" s="21" t="s">
        <v>214</v>
      </c>
      <c r="D222" s="21" t="s">
        <v>1002</v>
      </c>
      <c r="E222" s="13">
        <v>42839.639386574076</v>
      </c>
      <c r="F222" s="13">
        <v>42839.641944444447</v>
      </c>
      <c r="G222" s="7">
        <v>3</v>
      </c>
      <c r="H222" s="21" t="s">
        <v>983</v>
      </c>
      <c r="I222" s="13">
        <v>42839.647812499999</v>
      </c>
      <c r="J222" s="7">
        <v>0</v>
      </c>
      <c r="K222" s="97" t="str">
        <f t="shared" si="61"/>
        <v>4027/4028</v>
      </c>
      <c r="L222" s="21" t="str">
        <f>VLOOKUP(A222,'Trips&amp;Operators'!$C$1:$G$99999,5,FALSE)</f>
        <v>SULLIVAN BRANDON</v>
      </c>
      <c r="M222" s="6">
        <f t="shared" si="62"/>
        <v>5.8680555521277711E-3</v>
      </c>
      <c r="N222" s="7">
        <f t="shared" si="63"/>
        <v>8.4499999950639904</v>
      </c>
      <c r="O222" s="7"/>
      <c r="P222" s="7"/>
      <c r="Q222" s="22"/>
      <c r="R222" s="22"/>
      <c r="S222" s="31">
        <f t="shared" si="64"/>
        <v>1</v>
      </c>
      <c r="T222" s="46" t="str">
        <f t="shared" si="65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66"/>
        <v>https://d0f6bd738d7f1b3e5a7ca70fe4ff75f0.us-east-1.aws.found.io/app/kibana#/discover/Steve-Slow-Train-Analysis-(2080s-and-2083s)?_g=(refreshInterval:(display:Off,pause:!f,section:0,value:0),time:(from:'2017-04-14T14:20:43-0600',mode:absolute,to:'2017-04-14T16:32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183" t="str">
        <f t="shared" si="67"/>
        <v>Y</v>
      </c>
      <c r="X222" s="183">
        <f t="shared" si="68"/>
        <v>1</v>
      </c>
      <c r="Y222" s="62">
        <f t="shared" si="69"/>
        <v>2.3237000000000001</v>
      </c>
      <c r="Z222" s="62">
        <f t="shared" si="70"/>
        <v>6.8699999999999997E-2</v>
      </c>
      <c r="AA222" s="62">
        <f t="shared" si="71"/>
        <v>2.2549999999999999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2"/>
        <v>0904-14</v>
      </c>
      <c r="AE222" s="85" t="str">
        <f t="shared" si="73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222" s="82" t="str">
        <f t="shared" si="74"/>
        <v>"C:\Program Files (x86)\AstroGrep\AstroGrep.exe" /e /r /s /spath="%USERPROFILE%\AppData\Local\Temp\OnboardLogs" /stypes="app*4027*20170414*" /stext=" 21:.+((SYSTEM_STATE.+slice.+state.+changed )|(ment ac)|(multiple cpu faults)|(system.+state.+changed )|(\[timeout)|(PRM\|1\|D)|(kpr)|(kdp)|(\|lc)|(penalty))"</v>
      </c>
      <c r="AG222" s="1" t="str">
        <f t="shared" si="75"/>
        <v>Other</v>
      </c>
      <c r="AH222" s="86" t="str">
        <f t="shared" si="76"/>
        <v>"%USERPROFILE%\Documents\GitHub\eaglep3\Utilities\RefineRTDCRunTimes.py" --tripid 904-14 --locoid 4027 --swversion DE.1.0.9.0 --startMP 300:23237 --initTime 2017-04-14T15:20:43 --startdatetime 2017-04-14T15:24:24 --delay 3 --endMP 204:687 --enddatetime 2017-04-14T15:32:51 --enforcementcount 0 &gt;&gt;C:\Users\stu\Documents\GitHub\eaglep3-reporting\EC\2017-04-14-refined-times.txt</v>
      </c>
      <c r="AI222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{"issue":{"subject":"","project_id":79,"tracker_id":40,"status_id":1,"priority_id":2,"assigned_to_id":23,"start_date":"2017-04-14","description":"","custom_fields":[{"id":1,"name":"Subdivision","value":"Other"},{"id":4,"name":"Milepost","value":"0.0687"},{"id":17,"name":"Train ID","value":"904-14"},{"id":16,"name":"Locomotive ID","value":"4027"},{"id":130,"name":"Impact","value":""},{"id":150,"name":"Time of Event (Mountain Time)","value":"15:32:51"},{"id":151,"name":"Denver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78"/>
        <v>start /low /b %USERPROFILE%\Documents\GitHub\eaglep3\Utilities\DownloadLogsFromS3.py --loco 4027 --day 2017-04-14</v>
      </c>
      <c r="AN222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21:32:51"},{"id":29,"name":"Sharepoint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825</v>
      </c>
      <c r="B223" s="7">
        <v>4027</v>
      </c>
      <c r="C223" s="21" t="s">
        <v>214</v>
      </c>
      <c r="D223" s="21" t="s">
        <v>1003</v>
      </c>
      <c r="E223" s="13">
        <v>42839.7966087963</v>
      </c>
      <c r="F223" s="13">
        <v>42839.798043981478</v>
      </c>
      <c r="G223" s="7">
        <v>1</v>
      </c>
      <c r="H223" s="21" t="s">
        <v>1004</v>
      </c>
      <c r="I223" s="13">
        <v>42839.804467592592</v>
      </c>
      <c r="J223" s="7">
        <v>0</v>
      </c>
      <c r="K223" s="97" t="str">
        <f t="shared" si="61"/>
        <v>4027/4028</v>
      </c>
      <c r="L223" s="21" t="str">
        <f>VLOOKUP(A223,'Trips&amp;Operators'!$C$1:$G$99999,5,FALSE)</f>
        <v>SULLIVAN BRANDON</v>
      </c>
      <c r="M223" s="6">
        <f t="shared" si="62"/>
        <v>6.4236111138598062E-3</v>
      </c>
      <c r="N223" s="7">
        <f t="shared" si="63"/>
        <v>9.2500000039581209</v>
      </c>
      <c r="O223" s="7"/>
      <c r="P223" s="7"/>
      <c r="Q223" s="22"/>
      <c r="R223" s="22"/>
      <c r="S223" s="31">
        <f t="shared" si="64"/>
        <v>0</v>
      </c>
      <c r="T223" s="46" t="str">
        <f t="shared" si="65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66"/>
        <v>https://d0f6bd738d7f1b3e5a7ca70fe4ff75f0.us-east-1.aws.found.io/app/kibana#/discover/Steve-Slow-Train-Analysis-(2080s-and-2083s)?_g=(refreshInterval:(display:Off,pause:!f,section:0,value:0),time:(from:'2017-04-14T18:07:07-0600',mode:absolute,to:'2017-04-14T20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183" t="str">
        <f t="shared" si="67"/>
        <v>Y</v>
      </c>
      <c r="X223" s="183">
        <f t="shared" si="68"/>
        <v>2</v>
      </c>
      <c r="Y223" s="62">
        <f t="shared" si="69"/>
        <v>5.8634000000000004</v>
      </c>
      <c r="Z223" s="62">
        <f t="shared" si="70"/>
        <v>2.8784000000000001</v>
      </c>
      <c r="AA223" s="62">
        <f t="shared" si="71"/>
        <v>2.9850000000000003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2"/>
        <v>0906-14</v>
      </c>
      <c r="AE223" s="85" t="str">
        <f t="shared" si="73"/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AF223" s="82" t="str">
        <f t="shared" si="74"/>
        <v>"C:\Program Files (x86)\AstroGrep\AstroGrep.exe" /e /r /s /spath="%USERPROFILE%\AppData\Local\Temp\OnboardLogs" /stypes="app*4027*20170415*" /stext=" 01:.+((SYSTEM_STATE.+slice.+state.+changed )|(ment ac)|(multiple cpu faults)|(system.+state.+changed )|(\[timeout)|(PRM\|1\|D)|(kpr)|(kdp)|(\|lc)|(penalty))"</v>
      </c>
      <c r="AG223" s="1" t="str">
        <f t="shared" si="75"/>
        <v>Other</v>
      </c>
      <c r="AH223" s="86" t="str">
        <f t="shared" si="76"/>
        <v>"%USERPROFILE%\Documents\GitHub\eaglep3\Utilities\RefineRTDCRunTimes.py" --tripid 906-14 --locoid 4027 --swversion DE.1.0.9.0 --startMP 300:58634 --initTime 2017-04-14T19:07:07 --startdatetime 2017-04-14T19:09:11 --delay 1 --endMP 300:28784 --enddatetime 2017-04-14T19:18:26 --enforcementcount 0 &gt;&gt;C:\Users\stu\Documents\GitHub\eaglep3-reporting\EC\2017-04-14-refined-times.txt</v>
      </c>
      <c r="AI223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{"issue":{"subject":"","project_id":79,"tracker_id":40,"status_id":1,"priority_id":2,"assigned_to_id":23,"start_date":"2017-04-14","description":"","custom_fields":[{"id":1,"name":"Subdivision","value":"Other"},{"id":4,"name":"Milepost","value":"2.8784"},{"id":17,"name":"Train ID","value":"906-14"},{"id":16,"name":"Locomotive ID","value":"4027"},{"id":130,"name":"Impact","value":""},{"id":150,"name":"Time of Event (Mountain Time)","value":"19:18:26"},{"id":151,"name":"Denver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78"/>
        <v>start /low /b %USERPROFILE%\Documents\GitHub\eaglep3\Utilities\DownloadLogsFromS3.py --loco 4027 --day 2017-04-14</v>
      </c>
      <c r="AN223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01:18:26"},{"id":29,"name":"Sharepoint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848</v>
      </c>
      <c r="B224" s="7">
        <v>4053</v>
      </c>
      <c r="C224" s="21" t="s">
        <v>214</v>
      </c>
      <c r="D224" s="21" t="s">
        <v>563</v>
      </c>
      <c r="E224" s="13">
        <v>42839.94326388889</v>
      </c>
      <c r="F224" s="13">
        <v>42839.944780092592</v>
      </c>
      <c r="G224" s="7">
        <v>1</v>
      </c>
      <c r="H224" s="21" t="s">
        <v>1005</v>
      </c>
      <c r="I224" s="13">
        <v>42839.949687499997</v>
      </c>
      <c r="J224" s="7">
        <v>0</v>
      </c>
      <c r="K224" s="97" t="str">
        <f t="shared" si="61"/>
        <v>4053/4054</v>
      </c>
      <c r="L224" s="21" t="str">
        <f>VLOOKUP(A224,'Trips&amp;Operators'!$C$1:$G$99999,5,FALSE)</f>
        <v>SULLIVAN BRANDON</v>
      </c>
      <c r="M224" s="6">
        <f t="shared" si="62"/>
        <v>4.907407404971309E-3</v>
      </c>
      <c r="N224" s="7">
        <f t="shared" si="63"/>
        <v>7.066666663158685</v>
      </c>
      <c r="O224" s="7"/>
      <c r="P224" s="7"/>
      <c r="Q224" s="22"/>
      <c r="R224" s="22"/>
      <c r="S224" s="31">
        <f t="shared" si="64"/>
        <v>0</v>
      </c>
      <c r="T224" s="46" t="str">
        <f t="shared" si="65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66"/>
        <v>https://d0f6bd738d7f1b3e5a7ca70fe4ff75f0.us-east-1.aws.found.io/app/kibana#/discover/Steve-Slow-Train-Analysis-(2080s-and-2083s)?_g=(refreshInterval:(display:Off,pause:!f,section:0,value:0),time:(from:'2017-04-14T21:38:18-0600',mode:absolute,to:'2017-04-14T23:47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4" s="183" t="str">
        <f t="shared" si="67"/>
        <v>Y</v>
      </c>
      <c r="X224" s="183">
        <f t="shared" si="68"/>
        <v>2</v>
      </c>
      <c r="Y224" s="62">
        <f t="shared" si="69"/>
        <v>5.8632</v>
      </c>
      <c r="Z224" s="62">
        <f t="shared" si="70"/>
        <v>2.1680000000000001</v>
      </c>
      <c r="AA224" s="62">
        <f t="shared" si="71"/>
        <v>3.6951999999999998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2"/>
        <v>0908-14</v>
      </c>
      <c r="AE224" s="85" t="str">
        <f t="shared" si="73"/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AF224" s="82" t="str">
        <f t="shared" si="74"/>
        <v>"C:\Program Files (x86)\AstroGrep\AstroGrep.exe" /e /r /s /spath="%USERPROFILE%\AppData\Local\Temp\OnboardLogs" /stypes="app*4053*20170415*" /stext=" 04:.+((SYSTEM_STATE.+slice.+state.+changed )|(ment ac)|(multiple cpu faults)|(system.+state.+changed )|(\[timeout)|(PRM\|1\|D)|(kpr)|(kdp)|(\|lc)|(penalty))"</v>
      </c>
      <c r="AG224" s="1" t="str">
        <f t="shared" si="75"/>
        <v>Other</v>
      </c>
      <c r="AH224" s="86" t="str">
        <f t="shared" si="76"/>
        <v>"%USERPROFILE%\Documents\GitHub\eaglep3\Utilities\RefineRTDCRunTimes.py" --tripid 908-14 --locoid 4053 --swversion DE.1.0.9.0 --startMP 300:58632 --initTime 2017-04-14T22:38:18 --startdatetime 2017-04-14T22:40:29 --delay 1 --endMP 300:21680 --enddatetime 2017-04-14T22:47:33 --enforcementcount 0 &gt;&gt;C:\Users\stu\Documents\GitHub\eaglep3-reporting\EC\2017-04-14-refined-times.txt</v>
      </c>
      <c r="AI224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{"issue":{"subject":"","project_id":79,"tracker_id":40,"status_id":1,"priority_id":2,"assigned_to_id":23,"start_date":"2017-04-14","description":"","custom_fields":[{"id":1,"name":"Subdivision","value":"Other"},{"id":4,"name":"Milepost","value":"2.168"},{"id":17,"name":"Train ID","value":"908-14"},{"id":16,"name":"Locomotive ID","value":"4053"},{"id":130,"name":"Impact","value":""},{"id":150,"name":"Time of Event (Mountain Time)","value":"22:47:33"},{"id":151,"name":"Denver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78"/>
        <v>start /low /b %USERPROFILE%\Documents\GitHub\eaglep3\Utilities\DownloadLogsFromS3.py --loco 4053 --day 2017-04-14</v>
      </c>
      <c r="AN224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04:47:33"},{"id":29,"name":"Sharepoint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s="20" customFormat="1" x14ac:dyDescent="0.25">
      <c r="A225" s="33" t="s">
        <v>728</v>
      </c>
      <c r="B225" s="7">
        <v>4043</v>
      </c>
      <c r="C225" s="21" t="s">
        <v>214</v>
      </c>
      <c r="D225" s="21" t="s">
        <v>941</v>
      </c>
      <c r="E225" s="13">
        <v>42839.425844907404</v>
      </c>
      <c r="F225" s="13">
        <v>42839.4299537037</v>
      </c>
      <c r="G225" s="7">
        <v>5</v>
      </c>
      <c r="H225" s="21" t="s">
        <v>942</v>
      </c>
      <c r="I225" s="13">
        <v>42839.434166666666</v>
      </c>
      <c r="J225" s="7">
        <v>0</v>
      </c>
      <c r="K225" s="97" t="str">
        <f t="shared" si="61"/>
        <v>4043/4044</v>
      </c>
      <c r="L225" s="21" t="str">
        <f>VLOOKUP(A225,'Trips&amp;Operators'!$C$1:$G$99999,5,FALSE)</f>
        <v>DELGADO DIANAH</v>
      </c>
      <c r="M225" s="6">
        <f t="shared" si="62"/>
        <v>4.2129629655391909E-3</v>
      </c>
      <c r="N225" s="7">
        <f t="shared" si="63"/>
        <v>6.0666666703764349</v>
      </c>
      <c r="O225" s="7"/>
      <c r="P225" s="7"/>
      <c r="Q225" s="22"/>
      <c r="R225" s="22"/>
      <c r="S225" s="31">
        <f t="shared" si="64"/>
        <v>0</v>
      </c>
      <c r="T225" s="46" t="e">
        <f t="shared" si="65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66"/>
        <v>https://d0f6bd738d7f1b3e5a7ca70fe4ff75f0.us-east-1.aws.found.io/app/kibana#/discover/Steve-Slow-Train-Analysis-(2080s-and-2083s)?_g=(refreshInterval:(display:Off,pause:!f,section:0,value:0),time:(from:'2017-04-14T09:13:13-0600',mode:absolute,to:'2017-04-14T11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5" s="183" t="str">
        <f t="shared" si="67"/>
        <v>Y</v>
      </c>
      <c r="X225" s="183" t="e">
        <f t="shared" si="68"/>
        <v>#VALUE!</v>
      </c>
      <c r="Y225" s="62">
        <f t="shared" si="69"/>
        <v>1.9977</v>
      </c>
      <c r="Z225" s="62">
        <f t="shared" si="70"/>
        <v>6.7999999999999996E-3</v>
      </c>
      <c r="AA225" s="62">
        <f t="shared" si="71"/>
        <v>1.9909000000000001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2"/>
        <v>50-14</v>
      </c>
      <c r="AE225" s="85" t="str">
        <f t="shared" si="73"/>
        <v>aws s3 cp s3://rtdc.mdm.uploadarchive.raw/RTDC4043/ "%USERPROFILE%\AppData\Local\Temp\OnboardLogs"\RTDC4043\2017-04-14 --exclude "*" --recursive --include "*20170414*" &amp; "%USERPROFILE%\Documents\GitHub\mrs-test-scripts\Headless Mode &amp; Sideloading\WalkAndUnGZ.bat" "%USERPROFILE%\AppData\Local\Temp\OnboardLogs"\RTDC4043\2017-04-14 &amp; aws s3 cp s3://rtdc.mdm.uploadarchive.raw/RTDC4043/ "%USERPROFILE%\AppData\Local\Temp\OnboardLogs"\RTDC4043\2017-04-15 --exclude "*" --recursive --include "*20170415*" &amp; "%USERPROFILE%\Documents\GitHub\mrs-test-scripts\Headless Mode &amp; Sideloading\WalkAndUnGZ.bat" "%USERPROFILE%\AppData\Local\Temp\OnboardLogs"\RTDC4043\2017-04-15</v>
      </c>
      <c r="AF225" s="82" t="str">
        <f t="shared" si="74"/>
        <v>"C:\Program Files (x86)\AstroGrep\AstroGrep.exe" /e /r /s /spath="%USERPROFILE%\AppData\Local\Temp\OnboardLogs" /stypes="app*4043*20170414*" /stext=" 16:.+((SYSTEM_STATE.+slice.+state.+changed )|(ment ac)|(multiple cpu faults)|(system.+state.+changed )|(\[timeout)|(PRM\|1\|D)|(kpr)|(kdp)|(\|lc)|(penalty))"</v>
      </c>
      <c r="AG225" s="1" t="str">
        <f t="shared" si="75"/>
        <v>Other</v>
      </c>
      <c r="AH225" s="86" t="str">
        <f t="shared" si="76"/>
        <v>"%USERPROFILE%\Documents\GitHub\eaglep3\Utilities\RefineRTDCRunTimes.py" --tripid 50-14 --locoid 4043 --swversion DE.1.0.9.0 --startMP 300:19977 --initTime 2017-04-14T10:13:13 --startdatetime 2017-04-14T10:19:08 --delay 5 --endMP 204:68 --enddatetime 2017-04-14T10:25:12 --enforcementcount 0 &gt;&gt;C:\Users\stu\Documents\GitHub\eaglep3-reporting\EC\2017-04-14-refined-times.txt</v>
      </c>
      <c r="AI225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{"issue":{"subject":"","project_id":79,"tracker_id":40,"status_id":1,"priority_id":2,"assigned_to_id":23,"start_date":"2017-04-14","description":"","custom_fields":[{"id":1,"name":"Subdivision","value":"Other"},{"id":4,"name":"Milepost","value":"0.0068"},{"id":17,"name":"Train ID","value":"50-14"},{"id":16,"name":"Locomotive ID","value":"4043"},{"id":130,"name":"Impact","value":""},{"id":150,"name":"Time of Event (Mountain Time)","value":"10:25:12"},{"id":151,"name":"Denver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8"/>
      <c r="AL225" s="48"/>
      <c r="AM225" s="150" t="str">
        <f t="shared" si="78"/>
        <v>start /low /b %USERPROFILE%\Documents\GitHub\eaglep3\Utilities\DownloadLogsFromS3.py --loco 4043 --day 2017-04-14</v>
      </c>
      <c r="AN225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16:25:12"},{"id":29,"name":"Sharepoint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732</v>
      </c>
      <c r="B226" s="7">
        <v>4044</v>
      </c>
      <c r="C226" s="21" t="s">
        <v>214</v>
      </c>
      <c r="D226" s="21" t="s">
        <v>943</v>
      </c>
      <c r="E226" s="13">
        <v>42839.450104166666</v>
      </c>
      <c r="F226" s="13">
        <v>42839.464953703704</v>
      </c>
      <c r="G226" s="7">
        <v>1</v>
      </c>
      <c r="H226" s="21" t="s">
        <v>944</v>
      </c>
      <c r="I226" s="13">
        <v>42839.473634259259</v>
      </c>
      <c r="J226" s="7">
        <v>0</v>
      </c>
      <c r="K226" s="97" t="str">
        <f t="shared" si="61"/>
        <v>4043/4044</v>
      </c>
      <c r="L226" s="21" t="str">
        <f>VLOOKUP(A226,'Trips&amp;Operators'!$C$1:$G$99999,5,FALSE)</f>
        <v>ACKERMAN JARED</v>
      </c>
      <c r="M226" s="6">
        <f t="shared" si="62"/>
        <v>8.6805555547471158E-3</v>
      </c>
      <c r="N226" s="7">
        <f t="shared" si="63"/>
        <v>12.499999998835847</v>
      </c>
      <c r="O226" s="7"/>
      <c r="P226" s="7"/>
      <c r="Q226" s="22"/>
      <c r="R226" s="22"/>
      <c r="S226" s="31">
        <f t="shared" si="64"/>
        <v>0</v>
      </c>
      <c r="T226" s="46" t="e">
        <f t="shared" si="65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66"/>
        <v>https://d0f6bd738d7f1b3e5a7ca70fe4ff75f0.us-east-1.aws.found.io/app/kibana#/discover/Steve-Slow-Train-Analysis-(2080s-and-2083s)?_g=(refreshInterval:(display:Off,pause:!f,section:0,value:0),time:(from:'2017-04-14T09:48:09-0600',mode:absolute,to:'2017-04-14T12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183" t="str">
        <f t="shared" si="67"/>
        <v>Y</v>
      </c>
      <c r="X226" s="183" t="e">
        <f t="shared" si="68"/>
        <v>#VALUE!</v>
      </c>
      <c r="Y226" s="62">
        <f t="shared" si="69"/>
        <v>3.61E-2</v>
      </c>
      <c r="Z226" s="62">
        <f t="shared" si="70"/>
        <v>2.4226999999999999</v>
      </c>
      <c r="AA226" s="62">
        <f t="shared" si="71"/>
        <v>2.3866000000000001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2"/>
        <v>51-14</v>
      </c>
      <c r="AE226" s="85" t="str">
        <f t="shared" si="73"/>
        <v>aws s3 cp s3://rtdc.mdm.uploadarchive.raw/RTDC4044/ "%USERPROFILE%\AppData\Local\Temp\OnboardLogs"\RTDC4044\2017-04-14 --exclude "*" --recursive --include "*20170414*" &amp; "%USERPROFILE%\Documents\GitHub\mrs-test-scripts\Headless Mode &amp; Sideloading\WalkAndUnGZ.bat" "%USERPROFILE%\AppData\Local\Temp\OnboardLogs"\RTDC4044\2017-04-14 &amp; aws s3 cp s3://rtdc.mdm.uploadarchive.raw/RTDC4044/ "%USERPROFILE%\AppData\Local\Temp\OnboardLogs"\RTDC4044\2017-04-15 --exclude "*" --recursive --include "*20170415*" &amp; "%USERPROFILE%\Documents\GitHub\mrs-test-scripts\Headless Mode &amp; Sideloading\WalkAndUnGZ.bat" "%USERPROFILE%\AppData\Local\Temp\OnboardLogs"\RTDC4044\2017-04-15</v>
      </c>
      <c r="AF226" s="82" t="str">
        <f t="shared" si="74"/>
        <v>"C:\Program Files (x86)\AstroGrep\AstroGrep.exe" /e /r /s /spath="%USERPROFILE%\AppData\Local\Temp\OnboardLogs" /stypes="app*4044*20170414*" /stext=" 17:.+((SYSTEM_STATE.+slice.+state.+changed )|(ment ac)|(multiple cpu faults)|(system.+state.+changed )|(\[timeout)|(PRM\|1\|D)|(kpr)|(kdp)|(\|lc)|(penalty))"</v>
      </c>
      <c r="AG226" s="1" t="str">
        <f t="shared" si="75"/>
        <v>Other</v>
      </c>
      <c r="AH226" s="86" t="str">
        <f t="shared" si="76"/>
        <v>"%USERPROFILE%\Documents\GitHub\eaglep3\Utilities\RefineRTDCRunTimes.py" --tripid 51-14 --locoid 4044 --swversion DE.1.0.9.0 --startMP 204:361 --initTime 2017-04-14T10:48:09 --startdatetime 2017-04-14T11:09:32 --delay 1 --endMP 300:24227 --enddatetime 2017-04-14T11:22:02 --enforcementcount 0 &gt;&gt;C:\Users\stu\Documents\GitHub\eaglep3-reporting\EC\2017-04-14-refined-times.txt</v>
      </c>
      <c r="AI226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{"issue":{"subject":"","project_id":79,"tracker_id":40,"status_id":1,"priority_id":2,"assigned_to_id":23,"start_date":"2017-04-14","description":"","custom_fields":[{"id":1,"name":"Subdivision","value":"Other"},{"id":4,"name":"Milepost","value":"2.4227"},{"id":17,"name":"Train ID","value":"51-14"},{"id":16,"name":"Locomotive ID","value":"4044"},{"id":130,"name":"Impact","value":""},{"id":150,"name":"Time of Event (Mountain Time)","value":"11:22:02"},{"id":151,"name":"Denver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78"/>
        <v>start /low /b %USERPROFILE%\Documents\GitHub\eaglep3\Utilities\DownloadLogsFromS3.py --loco 4044 --day 2017-04-14</v>
      </c>
      <c r="AN226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740</v>
      </c>
      <c r="B227" s="7">
        <v>4043</v>
      </c>
      <c r="C227" s="21" t="s">
        <v>214</v>
      </c>
      <c r="D227" s="21" t="s">
        <v>945</v>
      </c>
      <c r="E227" s="13">
        <v>42839.491909722223</v>
      </c>
      <c r="F227" s="13">
        <v>42839.493831018517</v>
      </c>
      <c r="G227" s="7">
        <v>2</v>
      </c>
      <c r="H227" s="21" t="s">
        <v>946</v>
      </c>
      <c r="I227" s="13">
        <v>42839.499699074076</v>
      </c>
      <c r="J227" s="7">
        <v>0</v>
      </c>
      <c r="K227" s="97" t="str">
        <f t="shared" si="61"/>
        <v>4043/4044</v>
      </c>
      <c r="L227" s="21" t="str">
        <f>VLOOKUP(A227,'Trips&amp;Operators'!$C$1:$G$99999,5,FALSE)</f>
        <v>MCREYNOLDS KYLE</v>
      </c>
      <c r="M227" s="6">
        <f t="shared" si="62"/>
        <v>5.8680555594037287E-3</v>
      </c>
      <c r="N227" s="7">
        <f t="shared" si="63"/>
        <v>8.4500000055413693</v>
      </c>
      <c r="O227" s="7"/>
      <c r="P227" s="7"/>
      <c r="Q227" s="22"/>
      <c r="R227" s="22"/>
      <c r="S227" s="31">
        <f t="shared" si="64"/>
        <v>0</v>
      </c>
      <c r="T227" s="46" t="e">
        <f t="shared" si="65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66"/>
        <v>https://d0f6bd738d7f1b3e5a7ca70fe4ff75f0.us-east-1.aws.found.io/app/kibana#/discover/Steve-Slow-Train-Analysis-(2080s-and-2083s)?_g=(refreshInterval:(display:Off,pause:!f,section:0,value:0),time:(from:'2017-04-14T10:48:21-0600',mode:absolute,to:'2017-04-14T12:59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7" s="183" t="str">
        <f t="shared" si="67"/>
        <v>Y</v>
      </c>
      <c r="X227" s="183" t="e">
        <f t="shared" si="68"/>
        <v>#VALUE!</v>
      </c>
      <c r="Y227" s="62">
        <f t="shared" si="69"/>
        <v>2.3572000000000002</v>
      </c>
      <c r="Z227" s="62">
        <f t="shared" si="70"/>
        <v>6.1000000000000004E-3</v>
      </c>
      <c r="AA227" s="62">
        <f t="shared" si="71"/>
        <v>2.3511000000000002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2"/>
        <v>52-14</v>
      </c>
      <c r="AE227" s="85" t="str">
        <f t="shared" si="73"/>
        <v>aws s3 cp s3://rtdc.mdm.uploadarchive.raw/RTDC4043/ "%USERPROFILE%\AppData\Local\Temp\OnboardLogs"\RTDC4043\2017-04-14 --exclude "*" --recursive --include "*20170414*" &amp; "%USERPROFILE%\Documents\GitHub\mrs-test-scripts\Headless Mode &amp; Sideloading\WalkAndUnGZ.bat" "%USERPROFILE%\AppData\Local\Temp\OnboardLogs"\RTDC4043\2017-04-14 &amp; aws s3 cp s3://rtdc.mdm.uploadarchive.raw/RTDC4043/ "%USERPROFILE%\AppData\Local\Temp\OnboardLogs"\RTDC4043\2017-04-15 --exclude "*" --recursive --include "*20170415*" &amp; "%USERPROFILE%\Documents\GitHub\mrs-test-scripts\Headless Mode &amp; Sideloading\WalkAndUnGZ.bat" "%USERPROFILE%\AppData\Local\Temp\OnboardLogs"\RTDC4043\2017-04-15</v>
      </c>
      <c r="AF227" s="82" t="str">
        <f t="shared" si="74"/>
        <v>"C:\Program Files (x86)\AstroGrep\AstroGrep.exe" /e /r /s /spath="%USERPROFILE%\AppData\Local\Temp\OnboardLogs" /stypes="app*4043*20170414*" /stext=" 17:.+((SYSTEM_STATE.+slice.+state.+changed )|(ment ac)|(multiple cpu faults)|(system.+state.+changed )|(\[timeout)|(PRM\|1\|D)|(kpr)|(kdp)|(\|lc)|(penalty))"</v>
      </c>
      <c r="AG227" s="1" t="str">
        <f t="shared" si="75"/>
        <v>Other</v>
      </c>
      <c r="AH227" s="86" t="str">
        <f t="shared" si="76"/>
        <v>"%USERPROFILE%\Documents\GitHub\eaglep3\Utilities\RefineRTDCRunTimes.py" --tripid 52-14 --locoid 4043 --swversion DE.1.0.9.0 --startMP 300:23572 --initTime 2017-04-14T11:48:21 --startdatetime 2017-04-14T11:51:07 --delay 2 --endMP 204:61 --enddatetime 2017-04-14T11:59:34 --enforcementcount 0 &gt;&gt;C:\Users\stu\Documents\GitHub\eaglep3-reporting\EC\2017-04-14-refined-times.txt</v>
      </c>
      <c r="AI227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{"issue":{"subject":"","project_id":79,"tracker_id":40,"status_id":1,"priority_id":2,"assigned_to_id":23,"start_date":"2017-04-14","description":"","custom_fields":[{"id":1,"name":"Subdivision","value":"Other"},{"id":4,"name":"Milepost","value":"0.0061"},{"id":17,"name":"Train ID","value":"52-14"},{"id":16,"name":"Locomotive ID","value":"4043"},{"id":130,"name":"Impact","value":""},{"id":150,"name":"Time of Event (Mountain Time)","value":"11:59:34"},{"id":151,"name":"Denver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78"/>
        <v>start /low /b %USERPROFILE%\Documents\GitHub\eaglep3\Utilities\DownloadLogsFromS3.py --loco 4043 --day 2017-04-14</v>
      </c>
      <c r="AN227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17:59:34"},{"id":29,"name":"Sharepoint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748</v>
      </c>
      <c r="B228" s="7">
        <v>4044</v>
      </c>
      <c r="C228" s="21" t="s">
        <v>214</v>
      </c>
      <c r="D228" s="21" t="s">
        <v>947</v>
      </c>
      <c r="E228" s="13">
        <v>42839.518425925926</v>
      </c>
      <c r="F228" s="13">
        <v>42839.520150462966</v>
      </c>
      <c r="G228" s="7">
        <v>1</v>
      </c>
      <c r="H228" s="21" t="s">
        <v>948</v>
      </c>
      <c r="I228" s="13">
        <v>42839.525254629632</v>
      </c>
      <c r="J228" s="7">
        <v>0</v>
      </c>
      <c r="K228" s="97" t="str">
        <f t="shared" si="61"/>
        <v>4043/4044</v>
      </c>
      <c r="L228" s="21" t="str">
        <f>VLOOKUP(A228,'Trips&amp;Operators'!$C$1:$G$99999,5,FALSE)</f>
        <v>ROCHA YAOTL</v>
      </c>
      <c r="M228" s="6">
        <f t="shared" si="62"/>
        <v>5.1041666665696539E-3</v>
      </c>
      <c r="N228" s="7">
        <f t="shared" si="63"/>
        <v>7.3499999998603016</v>
      </c>
      <c r="O228" s="7"/>
      <c r="P228" s="7"/>
      <c r="Q228" s="22"/>
      <c r="R228" s="22"/>
      <c r="S228" s="31">
        <f t="shared" si="64"/>
        <v>0</v>
      </c>
      <c r="T228" s="46" t="e">
        <f t="shared" si="65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66"/>
        <v>https://d0f6bd738d7f1b3e5a7ca70fe4ff75f0.us-east-1.aws.found.io/app/kibana#/discover/Steve-Slow-Train-Analysis-(2080s-and-2083s)?_g=(refreshInterval:(display:Off,pause:!f,section:0,value:0),time:(from:'2017-04-14T11:26:32-0600',mode:absolute,to:'2017-04-14T13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8" s="183" t="str">
        <f t="shared" si="67"/>
        <v>Y</v>
      </c>
      <c r="X228" s="183" t="e">
        <f t="shared" si="68"/>
        <v>#VALUE!</v>
      </c>
      <c r="Y228" s="62">
        <f t="shared" si="69"/>
        <v>3.6299999999999999E-2</v>
      </c>
      <c r="Z228" s="62">
        <f t="shared" si="70"/>
        <v>2.4224000000000001</v>
      </c>
      <c r="AA228" s="62">
        <f t="shared" si="71"/>
        <v>2.3860999999999999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2"/>
        <v>53-14</v>
      </c>
      <c r="AE228" s="85" t="str">
        <f t="shared" si="73"/>
        <v>aws s3 cp s3://rtdc.mdm.uploadarchive.raw/RTDC4044/ "%USERPROFILE%\AppData\Local\Temp\OnboardLogs"\RTDC4044\2017-04-14 --exclude "*" --recursive --include "*20170414*" &amp; "%USERPROFILE%\Documents\GitHub\mrs-test-scripts\Headless Mode &amp; Sideloading\WalkAndUnGZ.bat" "%USERPROFILE%\AppData\Local\Temp\OnboardLogs"\RTDC4044\2017-04-14 &amp; aws s3 cp s3://rtdc.mdm.uploadarchive.raw/RTDC4044/ "%USERPROFILE%\AppData\Local\Temp\OnboardLogs"\RTDC4044\2017-04-15 --exclude "*" --recursive --include "*20170415*" &amp; "%USERPROFILE%\Documents\GitHub\mrs-test-scripts\Headless Mode &amp; Sideloading\WalkAndUnGZ.bat" "%USERPROFILE%\AppData\Local\Temp\OnboardLogs"\RTDC4044\2017-04-15</v>
      </c>
      <c r="AF228" s="82" t="str">
        <f t="shared" si="74"/>
        <v>"C:\Program Files (x86)\AstroGrep\AstroGrep.exe" /e /r /s /spath="%USERPROFILE%\AppData\Local\Temp\OnboardLogs" /stypes="app*4044*20170414*" /stext=" 18:.+((SYSTEM_STATE.+slice.+state.+changed )|(ment ac)|(multiple cpu faults)|(system.+state.+changed )|(\[timeout)|(PRM\|1\|D)|(kpr)|(kdp)|(\|lc)|(penalty))"</v>
      </c>
      <c r="AG228" s="1" t="str">
        <f t="shared" si="75"/>
        <v>Other</v>
      </c>
      <c r="AH228" s="86" t="str">
        <f t="shared" si="76"/>
        <v>"%USERPROFILE%\Documents\GitHub\eaglep3\Utilities\RefineRTDCRunTimes.py" --tripid 53-14 --locoid 4044 --swversion DE.1.0.9.0 --startMP 204:363 --initTime 2017-04-14T12:26:32 --startdatetime 2017-04-14T12:29:01 --delay 1 --endMP 300:24224 --enddatetime 2017-04-14T12:36:22 --enforcementcount 0 &gt;&gt;C:\Users\stu\Documents\GitHub\eaglep3-reporting\EC\2017-04-14-refined-times.txt</v>
      </c>
      <c r="AI228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{"issue":{"subject":"","project_id":79,"tracker_id":40,"status_id":1,"priority_id":2,"assigned_to_id":23,"start_date":"2017-04-14","description":"","custom_fields":[{"id":1,"name":"Subdivision","value":"Other"},{"id":4,"name":"Milepost","value":"2.4224"},{"id":17,"name":"Train ID","value":"53-14"},{"id":16,"name":"Locomotive ID","value":"4044"},{"id":130,"name":"Impact","value":""},{"id":150,"name":"Time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78"/>
        <v>start /low /b %USERPROFILE%\Documents\GitHub\eaglep3\Utilities\DownloadLogsFromS3.py --loco 4044 --day 2017-04-14</v>
      </c>
      <c r="AN228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18:36:22"},{"id":29,"name":"Sharepoint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800</v>
      </c>
      <c r="B229" s="7">
        <v>4016</v>
      </c>
      <c r="C229" s="21" t="s">
        <v>214</v>
      </c>
      <c r="D229" s="21" t="s">
        <v>949</v>
      </c>
      <c r="E229" s="13">
        <v>42839.732430555552</v>
      </c>
      <c r="F229" s="13">
        <v>42839.747361111113</v>
      </c>
      <c r="G229" s="7">
        <v>1</v>
      </c>
      <c r="H229" s="21" t="s">
        <v>950</v>
      </c>
      <c r="I229" s="13">
        <v>42839.754062499997</v>
      </c>
      <c r="J229" s="7">
        <v>0</v>
      </c>
      <c r="K229" s="97" t="str">
        <f t="shared" si="61"/>
        <v>4015/4016</v>
      </c>
      <c r="L229" s="21" t="str">
        <f>VLOOKUP(A229,'Trips&amp;Operators'!$C$1:$G$99999,5,FALSE)</f>
        <v>LOPES KIMBERLY</v>
      </c>
      <c r="M229" s="6">
        <f t="shared" si="62"/>
        <v>6.7013888838118874E-3</v>
      </c>
      <c r="N229" s="7">
        <f t="shared" si="63"/>
        <v>9.6499999926891178</v>
      </c>
      <c r="O229" s="7"/>
      <c r="P229" s="7"/>
      <c r="Q229" s="22"/>
      <c r="R229" s="22"/>
      <c r="S229" s="31">
        <f t="shared" si="64"/>
        <v>0</v>
      </c>
      <c r="T229" s="46" t="e">
        <f t="shared" si="65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66"/>
        <v>https://d0f6bd738d7f1b3e5a7ca70fe4ff75f0.us-east-1.aws.found.io/app/kibana#/discover/Steve-Slow-Train-Analysis-(2080s-and-2083s)?_g=(refreshInterval:(display:Off,pause:!f,section:0,value:0),time:(from:'2017-04-14T16:34:42-0600',mode:absolute,to:'2017-04-14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183" t="str">
        <f t="shared" si="67"/>
        <v>Y</v>
      </c>
      <c r="X229" s="183" t="e">
        <f t="shared" si="68"/>
        <v>#VALUE!</v>
      </c>
      <c r="Y229" s="62">
        <f t="shared" si="69"/>
        <v>0.15110000000000001</v>
      </c>
      <c r="Z229" s="62">
        <f t="shared" si="70"/>
        <v>2.3308</v>
      </c>
      <c r="AA229" s="62">
        <f t="shared" si="71"/>
        <v>2.1797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2"/>
        <v>55-14</v>
      </c>
      <c r="AE229" s="85" t="str">
        <f t="shared" si="73"/>
        <v>aws s3 cp s3://rtdc.mdm.uploadarchive.raw/RTDC4016/ "%USERPROFILE%\AppData\Local\Temp\OnboardLogs"\RTDC4016\2017-04-14 --exclude "*" --recursive --include "*20170414*" &amp; "%USERPROFILE%\Documents\GitHub\mrs-test-scripts\Headless Mode &amp; Sideloading\WalkAndUnGZ.bat" "%USERPROFILE%\AppData\Local\Temp\OnboardLogs"\RTDC4016\2017-04-14 &amp; aws s3 cp s3://rtdc.mdm.uploadarchive.raw/RTDC4016/ "%USERPROFILE%\AppData\Local\Temp\OnboardLogs"\RTDC4016\2017-04-15 --exclude "*" --recursive --include "*20170415*" &amp; "%USERPROFILE%\Documents\GitHub\mrs-test-scripts\Headless Mode &amp; Sideloading\WalkAndUnGZ.bat" "%USERPROFILE%\AppData\Local\Temp\OnboardLogs"\RTDC4016\2017-04-15</v>
      </c>
      <c r="AF229" s="82" t="str">
        <f t="shared" si="74"/>
        <v>"C:\Program Files (x86)\AstroGrep\AstroGrep.exe" /e /r /s /spath="%USERPROFILE%\AppData\Local\Temp\OnboardLogs" /stypes="app*4016*20170415*" /stext=" 00:.+((SYSTEM_STATE.+slice.+state.+changed )|(ment ac)|(multiple cpu faults)|(system.+state.+changed )|(\[timeout)|(PRM\|1\|D)|(kpr)|(kdp)|(\|lc)|(penalty))"</v>
      </c>
      <c r="AG229" s="1" t="str">
        <f t="shared" si="75"/>
        <v>Other</v>
      </c>
      <c r="AH229" s="86" t="str">
        <f t="shared" si="76"/>
        <v>"%USERPROFILE%\Documents\GitHub\eaglep3\Utilities\RefineRTDCRunTimes.py" --tripid 55-14 --locoid 4016 --swversion DE.1.0.9.0 --startMP 204:1511 --initTime 2017-04-14T17:34:42 --startdatetime 2017-04-14T17:56:12 --delay 1 --endMP 300:23308 --enddatetime 2017-04-14T18:05:51 --enforcementcount 0 &gt;&gt;C:\Users\stu\Documents\GitHub\eaglep3-reporting\EC\2017-04-14-refined-times.txt</v>
      </c>
      <c r="AI229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{"issue":{"subject":"","project_id":79,"tracker_id":40,"status_id":1,"priority_id":2,"assigned_to_id":23,"start_date":"2017-04-14","description":"","custom_fields":[{"id":1,"name":"Subdivision","value":"Other"},{"id":4,"name":"Milepost","value":"2.3308"},{"id":17,"name":"Train ID","value":"55-14"},{"id":16,"name":"Locomotive ID","value":"4016"},{"id":130,"name":"Impact","value":""},{"id":150,"name":"Time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78"/>
        <v>start /low /b %USERPROFILE%\Documents\GitHub\eaglep3\Utilities\DownloadLogsFromS3.py --loco 4016 --day 2017-04-14</v>
      </c>
      <c r="AN229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654</v>
      </c>
      <c r="B230" s="7">
        <v>4012</v>
      </c>
      <c r="C230" s="21" t="s">
        <v>214</v>
      </c>
      <c r="D230" s="21" t="s">
        <v>951</v>
      </c>
      <c r="E230" s="13">
        <v>42839.115046296298</v>
      </c>
      <c r="F230" s="13">
        <v>42839.127847222226</v>
      </c>
      <c r="G230" s="7">
        <v>5</v>
      </c>
      <c r="H230" s="21" t="s">
        <v>952</v>
      </c>
      <c r="I230" s="13">
        <v>42839.137789351851</v>
      </c>
      <c r="J230" s="7">
        <v>0</v>
      </c>
      <c r="K230" s="97" t="str">
        <f t="shared" si="61"/>
        <v>4011/4012</v>
      </c>
      <c r="L230" s="21" t="str">
        <f>VLOOKUP(A230,'Trips&amp;Operators'!$C$1:$G$99999,5,FALSE)</f>
        <v>YANAI IAN</v>
      </c>
      <c r="M230" s="6">
        <f t="shared" si="62"/>
        <v>9.9421296254149638E-3</v>
      </c>
      <c r="N230" s="7">
        <f t="shared" si="63"/>
        <v>14.316666660597548</v>
      </c>
      <c r="O230" s="7"/>
      <c r="P230" s="7"/>
      <c r="Q230" s="22"/>
      <c r="R230" s="22"/>
      <c r="S230" s="31">
        <f t="shared" si="64"/>
        <v>0</v>
      </c>
      <c r="T230" s="46" t="e">
        <f t="shared" si="65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66"/>
        <v>https://d0f6bd738d7f1b3e5a7ca70fe4ff75f0.us-east-1.aws.found.io/app/kibana#/discover/Steve-Slow-Train-Analysis-(2080s-and-2083s)?_g=(refreshInterval:(display:Off,pause:!f,section:0,value:0),time:(from:'2017-04-14T01:45:40-0600',mode:absolute,to:'2017-04-14T04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0" s="183" t="str">
        <f t="shared" si="67"/>
        <v>Y</v>
      </c>
      <c r="X230" s="183" t="e">
        <f t="shared" si="68"/>
        <v>#VALUE!</v>
      </c>
      <c r="Y230" s="62">
        <f t="shared" si="69"/>
        <v>7.2400000000000006E-2</v>
      </c>
      <c r="Z230" s="62">
        <f t="shared" si="70"/>
        <v>2.3304</v>
      </c>
      <c r="AA230" s="62">
        <f t="shared" si="71"/>
        <v>2.258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2"/>
        <v>67-14</v>
      </c>
      <c r="AE230" s="85" t="str">
        <f t="shared" si="73"/>
        <v>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 &amp; aws s3 cp s3://rtdc.mdm.uploadarchive.raw/RTDC4012/ "%USERPROFILE%\AppData\Local\Temp\OnboardLogs"\RTDC4012\2017-04-15 --exclude "*" --recursive --include "*20170415*" &amp; "%USERPROFILE%\Documents\GitHub\mrs-test-scripts\Headless Mode &amp; Sideloading\WalkAndUnGZ.bat" "%USERPROFILE%\AppData\Local\Temp\OnboardLogs"\RTDC4012\2017-04-15</v>
      </c>
      <c r="AF230" s="82" t="str">
        <f t="shared" si="74"/>
        <v>"C:\Program Files (x86)\AstroGrep\AstroGrep.exe" /e /r /s /spath="%USERPROFILE%\AppData\Local\Temp\OnboardLogs" /stypes="app*4012*20170414*" /stext=" 09:.+((SYSTEM_STATE.+slice.+state.+changed )|(ment ac)|(multiple cpu faults)|(system.+state.+changed )|(\[timeout)|(PRM\|1\|D)|(kpr)|(kdp)|(\|lc)|(penalty))"</v>
      </c>
      <c r="AG230" s="1" t="str">
        <f t="shared" si="75"/>
        <v>Other</v>
      </c>
      <c r="AH230" s="86" t="str">
        <f t="shared" si="76"/>
        <v>"%USERPROFILE%\Documents\GitHub\eaglep3\Utilities\RefineRTDCRunTimes.py" --tripid 67-14 --locoid 4012 --swversion DE.1.0.9.0 --startMP 204:724 --initTime 2017-04-14T02:45:40 --startdatetime 2017-04-14T03:04:06 --delay 5 --endMP 300:23304 --enddatetime 2017-04-14T03:18:25 --enforcementcount 0 &gt;&gt;C:\Users\stu\Documents\GitHub\eaglep3-reporting\EC\2017-04-14-refined-times.txt</v>
      </c>
      <c r="AI230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{"issue":{"subject":"","project_id":79,"tracker_id":40,"status_id":1,"priority_id":2,"assigned_to_id":23,"start_date":"2017-04-14","description":"","custom_fields":[{"id":1,"name":"Subdivision","value":"Other"},{"id":4,"name":"Milepost","value":"2.3304"},{"id":17,"name":"Train ID","value":"67-14"},{"id":16,"name":"Locomotive ID","value":"4012"},{"id":130,"name":"Impact","value":""},{"id":150,"name":"Time of Event (Mountain Time)","value":"03:18:25"},{"id":151,"name":"Denver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78"/>
        <v>start /low /b %USERPROFILE%\Documents\GitHub\eaglep3\Utilities\DownloadLogsFromS3.py --loco 4012 --day 2017-04-14</v>
      </c>
      <c r="AN230" s="159" t="str">
        <f t="shared" si="79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09:18:25"},{"id":29,"name":"Sharepoint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809</v>
      </c>
      <c r="B231" s="7">
        <v>4043</v>
      </c>
      <c r="C231" s="21" t="s">
        <v>214</v>
      </c>
      <c r="D231" s="21" t="s">
        <v>953</v>
      </c>
      <c r="E231" s="13">
        <v>42839.743252314816</v>
      </c>
      <c r="F231" s="13">
        <v>42839.748912037037</v>
      </c>
      <c r="G231" s="7">
        <v>8</v>
      </c>
      <c r="H231" s="21" t="s">
        <v>401</v>
      </c>
      <c r="I231" s="13">
        <v>42839.755231481482</v>
      </c>
      <c r="J231" s="7">
        <v>0</v>
      </c>
      <c r="K231" s="97" t="str">
        <f t="shared" si="61"/>
        <v>4043/4044</v>
      </c>
      <c r="L231" s="21" t="str">
        <f>VLOOKUP(A231,'Trips&amp;Operators'!$C$1:$G$99999,5,FALSE)</f>
        <v>SWANSON BRYCE</v>
      </c>
      <c r="M231" s="6">
        <f t="shared" si="62"/>
        <v>6.3194444446708076E-3</v>
      </c>
      <c r="N231" s="7">
        <f t="shared" si="63"/>
        <v>9.1000000003259629</v>
      </c>
      <c r="O231" s="7"/>
      <c r="P231" s="7"/>
      <c r="Q231" s="22"/>
      <c r="R231" s="22"/>
      <c r="S231" s="31">
        <f t="shared" si="64"/>
        <v>0</v>
      </c>
      <c r="T231" s="46" t="e">
        <f t="shared" si="65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66"/>
        <v>https://d0f6bd738d7f1b3e5a7ca70fe4ff75f0.us-east-1.aws.found.io/app/kibana#/discover/Steve-Slow-Train-Analysis-(2080s-and-2083s)?_g=(refreshInterval:(display:Off,pause:!f,section:0,value:0),time:(from:'2017-04-14T16:50:17-0600',mode:absolute,to:'2017-04-14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1" s="183" t="str">
        <f t="shared" si="67"/>
        <v>Y</v>
      </c>
      <c r="X231" s="183" t="e">
        <f t="shared" si="68"/>
        <v>#VALUE!</v>
      </c>
      <c r="Y231" s="62">
        <f t="shared" si="69"/>
        <v>2.1958000000000002</v>
      </c>
      <c r="Z231" s="62">
        <f t="shared" si="70"/>
        <v>1.38E-2</v>
      </c>
      <c r="AA231" s="62">
        <f t="shared" si="71"/>
        <v>2.1820000000000004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2"/>
        <v>72-14</v>
      </c>
      <c r="AE231" s="85" t="str">
        <f t="shared" si="73"/>
        <v>aws s3 cp s3://rtdc.mdm.uploadarchive.raw/RTDC4043/ "%USERPROFILE%\AppData\Local\Temp\OnboardLogs"\RTDC4043\2017-04-14 --exclude "*" --recursive --include "*20170414*" &amp; "%USERPROFILE%\Documents\GitHub\mrs-test-scripts\Headless Mode &amp; Sideloading\WalkAndUnGZ.bat" "%USERPROFILE%\AppData\Local\Temp\OnboardLogs"\RTDC4043\2017-04-14 &amp; aws s3 cp s3://rtdc.mdm.uploadarchive.raw/RTDC4043/ "%USERPROFILE%\AppData\Local\Temp\OnboardLogs"\RTDC4043\2017-04-15 --exclude "*" --recursive --include "*20170415*" &amp; "%USERPROFILE%\Documents\GitHub\mrs-test-scripts\Headless Mode &amp; Sideloading\WalkAndUnGZ.bat" "%USERPROFILE%\AppData\Local\Temp\OnboardLogs"\RTDC4043\2017-04-15</v>
      </c>
      <c r="AF231" s="82" t="str">
        <f t="shared" si="74"/>
        <v>"C:\Program Files (x86)\AstroGrep\AstroGrep.exe" /e /r /s /spath="%USERPROFILE%\AppData\Local\Temp\OnboardLogs" /stypes="app*4043*20170415*" /stext=" 00:.+((SYSTEM_STATE.+slice.+state.+changed )|(ment ac)|(multiple cpu faults)|(system.+state.+changed )|(\[timeout)|(PRM\|1\|D)|(kpr)|(kdp)|(\|lc)|(penalty))"</v>
      </c>
      <c r="AG231" s="1" t="str">
        <f t="shared" si="75"/>
        <v>Other</v>
      </c>
      <c r="AH231" s="86" t="str">
        <f t="shared" si="76"/>
        <v>"%USERPROFILE%\Documents\GitHub\eaglep3\Utilities\RefineRTDCRunTimes.py" --tripid 72-14 --locoid 4043 --swversion DE.1.0.9.0 --startMP 300:21958 --initTime 2017-04-14T17:50:17 --startdatetime 2017-04-14T17:58:26 --delay 8 --endMP 204:138 --enddatetime 2017-04-14T18:07:32 --enforcementcount 0 &gt;&gt;C:\Users\stu\Documents\GitHub\eaglep3-reporting\EC\2017-04-14-refined-times.txt</v>
      </c>
      <c r="AI231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{"issue":{"subject":"","project_id":79,"tracker_id":40,"status_id":1,"priority_id":2,"assigned_to_id":23,"start_date":"2017-04-14","description":"","custom_fields":[{"id":1,"name":"Subdivision","value":"Other"},{"id":4,"name":"Milepost","value":"0.0138"},{"id":17,"name":"Train ID","value":"72-14"},{"id":16,"name":"Locomotive ID","value":"4043"},{"id":130,"name":"Impact","value":""},{"id":150,"name":"Time of Event (Mountain Time)","value":"18:07:32"},{"id":151,"name":"Denver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78"/>
        <v>start /low /b %USERPROFILE%\Documents\GitHub\eaglep3\Utilities\DownloadLogsFromS3.py --loco 4043 --day 2017-04-14</v>
      </c>
      <c r="AN231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820</v>
      </c>
      <c r="B232" s="7">
        <v>4044</v>
      </c>
      <c r="C232" s="21" t="s">
        <v>214</v>
      </c>
      <c r="D232" s="21" t="s">
        <v>954</v>
      </c>
      <c r="E232" s="13">
        <v>42839.773773148147</v>
      </c>
      <c r="F232" s="13">
        <v>42839.775266203702</v>
      </c>
      <c r="G232" s="7">
        <v>1</v>
      </c>
      <c r="H232" s="21" t="s">
        <v>526</v>
      </c>
      <c r="I232" s="13">
        <v>42839.782916666663</v>
      </c>
      <c r="J232" s="7">
        <v>0</v>
      </c>
      <c r="K232" s="97" t="str">
        <f t="shared" si="61"/>
        <v>4043/4044</v>
      </c>
      <c r="L232" s="21" t="str">
        <f>VLOOKUP(A232,'Trips&amp;Operators'!$C$1:$G$99999,5,FALSE)</f>
        <v>CLARK KATHLEEN</v>
      </c>
      <c r="M232" s="6">
        <f t="shared" si="62"/>
        <v>7.6504629614646547E-3</v>
      </c>
      <c r="N232" s="7">
        <f t="shared" si="63"/>
        <v>11.016666664509103</v>
      </c>
      <c r="O232" s="7"/>
      <c r="P232" s="7"/>
      <c r="Q232" s="22"/>
      <c r="R232" s="22"/>
      <c r="S232" s="31">
        <f t="shared" si="64"/>
        <v>0</v>
      </c>
      <c r="T232" s="46" t="e">
        <f t="shared" si="65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66"/>
        <v>https://d0f6bd738d7f1b3e5a7ca70fe4ff75f0.us-east-1.aws.found.io/app/kibana#/discover/Steve-Slow-Train-Analysis-(2080s-and-2083s)?_g=(refreshInterval:(display:Off,pause:!f,section:0,value:0),time:(from:'2017-04-14T17:34:14-0600',mode:absolute,to:'2017-04-14T19:47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2" s="183" t="str">
        <f t="shared" si="67"/>
        <v>Y</v>
      </c>
      <c r="X232" s="183" t="e">
        <f t="shared" si="68"/>
        <v>#VALUE!</v>
      </c>
      <c r="Y232" s="62">
        <f t="shared" si="69"/>
        <v>4.3900000000000002E-2</v>
      </c>
      <c r="Z232" s="62">
        <f t="shared" si="70"/>
        <v>2.3346</v>
      </c>
      <c r="AA232" s="62">
        <f t="shared" si="71"/>
        <v>2.2907000000000002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2"/>
        <v>73-14</v>
      </c>
      <c r="AE232" s="85" t="str">
        <f t="shared" si="73"/>
        <v>aws s3 cp s3://rtdc.mdm.uploadarchive.raw/RTDC4044/ "%USERPROFILE%\AppData\Local\Temp\OnboardLogs"\RTDC4044\2017-04-14 --exclude "*" --recursive --include "*20170414*" &amp; "%USERPROFILE%\Documents\GitHub\mrs-test-scripts\Headless Mode &amp; Sideloading\WalkAndUnGZ.bat" "%USERPROFILE%\AppData\Local\Temp\OnboardLogs"\RTDC4044\2017-04-14 &amp; aws s3 cp s3://rtdc.mdm.uploadarchive.raw/RTDC4044/ "%USERPROFILE%\AppData\Local\Temp\OnboardLogs"\RTDC4044\2017-04-15 --exclude "*" --recursive --include "*20170415*" &amp; "%USERPROFILE%\Documents\GitHub\mrs-test-scripts\Headless Mode &amp; Sideloading\WalkAndUnGZ.bat" "%USERPROFILE%\AppData\Local\Temp\OnboardLogs"\RTDC4044\2017-04-15</v>
      </c>
      <c r="AF232" s="82" t="str">
        <f t="shared" si="74"/>
        <v>"C:\Program Files (x86)\AstroGrep\AstroGrep.exe" /e /r /s /spath="%USERPROFILE%\AppData\Local\Temp\OnboardLogs" /stypes="app*4044*20170415*" /stext=" 00:.+((SYSTEM_STATE.+slice.+state.+changed )|(ment ac)|(multiple cpu faults)|(system.+state.+changed )|(\[timeout)|(PRM\|1\|D)|(kpr)|(kdp)|(\|lc)|(penalty))"</v>
      </c>
      <c r="AG232" s="1" t="str">
        <f t="shared" si="75"/>
        <v>Other</v>
      </c>
      <c r="AH232" s="86" t="str">
        <f t="shared" si="76"/>
        <v>"%USERPROFILE%\Documents\GitHub\eaglep3\Utilities\RefineRTDCRunTimes.py" --tripid 73-14 --locoid 4044 --swversion DE.1.0.9.0 --startMP 204:439 --initTime 2017-04-14T18:34:14 --startdatetime 2017-04-14T18:36:23 --delay 1 --endMP 300:23346 --enddatetime 2017-04-14T18:47:24 --enforcementcount 0 &gt;&gt;C:\Users\stu\Documents\GitHub\eaglep3-reporting\EC\2017-04-14-refined-times.txt</v>
      </c>
      <c r="AI232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{"issue":{"subject":"","project_id":79,"tracker_id":40,"status_id":1,"priority_id":2,"assigned_to_id":23,"start_date":"2017-04-14","description":"","custom_fields":[{"id":1,"name":"Subdivision","value":"Other"},{"id":4,"name":"Milepost","value":"2.3346"},{"id":17,"name":"Train ID","value":"73-14"},{"id":16,"name":"Locomotive ID","value":"4044"},{"id":130,"name":"Impact","value":""},{"id":150,"name":"Time of Event (Mountain Time)","value":"18:47:24"},{"id":151,"name":"Denver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78"/>
        <v>start /low /b %USERPROFILE%\Documents\GitHub\eaglep3\Utilities\DownloadLogsFromS3.py --loco 4044 --day 2017-04-14</v>
      </c>
      <c r="AN232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00:47:24"},{"id":29,"name":"Sharepoint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836</v>
      </c>
      <c r="B233" s="7">
        <v>4024</v>
      </c>
      <c r="C233" s="21" t="s">
        <v>214</v>
      </c>
      <c r="D233" s="21" t="s">
        <v>968</v>
      </c>
      <c r="E233" s="13">
        <v>42839.862291666665</v>
      </c>
      <c r="F233" s="13">
        <v>42839.864062499997</v>
      </c>
      <c r="G233" s="7">
        <v>1</v>
      </c>
      <c r="H233" s="21" t="s">
        <v>969</v>
      </c>
      <c r="I233" s="13">
        <v>42839.865393518521</v>
      </c>
      <c r="J233" s="7">
        <v>0</v>
      </c>
      <c r="K233" s="97" t="str">
        <f t="shared" si="61"/>
        <v>4023/4024</v>
      </c>
      <c r="L233" s="21" t="str">
        <f>VLOOKUP(A233,'Trips&amp;Operators'!$C$1:$G$99999,5,FALSE)</f>
        <v>MAGEE KENYA</v>
      </c>
      <c r="M233" s="6">
        <f t="shared" si="62"/>
        <v>1.3310185240698047E-3</v>
      </c>
      <c r="N233" s="7">
        <f t="shared" si="63"/>
        <v>1.9166666746605188</v>
      </c>
      <c r="O233" s="7"/>
      <c r="P233" s="7"/>
      <c r="Q233" s="22"/>
      <c r="R233" s="22"/>
      <c r="S233" s="31">
        <f t="shared" si="64"/>
        <v>0</v>
      </c>
      <c r="T233" s="46" t="e">
        <f t="shared" si="65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66"/>
        <v>https://d0f6bd738d7f1b3e5a7ca70fe4ff75f0.us-east-1.aws.found.io/app/kibana#/discover/Steve-Slow-Train-Analysis-(2080s-and-2083s)?_g=(refreshInterval:(display:Off,pause:!f,section:0,value:0),time:(from:'2017-04-14T19:41:42-0600',mode:absolute,to:'2017-04-14T21:46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3" s="183" t="str">
        <f t="shared" si="67"/>
        <v>Y</v>
      </c>
      <c r="X233" s="183" t="e">
        <f t="shared" si="68"/>
        <v>#VALUE!</v>
      </c>
      <c r="Y233" s="62">
        <f t="shared" si="69"/>
        <v>0.1188</v>
      </c>
      <c r="Z233" s="62">
        <f t="shared" si="70"/>
        <v>0.56410000000000005</v>
      </c>
      <c r="AA233" s="62">
        <f t="shared" si="71"/>
        <v>0.44530000000000003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2"/>
        <v>81-14</v>
      </c>
      <c r="AE233" s="85" t="str">
        <f t="shared" si="73"/>
        <v>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 &amp; aws s3 cp s3://rtdc.mdm.uploadarchive.raw/RTDC4024/ "%USERPROFILE%\AppData\Local\Temp\OnboardLogs"\RTDC4024\2017-04-15 --exclude "*" --recursive --include "*20170415*" &amp; "%USERPROFILE%\Documents\GitHub\mrs-test-scripts\Headless Mode &amp; Sideloading\WalkAndUnGZ.bat" "%USERPROFILE%\AppData\Local\Temp\OnboardLogs"\RTDC4024\2017-04-15</v>
      </c>
      <c r="AF233" s="82" t="str">
        <f t="shared" si="74"/>
        <v>"C:\Program Files (x86)\AstroGrep\AstroGrep.exe" /e /r /s /spath="%USERPROFILE%\AppData\Local\Temp\OnboardLogs" /stypes="app*4024*20170415*" /stext=" 02:.+((SYSTEM_STATE.+slice.+state.+changed )|(ment ac)|(multiple cpu faults)|(system.+state.+changed )|(\[timeout)|(PRM\|1\|D)|(kpr)|(kdp)|(\|lc)|(penalty))"</v>
      </c>
      <c r="AG233" s="1" t="str">
        <f t="shared" si="75"/>
        <v>Other</v>
      </c>
      <c r="AH233" s="86" t="str">
        <f t="shared" si="76"/>
        <v>"%USERPROFILE%\Documents\GitHub\eaglep3\Utilities\RefineRTDCRunTimes.py" --tripid 81-14 --locoid 4024 --swversion DE.1.0.9.0 --startMP 204:1188 --initTime 2017-04-14T20:41:42 --startdatetime 2017-04-14T20:44:15 --delay 1 --endMP 300:5641 --enddatetime 2017-04-14T20:46:10 --enforcementcount 0 &gt;&gt;C:\Users\stu\Documents\GitHub\eaglep3-reporting\EC\2017-04-14-refined-times.txt</v>
      </c>
      <c r="AI233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{"issue":{"subject":"","project_id":79,"tracker_id":40,"status_id":1,"priority_id":2,"assigned_to_id":23,"start_date":"2017-04-14","description":"","custom_fields":[{"id":1,"name":"Subdivision","value":"Other"},{"id":4,"name":"Milepost","value":"0.5641"},{"id":17,"name":"Train ID","value":"81-14"},{"id":16,"name":"Locomotive ID","value":"4024"},{"id":130,"name":"Impact","value":""},{"id":150,"name":"Time of Event (Mountain Time)","value":"20:46:10"},{"id":151,"name":"Denver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78"/>
        <v>start /low /b %USERPROFILE%\Documents\GitHub\eaglep3\Utilities\DownloadLogsFromS3.py --loco 4024 --day 2017-04-14</v>
      </c>
      <c r="AN233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02:46:10"},{"id":29,"name":"Sharepoint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837</v>
      </c>
      <c r="B234" s="7">
        <v>4023</v>
      </c>
      <c r="C234" s="21" t="s">
        <v>214</v>
      </c>
      <c r="D234" s="21" t="s">
        <v>980</v>
      </c>
      <c r="E234" s="13">
        <v>42839.866076388891</v>
      </c>
      <c r="F234" s="13">
        <v>42839.867361111108</v>
      </c>
      <c r="G234" s="7">
        <v>1</v>
      </c>
      <c r="H234" s="21" t="s">
        <v>981</v>
      </c>
      <c r="I234" s="13">
        <v>42839.868715277778</v>
      </c>
      <c r="J234" s="7">
        <v>0</v>
      </c>
      <c r="K234" s="97" t="str">
        <f t="shared" si="61"/>
        <v>4023/4024</v>
      </c>
      <c r="L234" s="21" t="str">
        <f>VLOOKUP(A234,'Trips&amp;Operators'!$C$1:$G$99999,5,FALSE)</f>
        <v>MAGEE KENYA</v>
      </c>
      <c r="M234" s="6">
        <f t="shared" si="62"/>
        <v>1.3541666703531519E-3</v>
      </c>
      <c r="N234" s="7">
        <f t="shared" si="63"/>
        <v>1.9500000053085387</v>
      </c>
      <c r="O234" s="7"/>
      <c r="P234" s="7"/>
      <c r="Q234" s="22"/>
      <c r="R234" s="22"/>
      <c r="S234" s="31">
        <f t="shared" si="64"/>
        <v>0</v>
      </c>
      <c r="T234" s="46" t="e">
        <f t="shared" si="65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66"/>
        <v>https://d0f6bd738d7f1b3e5a7ca70fe4ff75f0.us-east-1.aws.found.io/app/kibana#/discover/Steve-Slow-Train-Analysis-(2080s-and-2083s)?_g=(refreshInterval:(display:Off,pause:!f,section:0,value:0),time:(from:'2017-04-14T19:47:09-0600',mode:absolute,to:'2017-04-14T21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4" s="183" t="str">
        <f t="shared" si="67"/>
        <v>Y</v>
      </c>
      <c r="X234" s="183" t="e">
        <f t="shared" si="68"/>
        <v>#VALUE!</v>
      </c>
      <c r="Y234" s="62">
        <f t="shared" si="69"/>
        <v>0.53290000000000004</v>
      </c>
      <c r="Z234" s="62">
        <f t="shared" si="70"/>
        <v>0.18559999999999999</v>
      </c>
      <c r="AA234" s="62">
        <f t="shared" si="71"/>
        <v>0.34730000000000005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2"/>
        <v>82-14</v>
      </c>
      <c r="AE234" s="85" t="str">
        <f t="shared" si="73"/>
        <v>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 &amp; aws s3 cp s3://rtdc.mdm.uploadarchive.raw/RTDC4023/ "%USERPROFILE%\AppData\Local\Temp\OnboardLogs"\RTDC4023\2017-04-15 --exclude "*" --recursive --include "*20170415*" &amp; "%USERPROFILE%\Documents\GitHub\mrs-test-scripts\Headless Mode &amp; Sideloading\WalkAndUnGZ.bat" "%USERPROFILE%\AppData\Local\Temp\OnboardLogs"\RTDC4023\2017-04-15</v>
      </c>
      <c r="AF234" s="82" t="str">
        <f t="shared" si="74"/>
        <v>"C:\Program Files (x86)\AstroGrep\AstroGrep.exe" /e /r /s /spath="%USERPROFILE%\AppData\Local\Temp\OnboardLogs" /stypes="app*4023*20170415*" /stext=" 02:.+((SYSTEM_STATE.+slice.+state.+changed )|(ment ac)|(multiple cpu faults)|(system.+state.+changed )|(\[timeout)|(PRM\|1\|D)|(kpr)|(kdp)|(\|lc)|(penalty))"</v>
      </c>
      <c r="AG234" s="1" t="str">
        <f t="shared" si="75"/>
        <v>Other</v>
      </c>
      <c r="AH234" s="86" t="str">
        <f t="shared" si="76"/>
        <v>"%USERPROFILE%\Documents\GitHub\eaglep3\Utilities\RefineRTDCRunTimes.py" --tripid 82-14 --locoid 4023 --swversion DE.1.0.9.0 --startMP 300:5329 --initTime 2017-04-14T20:47:09 --startdatetime 2017-04-14T20:49:00 --delay 1 --endMP 204:1856 --enddatetime 2017-04-14T20:50:57 --enforcementcount 0 &gt;&gt;C:\Users\stu\Documents\GitHub\eaglep3-reporting\EC\2017-04-14-refined-times.txt</v>
      </c>
      <c r="AI234" s="104" t="str">
        <f t="shared" si="77"/>
        <v>echo {"issue":{"subject":"","project_id":79,"tracker_id":40,"status_id":1,"priority_id":2,"assigned_to_id":23,"start_date":"2017-04-14","description":"","custom_fields":[{"id":1,"name":"Subdivision","value":"Other"},{"id":4,"name":"Milepost","value":"0.1856"},{"id":17,"name":"Train ID","value":"82-14"},{"id":16,"name":"Locomotive ID","value":"4023"},{"id":130,"name":"Impact","value":""},{"id":150,"name":"Time of Event (Mountain Time)","value":"20:50:57"},{"id":151,"name":"Denver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78"/>
        <v>start /low /b %USERPROFILE%\Documents\GitHub\eaglep3\Utilities\DownloadLogsFromS3.py --loco 4023 --day 2017-04-14</v>
      </c>
      <c r="AN234" s="159" t="str">
        <f t="shared" si="79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02:50:57"},{"id":29,"name":"Sharepoint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</sheetData>
  <autoFilter ref="A12:AG260"/>
  <sortState ref="A13:AH200">
    <sortCondition ref="AG13:AG200"/>
    <sortCondition ref="AD13:AD200"/>
  </sortState>
  <mergeCells count="1">
    <mergeCell ref="A11:P11"/>
  </mergeCells>
  <conditionalFormatting sqref="W11:W12 W267:X1048576 W13:X234">
    <cfRule type="cellIs" dxfId="10" priority="370" operator="equal">
      <formula>"Y"</formula>
    </cfRule>
  </conditionalFormatting>
  <conditionalFormatting sqref="X267:X1048576 X13:X234">
    <cfRule type="cellIs" dxfId="9" priority="353" operator="greaterThan">
      <formula>1</formula>
    </cfRule>
  </conditionalFormatting>
  <conditionalFormatting sqref="X267:X1048576 X12:X234">
    <cfRule type="cellIs" dxfId="8" priority="350" operator="equal">
      <formula>0</formula>
    </cfRule>
  </conditionalFormatting>
  <conditionalFormatting sqref="A13:S234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zoomScaleNormal="100" workbookViewId="0">
      <selection activeCell="P13" sqref="P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COUNTIF($O$7:$O$299,"=Y")</f>
        <v>1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COUNTA($O$7:$O$299)-O2</f>
        <v>27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- 2017-04-14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42839.405381944445</v>
      </c>
      <c r="B7" s="30" t="s">
        <v>375</v>
      </c>
      <c r="C7" s="30" t="s">
        <v>632</v>
      </c>
      <c r="D7" s="30" t="s">
        <v>98</v>
      </c>
      <c r="E7" s="30" t="s">
        <v>191</v>
      </c>
      <c r="F7" s="43">
        <v>190</v>
      </c>
      <c r="G7" s="43">
        <v>254</v>
      </c>
      <c r="H7" s="43">
        <v>27110</v>
      </c>
      <c r="I7" s="43">
        <v>26591</v>
      </c>
      <c r="J7" s="30" t="s">
        <v>192</v>
      </c>
      <c r="K7" s="43">
        <v>27350</v>
      </c>
      <c r="L7" s="139" t="s">
        <v>51</v>
      </c>
      <c r="M7" s="140">
        <f t="shared" ref="M7:M34" si="0">CONVERT((I7-K7)/10000,"mi","ft")*IF(L7="Increasing Mileposts (1)",-1,1)</f>
        <v>-400.75200000000001</v>
      </c>
      <c r="N7" s="141" t="str">
        <f>VLOOKUP(C7,'Trips&amp;Operators'!$C$1:$G$99999,5,FALSE)</f>
        <v>WILLIAMS DONTE</v>
      </c>
      <c r="O7" s="190" t="s">
        <v>184</v>
      </c>
      <c r="P7" s="142" t="s">
        <v>1029</v>
      </c>
      <c r="Q7" s="30"/>
      <c r="R7" s="89" t="str">
        <f>IF(VLOOKUP(C7,'Train Runs'!$A$13:$AE$9936,1,1)=C7,VLOOKUP(C7,'Train Runs'!$A$13:$AE$9936,31,1),NA())</f>
        <v>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 &amp; 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</v>
      </c>
      <c r="S7" s="92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-04-14T07:56:24-0600',mode:absolute,to:'2017-04-14T10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94" t="str">
        <f t="shared" ref="T7:T3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/stypes="*4031*201704141*" /stext=" 15:.+((SYSTEM_STATE.+slice.+state.+changed )|(ment ac)|(multiple cpu faults)|(system.+state.+changed )|(\[timeout)|(PRM\|1\|D)|(kpr)|(kdp)|(\|lc)|(penalty))"</v>
      </c>
      <c r="U7" s="9" t="str">
        <f t="shared" ref="U7:U34" si="2">MID(B7,13,4)</f>
        <v>4031</v>
      </c>
      <c r="V7" s="32">
        <f t="shared" ref="V7:V34" si="3">A7-utc_offset/24</f>
        <v>42839.655381944445</v>
      </c>
      <c r="W7" s="46" t="str">
        <f t="shared" ref="W7:W34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4" si="5">IF(AND(E7="TRACK WARRANT AUTHORITY",G7&lt;10),"OMIT","KEEP")</f>
        <v>KEEP</v>
      </c>
      <c r="Y7" s="104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arrival","project_id":79,"tracker_id":40,"status_id":1,"priority_id":2,"assigned_to_id":23,"start_date":"2017-04-14","description":"","custom_fields":[{"id":1,"name":"Subdivision","value":"EC"},{"id":4,"name":"Milepost","value":"2.735"},{"id":17,"name":"Train ID","value":"138-14"},{"id":16,"name":"Locomotive ID","value":"4031"},{"id":130,"name":"Impact","value":""},{"id":150,"name":"Time of Event (Mountain Time)","value":"09:43:45"},{"id":151,"name":"Denver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4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"%USERPROFILE%\AppData\Local\Temp\OnboardLogs"\RTDC4031\*4031*201704141*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"%USERPROFILE%\AppData\Local\Temp\OnboardLogs"\RTDC4031\*4031*201704141* &gt;&gt; 2017-04-14-SliceDisagreementCheck.txt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4031 --day 2017-04-14</v>
      </c>
    </row>
    <row r="8" spans="1:32" s="1" customFormat="1" x14ac:dyDescent="0.25">
      <c r="A8" s="32">
        <v>42839.454756944448</v>
      </c>
      <c r="B8" s="30" t="s">
        <v>424</v>
      </c>
      <c r="C8" s="30" t="s">
        <v>635</v>
      </c>
      <c r="D8" s="30" t="s">
        <v>49</v>
      </c>
      <c r="E8" s="30" t="s">
        <v>191</v>
      </c>
      <c r="F8" s="43">
        <v>250</v>
      </c>
      <c r="G8" s="43">
        <v>340</v>
      </c>
      <c r="H8" s="43">
        <v>35821</v>
      </c>
      <c r="I8" s="43">
        <v>34896</v>
      </c>
      <c r="J8" s="30" t="s">
        <v>192</v>
      </c>
      <c r="K8" s="43">
        <v>33257</v>
      </c>
      <c r="L8" s="139" t="s">
        <v>51</v>
      </c>
      <c r="M8" s="140">
        <f t="shared" si="0"/>
        <v>865.39200000000005</v>
      </c>
      <c r="N8" s="141" t="str">
        <f>VLOOKUP(C8,'Trips&amp;Operators'!$C$1:$G$99999,5,FALSE)</f>
        <v>COOLAHAN JOHN</v>
      </c>
      <c r="O8" s="190" t="s">
        <v>184</v>
      </c>
      <c r="P8" s="142" t="s">
        <v>1029</v>
      </c>
      <c r="Q8" s="30"/>
      <c r="R8" s="89" t="str">
        <f>IF(VLOOKUP(C8,'Train Runs'!$A$13:$AE$9936,1,1)=C8,VLOOKUP(C8,'Train Runs'!$A$13:$AE$9936,31,1),NA())</f>
        <v>aws s3 cp s3://rtdc.mdm.uploadarchive.raw/RTDC4003/ "%USERPROFILE%\AppData\Local\Temp\OnboardLogs"\RTDC4003\2017-04-14 --exclude "*" --recursive --include "*20170414*" &amp; "%USERPROFILE%\Documents\GitHub\mrs-test-scripts\Headless Mode &amp; Sideloading\WalkAndUnGZ.bat" "%USERPROFILE%\AppData\Local\Temp\OnboardLogs"\RTDC4003\2017-04-14 &amp; aws s3 cp s3://rtdc.mdm.uploadarchive.raw/RTDC4003/ "%USERPROFILE%\AppData\Local\Temp\OnboardLogs"\RTDC4003\2017-04-15 --exclude "*" --recursive --include "*20170415*" &amp; "%USERPROFILE%\Documents\GitHub\mrs-test-scripts\Headless Mode &amp; Sideloading\WalkAndUnGZ.bat" "%USERPROFILE%\AppData\Local\Temp\OnboardLogs"\RTDC4003\2017-04-15</v>
      </c>
      <c r="S8" s="92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-04-14T09:20:05-0600',mode:absolute,to:'2017-04-14T12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94" t="str">
        <f t="shared" si="1"/>
        <v>"C:\Program Files (x86)\AstroGrep\AstroGrep.exe" /e /r /s /spath="%USERPROFILE%\AppData\Local\Temp\OnboardLogs" /stypes="*4003*201704141*" /stext=" 16:.+((SYSTEM_STATE.+slice.+state.+changed )|(ment ac)|(multiple cpu faults)|(system.+state.+changed )|(\[timeout)|(PRM\|1\|D)|(kpr)|(kdp)|(\|lc)|(penalty))"</v>
      </c>
      <c r="U8" s="9" t="str">
        <f t="shared" si="2"/>
        <v>4003</v>
      </c>
      <c r="V8" s="32">
        <f t="shared" si="3"/>
        <v>42839.704756944448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arrival","project_id":79,"tracker_id":40,"status_id":1,"priority_id":2,"assigned_to_id":23,"start_date":"2017-04-14","description":"","custom_fields":[{"id":1,"name":"Subdivision","value":"EC"},{"id":4,"name":"Milepost","value":"3.3257"},{"id":17,"name":"Train ID","value":"148-14"},{"id":16,"name":"Locomotive ID","value":"4003"},{"id":130,"name":"Impact","value":""},{"id":150,"name":"Time of Event (Mountain Time)","value":"10:54:51"},{"id":151,"name":"Denver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"%USERPROFILE%\AppData\Local\Temp\OnboardLogs"\RTDC4003\*4003*201704141*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"%USERPROFILE%\AppData\Local\Temp\OnboardLogs"\RTDC4003\*4003*201704141* &gt;&gt; 2017-04-14-SliceDisagreementCheck.txt</v>
      </c>
      <c r="AE8" s="153" t="str">
        <f t="shared" ref="AE8:AE34" si="9">"start /low /b "&amp;dls3logs&amp;" --loco "&amp;U8&amp;" --day "&amp;TEXT(V8,"YYYY-MM-DD")</f>
        <v>start /low /b %USERPROFILE%\Documents\GitHub\eaglep3\Utilities\DownloadLogsFromS3.py --loco 4003 --day 2017-04-14</v>
      </c>
    </row>
    <row r="9" spans="1:32" s="1" customFormat="1" x14ac:dyDescent="0.25">
      <c r="A9" s="32">
        <v>42839.50513888889</v>
      </c>
      <c r="B9" s="30" t="s">
        <v>413</v>
      </c>
      <c r="C9" s="30" t="s">
        <v>638</v>
      </c>
      <c r="D9" s="30" t="s">
        <v>98</v>
      </c>
      <c r="E9" s="30" t="s">
        <v>191</v>
      </c>
      <c r="F9" s="43">
        <v>420</v>
      </c>
      <c r="G9" s="43">
        <v>472</v>
      </c>
      <c r="H9" s="43">
        <v>53126</v>
      </c>
      <c r="I9" s="43">
        <v>51231</v>
      </c>
      <c r="J9" s="30" t="s">
        <v>192</v>
      </c>
      <c r="K9" s="43">
        <v>53277</v>
      </c>
      <c r="L9" s="139" t="s">
        <v>51</v>
      </c>
      <c r="M9" s="140">
        <f t="shared" si="0"/>
        <v>-1080.288</v>
      </c>
      <c r="N9" s="141" t="str">
        <f>VLOOKUP(C9,'Trips&amp;Operators'!$C$1:$G$99999,5,FALSE)</f>
        <v>ROCHA YAOTL</v>
      </c>
      <c r="O9" s="190" t="s">
        <v>184</v>
      </c>
      <c r="P9" s="142" t="s">
        <v>1029</v>
      </c>
      <c r="Q9" s="30"/>
      <c r="R9" s="89" t="str">
        <f>IF(VLOOKUP(C9,'Train Runs'!$A$13:$AE$9936,1,1)=C9,VLOOKUP(C9,'Train Runs'!$A$13:$AE$9936,31,1),NA())</f>
        <v>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 &amp; aws s3 cp s3://rtdc.mdm.uploadarchive.raw/RTDC4045/ "%USERPROFILE%\AppData\Local\Temp\OnboardLogs"\RTDC4045\2017-04-15 --exclude "*" --recursive --include "*20170415*" &amp; "%USERPROFILE%\Documents\GitHub\mrs-test-scripts\Headless Mode &amp; Sideloading\WalkAndUnGZ.bat" "%USERPROFILE%\AppData\Local\Temp\OnboardLogs"\RTDC4045\2017-04-15</v>
      </c>
      <c r="S9" s="92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-04-14T10:22:40-0600',mode:absolute,to:'2017-04-14T13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9" s="94" t="str">
        <f t="shared" si="1"/>
        <v>"C:\Program Files (x86)\AstroGrep\AstroGrep.exe" /e /r /s /spath="%USERPROFILE%\AppData\Local\Temp\OnboardLogs" /stypes="*4045*201704141*" /stext=" 18:.+((SYSTEM_STATE.+slice.+state.+changed )|(ment ac)|(multiple cpu faults)|(system.+state.+changed )|(\[timeout)|(PRM\|1\|D)|(kpr)|(kdp)|(\|lc)|(penalty))"</v>
      </c>
      <c r="U9" s="9" t="str">
        <f t="shared" si="2"/>
        <v>4045</v>
      </c>
      <c r="V9" s="32">
        <f t="shared" si="3"/>
        <v>42839.75513888889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arrival","project_id":79,"tracker_id":40,"status_id":1,"priority_id":2,"assigned_to_id":23,"start_date":"2017-04-14","description":"","custom_fields":[{"id":1,"name":"Subdivision","value":"EC"},{"id":4,"name":"Milepost","value":"5.3277"},{"id":17,"name":"Train ID","value":"158-14"},{"id":16,"name":"Locomotive ID","value":"4045"},{"id":130,"name":"Impact","value":""},{"id":150,"name":"Time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"%USERPROFILE%\AppData\Local\Temp\OnboardLogs"\RTDC4045\*4045*201704141*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"%USERPROFILE%\AppData\Local\Temp\OnboardLogs"\RTDC4045\*4045*201704141* &gt;&gt; 2017-04-14-SliceDisagreementCheck.txt</v>
      </c>
      <c r="AE9" s="153" t="str">
        <f t="shared" si="9"/>
        <v>start /low /b %USERPROFILE%\Documents\GitHub\eaglep3\Utilities\DownloadLogsFromS3.py --loco 4045 --day 2017-04-14</v>
      </c>
    </row>
    <row r="10" spans="1:32" s="1" customFormat="1" x14ac:dyDescent="0.25">
      <c r="A10" s="32">
        <v>42839.844363425924</v>
      </c>
      <c r="B10" s="30" t="s">
        <v>640</v>
      </c>
      <c r="C10" s="30" t="s">
        <v>651</v>
      </c>
      <c r="D10" s="30" t="s">
        <v>49</v>
      </c>
      <c r="E10" s="30" t="s">
        <v>191</v>
      </c>
      <c r="F10" s="43">
        <v>610</v>
      </c>
      <c r="G10" s="43">
        <v>660</v>
      </c>
      <c r="H10" s="43">
        <v>104917</v>
      </c>
      <c r="I10" s="43">
        <v>102249</v>
      </c>
      <c r="J10" s="30" t="s">
        <v>192</v>
      </c>
      <c r="K10" s="43">
        <v>103800</v>
      </c>
      <c r="L10" s="139" t="s">
        <v>51</v>
      </c>
      <c r="M10" s="140">
        <f t="shared" si="0"/>
        <v>-818.928</v>
      </c>
      <c r="N10" s="141" t="str">
        <f>VLOOKUP(C10,'Trips&amp;Operators'!$C$1:$G$99999,5,FALSE)</f>
        <v>BROWN JACOB</v>
      </c>
      <c r="O10" s="190" t="s">
        <v>184</v>
      </c>
      <c r="P10" s="142" t="s">
        <v>1029</v>
      </c>
      <c r="Q10" s="30"/>
      <c r="R10" s="89" t="str">
        <f>IF(VLOOKUP(C10,'Train Runs'!$A$13:$AE$9936,1,1)=C10,VLOOKUP(C10,'Train Runs'!$A$13:$AE$9936,31,1),NA())</f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S10" s="92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-04-14T18:50:02-0600',mode:absolute,to:'2017-04-14T21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94" t="str">
        <f t="shared" si="1"/>
        <v>"C:\Program Files (x86)\AstroGrep\AstroGrep.exe" /e /r /s /spath="%USERPROFILE%\AppData\Local\Temp\OnboardLogs" /stypes="*4039*201704150*" /stext=" 02:.+((SYSTEM_STATE.+slice.+state.+changed )|(ment ac)|(multiple cpu faults)|(system.+state.+changed )|(\[timeout)|(PRM\|1\|D)|(kpr)|(kdp)|(\|lc)|(penalty))"</v>
      </c>
      <c r="U10" s="9" t="str">
        <f t="shared" si="2"/>
        <v>4039</v>
      </c>
      <c r="V10" s="32">
        <f t="shared" si="3"/>
        <v>42840.094363425924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arrival","project_id":79,"tracker_id":40,"status_id":1,"priority_id":2,"assigned_to_id":23,"start_date":"2017-04-14","description":"","custom_fields":[{"id":1,"name":"Subdivision","value":"EC"},{"id":4,"name":"Milepost","value":"10.38"},{"id":17,"name":"Train ID","value":"222-14"},{"id":16,"name":"Locomotive ID","value":"4039"},{"id":130,"name":"Impact","value":""},{"id":150,"name":"Time of Event (Mountain Time)","value":"20:15:53"},{"id":151,"name":"Denver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"%USERPROFILE%\AppData\Local\Temp\OnboardLogs"\RTDC4039\*4039*201704150*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"%USERPROFILE%\AppData\Local\Temp\OnboardLogs"\RTDC4039\*4039*201704150* &gt;&gt; 2017-04-14-SliceDisagreementCheck.txt</v>
      </c>
      <c r="AE10" s="153" t="str">
        <f t="shared" si="9"/>
        <v>start /low /b %USERPROFILE%\Documents\GitHub\eaglep3\Utilities\DownloadLogsFromS3.py --loco 4039 --day 2017-04-15</v>
      </c>
    </row>
    <row r="11" spans="1:32" s="1" customFormat="1" x14ac:dyDescent="0.25">
      <c r="A11" s="32">
        <v>42839.271516203706</v>
      </c>
      <c r="B11" s="30" t="s">
        <v>430</v>
      </c>
      <c r="C11" s="30" t="s">
        <v>630</v>
      </c>
      <c r="D11" s="30" t="s">
        <v>49</v>
      </c>
      <c r="E11" s="30" t="s">
        <v>191</v>
      </c>
      <c r="F11" s="43">
        <v>0</v>
      </c>
      <c r="G11" s="43">
        <v>409</v>
      </c>
      <c r="H11" s="43">
        <v>109351</v>
      </c>
      <c r="I11" s="43">
        <v>108468</v>
      </c>
      <c r="J11" s="30" t="s">
        <v>192</v>
      </c>
      <c r="K11" s="43">
        <v>109135</v>
      </c>
      <c r="L11" s="139" t="s">
        <v>51</v>
      </c>
      <c r="M11" s="140">
        <f t="shared" si="0"/>
        <v>-352.17599999999999</v>
      </c>
      <c r="N11" s="141" t="str">
        <f>VLOOKUP(C11,'Trips&amp;Operators'!$C$1:$G$99999,5,FALSE)</f>
        <v>BADERTSCHER DIANE</v>
      </c>
      <c r="O11" s="190" t="s">
        <v>184</v>
      </c>
      <c r="P11" s="142" t="s">
        <v>1029</v>
      </c>
      <c r="Q11" s="30"/>
      <c r="R11" s="89" t="str">
        <f>IF(VLOOKUP(C11,'Train Runs'!$A$13:$AE$9936,1,1)=C11,VLOOKUP(C11,'Train Runs'!$A$13:$AE$9936,31,1),NA())</f>
        <v>aws s3 cp s3://rtdc.mdm.uploadarchive.raw/RTDC4019/ "%USERPROFILE%\AppData\Local\Temp\OnboardLogs"\RTDC4019\2017-04-14 --exclude "*" --recursive --include "*20170414*" &amp; "%USERPROFILE%\Documents\GitHub\mrs-test-scripts\Headless Mode &amp; Sideloading\WalkAndUnGZ.bat" "%USERPROFILE%\AppData\Local\Temp\OnboardLogs"\RTDC4019\2017-04-14 &amp; aws s3 cp s3://rtdc.mdm.uploadarchive.raw/RTDC4019/ "%USERPROFILE%\AppData\Local\Temp\OnboardLogs"\RTDC4019\2017-04-15 --exclude "*" --recursive --include "*20170415*" &amp; "%USERPROFILE%\Documents\GitHub\mrs-test-scripts\Headless Mode &amp; Sideloading\WalkAndUnGZ.bat" "%USERPROFILE%\AppData\Local\Temp\OnboardLogs"\RTDC4019\2017-04-15</v>
      </c>
      <c r="S11" s="92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-04-14T05:00:09-0600',mode:absolute,to:'2017-04-14T07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1" s="94" t="str">
        <f t="shared" si="1"/>
        <v>"C:\Program Files (x86)\AstroGrep\AstroGrep.exe" /e /r /s /spath="%USERPROFILE%\AppData\Local\Temp\OnboardLogs" /stypes="*4019*201704141*" /stext=" 12:.+((SYSTEM_STATE.+slice.+state.+changed )|(ment ac)|(multiple cpu faults)|(system.+state.+changed )|(\[timeout)|(PRM\|1\|D)|(kpr)|(kdp)|(\|lc)|(penalty))"</v>
      </c>
      <c r="U11" s="9" t="str">
        <f t="shared" si="2"/>
        <v>4019</v>
      </c>
      <c r="V11" s="32">
        <f t="shared" si="3"/>
        <v>42839.521516203706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arrival","project_id":79,"tracker_id":40,"status_id":1,"priority_id":2,"assigned_to_id":23,"start_date":"2017-04-14","description":"","custom_fields":[{"id":1,"name":"Subdivision","value":"EC"},{"id":4,"name":"Milepost","value":"10.9135"},{"id":17,"name":"Train ID","value":"114-14"},{"id":16,"name":"Locomotive ID","value":"4019"},{"id":130,"name":"Impact","value":""},{"id":150,"name":"Time of Event (Mountain Time)","value":"06:30:59"},{"id":151,"name":"Denver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"%USERPROFILE%\AppData\Local\Temp\OnboardLogs"\RTDC4019\*4019*201704141*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"%USERPROFILE%\AppData\Local\Temp\OnboardLogs"\RTDC4019\*4019*201704141* &gt;&gt; 2017-04-14-SliceDisagreementCheck.txt</v>
      </c>
      <c r="AE11" s="153" t="str">
        <f t="shared" si="9"/>
        <v>start /low /b %USERPROFILE%\Documents\GitHub\eaglep3\Utilities\DownloadLogsFromS3.py --loco 4019 --day 2017-04-14</v>
      </c>
    </row>
    <row r="12" spans="1:32" s="1" customFormat="1" x14ac:dyDescent="0.25">
      <c r="A12" s="32">
        <v>42839.504340277781</v>
      </c>
      <c r="B12" s="30" t="s">
        <v>516</v>
      </c>
      <c r="C12" s="30" t="s">
        <v>637</v>
      </c>
      <c r="D12" s="30" t="s">
        <v>49</v>
      </c>
      <c r="E12" s="30" t="s">
        <v>212</v>
      </c>
      <c r="F12" s="43">
        <v>400</v>
      </c>
      <c r="G12" s="43">
        <v>514</v>
      </c>
      <c r="H12" s="43">
        <v>115547</v>
      </c>
      <c r="I12" s="43">
        <v>116968</v>
      </c>
      <c r="J12" s="30" t="s">
        <v>213</v>
      </c>
      <c r="K12" s="43">
        <v>116838</v>
      </c>
      <c r="L12" s="139" t="s">
        <v>50</v>
      </c>
      <c r="M12" s="140">
        <f t="shared" si="0"/>
        <v>-68.64</v>
      </c>
      <c r="N12" s="141" t="str">
        <f>VLOOKUP(C12,'Trips&amp;Operators'!$C$1:$G$99999,5,FALSE)</f>
        <v>BRUDER RICHARD</v>
      </c>
      <c r="O12" s="190" t="s">
        <v>184</v>
      </c>
      <c r="P12" s="142"/>
      <c r="Q12" s="30"/>
      <c r="R12" s="89" t="str">
        <f>IF(VLOOKUP(C12,'Train Runs'!$A$13:$AE$9936,1,1)=C12,VLOOKUP(C12,'Train Runs'!$A$13:$AE$9936,31,1),NA())</f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S12" s="92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-04-14T10:39:58-0600',mode:absolute,to:'2017-04-14T13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94" t="str">
        <f t="shared" si="1"/>
        <v>"C:\Program Files (x86)\AstroGrep\AstroGrep.exe" /e /r /s /spath="%USERPROFILE%\AppData\Local\Temp\OnboardLogs" /stypes="*4032*201704141*" /stext=" 18:.+((SYSTEM_STATE.+slice.+state.+changed )|(ment ac)|(multiple cpu faults)|(system.+state.+changed )|(\[timeout)|(PRM\|1\|D)|(kpr)|(kdp)|(\|lc)|(penalty))"</v>
      </c>
      <c r="U12" s="9" t="str">
        <f t="shared" si="2"/>
        <v>4032</v>
      </c>
      <c r="V12" s="32">
        <f t="shared" si="3"/>
        <v>42839.754340277781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{"issue":{"subject":"","project_id":79,"tracker_id":40,"status_id":1,"priority_id":2,"assigned_to_id":23,"start_date":"2017-04-14","description":"","custom_fields":[{"id":1,"name":"Subdivision","value":"EC"},{"id":4,"name":"Milepost","value":"11.6838"},{"id":17,"name":"Train ID","value":"165-14"},{"id":16,"name":"Locomotive ID","value":"4032"},{"id":130,"name":"Impact","value":""},{"id":150,"name":"Time of Event (Mountain Time)","value":"12:06:15"},{"id":151,"name":"Denver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"%USERPROFILE%\AppData\Local\Temp\OnboardLogs"\RTDC4032\*4032*201704141*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"%USERPROFILE%\AppData\Local\Temp\OnboardLogs"\RTDC4032\*4032*201704141* &gt;&gt; 2017-04-14-SliceDisagreementCheck.txt</v>
      </c>
      <c r="AE12" s="153" t="str">
        <f t="shared" si="9"/>
        <v>start /low /b %USERPROFILE%\Documents\GitHub\eaglep3\Utilities\DownloadLogsFromS3.py --loco 4032 --day 2017-04-14</v>
      </c>
    </row>
    <row r="13" spans="1:32" s="1" customFormat="1" x14ac:dyDescent="0.25">
      <c r="A13" s="32">
        <v>42839.695983796293</v>
      </c>
      <c r="B13" s="30" t="s">
        <v>640</v>
      </c>
      <c r="C13" s="30" t="s">
        <v>644</v>
      </c>
      <c r="D13" s="30" t="s">
        <v>49</v>
      </c>
      <c r="E13" s="30" t="s">
        <v>212</v>
      </c>
      <c r="F13" s="43">
        <v>400</v>
      </c>
      <c r="G13" s="43">
        <v>493</v>
      </c>
      <c r="H13" s="43">
        <v>121236</v>
      </c>
      <c r="I13" s="43">
        <v>119749</v>
      </c>
      <c r="J13" s="30" t="s">
        <v>213</v>
      </c>
      <c r="K13" s="43">
        <v>119716</v>
      </c>
      <c r="L13" s="139" t="s">
        <v>51</v>
      </c>
      <c r="M13" s="140">
        <f t="shared" si="0"/>
        <v>17.423999999999999</v>
      </c>
      <c r="N13" s="141" t="str">
        <f>VLOOKUP(C13,'Trips&amp;Operators'!$C$1:$G$99999,5,FALSE)</f>
        <v>MENGES BRAD</v>
      </c>
      <c r="O13" s="190" t="s">
        <v>184</v>
      </c>
      <c r="P13" s="142"/>
      <c r="Q13" s="30"/>
      <c r="R13" s="89" t="str">
        <f>IF(VLOOKUP(C13,'Train Runs'!$A$13:$AE$9936,1,1)=C13,VLOOKUP(C13,'Train Runs'!$A$13:$AE$9936,31,1),NA())</f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S13" s="92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-04-14T15:22:11-0600',mode:absolute,to:'2017-04-14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94" t="str">
        <f t="shared" si="1"/>
        <v>"C:\Program Files (x86)\AstroGrep\AstroGrep.exe" /e /r /s /spath="%USERPROFILE%\AppData\Local\Temp\OnboardLogs" /stypes="*4039*201704142*" /stext=" 22:.+((SYSTEM_STATE.+slice.+state.+changed )|(ment ac)|(multiple cpu faults)|(system.+state.+changed )|(\[timeout)|(PRM\|1\|D)|(kpr)|(kdp)|(\|lc)|(penalty))"</v>
      </c>
      <c r="U13" s="9" t="str">
        <f t="shared" si="2"/>
        <v>4039</v>
      </c>
      <c r="V13" s="32">
        <f t="shared" si="3"/>
        <v>42839.945983796293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{"issue":{"subject":"","project_id":79,"tracker_id":40,"status_id":1,"priority_id":2,"assigned_to_id":23,"start_date":"2017-04-14","description":"","custom_fields":[{"id":1,"name":"Subdivision","value":"EC"},{"id":4,"name":"Milepost","value":"11.9716"},{"id":17,"name":"Train ID","value":"196-14"},{"id":16,"name":"Locomotive ID","value":"4039"},{"id":130,"name":"Impact","value":""},{"id":150,"name":"Time of Event (Mountain Time)","value":"16:42:13"},{"id":151,"name":"Denver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"%USERPROFILE%\AppData\Local\Temp\OnboardLogs"\RTDC4039\*4039*201704142*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"%USERPROFILE%\AppData\Local\Temp\OnboardLogs"\RTDC4039\*4039*201704142* &gt;&gt; 2017-04-14-SliceDisagreementCheck.txt</v>
      </c>
      <c r="AE13" s="153" t="str">
        <f t="shared" si="9"/>
        <v>start /low /b %USERPROFILE%\Documents\GitHub\eaglep3\Utilities\DownloadLogsFromS3.py --loco 4039 --day 2017-04-14</v>
      </c>
    </row>
    <row r="14" spans="1:32" x14ac:dyDescent="0.25">
      <c r="A14" s="32">
        <v>42839.450567129628</v>
      </c>
      <c r="B14" s="30" t="s">
        <v>412</v>
      </c>
      <c r="C14" s="30" t="s">
        <v>634</v>
      </c>
      <c r="D14" s="30" t="s">
        <v>98</v>
      </c>
      <c r="E14" s="30" t="s">
        <v>212</v>
      </c>
      <c r="F14" s="43">
        <v>600</v>
      </c>
      <c r="G14" s="43">
        <v>659</v>
      </c>
      <c r="H14" s="43">
        <v>184094</v>
      </c>
      <c r="I14" s="43">
        <v>180961</v>
      </c>
      <c r="J14" s="30" t="s">
        <v>213</v>
      </c>
      <c r="K14" s="43">
        <v>190834</v>
      </c>
      <c r="L14" s="139" t="s">
        <v>51</v>
      </c>
      <c r="M14" s="140">
        <f t="shared" si="0"/>
        <v>-5212.9440000000004</v>
      </c>
      <c r="N14" s="141" t="str">
        <f>VLOOKUP(C14,'Trips&amp;Operators'!$C$1:$G$99999,5,FALSE)</f>
        <v>STARKS ANGELINA</v>
      </c>
      <c r="O14" s="190" t="s">
        <v>184</v>
      </c>
      <c r="P14" s="142"/>
      <c r="Q14" s="30"/>
      <c r="R14" s="89" t="str">
        <f>IF(VLOOKUP(C14,'Train Runs'!$A$13:$AE$9936,1,1)=C14,VLOOKUP(C14,'Train Runs'!$A$13:$AE$9936,31,1),NA())</f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S14" s="92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-04-14T09:31:04-0600',mode:absolute,to:'2017-04-14T12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94" t="str">
        <f t="shared" si="1"/>
        <v>"C:\Program Files (x86)\AstroGrep\AstroGrep.exe" /e /r /s /spath="%USERPROFILE%\AppData\Local\Temp\OnboardLogs" /stypes="*4009*201704141*" /stext=" 16:.+((SYSTEM_STATE.+slice.+state.+changed )|(ment ac)|(multiple cpu faults)|(system.+state.+changed )|(\[timeout)|(PRM\|1\|D)|(kpr)|(kdp)|(\|lc)|(penalty))"</v>
      </c>
      <c r="U14" s="9" t="str">
        <f t="shared" si="2"/>
        <v>4009</v>
      </c>
      <c r="V14" s="32">
        <f t="shared" si="3"/>
        <v>42839.700567129628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{"issue":{"subject":"","project_id":79,"tracker_id":40,"status_id":1,"priority_id":2,"assigned_to_id":23,"start_date":"2017-04-14","description":"","custom_fields":[{"id":1,"name":"Subdivision","value":"EC"},{"id":4,"name":"Milepost","value":"19.0834"},{"id":17,"name":"Train ID","value":"150-14"},{"id":16,"name":"Locomotive ID","value":"4009"},{"id":130,"name":"Impact","value":""},{"id":150,"name":"Time of Event (Mountain Time)","value":"10:48:49"},{"id":151,"name":"Denver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"%USERPROFILE%\AppData\Local\Temp\OnboardLogs"\RTDC4009\*4009*201704141*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"%USERPROFILE%\AppData\Local\Temp\OnboardLogs"\RTDC4009\*4009*201704141* &gt;&gt; 2017-04-14-SliceDisagreementCheck.txt</v>
      </c>
      <c r="AE14" s="153" t="str">
        <f t="shared" si="9"/>
        <v>start /low /b %USERPROFILE%\Documents\GitHub\eaglep3\Utilities\DownloadLogsFromS3.py --loco 4009 --day 2017-04-14</v>
      </c>
      <c r="AF14" s="1"/>
    </row>
    <row r="15" spans="1:32" x14ac:dyDescent="0.25">
      <c r="A15" s="32">
        <v>42839.791319444441</v>
      </c>
      <c r="B15" s="30" t="s">
        <v>422</v>
      </c>
      <c r="C15" s="30" t="s">
        <v>649</v>
      </c>
      <c r="D15" s="30" t="s">
        <v>98</v>
      </c>
      <c r="E15" s="30" t="s">
        <v>212</v>
      </c>
      <c r="F15" s="43">
        <v>350</v>
      </c>
      <c r="G15" s="43">
        <v>401</v>
      </c>
      <c r="H15" s="43">
        <v>224952</v>
      </c>
      <c r="I15" s="43">
        <v>223538</v>
      </c>
      <c r="J15" s="30" t="s">
        <v>213</v>
      </c>
      <c r="K15" s="43">
        <v>230436</v>
      </c>
      <c r="L15" s="139" t="s">
        <v>51</v>
      </c>
      <c r="M15" s="140">
        <f t="shared" si="0"/>
        <v>-3642.1439999999998</v>
      </c>
      <c r="N15" s="141" t="str">
        <f>VLOOKUP(C15,'Trips&amp;Operators'!$C$1:$G$99999,5,FALSE)</f>
        <v>PERKINS DARREN</v>
      </c>
      <c r="O15" s="190" t="s">
        <v>184</v>
      </c>
      <c r="P15" s="142"/>
      <c r="Q15" s="30"/>
      <c r="R15" s="89" t="str">
        <f>IF(VLOOKUP(C15,'Train Runs'!$A$13:$AE$9936,1,1)=C15,VLOOKUP(C15,'Train Runs'!$A$13:$AE$9936,31,1),NA())</f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S15" s="92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-04-14T17:51:27-0600',mode:absolute,to:'2017-04-14T20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94" t="str">
        <f t="shared" si="1"/>
        <v>"C:\Program Files (x86)\AstroGrep\AstroGrep.exe" /e /r /s /spath="%USERPROFILE%\AppData\Local\Temp\OnboardLogs" /stypes="*4041*201704150*" /stext=" 00:.+((SYSTEM_STATE.+slice.+state.+changed )|(ment ac)|(multiple cpu faults)|(system.+state.+changed )|(\[timeout)|(PRM\|1\|D)|(kpr)|(kdp)|(\|lc)|(penalty))"</v>
      </c>
      <c r="U15" s="9" t="str">
        <f t="shared" si="2"/>
        <v>4041</v>
      </c>
      <c r="V15" s="32">
        <f t="shared" si="3"/>
        <v>42840.041319444441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{"issue":{"subject":"","project_id":79,"tracker_id":40,"status_id":1,"priority_id":2,"assigned_to_id":23,"start_date":"2017-04-14","description":"","custom_fields":[{"id":1,"name":"Subdivision","value":"EC"},{"id":4,"name":"Milepost","value":"23.0436"},{"id":17,"name":"Train ID","value":"216-14"},{"id":16,"name":"Locomotive ID","value":"4041"},{"id":130,"name":"Impact","value":""},{"id":150,"name":"Time of Event (Mountain Time)","value":"18:59:30"},{"id":151,"name":"Denver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"%USERPROFILE%\AppData\Local\Temp\OnboardLogs"\RTDC4041\*4041*201704150*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"%USERPROFILE%\AppData\Local\Temp\OnboardLogs"\RTDC4041\*4041*201704150* &gt;&gt; 2017-04-14-SliceDisagreementCheck.txt</v>
      </c>
      <c r="AE15" s="153" t="str">
        <f t="shared" si="9"/>
        <v>start /low /b %USERPROFILE%\Documents\GitHub\eaglep3\Utilities\DownloadLogsFromS3.py --loco 4041 --day 2017-04-15</v>
      </c>
      <c r="AF15" s="1"/>
    </row>
    <row r="16" spans="1:32" x14ac:dyDescent="0.25">
      <c r="A16" s="32">
        <v>42839.227476851855</v>
      </c>
      <c r="B16" s="30" t="s">
        <v>412</v>
      </c>
      <c r="C16" s="30" t="s">
        <v>629</v>
      </c>
      <c r="D16" s="30" t="s">
        <v>98</v>
      </c>
      <c r="E16" s="30" t="s">
        <v>212</v>
      </c>
      <c r="F16" s="43">
        <v>150</v>
      </c>
      <c r="G16" s="43">
        <v>202</v>
      </c>
      <c r="H16" s="43">
        <v>232275</v>
      </c>
      <c r="I16" s="43">
        <v>231982</v>
      </c>
      <c r="J16" s="30" t="s">
        <v>213</v>
      </c>
      <c r="K16" s="43">
        <v>233492</v>
      </c>
      <c r="L16" s="139" t="s">
        <v>51</v>
      </c>
      <c r="M16" s="140">
        <f t="shared" si="0"/>
        <v>-797.28</v>
      </c>
      <c r="N16" s="141" t="str">
        <f>VLOOKUP(C16,'Trips&amp;Operators'!$C$1:$G$99999,5,FALSE)</f>
        <v>STARKS ANGELINA</v>
      </c>
      <c r="O16" s="190" t="s">
        <v>184</v>
      </c>
      <c r="P16" s="142"/>
      <c r="Q16" s="30"/>
      <c r="R16" s="89" t="str">
        <f>IF(VLOOKUP(C16,'Train Runs'!$A$13:$AE$9936,1,1)=C16,VLOOKUP(C16,'Train Runs'!$A$13:$AE$9936,31,1),NA())</f>
        <v>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 &amp; aws s3 cp s3://rtdc.mdm.uploadarchive.raw/RTDC4009/ "%USERPROFILE%\AppData\Local\Temp\OnboardLogs"\RTDC4009\2017-04-15 --exclude "*" --recursive --include "*20170415*" &amp; "%USERPROFILE%\Documents\GitHub\mrs-test-scripts\Headless Mode &amp; Sideloading\WalkAndUnGZ.bat" "%USERPROFILE%\AppData\Local\Temp\OnboardLogs"\RTDC4009\2017-04-15</v>
      </c>
      <c r="S16" s="92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-04-14T04:25:40-0600',mode:absolute,to:'2017-04-14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 t="shared" si="1"/>
        <v>"C:\Program Files (x86)\AstroGrep\AstroGrep.exe" /e /r /s /spath="%USERPROFILE%\AppData\Local\Temp\OnboardLogs" /stypes="*4009*201704141*" /stext=" 11:.+((SYSTEM_STATE.+slice.+state.+changed )|(ment ac)|(multiple cpu faults)|(system.+state.+changed )|(\[timeout)|(PRM\|1\|D)|(kpr)|(kdp)|(\|lc)|(penalty))"</v>
      </c>
      <c r="U16" s="9" t="str">
        <f t="shared" si="2"/>
        <v>4009</v>
      </c>
      <c r="V16" s="32">
        <f t="shared" si="3"/>
        <v>42839.477476851855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{"issue":{"subject":"","project_id":79,"tracker_id":40,"status_id":1,"priority_id":2,"assigned_to_id":23,"start_date":"2017-04-14","description":"","custom_fields":[{"id":1,"name":"Subdivision","value":"EC"},{"id":4,"name":"Milepost","value":"23.3492"},{"id":17,"name":"Train ID","value":"108-14"},{"id":16,"name":"Locomotive ID","value":"4009"},{"id":130,"name":"Impact","value":""},{"id":150,"name":"Time of Event (Mountain Time)","value":"05:27:34"},{"id":151,"name":"Denver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"%USERPROFILE%\AppData\Local\Temp\OnboardLogs"\RTDC4009\*4009*201704141*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"%USERPROFILE%\AppData\Local\Temp\OnboardLogs"\RTDC4009\*4009*201704141* &gt;&gt; 2017-04-14-SliceDisagreementCheck.txt</v>
      </c>
      <c r="AE16" s="153" t="str">
        <f t="shared" si="9"/>
        <v>start /low /b %USERPROFILE%\Documents\GitHub\eaglep3\Utilities\DownloadLogsFromS3.py --loco 4009 --day 2017-04-14</v>
      </c>
      <c r="AF16" s="1"/>
    </row>
    <row r="17" spans="1:32" x14ac:dyDescent="0.25">
      <c r="A17" s="32">
        <v>42839.419675925928</v>
      </c>
      <c r="B17" s="30" t="s">
        <v>423</v>
      </c>
      <c r="C17" s="30" t="s">
        <v>633</v>
      </c>
      <c r="D17" s="30" t="s">
        <v>49</v>
      </c>
      <c r="E17" s="30" t="s">
        <v>567</v>
      </c>
      <c r="F17" s="43">
        <v>0</v>
      </c>
      <c r="G17" s="43">
        <v>298</v>
      </c>
      <c r="H17" s="43">
        <v>228506</v>
      </c>
      <c r="I17" s="43">
        <v>229108</v>
      </c>
      <c r="J17" s="30" t="s">
        <v>568</v>
      </c>
      <c r="K17" s="43">
        <v>228572</v>
      </c>
      <c r="L17" s="139" t="s">
        <v>50</v>
      </c>
      <c r="M17" s="140">
        <f t="shared" si="0"/>
        <v>-283.00799999999998</v>
      </c>
      <c r="N17" s="141" t="str">
        <f>VLOOKUP(C17,'Trips&amp;Operators'!$C$1:$G$99999,5,FALSE)</f>
        <v>COOLAHAN JOHN</v>
      </c>
      <c r="O17" s="190" t="s">
        <v>573</v>
      </c>
      <c r="P17" s="142" t="s">
        <v>1024</v>
      </c>
      <c r="Q17" s="30"/>
      <c r="R17" s="89" t="str">
        <f>IF(VLOOKUP(C17,'Train Runs'!$A$13:$AE$9936,1,1)=C17,VLOOKUP(C17,'Train Runs'!$A$13:$AE$9936,31,1),NA())</f>
        <v>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 &amp; aws s3 cp s3://rtdc.mdm.uploadarchive.raw/RTDC4004/ "%USERPROFILE%\AppData\Local\Temp\OnboardLogs"\RTDC4004\2017-04-15 --exclude "*" --recursive --include "*20170415*" &amp; "%USERPROFILE%\Documents\GitHub\mrs-test-scripts\Headless Mode &amp; Sideloading\WalkAndUnGZ.bat" "%USERPROFILE%\AppData\Local\Temp\OnboardLogs"\RTDC4004\2017-04-15</v>
      </c>
      <c r="S17" s="92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-04-14T08:23:37-0600',mode:absolute,to:'2017-04-14T11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7" s="94" t="str">
        <f t="shared" si="1"/>
        <v>"C:\Program Files (x86)\AstroGrep\AstroGrep.exe" /e /r /s /spath="%USERPROFILE%\AppData\Local\Temp\OnboardLogs" /stypes="*4004*201704141*" /stext=" 16:.+((SYSTEM_STATE.+slice.+state.+changed )|(ment ac)|(multiple cpu faults)|(system.+state.+changed )|(\[timeout)|(PRM\|1\|D)|(kpr)|(kdp)|(\|lc)|(penalty))"</v>
      </c>
      <c r="U17" s="9" t="str">
        <f t="shared" si="2"/>
        <v>4004</v>
      </c>
      <c r="V17" s="32">
        <f t="shared" si="3"/>
        <v>42839.669675925928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{"issue":{"subject":"Premature downgrade at DIA 4N","project_id":79,"tracker_id":40,"status_id":1,"priority_id":2,"assigned_to_id":23,"start_date":"2017-04-14","description":"At 10:04:04, DIA 4N dropped from PROCEED CAB to STOP while the train was approaching (about ~35 ft away, going 30 mph). Do logs point to anything unusual at this time?","custom_fields":[{"id":1,"name":"Subdivision","value":"EC"},{"id":4,"name":"Milepost","value":"22.8572"},{"id":17,"name":"Train ID","value":"147-14"},{"id":16,"name":"Locomotive ID","value":"4004"},{"id":130,"name":"Impact","value":"Enforcement"},{"id":150,"name":"Time of Event (Mountain Time)","value":"10:04:20"},{"id":151,"name":"Denver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7" s="218" t="s">
        <v>1025</v>
      </c>
      <c r="AA17" s="48" t="s">
        <v>124</v>
      </c>
      <c r="AB17" s="48" t="s">
        <v>129</v>
      </c>
      <c r="AC17" s="123" t="str">
        <f t="shared" si="7"/>
        <v>grep -hSE -A400 "Enforcement Action" "%USERPROFILE%\AppData\Local\Temp\OnboardLogs"\RTDC4004\*4004*201704141*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"%USERPROFILE%\AppData\Local\Temp\OnboardLogs"\RTDC4004\*4004*201704141* &gt;&gt; 2017-04-14-SliceDisagreementCheck.txt</v>
      </c>
      <c r="AE17" s="153" t="str">
        <f t="shared" si="9"/>
        <v>start /low /b %USERPROFILE%\Documents\GitHub\eaglep3\Utilities\DownloadLogsFromS3.py --loco 4004 --day 2017-04-14</v>
      </c>
      <c r="AF17" s="1"/>
    </row>
    <row r="18" spans="1:32" ht="15" customHeight="1" x14ac:dyDescent="0.25">
      <c r="A18" s="32">
        <v>42839.613692129627</v>
      </c>
      <c r="B18" s="30" t="s">
        <v>640</v>
      </c>
      <c r="C18" s="30" t="s">
        <v>641</v>
      </c>
      <c r="D18" s="30" t="s">
        <v>98</v>
      </c>
      <c r="E18" s="30" t="s">
        <v>571</v>
      </c>
      <c r="F18" s="43">
        <v>0</v>
      </c>
      <c r="G18" s="43">
        <v>105</v>
      </c>
      <c r="H18" s="43">
        <v>230117</v>
      </c>
      <c r="I18" s="43">
        <v>230005</v>
      </c>
      <c r="J18" s="30" t="s">
        <v>572</v>
      </c>
      <c r="K18" s="43">
        <v>231650</v>
      </c>
      <c r="L18" s="139" t="s">
        <v>51</v>
      </c>
      <c r="M18" s="140">
        <f t="shared" si="0"/>
        <v>-868.56</v>
      </c>
      <c r="N18" s="141" t="str">
        <f>VLOOKUP(C18,'Trips&amp;Operators'!$C$1:$G$99999,5,FALSE)</f>
        <v>MENGES BRAD</v>
      </c>
      <c r="O18" s="190" t="s">
        <v>184</v>
      </c>
      <c r="P18" s="142"/>
      <c r="Q18" s="30"/>
      <c r="R18" s="89" t="str">
        <f>IF(VLOOKUP(C18,'Train Runs'!$A$13:$AE$9936,1,1)=C18,VLOOKUP(C18,'Train Runs'!$A$13:$AE$9936,31,1),NA())</f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S18" s="92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-04-14T13:53:37-0600',mode:absolute,to:'2017-04-14T16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94" t="str">
        <f t="shared" si="1"/>
        <v>"C:\Program Files (x86)\AstroGrep\AstroGrep.exe" /e /r /s /spath="%USERPROFILE%\AppData\Local\Temp\OnboardLogs" /stypes="*4039*201704142*" /stext=" 20:.+((SYSTEM_STATE.+slice.+state.+changed )|(ment ac)|(multiple cpu faults)|(system.+state.+changed )|(\[timeout)|(PRM\|1\|D)|(kpr)|(kdp)|(\|lc)|(penalty))"</v>
      </c>
      <c r="U18" s="9" t="str">
        <f t="shared" si="2"/>
        <v>4039</v>
      </c>
      <c r="V18" s="32">
        <f t="shared" si="3"/>
        <v>42839.863692129627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{"issue":{"subject":"","project_id":79,"tracker_id":40,"status_id":1,"priority_id":2,"assigned_to_id":23,"start_date":"2017-04-14","description":"","custom_fields":[{"id":1,"name":"Subdivision","value":"EC"},{"id":4,"name":"Milepost","value":"23.165"},{"id":17,"name":"Train ID","value":"182-14"},{"id":16,"name":"Locomotive ID","value":"4039"},{"id":130,"name":"Impact","value":""},{"id":150,"name":"Time of Event (Mountain Time)","value":"14:43:43"},{"id":151,"name":"Denver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"%USERPROFILE%\AppData\Local\Temp\OnboardLogs"\RTDC4039\*4039*201704142*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"%USERPROFILE%\AppData\Local\Temp\OnboardLogs"\RTDC4039\*4039*201704142* &gt;&gt; 2017-04-14-SliceDisagreementCheck.txt</v>
      </c>
      <c r="AE18" s="153" t="str">
        <f t="shared" si="9"/>
        <v>start /low /b %USERPROFILE%\Documents\GitHub\eaglep3\Utilities\DownloadLogsFromS3.py --loco 4039 --day 2017-04-14</v>
      </c>
      <c r="AF18" s="1"/>
    </row>
    <row r="19" spans="1:32" x14ac:dyDescent="0.25">
      <c r="A19" s="32">
        <v>42839.712997685187</v>
      </c>
      <c r="B19" s="30" t="s">
        <v>640</v>
      </c>
      <c r="C19" s="30" t="s">
        <v>644</v>
      </c>
      <c r="D19" s="30" t="s">
        <v>49</v>
      </c>
      <c r="E19" s="30" t="s">
        <v>185</v>
      </c>
      <c r="F19" s="43">
        <v>0</v>
      </c>
      <c r="G19" s="43">
        <v>40</v>
      </c>
      <c r="H19" s="43">
        <v>136</v>
      </c>
      <c r="I19" s="43">
        <v>116</v>
      </c>
      <c r="J19" s="30" t="s">
        <v>186</v>
      </c>
      <c r="K19" s="43">
        <v>1</v>
      </c>
      <c r="L19" s="139" t="s">
        <v>51</v>
      </c>
      <c r="M19" s="140">
        <f t="shared" si="0"/>
        <v>60.72</v>
      </c>
      <c r="N19" s="141" t="str">
        <f>VLOOKUP(C19,'Trips&amp;Operators'!$C$1:$G$99999,5,FALSE)</f>
        <v>MENGES BRAD</v>
      </c>
      <c r="O19" s="190" t="s">
        <v>184</v>
      </c>
      <c r="P19" s="142"/>
      <c r="Q19" s="30"/>
      <c r="R19" s="89" t="str">
        <f>IF(VLOOKUP(C19,'Train Runs'!$A$13:$AE$9936,1,1)=C19,VLOOKUP(C19,'Train Runs'!$A$13:$AE$9936,31,1),NA())</f>
        <v>aws s3 cp s3://rtdc.mdm.uploadarchive.raw/RTDC4039/ "%USERPROFILE%\AppData\Local\Temp\OnboardLogs"\RTDC4039\2017-04-14 --exclude "*" --recursive --include "*20170414*" &amp; "%USERPROFILE%\Documents\GitHub\mrs-test-scripts\Headless Mode &amp; Sideloading\WalkAndUnGZ.bat" "%USERPROFILE%\AppData\Local\Temp\OnboardLogs"\RTDC4039\2017-04-14 &amp; aws s3 cp s3://rtdc.mdm.uploadarchive.raw/RTDC4039/ "%USERPROFILE%\AppData\Local\Temp\OnboardLogs"\RTDC4039\2017-04-15 --exclude "*" --recursive --include "*20170415*" &amp; "%USERPROFILE%\Documents\GitHub\mrs-test-scripts\Headless Mode &amp; Sideloading\WalkAndUnGZ.bat" "%USERPROFILE%\AppData\Local\Temp\OnboardLogs"\RTDC4039\2017-04-15</v>
      </c>
      <c r="S19" s="92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-04-14T15:22:11-0600',mode:absolute,to:'2017-04-14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94" t="str">
        <f t="shared" si="1"/>
        <v>"C:\Program Files (x86)\AstroGrep\AstroGrep.exe" /e /r /s /spath="%USERPROFILE%\AppData\Local\Temp\OnboardLogs" /stypes="*4039*201704142*" /stext=" 23:.+((SYSTEM_STATE.+slice.+state.+changed )|(ment ac)|(multiple cpu faults)|(system.+state.+changed )|(\[timeout)|(PRM\|1\|D)|(kpr)|(kdp)|(\|lc)|(penalty))"</v>
      </c>
      <c r="U19" s="9" t="str">
        <f t="shared" si="2"/>
        <v>4039</v>
      </c>
      <c r="V19" s="32">
        <f t="shared" si="3"/>
        <v>42839.962997685187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{"issue":{"subject":"","project_id":79,"tracker_id":40,"status_id":1,"priority_id":2,"assigned_to_id":23,"start_date":"2017-04-14","description":"","custom_fields":[{"id":1,"name":"Subdivision","value":"EC"},{"id":4,"name":"Milepost","value":"0.0001"},{"id":17,"name":"Train ID","value":"196-14"},{"id":16,"name":"Locomotive ID","value":"4039"},{"id":130,"name":"Impact","value":""},{"id":150,"name":"Time of Event (Mountain Time)","value":"17:06:43"},{"id":151,"name":"Denver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"%USERPROFILE%\AppData\Local\Temp\OnboardLogs"\RTDC4039\*4039*201704142*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"%USERPROFILE%\AppData\Local\Temp\OnboardLogs"\RTDC4039\*4039*201704142* &gt;&gt; 2017-04-14-SliceDisagreementCheck.txt</v>
      </c>
      <c r="AE19" s="153" t="str">
        <f t="shared" si="9"/>
        <v>start /low /b %USERPROFILE%\Documents\GitHub\eaglep3\Utilities\DownloadLogsFromS3.py --loco 4039 --day 2017-04-14</v>
      </c>
      <c r="AF19" s="1"/>
    </row>
    <row r="20" spans="1:32" x14ac:dyDescent="0.25">
      <c r="A20" s="32">
        <v>42839.817430555559</v>
      </c>
      <c r="B20" s="30" t="s">
        <v>422</v>
      </c>
      <c r="C20" s="30" t="s">
        <v>649</v>
      </c>
      <c r="D20" s="30" t="s">
        <v>49</v>
      </c>
      <c r="E20" s="30" t="s">
        <v>185</v>
      </c>
      <c r="F20" s="43">
        <v>0</v>
      </c>
      <c r="G20" s="43">
        <v>51</v>
      </c>
      <c r="H20" s="43">
        <v>161</v>
      </c>
      <c r="I20" s="43">
        <v>125</v>
      </c>
      <c r="J20" s="30" t="s">
        <v>186</v>
      </c>
      <c r="K20" s="43">
        <v>1</v>
      </c>
      <c r="L20" s="139" t="s">
        <v>51</v>
      </c>
      <c r="M20" s="140">
        <f t="shared" si="0"/>
        <v>65.471999999999994</v>
      </c>
      <c r="N20" s="141" t="str">
        <f>VLOOKUP(C20,'Trips&amp;Operators'!$C$1:$G$99999,5,FALSE)</f>
        <v>PERKINS DARREN</v>
      </c>
      <c r="O20" s="190" t="s">
        <v>184</v>
      </c>
      <c r="P20" s="142"/>
      <c r="Q20" s="30"/>
      <c r="R20" s="89" t="str">
        <f>IF(VLOOKUP(C20,'Train Runs'!$A$13:$AE$9936,1,1)=C20,VLOOKUP(C20,'Train Runs'!$A$13:$AE$9936,31,1),NA())</f>
        <v>aws s3 cp s3://rtdc.mdm.uploadarchive.raw/RTDC4041/ "%USERPROFILE%\AppData\Local\Temp\OnboardLogs"\RTDC4041\2017-04-14 --exclude "*" --recursive --include "*20170414*" &amp; "%USERPROFILE%\Documents\GitHub\mrs-test-scripts\Headless Mode &amp; Sideloading\WalkAndUnGZ.bat" "%USERPROFILE%\AppData\Local\Temp\OnboardLogs"\RTDC4041\2017-04-14 &amp; 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</v>
      </c>
      <c r="S20" s="92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-04-14T17:51:27-0600',mode:absolute,to:'2017-04-14T20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94" t="str">
        <f t="shared" si="1"/>
        <v>"C:\Program Files (x86)\AstroGrep\AstroGrep.exe" /e /r /s /spath="%USERPROFILE%\AppData\Local\Temp\OnboardLogs" /stypes="*4041*201704150*" /stext=" 01:.+((SYSTEM_STATE.+slice.+state.+changed )|(ment ac)|(multiple cpu faults)|(system.+state.+changed )|(\[timeout)|(PRM\|1\|D)|(kpr)|(kdp)|(\|lc)|(penalty))"</v>
      </c>
      <c r="U20" s="9" t="str">
        <f t="shared" si="2"/>
        <v>4041</v>
      </c>
      <c r="V20" s="32">
        <f t="shared" si="3"/>
        <v>42840.067430555559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{"issue":{"subject":"","project_id":79,"tracker_id":40,"status_id":1,"priority_id":2,"assigned_to_id":23,"start_date":"2017-04-14","description":"","custom_fields":[{"id":1,"name":"Subdivision","value":"EC"},{"id":4,"name":"Milepost","value":"0.0001"},{"id":17,"name":"Train ID","value":"216-14"},{"id":16,"name":"Locomotive ID","value":"4041"},{"id":130,"name":"Impact","value":""},{"id":150,"name":"Time of Event (Mountain Time)","value":"19:37:06"},{"id":151,"name":"Denver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"%USERPROFILE%\AppData\Local\Temp\OnboardLogs"\RTDC4041\*4041*201704150*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"%USERPROFILE%\AppData\Local\Temp\OnboardLogs"\RTDC4041\*4041*201704150* &gt;&gt; 2017-04-14-SliceDisagreementCheck.txt</v>
      </c>
      <c r="AE20" s="153" t="str">
        <f t="shared" si="9"/>
        <v>start /low /b %USERPROFILE%\Documents\GitHub\eaglep3\Utilities\DownloadLogsFromS3.py --loco 4041 --day 2017-04-15</v>
      </c>
      <c r="AF20" s="1"/>
    </row>
    <row r="21" spans="1:32" x14ac:dyDescent="0.25">
      <c r="A21" s="32">
        <v>42839.483310185184</v>
      </c>
      <c r="B21" s="30" t="s">
        <v>425</v>
      </c>
      <c r="C21" s="30" t="s">
        <v>636</v>
      </c>
      <c r="D21" s="30" t="s">
        <v>49</v>
      </c>
      <c r="E21" s="30" t="s">
        <v>185</v>
      </c>
      <c r="F21" s="43">
        <v>0</v>
      </c>
      <c r="G21" s="43">
        <v>151</v>
      </c>
      <c r="H21" s="43">
        <v>232458</v>
      </c>
      <c r="I21" s="43">
        <v>232702</v>
      </c>
      <c r="J21" s="30" t="s">
        <v>186</v>
      </c>
      <c r="K21" s="43">
        <v>233491</v>
      </c>
      <c r="L21" s="139" t="s">
        <v>50</v>
      </c>
      <c r="M21" s="140">
        <f t="shared" si="0"/>
        <v>416.59199999999998</v>
      </c>
      <c r="N21" s="141" t="str">
        <f>VLOOKUP(C21,'Trips&amp;Operators'!$C$1:$G$99999,5,FALSE)</f>
        <v>DELGADO DIANAH</v>
      </c>
      <c r="O21" s="190" t="s">
        <v>184</v>
      </c>
      <c r="P21" s="142"/>
      <c r="Q21" s="30"/>
      <c r="R21" s="89" t="str">
        <f>IF(VLOOKUP(C21,'Train Runs'!$A$13:$AE$9936,1,1)=C21,VLOOKUP(C21,'Train Runs'!$A$13:$AE$9936,31,1),NA())</f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S21" s="92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-04-14T09:54:32-0600',mode:absolute,to:'2017-04-14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94" t="str">
        <f t="shared" si="1"/>
        <v>"C:\Program Files (x86)\AstroGrep\AstroGrep.exe" /e /r /s /spath="%USERPROFILE%\AppData\Local\Temp\OnboardLogs" /stypes="*4042*201704141*" /stext=" 17:.+((SYSTEM_STATE.+slice.+state.+changed )|(ment ac)|(multiple cpu faults)|(system.+state.+changed )|(\[timeout)|(PRM\|1\|D)|(kpr)|(kdp)|(\|lc)|(penalty))"</v>
      </c>
      <c r="U21" s="9" t="str">
        <f t="shared" si="2"/>
        <v>4042</v>
      </c>
      <c r="V21" s="32">
        <f t="shared" si="3"/>
        <v>42839.733310185184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{"issue":{"subject":"","project_id":79,"tracker_id":40,"status_id":1,"priority_id":2,"assigned_to_id":23,"start_date":"2017-04-14","description":"","custom_fields":[{"id":1,"name":"Subdivision","value":"EC"},{"id":4,"name":"Milepost","value":"23.3491"},{"id":17,"name":"Train ID","value":"159-14"},{"id":16,"name":"Locomotive ID","value":"4042"},{"id":130,"name":"Impact","value":""},{"id":150,"name":"Time of Event (Mountain Time)","value":"11:35:58"},{"id":151,"name":"Denver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"%USERPROFILE%\AppData\Local\Temp\OnboardLogs"\RTDC4042\*4042*201704141*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"%USERPROFILE%\AppData\Local\Temp\OnboardLogs"\RTDC4042\*4042*201704141* &gt;&gt; 2017-04-14-SliceDisagreementCheck.txt</v>
      </c>
      <c r="AE21" s="153" t="str">
        <f t="shared" si="9"/>
        <v>start /low /b %USERPROFILE%\Documents\GitHub\eaglep3\Utilities\DownloadLogsFromS3.py --loco 4042 --day 2017-04-14</v>
      </c>
      <c r="AF21" s="1"/>
    </row>
    <row r="22" spans="1:32" x14ac:dyDescent="0.25">
      <c r="A22" s="32">
        <v>42839.483773148146</v>
      </c>
      <c r="B22" s="30" t="s">
        <v>425</v>
      </c>
      <c r="C22" s="30" t="s">
        <v>636</v>
      </c>
      <c r="D22" s="30" t="s">
        <v>49</v>
      </c>
      <c r="E22" s="30" t="s">
        <v>185</v>
      </c>
      <c r="F22" s="43">
        <v>0</v>
      </c>
      <c r="G22" s="43">
        <v>82</v>
      </c>
      <c r="H22" s="43">
        <v>232830</v>
      </c>
      <c r="I22" s="43">
        <v>232904</v>
      </c>
      <c r="J22" s="30" t="s">
        <v>186</v>
      </c>
      <c r="K22" s="43">
        <v>233491</v>
      </c>
      <c r="L22" s="139" t="s">
        <v>50</v>
      </c>
      <c r="M22" s="140">
        <f t="shared" si="0"/>
        <v>309.93599999999998</v>
      </c>
      <c r="N22" s="141" t="str">
        <f>VLOOKUP(C22,'Trips&amp;Operators'!$C$1:$G$99999,5,FALSE)</f>
        <v>DELGADO DIANAH</v>
      </c>
      <c r="O22" s="190" t="s">
        <v>184</v>
      </c>
      <c r="P22" s="142"/>
      <c r="Q22" s="30"/>
      <c r="R22" s="89" t="str">
        <f>IF(VLOOKUP(C22,'Train Runs'!$A$13:$AE$9936,1,1)=C22,VLOOKUP(C22,'Train Runs'!$A$13:$AE$9936,31,1),NA())</f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S22" s="92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-04-14T09:54:32-0600',mode:absolute,to:'2017-04-14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2" s="94" t="str">
        <f t="shared" si="1"/>
        <v>"C:\Program Files (x86)\AstroGrep\AstroGrep.exe" /e /r /s /spath="%USERPROFILE%\AppData\Local\Temp\OnboardLogs" /stypes="*4042*201704141*" /stext=" 17:.+((SYSTEM_STATE.+slice.+state.+changed )|(ment ac)|(multiple cpu faults)|(system.+state.+changed )|(\[timeout)|(PRM\|1\|D)|(kpr)|(kdp)|(\|lc)|(penalty))"</v>
      </c>
      <c r="U22" s="9" t="str">
        <f t="shared" si="2"/>
        <v>4042</v>
      </c>
      <c r="V22" s="32">
        <f t="shared" si="3"/>
        <v>42839.733773148146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{"issue":{"subject":"","project_id":79,"tracker_id":40,"status_id":1,"priority_id":2,"assigned_to_id":23,"start_date":"2017-04-14","description":"","custom_fields":[{"id":1,"name":"Subdivision","value":"EC"},{"id":4,"name":"Milepost","value":"23.3491"},{"id":17,"name":"Train ID","value":"159-14"},{"id":16,"name":"Locomotive ID","value":"4042"},{"id":130,"name":"Impact","value":""},{"id":150,"name":"Time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"%USERPROFILE%\AppData\Local\Temp\OnboardLogs"\RTDC4042\*4042*201704141*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"%USERPROFILE%\AppData\Local\Temp\OnboardLogs"\RTDC4042\*4042*201704141* &gt;&gt; 2017-04-14-SliceDisagreementCheck.txt</v>
      </c>
      <c r="AE22" s="153" t="str">
        <f t="shared" si="9"/>
        <v>start /low /b %USERPROFILE%\Documents\GitHub\eaglep3\Utilities\DownloadLogsFromS3.py --loco 4042 --day 2017-04-14</v>
      </c>
      <c r="AF22" s="1"/>
    </row>
    <row r="23" spans="1:32" x14ac:dyDescent="0.25">
      <c r="A23" s="32">
        <v>42839.484467592592</v>
      </c>
      <c r="B23" s="30" t="s">
        <v>425</v>
      </c>
      <c r="C23" s="30" t="s">
        <v>636</v>
      </c>
      <c r="D23" s="30" t="s">
        <v>49</v>
      </c>
      <c r="E23" s="30" t="s">
        <v>185</v>
      </c>
      <c r="F23" s="43">
        <v>0</v>
      </c>
      <c r="G23" s="43">
        <v>47</v>
      </c>
      <c r="H23" s="43">
        <v>233314</v>
      </c>
      <c r="I23" s="43">
        <v>233347</v>
      </c>
      <c r="J23" s="30" t="s">
        <v>186</v>
      </c>
      <c r="K23" s="43">
        <v>233491</v>
      </c>
      <c r="L23" s="139" t="s">
        <v>50</v>
      </c>
      <c r="M23" s="140">
        <f t="shared" si="0"/>
        <v>76.031999999999996</v>
      </c>
      <c r="N23" s="141" t="str">
        <f>VLOOKUP(C23,'Trips&amp;Operators'!$C$1:$G$99999,5,FALSE)</f>
        <v>DELGADO DIANAH</v>
      </c>
      <c r="O23" s="190" t="s">
        <v>184</v>
      </c>
      <c r="P23" s="142"/>
      <c r="Q23" s="30"/>
      <c r="R23" s="89" t="str">
        <f>IF(VLOOKUP(C23,'Train Runs'!$A$13:$AE$9936,1,1)=C23,VLOOKUP(C23,'Train Runs'!$A$13:$AE$9936,31,1),NA())</f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S23" s="92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-04-14T09:54:32-0600',mode:absolute,to:'2017-04-14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3" s="94" t="str">
        <f t="shared" si="1"/>
        <v>"C:\Program Files (x86)\AstroGrep\AstroGrep.exe" /e /r /s /spath="%USERPROFILE%\AppData\Local\Temp\OnboardLogs" /stypes="*4042*201704141*" /stext=" 17:.+((SYSTEM_STATE.+slice.+state.+changed )|(ment ac)|(multiple cpu faults)|(system.+state.+changed )|(\[timeout)|(PRM\|1\|D)|(kpr)|(kdp)|(\|lc)|(penalty))"</v>
      </c>
      <c r="U23" s="9" t="str">
        <f t="shared" si="2"/>
        <v>4042</v>
      </c>
      <c r="V23" s="32">
        <f t="shared" si="3"/>
        <v>42839.734467592592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{"issue":{"subject":"","project_id":79,"tracker_id":40,"status_id":1,"priority_id":2,"assigned_to_id":23,"start_date":"2017-04-14","description":"","custom_fields":[{"id":1,"name":"Subdivision","value":"EC"},{"id":4,"name":"Milepost","value":"23.3491"},{"id":17,"name":"Train ID","value":"159-14"},{"id":16,"name":"Locomotive ID","value":"4042"},{"id":130,"name":"Impact","value":""},{"id":150,"name":"Time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"%USERPROFILE%\AppData\Local\Temp\OnboardLogs"\RTDC4042\*4042*201704141*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"%USERPROFILE%\AppData\Local\Temp\OnboardLogs"\RTDC4042\*4042*201704141* &gt;&gt; 2017-04-14-SliceDisagreementCheck.txt</v>
      </c>
      <c r="AE23" s="153" t="str">
        <f t="shared" si="9"/>
        <v>start /low /b %USERPROFILE%\Documents\GitHub\eaglep3\Utilities\DownloadLogsFromS3.py --loco 4042 --day 2017-04-14</v>
      </c>
      <c r="AF23" s="1"/>
    </row>
    <row r="24" spans="1:32" x14ac:dyDescent="0.25">
      <c r="A24" s="32">
        <v>42839.609560185185</v>
      </c>
      <c r="B24" s="30" t="s">
        <v>433</v>
      </c>
      <c r="C24" s="30" t="s">
        <v>639</v>
      </c>
      <c r="D24" s="30" t="s">
        <v>49</v>
      </c>
      <c r="E24" s="30" t="s">
        <v>185</v>
      </c>
      <c r="F24" s="43">
        <v>0</v>
      </c>
      <c r="G24" s="43">
        <v>53</v>
      </c>
      <c r="H24" s="43">
        <v>233319</v>
      </c>
      <c r="I24" s="43">
        <v>233346</v>
      </c>
      <c r="J24" s="30" t="s">
        <v>186</v>
      </c>
      <c r="K24" s="43">
        <v>233491</v>
      </c>
      <c r="L24" s="139" t="s">
        <v>50</v>
      </c>
      <c r="M24" s="140">
        <f t="shared" si="0"/>
        <v>76.56</v>
      </c>
      <c r="N24" s="141" t="str">
        <f>VLOOKUP(C24,'Trips&amp;Operators'!$C$1:$G$99999,5,FALSE)</f>
        <v>BRANDNER MELINDA</v>
      </c>
      <c r="O24" s="190" t="s">
        <v>184</v>
      </c>
      <c r="P24" s="142"/>
      <c r="Q24" s="30"/>
      <c r="R24" s="89" t="str">
        <f>IF(VLOOKUP(C24,'Train Runs'!$A$13:$AE$9936,1,1)=C24,VLOOKUP(C24,'Train Runs'!$A$13:$AE$9936,31,1),NA())</f>
        <v>aws s3 cp s3://rtdc.mdm.uploadarchive.raw/RTDC4020/ "%USERPROFILE%\AppData\Local\Temp\OnboardLogs"\RTDC4020\2017-04-14 --exclude "*" --recursive --include "*20170414*" &amp; "%USERPROFILE%\Documents\GitHub\mrs-test-scripts\Headless Mode &amp; Sideloading\WalkAndUnGZ.bat" "%USERPROFILE%\AppData\Local\Temp\OnboardLogs"\RTDC4020\2017-04-14 &amp; aws s3 cp s3://rtdc.mdm.uploadarchive.raw/RTDC4020/ "%USERPROFILE%\AppData\Local\Temp\OnboardLogs"\RTDC4020\2017-04-15 --exclude "*" --recursive --include "*20170415*" &amp; "%USERPROFILE%\Documents\GitHub\mrs-test-scripts\Headless Mode &amp; Sideloading\WalkAndUnGZ.bat" "%USERPROFILE%\AppData\Local\Temp\OnboardLogs"\RTDC4020\2017-04-15</v>
      </c>
      <c r="S24" s="92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-04-14T12:54:49-0600',mode:absolute,to:'2017-04-14T15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94" t="str">
        <f t="shared" si="1"/>
        <v>"C:\Program Files (x86)\AstroGrep\AstroGrep.exe" /e /r /s /spath="%USERPROFILE%\AppData\Local\Temp\OnboardLogs" /stypes="*4020*201704142*" /stext=" 20:.+((SYSTEM_STATE.+slice.+state.+changed )|(ment ac)|(multiple cpu faults)|(system.+state.+changed )|(\[timeout)|(PRM\|1\|D)|(kpr)|(kdp)|(\|lc)|(penalty))"</v>
      </c>
      <c r="U24" s="9" t="str">
        <f t="shared" si="2"/>
        <v>4020</v>
      </c>
      <c r="V24" s="32">
        <f t="shared" si="3"/>
        <v>42839.859560185185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{"issue":{"subject":"","project_id":79,"tracker_id":40,"status_id":1,"priority_id":2,"assigned_to_id":23,"start_date":"2017-04-14","description":"","custom_fields":[{"id":1,"name":"Subdivision","value":"EC"},{"id":4,"name":"Milepost","value":"23.3491"},{"id":17,"name":"Train ID","value":"183-14"},{"id":16,"name":"Locomotive ID","value":"4020"},{"id":130,"name":"Impact","value":""},{"id":150,"name":"Time of Event (Mountain Time)","value":"14:37:46"},{"id":151,"name":"Denver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"%USERPROFILE%\AppData\Local\Temp\OnboardLogs"\RTDC4020\*4020*201704142*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"%USERPROFILE%\AppData\Local\Temp\OnboardLogs"\RTDC4020\*4020*201704142* &gt;&gt; 2017-04-14-SliceDisagreementCheck.txt</v>
      </c>
      <c r="AE24" s="153" t="str">
        <f t="shared" si="9"/>
        <v>start /low /b %USERPROFILE%\Documents\GitHub\eaglep3\Utilities\DownloadLogsFromS3.py --loco 4020 --day 2017-04-14</v>
      </c>
      <c r="AF24" s="1"/>
    </row>
    <row r="25" spans="1:32" x14ac:dyDescent="0.25">
      <c r="A25" s="32">
        <v>42839.629583333335</v>
      </c>
      <c r="B25" s="30" t="s">
        <v>425</v>
      </c>
      <c r="C25" s="30" t="s">
        <v>642</v>
      </c>
      <c r="D25" s="30" t="s">
        <v>49</v>
      </c>
      <c r="E25" s="30" t="s">
        <v>185</v>
      </c>
      <c r="F25" s="43">
        <v>0</v>
      </c>
      <c r="G25" s="43">
        <v>133</v>
      </c>
      <c r="H25" s="43">
        <v>232898</v>
      </c>
      <c r="I25" s="43">
        <v>233072</v>
      </c>
      <c r="J25" s="30" t="s">
        <v>186</v>
      </c>
      <c r="K25" s="43">
        <v>233491</v>
      </c>
      <c r="L25" s="139" t="s">
        <v>50</v>
      </c>
      <c r="M25" s="140">
        <f t="shared" si="0"/>
        <v>221.232</v>
      </c>
      <c r="N25" s="141" t="str">
        <f>VLOOKUP(C25,'Trips&amp;Operators'!$C$1:$G$99999,5,FALSE)</f>
        <v>STEWART MICHAEL</v>
      </c>
      <c r="O25" s="190" t="s">
        <v>184</v>
      </c>
      <c r="P25" s="142"/>
      <c r="Q25" s="30"/>
      <c r="R25" s="89" t="str">
        <f>IF(VLOOKUP(C25,'Train Runs'!$A$13:$AE$9936,1,1)=C25,VLOOKUP(C25,'Train Runs'!$A$13:$AE$9936,31,1),NA())</f>
        <v>aws s3 cp s3://rtdc.mdm.uploadarchive.raw/RTDC4042/ "%USERPROFILE%\AppData\Local\Temp\OnboardLogs"\RTDC4042\2017-04-14 --exclude "*" --recursive --include "*20170414*" &amp; "%USERPROFILE%\Documents\GitHub\mrs-test-scripts\Headless Mode &amp; Sideloading\WalkAndUnGZ.bat" "%USERPROFILE%\AppData\Local\Temp\OnboardLogs"\RTDC4042\2017-04-14 &amp; 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</v>
      </c>
      <c r="S25" s="92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-04-14T13:23:57-0600',mode:absolute,to:'2017-04-14T16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94" t="str">
        <f t="shared" si="1"/>
        <v>"C:\Program Files (x86)\AstroGrep\AstroGrep.exe" /e /r /s /spath="%USERPROFILE%\AppData\Local\Temp\OnboardLogs" /stypes="*4042*201704142*" /stext=" 21:.+((SYSTEM_STATE.+slice.+state.+changed )|(ment ac)|(multiple cpu faults)|(system.+state.+changed )|(\[timeout)|(PRM\|1\|D)|(kpr)|(kdp)|(\|lc)|(penalty))"</v>
      </c>
      <c r="U25" s="9" t="str">
        <f t="shared" si="2"/>
        <v>4042</v>
      </c>
      <c r="V25" s="32">
        <f t="shared" si="3"/>
        <v>42839.879583333335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{"issue":{"subject":"","project_id":79,"tracker_id":40,"status_id":1,"priority_id":2,"assigned_to_id":23,"start_date":"2017-04-14","description":"","custom_fields":[{"id":1,"name":"Subdivision","value":"EC"},{"id":4,"name":"Milepost","value":"23.3491"},{"id":17,"name":"Train ID","value":"187-14"},{"id":16,"name":"Locomotive ID","value":"4042"},{"id":130,"name":"Impact","value":""},{"id":150,"name":"Time of Event (Mountain Time)","value":"15:06:36"},{"id":151,"name":"Denver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"%USERPROFILE%\AppData\Local\Temp\OnboardLogs"\RTDC4042\*4042*201704142*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"%USERPROFILE%\AppData\Local\Temp\OnboardLogs"\RTDC4042\*4042*201704142* &gt;&gt; 2017-04-14-SliceDisagreementCheck.txt</v>
      </c>
      <c r="AE25" s="153" t="str">
        <f t="shared" si="9"/>
        <v>start /low /b %USERPROFILE%\Documents\GitHub\eaglep3\Utilities\DownloadLogsFromS3.py --loco 4042 --day 2017-04-14</v>
      </c>
      <c r="AF25" s="1"/>
    </row>
    <row r="26" spans="1:32" x14ac:dyDescent="0.25">
      <c r="A26" s="32">
        <v>42839.733101851853</v>
      </c>
      <c r="B26" s="30" t="s">
        <v>516</v>
      </c>
      <c r="C26" s="30" t="s">
        <v>646</v>
      </c>
      <c r="D26" s="30" t="s">
        <v>49</v>
      </c>
      <c r="E26" s="30" t="s">
        <v>185</v>
      </c>
      <c r="F26" s="43">
        <v>0</v>
      </c>
      <c r="G26" s="43">
        <v>150</v>
      </c>
      <c r="H26" s="43">
        <v>232638</v>
      </c>
      <c r="I26" s="43">
        <v>232853</v>
      </c>
      <c r="J26" s="30" t="s">
        <v>186</v>
      </c>
      <c r="K26" s="43">
        <v>233491</v>
      </c>
      <c r="L26" s="139" t="s">
        <v>50</v>
      </c>
      <c r="M26" s="140">
        <f t="shared" si="0"/>
        <v>336.86399999999998</v>
      </c>
      <c r="N26" s="141" t="str">
        <f>VLOOKUP(C26,'Trips&amp;Operators'!$C$1:$G$99999,5,FALSE)</f>
        <v>BRUDER RICHARD</v>
      </c>
      <c r="O26" s="190" t="s">
        <v>184</v>
      </c>
      <c r="P26" s="142"/>
      <c r="Q26" s="30"/>
      <c r="R26" s="89" t="str">
        <f>IF(VLOOKUP(C26,'Train Runs'!$A$13:$AE$9936,1,1)=C26,VLOOKUP(C26,'Train Runs'!$A$13:$AE$9936,31,1),NA())</f>
        <v>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 &amp; 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</v>
      </c>
      <c r="S26" s="92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-04-14T15:52:45-0600',mode:absolute,to:'2017-04-14T18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/e /r /s /spath="%USERPROFILE%\AppData\Local\Temp\OnboardLogs" /stypes="*4032*201704142*" /stext=" 23:.+((SYSTEM_STATE.+slice.+state.+changed )|(ment ac)|(multiple cpu faults)|(system.+state.+changed )|(\[timeout)|(PRM\|1\|D)|(kpr)|(kdp)|(\|lc)|(penalty))"</v>
      </c>
      <c r="U26" s="9" t="str">
        <f t="shared" si="2"/>
        <v>4032</v>
      </c>
      <c r="V26" s="32">
        <f t="shared" si="3"/>
        <v>42839.983101851853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{"issue":{"subject":"","project_id":79,"tracker_id":40,"status_id":1,"priority_id":2,"assigned_to_id":23,"start_date":"2017-04-14","description":"","custom_fields":[{"id":1,"name":"Subdivision","value":"EC"},{"id":4,"name":"Milepost","value":"23.3491"},{"id":17,"name":"Train ID","value":"207-14"},{"id":16,"name":"Locomotive ID","value":"4032"},{"id":130,"name":"Impact","value":""},{"id":150,"name":"Time of Event (Mountain Time)","value":"17:35:40"},{"id":151,"name":"Denver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"%USERPROFILE%\AppData\Local\Temp\OnboardLogs"\RTDC4032\*4032*201704142*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"%USERPROFILE%\AppData\Local\Temp\OnboardLogs"\RTDC4032\*4032*201704142* &gt;&gt; 2017-04-14-SliceDisagreementCheck.txt</v>
      </c>
      <c r="AE26" s="153" t="str">
        <f t="shared" si="9"/>
        <v>start /low /b %USERPROFILE%\Documents\GitHub\eaglep3\Utilities\DownloadLogsFromS3.py --loco 4032 --day 2017-04-14</v>
      </c>
      <c r="AF26" s="1"/>
    </row>
    <row r="27" spans="1:32" x14ac:dyDescent="0.25">
      <c r="A27" s="32">
        <v>42839.816689814812</v>
      </c>
      <c r="B27" s="30" t="s">
        <v>488</v>
      </c>
      <c r="C27" s="30" t="s">
        <v>650</v>
      </c>
      <c r="D27" s="30" t="s">
        <v>49</v>
      </c>
      <c r="E27" s="30" t="s">
        <v>185</v>
      </c>
      <c r="F27" s="43">
        <v>0</v>
      </c>
      <c r="G27" s="43">
        <v>62</v>
      </c>
      <c r="H27" s="43">
        <v>233261</v>
      </c>
      <c r="I27" s="43">
        <v>233332</v>
      </c>
      <c r="J27" s="30" t="s">
        <v>186</v>
      </c>
      <c r="K27" s="43">
        <v>233491</v>
      </c>
      <c r="L27" s="139" t="s">
        <v>50</v>
      </c>
      <c r="M27" s="140">
        <f t="shared" si="0"/>
        <v>83.951999999999998</v>
      </c>
      <c r="N27" s="141" t="str">
        <f>VLOOKUP(C27,'Trips&amp;Operators'!$C$1:$G$99999,5,FALSE)</f>
        <v>BROWN JACOB</v>
      </c>
      <c r="O27" s="190" t="s">
        <v>184</v>
      </c>
      <c r="P27" s="142"/>
      <c r="Q27" s="30"/>
      <c r="R27" s="89" t="str">
        <f>IF(VLOOKUP(C27,'Train Runs'!$A$13:$AE$9936,1,1)=C27,VLOOKUP(C27,'Train Runs'!$A$13:$AE$9936,31,1),NA())</f>
        <v>aws s3 cp s3://rtdc.mdm.uploadarchive.raw/RTDC4040/ "%USERPROFILE%\AppData\Local\Temp\OnboardLogs"\RTDC4040\2017-04-14 --exclude "*" --recursive --include "*20170414*" &amp; "%USERPROFILE%\Documents\GitHub\mrs-test-scripts\Headless Mode &amp; Sideloading\WalkAndUnGZ.bat" "%USERPROFILE%\AppData\Local\Temp\OnboardLogs"\RTDC4040\2017-04-14 &amp; 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</v>
      </c>
      <c r="S27" s="92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-04-14T17:56:13-0600',mode:absolute,to:'2017-04-14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94" t="str">
        <f t="shared" si="1"/>
        <v>"C:\Program Files (x86)\AstroGrep\AstroGrep.exe" /e /r /s /spath="%USERPROFILE%\AppData\Local\Temp\OnboardLogs" /stypes="*4040*201704150*" /stext=" 01:.+((SYSTEM_STATE.+slice.+state.+changed )|(ment ac)|(multiple cpu faults)|(system.+state.+changed )|(\[timeout)|(PRM\|1\|D)|(kpr)|(kdp)|(\|lc)|(penalty))"</v>
      </c>
      <c r="U27" s="9" t="str">
        <f t="shared" si="2"/>
        <v>4040</v>
      </c>
      <c r="V27" s="32">
        <f t="shared" si="3"/>
        <v>42840.066689814812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{"issue":{"subject":"","project_id":79,"tracker_id":40,"status_id":1,"priority_id":2,"assigned_to_id":23,"start_date":"2017-04-14","description":"","custom_fields":[{"id":1,"name":"Subdivision","value":"EC"},{"id":4,"name":"Milepost","value":"23.3491"},{"id":17,"name":"Train ID","value":"221-14"},{"id":16,"name":"Locomotive ID","value":"4040"},{"id":130,"name":"Impact","value":""},{"id":150,"name":"Time of Event (Mountain Time)","value":"19:36:02"},{"id":151,"name":"Denver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"%USERPROFILE%\AppData\Local\Temp\OnboardLogs"\RTDC4040\*4040*201704150*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"%USERPROFILE%\AppData\Local\Temp\OnboardLogs"\RTDC4040\*4040*201704150* &gt;&gt; 2017-04-14-SliceDisagreementCheck.txt</v>
      </c>
      <c r="AE27" s="153" t="str">
        <f t="shared" si="9"/>
        <v>start /low /b %USERPROFILE%\Documents\GitHub\eaglep3\Utilities\DownloadLogsFromS3.py --loco 4040 --day 2017-04-15</v>
      </c>
      <c r="AF27" s="1"/>
    </row>
    <row r="28" spans="1:32" x14ac:dyDescent="0.25">
      <c r="A28" s="32">
        <v>42839.289780092593</v>
      </c>
      <c r="B28" s="30" t="s">
        <v>372</v>
      </c>
      <c r="C28" s="30" t="s">
        <v>631</v>
      </c>
      <c r="D28" s="30" t="s">
        <v>49</v>
      </c>
      <c r="E28" s="30" t="s">
        <v>567</v>
      </c>
      <c r="F28" s="43">
        <v>0</v>
      </c>
      <c r="G28" s="43">
        <v>262</v>
      </c>
      <c r="H28" s="43">
        <v>32831</v>
      </c>
      <c r="I28" s="43">
        <v>33465</v>
      </c>
      <c r="J28" s="30" t="s">
        <v>568</v>
      </c>
      <c r="K28" s="43">
        <v>34583</v>
      </c>
      <c r="L28" s="139" t="s">
        <v>50</v>
      </c>
      <c r="M28" s="140">
        <f t="shared" si="0"/>
        <v>590.30399999999997</v>
      </c>
      <c r="N28" s="141" t="str">
        <f>VLOOKUP(C28,'Trips&amp;Operators'!$C$1:$G$99999,5,FALSE)</f>
        <v>GEBRETEKLE DAGNEW</v>
      </c>
      <c r="O28" s="190" t="s">
        <v>184</v>
      </c>
      <c r="P28" s="142" t="s">
        <v>1030</v>
      </c>
      <c r="Q28" s="30"/>
      <c r="R28" s="89" t="str">
        <f>IF(VLOOKUP(C28,'Train Runs'!$A$13:$AE$9936,1,1)=C28,VLOOKUP(C28,'Train Runs'!$A$13:$AE$9936,31,1),NA())</f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S28" s="92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-04-14T05:26:54-0600',mode:absolute,to:'2017-04-14T08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94" t="str">
        <f t="shared" si="1"/>
        <v>"C:\Program Files (x86)\AstroGrep\AstroGrep.exe" /e /r /s /spath="%USERPROFILE%\AppData\Local\Temp\OnboardLogs" /stypes="*4028*201704141*" /stext=" 12:.+((SYSTEM_STATE.+slice.+state.+changed )|(ment ac)|(multiple cpu faults)|(system.+state.+changed )|(\[timeout)|(PRM\|1\|D)|(kpr)|(kdp)|(\|lc)|(penalty))"</v>
      </c>
      <c r="U28" s="9" t="str">
        <f t="shared" si="2"/>
        <v>4028</v>
      </c>
      <c r="V28" s="32">
        <f t="shared" si="3"/>
        <v>42839.539780092593</v>
      </c>
      <c r="W28" s="46" t="str">
        <f t="shared" si="4"/>
        <v>NW</v>
      </c>
      <c r="X28" s="46" t="str">
        <f t="shared" si="5"/>
        <v>KEEP</v>
      </c>
      <c r="Y28" s="104" t="str">
        <f t="shared" si="6"/>
        <v>echo {"issue":{"subject":"RESTRICTED aspect","project_id":79,"tracker_id":40,"status_id":1,"priority_id":2,"assigned_to_id":23,"start_date":"2017-04-14","description":"","custom_fields":[{"id":1,"name":"Subdivision","value":"NW"},{"id":4,"name":"Milepost","value":"3.4583"},{"id":17,"name":"Train ID","value":"805-14"},{"id":16,"name":"Locomotive ID","value":"4028"},{"id":130,"name":"Impact","value":""},{"id":150,"name":"Time of Event (Mountain Time)","value":"06:57:17"},{"id":151,"name":"Denver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"%USERPROFILE%\AppData\Local\Temp\OnboardLogs"\RTDC4028\*4028*201704141*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"%USERPROFILE%\AppData\Local\Temp\OnboardLogs"\RTDC4028\*4028*201704141* &gt;&gt; 2017-04-14-SliceDisagreementCheck.txt</v>
      </c>
      <c r="AE28" s="153" t="str">
        <f t="shared" si="9"/>
        <v>start /low /b %USERPROFILE%\Documents\GitHub\eaglep3\Utilities\DownloadLogsFromS3.py --loco 4028 --day 2017-04-14</v>
      </c>
      <c r="AF28" s="1"/>
    </row>
    <row r="29" spans="1:32" x14ac:dyDescent="0.25">
      <c r="A29" s="32">
        <v>42839.684583333335</v>
      </c>
      <c r="B29" s="30" t="s">
        <v>373</v>
      </c>
      <c r="C29" s="30" t="s">
        <v>643</v>
      </c>
      <c r="D29" s="30" t="s">
        <v>49</v>
      </c>
      <c r="E29" s="30" t="s">
        <v>185</v>
      </c>
      <c r="F29" s="43">
        <v>0</v>
      </c>
      <c r="G29" s="43">
        <v>32</v>
      </c>
      <c r="H29" s="43">
        <v>666</v>
      </c>
      <c r="I29" s="43">
        <v>647</v>
      </c>
      <c r="J29" s="30" t="s">
        <v>186</v>
      </c>
      <c r="K29" s="43">
        <v>575</v>
      </c>
      <c r="L29" s="139" t="s">
        <v>51</v>
      </c>
      <c r="M29" s="140">
        <f t="shared" si="0"/>
        <v>38.015999999999998</v>
      </c>
      <c r="N29" s="141" t="str">
        <f>VLOOKUP(C29,'Trips&amp;Operators'!$C$1:$G$99999,5,FALSE)</f>
        <v>SULLIVAN BRANDON</v>
      </c>
      <c r="O29" s="190" t="s">
        <v>184</v>
      </c>
      <c r="P29" s="142"/>
      <c r="Q29" s="30"/>
      <c r="R29" s="89" t="str">
        <f>IF(VLOOKUP(C29,'Train Runs'!$A$13:$AE$9936,1,1)=C29,VLOOKUP(C29,'Train Runs'!$A$13:$AE$9936,31,1),NA())</f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S29" s="92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-04-14T15:06:37-0600',mode:absolute,to:'2017-04-14T17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9" s="94" t="str">
        <f t="shared" si="1"/>
        <v>"C:\Program Files (x86)\AstroGrep\AstroGrep.exe" /e /r /s /spath="%USERPROFILE%\AppData\Local\Temp\OnboardLogs" /stypes="*4027*201704142*" /stext=" 22:.+((SYSTEM_STATE.+slice.+state.+changed )|(ment ac)|(multiple cpu faults)|(system.+state.+changed )|(\[timeout)|(PRM\|1\|D)|(kpr)|(kdp)|(\|lc)|(penalty))"</v>
      </c>
      <c r="U29" s="9" t="str">
        <f t="shared" si="2"/>
        <v>4027</v>
      </c>
      <c r="V29" s="32">
        <f t="shared" si="3"/>
        <v>42839.934583333335</v>
      </c>
      <c r="W29" s="46" t="str">
        <f t="shared" si="4"/>
        <v>NW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{"issue":{"subject":"","project_id":79,"tracker_id":40,"status_id":1,"priority_id":2,"assigned_to_id":23,"start_date":"2017-04-14","description":"","custom_fields":[{"id":1,"name":"Subdivision","value":"NW"},{"id":4,"name":"Milepost","value":"0.0575"},{"id":17,"name":"Train ID","value":"828-14"},{"id":16,"name":"Locomotive ID","value":"4027"},{"id":130,"name":"Impact","value":""},{"id":150,"name":"Time of Event (Mountain Time)","value":"16:25:48"},{"id":151,"name":"Denver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"%USERPROFILE%\AppData\Local\Temp\OnboardLogs"\RTDC4027\*4027*201704142*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"%USERPROFILE%\AppData\Local\Temp\OnboardLogs"\RTDC4027\*4027*201704142* &gt;&gt; 2017-04-14-SliceDisagreementCheck.txt</v>
      </c>
      <c r="AE29" s="153" t="str">
        <f t="shared" si="9"/>
        <v>start /low /b %USERPROFILE%\Documents\GitHub\eaglep3\Utilities\DownloadLogsFromS3.py --loco 4027 --day 2017-04-14</v>
      </c>
      <c r="AF29" s="1"/>
    </row>
    <row r="30" spans="1:32" x14ac:dyDescent="0.25">
      <c r="A30" s="32">
        <v>42839.726006944446</v>
      </c>
      <c r="B30" s="30" t="s">
        <v>373</v>
      </c>
      <c r="C30" s="30" t="s">
        <v>645</v>
      </c>
      <c r="D30" s="30" t="s">
        <v>49</v>
      </c>
      <c r="E30" s="30" t="s">
        <v>185</v>
      </c>
      <c r="F30" s="43">
        <v>0</v>
      </c>
      <c r="G30" s="43">
        <v>53</v>
      </c>
      <c r="H30" s="43">
        <v>755</v>
      </c>
      <c r="I30" s="43">
        <v>713</v>
      </c>
      <c r="J30" s="30" t="s">
        <v>186</v>
      </c>
      <c r="K30" s="43">
        <v>575</v>
      </c>
      <c r="L30" s="139" t="s">
        <v>51</v>
      </c>
      <c r="M30" s="140">
        <f t="shared" si="0"/>
        <v>72.864000000000004</v>
      </c>
      <c r="N30" s="141" t="str">
        <f>VLOOKUP(C30,'Trips&amp;Operators'!$C$1:$G$99999,5,FALSE)</f>
        <v>SULLIVAN BRANDON</v>
      </c>
      <c r="O30" s="190" t="s">
        <v>184</v>
      </c>
      <c r="P30" s="142"/>
      <c r="Q30" s="30"/>
      <c r="R30" s="89" t="str">
        <f>IF(VLOOKUP(C30,'Train Runs'!$A$13:$AE$9936,1,1)=C30,VLOOKUP(C30,'Train Runs'!$A$13:$AE$9936,31,1),NA())</f>
        <v>aws s3 cp s3://rtdc.mdm.uploadarchive.raw/RTDC4027/ "%USERPROFILE%\AppData\Local\Temp\OnboardLogs"\RTDC4027\2017-04-14 --exclude "*" --recursive --include "*20170414*" &amp; "%USERPROFILE%\Documents\GitHub\mrs-test-scripts\Headless Mode &amp; Sideloading\WalkAndUnGZ.bat" "%USERPROFILE%\AppData\Local\Temp\OnboardLogs"\RTDC4027\2017-04-14 &amp; 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</v>
      </c>
      <c r="S30" s="92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-04-14T16:06:43-0600',mode:absolute,to:'2017-04-14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0" s="94" t="str">
        <f t="shared" si="1"/>
        <v>"C:\Program Files (x86)\AstroGrep\AstroGrep.exe" /e /r /s /spath="%USERPROFILE%\AppData\Local\Temp\OnboardLogs" /stypes="*4027*201704142*" /stext=" 23:.+((SYSTEM_STATE.+slice.+state.+changed )|(ment ac)|(multiple cpu faults)|(system.+state.+changed )|(\[timeout)|(PRM\|1\|D)|(kpr)|(kdp)|(\|lc)|(penalty))"</v>
      </c>
      <c r="U30" s="9" t="str">
        <f t="shared" si="2"/>
        <v>4027</v>
      </c>
      <c r="V30" s="32">
        <f t="shared" si="3"/>
        <v>42839.976006944446</v>
      </c>
      <c r="W30" s="46" t="str">
        <f t="shared" si="4"/>
        <v>NW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{"issue":{"subject":"","project_id":79,"tracker_id":40,"status_id":1,"priority_id":2,"assigned_to_id":23,"start_date":"2017-04-14","description":"","custom_fields":[{"id":1,"name":"Subdivision","value":"NW"},{"id":4,"name":"Milepost","value":"0.0575"},{"id":17,"name":"Train ID","value":"832-14"},{"id":16,"name":"Locomotive ID","value":"4027"},{"id":130,"name":"Impact","value":""},{"id":150,"name":"Time of Event (Mountain Time)","value":"17:25:27"},{"id":151,"name":"Denver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"%USERPROFILE%\AppData\Local\Temp\OnboardLogs"\RTDC4027\*4027*201704142*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"%USERPROFILE%\AppData\Local\Temp\OnboardLogs"\RTDC4027\*4027*201704142* &gt;&gt; 2017-04-14-SliceDisagreementCheck.txt</v>
      </c>
      <c r="AE30" s="153" t="str">
        <f t="shared" si="9"/>
        <v>start /low /b %USERPROFILE%\Documents\GitHub\eaglep3\Utilities\DownloadLogsFromS3.py --loco 4027 --day 2017-04-14</v>
      </c>
      <c r="AF30" s="1"/>
    </row>
    <row r="31" spans="1:32" x14ac:dyDescent="0.25">
      <c r="A31" s="32">
        <v>42839.790775462963</v>
      </c>
      <c r="B31" s="30" t="s">
        <v>429</v>
      </c>
      <c r="C31" s="30" t="s">
        <v>648</v>
      </c>
      <c r="D31" s="30" t="s">
        <v>49</v>
      </c>
      <c r="E31" s="30" t="s">
        <v>185</v>
      </c>
      <c r="F31" s="43">
        <v>0</v>
      </c>
      <c r="G31" s="43">
        <v>35</v>
      </c>
      <c r="H31" s="43">
        <v>675</v>
      </c>
      <c r="I31" s="43">
        <v>671</v>
      </c>
      <c r="J31" s="30" t="s">
        <v>186</v>
      </c>
      <c r="K31" s="43">
        <v>575</v>
      </c>
      <c r="L31" s="139" t="s">
        <v>51</v>
      </c>
      <c r="M31" s="140">
        <f t="shared" si="0"/>
        <v>50.688000000000002</v>
      </c>
      <c r="N31" s="141" t="str">
        <f>VLOOKUP(C31,'Trips&amp;Operators'!$C$1:$G$99999,5,FALSE)</f>
        <v>GUZMAN DANNY</v>
      </c>
      <c r="O31" s="190" t="s">
        <v>184</v>
      </c>
      <c r="P31" s="142"/>
      <c r="Q31" s="30"/>
      <c r="R31" s="89" t="str">
        <f>IF(VLOOKUP(C31,'Train Runs'!$A$13:$AE$9936,1,1)=C31,VLOOKUP(C31,'Train Runs'!$A$13:$AE$9936,31,1),NA())</f>
        <v>aws s3 cp s3://rtdc.mdm.uploadarchive.raw/RTDC4053/ "%USERPROFILE%\AppData\Local\Temp\OnboardLogs"\RTDC4053\2017-04-14 --exclude "*" --recursive --include "*20170414*" &amp; "%USERPROFILE%\Documents\GitHub\mrs-test-scripts\Headless Mode &amp; Sideloading\WalkAndUnGZ.bat" "%USERPROFILE%\AppData\Local\Temp\OnboardLogs"\RTDC4053\2017-04-14 &amp; 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</v>
      </c>
      <c r="S31" s="92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-04-14T17:36:23-0600',mode:absolute,to:'2017-04-14T19:58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1" s="94" t="str">
        <f t="shared" si="1"/>
        <v>"C:\Program Files (x86)\AstroGrep\AstroGrep.exe" /e /r /s /spath="%USERPROFILE%\AppData\Local\Temp\OnboardLogs" /stypes="*4053*201704150*" /stext=" 00:.+((SYSTEM_STATE.+slice.+state.+changed )|(ment ac)|(multiple cpu faults)|(system.+state.+changed )|(\[timeout)|(PRM\|1\|D)|(kpr)|(kdp)|(\|lc)|(penalty))"</v>
      </c>
      <c r="U31" s="9" t="str">
        <f t="shared" si="2"/>
        <v>4053</v>
      </c>
      <c r="V31" s="32">
        <f t="shared" si="3"/>
        <v>42840.040775462963</v>
      </c>
      <c r="W31" s="46" t="str">
        <f t="shared" si="4"/>
        <v>NW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{"issue":{"subject":"","project_id":79,"tracker_id":40,"status_id":1,"priority_id":2,"assigned_to_id":23,"start_date":"2017-04-14","description":"","custom_fields":[{"id":1,"name":"Subdivision","value":"NW"},{"id":4,"name":"Milepost","value":"0.0575"},{"id":17,"name":"Train ID","value":"838-14"},{"id":16,"name":"Locomotive ID","value":"4053"},{"id":130,"name":"Impact","value":""},{"id":150,"name":"Time of Event (Mountain Time)","value":"18:58:43"},{"id":151,"name":"Denver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"%USERPROFILE%\AppData\Local\Temp\OnboardLogs"\RTDC4053\*4053*201704150*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"%USERPROFILE%\AppData\Local\Temp\OnboardLogs"\RTDC4053\*4053*201704150* &gt;&gt; 2017-04-14-SliceDisagreementCheck.txt</v>
      </c>
      <c r="AE31" s="153" t="str">
        <f t="shared" si="9"/>
        <v>start /low /b %USERPROFILE%\Documents\GitHub\eaglep3\Utilities\DownloadLogsFromS3.py --loco 4053 --day 2017-04-15</v>
      </c>
      <c r="AF31" s="1"/>
    </row>
    <row r="32" spans="1:32" x14ac:dyDescent="0.25">
      <c r="A32" s="32">
        <v>42839.899722222224</v>
      </c>
      <c r="B32" s="30" t="s">
        <v>472</v>
      </c>
      <c r="C32" s="30" t="s">
        <v>652</v>
      </c>
      <c r="D32" s="30" t="s">
        <v>49</v>
      </c>
      <c r="E32" s="30" t="s">
        <v>185</v>
      </c>
      <c r="F32" s="43">
        <v>0</v>
      </c>
      <c r="G32" s="43">
        <v>36</v>
      </c>
      <c r="H32" s="43">
        <v>58943</v>
      </c>
      <c r="I32" s="43">
        <v>58990</v>
      </c>
      <c r="J32" s="30" t="s">
        <v>186</v>
      </c>
      <c r="K32" s="43">
        <v>59048</v>
      </c>
      <c r="L32" s="139" t="s">
        <v>50</v>
      </c>
      <c r="M32" s="140">
        <f t="shared" si="0"/>
        <v>30.623999999999999</v>
      </c>
      <c r="N32" s="141" t="str">
        <f>VLOOKUP(C32,'Trips&amp;Operators'!$C$1:$G$99999,5,FALSE)</f>
        <v>SULLIVAN BRANDON</v>
      </c>
      <c r="O32" s="190" t="s">
        <v>184</v>
      </c>
      <c r="P32" s="142"/>
      <c r="Q32" s="30"/>
      <c r="R32" s="89" t="e">
        <f>IF(VLOOKUP(C32,'Train Runs'!$A$13:$AE$9936,1,1)=C32,VLOOKUP(C32,'Train Runs'!$A$13:$AE$9936,31,1),NA())</f>
        <v>#N/A</v>
      </c>
      <c r="S32" s="92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-04-14T20:01:39-0600',mode:absolute,to:'2017-04-14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2" s="94" t="str">
        <f t="shared" si="1"/>
        <v>"C:\Program Files (x86)\AstroGrep\AstroGrep.exe" /e /r /s /spath="%USERPROFILE%\AppData\Local\Temp\OnboardLogs" /stypes="*4054*201704150*" /stext=" 03:.+((SYSTEM_STATE.+slice.+state.+changed )|(ment ac)|(multiple cpu faults)|(system.+state.+changed )|(\[timeout)|(PRM\|1\|D)|(kpr)|(kdp)|(\|lc)|(penalty))"</v>
      </c>
      <c r="U32" s="9" t="str">
        <f t="shared" si="2"/>
        <v>4054</v>
      </c>
      <c r="V32" s="32">
        <f t="shared" si="3"/>
        <v>42840.149722222224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{"issue":{"subject":"","project_id":79,"tracker_id":40,"status_id":1,"priority_id":2,"assigned_to_id":23,"start_date":"2017-04-14","description":"","custom_fields":[{"id":1,"name":"Subdivision","value":"NW"},{"id":4,"name":"Milepost","value":"5.9048"},{"id":17,"name":"Train ID","value":"845-14"},{"id":16,"name":"Locomotive ID","value":"4054"},{"id":130,"name":"Impact","value":""},{"id":150,"name":"Time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"%USERPROFILE%\AppData\Local\Temp\OnboardLogs"\RTDC4054\*4054*201704150*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"%USERPROFILE%\AppData\Local\Temp\OnboardLogs"\RTDC4054\*4054*201704150* &gt;&gt; 2017-04-14-SliceDisagreementCheck.txt</v>
      </c>
      <c r="AE32" s="153" t="str">
        <f t="shared" si="9"/>
        <v>start /low /b %USERPROFILE%\Documents\GitHub\eaglep3\Utilities\DownloadLogsFromS3.py --loco 4054 --day 2017-04-15</v>
      </c>
      <c r="AF32" s="1"/>
    </row>
    <row r="33" spans="1:32" x14ac:dyDescent="0.25">
      <c r="A33" s="32">
        <v>42839.207777777781</v>
      </c>
      <c r="B33" s="30" t="s">
        <v>372</v>
      </c>
      <c r="C33" s="30" t="s">
        <v>628</v>
      </c>
      <c r="D33" s="30" t="s">
        <v>49</v>
      </c>
      <c r="E33" s="30" t="s">
        <v>212</v>
      </c>
      <c r="F33" s="43">
        <v>400</v>
      </c>
      <c r="G33" s="43">
        <v>499</v>
      </c>
      <c r="H33" s="43">
        <v>45520</v>
      </c>
      <c r="I33" s="43">
        <v>47086</v>
      </c>
      <c r="J33" s="30" t="s">
        <v>213</v>
      </c>
      <c r="K33" s="43">
        <v>47810</v>
      </c>
      <c r="L33" s="139" t="s">
        <v>50</v>
      </c>
      <c r="M33" s="140">
        <f t="shared" si="0"/>
        <v>382.27199999999999</v>
      </c>
      <c r="N33" s="141" t="str">
        <f>VLOOKUP(C33,'Trips&amp;Operators'!$C$1:$G$99999,5,FALSE)</f>
        <v>GEBRETEKLE DAGNEW</v>
      </c>
      <c r="O33" s="190" t="s">
        <v>184</v>
      </c>
      <c r="P33" s="142"/>
      <c r="Q33" s="30"/>
      <c r="R33" s="89" t="str">
        <f>IF(VLOOKUP(C33,'Train Runs'!$A$13:$AE$9936,1,1)=C33,VLOOKUP(C33,'Train Runs'!$A$13:$AE$9936,31,1),NA())</f>
        <v>aws s3 cp s3://rtdc.mdm.uploadarchive.raw/RTDC4028/ "%USERPROFILE%\AppData\Local\Temp\OnboardLogs"\RTDC4028\2017-04-14 --exclude "*" --recursive --include "*20170414*" &amp; "%USERPROFILE%\Documents\GitHub\mrs-test-scripts\Headless Mode &amp; Sideloading\WalkAndUnGZ.bat" "%USERPROFILE%\AppData\Local\Temp\OnboardLogs"\RTDC4028\2017-04-14 &amp; aws s3 cp s3://rtdc.mdm.uploadarchive.raw/RTDC4028/ "%USERPROFILE%\AppData\Local\Temp\OnboardLogs"\RTDC4028\2017-04-15 --exclude "*" --recursive --include "*20170415*" &amp; "%USERPROFILE%\Documents\GitHub\mrs-test-scripts\Headless Mode &amp; Sideloading\WalkAndUnGZ.bat" "%USERPROFILE%\AppData\Local\Temp\OnboardLogs"\RTDC4028\2017-04-15</v>
      </c>
      <c r="S33" s="92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-04-14T03:49:43-0600',mode:absolute,to:'2017-04-14T06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94" t="str">
        <f t="shared" si="1"/>
        <v>"C:\Program Files (x86)\AstroGrep\AstroGrep.exe" /e /r /s /spath="%USERPROFILE%\AppData\Local\Temp\OnboardLogs" /stypes="*4028*201704141*" /stext=" 10:.+((SYSTEM_STATE.+slice.+state.+changed )|(ment ac)|(multiple cpu faults)|(system.+state.+changed )|(\[timeout)|(PRM\|1\|D)|(kpr)|(kdp)|(\|lc)|(penalty))"</v>
      </c>
      <c r="U33" s="9" t="str">
        <f t="shared" si="2"/>
        <v>4028</v>
      </c>
      <c r="V33" s="32">
        <f t="shared" si="3"/>
        <v>42839.457777777781</v>
      </c>
      <c r="W33" s="46" t="str">
        <f t="shared" si="4"/>
        <v>Other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{"issue":{"subject":"","project_id":79,"tracker_id":40,"status_id":1,"priority_id":2,"assigned_to_id":23,"start_date":"2017-04-14","description":"","custom_fields":[{"id":1,"name":"Subdivision","value":"Other"},{"id":4,"name":"Milepost","value":"4.781"},{"id":17,"name":"Train ID","value":"901-14"},{"id":16,"name":"Locomotive ID","value":"4028"},{"id":130,"name":"Impact","value":""},{"id":150,"name":"Time of Event (Mountain Time)","value":"04:59:12"},{"id":151,"name":"Denver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"%USERPROFILE%\AppData\Local\Temp\OnboardLogs"\RTDC4028\*4028*201704141*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"%USERPROFILE%\AppData\Local\Temp\OnboardLogs"\RTDC4028\*4028*201704141* &gt;&gt; 2017-04-14-SliceDisagreementCheck.txt</v>
      </c>
      <c r="AE33" s="153" t="str">
        <f t="shared" si="9"/>
        <v>start /low /b %USERPROFILE%\Documents\GitHub\eaglep3\Utilities\DownloadLogsFromS3.py --loco 4028 --day 2017-04-14</v>
      </c>
      <c r="AF33" s="1"/>
    </row>
    <row r="34" spans="1:32" x14ac:dyDescent="0.25">
      <c r="A34" s="32">
        <v>42839.744085648148</v>
      </c>
      <c r="B34" s="30" t="s">
        <v>569</v>
      </c>
      <c r="C34" s="30" t="s">
        <v>647</v>
      </c>
      <c r="D34" s="30" t="s">
        <v>98</v>
      </c>
      <c r="E34" s="30" t="s">
        <v>185</v>
      </c>
      <c r="F34" s="43">
        <v>0</v>
      </c>
      <c r="G34" s="43">
        <v>2</v>
      </c>
      <c r="H34" s="43">
        <v>826</v>
      </c>
      <c r="I34" s="43">
        <v>0</v>
      </c>
      <c r="J34" s="30" t="s">
        <v>186</v>
      </c>
      <c r="K34" s="43">
        <v>826</v>
      </c>
      <c r="L34" s="139" t="s">
        <v>51</v>
      </c>
      <c r="M34" s="140">
        <f t="shared" si="0"/>
        <v>-436.12799999999999</v>
      </c>
      <c r="N34" s="141" t="str">
        <f>VLOOKUP(C34,'Trips&amp;Operators'!$C$1:$G$99999,5,FALSE)</f>
        <v>MAGEE KENYA</v>
      </c>
      <c r="O34" s="190" t="s">
        <v>184</v>
      </c>
      <c r="P34" s="142"/>
      <c r="Q34" s="30"/>
      <c r="R34" s="89" t="e">
        <f>IF(VLOOKUP(C34,'Train Runs'!$A$13:$AE$9936,1,1)=C34,VLOOKUP(C34,'Train Runs'!$A$13:$AE$9936,31,1),NA())</f>
        <v>#N/A</v>
      </c>
      <c r="S34" s="92" t="e">
        <f>VLOOKUP(C34,'Train Runs'!$A$13:$AE$9936,22,0)</f>
        <v>#N/A</v>
      </c>
      <c r="T34" s="94" t="str">
        <f t="shared" si="1"/>
        <v>"C:\Program Files (x86)\AstroGrep\AstroGrep.exe" /e /r /s /spath="%USERPROFILE%\AppData\Local\Temp\OnboardLogs" /stypes="*4023*201704142*" /stext=" 23:.+((SYSTEM_STATE.+slice.+state.+changed )|(ment ac)|(multiple cpu faults)|(system.+state.+changed )|(\[timeout)|(PRM\|1\|D)|(kpr)|(kdp)|(\|lc)|(penalty))"</v>
      </c>
      <c r="U34" s="9" t="str">
        <f t="shared" si="2"/>
        <v>4023</v>
      </c>
      <c r="V34" s="32">
        <f t="shared" si="3"/>
        <v>42839.994085648148</v>
      </c>
      <c r="W34" s="46" t="str">
        <f t="shared" si="4"/>
        <v>Other</v>
      </c>
      <c r="X34" s="46" t="str">
        <f t="shared" si="5"/>
        <v>OMIT</v>
      </c>
      <c r="Y34" s="104" t="str">
        <f t="shared" si="6"/>
        <v>echo {"issue":{"subject":"","project_id":79,"tracker_id":40,"status_id":1,"priority_id":2,"assigned_to_id":23,"start_date":"2017-04-14","description":"","custom_fields":[{"id":1,"name":"Subdivision","value":"Other"},{"id":4,"name":"Milepost","value":"0.0826"},{"id":17,"name":"Train ID","value":"70-14"},{"id":16,"name":"Locomotive ID","value":"4023"},{"id":130,"name":"Impact","value":""},{"id":150,"name":"Time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"%USERPROFILE%\AppData\Local\Temp\OnboardLogs"\RTDC4023\*4023*201704142*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"%USERPROFILE%\AppData\Local\Temp\OnboardLogs"\RTDC4023\*4023*201704142* &gt;&gt; 2017-04-14-SliceDisagreementCheck.txt</v>
      </c>
      <c r="AE34" s="153" t="str">
        <f t="shared" si="9"/>
        <v>start /low /b %USERPROFILE%\Documents\GitHub\eaglep3\Utilities\DownloadLogsFromS3.py --loco 4023 --day 2017-04-14</v>
      </c>
      <c r="AF34" s="1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</sheetData>
  <autoFilter ref="A6:AC71">
    <sortState ref="A7:AC71">
      <sortCondition ref="W7:W34"/>
      <sortCondition ref="E7:E34"/>
      <sortCondition ref="K7:K34"/>
      <sortCondition ref="F7:F3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2:O1048576 O7:O3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4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9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2017-04-14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-14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Runs'!$A$13:$A$99933,1,FALSE)</f>
        <v>#N/A</v>
      </c>
    </row>
    <row r="4" spans="1:10" x14ac:dyDescent="0.25">
      <c r="A4" s="181"/>
      <c r="B4" s="43" t="str">
        <f>A4&amp;"-"&amp;IF(DAY(Variables!$A$2)&lt;10,0,"")&amp;DAY(Variables!$A$2)</f>
        <v>-14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Runs'!$A$13:$A$99933,1,FALSE)</f>
        <v>#N/A</v>
      </c>
    </row>
    <row r="5" spans="1:10" x14ac:dyDescent="0.25">
      <c r="A5" s="181"/>
      <c r="B5" s="43" t="str">
        <f>A5&amp;"-"&amp;IF(DAY(Variables!$A$2)&lt;10,0,"")&amp;DAY(Variables!$A$2)</f>
        <v>-14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Runs'!$A$13:$A$99933,1,FALSE)</f>
        <v>#N/A</v>
      </c>
    </row>
    <row r="6" spans="1:10" x14ac:dyDescent="0.25">
      <c r="A6" s="181"/>
      <c r="B6" s="43" t="str">
        <f>A6&amp;"-"&amp;IF(DAY(Variables!$A$2)&lt;10,0,"")&amp;DAY(Variables!$A$2)</f>
        <v>-14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Runs'!$A$13:$A$99933,1,FALSE)</f>
        <v>#N/A</v>
      </c>
    </row>
    <row r="7" spans="1:10" x14ac:dyDescent="0.25">
      <c r="A7" s="181"/>
      <c r="B7" s="43" t="str">
        <f>A7&amp;"-"&amp;IF(DAY(Variables!$A$2)&lt;10,0,"")&amp;DAY(Variables!$A$2)</f>
        <v>-14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Runs'!$A$13:$A$99933,1,FALSE)</f>
        <v>#N/A</v>
      </c>
    </row>
    <row r="8" spans="1:10" x14ac:dyDescent="0.25">
      <c r="A8" s="181"/>
      <c r="B8" s="43" t="str">
        <f>A8&amp;"-"&amp;IF(DAY(Variables!$A$2)&lt;10,0,"")&amp;DAY(Variables!$A$2)</f>
        <v>-14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Runs'!$A$13:$A$99933,1,FALSE)</f>
        <v>#N/A</v>
      </c>
    </row>
    <row r="9" spans="1:10" x14ac:dyDescent="0.25">
      <c r="A9" s="181"/>
      <c r="B9" s="43" t="str">
        <f>A9&amp;"-"&amp;IF(DAY(Variables!$A$2)&lt;10,0,"")&amp;DAY(Variables!$A$2)</f>
        <v>-14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Runs'!$A$13:$A$99933,1,FALSE)</f>
        <v>#N/A</v>
      </c>
    </row>
    <row r="10" spans="1:10" x14ac:dyDescent="0.25">
      <c r="A10" s="181"/>
      <c r="B10" s="43" t="str">
        <f>A10&amp;"-"&amp;IF(DAY(Variables!$A$2)&lt;10,0,"")&amp;DAY(Variables!$A$2)</f>
        <v>-14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Runs'!$A$13:$A$99933,1,FALSE)</f>
        <v>#N/A</v>
      </c>
    </row>
    <row r="11" spans="1:10" x14ac:dyDescent="0.25">
      <c r="A11" s="181"/>
      <c r="B11" s="43" t="str">
        <f>A11&amp;"-"&amp;IF(DAY(Variables!$A$2)&lt;10,0,"")&amp;DAY(Variables!$A$2)</f>
        <v>-14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Runs'!$A$13:$A$99933,1,FALSE)</f>
        <v>#N/A</v>
      </c>
    </row>
    <row r="12" spans="1:10" x14ac:dyDescent="0.25">
      <c r="A12" s="181"/>
      <c r="B12" s="43" t="str">
        <f>A12&amp;"-"&amp;IF(DAY(Variables!$A$2)&lt;10,0,"")&amp;DAY(Variables!$A$2)</f>
        <v>-14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Runs'!$A$13:$A$99933,1,FALSE)</f>
        <v>#N/A</v>
      </c>
    </row>
    <row r="13" spans="1:10" x14ac:dyDescent="0.25">
      <c r="A13" s="181"/>
      <c r="B13" s="43" t="str">
        <f>A13&amp;"-"&amp;IF(DAY(Variables!$A$2)&lt;10,0,"")&amp;DAY(Variables!$A$2)</f>
        <v>-14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Runs'!$A$13:$A$99933,1,FALSE)</f>
        <v>#N/A</v>
      </c>
    </row>
    <row r="14" spans="1:10" x14ac:dyDescent="0.25">
      <c r="A14" s="181"/>
      <c r="B14" s="43" t="str">
        <f>A14&amp;"-"&amp;IF(DAY(Variables!$A$2)&lt;10,0,"")&amp;DAY(Variables!$A$2)</f>
        <v>-14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Runs'!$A$13:$A$99933,1,FALSE)</f>
        <v>#N/A</v>
      </c>
    </row>
    <row r="15" spans="1:10" x14ac:dyDescent="0.25">
      <c r="A15" s="181"/>
      <c r="B15" s="43" t="str">
        <f>A15&amp;"-"&amp;IF(DAY(Variables!$A$2)&lt;10,0,"")&amp;DAY(Variables!$A$2)</f>
        <v>-14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Runs'!$A$13:$A$99933,1,FALSE)</f>
        <v>#N/A</v>
      </c>
    </row>
    <row r="16" spans="1:10" x14ac:dyDescent="0.25">
      <c r="A16" s="181"/>
      <c r="B16" s="43" t="str">
        <f>A16&amp;"-"&amp;IF(DAY(Variables!$A$2)&lt;10,0,"")&amp;DAY(Variables!$A$2)</f>
        <v>-14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Runs'!$A$13:$A$99933,1,FALSE)</f>
        <v>#N/A</v>
      </c>
    </row>
    <row r="17" spans="1:10" x14ac:dyDescent="0.25">
      <c r="A17" s="181"/>
      <c r="B17" s="43" t="str">
        <f>A17&amp;"-"&amp;IF(DAY(Variables!$A$2)&lt;10,0,"")&amp;DAY(Variables!$A$2)</f>
        <v>-14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Runs'!$A$13:$A$99933,1,FALSE)</f>
        <v>#N/A</v>
      </c>
    </row>
    <row r="18" spans="1:10" x14ac:dyDescent="0.25">
      <c r="A18" s="181"/>
      <c r="B18" s="43" t="str">
        <f>A18&amp;"-"&amp;IF(DAY(Variables!$A$2)&lt;10,0,"")&amp;DAY(Variables!$A$2)</f>
        <v>-14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Runs'!$A$13:$A$99933,1,FALSE)</f>
        <v>#N/A</v>
      </c>
    </row>
    <row r="19" spans="1:10" x14ac:dyDescent="0.25">
      <c r="A19" s="181"/>
      <c r="B19" s="43" t="str">
        <f>A19&amp;"-"&amp;IF(DAY(Variables!$A$2)&lt;10,0,"")&amp;DAY(Variables!$A$2)</f>
        <v>-14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Runs'!$A$13:$A$99933,1,FALSE)</f>
        <v>#N/A</v>
      </c>
    </row>
    <row r="20" spans="1:10" x14ac:dyDescent="0.25">
      <c r="A20" s="181"/>
      <c r="B20" s="43" t="str">
        <f>A20&amp;"-"&amp;IF(DAY(Variables!$A$2)&lt;10,0,"")&amp;DAY(Variables!$A$2)</f>
        <v>-14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Runs'!$A$13:$A$99933,1,FALSE)</f>
        <v>#N/A</v>
      </c>
    </row>
    <row r="21" spans="1:10" x14ac:dyDescent="0.25">
      <c r="A21" s="181"/>
      <c r="B21" s="43" t="str">
        <f>A21&amp;"-"&amp;IF(DAY(Variables!$A$2)&lt;10,0,"")&amp;DAY(Variables!$A$2)</f>
        <v>-14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Runs'!$A$13:$A$99933,1,FALSE)</f>
        <v>#N/A</v>
      </c>
    </row>
    <row r="22" spans="1:10" x14ac:dyDescent="0.25">
      <c r="A22" s="181"/>
      <c r="B22" s="43" t="str">
        <f>A22&amp;"-"&amp;IF(DAY(Variables!$A$2)&lt;10,0,"")&amp;DAY(Variables!$A$2)</f>
        <v>-14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Runs'!$A$13:$A$99933,1,FALSE)</f>
        <v>#N/A</v>
      </c>
    </row>
    <row r="23" spans="1:10" x14ac:dyDescent="0.25">
      <c r="A23" s="181"/>
      <c r="B23" s="43" t="str">
        <f>A23&amp;"-"&amp;IF(DAY(Variables!$A$2)&lt;10,0,"")&amp;DAY(Variables!$A$2)</f>
        <v>-14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Runs'!$A$13:$A$99933,1,FALSE)</f>
        <v>#N/A</v>
      </c>
    </row>
    <row r="24" spans="1:10" x14ac:dyDescent="0.25">
      <c r="A24" s="181"/>
      <c r="B24" s="43" t="str">
        <f>A24&amp;"-"&amp;IF(DAY(Variables!$A$2)&lt;10,0,"")&amp;DAY(Variables!$A$2)</f>
        <v>-14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Runs'!$A$13:$A$99933,1,FALSE)</f>
        <v>#N/A</v>
      </c>
    </row>
    <row r="25" spans="1:10" x14ac:dyDescent="0.25">
      <c r="A25" s="181"/>
      <c r="B25" s="43" t="str">
        <f>A25&amp;"-"&amp;IF(DAY(Variables!$A$2)&lt;10,0,"")&amp;DAY(Variables!$A$2)</f>
        <v>-14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Runs'!$A$13:$A$99933,1,FALSE)</f>
        <v>#N/A</v>
      </c>
    </row>
    <row r="26" spans="1:10" x14ac:dyDescent="0.25">
      <c r="A26" s="181"/>
      <c r="B26" s="43" t="str">
        <f>A26&amp;"-"&amp;IF(DAY(Variables!$A$2)&lt;10,0,"")&amp;DAY(Variables!$A$2)</f>
        <v>-14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Runs'!$A$13:$A$99933,1,FALSE)</f>
        <v>#N/A</v>
      </c>
    </row>
    <row r="27" spans="1:10" x14ac:dyDescent="0.25">
      <c r="A27" s="181"/>
      <c r="B27" s="43" t="str">
        <f>A27&amp;"-"&amp;IF(DAY(Variables!$A$2)&lt;10,0,"")&amp;DAY(Variables!$A$2)</f>
        <v>-14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Runs'!$A$13:$A$99933,1,FALSE)</f>
        <v>#N/A</v>
      </c>
    </row>
    <row r="28" spans="1:10" x14ac:dyDescent="0.25">
      <c r="A28" s="181"/>
      <c r="B28" s="43" t="str">
        <f>A28&amp;"-"&amp;IF(DAY(Variables!$A$2)&lt;10,0,"")&amp;DAY(Variables!$A$2)</f>
        <v>-14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Runs'!$A$13:$A$99933,1,FALSE)</f>
        <v>#N/A</v>
      </c>
    </row>
    <row r="29" spans="1:10" x14ac:dyDescent="0.25">
      <c r="A29" s="181"/>
      <c r="B29" s="43" t="str">
        <f>A29&amp;"-"&amp;IF(DAY(Variables!$A$2)&lt;10,0,"")&amp;DAY(Variables!$A$2)</f>
        <v>-14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Runs'!$A$13:$A$99933,1,FALSE)</f>
        <v>#N/A</v>
      </c>
    </row>
    <row r="30" spans="1:10" x14ac:dyDescent="0.25">
      <c r="A30" s="181"/>
      <c r="B30" s="43" t="str">
        <f>A30&amp;"-"&amp;IF(DAY(Variables!$A$2)&lt;10,0,"")&amp;DAY(Variables!$A$2)</f>
        <v>-14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Runs'!$A$13:$A$99933,1,FALSE)</f>
        <v>#N/A</v>
      </c>
    </row>
    <row r="31" spans="1:10" x14ac:dyDescent="0.25">
      <c r="A31" s="181"/>
      <c r="B31" s="43" t="str">
        <f>A31&amp;"-"&amp;IF(DAY(Variables!$A$2)&lt;10,0,"")&amp;DAY(Variables!$A$2)</f>
        <v>-14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Runs'!$A$13:$A$99933,1,FALSE)</f>
        <v>#N/A</v>
      </c>
    </row>
    <row r="32" spans="1:10" x14ac:dyDescent="0.25">
      <c r="A32" s="181"/>
      <c r="B32" s="43" t="str">
        <f>A32&amp;"-"&amp;IF(DAY(Variables!$A$2)&lt;10,0,"")&amp;DAY(Variables!$A$2)</f>
        <v>-14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Runs'!$A$13:$A$99933,1,FALSE)</f>
        <v>#N/A</v>
      </c>
    </row>
    <row r="33" spans="1:10" x14ac:dyDescent="0.25">
      <c r="A33" s="181"/>
      <c r="B33" s="43" t="str">
        <f>A33&amp;"-"&amp;IF(DAY(Variables!$A$2)&lt;10,0,"")&amp;DAY(Variables!$A$2)</f>
        <v>-14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3" s="30" t="e">
        <f>VLOOKUP(B33,'Train Runs'!$A$13:$A$99933,1,FALSE)</f>
        <v>#N/A</v>
      </c>
    </row>
    <row r="34" spans="1:10" x14ac:dyDescent="0.25">
      <c r="A34" s="181"/>
      <c r="B34" s="43" t="str">
        <f>A34&amp;"-"&amp;IF(DAY(Variables!$A$2)&lt;10,0,"")&amp;DAY(Variables!$A$2)</f>
        <v>-14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4" s="30" t="e">
        <f>VLOOKUP(B34,'Train Runs'!$A$13:$A$99933,1,FALSE)</f>
        <v>#N/A</v>
      </c>
    </row>
    <row r="35" spans="1:10" x14ac:dyDescent="0.25">
      <c r="A35" s="181"/>
      <c r="B35" s="43" t="str">
        <f>A35&amp;"-"&amp;IF(DAY(Variables!$A$2)&lt;10,0,"")&amp;DAY(Variables!$A$2)</f>
        <v>-14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5" s="30" t="e">
        <f>VLOOKUP(B35,'Train Runs'!$A$13:$A$99933,1,FALSE)</f>
        <v>#N/A</v>
      </c>
    </row>
    <row r="36" spans="1:10" x14ac:dyDescent="0.25">
      <c r="A36" s="181"/>
      <c r="B36" s="43" t="str">
        <f>A36&amp;"-"&amp;IF(DAY(Variables!$A$2)&lt;10,0,"")&amp;DAY(Variables!$A$2)</f>
        <v>-14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6" s="30" t="e">
        <f>VLOOKUP(B36,'Train Runs'!$A$13:$A$99933,1,FALSE)</f>
        <v>#N/A</v>
      </c>
    </row>
    <row r="37" spans="1:10" x14ac:dyDescent="0.25">
      <c r="A37" s="181"/>
      <c r="B37" s="43" t="str">
        <f>A37&amp;"-"&amp;IF(DAY(Variables!$A$2)&lt;10,0,"")&amp;DAY(Variables!$A$2)</f>
        <v>-14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7" s="30" t="e">
        <f>VLOOKUP(B37,'Train Runs'!$A$13:$A$99933,1,FALSE)</f>
        <v>#N/A</v>
      </c>
    </row>
    <row r="38" spans="1:10" x14ac:dyDescent="0.25">
      <c r="A38" s="181"/>
      <c r="B38" s="43" t="str">
        <f>A38&amp;"-"&amp;IF(DAY(Variables!$A$2)&lt;10,0,"")&amp;DAY(Variables!$A$2)</f>
        <v>-14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8" s="30" t="e">
        <f>VLOOKUP(B38,'Train Runs'!$A$13:$A$99933,1,FALSE)</f>
        <v>#N/A</v>
      </c>
    </row>
    <row r="39" spans="1:10" x14ac:dyDescent="0.25">
      <c r="A39" s="181"/>
      <c r="B39" s="43" t="str">
        <f>A39&amp;"-"&amp;IF(DAY(Variables!$A$2)&lt;10,0,"")&amp;DAY(Variables!$A$2)</f>
        <v>-14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9" s="30" t="e">
        <f>VLOOKUP(B39,'Train Runs'!$A$13:$A$99933,1,FALSE)</f>
        <v>#N/A</v>
      </c>
    </row>
    <row r="40" spans="1:10" x14ac:dyDescent="0.25">
      <c r="A40" s="181"/>
      <c r="B40" s="43" t="str">
        <f>A40&amp;"-"&amp;IF(DAY(Variables!$A$2)&lt;10,0,"")&amp;DAY(Variables!$A$2)</f>
        <v>-14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0" s="30" t="e">
        <f>VLOOKUP(B40,'Train Runs'!$A$13:$A$99933,1,FALSE)</f>
        <v>#N/A</v>
      </c>
    </row>
    <row r="41" spans="1:10" x14ac:dyDescent="0.25">
      <c r="A41" s="181"/>
      <c r="B41" s="43" t="str">
        <f>A41&amp;"-"&amp;IF(DAY(Variables!$A$2)&lt;10,0,"")&amp;DAY(Variables!$A$2)</f>
        <v>-14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1" s="30" t="e">
        <f>VLOOKUP(B41,'Train Runs'!$A$13:$A$99933,1,FALSE)</f>
        <v>#N/A</v>
      </c>
    </row>
    <row r="42" spans="1:10" x14ac:dyDescent="0.25">
      <c r="A42" s="181"/>
      <c r="B42" s="43" t="str">
        <f>A42&amp;"-"&amp;IF(DAY(Variables!$A$2)&lt;10,0,"")&amp;DAY(Variables!$A$2)</f>
        <v>-14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2" s="30" t="e">
        <f>VLOOKUP(B42,'Train Runs'!$A$13:$A$99933,1,FALSE)</f>
        <v>#N/A</v>
      </c>
    </row>
    <row r="43" spans="1:10" x14ac:dyDescent="0.25">
      <c r="A43" s="181"/>
      <c r="B43" s="43" t="str">
        <f>A43&amp;"-"&amp;IF(DAY(Variables!$A$2)&lt;10,0,"")&amp;DAY(Variables!$A$2)</f>
        <v>-14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3" s="30" t="e">
        <f>VLOOKUP(B43,'Train Runs'!$A$13:$A$99933,1,FALSE)</f>
        <v>#N/A</v>
      </c>
    </row>
    <row r="44" spans="1:10" x14ac:dyDescent="0.25">
      <c r="A44" s="181"/>
      <c r="B44" s="43" t="str">
        <f>A44&amp;"-"&amp;IF(DAY(Variables!$A$2)&lt;10,0,"")&amp;DAY(Variables!$A$2)</f>
        <v>-14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4" s="30" t="e">
        <f>VLOOKUP(B44,'Train Runs'!$A$13:$A$99933,1,FALSE)</f>
        <v>#N/A</v>
      </c>
    </row>
    <row r="45" spans="1:10" x14ac:dyDescent="0.25">
      <c r="A45" s="181"/>
      <c r="B45" s="43" t="str">
        <f>A45&amp;"-"&amp;IF(DAY(Variables!$A$2)&lt;10,0,"")&amp;DAY(Variables!$A$2)</f>
        <v>-14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5" s="30" t="e">
        <f>VLOOKUP(B45,'Train Runs'!$A$13:$A$99933,1,FALSE)</f>
        <v>#N/A</v>
      </c>
    </row>
    <row r="46" spans="1:10" x14ac:dyDescent="0.25">
      <c r="A46" s="181"/>
      <c r="B46" s="43" t="str">
        <f>A46&amp;"-"&amp;IF(DAY(Variables!$A$2)&lt;10,0,"")&amp;DAY(Variables!$A$2)</f>
        <v>-14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6" s="30" t="e">
        <f>VLOOKUP(B46,'Train Runs'!$A$13:$A$99933,1,FALSE)</f>
        <v>#N/A</v>
      </c>
    </row>
    <row r="47" spans="1:10" x14ac:dyDescent="0.25">
      <c r="A47" s="181"/>
      <c r="B47" s="43" t="str">
        <f>A47&amp;"-"&amp;IF(DAY(Variables!$A$2)&lt;10,0,"")&amp;DAY(Variables!$A$2)</f>
        <v>-14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7" s="30" t="e">
        <f>VLOOKUP(B47,'Train Runs'!$A$13:$A$99933,1,FALSE)</f>
        <v>#N/A</v>
      </c>
    </row>
    <row r="48" spans="1:10" x14ac:dyDescent="0.25">
      <c r="A48" s="181"/>
      <c r="B48" s="43" t="str">
        <f>A48&amp;"-"&amp;IF(DAY(Variables!$A$2)&lt;10,0,"")&amp;DAY(Variables!$A$2)</f>
        <v>-14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8" s="30" t="e">
        <f>VLOOKUP(B48,'Train Runs'!$A$13:$A$99933,1,FALSE)</f>
        <v>#N/A</v>
      </c>
    </row>
    <row r="49" spans="1:10" x14ac:dyDescent="0.25">
      <c r="A49" s="181"/>
      <c r="B49" s="43" t="str">
        <f>A49&amp;"-"&amp;IF(DAY(Variables!$A$2)&lt;10,0,"")&amp;DAY(Variables!$A$2)</f>
        <v>-14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9" s="30" t="e">
        <f>VLOOKUP(B49,'Train Runs'!$A$13:$A$99933,1,FALSE)</f>
        <v>#N/A</v>
      </c>
    </row>
    <row r="50" spans="1:10" x14ac:dyDescent="0.25">
      <c r="A50" s="181"/>
      <c r="B50" s="43" t="str">
        <f>A50&amp;"-"&amp;IF(DAY(Variables!$A$2)&lt;10,0,"")&amp;DAY(Variables!$A$2)</f>
        <v>-14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0" s="30" t="e">
        <f>VLOOKUP(B50,'Train Runs'!$A$13:$A$99933,1,FALSE)</f>
        <v>#N/A</v>
      </c>
    </row>
    <row r="51" spans="1:10" x14ac:dyDescent="0.25">
      <c r="A51" s="181"/>
      <c r="B51" s="43" t="str">
        <f>A51&amp;"-"&amp;IF(DAY(Variables!$A$2)&lt;10,0,"")&amp;DAY(Variables!$A$2)</f>
        <v>-14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1" s="30" t="e">
        <f>VLOOKUP(B51,'Train Runs'!$A$13:$A$99933,1,FALSE)</f>
        <v>#N/A</v>
      </c>
    </row>
    <row r="52" spans="1:10" x14ac:dyDescent="0.25">
      <c r="A52" s="181"/>
      <c r="B52" s="43" t="str">
        <f>A52&amp;"-"&amp;IF(DAY(Variables!$A$2)&lt;10,0,"")&amp;DAY(Variables!$A$2)</f>
        <v>-14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2" s="30" t="e">
        <f>VLOOKUP(B52,'Train Runs'!$A$13:$A$99933,1,FALSE)</f>
        <v>#N/A</v>
      </c>
    </row>
    <row r="53" spans="1:10" x14ac:dyDescent="0.25">
      <c r="A53" s="181"/>
      <c r="B53" s="43" t="str">
        <f>A53&amp;"-"&amp;IF(DAY(Variables!$A$2)&lt;10,0,"")&amp;DAY(Variables!$A$2)</f>
        <v>-14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3" s="30" t="e">
        <f>VLOOKUP(B53,'Train Runs'!$A$13:$A$99933,1,FALSE)</f>
        <v>#N/A</v>
      </c>
    </row>
    <row r="54" spans="1:10" x14ac:dyDescent="0.25">
      <c r="A54" s="181"/>
      <c r="B54" s="43" t="str">
        <f>A54&amp;"-"&amp;IF(DAY(Variables!$A$2)&lt;10,0,"")&amp;DAY(Variables!$A$2)</f>
        <v>-14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4" s="30" t="e">
        <f>VLOOKUP(B54,'Train Runs'!$A$13:$A$99933,1,FALSE)</f>
        <v>#N/A</v>
      </c>
    </row>
    <row r="55" spans="1:10" x14ac:dyDescent="0.25">
      <c r="A55" s="181"/>
      <c r="B55" s="43" t="str">
        <f>A55&amp;"-"&amp;IF(DAY(Variables!$A$2)&lt;10,0,"")&amp;DAY(Variables!$A$2)</f>
        <v>-14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5" s="30" t="e">
        <f>VLOOKUP(B55,'Train Runs'!$A$13:$A$99933,1,FALSE)</f>
        <v>#N/A</v>
      </c>
    </row>
    <row r="56" spans="1:10" x14ac:dyDescent="0.25">
      <c r="A56" s="181"/>
      <c r="B56" s="43" t="str">
        <f>A56&amp;"-"&amp;IF(DAY(Variables!$A$2)&lt;10,0,"")&amp;DAY(Variables!$A$2)</f>
        <v>-14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6" s="30" t="e">
        <f>VLOOKUP(B56,'Train Runs'!$A$13:$A$99933,1,FALSE)</f>
        <v>#N/A</v>
      </c>
    </row>
    <row r="57" spans="1:10" x14ac:dyDescent="0.25">
      <c r="A57" s="181"/>
      <c r="B57" s="43" t="str">
        <f>A57&amp;"-"&amp;IF(DAY(Variables!$A$2)&lt;10,0,"")&amp;DAY(Variables!$A$2)</f>
        <v>-14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7" s="30" t="e">
        <f>VLOOKUP(B57,'Train Runs'!$A$13:$A$99933,1,FALSE)</f>
        <v>#N/A</v>
      </c>
    </row>
    <row r="58" spans="1:10" x14ac:dyDescent="0.25">
      <c r="A58" s="181"/>
      <c r="B58" s="43" t="str">
        <f>A58&amp;"-"&amp;IF(DAY(Variables!$A$2)&lt;10,0,"")&amp;DAY(Variables!$A$2)</f>
        <v>-14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8" s="30" t="e">
        <f>VLOOKUP(B58,'Train Runs'!$A$13:$A$99933,1,FALSE)</f>
        <v>#N/A</v>
      </c>
    </row>
    <row r="59" spans="1:10" x14ac:dyDescent="0.25">
      <c r="A59" s="181"/>
      <c r="B59" s="43" t="str">
        <f>A59&amp;"-"&amp;IF(DAY(Variables!$A$2)&lt;10,0,"")&amp;DAY(Variables!$A$2)</f>
        <v>-14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9" s="30" t="e">
        <f>VLOOKUP(B59,'Train Runs'!$A$13:$A$99933,1,FALSE)</f>
        <v>#N/A</v>
      </c>
    </row>
    <row r="60" spans="1:10" x14ac:dyDescent="0.25">
      <c r="A60" s="181"/>
      <c r="B60" s="43" t="str">
        <f>A60&amp;"-"&amp;IF(DAY(Variables!$A$2)&lt;10,0,"")&amp;DAY(Variables!$A$2)</f>
        <v>-14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0" s="30" t="e">
        <f>VLOOKUP(B60,'Train Runs'!$A$13:$A$99933,1,FALSE)</f>
        <v>#N/A</v>
      </c>
    </row>
    <row r="61" spans="1:10" x14ac:dyDescent="0.25">
      <c r="A61" s="181"/>
      <c r="B61" s="43" t="str">
        <f>A61&amp;"-"&amp;IF(DAY(Variables!$A$2)&lt;10,0,"")&amp;DAY(Variables!$A$2)</f>
        <v>-14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1" s="30" t="e">
        <f>VLOOKUP(B61,'Train Runs'!$A$13:$A$99933,1,FALSE)</f>
        <v>#N/A</v>
      </c>
    </row>
    <row r="62" spans="1:10" x14ac:dyDescent="0.25">
      <c r="A62" s="181"/>
      <c r="B62" s="43" t="str">
        <f>A62&amp;"-"&amp;IF(DAY(Variables!$A$2)&lt;10,0,"")&amp;DAY(Variables!$A$2)</f>
        <v>-14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2" s="30" t="e">
        <f>VLOOKUP(B62,'Train Runs'!$A$13:$A$99933,1,FALSE)</f>
        <v>#N/A</v>
      </c>
    </row>
    <row r="63" spans="1:10" x14ac:dyDescent="0.25">
      <c r="A63" s="181"/>
      <c r="B63" s="43" t="str">
        <f>A63&amp;"-"&amp;IF(DAY(Variables!$A$2)&lt;10,0,"")&amp;DAY(Variables!$A$2)</f>
        <v>-14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3" s="30" t="e">
        <f>VLOOKUP(B63,'Train Runs'!$A$13:$A$99933,1,FALSE)</f>
        <v>#N/A</v>
      </c>
    </row>
    <row r="64" spans="1:10" x14ac:dyDescent="0.25">
      <c r="A64" s="181"/>
      <c r="B64" s="43" t="str">
        <f>A64&amp;"-"&amp;IF(DAY(Variables!$A$2)&lt;10,0,"")&amp;DAY(Variables!$A$2)</f>
        <v>-14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4" s="30" t="e">
        <f>VLOOKUP(B64,'Train Runs'!$A$13:$A$99933,1,FALSE)</f>
        <v>#N/A</v>
      </c>
    </row>
    <row r="65" spans="1:10" x14ac:dyDescent="0.25">
      <c r="A65" s="181"/>
      <c r="B65" s="43" t="str">
        <f>A65&amp;"-"&amp;IF(DAY(Variables!$A$2)&lt;10,0,"")&amp;DAY(Variables!$A$2)</f>
        <v>-14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5" s="30" t="e">
        <f>VLOOKUP(B65,'Train Runs'!$A$13:$A$99933,1,FALSE)</f>
        <v>#N/A</v>
      </c>
    </row>
    <row r="66" spans="1:10" x14ac:dyDescent="0.25">
      <c r="A66" s="181"/>
      <c r="B66" s="43" t="str">
        <f>A66&amp;"-"&amp;IF(DAY(Variables!$A$2)&lt;10,0,"")&amp;DAY(Variables!$A$2)</f>
        <v>-14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6" s="30" t="e">
        <f>VLOOKUP(B66,'Train Runs'!$A$13:$A$99933,1,FALSE)</f>
        <v>#N/A</v>
      </c>
    </row>
    <row r="67" spans="1:10" x14ac:dyDescent="0.25">
      <c r="A67" s="181"/>
      <c r="B67" s="43" t="str">
        <f>A67&amp;"-"&amp;IF(DAY(Variables!$A$2)&lt;10,0,"")&amp;DAY(Variables!$A$2)</f>
        <v>-14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7" s="30" t="e">
        <f>VLOOKUP(B67,'Train Runs'!$A$13:$A$99933,1,FALSE)</f>
        <v>#N/A</v>
      </c>
    </row>
    <row r="68" spans="1:10" x14ac:dyDescent="0.25">
      <c r="A68" s="181"/>
      <c r="B68" s="43" t="str">
        <f>A68&amp;"-"&amp;IF(DAY(Variables!$A$2)&lt;10,0,"")&amp;DAY(Variables!$A$2)</f>
        <v>-14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8" s="30" t="e">
        <f>VLOOKUP(B68,'Train Runs'!$A$13:$A$99933,1,FALSE)</f>
        <v>#N/A</v>
      </c>
    </row>
    <row r="69" spans="1:10" x14ac:dyDescent="0.25">
      <c r="A69" s="181"/>
      <c r="B69" s="43" t="str">
        <f>A69&amp;"-"&amp;IF(DAY(Variables!$A$2)&lt;10,0,"")&amp;DAY(Variables!$A$2)</f>
        <v>-14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9" s="30" t="e">
        <f>VLOOKUP(B69,'Train Runs'!$A$13:$A$99933,1,FALSE)</f>
        <v>#N/A</v>
      </c>
    </row>
    <row r="70" spans="1:10" x14ac:dyDescent="0.25">
      <c r="A70" s="181"/>
      <c r="B70" s="43" t="str">
        <f>A70&amp;"-"&amp;IF(DAY(Variables!$A$2)&lt;10,0,"")&amp;DAY(Variables!$A$2)</f>
        <v>-14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0" s="30" t="e">
        <f>VLOOKUP(B70,'Train Runs'!$A$13:$A$99933,1,FALSE)</f>
        <v>#N/A</v>
      </c>
    </row>
    <row r="71" spans="1:10" x14ac:dyDescent="0.25">
      <c r="A71" s="181"/>
      <c r="B71" s="43" t="str">
        <f>A71&amp;"-"&amp;IF(DAY(Variables!$A$2)&lt;10,0,"")&amp;DAY(Variables!$A$2)</f>
        <v>-14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1" s="30" t="e">
        <f>VLOOKUP(B71,'Train Runs'!$A$13:$A$99933,1,FALSE)</f>
        <v>#N/A</v>
      </c>
    </row>
    <row r="72" spans="1:10" x14ac:dyDescent="0.25">
      <c r="A72" s="181"/>
      <c r="B72" s="43" t="str">
        <f>A72&amp;"-"&amp;IF(DAY(Variables!$A$2)&lt;10,0,"")&amp;DAY(Variables!$A$2)</f>
        <v>-14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2" s="30" t="e">
        <f>VLOOKUP(B72,'Train Runs'!$A$13:$A$99933,1,FALSE)</f>
        <v>#N/A</v>
      </c>
    </row>
    <row r="73" spans="1:10" x14ac:dyDescent="0.25">
      <c r="A73" s="181"/>
      <c r="B73" s="43" t="str">
        <f>A73&amp;"-"&amp;IF(DAY(Variables!$A$2)&lt;10,0,"")&amp;DAY(Variables!$A$2)</f>
        <v>-14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3" s="30" t="e">
        <f>VLOOKUP(B73,'Train Runs'!$A$13:$A$99933,1,FALSE)</f>
        <v>#N/A</v>
      </c>
    </row>
    <row r="74" spans="1:10" x14ac:dyDescent="0.25">
      <c r="A74" s="181"/>
      <c r="B74" s="43" t="str">
        <f>A74&amp;"-"&amp;IF(DAY(Variables!$A$2)&lt;10,0,"")&amp;DAY(Variables!$A$2)</f>
        <v>-14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4" s="30" t="e">
        <f>VLOOKUP(B74,'Train Runs'!$A$13:$A$99933,1,FALSE)</f>
        <v>#N/A</v>
      </c>
    </row>
    <row r="75" spans="1:10" x14ac:dyDescent="0.25">
      <c r="A75" s="181"/>
      <c r="B75" s="43" t="str">
        <f>A75&amp;"-"&amp;IF(DAY(Variables!$A$2)&lt;10,0,"")&amp;DAY(Variables!$A$2)</f>
        <v>-14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5" s="30" t="e">
        <f>VLOOKUP(B75,'Train Runs'!$A$13:$A$99933,1,FALSE)</f>
        <v>#N/A</v>
      </c>
    </row>
    <row r="76" spans="1:10" x14ac:dyDescent="0.25">
      <c r="A76" s="181"/>
      <c r="B76" s="43" t="str">
        <f>A76&amp;"-"&amp;IF(DAY(Variables!$A$2)&lt;10,0,"")&amp;DAY(Variables!$A$2)</f>
        <v>-14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6" s="30" t="e">
        <f>VLOOKUP(B76,'Train Runs'!$A$13:$A$99933,1,FALSE)</f>
        <v>#N/A</v>
      </c>
    </row>
    <row r="77" spans="1:10" x14ac:dyDescent="0.25">
      <c r="A77" s="181"/>
      <c r="B77" s="43" t="str">
        <f>A77&amp;"-"&amp;IF(DAY(Variables!$A$2)&lt;10,0,"")&amp;DAY(Variables!$A$2)</f>
        <v>-14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7" s="30" t="e">
        <f>VLOOKUP(B77,'Train Runs'!$A$13:$A$99933,1,FALSE)</f>
        <v>#N/A</v>
      </c>
    </row>
    <row r="78" spans="1:10" x14ac:dyDescent="0.25">
      <c r="A78" s="181"/>
      <c r="B78" s="43" t="str">
        <f>A78&amp;"-"&amp;IF(DAY(Variables!$A$2)&lt;10,0,"")&amp;DAY(Variables!$A$2)</f>
        <v>-14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8" s="30" t="e">
        <f>VLOOKUP(B78,'Train Runs'!$A$13:$A$99933,1,FALSE)</f>
        <v>#N/A</v>
      </c>
    </row>
    <row r="79" spans="1:10" x14ac:dyDescent="0.25">
      <c r="A79" s="181"/>
      <c r="B79" s="43" t="str">
        <f>A79&amp;"-"&amp;IF(DAY(Variables!$A$2)&lt;10,0,"")&amp;DAY(Variables!$A$2)</f>
        <v>-14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9" s="30" t="e">
        <f>VLOOKUP(B79,'Train Runs'!$A$13:$A$99933,1,FALSE)</f>
        <v>#N/A</v>
      </c>
    </row>
    <row r="80" spans="1:10" x14ac:dyDescent="0.25">
      <c r="A80" s="181"/>
      <c r="B80" s="43" t="str">
        <f>A80&amp;"-"&amp;IF(DAY(Variables!$A$2)&lt;10,0,"")&amp;DAY(Variables!$A$2)</f>
        <v>-14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0" s="30" t="e">
        <f>VLOOKUP(B80,'Train Runs'!$A$13:$A$99933,1,FALSE)</f>
        <v>#N/A</v>
      </c>
    </row>
    <row r="81" spans="1:10" x14ac:dyDescent="0.25">
      <c r="A81" s="181"/>
      <c r="B81" s="43" t="str">
        <f>A81&amp;"-"&amp;IF(DAY(Variables!$A$2)&lt;10,0,"")&amp;DAY(Variables!$A$2)</f>
        <v>-14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1" s="30" t="e">
        <f>VLOOKUP(B81,'Train Runs'!$A$13:$A$99933,1,FALSE)</f>
        <v>#N/A</v>
      </c>
    </row>
    <row r="82" spans="1:10" x14ac:dyDescent="0.25">
      <c r="A82" s="181"/>
      <c r="B82" s="43" t="str">
        <f>A82&amp;"-"&amp;IF(DAY(Variables!$A$2)&lt;10,0,"")&amp;DAY(Variables!$A$2)</f>
        <v>-14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2" s="30" t="e">
        <f>VLOOKUP(B82,'Train Runs'!$A$13:$A$99933,1,FALSE)</f>
        <v>#N/A</v>
      </c>
    </row>
    <row r="83" spans="1:10" x14ac:dyDescent="0.25">
      <c r="A83" s="181"/>
      <c r="B83" s="43" t="str">
        <f>A83&amp;"-"&amp;IF(DAY(Variables!$A$2)&lt;10,0,"")&amp;DAY(Variables!$A$2)</f>
        <v>-14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3" s="30" t="e">
        <f>VLOOKUP(B83,'Train Runs'!$A$13:$A$99933,1,FALSE)</f>
        <v>#N/A</v>
      </c>
    </row>
    <row r="84" spans="1:10" x14ac:dyDescent="0.25">
      <c r="A84" s="181"/>
      <c r="B84" s="43" t="str">
        <f>A84&amp;"-"&amp;IF(DAY(Variables!$A$2)&lt;10,0,"")&amp;DAY(Variables!$A$2)</f>
        <v>-14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4" s="30" t="e">
        <f>VLOOKUP(B84,'Train Runs'!$A$13:$A$99933,1,FALSE)</f>
        <v>#N/A</v>
      </c>
    </row>
    <row r="85" spans="1:10" x14ac:dyDescent="0.25">
      <c r="A85" s="181"/>
      <c r="B85" s="43" t="str">
        <f>A85&amp;"-"&amp;IF(DAY(Variables!$A$2)&lt;10,0,"")&amp;DAY(Variables!$A$2)</f>
        <v>-14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5" s="30" t="e">
        <f>VLOOKUP(B85,'Train Runs'!$A$13:$A$99933,1,FALSE)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347</v>
      </c>
      <c r="B1" s="203" t="s">
        <v>348</v>
      </c>
      <c r="C1" s="195" t="s">
        <v>356</v>
      </c>
      <c r="D1" s="207" t="s">
        <v>58</v>
      </c>
      <c r="E1" s="192" t="s">
        <v>24</v>
      </c>
      <c r="F1" s="207" t="s">
        <v>362</v>
      </c>
      <c r="G1" s="211" t="s">
        <v>94</v>
      </c>
      <c r="H1" s="213" t="s">
        <v>366</v>
      </c>
      <c r="I1" s="209" t="s">
        <v>365</v>
      </c>
      <c r="J1" s="205" t="s">
        <v>84</v>
      </c>
      <c r="K1" s="205" t="s">
        <v>361</v>
      </c>
      <c r="L1" s="200" t="s">
        <v>358</v>
      </c>
      <c r="M1" s="200" t="s">
        <v>349</v>
      </c>
      <c r="N1" s="200" t="s">
        <v>351</v>
      </c>
      <c r="O1" s="200" t="s">
        <v>352</v>
      </c>
      <c r="P1" s="200" t="s">
        <v>353</v>
      </c>
      <c r="Q1" s="199" t="s">
        <v>350</v>
      </c>
    </row>
    <row r="2" spans="1:17" x14ac:dyDescent="0.25">
      <c r="A2" s="197">
        <v>42800.21875</v>
      </c>
      <c r="B2" s="204" t="s">
        <v>355</v>
      </c>
      <c r="C2" s="194" t="s">
        <v>357</v>
      </c>
      <c r="D2" s="208">
        <v>104</v>
      </c>
      <c r="E2" s="30" t="s">
        <v>360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"%USERPROFILE%\AppData\Local\Temp\OnboardLogs"\RTDC4041\*4041*201703061*</v>
      </c>
      <c r="I2" s="210" t="str">
        <f>IF(VLOOKUP(K2,'Train Runs'!$A$13:$V$989,1,TRUE)=K2,VLOOKUP(K2,'Train Runs'!$A$13:$V$989,22,TRUE),NA())</f>
        <v>https://d0f6bd738d7f1b3e5a7ca70fe4ff75f0.us-east-1.aws.found.io/app/kibana#/discover/Steve-Slow-Train-Analysis-(2080s-and-2083s)?_g=(refreshInterval:(display:Off,pause:!f,section:0,value:0),time:(from:'2017-04-14T03:36:19-0600',mode:absolute,to:'2017-04-14T06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104-14</v>
      </c>
      <c r="L2" s="202">
        <f>IF(VLOOKUP(K2,'Train Runs'!$A$12:$B$989,1,TRUE)=K2,VLOOKUP(K2,'Train Runs'!$A$12:$B$989,2,TRUE),NA())</f>
        <v>4041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355</v>
      </c>
      <c r="C3" s="194" t="s">
        <v>357</v>
      </c>
      <c r="D3" s="208">
        <v>126</v>
      </c>
      <c r="E3" s="30" t="s">
        <v>359</v>
      </c>
      <c r="F3" s="208" t="b">
        <v>1</v>
      </c>
      <c r="G3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"%USERPROFILE%\AppData\Local\Temp\OnboardLogs"\RTDC4039\*4039*201703061*</v>
      </c>
      <c r="I3" s="210" t="str">
        <f>IF(VLOOKUP(K3,'Train Runs'!$A$13:$V$989,1,TRUE)=K3,VLOOKUP(K3,'Train Runs'!$A$13:$V$989,22,TRUE),NA())</f>
        <v>https://d0f6bd738d7f1b3e5a7ca70fe4ff75f0.us-east-1.aws.found.io/app/kibana#/discover/Steve-Slow-Train-Analysis-(2080s-and-2083s)?_g=(refreshInterval:(display:Off,pause:!f,section:0,value:0),time:(from:'2017-04-14T06:33:42-0600',mode:absolute,to:'2017-04-14T09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126-14</v>
      </c>
      <c r="L3" s="202">
        <f>IF(VLOOKUP(K3,'Train Runs'!$A$12:$B$989,1,TRUE)=K3,VLOOKUP(K3,'Train Runs'!$A$12:$B$989,2,TRUE),NA())</f>
        <v>4039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355</v>
      </c>
      <c r="C4" s="194" t="s">
        <v>357</v>
      </c>
      <c r="D4" s="208">
        <v>128</v>
      </c>
      <c r="E4" s="30" t="s">
        <v>359</v>
      </c>
      <c r="F4" s="208" t="b">
        <v>1</v>
      </c>
      <c r="G4" s="212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"%USERPROFILE%\AppData\Local\Temp\OnboardLogs"\RTDC4019\*4019*201703061*</v>
      </c>
      <c r="I4" s="210" t="str">
        <f>IF(VLOOKUP(K4,'Train Runs'!$A$13:$V$989,1,TRUE)=K4,VLOOKUP(K4,'Train Runs'!$A$13:$V$989,22,TRUE),NA())</f>
        <v>https://d0f6bd738d7f1b3e5a7ca70fe4ff75f0.us-east-1.aws.found.io/app/kibana#/discover/Steve-Slow-Train-Analysis-(2080s-and-2083s)?_g=(refreshInterval:(display:Off,pause:!f,section:0,value:0),time:(from:'2017-04-14T06:46:58-0600',mode:absolute,to:'2017-04-14T09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128-14</v>
      </c>
      <c r="L4" s="202">
        <f>IF(VLOOKUP(K4,'Train Runs'!$A$12:$B$989,1,TRUE)=K4,VLOOKUP(K4,'Train Runs'!$A$12:$B$989,2,TRUE),NA())</f>
        <v>4019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355</v>
      </c>
      <c r="C5" s="194" t="s">
        <v>357</v>
      </c>
      <c r="D5" s="208">
        <f>D4+2</f>
        <v>130</v>
      </c>
      <c r="E5" s="30" t="s">
        <v>359</v>
      </c>
      <c r="F5" s="208" t="b">
        <v>1</v>
      </c>
      <c r="G5" s="212" t="str">
        <f t="shared" si="0"/>
        <v>"C:\Program Files (x86)\AstroGrep\AstroGrep.exe" /e /r /s /spath="%USERPROFILE%\AppData\Local\Temp\OnboardLogs" /stypes="*4045*201703061*"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"%USERPROFILE%\AppData\Local\Temp\OnboardLogs"\RTDC4045\*4045*201703061*</v>
      </c>
      <c r="I5" s="210" t="str">
        <f>IF(VLOOKUP(K5,'Train Runs'!$A$13:$V$989,1,TRUE)=K5,VLOOKUP(K5,'Train Runs'!$A$13:$V$989,22,TRUE),NA())</f>
        <v>https://d0f6bd738d7f1b3e5a7ca70fe4ff75f0.us-east-1.aws.found.io/app/kibana#/discover/Steve-Slow-Train-Analysis-(2080s-and-2083s)?_g=(refreshInterval:(display:Off,pause:!f,section:0,value:0),time:(from:'2017-04-14T06:52:07-0600',mode:absolute,to:'2017-04-14T09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130-14</v>
      </c>
      <c r="L5" s="202">
        <f>IF(VLOOKUP(K5,'Train Runs'!$A$12:$B$989,1,TRUE)=K5,VLOOKUP(K5,'Train Runs'!$A$12:$B$989,2,TRUE),NA())</f>
        <v>4045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355</v>
      </c>
      <c r="C6" s="194" t="s">
        <v>357</v>
      </c>
      <c r="D6" s="208">
        <f>D5+2</f>
        <v>132</v>
      </c>
      <c r="E6" s="30" t="s">
        <v>359</v>
      </c>
      <c r="F6" s="208" t="b">
        <v>1</v>
      </c>
      <c r="G6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"%USERPROFILE%\AppData\Local\Temp\OnboardLogs"\RTDC4041\*4041*201703061*</v>
      </c>
      <c r="I6" s="210" t="str">
        <f>IF(VLOOKUP(K6,'Train Runs'!$A$13:$V$989,1,TRUE)=K6,VLOOKUP(K6,'Train Runs'!$A$13:$V$989,22,TRUE),NA())</f>
        <v>https://d0f6bd738d7f1b3e5a7ca70fe4ff75f0.us-east-1.aws.found.io/app/kibana#/discover/Steve-Slow-Train-Analysis-(2080s-and-2083s)?_g=(refreshInterval:(display:Off,pause:!f,section:0,value:0),time:(from:'2017-04-14T07:19:18-0600',mode:absolute,to:'2017-04-14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6" s="206">
        <f t="shared" si="2"/>
        <v>42800.625</v>
      </c>
      <c r="K6" s="206" t="str">
        <f>D6&amp;"-"&amp;IF(DAY(Variables!$A$2)&lt;10,0,"")&amp;DAY(Variables!$A$2)</f>
        <v>132-14</v>
      </c>
      <c r="L6" s="202">
        <f>IF(VLOOKUP(K6,'Train Runs'!$A$12:$B$989,1,TRUE)=K6,VLOOKUP(K6,'Train Runs'!$A$12:$B$989,2,TRUE),NA())</f>
        <v>4041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355</v>
      </c>
      <c r="C7" s="194" t="s">
        <v>357</v>
      </c>
      <c r="D7" s="208">
        <f t="shared" ref="D7:D11" si="4">D6+2</f>
        <v>134</v>
      </c>
      <c r="E7" s="30" t="s">
        <v>359</v>
      </c>
      <c r="F7" s="208" t="b">
        <v>1</v>
      </c>
      <c r="G7" s="212" t="str">
        <f t="shared" si="0"/>
        <v>"C:\Program Files (x86)\AstroGrep\AstroGrep.exe" /e /r /s /spath="%USERPROFILE%\AppData\Local\Temp\OnboardLogs" /stypes="*4003*201703061*"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"%USERPROFILE%\AppData\Local\Temp\OnboardLogs"\RTDC4003\*4003*201703061*</v>
      </c>
      <c r="I7" s="210" t="str">
        <f>IF(VLOOKUP(K7,'Train Runs'!$A$13:$V$989,1,TRUE)=K7,VLOOKUP(K7,'Train Runs'!$A$13:$V$989,22,TRUE),NA())</f>
        <v>https://d0f6bd738d7f1b3e5a7ca70fe4ff75f0.us-east-1.aws.found.io/app/kibana#/discover/Steve-Slow-Train-Analysis-(2080s-and-2083s)?_g=(refreshInterval:(display:Off,pause:!f,section:0,value:0),time:(from:'2017-04-14T07:33:38-0600',mode:absolute,to:'2017-04-14T10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134-14</v>
      </c>
      <c r="L7" s="202">
        <f>IF(VLOOKUP(K7,'Train Runs'!$A$12:$B$989,1,TRUE)=K7,VLOOKUP(K7,'Train Runs'!$A$12:$B$989,2,TRUE),NA())</f>
        <v>4003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355</v>
      </c>
      <c r="C8" s="194" t="s">
        <v>357</v>
      </c>
      <c r="D8" s="208">
        <f t="shared" si="4"/>
        <v>136</v>
      </c>
      <c r="E8" s="30" t="s">
        <v>359</v>
      </c>
      <c r="F8" s="208" t="b">
        <v>1</v>
      </c>
      <c r="G8" s="212" t="str">
        <f t="shared" si="0"/>
        <v>"C:\Program Files (x86)\AstroGrep\AstroGrep.exe" /e /r /s /spath="%USERPROFILE%\AppData\Local\Temp\OnboardLogs" /stypes="*4009*201703061*"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"%USERPROFILE%\AppData\Local\Temp\OnboardLogs"\RTDC4009\*4009*201703061*</v>
      </c>
      <c r="I8" s="210" t="str">
        <f>IF(VLOOKUP(K8,'Train Runs'!$A$13:$V$989,1,TRUE)=K8,VLOOKUP(K8,'Train Runs'!$A$13:$V$989,22,TRUE),NA())</f>
        <v>https://d0f6bd738d7f1b3e5a7ca70fe4ff75f0.us-east-1.aws.found.io/app/kibana#/discover/Steve-Slow-Train-Analysis-(2080s-and-2083s)?_g=(refreshInterval:(display:Off,pause:!f,section:0,value:0),time:(from:'2017-04-14T07:52:05-0600',mode:absolute,to:'2017-04-14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136-14</v>
      </c>
      <c r="L8" s="202">
        <f>IF(VLOOKUP(K8,'Train Runs'!$A$12:$B$989,1,TRUE)=K8,VLOOKUP(K8,'Train Runs'!$A$12:$B$989,2,TRUE),NA())</f>
        <v>4009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355</v>
      </c>
      <c r="C9" s="194" t="s">
        <v>357</v>
      </c>
      <c r="D9" s="208">
        <f t="shared" si="4"/>
        <v>138</v>
      </c>
      <c r="E9" s="30" t="s">
        <v>359</v>
      </c>
      <c r="F9" s="208" t="b">
        <v>1</v>
      </c>
      <c r="G9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"%USERPROFILE%\AppData\Local\Temp\OnboardLogs"\RTDC4031\*4031*201703061*</v>
      </c>
      <c r="I9" s="210" t="str">
        <f>IF(VLOOKUP(K9,'Train Runs'!$A$13:$V$989,1,TRUE)=K9,VLOOKUP(K9,'Train Runs'!$A$13:$V$989,22,TRUE),NA())</f>
        <v>https://d0f6bd738d7f1b3e5a7ca70fe4ff75f0.us-east-1.aws.found.io/app/kibana#/discover/Steve-Slow-Train-Analysis-(2080s-and-2083s)?_g=(refreshInterval:(display:Off,pause:!f,section:0,value:0),time:(from:'2017-04-14T07:56:24-0600',mode:absolute,to:'2017-04-14T10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138-14</v>
      </c>
      <c r="L9" s="202">
        <f>IF(VLOOKUP(K9,'Train Runs'!$A$12:$B$989,1,TRUE)=K9,VLOOKUP(K9,'Train Runs'!$A$12:$B$989,2,TRUE),NA())</f>
        <v>4031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355</v>
      </c>
      <c r="C10" s="194" t="s">
        <v>357</v>
      </c>
      <c r="D10" s="208">
        <f t="shared" si="4"/>
        <v>140</v>
      </c>
      <c r="E10" s="30" t="s">
        <v>359</v>
      </c>
      <c r="F10" s="208" t="b">
        <v>1</v>
      </c>
      <c r="G10" s="212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"%USERPROFILE%\AppData\Local\Temp\OnboardLogs"\RTDC4039\*4039*201703061*</v>
      </c>
      <c r="I10" s="210" t="str">
        <f>IF(VLOOKUP(K10,'Train Runs'!$A$13:$V$989,1,TRUE)=K10,VLOOKUP(K10,'Train Runs'!$A$13:$V$989,22,TRUE),NA())</f>
        <v>https://d0f6bd738d7f1b3e5a7ca70fe4ff75f0.us-east-1.aws.found.io/app/kibana#/discover/Steve-Slow-Train-Analysis-(2080s-and-2083s)?_g=(refreshInterval:(display:Off,pause:!f,section:0,value:0),time:(from:'2017-04-14T08:19:43-0600',mode:absolute,to:'2017-04-14T11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140-14</v>
      </c>
      <c r="L10" s="202">
        <f>IF(VLOOKUP(K10,'Train Runs'!$A$12:$B$989,1,TRUE)=K10,VLOOKUP(K10,'Train Runs'!$A$12:$B$989,2,TRUE),NA())</f>
        <v>4039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355</v>
      </c>
      <c r="C11" s="194" t="s">
        <v>357</v>
      </c>
      <c r="D11" s="208">
        <f t="shared" si="4"/>
        <v>142</v>
      </c>
      <c r="E11" s="30" t="s">
        <v>359</v>
      </c>
      <c r="F11" s="208" t="b">
        <v>1</v>
      </c>
      <c r="G11" s="212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"%USERPROFILE%\AppData\Local\Temp\OnboardLogs"\RTDC4019\*4019*201703061*</v>
      </c>
      <c r="I11" s="210" t="str">
        <f>IF(VLOOKUP(K11,'Train Runs'!$A$13:$V$989,1,TRUE)=K11,VLOOKUP(K11,'Train Runs'!$A$13:$V$989,22,TRUE),NA())</f>
        <v>https://d0f6bd738d7f1b3e5a7ca70fe4ff75f0.us-east-1.aws.found.io/app/kibana#/discover/Steve-Slow-Train-Analysis-(2080s-and-2083s)?_g=(refreshInterval:(display:Off,pause:!f,section:0,value:0),time:(from:'2017-04-14T08:33:25-0600',mode:absolute,to:'2017-04-14T11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142-14</v>
      </c>
      <c r="L11" s="202">
        <f>IF(VLOOKUP(K11,'Train Runs'!$A$12:$B$989,1,TRUE)=K11,VLOOKUP(K11,'Train Runs'!$A$12:$B$989,2,TRUE),NA())</f>
        <v>4019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355</v>
      </c>
      <c r="C12" s="194" t="s">
        <v>357</v>
      </c>
      <c r="D12" s="208">
        <v>144</v>
      </c>
      <c r="E12" s="30" t="s">
        <v>359</v>
      </c>
      <c r="F12" s="208" t="b">
        <v>1</v>
      </c>
      <c r="G12" s="212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"%USERPROFILE%\AppData\Local\Temp\OnboardLogs"\RTDC4045\*4045*201703061*</v>
      </c>
      <c r="I12" s="210" t="str">
        <f>IF(VLOOKUP(K12,'Train Runs'!$A$13:$V$989,1,TRUE)=K12,VLOOKUP(K12,'Train Runs'!$A$13:$V$989,22,TRUE),NA())</f>
        <v>https://d0f6bd738d7f1b3e5a7ca70fe4ff75f0.us-east-1.aws.found.io/app/kibana#/discover/Steve-Slow-Train-Analysis-(2080s-and-2083s)?_g=(refreshInterval:(display:Off,pause:!f,section:0,value:0),time:(from:'2017-04-14T08:38:53-0600',mode:absolute,to:'2017-04-14T11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144-14</v>
      </c>
      <c r="L12" s="202">
        <f>IF(VLOOKUP(K12,'Train Runs'!$A$12:$B$989,1,TRUE)=K12,VLOOKUP(K12,'Train Runs'!$A$12:$B$989,2,TRUE),NA())</f>
        <v>4045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355</v>
      </c>
      <c r="C13" s="194" t="s">
        <v>357</v>
      </c>
      <c r="D13" s="208">
        <v>146</v>
      </c>
      <c r="E13" s="30" t="s">
        <v>359</v>
      </c>
      <c r="F13" s="208" t="b">
        <v>1</v>
      </c>
      <c r="G13" s="212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"%USERPROFILE%\AppData\Local\Temp\OnboardLogs"\RTDC4041\*4041*201703061*</v>
      </c>
      <c r="I13" s="210" t="str">
        <f>IF(VLOOKUP(K13,'Train Runs'!$A$13:$V$989,1,TRUE)=K13,VLOOKUP(K13,'Train Runs'!$A$13:$V$989,22,TRUE),NA())</f>
        <v>https://d0f6bd738d7f1b3e5a7ca70fe4ff75f0.us-east-1.aws.found.io/app/kibana#/discover/Steve-Slow-Train-Analysis-(2080s-and-2083s)?_g=(refreshInterval:(display:Off,pause:!f,section:0,value:0),time:(from:'2017-04-14T09:06:47-0600',mode:absolute,to:'2017-04-14T11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146-14</v>
      </c>
      <c r="L13" s="202">
        <f>IF(VLOOKUP(K13,'Train Runs'!$A$12:$B$989,1,TRUE)=K13,VLOOKUP(K13,'Train Runs'!$A$12:$B$989,2,TRUE),NA())</f>
        <v>4041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355</v>
      </c>
      <c r="C14" s="194" t="s">
        <v>357</v>
      </c>
      <c r="D14" s="208">
        <v>148</v>
      </c>
      <c r="E14" s="30" t="s">
        <v>363</v>
      </c>
      <c r="F14" s="208" t="b">
        <v>1</v>
      </c>
      <c r="G14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"%USERPROFILE%\AppData\Local\Temp\OnboardLogs"\RTDC4003\*4003*201703061*</v>
      </c>
      <c r="I14" s="210" t="str">
        <f>IF(VLOOKUP(K14,'Train Runs'!$A$13:$V$989,1,TRUE)=K14,VLOOKUP(K14,'Train Runs'!$A$13:$V$989,22,TRUE),NA())</f>
        <v>https://d0f6bd738d7f1b3e5a7ca70fe4ff75f0.us-east-1.aws.found.io/app/kibana#/discover/Steve-Slow-Train-Analysis-(2080s-and-2083s)?_g=(refreshInterval:(display:Off,pause:!f,section:0,value:0),time:(from:'2017-04-14T09:20:05-0600',mode:absolute,to:'2017-04-14T12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148-14</v>
      </c>
      <c r="L14" s="202">
        <f>IF(VLOOKUP(K14,'Train Runs'!$A$12:$B$989,1,TRUE)=K14,VLOOKUP(K14,'Train Runs'!$A$12:$B$989,2,TRUE),NA())</f>
        <v>4003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355</v>
      </c>
      <c r="C15" s="194" t="s">
        <v>357</v>
      </c>
      <c r="D15" s="208">
        <v>178</v>
      </c>
      <c r="E15" s="30" t="s">
        <v>364</v>
      </c>
      <c r="F15" s="208" t="b">
        <v>1</v>
      </c>
      <c r="G15" s="212" t="str">
        <f t="shared" si="0"/>
        <v>"C:\Program Files (x86)\AstroGrep\AstroGrep.exe" /e /r /s /spath="%USERPROFILE%\AppData\Local\Temp\OnboardLogs" /stypes="*4009*201703062*"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"%USERPROFILE%\AppData\Local\Temp\OnboardLogs"\RTDC4009\*4009*201703062*</v>
      </c>
      <c r="I15" s="210" t="str">
        <f>IF(VLOOKUP(K15,'Train Runs'!$A$13:$V$989,1,TRUE)=K15,VLOOKUP(K15,'Train Runs'!$A$13:$V$989,22,TRUE),NA())</f>
        <v>https://d0f6bd738d7f1b3e5a7ca70fe4ff75f0.us-east-1.aws.found.io/app/kibana#/discover/Steve-Slow-Train-Analysis-(2080s-and-2083s)?_g=(refreshInterval:(display:Off,pause:!f,section:0,value:0),time:(from:'2017-04-14T13:03:48-0600',mode:absolute,to:'2017-04-14T15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178-14</v>
      </c>
      <c r="L15" s="202">
        <f>IF(VLOOKUP(K15,'Train Runs'!$A$12:$B$989,1,TRUE)=K15,VLOOKUP(K15,'Train Runs'!$A$12:$B$989,2,TRUE),NA())</f>
        <v>4009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355</v>
      </c>
      <c r="C16" s="194" t="s">
        <v>357</v>
      </c>
      <c r="D16" s="208">
        <v>194</v>
      </c>
      <c r="E16" s="30" t="s">
        <v>364</v>
      </c>
      <c r="F16" s="208" t="b">
        <v>1</v>
      </c>
      <c r="G16" s="212" t="str">
        <f t="shared" si="0"/>
        <v>"C:\Program Files (x86)\AstroGrep\AstroGrep.exe" /e /r /s /spath="%USERPROFILE%\AppData\Local\Temp\OnboardLogs" /stypes="*4031*201703062*"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"%USERPROFILE%\AppData\Local\Temp\OnboardLogs"\RTDC4031\*4031*201703062*</v>
      </c>
      <c r="I16" s="210" t="str">
        <f>IF(VLOOKUP(K16,'Train Runs'!$A$13:$V$989,1,TRUE)=K16,VLOOKUP(K16,'Train Runs'!$A$13:$V$989,22,TRUE),NA())</f>
        <v>https://d0f6bd738d7f1b3e5a7ca70fe4ff75f0.us-east-1.aws.found.io/app/kibana#/discover/Steve-Slow-Train-Analysis-(2080s-and-2083s)?_g=(refreshInterval:(display:Off,pause:!f,section:0,value:0),time:(from:'2017-04-14T15:03:30-0600',mode:absolute,to:'2017-04-14T17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194-14</v>
      </c>
      <c r="L16" s="202">
        <f>IF(VLOOKUP(K16,'Train Runs'!$A$12:$B$989,1,TRUE)=K16,VLOOKUP(K16,'Train Runs'!$A$12:$B$989,2,TRUE),NA())</f>
        <v>4031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355</v>
      </c>
      <c r="C17" s="194" t="s">
        <v>357</v>
      </c>
      <c r="D17" s="208">
        <v>206</v>
      </c>
      <c r="E17" s="30" t="s">
        <v>359</v>
      </c>
      <c r="F17" s="208" t="b">
        <v>1</v>
      </c>
      <c r="G17" s="212" t="str">
        <f t="shared" si="0"/>
        <v>"C:\Program Files (x86)\AstroGrep\AstroGrep.exe" /e /r /s /spath="%USERPROFILE%\AppData\Local\Temp\OnboardLogs" /stypes="*4009*201703070*"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"%USERPROFILE%\AppData\Local\Temp\OnboardLogs"\RTDC4009\*4009*201703070*</v>
      </c>
      <c r="I17" s="210" t="str">
        <f>IF(VLOOKUP(K17,'Train Runs'!$A$13:$V$989,1,TRUE)=K17,VLOOKUP(K17,'Train Runs'!$A$13:$V$989,22,TRUE),NA())</f>
        <v>https://d0f6bd738d7f1b3e5a7ca70fe4ff75f0.us-east-1.aws.found.io/app/kibana#/discover/Steve-Slow-Train-Analysis-(2080s-and-2083s)?_g=(refreshInterval:(display:Off,pause:!f,section:0,value:0),time:(from:'2017-04-14T16:34:02-0600',mode:absolute,to:'2017-04-14T19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206-14</v>
      </c>
      <c r="L17" s="202">
        <f>IF(VLOOKUP(K17,'Train Runs'!$A$12:$B$989,1,TRUE)=K17,VLOOKUP(K17,'Train Runs'!$A$12:$B$989,2,TRUE),NA())</f>
        <v>4009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355</v>
      </c>
      <c r="C18" s="194" t="s">
        <v>357</v>
      </c>
      <c r="D18" s="208">
        <v>210</v>
      </c>
      <c r="E18" s="30" t="s">
        <v>359</v>
      </c>
      <c r="F18" s="208" t="b">
        <v>1</v>
      </c>
      <c r="G18" s="212" t="str">
        <f t="shared" si="0"/>
        <v>"C:\Program Files (x86)\AstroGrep\AstroGrep.exe" /e /r /s /spath="%USERPROFILE%\AppData\Local\Temp\OnboardLogs" /stypes="*4039*201703070*"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"%USERPROFILE%\AppData\Local\Temp\OnboardLogs"\RTDC4039\*4039*201703070*</v>
      </c>
      <c r="I18" s="210" t="str">
        <f>IF(VLOOKUP(K18,'Train Runs'!$A$13:$V$989,1,TRUE)=K18,VLOOKUP(K18,'Train Runs'!$A$13:$V$989,22,TRUE),NA())</f>
        <v>https://d0f6bd738d7f1b3e5a7ca70fe4ff75f0.us-east-1.aws.found.io/app/kibana#/discover/Steve-Slow-Train-Analysis-(2080s-and-2083s)?_g=(refreshInterval:(display:Off,pause:!f,section:0,value:0),time:(from:'2017-04-14T17:07:14-0600',mode:absolute,to:'2017-04-14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210-14</v>
      </c>
      <c r="L18" s="202">
        <f>IF(VLOOKUP(K18,'Train Runs'!$A$12:$B$989,1,TRUE)=K18,VLOOKUP(K18,'Train Runs'!$A$12:$B$989,2,TRUE),NA())</f>
        <v>4039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355</v>
      </c>
      <c r="C19" s="194" t="s">
        <v>357</v>
      </c>
      <c r="D19" s="208">
        <f>D18+2</f>
        <v>212</v>
      </c>
      <c r="E19" s="30" t="s">
        <v>359</v>
      </c>
      <c r="F19" s="208" t="b">
        <v>1</v>
      </c>
      <c r="G19" s="212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"%USERPROFILE%\AppData\Local\Temp\OnboardLogs"\RTDC4019\*4019*201703070*</v>
      </c>
      <c r="I19" s="210" t="str">
        <f>IF(VLOOKUP(K19,'Train Runs'!$A$13:$V$989,1,TRUE)=K19,VLOOKUP(K19,'Train Runs'!$A$13:$V$989,22,TRUE),NA())</f>
        <v>https://d0f6bd738d7f1b3e5a7ca70fe4ff75f0.us-east-1.aws.found.io/app/kibana#/discover/Steve-Slow-Train-Analysis-(2080s-and-2083s)?_g=(refreshInterval:(display:Off,pause:!f,section:0,value:0),time:(from:'2017-04-14T17:20:05-0600',mode:absolute,to:'2017-04-14T20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212-14</v>
      </c>
      <c r="L19" s="202">
        <f>IF(VLOOKUP(K19,'Train Runs'!$A$12:$B$989,1,TRUE)=K19,VLOOKUP(K19,'Train Runs'!$A$12:$B$989,2,TRUE),NA())</f>
        <v>4019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355</v>
      </c>
      <c r="C20" s="194" t="s">
        <v>357</v>
      </c>
      <c r="D20" s="208">
        <v>214</v>
      </c>
      <c r="E20" s="30" t="s">
        <v>359</v>
      </c>
      <c r="F20" s="208" t="b">
        <v>1</v>
      </c>
      <c r="G20" s="212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"%USERPROFILE%\AppData\Local\Temp\OnboardLogs"\RTDC4045\*4045*201703070*</v>
      </c>
      <c r="I20" s="210" t="str">
        <f>IF(VLOOKUP(K20,'Train Runs'!$A$13:$V$989,1,TRUE)=K20,VLOOKUP(K20,'Train Runs'!$A$13:$V$989,22,TRUE),NA())</f>
        <v>https://d0f6bd738d7f1b3e5a7ca70fe4ff75f0.us-east-1.aws.found.io/app/kibana#/discover/Steve-Slow-Train-Analysis-(2080s-and-2083s)?_g=(refreshInterval:(display:Off,pause:!f,section:0,value:0),time:(from:'2017-04-14T17:24:26-0600',mode:absolute,to:'2017-04-14T20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214-14</v>
      </c>
      <c r="L20" s="202">
        <f>IF(VLOOKUP(K20,'Train Runs'!$A$12:$B$989,1,TRUE)=K20,VLOOKUP(K20,'Train Runs'!$A$12:$B$989,2,TRUE),NA())</f>
        <v>4045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355</v>
      </c>
      <c r="C21" s="194" t="s">
        <v>357</v>
      </c>
      <c r="D21" s="208">
        <v>216</v>
      </c>
      <c r="E21" s="30" t="s">
        <v>359</v>
      </c>
      <c r="F21" s="208" t="b">
        <v>1</v>
      </c>
      <c r="G21" s="212" t="str">
        <f t="shared" si="0"/>
        <v>"C:\Program Files (x86)\AstroGrep\AstroGrep.exe" /e /r /s /spath="%USERPROFILE%\AppData\Local\Temp\OnboardLogs" /stypes="*4041*201703070*"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"%USERPROFILE%\AppData\Local\Temp\OnboardLogs"\RTDC4041\*4041*201703070*</v>
      </c>
      <c r="I21" s="210" t="str">
        <f>IF(VLOOKUP(K21,'Train Runs'!$A$13:$V$989,1,TRUE)=K21,VLOOKUP(K21,'Train Runs'!$A$13:$V$989,22,TRUE),NA())</f>
        <v>https://d0f6bd738d7f1b3e5a7ca70fe4ff75f0.us-east-1.aws.found.io/app/kibana#/discover/Steve-Slow-Train-Analysis-(2080s-and-2083s)?_g=(refreshInterval:(display:Off,pause:!f,section:0,value:0),time:(from:'2017-04-14T17:51:27-0600',mode:absolute,to:'2017-04-14T20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216-14</v>
      </c>
      <c r="L21" s="202">
        <f>IF(VLOOKUP(K21,'Train Runs'!$A$12:$B$989,1,TRUE)=K21,VLOOKUP(K21,'Train Runs'!$A$12:$B$989,2,TRUE),NA())</f>
        <v>4041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355</v>
      </c>
      <c r="C22" s="194" t="s">
        <v>357</v>
      </c>
      <c r="D22" s="208">
        <f>D21+2</f>
        <v>218</v>
      </c>
      <c r="E22" s="30" t="s">
        <v>359</v>
      </c>
      <c r="F22" s="208" t="b">
        <v>1</v>
      </c>
      <c r="G22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"%USERPROFILE%\AppData\Local\Temp\OnboardLogs"\RTDC4003\*4003*201703070*</v>
      </c>
      <c r="I22" s="210" t="str">
        <f>IF(VLOOKUP(K22,'Train Runs'!$A$13:$V$989,1,TRUE)=K22,VLOOKUP(K22,'Train Runs'!$A$13:$V$989,22,TRUE),NA())</f>
        <v>https://d0f6bd738d7f1b3e5a7ca70fe4ff75f0.us-east-1.aws.found.io/app/kibana#/discover/Steve-Slow-Train-Analysis-(2080s-and-2083s)?_g=(refreshInterval:(display:Off,pause:!f,section:0,value:0),time:(from:'2017-04-14T17:56:49-0600',mode:absolute,to:'2017-04-14T20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218-14</v>
      </c>
      <c r="L22" s="202">
        <f>IF(VLOOKUP(K22,'Train Runs'!$A$12:$B$989,1,TRUE)=K22,VLOOKUP(K22,'Train Runs'!$A$12:$B$989,2,TRUE),NA())</f>
        <v>4003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355</v>
      </c>
      <c r="C23" s="194" t="s">
        <v>357</v>
      </c>
      <c r="D23" s="208">
        <f>D22+2</f>
        <v>220</v>
      </c>
      <c r="E23" s="30" t="s">
        <v>359</v>
      </c>
      <c r="F23" s="208" t="b">
        <v>1</v>
      </c>
      <c r="G23" s="212" t="str">
        <f t="shared" si="0"/>
        <v>"C:\Program Files (x86)\AstroGrep\AstroGrep.exe" /e /r /s /spath="%USERPROFILE%\AppData\Local\Temp\OnboardLogs" /stypes="*4009*201703070*"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"%USERPROFILE%\AppData\Local\Temp\OnboardLogs"\RTDC4009\*4009*201703070*</v>
      </c>
      <c r="I23" s="210" t="str">
        <f>IF(VLOOKUP(K23,'Train Runs'!$A$13:$V$989,1,TRUE)=K23,VLOOKUP(K23,'Train Runs'!$A$13:$V$989,22,TRUE),NA())</f>
        <v>https://d0f6bd738d7f1b3e5a7ca70fe4ff75f0.us-east-1.aws.found.io/app/kibana#/discover/Steve-Slow-Train-Analysis-(2080s-and-2083s)?_g=(refreshInterval:(display:Off,pause:!f,section:0,value:0),time:(from:'2017-04-14T18:10:42-0600',mode:absolute,to:'2017-04-14T21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220-14</v>
      </c>
      <c r="L23" s="202">
        <f>IF(VLOOKUP(K23,'Train Runs'!$A$12:$B$989,1,TRUE)=K23,VLOOKUP(K23,'Train Runs'!$A$12:$B$989,2,TRUE),NA())</f>
        <v>4009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355</v>
      </c>
      <c r="C24" s="194" t="s">
        <v>357</v>
      </c>
      <c r="D24" s="208">
        <f>D23+2</f>
        <v>222</v>
      </c>
      <c r="E24" s="30" t="s">
        <v>359</v>
      </c>
      <c r="F24" s="208" t="b">
        <v>1</v>
      </c>
      <c r="G24" s="212" t="str">
        <f t="shared" si="0"/>
        <v>"C:\Program Files (x86)\AstroGrep\AstroGrep.exe" /e /r /s /spath="%USERPROFILE%\AppData\Local\Temp\OnboardLogs" /stypes="*4039*201703070*"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"%USERPROFILE%\AppData\Local\Temp\OnboardLogs"\RTDC4039\*4039*201703070*</v>
      </c>
      <c r="I24" s="210" t="str">
        <f>IF(VLOOKUP(K24,'Train Runs'!$A$13:$V$989,1,TRUE)=K24,VLOOKUP(K24,'Train Runs'!$A$13:$V$989,22,TRUE),NA())</f>
        <v>https://d0f6bd738d7f1b3e5a7ca70fe4ff75f0.us-east-1.aws.found.io/app/kibana#/discover/Steve-Slow-Train-Analysis-(2080s-and-2083s)?_g=(refreshInterval:(display:Off,pause:!f,section:0,value:0),time:(from:'2017-04-14T18:50:02-0600',mode:absolute,to:'2017-04-14T21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222-14</v>
      </c>
      <c r="L24" s="202">
        <f>IF(VLOOKUP(K24,'Train Runs'!$A$12:$B$989,1,TRUE)=K24,VLOOKUP(K24,'Train Runs'!$A$12:$B$989,2,TRUE),NA())</f>
        <v>4039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355</v>
      </c>
      <c r="C25" s="194" t="s">
        <v>357</v>
      </c>
      <c r="D25" s="208">
        <f>D24+2</f>
        <v>224</v>
      </c>
      <c r="E25" s="30" t="s">
        <v>359</v>
      </c>
      <c r="F25" s="208" t="b">
        <v>1</v>
      </c>
      <c r="G25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"%USERPROFILE%\AppData\Local\Temp\OnboardLogs"\RTDC4045\*4045*201703070*</v>
      </c>
      <c r="I25" s="210" t="str">
        <f>IF(VLOOKUP(K25,'Train Runs'!$A$13:$V$989,1,TRUE)=K25,VLOOKUP(K25,'Train Runs'!$A$13:$V$989,22,TRUE),NA())</f>
        <v>https://d0f6bd738d7f1b3e5a7ca70fe4ff75f0.us-east-1.aws.found.io/app/kibana#/discover/Steve-Slow-Train-Analysis-(2080s-and-2083s)?_g=(refreshInterval:(display:Off,pause:!f,section:0,value:0),time:(from:'2017-04-14T19:11:38-0600',mode:absolute,to:'2017-04-14T22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224-14</v>
      </c>
      <c r="L25" s="202">
        <f>IF(VLOOKUP(K25,'Train Runs'!$A$12:$B$989,1,TRUE)=K25,VLOOKUP(K25,'Train Runs'!$A$12:$B$989,2,TRUE),NA())</f>
        <v>4045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355</v>
      </c>
      <c r="C26" s="194" t="s">
        <v>357</v>
      </c>
      <c r="D26" s="208">
        <f>D25+2</f>
        <v>226</v>
      </c>
      <c r="E26" s="30" t="s">
        <v>359</v>
      </c>
      <c r="F26" s="208" t="b">
        <v>1</v>
      </c>
      <c r="G26" s="212" t="str">
        <f t="shared" si="0"/>
        <v>"C:\Program Files (x86)\AstroGrep\AstroGrep.exe" /e /r /s /spath="%USERPROFILE%\AppData\Local\Temp\OnboardLogs" /stypes="*4003*201703070*"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"%USERPROFILE%\AppData\Local\Temp\OnboardLogs"\RTDC4003\*4003*201703070*</v>
      </c>
      <c r="I26" s="210" t="str">
        <f>IF(VLOOKUP(K26,'Train Runs'!$A$13:$V$989,1,TRUE)=K26,VLOOKUP(K26,'Train Runs'!$A$13:$V$989,22,TRUE),NA())</f>
        <v>https://d0f6bd738d7f1b3e5a7ca70fe4ff75f0.us-east-1.aws.found.io/app/kibana#/discover/Steve-Slow-Train-Analysis-(2080s-and-2083s)?_g=(refreshInterval:(display:Off,pause:!f,section:0,value:0),time:(from:'2017-04-14T19:47:01-0600',mode:absolute,to:'2017-04-14T22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226-14</v>
      </c>
      <c r="L26" s="202">
        <f>IF(VLOOKUP(K26,'Train Runs'!$A$12:$B$989,1,TRUE)=K26,VLOOKUP(K26,'Train Runs'!$A$12:$B$989,2,TRUE),NA())</f>
        <v>4003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355</v>
      </c>
      <c r="C27" s="194" t="s">
        <v>357</v>
      </c>
      <c r="D27" s="208">
        <f t="shared" ref="D27:D33" si="5">D26+2</f>
        <v>228</v>
      </c>
      <c r="E27" s="30" t="s">
        <v>359</v>
      </c>
      <c r="F27" s="208" t="b">
        <v>1</v>
      </c>
      <c r="G27" s="212" t="str">
        <f t="shared" si="0"/>
        <v>"C:\Program Files (x86)\AstroGrep\AstroGrep.exe" /e /r /s /spath="%USERPROFILE%\AppData\Local\Temp\OnboardLogs" /stypes="*4009*201703070*"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"%USERPROFILE%\AppData\Local\Temp\OnboardLogs"\RTDC4009\*4009*201703070*</v>
      </c>
      <c r="I27" s="210" t="str">
        <f>IF(VLOOKUP(K27,'Train Runs'!$A$13:$V$989,1,TRUE)=K27,VLOOKUP(K27,'Train Runs'!$A$13:$V$989,22,TRUE),NA())</f>
        <v>https://d0f6bd738d7f1b3e5a7ca70fe4ff75f0.us-east-1.aws.found.io/app/kibana#/discover/Steve-Slow-Train-Analysis-(2080s-and-2083s)?_g=(refreshInterval:(display:Off,pause:!f,section:0,value:0),time:(from:'2017-04-14T20:12:32-0600',mode:absolute,to:'2017-04-14T23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228-14</v>
      </c>
      <c r="L27" s="202">
        <f>IF(VLOOKUP(K27,'Train Runs'!$A$12:$B$989,1,TRUE)=K27,VLOOKUP(K27,'Train Runs'!$A$12:$B$989,2,TRUE),NA())</f>
        <v>4009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355</v>
      </c>
      <c r="C28" s="194" t="s">
        <v>357</v>
      </c>
      <c r="D28" s="208">
        <f t="shared" si="5"/>
        <v>230</v>
      </c>
      <c r="E28" s="30" t="s">
        <v>359</v>
      </c>
      <c r="F28" s="208" t="b">
        <v>1</v>
      </c>
      <c r="G28" s="212" t="str">
        <f t="shared" si="0"/>
        <v>"C:\Program Files (x86)\AstroGrep\AstroGrep.exe" /e /r /s /spath="%USERPROFILE%\AppData\Local\Temp\OnboardLogs" /stypes="*4039*201703070*"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"%USERPROFILE%\AppData\Local\Temp\OnboardLogs"\RTDC4039\*4039*201703070*</v>
      </c>
      <c r="I28" s="210" t="str">
        <f>IF(VLOOKUP(K28,'Train Runs'!$A$13:$V$989,1,TRUE)=K28,VLOOKUP(K28,'Train Runs'!$A$13:$V$989,22,TRUE),NA())</f>
        <v>https://d0f6bd738d7f1b3e5a7ca70fe4ff75f0.us-east-1.aws.found.io/app/kibana#/discover/Steve-Slow-Train-Analysis-(2080s-and-2083s)?_g=(refreshInterval:(display:Off,pause:!f,section:0,value:0),time:(from:'2017-04-14T20:42:51-0600',mode:absolute,to:'2017-04-14T23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230-14</v>
      </c>
      <c r="L28" s="202">
        <f>IF(VLOOKUP(K28,'Train Runs'!$A$12:$B$989,1,TRUE)=K28,VLOOKUP(K28,'Train Runs'!$A$12:$B$989,2,TRUE),NA())</f>
        <v>4039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355</v>
      </c>
      <c r="C29" s="194" t="s">
        <v>357</v>
      </c>
      <c r="D29" s="208">
        <f t="shared" si="5"/>
        <v>232</v>
      </c>
      <c r="E29" s="30" t="s">
        <v>359</v>
      </c>
      <c r="F29" s="208" t="b">
        <v>1</v>
      </c>
      <c r="G29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"%USERPROFILE%\AppData\Local\Temp\OnboardLogs"\RTDC4045\*4045*201703070*</v>
      </c>
      <c r="I29" s="210" t="str">
        <f>IF(VLOOKUP(K29,'Train Runs'!$A$13:$V$989,1,TRUE)=K29,VLOOKUP(K29,'Train Runs'!$A$13:$V$989,22,TRUE),NA())</f>
        <v>https://d0f6bd738d7f1b3e5a7ca70fe4ff75f0.us-east-1.aws.found.io/app/kibana#/discover/Steve-Slow-Train-Analysis-(2080s-and-2083s)?_g=(refreshInterval:(display:Off,pause:!f,section:0,value:0),time:(from:'2017-04-14T21:13:51-0600',mode:absolute,to:'2017-04-15T00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232-14</v>
      </c>
      <c r="L29" s="202">
        <f>IF(VLOOKUP(K29,'Train Runs'!$A$12:$B$989,1,TRUE)=K29,VLOOKUP(K29,'Train Runs'!$A$12:$B$989,2,TRUE),NA())</f>
        <v>4045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355</v>
      </c>
      <c r="C30" s="194" t="s">
        <v>357</v>
      </c>
      <c r="D30" s="208">
        <f t="shared" si="5"/>
        <v>234</v>
      </c>
      <c r="E30" s="30" t="s">
        <v>359</v>
      </c>
      <c r="F30" s="208" t="b">
        <v>1</v>
      </c>
      <c r="G30" s="212" t="str">
        <f t="shared" si="0"/>
        <v>"C:\Program Files (x86)\AstroGrep\AstroGrep.exe" /e /r /s /spath="%USERPROFILE%\AppData\Local\Temp\OnboardLogs" /stypes="*4003*201703070*"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"%USERPROFILE%\AppData\Local\Temp\OnboardLogs"\RTDC4003\*4003*201703070*</v>
      </c>
      <c r="I30" s="210" t="str">
        <f>IF(VLOOKUP(K30,'Train Runs'!$A$13:$V$989,1,TRUE)=K30,VLOOKUP(K30,'Train Runs'!$A$13:$V$989,22,TRUE),NA())</f>
        <v>https://d0f6bd738d7f1b3e5a7ca70fe4ff75f0.us-east-1.aws.found.io/app/kibana#/discover/Steve-Slow-Train-Analysis-(2080s-and-2083s)?_g=(refreshInterval:(display:Off,pause:!f,section:0,value:0),time:(from:'2017-04-14T21:56:07-0600',mode:absolute,to:'2017-04-15T00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234-14</v>
      </c>
      <c r="L30" s="202">
        <f>IF(VLOOKUP(K30,'Train Runs'!$A$12:$B$989,1,TRUE)=K30,VLOOKUP(K30,'Train Runs'!$A$12:$B$989,2,TRUE),NA())</f>
        <v>4003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355</v>
      </c>
      <c r="C31" s="194" t="s">
        <v>357</v>
      </c>
      <c r="D31" s="208">
        <f t="shared" si="5"/>
        <v>236</v>
      </c>
      <c r="E31" s="30" t="s">
        <v>359</v>
      </c>
      <c r="F31" s="208" t="b">
        <v>1</v>
      </c>
      <c r="G31" s="212" t="str">
        <f t="shared" si="0"/>
        <v>"C:\Program Files (x86)\AstroGrep\AstroGrep.exe" /e /r /s /spath="%USERPROFILE%\AppData\Local\Temp\OnboardLogs" /stypes="*4009*201703070*"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"%USERPROFILE%\AppData\Local\Temp\OnboardLogs"\RTDC4009\*4009*201703070*</v>
      </c>
      <c r="I31" s="210" t="str">
        <f>IF(VLOOKUP(K31,'Train Runs'!$A$13:$V$989,1,TRUE)=K31,VLOOKUP(K31,'Train Runs'!$A$13:$V$989,22,TRUE),NA())</f>
        <v>https://d0f6bd738d7f1b3e5a7ca70fe4ff75f0.us-east-1.aws.found.io/app/kibana#/discover/Steve-Slow-Train-Analysis-(2080s-and-2083s)?_g=(refreshInterval:(display:Off,pause:!f,section:0,value:0),time:(from:'2017-04-14T22:15:36-0600',mode:absolute,to:'2017-04-15T01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236-14</v>
      </c>
      <c r="L31" s="202">
        <f>IF(VLOOKUP(K31,'Train Runs'!$A$12:$B$989,1,TRUE)=K31,VLOOKUP(K31,'Train Runs'!$A$12:$B$989,2,TRUE),NA())</f>
        <v>4009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355</v>
      </c>
      <c r="C32" s="194" t="s">
        <v>357</v>
      </c>
      <c r="D32" s="208">
        <f t="shared" si="5"/>
        <v>238</v>
      </c>
      <c r="E32" s="30" t="s">
        <v>359</v>
      </c>
      <c r="F32" s="208" t="b">
        <v>1</v>
      </c>
      <c r="G32" s="212" t="str">
        <f t="shared" si="0"/>
        <v>"C:\Program Files (x86)\AstroGrep\AstroGrep.exe" /e /r /s /spath="%USERPROFILE%\AppData\Local\Temp\OnboardLogs" /stypes="*4039*201703070*"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"%USERPROFILE%\AppData\Local\Temp\OnboardLogs"\RTDC4039\*4039*201703070*</v>
      </c>
      <c r="I32" s="210" t="str">
        <f>IF(VLOOKUP(K32,'Train Runs'!$A$13:$V$989,1,TRUE)=K32,VLOOKUP(K32,'Train Runs'!$A$13:$V$989,22,TRUE),NA())</f>
        <v>https://d0f6bd738d7f1b3e5a7ca70fe4ff75f0.us-east-1.aws.found.io/app/kibana#/discover/Steve-Slow-Train-Analysis-(2080s-and-2083s)?_g=(refreshInterval:(display:Off,pause:!f,section:0,value:0),time:(from:'2017-04-14T22:52:43-0600',mode:absolute,to:'2017-04-15T01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238-14</v>
      </c>
      <c r="L32" s="202">
        <f>IF(VLOOKUP(K32,'Train Runs'!$A$12:$B$989,1,TRUE)=K32,VLOOKUP(K32,'Train Runs'!$A$12:$B$989,2,TRUE),NA())</f>
        <v>4039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355</v>
      </c>
      <c r="C33" s="194" t="s">
        <v>357</v>
      </c>
      <c r="D33" s="208">
        <f t="shared" si="5"/>
        <v>240</v>
      </c>
      <c r="E33" s="30" t="s">
        <v>359</v>
      </c>
      <c r="F33" s="208" t="b">
        <v>1</v>
      </c>
      <c r="G33" s="212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"%USERPROFILE%\AppData\Local\Temp\OnboardLogs"\RTDC4045\*4045*201703070*</v>
      </c>
      <c r="I33" s="210" t="str">
        <f>IF(VLOOKUP(K33,'Train Runs'!$A$13:$V$989,1,TRUE)=K33,VLOOKUP(K33,'Train Runs'!$A$13:$V$989,22,TRUE),NA())</f>
        <v>https://d0f6bd738d7f1b3e5a7ca70fe4ff75f0.us-east-1.aws.found.io/app/kibana#/discover/Steve-Slow-Train-Analysis-(2080s-and-2083s)?_g=(refreshInterval:(display:Off,pause:!f,section:0,value:0),time:(from:'2017-04-14T23:15:55-0600',mode:absolute,to:'2017-04-15T02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240-14</v>
      </c>
      <c r="L33" s="202">
        <f>IF(VLOOKUP(K33,'Train Runs'!$A$12:$B$989,1,TRUE)=K33,VLOOKUP(K33,'Train Runs'!$A$12:$B$989,2,TRUE),NA())</f>
        <v>4045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355</v>
      </c>
      <c r="C34" s="194" t="s">
        <v>357</v>
      </c>
      <c r="D34" s="208">
        <v>240</v>
      </c>
      <c r="E34" s="30" t="s">
        <v>359</v>
      </c>
      <c r="F34" s="208" t="b">
        <v>1</v>
      </c>
      <c r="G34" s="212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"%USERPROFILE%\AppData\Local\Temp\OnboardLogs"\RTDC4045\*4045*201703070*</v>
      </c>
      <c r="I34" s="210" t="str">
        <f>IF(VLOOKUP(K34,'Train Runs'!$A$13:$V$989,1,TRUE)=K34,VLOOKUP(K34,'Train Runs'!$A$13:$V$989,22,TRUE),NA())</f>
        <v>https://d0f6bd738d7f1b3e5a7ca70fe4ff75f0.us-east-1.aws.found.io/app/kibana#/discover/Steve-Slow-Train-Analysis-(2080s-and-2083s)?_g=(refreshInterval:(display:Off,pause:!f,section:0,value:0),time:(from:'2017-04-14T23:15:55-0600',mode:absolute,to:'2017-04-15T02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240-14</v>
      </c>
      <c r="L34" s="202">
        <f>IF(VLOOKUP(K34,'Train Runs'!$A$12:$B$989,1,TRUE)=K34,VLOOKUP(K34,'Train Runs'!$A$12:$B$989,2,TRUE),NA())</f>
        <v>4045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355</v>
      </c>
      <c r="C35" s="194" t="s">
        <v>357</v>
      </c>
      <c r="D35" s="208">
        <v>242</v>
      </c>
      <c r="E35" s="30" t="s">
        <v>359</v>
      </c>
      <c r="F35" s="208" t="b">
        <v>1</v>
      </c>
      <c r="G35" s="212" t="str">
        <f t="shared" si="0"/>
        <v>"C:\Program Files (x86)\AstroGrep\AstroGrep.exe" /e /r /s /spath="%USERPROFILE%\AppData\Local\Temp\OnboardLogs" /stypes="*4003*201703070*"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"%USERPROFILE%\AppData\Local\Temp\OnboardLogs"\RTDC4003\*4003*201703070*</v>
      </c>
      <c r="I35" s="210" t="str">
        <f>IF(VLOOKUP(K35,'Train Runs'!$A$13:$V$989,1,TRUE)=K35,VLOOKUP(K35,'Train Runs'!$A$13:$V$989,22,TRUE),NA())</f>
        <v>https://d0f6bd738d7f1b3e5a7ca70fe4ff75f0.us-east-1.aws.found.io/app/kibana#/discover/Steve-Slow-Train-Analysis-(2080s-and-2083s)?_g=(refreshInterval:(display:Off,pause:!f,section:0,value:0),time:(from:'2017-04-14T23:50:59-0600',mode:absolute,to:'2017-04-15T02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242-14</v>
      </c>
      <c r="L35" s="202">
        <f>IF(VLOOKUP(K35,'Train Runs'!$A$12:$B$989,1,TRUE)=K35,VLOOKUP(K35,'Train Runs'!$A$12:$B$989,2,TRUE),NA())</f>
        <v>4003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42839.036851851852</v>
      </c>
      <c r="B2" s="20" t="s">
        <v>570</v>
      </c>
      <c r="C2" s="20" t="s">
        <v>585</v>
      </c>
      <c r="D2" s="146">
        <v>2270000</v>
      </c>
      <c r="E2" s="20" t="s">
        <v>207</v>
      </c>
      <c r="F2" s="20" t="s">
        <v>208</v>
      </c>
      <c r="G2" s="8" t="str">
        <f>E2&amp;" "&amp;F2</f>
        <v>BROWN JACOB</v>
      </c>
    </row>
    <row r="3" spans="1:7" x14ac:dyDescent="0.25">
      <c r="A3" s="8">
        <v>42839.047152777777</v>
      </c>
      <c r="B3" s="20" t="s">
        <v>566</v>
      </c>
      <c r="C3" s="20" t="s">
        <v>586</v>
      </c>
      <c r="D3" s="146">
        <v>1810000</v>
      </c>
      <c r="E3" s="20" t="s">
        <v>394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42839.058067129627</v>
      </c>
      <c r="B4" s="20" t="s">
        <v>515</v>
      </c>
      <c r="C4" s="20" t="s">
        <v>587</v>
      </c>
      <c r="D4" s="146">
        <v>2150000</v>
      </c>
      <c r="E4" s="20" t="s">
        <v>370</v>
      </c>
      <c r="F4" s="20" t="s">
        <v>371</v>
      </c>
      <c r="G4" s="8" t="str">
        <f t="shared" si="0"/>
        <v>SWANSON BRYCE</v>
      </c>
    </row>
    <row r="5" spans="1:7" x14ac:dyDescent="0.25">
      <c r="A5" s="8">
        <v>42839.118368055555</v>
      </c>
      <c r="B5" s="20" t="s">
        <v>430</v>
      </c>
      <c r="C5" s="20" t="s">
        <v>653</v>
      </c>
      <c r="D5" s="146">
        <v>2550000</v>
      </c>
      <c r="E5" s="20" t="s">
        <v>531</v>
      </c>
      <c r="F5" s="20" t="s">
        <v>532</v>
      </c>
      <c r="G5" s="8" t="str">
        <f t="shared" si="0"/>
        <v>BADERTSCHER DIANE</v>
      </c>
    </row>
    <row r="6" spans="1:7" x14ac:dyDescent="0.25">
      <c r="A6" s="8">
        <v>42839.118576388886</v>
      </c>
      <c r="B6" s="20" t="s">
        <v>382</v>
      </c>
      <c r="C6" s="20" t="s">
        <v>654</v>
      </c>
      <c r="D6" s="146">
        <v>1230000</v>
      </c>
      <c r="E6" s="20" t="s">
        <v>454</v>
      </c>
      <c r="F6" s="20" t="s">
        <v>455</v>
      </c>
      <c r="G6" s="8" t="str">
        <f t="shared" si="0"/>
        <v>YANAI IAN</v>
      </c>
    </row>
    <row r="7" spans="1:7" x14ac:dyDescent="0.25">
      <c r="A7" s="8">
        <v>42839.130185185182</v>
      </c>
      <c r="B7" s="20" t="s">
        <v>488</v>
      </c>
      <c r="C7" s="20" t="s">
        <v>655</v>
      </c>
      <c r="D7" s="146">
        <v>2550000</v>
      </c>
      <c r="E7" s="20" t="s">
        <v>531</v>
      </c>
      <c r="F7" s="20" t="s">
        <v>532</v>
      </c>
      <c r="G7" s="8" t="str">
        <f t="shared" si="0"/>
        <v>BADERTSCHER DIANE</v>
      </c>
    </row>
    <row r="8" spans="1:7" x14ac:dyDescent="0.25">
      <c r="A8" s="8">
        <v>42839.132256944446</v>
      </c>
      <c r="B8" s="20" t="s">
        <v>488</v>
      </c>
      <c r="C8" s="20" t="s">
        <v>655</v>
      </c>
      <c r="D8" s="146">
        <v>2550000</v>
      </c>
      <c r="E8" s="20" t="s">
        <v>531</v>
      </c>
      <c r="F8" s="20" t="s">
        <v>532</v>
      </c>
      <c r="G8" s="8" t="str">
        <f t="shared" si="0"/>
        <v>BADERTSCHER DIANE</v>
      </c>
    </row>
    <row r="9" spans="1:7" ht="15.75" thickBot="1" x14ac:dyDescent="0.3">
      <c r="A9" s="24">
        <v>42839.133090277777</v>
      </c>
      <c r="B9" s="20" t="s">
        <v>488</v>
      </c>
      <c r="C9" s="20" t="s">
        <v>655</v>
      </c>
      <c r="D9" s="146">
        <v>2550000</v>
      </c>
      <c r="E9" s="20" t="s">
        <v>531</v>
      </c>
      <c r="F9" s="20" t="s">
        <v>532</v>
      </c>
      <c r="G9" s="8" t="str">
        <f t="shared" si="0"/>
        <v>BADERTSCHER DIANE</v>
      </c>
    </row>
    <row r="10" spans="1:7" x14ac:dyDescent="0.25">
      <c r="A10" s="8">
        <v>42839.137592592589</v>
      </c>
      <c r="B10" s="20" t="s">
        <v>422</v>
      </c>
      <c r="C10" s="20" t="s">
        <v>656</v>
      </c>
      <c r="D10" s="146">
        <v>1990000</v>
      </c>
      <c r="E10" s="20" t="s">
        <v>657</v>
      </c>
      <c r="F10" s="20" t="s">
        <v>658</v>
      </c>
      <c r="G10" s="8" t="str">
        <f t="shared" si="0"/>
        <v>DAVIS WENDY</v>
      </c>
    </row>
    <row r="11" spans="1:7" x14ac:dyDescent="0.25">
      <c r="A11" s="8">
        <v>42839.14947916667</v>
      </c>
      <c r="B11" s="20" t="s">
        <v>376</v>
      </c>
      <c r="C11" s="20" t="s">
        <v>659</v>
      </c>
      <c r="D11" s="146">
        <v>1990000</v>
      </c>
      <c r="E11" s="20" t="s">
        <v>657</v>
      </c>
      <c r="F11" s="20" t="s">
        <v>658</v>
      </c>
      <c r="G11" s="8" t="str">
        <f t="shared" si="0"/>
        <v>DAVIS WENDY</v>
      </c>
    </row>
    <row r="12" spans="1:7" x14ac:dyDescent="0.25">
      <c r="A12" s="8">
        <v>42839.158182870371</v>
      </c>
      <c r="B12" s="20" t="s">
        <v>660</v>
      </c>
      <c r="C12" s="20" t="s">
        <v>661</v>
      </c>
      <c r="D12" s="146">
        <v>1290000</v>
      </c>
      <c r="E12" s="20" t="s">
        <v>517</v>
      </c>
      <c r="F12" s="20" t="s">
        <v>456</v>
      </c>
      <c r="G12" s="8" t="str">
        <f t="shared" si="0"/>
        <v>COOLAHAN JOHN</v>
      </c>
    </row>
    <row r="13" spans="1:7" x14ac:dyDescent="0.25">
      <c r="A13" s="8">
        <v>42839.168773148151</v>
      </c>
      <c r="B13" s="20" t="s">
        <v>430</v>
      </c>
      <c r="C13" s="20" t="s">
        <v>662</v>
      </c>
      <c r="D13" s="146">
        <v>2550000</v>
      </c>
      <c r="E13" s="20" t="s">
        <v>531</v>
      </c>
      <c r="F13" s="20" t="s">
        <v>532</v>
      </c>
      <c r="G13" s="8" t="str">
        <f t="shared" si="0"/>
        <v>BADERTSCHER DIANE</v>
      </c>
    </row>
    <row r="14" spans="1:7" x14ac:dyDescent="0.25">
      <c r="A14" s="8">
        <v>42839.172442129631</v>
      </c>
      <c r="B14" s="20" t="s">
        <v>412</v>
      </c>
      <c r="C14" s="20" t="s">
        <v>663</v>
      </c>
      <c r="D14" s="146">
        <v>1110000</v>
      </c>
      <c r="E14" s="20" t="s">
        <v>664</v>
      </c>
      <c r="F14" s="20" t="s">
        <v>665</v>
      </c>
      <c r="G14" s="8" t="str">
        <f t="shared" si="0"/>
        <v>STARKS ANGELINA</v>
      </c>
    </row>
    <row r="15" spans="1:7" x14ac:dyDescent="0.25">
      <c r="A15" s="8">
        <v>42839.173692129632</v>
      </c>
      <c r="B15" s="20" t="s">
        <v>423</v>
      </c>
      <c r="C15" s="20" t="s">
        <v>666</v>
      </c>
      <c r="D15" s="146">
        <v>1290000</v>
      </c>
      <c r="E15" s="20" t="s">
        <v>517</v>
      </c>
      <c r="F15" s="20" t="s">
        <v>456</v>
      </c>
      <c r="G15" s="8" t="str">
        <f t="shared" si="0"/>
        <v>COOLAHAN JOHN</v>
      </c>
    </row>
    <row r="16" spans="1:7" x14ac:dyDescent="0.25">
      <c r="A16" s="8">
        <v>42839.181481481479</v>
      </c>
      <c r="B16" s="20" t="s">
        <v>375</v>
      </c>
      <c r="C16" s="20" t="s">
        <v>667</v>
      </c>
      <c r="D16" s="146">
        <v>3040000</v>
      </c>
      <c r="E16" s="20" t="s">
        <v>498</v>
      </c>
      <c r="F16" s="20" t="s">
        <v>499</v>
      </c>
      <c r="G16" s="8" t="str">
        <f t="shared" si="0"/>
        <v>WILLIAMS DONTE</v>
      </c>
    </row>
    <row r="17" spans="1:7" x14ac:dyDescent="0.25">
      <c r="A17" s="8">
        <v>42839.184189814812</v>
      </c>
      <c r="B17" s="20" t="s">
        <v>406</v>
      </c>
      <c r="C17" s="20" t="s">
        <v>668</v>
      </c>
      <c r="D17" s="146">
        <v>1110000</v>
      </c>
      <c r="E17" s="20" t="s">
        <v>664</v>
      </c>
      <c r="F17" s="20" t="s">
        <v>665</v>
      </c>
      <c r="G17" s="8" t="str">
        <f t="shared" si="0"/>
        <v>STARKS ANGELINA</v>
      </c>
    </row>
    <row r="18" spans="1:7" x14ac:dyDescent="0.25">
      <c r="A18" s="8">
        <v>42839.186064814814</v>
      </c>
      <c r="B18" s="20" t="s">
        <v>406</v>
      </c>
      <c r="C18" s="20" t="s">
        <v>668</v>
      </c>
      <c r="D18" s="146">
        <v>1110000</v>
      </c>
      <c r="E18" s="20" t="s">
        <v>664</v>
      </c>
      <c r="F18" s="20" t="s">
        <v>665</v>
      </c>
      <c r="G18" s="8" t="str">
        <f t="shared" si="0"/>
        <v>STARKS ANGELINA</v>
      </c>
    </row>
    <row r="19" spans="1:7" x14ac:dyDescent="0.25">
      <c r="A19" s="8">
        <v>42839.19222222222</v>
      </c>
      <c r="B19" s="20" t="s">
        <v>422</v>
      </c>
      <c r="C19" s="20" t="s">
        <v>669</v>
      </c>
      <c r="D19" s="146">
        <v>1990000</v>
      </c>
      <c r="E19" s="20" t="s">
        <v>657</v>
      </c>
      <c r="F19" s="20" t="s">
        <v>658</v>
      </c>
      <c r="G19" s="8" t="str">
        <f t="shared" si="0"/>
        <v>DAVIS WENDY</v>
      </c>
    </row>
    <row r="20" spans="1:7" x14ac:dyDescent="0.25">
      <c r="A20" s="8">
        <v>42839.194571759261</v>
      </c>
      <c r="B20" s="20" t="s">
        <v>516</v>
      </c>
      <c r="C20" s="20" t="s">
        <v>670</v>
      </c>
      <c r="D20" s="146">
        <v>3040000</v>
      </c>
      <c r="E20" s="20" t="s">
        <v>498</v>
      </c>
      <c r="F20" s="20" t="s">
        <v>499</v>
      </c>
      <c r="G20" s="8" t="str">
        <f t="shared" si="0"/>
        <v>WILLIAMS DONTE</v>
      </c>
    </row>
    <row r="21" spans="1:7" x14ac:dyDescent="0.25">
      <c r="A21" s="8">
        <v>42839.196319444447</v>
      </c>
      <c r="B21" s="20" t="s">
        <v>516</v>
      </c>
      <c r="C21" s="20" t="s">
        <v>670</v>
      </c>
      <c r="D21" s="146">
        <v>3040000</v>
      </c>
      <c r="E21" s="20" t="s">
        <v>498</v>
      </c>
      <c r="F21" s="20" t="s">
        <v>499</v>
      </c>
      <c r="G21" s="8" t="str">
        <f t="shared" si="0"/>
        <v>WILLIAMS DONTE</v>
      </c>
    </row>
    <row r="22" spans="1:7" x14ac:dyDescent="0.25">
      <c r="A22" s="26">
        <v>42839.200300925928</v>
      </c>
      <c r="B22" s="20" t="s">
        <v>372</v>
      </c>
      <c r="C22" s="20" t="s">
        <v>628</v>
      </c>
      <c r="D22" s="146">
        <v>1100000</v>
      </c>
      <c r="E22" s="20" t="s">
        <v>671</v>
      </c>
      <c r="F22" s="20" t="s">
        <v>672</v>
      </c>
      <c r="G22" s="8" t="str">
        <f t="shared" si="0"/>
        <v>GEBRETEKLE DAGNEW</v>
      </c>
    </row>
    <row r="23" spans="1:7" x14ac:dyDescent="0.25">
      <c r="A23" s="8">
        <v>42839.201597222222</v>
      </c>
      <c r="B23" s="20" t="s">
        <v>372</v>
      </c>
      <c r="C23" s="20" t="s">
        <v>628</v>
      </c>
      <c r="D23" s="146">
        <v>1100000</v>
      </c>
      <c r="E23" s="20" t="s">
        <v>671</v>
      </c>
      <c r="F23" s="20" t="s">
        <v>672</v>
      </c>
      <c r="G23" s="8" t="str">
        <f t="shared" si="0"/>
        <v>GEBRETEKLE DAGNEW</v>
      </c>
    </row>
    <row r="24" spans="1:7" x14ac:dyDescent="0.25">
      <c r="A24" s="8">
        <v>42839.206932870373</v>
      </c>
      <c r="B24" s="20" t="s">
        <v>488</v>
      </c>
      <c r="C24" s="20" t="s">
        <v>673</v>
      </c>
      <c r="D24" s="146">
        <v>1780000</v>
      </c>
      <c r="E24" s="20" t="s">
        <v>537</v>
      </c>
      <c r="F24" s="20" t="s">
        <v>538</v>
      </c>
      <c r="G24" s="8" t="str">
        <f t="shared" si="0"/>
        <v>DE LA ROSA ALEX</v>
      </c>
    </row>
    <row r="25" spans="1:7" x14ac:dyDescent="0.25">
      <c r="A25" s="8">
        <v>42839.208495370367</v>
      </c>
      <c r="B25" s="20" t="s">
        <v>433</v>
      </c>
      <c r="C25" s="20" t="s">
        <v>674</v>
      </c>
      <c r="D25" s="146">
        <v>2550000</v>
      </c>
      <c r="E25" s="20" t="s">
        <v>531</v>
      </c>
      <c r="F25" s="20" t="s">
        <v>532</v>
      </c>
      <c r="G25" s="8" t="str">
        <f t="shared" si="0"/>
        <v>BADERTSCHER DIANE</v>
      </c>
    </row>
    <row r="26" spans="1:7" x14ac:dyDescent="0.25">
      <c r="A26" s="8">
        <v>42839.212685185186</v>
      </c>
      <c r="B26" s="20" t="s">
        <v>660</v>
      </c>
      <c r="C26" s="20" t="s">
        <v>675</v>
      </c>
      <c r="D26" s="146">
        <v>1290000</v>
      </c>
      <c r="E26" s="20" t="s">
        <v>517</v>
      </c>
      <c r="F26" s="20" t="s">
        <v>456</v>
      </c>
      <c r="G26" s="8" t="str">
        <f t="shared" si="0"/>
        <v>COOLAHAN JOHN</v>
      </c>
    </row>
    <row r="27" spans="1:7" x14ac:dyDescent="0.25">
      <c r="A27" s="8">
        <v>42839.213159722225</v>
      </c>
      <c r="B27" s="20" t="s">
        <v>373</v>
      </c>
      <c r="C27" s="20" t="s">
        <v>676</v>
      </c>
      <c r="D27" s="146">
        <v>1100000</v>
      </c>
      <c r="E27" s="20" t="s">
        <v>671</v>
      </c>
      <c r="F27" s="20" t="s">
        <v>672</v>
      </c>
      <c r="G27" s="8" t="str">
        <f t="shared" si="0"/>
        <v>GEBRETEKLE DAGNEW</v>
      </c>
    </row>
    <row r="28" spans="1:7" x14ac:dyDescent="0.25">
      <c r="A28" s="8">
        <v>42839.226469907408</v>
      </c>
      <c r="B28" s="20" t="s">
        <v>412</v>
      </c>
      <c r="C28" s="20" t="s">
        <v>629</v>
      </c>
      <c r="D28" s="146">
        <v>1110000</v>
      </c>
      <c r="E28" s="20" t="s">
        <v>664</v>
      </c>
      <c r="F28" s="20" t="s">
        <v>665</v>
      </c>
      <c r="G28" s="8" t="str">
        <f t="shared" si="0"/>
        <v>STARKS ANGELINA</v>
      </c>
    </row>
    <row r="29" spans="1:7" x14ac:dyDescent="0.25">
      <c r="A29" s="8">
        <v>42839.22760416667</v>
      </c>
      <c r="B29" s="20" t="s">
        <v>372</v>
      </c>
      <c r="C29" s="20" t="s">
        <v>677</v>
      </c>
      <c r="D29" s="146">
        <v>1100000</v>
      </c>
      <c r="E29" s="20" t="s">
        <v>671</v>
      </c>
      <c r="F29" s="20" t="s">
        <v>672</v>
      </c>
      <c r="G29" s="8" t="str">
        <f t="shared" si="0"/>
        <v>GEBRETEKLE DAGNEW</v>
      </c>
    </row>
    <row r="30" spans="1:7" x14ac:dyDescent="0.25">
      <c r="A30" s="8">
        <v>42839.228900462964</v>
      </c>
      <c r="B30" s="20" t="s">
        <v>376</v>
      </c>
      <c r="C30" s="20" t="s">
        <v>678</v>
      </c>
      <c r="D30" s="146">
        <v>900000</v>
      </c>
      <c r="E30" s="20" t="s">
        <v>533</v>
      </c>
      <c r="F30" s="20" t="s">
        <v>534</v>
      </c>
      <c r="G30" s="8" t="str">
        <f t="shared" si="0"/>
        <v>ROCHA YAOTL</v>
      </c>
    </row>
    <row r="31" spans="1:7" x14ac:dyDescent="0.25">
      <c r="A31" s="8">
        <v>42839.230821759258</v>
      </c>
      <c r="B31" s="20" t="s">
        <v>425</v>
      </c>
      <c r="C31" s="20" t="s">
        <v>679</v>
      </c>
      <c r="D31" s="146">
        <v>1990000</v>
      </c>
      <c r="E31" s="20" t="s">
        <v>657</v>
      </c>
      <c r="F31" s="20" t="s">
        <v>658</v>
      </c>
      <c r="G31" s="8" t="str">
        <f t="shared" si="0"/>
        <v>DAVIS WENDY</v>
      </c>
    </row>
    <row r="32" spans="1:7" x14ac:dyDescent="0.25">
      <c r="A32" s="8">
        <v>42839.234756944446</v>
      </c>
      <c r="B32" s="20" t="s">
        <v>375</v>
      </c>
      <c r="C32" s="20" t="s">
        <v>680</v>
      </c>
      <c r="D32" s="146">
        <v>3040000</v>
      </c>
      <c r="E32" s="20" t="s">
        <v>498</v>
      </c>
      <c r="F32" s="20" t="s">
        <v>499</v>
      </c>
      <c r="G32" s="8" t="str">
        <f t="shared" si="0"/>
        <v>WILLIAMS DONTE</v>
      </c>
    </row>
    <row r="33" spans="1:7" x14ac:dyDescent="0.25">
      <c r="A33" s="8">
        <v>42839.242974537039</v>
      </c>
      <c r="B33" s="20" t="s">
        <v>640</v>
      </c>
      <c r="C33" s="20" t="s">
        <v>681</v>
      </c>
      <c r="D33" s="146">
        <v>1780000</v>
      </c>
      <c r="E33" s="20" t="s">
        <v>537</v>
      </c>
      <c r="F33" s="20" t="s">
        <v>538</v>
      </c>
      <c r="G33" s="8" t="str">
        <f t="shared" si="0"/>
        <v>DE LA ROSA ALEX</v>
      </c>
    </row>
    <row r="34" spans="1:7" x14ac:dyDescent="0.25">
      <c r="A34" s="8">
        <v>42839.245150462964</v>
      </c>
      <c r="B34" s="20" t="s">
        <v>429</v>
      </c>
      <c r="C34" s="20" t="s">
        <v>682</v>
      </c>
      <c r="D34" s="146">
        <v>2020000</v>
      </c>
      <c r="E34" s="20" t="s">
        <v>576</v>
      </c>
      <c r="F34" s="20" t="s">
        <v>456</v>
      </c>
      <c r="G34" s="8" t="str">
        <f t="shared" si="0"/>
        <v>SHOOK JOHN</v>
      </c>
    </row>
    <row r="35" spans="1:7" x14ac:dyDescent="0.25">
      <c r="A35" s="8">
        <v>42839.247928240744</v>
      </c>
      <c r="B35" s="20" t="s">
        <v>423</v>
      </c>
      <c r="C35" s="20" t="s">
        <v>683</v>
      </c>
      <c r="D35" s="146">
        <v>1290000</v>
      </c>
      <c r="E35" s="20" t="s">
        <v>517</v>
      </c>
      <c r="F35" s="20" t="s">
        <v>456</v>
      </c>
      <c r="G35" s="8" t="str">
        <f t="shared" si="0"/>
        <v>COOLAHAN JOHN</v>
      </c>
    </row>
    <row r="36" spans="1:7" x14ac:dyDescent="0.25">
      <c r="A36" s="8">
        <v>42839.250613425924</v>
      </c>
      <c r="B36" s="20" t="s">
        <v>430</v>
      </c>
      <c r="C36" s="20" t="s">
        <v>630</v>
      </c>
      <c r="D36" s="146">
        <v>2550000</v>
      </c>
      <c r="E36" s="20" t="s">
        <v>531</v>
      </c>
      <c r="F36" s="20" t="s">
        <v>532</v>
      </c>
      <c r="G36" s="8" t="str">
        <f t="shared" si="0"/>
        <v>BADERTSCHER DIANE</v>
      </c>
    </row>
    <row r="37" spans="1:7" x14ac:dyDescent="0.25">
      <c r="A37" s="8">
        <v>42839.25509259259</v>
      </c>
      <c r="B37" s="20" t="s">
        <v>373</v>
      </c>
      <c r="C37" s="20" t="s">
        <v>684</v>
      </c>
      <c r="D37" s="146">
        <v>1100000</v>
      </c>
      <c r="E37" s="20" t="s">
        <v>671</v>
      </c>
      <c r="F37" s="20" t="s">
        <v>672</v>
      </c>
      <c r="G37" s="8" t="str">
        <f t="shared" si="0"/>
        <v>GEBRETEKLE DAGNEW</v>
      </c>
    </row>
    <row r="38" spans="1:7" x14ac:dyDescent="0.25">
      <c r="A38" s="8">
        <v>42839.25681712963</v>
      </c>
      <c r="B38" s="20" t="s">
        <v>472</v>
      </c>
      <c r="C38" s="20" t="s">
        <v>685</v>
      </c>
      <c r="D38" s="146">
        <v>2020000</v>
      </c>
      <c r="E38" s="20" t="s">
        <v>576</v>
      </c>
      <c r="F38" s="20" t="s">
        <v>456</v>
      </c>
      <c r="G38" s="8" t="str">
        <f t="shared" si="0"/>
        <v>SHOOK JOHN</v>
      </c>
    </row>
    <row r="39" spans="1:7" x14ac:dyDescent="0.25">
      <c r="A39" s="8">
        <v>42839.257557870369</v>
      </c>
      <c r="B39" s="20" t="s">
        <v>406</v>
      </c>
      <c r="C39" s="20" t="s">
        <v>686</v>
      </c>
      <c r="D39" s="146">
        <v>1110000</v>
      </c>
      <c r="E39" s="20" t="s">
        <v>664</v>
      </c>
      <c r="F39" s="20" t="s">
        <v>665</v>
      </c>
      <c r="G39" s="8" t="str">
        <f t="shared" si="0"/>
        <v>STARKS ANGELINA</v>
      </c>
    </row>
    <row r="40" spans="1:7" x14ac:dyDescent="0.25">
      <c r="A40" s="8">
        <v>42839.25917824074</v>
      </c>
      <c r="B40" s="25" t="s">
        <v>413</v>
      </c>
      <c r="C40" s="20" t="s">
        <v>687</v>
      </c>
      <c r="D40" s="146">
        <v>900000</v>
      </c>
      <c r="E40" s="20" t="s">
        <v>533</v>
      </c>
      <c r="F40" s="20" t="s">
        <v>534</v>
      </c>
      <c r="G40" s="8" t="str">
        <f t="shared" si="0"/>
        <v>ROCHA YAOTL</v>
      </c>
    </row>
    <row r="41" spans="1:7" x14ac:dyDescent="0.25">
      <c r="A41" s="8">
        <v>42839.268703703703</v>
      </c>
      <c r="B41" s="20" t="s">
        <v>516</v>
      </c>
      <c r="C41" s="20" t="s">
        <v>688</v>
      </c>
      <c r="D41" s="146">
        <v>890000</v>
      </c>
      <c r="E41" s="20" t="s">
        <v>535</v>
      </c>
      <c r="F41" s="20" t="s">
        <v>536</v>
      </c>
      <c r="G41" s="8" t="str">
        <f t="shared" si="0"/>
        <v>LOZA FIDEL</v>
      </c>
    </row>
    <row r="42" spans="1:7" x14ac:dyDescent="0.25">
      <c r="A42" s="8">
        <v>42839.269050925926</v>
      </c>
      <c r="B42" s="20" t="s">
        <v>372</v>
      </c>
      <c r="C42" s="20" t="s">
        <v>631</v>
      </c>
      <c r="D42" s="146">
        <v>1100000</v>
      </c>
      <c r="E42" s="20" t="s">
        <v>671</v>
      </c>
      <c r="F42" s="20" t="s">
        <v>672</v>
      </c>
      <c r="G42" s="8" t="str">
        <f t="shared" si="0"/>
        <v>GEBRETEKLE DAGNEW</v>
      </c>
    </row>
    <row r="43" spans="1:7" x14ac:dyDescent="0.25">
      <c r="A43" s="8">
        <v>42839.276574074072</v>
      </c>
      <c r="B43" s="20" t="s">
        <v>422</v>
      </c>
      <c r="C43" s="20" t="s">
        <v>689</v>
      </c>
      <c r="D43" s="146">
        <v>1990000</v>
      </c>
      <c r="E43" s="20" t="s">
        <v>657</v>
      </c>
      <c r="F43" s="20" t="s">
        <v>658</v>
      </c>
      <c r="G43" s="8" t="str">
        <f t="shared" si="0"/>
        <v>DAVIS WENDY</v>
      </c>
    </row>
    <row r="44" spans="1:7" x14ac:dyDescent="0.25">
      <c r="A44" s="8">
        <v>42839.276620370372</v>
      </c>
      <c r="B44" s="20" t="s">
        <v>429</v>
      </c>
      <c r="C44" s="20" t="s">
        <v>690</v>
      </c>
      <c r="D44" s="146">
        <v>2020000</v>
      </c>
      <c r="E44" s="20" t="s">
        <v>576</v>
      </c>
      <c r="F44" s="20" t="s">
        <v>456</v>
      </c>
      <c r="G44" s="8" t="str">
        <f t="shared" si="0"/>
        <v>SHOOK JOHN</v>
      </c>
    </row>
    <row r="45" spans="1:7" x14ac:dyDescent="0.25">
      <c r="A45" s="8">
        <v>42839.278796296298</v>
      </c>
      <c r="B45" s="20" t="s">
        <v>488</v>
      </c>
      <c r="C45" s="20" t="s">
        <v>691</v>
      </c>
      <c r="D45" s="146">
        <v>1780000</v>
      </c>
      <c r="E45" s="20" t="s">
        <v>537</v>
      </c>
      <c r="F45" s="20" t="s">
        <v>538</v>
      </c>
      <c r="G45" s="8" t="str">
        <f t="shared" si="0"/>
        <v>DE LA ROSA ALEX</v>
      </c>
    </row>
    <row r="46" spans="1:7" x14ac:dyDescent="0.25">
      <c r="A46" s="8">
        <v>42839.283460648148</v>
      </c>
      <c r="B46" s="20" t="s">
        <v>424</v>
      </c>
      <c r="C46" s="20" t="s">
        <v>683</v>
      </c>
      <c r="D46" s="146">
        <v>1290000</v>
      </c>
      <c r="E46" s="20" t="s">
        <v>517</v>
      </c>
      <c r="F46" s="20" t="s">
        <v>456</v>
      </c>
      <c r="G46" s="8" t="str">
        <f t="shared" si="0"/>
        <v>COOLAHAN JOHN</v>
      </c>
    </row>
    <row r="47" spans="1:7" x14ac:dyDescent="0.25">
      <c r="A47" s="8">
        <v>42839.289293981485</v>
      </c>
      <c r="B47" s="20" t="s">
        <v>433</v>
      </c>
      <c r="C47" s="20" t="s">
        <v>692</v>
      </c>
      <c r="D47" s="146">
        <v>2550000</v>
      </c>
      <c r="E47" s="20" t="s">
        <v>531</v>
      </c>
      <c r="F47" s="20" t="s">
        <v>532</v>
      </c>
      <c r="G47" s="8" t="str">
        <f t="shared" si="0"/>
        <v>BADERTSCHER DIANE</v>
      </c>
    </row>
    <row r="48" spans="1:7" x14ac:dyDescent="0.25">
      <c r="A48" s="8">
        <v>42839.291134259256</v>
      </c>
      <c r="B48" s="20" t="s">
        <v>472</v>
      </c>
      <c r="C48" s="20" t="s">
        <v>693</v>
      </c>
      <c r="D48" s="146">
        <v>2020000</v>
      </c>
      <c r="E48" s="20" t="s">
        <v>576</v>
      </c>
      <c r="F48" s="20" t="s">
        <v>456</v>
      </c>
      <c r="G48" s="8" t="str">
        <f t="shared" si="0"/>
        <v>SHOOK JOHN</v>
      </c>
    </row>
    <row r="49" spans="1:7" x14ac:dyDescent="0.25">
      <c r="A49" s="8">
        <v>42839.292847222219</v>
      </c>
      <c r="B49" s="20" t="s">
        <v>412</v>
      </c>
      <c r="C49" s="20" t="s">
        <v>694</v>
      </c>
      <c r="D49" s="146">
        <v>1110000</v>
      </c>
      <c r="E49" s="20" t="s">
        <v>664</v>
      </c>
      <c r="F49" s="20" t="s">
        <v>665</v>
      </c>
      <c r="G49" s="8" t="str">
        <f t="shared" si="0"/>
        <v>STARKS ANGELINA</v>
      </c>
    </row>
    <row r="50" spans="1:7" x14ac:dyDescent="0.25">
      <c r="A50" s="8">
        <v>42839.296377314815</v>
      </c>
      <c r="B50" s="20" t="s">
        <v>373</v>
      </c>
      <c r="C50" s="20" t="s">
        <v>695</v>
      </c>
      <c r="D50" s="146">
        <v>1100000</v>
      </c>
      <c r="E50" s="20" t="s">
        <v>671</v>
      </c>
      <c r="F50" s="20" t="s">
        <v>672</v>
      </c>
      <c r="G50" s="8" t="str">
        <f t="shared" si="0"/>
        <v>GEBRETEKLE DAGNEW</v>
      </c>
    </row>
    <row r="51" spans="1:7" x14ac:dyDescent="0.25">
      <c r="A51" s="8">
        <v>42839.297685185185</v>
      </c>
      <c r="B51" s="20" t="s">
        <v>376</v>
      </c>
      <c r="C51" s="20" t="s">
        <v>696</v>
      </c>
      <c r="D51" s="146">
        <v>900000</v>
      </c>
      <c r="E51" s="20" t="s">
        <v>533</v>
      </c>
      <c r="F51" s="20" t="s">
        <v>534</v>
      </c>
      <c r="G51" s="8" t="str">
        <f t="shared" si="0"/>
        <v>ROCHA YAOTL</v>
      </c>
    </row>
    <row r="52" spans="1:7" x14ac:dyDescent="0.25">
      <c r="A52" s="8">
        <v>42839.307187500002</v>
      </c>
      <c r="B52" s="20" t="s">
        <v>375</v>
      </c>
      <c r="C52" s="20" t="s">
        <v>697</v>
      </c>
      <c r="D52" s="146">
        <v>890000</v>
      </c>
      <c r="E52" s="20" t="s">
        <v>535</v>
      </c>
      <c r="F52" s="20" t="s">
        <v>536</v>
      </c>
      <c r="G52" s="8" t="str">
        <f t="shared" si="0"/>
        <v>LOZA FIDEL</v>
      </c>
    </row>
    <row r="53" spans="1:7" x14ac:dyDescent="0.25">
      <c r="A53" s="8">
        <v>42839.308472222219</v>
      </c>
      <c r="B53" s="20" t="s">
        <v>425</v>
      </c>
      <c r="C53" s="20" t="s">
        <v>698</v>
      </c>
      <c r="D53" s="146">
        <v>1990000</v>
      </c>
      <c r="E53" s="20" t="s">
        <v>657</v>
      </c>
      <c r="F53" s="20" t="s">
        <v>658</v>
      </c>
      <c r="G53" s="8" t="str">
        <f t="shared" si="0"/>
        <v>DAVIS WENDY</v>
      </c>
    </row>
    <row r="54" spans="1:7" x14ac:dyDescent="0.25">
      <c r="A54" s="8">
        <v>42839.310706018521</v>
      </c>
      <c r="B54" s="20" t="s">
        <v>372</v>
      </c>
      <c r="C54" s="20" t="s">
        <v>699</v>
      </c>
      <c r="D54" s="146">
        <v>1100000</v>
      </c>
      <c r="E54" s="20" t="s">
        <v>671</v>
      </c>
      <c r="F54" s="20" t="s">
        <v>672</v>
      </c>
      <c r="G54" s="8" t="str">
        <f t="shared" si="0"/>
        <v>GEBRETEKLE DAGNEW</v>
      </c>
    </row>
    <row r="55" spans="1:7" x14ac:dyDescent="0.25">
      <c r="A55" s="8">
        <v>42839.315462962964</v>
      </c>
      <c r="B55" s="20" t="s">
        <v>640</v>
      </c>
      <c r="C55" s="20" t="s">
        <v>700</v>
      </c>
      <c r="D55" s="146">
        <v>1780000</v>
      </c>
      <c r="E55" s="20" t="s">
        <v>537</v>
      </c>
      <c r="F55" s="20" t="s">
        <v>538</v>
      </c>
      <c r="G55" s="8" t="str">
        <f t="shared" si="0"/>
        <v>DE LA ROSA ALEX</v>
      </c>
    </row>
    <row r="56" spans="1:7" x14ac:dyDescent="0.25">
      <c r="A56" s="8">
        <v>42839.318483796298</v>
      </c>
      <c r="B56" s="20" t="s">
        <v>429</v>
      </c>
      <c r="C56" s="20" t="s">
        <v>701</v>
      </c>
      <c r="D56" s="146">
        <v>2020000</v>
      </c>
      <c r="E56" s="20" t="s">
        <v>576</v>
      </c>
      <c r="F56" s="20" t="s">
        <v>456</v>
      </c>
      <c r="G56" s="8" t="str">
        <f t="shared" si="0"/>
        <v>SHOOK JOHN</v>
      </c>
    </row>
    <row r="57" spans="1:7" x14ac:dyDescent="0.25">
      <c r="A57" s="8">
        <v>42839.318807870368</v>
      </c>
      <c r="B57" s="20" t="s">
        <v>423</v>
      </c>
      <c r="C57" s="20" t="s">
        <v>702</v>
      </c>
      <c r="D57" s="146">
        <v>1290000</v>
      </c>
      <c r="E57" s="20" t="s">
        <v>517</v>
      </c>
      <c r="F57" s="20" t="s">
        <v>456</v>
      </c>
      <c r="G57" s="8" t="str">
        <f t="shared" si="0"/>
        <v>COOLAHAN JOHN</v>
      </c>
    </row>
    <row r="58" spans="1:7" x14ac:dyDescent="0.25">
      <c r="A58" s="8">
        <v>42839.324675925927</v>
      </c>
      <c r="B58" s="20" t="s">
        <v>430</v>
      </c>
      <c r="C58" s="20" t="s">
        <v>703</v>
      </c>
      <c r="D58" s="146">
        <v>2550000</v>
      </c>
      <c r="E58" s="20" t="s">
        <v>531</v>
      </c>
      <c r="F58" s="20" t="s">
        <v>532</v>
      </c>
      <c r="G58" s="8" t="str">
        <f t="shared" si="0"/>
        <v>BADERTSCHER DIANE</v>
      </c>
    </row>
    <row r="59" spans="1:7" x14ac:dyDescent="0.25">
      <c r="A59" s="8">
        <v>42839.328217592592</v>
      </c>
      <c r="B59" s="20" t="s">
        <v>413</v>
      </c>
      <c r="C59" s="20" t="s">
        <v>704</v>
      </c>
      <c r="D59" s="146">
        <v>900000</v>
      </c>
      <c r="E59" s="20" t="s">
        <v>533</v>
      </c>
      <c r="F59" s="20" t="s">
        <v>534</v>
      </c>
      <c r="G59" s="8" t="str">
        <f t="shared" si="0"/>
        <v>ROCHA YAOTL</v>
      </c>
    </row>
    <row r="60" spans="1:7" x14ac:dyDescent="0.25">
      <c r="A60" s="8">
        <v>42839.331863425927</v>
      </c>
      <c r="B60" s="20" t="s">
        <v>406</v>
      </c>
      <c r="C60" s="20" t="s">
        <v>705</v>
      </c>
      <c r="D60" s="146">
        <v>1110000</v>
      </c>
      <c r="E60" s="20" t="s">
        <v>664</v>
      </c>
      <c r="F60" s="20" t="s">
        <v>665</v>
      </c>
      <c r="G60" s="8" t="str">
        <f t="shared" si="0"/>
        <v>STARKS ANGELINA</v>
      </c>
    </row>
    <row r="61" spans="1:7" x14ac:dyDescent="0.25">
      <c r="A61" s="8">
        <v>42839.333067129628</v>
      </c>
      <c r="B61" s="20" t="s">
        <v>472</v>
      </c>
      <c r="C61" s="20" t="s">
        <v>706</v>
      </c>
      <c r="D61" s="146">
        <v>2020000</v>
      </c>
      <c r="E61" s="20" t="s">
        <v>576</v>
      </c>
      <c r="F61" s="20" t="s">
        <v>456</v>
      </c>
      <c r="G61" s="8" t="str">
        <f t="shared" si="0"/>
        <v>SHOOK JOHN</v>
      </c>
    </row>
    <row r="62" spans="1:7" x14ac:dyDescent="0.25">
      <c r="A62" s="8">
        <v>42839.337581018517</v>
      </c>
      <c r="B62" s="20" t="s">
        <v>373</v>
      </c>
      <c r="C62" s="20" t="s">
        <v>707</v>
      </c>
      <c r="D62" s="146">
        <v>1100000</v>
      </c>
      <c r="E62" s="20" t="s">
        <v>671</v>
      </c>
      <c r="F62" s="20" t="s">
        <v>672</v>
      </c>
      <c r="G62" s="8" t="str">
        <f t="shared" si="0"/>
        <v>GEBRETEKLE DAGNEW</v>
      </c>
    </row>
    <row r="63" spans="1:7" x14ac:dyDescent="0.25">
      <c r="A63" s="8">
        <v>42839.338958333334</v>
      </c>
      <c r="B63" s="20" t="s">
        <v>516</v>
      </c>
      <c r="C63" s="20" t="s">
        <v>708</v>
      </c>
      <c r="D63" s="146">
        <v>3040000</v>
      </c>
      <c r="E63" s="20" t="s">
        <v>498</v>
      </c>
      <c r="F63" s="20" t="s">
        <v>499</v>
      </c>
      <c r="G63" s="8" t="str">
        <f t="shared" si="0"/>
        <v>WILLIAMS DONTE</v>
      </c>
    </row>
    <row r="64" spans="1:7" x14ac:dyDescent="0.25">
      <c r="A64" s="26">
        <v>42839.347118055557</v>
      </c>
      <c r="B64" s="20" t="s">
        <v>422</v>
      </c>
      <c r="C64" s="20" t="s">
        <v>709</v>
      </c>
      <c r="D64" s="146">
        <v>1990000</v>
      </c>
      <c r="E64" s="20" t="s">
        <v>657</v>
      </c>
      <c r="F64" s="20" t="s">
        <v>658</v>
      </c>
      <c r="G64" s="8" t="str">
        <f t="shared" si="0"/>
        <v>DAVIS WENDY</v>
      </c>
    </row>
    <row r="65" spans="1:7" x14ac:dyDescent="0.25">
      <c r="A65" s="8">
        <v>42839.350856481484</v>
      </c>
      <c r="B65" s="20" t="s">
        <v>488</v>
      </c>
      <c r="C65" s="20" t="s">
        <v>710</v>
      </c>
      <c r="D65" s="146">
        <v>1780000</v>
      </c>
      <c r="E65" s="20" t="s">
        <v>537</v>
      </c>
      <c r="F65" s="20" t="s">
        <v>538</v>
      </c>
      <c r="G65" s="8" t="str">
        <f t="shared" si="0"/>
        <v>DE LA ROSA ALEX</v>
      </c>
    </row>
    <row r="66" spans="1:7" x14ac:dyDescent="0.25">
      <c r="A66" s="8">
        <v>42839.352835648147</v>
      </c>
      <c r="B66" s="20" t="s">
        <v>372</v>
      </c>
      <c r="C66" s="20" t="s">
        <v>711</v>
      </c>
      <c r="D66" s="146">
        <v>1100000</v>
      </c>
      <c r="E66" s="20" t="s">
        <v>671</v>
      </c>
      <c r="F66" s="20" t="s">
        <v>672</v>
      </c>
      <c r="G66" s="8" t="str">
        <f t="shared" si="0"/>
        <v>GEBRETEKLE DAGNEW</v>
      </c>
    </row>
    <row r="67" spans="1:7" x14ac:dyDescent="0.25">
      <c r="A67" s="8">
        <v>42839.357175925928</v>
      </c>
      <c r="B67" s="20" t="s">
        <v>424</v>
      </c>
      <c r="C67" s="20" t="s">
        <v>712</v>
      </c>
      <c r="D67" s="146">
        <v>1290000</v>
      </c>
      <c r="E67" s="20" t="s">
        <v>517</v>
      </c>
      <c r="F67" s="20" t="s">
        <v>456</v>
      </c>
      <c r="G67" s="8" t="str">
        <f t="shared" ref="G67:G130" si="1">E67&amp;" "&amp;F67</f>
        <v>COOLAHAN JOHN</v>
      </c>
    </row>
    <row r="68" spans="1:7" x14ac:dyDescent="0.25">
      <c r="A68" s="8">
        <v>42839.359351851854</v>
      </c>
      <c r="B68" s="20" t="s">
        <v>429</v>
      </c>
      <c r="C68" s="20" t="s">
        <v>713</v>
      </c>
      <c r="D68" s="146">
        <v>2020000</v>
      </c>
      <c r="E68" s="20" t="s">
        <v>576</v>
      </c>
      <c r="F68" s="20" t="s">
        <v>456</v>
      </c>
      <c r="G68" s="8" t="str">
        <f t="shared" si="1"/>
        <v>SHOOK JOHN</v>
      </c>
    </row>
    <row r="69" spans="1:7" x14ac:dyDescent="0.25">
      <c r="A69" s="8">
        <v>42839.360601851855</v>
      </c>
      <c r="B69" s="20" t="s">
        <v>433</v>
      </c>
      <c r="C69" s="20" t="s">
        <v>714</v>
      </c>
      <c r="D69" s="146">
        <v>2550000</v>
      </c>
      <c r="E69" s="20" t="s">
        <v>531</v>
      </c>
      <c r="F69" s="20" t="s">
        <v>532</v>
      </c>
      <c r="G69" s="8" t="str">
        <f t="shared" si="1"/>
        <v>BADERTSCHER DIANE</v>
      </c>
    </row>
    <row r="70" spans="1:7" x14ac:dyDescent="0.25">
      <c r="A70" s="8">
        <v>42839.368969907409</v>
      </c>
      <c r="B70" s="20" t="s">
        <v>376</v>
      </c>
      <c r="C70" s="20" t="s">
        <v>715</v>
      </c>
      <c r="D70" s="146">
        <v>900000</v>
      </c>
      <c r="E70" s="20" t="s">
        <v>533</v>
      </c>
      <c r="F70" s="20" t="s">
        <v>534</v>
      </c>
      <c r="G70" s="8" t="str">
        <f t="shared" si="1"/>
        <v>ROCHA YAOTL</v>
      </c>
    </row>
    <row r="71" spans="1:7" x14ac:dyDescent="0.25">
      <c r="A71" s="8">
        <v>42839.370393518519</v>
      </c>
      <c r="B71" s="20" t="s">
        <v>412</v>
      </c>
      <c r="C71" s="20" t="s">
        <v>716</v>
      </c>
      <c r="D71" s="146">
        <v>1110000</v>
      </c>
      <c r="E71" s="20" t="s">
        <v>664</v>
      </c>
      <c r="F71" s="20" t="s">
        <v>665</v>
      </c>
      <c r="G71" s="8" t="str">
        <f t="shared" si="1"/>
        <v>STARKS ANGELINA</v>
      </c>
    </row>
    <row r="72" spans="1:7" x14ac:dyDescent="0.25">
      <c r="A72" s="8">
        <v>42839.373159722221</v>
      </c>
      <c r="B72" s="20" t="s">
        <v>375</v>
      </c>
      <c r="C72" s="20" t="s">
        <v>632</v>
      </c>
      <c r="D72" s="146">
        <v>3040000</v>
      </c>
      <c r="E72" s="20" t="s">
        <v>498</v>
      </c>
      <c r="F72" s="20" t="s">
        <v>499</v>
      </c>
      <c r="G72" s="8" t="str">
        <f t="shared" si="1"/>
        <v>WILLIAMS DONTE</v>
      </c>
    </row>
    <row r="73" spans="1:7" x14ac:dyDescent="0.25">
      <c r="A73" s="8">
        <v>42839.374166666668</v>
      </c>
      <c r="B73" s="20" t="s">
        <v>472</v>
      </c>
      <c r="C73" s="20" t="s">
        <v>717</v>
      </c>
      <c r="D73" s="146">
        <v>2020000</v>
      </c>
      <c r="E73" s="20" t="s">
        <v>576</v>
      </c>
      <c r="F73" s="20" t="s">
        <v>456</v>
      </c>
      <c r="G73" s="8" t="str">
        <f t="shared" si="1"/>
        <v>SHOOK JOHN</v>
      </c>
    </row>
    <row r="74" spans="1:7" x14ac:dyDescent="0.25">
      <c r="A74" s="8">
        <v>42839.381435185183</v>
      </c>
      <c r="B74" s="20" t="s">
        <v>425</v>
      </c>
      <c r="C74" s="20" t="s">
        <v>718</v>
      </c>
      <c r="D74" s="146">
        <v>1990000</v>
      </c>
      <c r="E74" s="20" t="s">
        <v>657</v>
      </c>
      <c r="F74" s="20" t="s">
        <v>658</v>
      </c>
      <c r="G74" s="8" t="str">
        <f t="shared" si="1"/>
        <v>DAVIS WENDY</v>
      </c>
    </row>
    <row r="75" spans="1:7" x14ac:dyDescent="0.25">
      <c r="A75" s="8">
        <v>42839.389143518521</v>
      </c>
      <c r="B75" s="20" t="s">
        <v>640</v>
      </c>
      <c r="C75" s="20" t="s">
        <v>719</v>
      </c>
      <c r="D75" s="146">
        <v>1780000</v>
      </c>
      <c r="E75" s="20" t="s">
        <v>537</v>
      </c>
      <c r="F75" s="20" t="s">
        <v>538</v>
      </c>
      <c r="G75" s="8" t="str">
        <f t="shared" si="1"/>
        <v>DE LA ROSA ALEX</v>
      </c>
    </row>
    <row r="76" spans="1:7" x14ac:dyDescent="0.25">
      <c r="A76" s="8">
        <v>42839.392083333332</v>
      </c>
      <c r="B76" s="20" t="s">
        <v>423</v>
      </c>
      <c r="C76" s="20" t="s">
        <v>633</v>
      </c>
      <c r="D76" s="146">
        <v>1290000</v>
      </c>
      <c r="E76" s="20" t="s">
        <v>517</v>
      </c>
      <c r="F76" s="20" t="s">
        <v>456</v>
      </c>
      <c r="G76" s="8" t="str">
        <f t="shared" si="1"/>
        <v>COOLAHAN JOHN</v>
      </c>
    </row>
    <row r="77" spans="1:7" x14ac:dyDescent="0.25">
      <c r="A77" s="8">
        <v>42839.398645833331</v>
      </c>
      <c r="B77" s="20" t="s">
        <v>430</v>
      </c>
      <c r="C77" s="20" t="s">
        <v>720</v>
      </c>
      <c r="D77" s="146">
        <v>2550000</v>
      </c>
      <c r="E77" s="20" t="s">
        <v>531</v>
      </c>
      <c r="F77" s="20" t="s">
        <v>532</v>
      </c>
      <c r="G77" s="8" t="str">
        <f t="shared" si="1"/>
        <v>BADERTSCHER DIANE</v>
      </c>
    </row>
    <row r="78" spans="1:7" x14ac:dyDescent="0.25">
      <c r="A78" s="8">
        <v>42839.401145833333</v>
      </c>
      <c r="B78" s="20" t="s">
        <v>429</v>
      </c>
      <c r="C78" s="20" t="s">
        <v>721</v>
      </c>
      <c r="D78" s="146">
        <v>2020000</v>
      </c>
      <c r="E78" s="20" t="s">
        <v>576</v>
      </c>
      <c r="F78" s="20" t="s">
        <v>456</v>
      </c>
      <c r="G78" s="8" t="str">
        <f t="shared" si="1"/>
        <v>SHOOK JOHN</v>
      </c>
    </row>
    <row r="79" spans="1:7" x14ac:dyDescent="0.25">
      <c r="A79" s="8">
        <v>42839.402349537035</v>
      </c>
      <c r="B79" s="20" t="s">
        <v>413</v>
      </c>
      <c r="C79" s="20" t="s">
        <v>722</v>
      </c>
      <c r="D79" s="146">
        <v>900000</v>
      </c>
      <c r="E79" s="20" t="s">
        <v>533</v>
      </c>
      <c r="F79" s="20" t="s">
        <v>534</v>
      </c>
      <c r="G79" s="8" t="str">
        <f t="shared" si="1"/>
        <v>ROCHA YAOTL</v>
      </c>
    </row>
    <row r="80" spans="1:7" x14ac:dyDescent="0.25">
      <c r="A80" s="8">
        <v>42839.404513888891</v>
      </c>
      <c r="B80" s="20" t="s">
        <v>406</v>
      </c>
      <c r="C80" s="20" t="s">
        <v>723</v>
      </c>
      <c r="D80" s="146">
        <v>1110000</v>
      </c>
      <c r="E80" s="20" t="s">
        <v>664</v>
      </c>
      <c r="F80" s="20" t="s">
        <v>665</v>
      </c>
      <c r="G80" s="8" t="str">
        <f t="shared" si="1"/>
        <v>STARKS ANGELINA</v>
      </c>
    </row>
    <row r="81" spans="1:7" x14ac:dyDescent="0.25">
      <c r="A81" s="8">
        <v>42839.414780092593</v>
      </c>
      <c r="B81" s="20" t="s">
        <v>516</v>
      </c>
      <c r="C81" s="20" t="s">
        <v>724</v>
      </c>
      <c r="D81" s="146">
        <v>890000</v>
      </c>
      <c r="E81" s="20" t="s">
        <v>535</v>
      </c>
      <c r="F81" s="20" t="s">
        <v>536</v>
      </c>
      <c r="G81" s="8" t="str">
        <f t="shared" si="1"/>
        <v>LOZA FIDEL</v>
      </c>
    </row>
    <row r="82" spans="1:7" x14ac:dyDescent="0.25">
      <c r="A82" s="8">
        <v>42839.415625000001</v>
      </c>
      <c r="B82" s="20" t="s">
        <v>472</v>
      </c>
      <c r="C82" s="20" t="s">
        <v>725</v>
      </c>
      <c r="D82" s="146">
        <v>2020000</v>
      </c>
      <c r="E82" s="20" t="s">
        <v>576</v>
      </c>
      <c r="F82" s="20" t="s">
        <v>456</v>
      </c>
      <c r="G82" s="8" t="str">
        <f t="shared" si="1"/>
        <v>SHOOK JOHN</v>
      </c>
    </row>
    <row r="83" spans="1:7" x14ac:dyDescent="0.25">
      <c r="A83" s="8">
        <v>42839.4219212963</v>
      </c>
      <c r="B83" s="20" t="s">
        <v>422</v>
      </c>
      <c r="C83" s="20" t="s">
        <v>726</v>
      </c>
      <c r="D83" s="146">
        <v>1990000</v>
      </c>
      <c r="E83" s="20" t="s">
        <v>657</v>
      </c>
      <c r="F83" s="20" t="s">
        <v>658</v>
      </c>
      <c r="G83" s="8" t="str">
        <f t="shared" si="1"/>
        <v>DAVIS WENDY</v>
      </c>
    </row>
    <row r="84" spans="1:7" x14ac:dyDescent="0.25">
      <c r="A84" s="8">
        <v>42839.424525462964</v>
      </c>
      <c r="B84" s="20" t="s">
        <v>488</v>
      </c>
      <c r="C84" s="20" t="s">
        <v>727</v>
      </c>
      <c r="D84" s="146">
        <v>1780000</v>
      </c>
      <c r="E84" s="20" t="s">
        <v>537</v>
      </c>
      <c r="F84" s="20" t="s">
        <v>538</v>
      </c>
      <c r="G84" s="8" t="str">
        <f t="shared" si="1"/>
        <v>DE LA ROSA ALEX</v>
      </c>
    </row>
    <row r="85" spans="1:7" x14ac:dyDescent="0.25">
      <c r="A85" s="8">
        <v>42839.426481481481</v>
      </c>
      <c r="B85" s="20" t="s">
        <v>381</v>
      </c>
      <c r="C85" s="20" t="s">
        <v>728</v>
      </c>
      <c r="D85" s="146">
        <v>2370000</v>
      </c>
      <c r="E85" s="20" t="s">
        <v>539</v>
      </c>
      <c r="F85" s="20" t="s">
        <v>540</v>
      </c>
      <c r="G85" s="8" t="str">
        <f t="shared" si="1"/>
        <v>DELGADO DIANAH</v>
      </c>
    </row>
    <row r="86" spans="1:7" x14ac:dyDescent="0.25">
      <c r="A86" s="8">
        <v>42839.431018518517</v>
      </c>
      <c r="B86" s="20" t="s">
        <v>424</v>
      </c>
      <c r="C86" s="20" t="s">
        <v>635</v>
      </c>
      <c r="D86" s="146">
        <v>1290000</v>
      </c>
      <c r="E86" s="20" t="s">
        <v>517</v>
      </c>
      <c r="F86" s="20" t="s">
        <v>456</v>
      </c>
      <c r="G86" s="8" t="str">
        <f t="shared" si="1"/>
        <v>COOLAHAN JOHN</v>
      </c>
    </row>
    <row r="87" spans="1:7" x14ac:dyDescent="0.25">
      <c r="A87" s="8">
        <v>42839.435069444444</v>
      </c>
      <c r="B87" s="20" t="s">
        <v>433</v>
      </c>
      <c r="C87" s="20" t="s">
        <v>729</v>
      </c>
      <c r="D87" s="146">
        <v>1100000</v>
      </c>
      <c r="E87" s="20" t="s">
        <v>671</v>
      </c>
      <c r="F87" s="20" t="s">
        <v>672</v>
      </c>
      <c r="G87" s="8" t="str">
        <f t="shared" si="1"/>
        <v>GEBRETEKLE DAGNEW</v>
      </c>
    </row>
    <row r="88" spans="1:7" x14ac:dyDescent="0.25">
      <c r="A88" s="8">
        <v>42839.438611111109</v>
      </c>
      <c r="B88" s="20" t="s">
        <v>412</v>
      </c>
      <c r="C88" s="20" t="s">
        <v>634</v>
      </c>
      <c r="D88" s="146">
        <v>1110000</v>
      </c>
      <c r="E88" s="20" t="s">
        <v>664</v>
      </c>
      <c r="F88" s="20" t="s">
        <v>665</v>
      </c>
      <c r="G88" s="8" t="str">
        <f t="shared" si="1"/>
        <v>STARKS ANGELINA</v>
      </c>
    </row>
    <row r="89" spans="1:7" x14ac:dyDescent="0.25">
      <c r="A89" s="8">
        <v>42839.442847222221</v>
      </c>
      <c r="B89" s="20" t="s">
        <v>429</v>
      </c>
      <c r="C89" s="20" t="s">
        <v>730</v>
      </c>
      <c r="D89" s="146">
        <v>2020000</v>
      </c>
      <c r="E89" s="20" t="s">
        <v>576</v>
      </c>
      <c r="F89" s="20" t="s">
        <v>456</v>
      </c>
      <c r="G89" s="8" t="str">
        <f t="shared" si="1"/>
        <v>SHOOK JOHN</v>
      </c>
    </row>
    <row r="90" spans="1:7" x14ac:dyDescent="0.25">
      <c r="A90" s="8">
        <v>42839.443564814814</v>
      </c>
      <c r="B90" s="20" t="s">
        <v>376</v>
      </c>
      <c r="C90" s="20" t="s">
        <v>731</v>
      </c>
      <c r="D90" s="146">
        <v>900000</v>
      </c>
      <c r="E90" s="20" t="s">
        <v>533</v>
      </c>
      <c r="F90" s="20" t="s">
        <v>534</v>
      </c>
      <c r="G90" s="8" t="str">
        <f t="shared" si="1"/>
        <v>ROCHA YAOTL</v>
      </c>
    </row>
    <row r="91" spans="1:7" x14ac:dyDescent="0.25">
      <c r="A91" s="8">
        <v>42839.450752314813</v>
      </c>
      <c r="B91" s="20" t="s">
        <v>380</v>
      </c>
      <c r="C91" s="20" t="s">
        <v>732</v>
      </c>
      <c r="D91" s="146">
        <v>1260000</v>
      </c>
      <c r="E91" s="20" t="s">
        <v>574</v>
      </c>
      <c r="F91" s="20" t="s">
        <v>575</v>
      </c>
      <c r="G91" s="8" t="str">
        <f t="shared" si="1"/>
        <v>ACKERMAN JARED</v>
      </c>
    </row>
    <row r="92" spans="1:7" x14ac:dyDescent="0.25">
      <c r="A92" s="8">
        <v>42839.452650462961</v>
      </c>
      <c r="B92" s="20" t="s">
        <v>375</v>
      </c>
      <c r="C92" s="20" t="s">
        <v>733</v>
      </c>
      <c r="D92" s="146">
        <v>890000</v>
      </c>
      <c r="E92" s="20" t="s">
        <v>535</v>
      </c>
      <c r="F92" s="20" t="s">
        <v>536</v>
      </c>
      <c r="G92" s="8" t="str">
        <f t="shared" si="1"/>
        <v>LOZA FIDEL</v>
      </c>
    </row>
    <row r="93" spans="1:7" x14ac:dyDescent="0.25">
      <c r="A93" s="8">
        <v>42839.455069444448</v>
      </c>
      <c r="B93" s="20" t="s">
        <v>425</v>
      </c>
      <c r="C93" s="20" t="s">
        <v>636</v>
      </c>
      <c r="D93" s="146">
        <v>2370000</v>
      </c>
      <c r="E93" s="20" t="s">
        <v>539</v>
      </c>
      <c r="F93" s="20" t="s">
        <v>540</v>
      </c>
      <c r="G93" s="8" t="str">
        <f t="shared" si="1"/>
        <v>DELGADO DIANAH</v>
      </c>
    </row>
    <row r="94" spans="1:7" x14ac:dyDescent="0.25">
      <c r="A94" s="8">
        <v>42839.457384259258</v>
      </c>
      <c r="B94" s="20" t="s">
        <v>472</v>
      </c>
      <c r="C94" s="20" t="s">
        <v>734</v>
      </c>
      <c r="D94" s="146">
        <v>2020000</v>
      </c>
      <c r="E94" s="20" t="s">
        <v>576</v>
      </c>
      <c r="F94" s="20" t="s">
        <v>456</v>
      </c>
      <c r="G94" s="8" t="str">
        <f t="shared" si="1"/>
        <v>SHOOK JOHN</v>
      </c>
    </row>
    <row r="95" spans="1:7" x14ac:dyDescent="0.25">
      <c r="A95" s="8">
        <v>42839.462141203701</v>
      </c>
      <c r="B95" s="20" t="s">
        <v>640</v>
      </c>
      <c r="C95" s="20" t="s">
        <v>735</v>
      </c>
      <c r="D95" s="146">
        <v>1780000</v>
      </c>
      <c r="E95" s="20" t="s">
        <v>537</v>
      </c>
      <c r="F95" s="20" t="s">
        <v>538</v>
      </c>
      <c r="G95" s="8" t="str">
        <f t="shared" si="1"/>
        <v>DE LA ROSA ALEX</v>
      </c>
    </row>
    <row r="96" spans="1:7" x14ac:dyDescent="0.25">
      <c r="A96" s="8">
        <v>42839.465520833335</v>
      </c>
      <c r="B96" s="20" t="s">
        <v>423</v>
      </c>
      <c r="C96" s="20" t="s">
        <v>736</v>
      </c>
      <c r="D96" s="146">
        <v>2480000</v>
      </c>
      <c r="E96" s="20" t="s">
        <v>459</v>
      </c>
      <c r="F96" s="20" t="s">
        <v>460</v>
      </c>
      <c r="G96" s="8" t="str">
        <f t="shared" si="1"/>
        <v>WHITED DUSTIN</v>
      </c>
    </row>
    <row r="97" spans="1:7" x14ac:dyDescent="0.25">
      <c r="A97" s="8">
        <v>42839.472812499997</v>
      </c>
      <c r="B97" s="20" t="s">
        <v>430</v>
      </c>
      <c r="C97" s="20" t="s">
        <v>737</v>
      </c>
      <c r="D97" s="146">
        <v>1100000</v>
      </c>
      <c r="E97" s="20" t="s">
        <v>671</v>
      </c>
      <c r="F97" s="20" t="s">
        <v>672</v>
      </c>
      <c r="G97" s="8" t="str">
        <f t="shared" si="1"/>
        <v>GEBRETEKLE DAGNEW</v>
      </c>
    </row>
    <row r="98" spans="1:7" x14ac:dyDescent="0.25">
      <c r="A98" s="8">
        <v>42839.474421296298</v>
      </c>
      <c r="B98" s="20" t="s">
        <v>413</v>
      </c>
      <c r="C98" s="20" t="s">
        <v>638</v>
      </c>
      <c r="D98" s="146">
        <v>900000</v>
      </c>
      <c r="E98" s="20" t="s">
        <v>533</v>
      </c>
      <c r="F98" s="20" t="s">
        <v>534</v>
      </c>
      <c r="G98" s="8" t="str">
        <f t="shared" si="1"/>
        <v>ROCHA YAOTL</v>
      </c>
    </row>
    <row r="99" spans="1:7" x14ac:dyDescent="0.25">
      <c r="A99" s="8">
        <v>42839.476446759261</v>
      </c>
      <c r="B99" s="20" t="s">
        <v>406</v>
      </c>
      <c r="C99" s="20" t="s">
        <v>738</v>
      </c>
      <c r="D99" s="146">
        <v>930000</v>
      </c>
      <c r="E99" s="20" t="s">
        <v>577</v>
      </c>
      <c r="F99" s="20" t="s">
        <v>578</v>
      </c>
      <c r="G99" s="8" t="str">
        <f t="shared" si="1"/>
        <v>CLARK KATHLEEN</v>
      </c>
    </row>
    <row r="100" spans="1:7" x14ac:dyDescent="0.25">
      <c r="A100" s="8">
        <v>42839.484409722223</v>
      </c>
      <c r="B100" s="20" t="s">
        <v>429</v>
      </c>
      <c r="C100" s="20" t="s">
        <v>739</v>
      </c>
      <c r="D100" s="146">
        <v>2020000</v>
      </c>
      <c r="E100" s="20" t="s">
        <v>576</v>
      </c>
      <c r="F100" s="20" t="s">
        <v>456</v>
      </c>
      <c r="G100" s="8" t="str">
        <f t="shared" si="1"/>
        <v>SHOOK JOHN</v>
      </c>
    </row>
    <row r="101" spans="1:7" x14ac:dyDescent="0.25">
      <c r="A101" s="8">
        <v>42839.487384259257</v>
      </c>
      <c r="B101" s="20" t="s">
        <v>516</v>
      </c>
      <c r="C101" s="20" t="s">
        <v>637</v>
      </c>
      <c r="D101" s="146">
        <v>1770000</v>
      </c>
      <c r="E101" s="20" t="s">
        <v>581</v>
      </c>
      <c r="F101" s="20" t="s">
        <v>582</v>
      </c>
      <c r="G101" s="8" t="str">
        <f t="shared" si="1"/>
        <v>BRUDER RICHARD</v>
      </c>
    </row>
    <row r="102" spans="1:7" x14ac:dyDescent="0.25">
      <c r="A102" s="8">
        <v>42839.492303240739</v>
      </c>
      <c r="B102" s="20" t="s">
        <v>381</v>
      </c>
      <c r="C102" s="20" t="s">
        <v>740</v>
      </c>
      <c r="D102" s="146">
        <v>2540000</v>
      </c>
      <c r="E102" s="20" t="s">
        <v>541</v>
      </c>
      <c r="F102" s="20" t="s">
        <v>542</v>
      </c>
      <c r="G102" s="8" t="str">
        <f t="shared" si="1"/>
        <v>MCREYNOLDS KYLE</v>
      </c>
    </row>
    <row r="103" spans="1:7" x14ac:dyDescent="0.25">
      <c r="A103" s="8">
        <v>42839.492777777778</v>
      </c>
      <c r="B103" s="20" t="s">
        <v>422</v>
      </c>
      <c r="C103" s="20" t="s">
        <v>741</v>
      </c>
      <c r="D103" s="146">
        <v>2370000</v>
      </c>
      <c r="E103" s="20" t="s">
        <v>539</v>
      </c>
      <c r="F103" s="20" t="s">
        <v>540</v>
      </c>
      <c r="G103" s="8" t="str">
        <f t="shared" si="1"/>
        <v>DELGADO DIANAH</v>
      </c>
    </row>
    <row r="104" spans="1:7" x14ac:dyDescent="0.25">
      <c r="A104" s="8">
        <v>42839.497210648151</v>
      </c>
      <c r="B104" s="20" t="s">
        <v>488</v>
      </c>
      <c r="C104" s="20" t="s">
        <v>742</v>
      </c>
      <c r="D104" s="146">
        <v>3020000</v>
      </c>
      <c r="E104" s="20" t="s">
        <v>500</v>
      </c>
      <c r="F104" s="20" t="s">
        <v>501</v>
      </c>
      <c r="G104" s="8" t="str">
        <f t="shared" si="1"/>
        <v>MENGES BRAD</v>
      </c>
    </row>
    <row r="105" spans="1:7" x14ac:dyDescent="0.25">
      <c r="A105" s="8">
        <v>42839.498807870368</v>
      </c>
      <c r="B105" s="20" t="s">
        <v>472</v>
      </c>
      <c r="C105" s="20" t="s">
        <v>743</v>
      </c>
      <c r="D105" s="146">
        <v>2020000</v>
      </c>
      <c r="E105" s="20" t="s">
        <v>576</v>
      </c>
      <c r="F105" s="20" t="s">
        <v>456</v>
      </c>
      <c r="G105" s="8" t="str">
        <f t="shared" si="1"/>
        <v>SHOOK JOHN</v>
      </c>
    </row>
    <row r="106" spans="1:7" x14ac:dyDescent="0.25">
      <c r="A106" s="8">
        <v>42839.500277777777</v>
      </c>
      <c r="B106" s="20" t="s">
        <v>424</v>
      </c>
      <c r="C106" s="20" t="s">
        <v>744</v>
      </c>
      <c r="D106" s="146">
        <v>2480000</v>
      </c>
      <c r="E106" s="20" t="s">
        <v>459</v>
      </c>
      <c r="F106" s="20" t="s">
        <v>460</v>
      </c>
      <c r="G106" s="8" t="str">
        <f t="shared" si="1"/>
        <v>WHITED DUSTIN</v>
      </c>
    </row>
    <row r="107" spans="1:7" x14ac:dyDescent="0.25">
      <c r="A107" s="8">
        <v>42839.507013888891</v>
      </c>
      <c r="B107" s="20" t="s">
        <v>433</v>
      </c>
      <c r="C107" s="20" t="s">
        <v>745</v>
      </c>
      <c r="D107" s="146">
        <v>2360000</v>
      </c>
      <c r="E107" s="20" t="s">
        <v>579</v>
      </c>
      <c r="F107" s="20" t="s">
        <v>580</v>
      </c>
      <c r="G107" s="8" t="str">
        <f t="shared" si="1"/>
        <v>BRANDNER MELINDA</v>
      </c>
    </row>
    <row r="108" spans="1:7" x14ac:dyDescent="0.25">
      <c r="A108" s="8">
        <v>42839.513888888891</v>
      </c>
      <c r="B108" s="20" t="s">
        <v>412</v>
      </c>
      <c r="C108" s="20" t="s">
        <v>746</v>
      </c>
      <c r="D108" s="146">
        <v>930000</v>
      </c>
      <c r="E108" s="20" t="s">
        <v>577</v>
      </c>
      <c r="F108" s="20" t="s">
        <v>578</v>
      </c>
      <c r="G108" s="8" t="str">
        <f t="shared" si="1"/>
        <v>CLARK KATHLEEN</v>
      </c>
    </row>
    <row r="109" spans="1:7" x14ac:dyDescent="0.25">
      <c r="A109" s="8">
        <v>42839.514537037037</v>
      </c>
      <c r="B109" s="20" t="s">
        <v>433</v>
      </c>
      <c r="C109" s="20" t="s">
        <v>745</v>
      </c>
      <c r="D109" s="146">
        <v>2360000</v>
      </c>
      <c r="E109" s="20" t="s">
        <v>579</v>
      </c>
      <c r="F109" s="20" t="s">
        <v>580</v>
      </c>
      <c r="G109" s="8" t="str">
        <f t="shared" si="1"/>
        <v>BRANDNER MELINDA</v>
      </c>
    </row>
    <row r="110" spans="1:7" x14ac:dyDescent="0.25">
      <c r="A110" s="8">
        <v>42839.518310185187</v>
      </c>
      <c r="B110" s="20" t="s">
        <v>376</v>
      </c>
      <c r="C110" s="20" t="s">
        <v>747</v>
      </c>
      <c r="D110" s="146">
        <v>2540000</v>
      </c>
      <c r="E110" s="20" t="s">
        <v>541</v>
      </c>
      <c r="F110" s="20" t="s">
        <v>542</v>
      </c>
      <c r="G110" s="8" t="str">
        <f t="shared" si="1"/>
        <v>MCREYNOLDS KYLE</v>
      </c>
    </row>
    <row r="111" spans="1:7" x14ac:dyDescent="0.25">
      <c r="A111" s="8">
        <v>42839.518946759257</v>
      </c>
      <c r="B111" s="20" t="s">
        <v>380</v>
      </c>
      <c r="C111" s="20" t="s">
        <v>748</v>
      </c>
      <c r="D111" s="146">
        <v>900000</v>
      </c>
      <c r="E111" s="20" t="s">
        <v>533</v>
      </c>
      <c r="F111" s="20" t="s">
        <v>534</v>
      </c>
      <c r="G111" s="8" t="str">
        <f t="shared" si="1"/>
        <v>ROCHA YAOTL</v>
      </c>
    </row>
    <row r="112" spans="1:7" x14ac:dyDescent="0.25">
      <c r="A112" s="8">
        <v>42839.525868055556</v>
      </c>
      <c r="B112" s="20" t="s">
        <v>375</v>
      </c>
      <c r="C112" s="20" t="s">
        <v>749</v>
      </c>
      <c r="D112" s="146">
        <v>1770000</v>
      </c>
      <c r="E112" s="20" t="s">
        <v>581</v>
      </c>
      <c r="F112" s="20" t="s">
        <v>582</v>
      </c>
      <c r="G112" s="8" t="str">
        <f t="shared" si="1"/>
        <v>BRUDER RICHARD</v>
      </c>
    </row>
    <row r="113" spans="1:7" x14ac:dyDescent="0.25">
      <c r="A113" s="8">
        <v>42839.526504629626</v>
      </c>
      <c r="B113" s="20" t="s">
        <v>429</v>
      </c>
      <c r="C113" s="20" t="s">
        <v>750</v>
      </c>
      <c r="D113" s="146">
        <v>2020000</v>
      </c>
      <c r="E113" s="20" t="s">
        <v>576</v>
      </c>
      <c r="F113" s="20" t="s">
        <v>456</v>
      </c>
      <c r="G113" s="8" t="str">
        <f t="shared" si="1"/>
        <v>SHOOK JOHN</v>
      </c>
    </row>
    <row r="114" spans="1:7" x14ac:dyDescent="0.25">
      <c r="A114" s="8">
        <v>42839.527233796296</v>
      </c>
      <c r="B114" s="20" t="s">
        <v>425</v>
      </c>
      <c r="C114" s="20" t="s">
        <v>751</v>
      </c>
      <c r="D114" s="146">
        <v>880000</v>
      </c>
      <c r="E114" s="20" t="s">
        <v>752</v>
      </c>
      <c r="F114" s="20" t="s">
        <v>196</v>
      </c>
      <c r="G114" s="8" t="str">
        <f t="shared" si="1"/>
        <v>STEWART MICHAEL</v>
      </c>
    </row>
    <row r="115" spans="1:7" x14ac:dyDescent="0.25">
      <c r="A115" s="8">
        <v>42839.536168981482</v>
      </c>
      <c r="B115" s="20" t="s">
        <v>640</v>
      </c>
      <c r="C115" s="20" t="s">
        <v>753</v>
      </c>
      <c r="D115" s="146">
        <v>3020000</v>
      </c>
      <c r="E115" s="20" t="s">
        <v>500</v>
      </c>
      <c r="F115" s="20" t="s">
        <v>501</v>
      </c>
      <c r="G115" s="8" t="str">
        <f t="shared" si="1"/>
        <v>MENGES BRAD</v>
      </c>
    </row>
    <row r="116" spans="1:7" x14ac:dyDescent="0.25">
      <c r="A116" s="8">
        <v>42839.536435185182</v>
      </c>
      <c r="B116" s="20" t="s">
        <v>423</v>
      </c>
      <c r="C116" s="20" t="s">
        <v>754</v>
      </c>
      <c r="D116" s="146">
        <v>2480000</v>
      </c>
      <c r="E116" s="20" t="s">
        <v>459</v>
      </c>
      <c r="F116" s="20" t="s">
        <v>460</v>
      </c>
      <c r="G116" s="8" t="str">
        <f t="shared" si="1"/>
        <v>WHITED DUSTIN</v>
      </c>
    </row>
    <row r="117" spans="1:7" x14ac:dyDescent="0.25">
      <c r="A117" s="8">
        <v>42839.545567129629</v>
      </c>
      <c r="B117" s="20" t="s">
        <v>430</v>
      </c>
      <c r="C117" s="20" t="s">
        <v>755</v>
      </c>
      <c r="D117" s="146">
        <v>2360000</v>
      </c>
      <c r="E117" s="20" t="s">
        <v>579</v>
      </c>
      <c r="F117" s="20" t="s">
        <v>580</v>
      </c>
      <c r="G117" s="8" t="str">
        <f t="shared" si="1"/>
        <v>BRANDNER MELINDA</v>
      </c>
    </row>
    <row r="118" spans="1:7" x14ac:dyDescent="0.25">
      <c r="A118" s="8">
        <v>42839.549247685187</v>
      </c>
      <c r="B118" s="20" t="s">
        <v>472</v>
      </c>
      <c r="C118" s="20" t="s">
        <v>756</v>
      </c>
      <c r="D118" s="146">
        <v>2970000</v>
      </c>
      <c r="E118" s="20" t="s">
        <v>426</v>
      </c>
      <c r="F118" s="20" t="s">
        <v>427</v>
      </c>
      <c r="G118" s="8" t="str">
        <f t="shared" si="1"/>
        <v>GUZMAN DANNY</v>
      </c>
    </row>
    <row r="119" spans="1:7" x14ac:dyDescent="0.25">
      <c r="A119" s="8">
        <v>42839.549340277779</v>
      </c>
      <c r="B119" s="20" t="s">
        <v>406</v>
      </c>
      <c r="C119" s="20" t="s">
        <v>757</v>
      </c>
      <c r="D119" s="146">
        <v>930000</v>
      </c>
      <c r="E119" s="20" t="s">
        <v>577</v>
      </c>
      <c r="F119" s="20" t="s">
        <v>578</v>
      </c>
      <c r="G119" s="8" t="str">
        <f t="shared" si="1"/>
        <v>CLARK KATHLEEN</v>
      </c>
    </row>
    <row r="120" spans="1:7" x14ac:dyDescent="0.25">
      <c r="A120" s="8">
        <v>42839.551944444444</v>
      </c>
      <c r="B120" s="20" t="s">
        <v>413</v>
      </c>
      <c r="C120" s="20" t="s">
        <v>758</v>
      </c>
      <c r="D120" s="146">
        <v>2540000</v>
      </c>
      <c r="E120" s="20" t="s">
        <v>541</v>
      </c>
      <c r="F120" s="20" t="s">
        <v>542</v>
      </c>
      <c r="G120" s="8" t="str">
        <f t="shared" si="1"/>
        <v>MCREYNOLDS KYLE</v>
      </c>
    </row>
    <row r="121" spans="1:7" x14ac:dyDescent="0.25">
      <c r="A121" s="8">
        <v>42839.558206018519</v>
      </c>
      <c r="B121" s="20" t="s">
        <v>516</v>
      </c>
      <c r="C121" s="20" t="s">
        <v>759</v>
      </c>
      <c r="D121" s="146">
        <v>1770000</v>
      </c>
      <c r="E121" s="20" t="s">
        <v>581</v>
      </c>
      <c r="F121" s="20" t="s">
        <v>582</v>
      </c>
      <c r="G121" s="8" t="str">
        <f t="shared" si="1"/>
        <v>BRUDER RICHARD</v>
      </c>
    </row>
    <row r="122" spans="1:7" x14ac:dyDescent="0.25">
      <c r="A122" s="8">
        <v>42839.567256944443</v>
      </c>
      <c r="B122" s="25" t="s">
        <v>422</v>
      </c>
      <c r="C122" s="20" t="s">
        <v>760</v>
      </c>
      <c r="D122" s="146">
        <v>880000</v>
      </c>
      <c r="E122" s="20" t="s">
        <v>752</v>
      </c>
      <c r="F122" s="20" t="s">
        <v>196</v>
      </c>
      <c r="G122" s="8" t="str">
        <f t="shared" si="1"/>
        <v>STEWART MICHAEL</v>
      </c>
    </row>
    <row r="123" spans="1:7" x14ac:dyDescent="0.25">
      <c r="A123" s="8">
        <v>42839.568935185183</v>
      </c>
      <c r="B123" s="20" t="s">
        <v>488</v>
      </c>
      <c r="C123" s="20" t="s">
        <v>761</v>
      </c>
      <c r="D123" s="146">
        <v>3020000</v>
      </c>
      <c r="E123" s="20" t="s">
        <v>500</v>
      </c>
      <c r="F123" s="20" t="s">
        <v>501</v>
      </c>
      <c r="G123" s="8" t="str">
        <f t="shared" si="1"/>
        <v>MENGES BRAD</v>
      </c>
    </row>
    <row r="124" spans="1:7" x14ac:dyDescent="0.25">
      <c r="A124" s="8">
        <v>42839.569247685184</v>
      </c>
      <c r="B124" s="20" t="s">
        <v>429</v>
      </c>
      <c r="C124" s="20" t="s">
        <v>762</v>
      </c>
      <c r="D124" s="146">
        <v>2970000</v>
      </c>
      <c r="E124" s="20" t="s">
        <v>426</v>
      </c>
      <c r="F124" s="20" t="s">
        <v>427</v>
      </c>
      <c r="G124" s="8" t="str">
        <f t="shared" si="1"/>
        <v>GUZMAN DANNY</v>
      </c>
    </row>
    <row r="125" spans="1:7" x14ac:dyDescent="0.25">
      <c r="A125" s="8">
        <v>42839.57534722222</v>
      </c>
      <c r="B125" s="20" t="s">
        <v>424</v>
      </c>
      <c r="C125" s="20" t="s">
        <v>763</v>
      </c>
      <c r="D125" s="146">
        <v>2480000</v>
      </c>
      <c r="E125" s="20" t="s">
        <v>459</v>
      </c>
      <c r="F125" s="20" t="s">
        <v>460</v>
      </c>
      <c r="G125" s="8" t="str">
        <f t="shared" si="1"/>
        <v>WHITED DUSTIN</v>
      </c>
    </row>
    <row r="126" spans="1:7" x14ac:dyDescent="0.25">
      <c r="A126" s="8">
        <v>42839.580127314817</v>
      </c>
      <c r="B126" s="20" t="s">
        <v>433</v>
      </c>
      <c r="C126" s="20" t="s">
        <v>639</v>
      </c>
      <c r="D126" s="146">
        <v>2360000</v>
      </c>
      <c r="E126" s="20" t="s">
        <v>579</v>
      </c>
      <c r="F126" s="20" t="s">
        <v>580</v>
      </c>
      <c r="G126" s="8" t="str">
        <f t="shared" si="1"/>
        <v>BRANDNER MELINDA</v>
      </c>
    </row>
    <row r="127" spans="1:7" x14ac:dyDescent="0.25">
      <c r="A127" s="8">
        <v>42839.586180555554</v>
      </c>
      <c r="B127" s="20" t="s">
        <v>472</v>
      </c>
      <c r="C127" s="20" t="s">
        <v>764</v>
      </c>
      <c r="D127" s="146">
        <v>2970000</v>
      </c>
      <c r="E127" s="20" t="s">
        <v>426</v>
      </c>
      <c r="F127" s="20" t="s">
        <v>427</v>
      </c>
      <c r="G127" s="8" t="str">
        <f t="shared" si="1"/>
        <v>GUZMAN DANNY</v>
      </c>
    </row>
    <row r="128" spans="1:7" x14ac:dyDescent="0.25">
      <c r="A128" s="8">
        <v>42839.586284722223</v>
      </c>
      <c r="B128" s="20" t="s">
        <v>412</v>
      </c>
      <c r="C128" s="20" t="s">
        <v>765</v>
      </c>
      <c r="D128" s="146">
        <v>930000</v>
      </c>
      <c r="E128" s="20" t="s">
        <v>577</v>
      </c>
      <c r="F128" s="20" t="s">
        <v>578</v>
      </c>
      <c r="G128" s="8" t="str">
        <f t="shared" si="1"/>
        <v>CLARK KATHLEEN</v>
      </c>
    </row>
    <row r="129" spans="1:7" x14ac:dyDescent="0.25">
      <c r="A129" s="8">
        <v>42839.589421296296</v>
      </c>
      <c r="B129" s="20" t="s">
        <v>376</v>
      </c>
      <c r="C129" s="20" t="s">
        <v>766</v>
      </c>
      <c r="D129" s="146">
        <v>2540000</v>
      </c>
      <c r="E129" s="20" t="s">
        <v>541</v>
      </c>
      <c r="F129" s="20" t="s">
        <v>542</v>
      </c>
      <c r="G129" s="8" t="str">
        <f t="shared" si="1"/>
        <v>MCREYNOLDS KYLE</v>
      </c>
    </row>
    <row r="130" spans="1:7" x14ac:dyDescent="0.25">
      <c r="A130" s="8">
        <v>42839.597118055557</v>
      </c>
      <c r="B130" s="20" t="s">
        <v>375</v>
      </c>
      <c r="C130" s="20" t="s">
        <v>767</v>
      </c>
      <c r="D130" s="146">
        <v>1770000</v>
      </c>
      <c r="E130" s="20" t="s">
        <v>581</v>
      </c>
      <c r="F130" s="20" t="s">
        <v>582</v>
      </c>
      <c r="G130" s="8" t="str">
        <f t="shared" si="1"/>
        <v>BRUDER RICHARD</v>
      </c>
    </row>
    <row r="131" spans="1:7" x14ac:dyDescent="0.25">
      <c r="A131" s="8">
        <v>42839.601018518515</v>
      </c>
      <c r="B131" s="20" t="s">
        <v>425</v>
      </c>
      <c r="C131" s="20" t="s">
        <v>642</v>
      </c>
      <c r="D131" s="146">
        <v>880000</v>
      </c>
      <c r="E131" s="20" t="s">
        <v>752</v>
      </c>
      <c r="F131" s="20" t="s">
        <v>196</v>
      </c>
      <c r="G131" s="8" t="str">
        <f t="shared" ref="G131:G194" si="2">E131&amp;" "&amp;F131</f>
        <v>STEWART MICHAEL</v>
      </c>
    </row>
    <row r="132" spans="1:7" x14ac:dyDescent="0.25">
      <c r="A132" s="8">
        <v>42839.609236111108</v>
      </c>
      <c r="B132" s="20" t="s">
        <v>423</v>
      </c>
      <c r="C132" s="20" t="s">
        <v>763</v>
      </c>
      <c r="D132" s="146">
        <v>2480000</v>
      </c>
      <c r="E132" s="20" t="s">
        <v>459</v>
      </c>
      <c r="F132" s="20" t="s">
        <v>460</v>
      </c>
      <c r="G132" s="8" t="str">
        <f t="shared" si="2"/>
        <v>WHITED DUSTIN</v>
      </c>
    </row>
    <row r="133" spans="1:7" x14ac:dyDescent="0.25">
      <c r="A133" s="8">
        <v>42839.609305555554</v>
      </c>
      <c r="B133" s="20" t="s">
        <v>429</v>
      </c>
      <c r="C133" s="20" t="s">
        <v>768</v>
      </c>
      <c r="D133" s="146">
        <v>2970000</v>
      </c>
      <c r="E133" s="20" t="s">
        <v>426</v>
      </c>
      <c r="F133" s="20" t="s">
        <v>427</v>
      </c>
      <c r="G133" s="8" t="str">
        <f t="shared" si="2"/>
        <v>GUZMAN DANNY</v>
      </c>
    </row>
    <row r="134" spans="1:7" x14ac:dyDescent="0.25">
      <c r="A134" s="8">
        <v>42839.609988425924</v>
      </c>
      <c r="B134" s="20" t="s">
        <v>640</v>
      </c>
      <c r="C134" s="20" t="s">
        <v>641</v>
      </c>
      <c r="D134" s="146">
        <v>3020000</v>
      </c>
      <c r="E134" s="20" t="s">
        <v>500</v>
      </c>
      <c r="F134" s="20" t="s">
        <v>501</v>
      </c>
      <c r="G134" s="8" t="str">
        <f t="shared" si="2"/>
        <v>MENGES BRAD</v>
      </c>
    </row>
    <row r="135" spans="1:7" x14ac:dyDescent="0.25">
      <c r="A135" s="8">
        <v>42839.609988425924</v>
      </c>
      <c r="B135" s="20" t="s">
        <v>423</v>
      </c>
      <c r="C135" s="20" t="s">
        <v>769</v>
      </c>
      <c r="D135" s="146">
        <v>2480000</v>
      </c>
      <c r="E135" s="20" t="s">
        <v>459</v>
      </c>
      <c r="F135" s="20" t="s">
        <v>460</v>
      </c>
      <c r="G135" s="8" t="str">
        <f t="shared" si="2"/>
        <v>WHITED DUSTIN</v>
      </c>
    </row>
    <row r="136" spans="1:7" x14ac:dyDescent="0.25">
      <c r="A136" s="8">
        <v>42839.61923611111</v>
      </c>
      <c r="B136" s="20" t="s">
        <v>430</v>
      </c>
      <c r="C136" s="20" t="s">
        <v>770</v>
      </c>
      <c r="D136" s="146">
        <v>2360000</v>
      </c>
      <c r="E136" s="20" t="s">
        <v>579</v>
      </c>
      <c r="F136" s="20" t="s">
        <v>580</v>
      </c>
      <c r="G136" s="8" t="str">
        <f t="shared" si="2"/>
        <v>BRANDNER MELINDA</v>
      </c>
    </row>
    <row r="137" spans="1:7" x14ac:dyDescent="0.25">
      <c r="A137" s="8">
        <v>42839.620740740742</v>
      </c>
      <c r="B137" s="20" t="s">
        <v>640</v>
      </c>
      <c r="C137" s="20" t="s">
        <v>641</v>
      </c>
      <c r="D137" s="146">
        <v>3020000</v>
      </c>
      <c r="E137" s="20" t="s">
        <v>500</v>
      </c>
      <c r="F137" s="20" t="s">
        <v>501</v>
      </c>
      <c r="G137" s="8" t="str">
        <f t="shared" si="2"/>
        <v>MENGES BRAD</v>
      </c>
    </row>
    <row r="138" spans="1:7" x14ac:dyDescent="0.25">
      <c r="A138" s="8">
        <v>42839.622384259259</v>
      </c>
      <c r="B138" s="20" t="s">
        <v>406</v>
      </c>
      <c r="C138" s="20" t="s">
        <v>771</v>
      </c>
      <c r="D138" s="146">
        <v>930000</v>
      </c>
      <c r="E138" s="20" t="s">
        <v>577</v>
      </c>
      <c r="F138" s="20" t="s">
        <v>578</v>
      </c>
      <c r="G138" s="8" t="str">
        <f t="shared" si="2"/>
        <v>CLARK KATHLEEN</v>
      </c>
    </row>
    <row r="139" spans="1:7" x14ac:dyDescent="0.25">
      <c r="A139" s="8">
        <v>42839.6247337963</v>
      </c>
      <c r="B139" s="20" t="s">
        <v>413</v>
      </c>
      <c r="C139" s="20" t="s">
        <v>772</v>
      </c>
      <c r="D139" s="146">
        <v>2540000</v>
      </c>
      <c r="E139" s="20" t="s">
        <v>541</v>
      </c>
      <c r="F139" s="20" t="s">
        <v>542</v>
      </c>
      <c r="G139" s="8" t="str">
        <f t="shared" si="2"/>
        <v>MCREYNOLDS KYLE</v>
      </c>
    </row>
    <row r="140" spans="1:7" x14ac:dyDescent="0.25">
      <c r="A140" s="8">
        <v>42839.630578703705</v>
      </c>
      <c r="B140" s="20" t="s">
        <v>516</v>
      </c>
      <c r="C140" s="20" t="s">
        <v>773</v>
      </c>
      <c r="D140" s="146">
        <v>1770000</v>
      </c>
      <c r="E140" s="20" t="s">
        <v>581</v>
      </c>
      <c r="F140" s="20" t="s">
        <v>582</v>
      </c>
      <c r="G140" s="8" t="str">
        <f t="shared" si="2"/>
        <v>BRUDER RICHARD</v>
      </c>
    </row>
    <row r="141" spans="1:7" x14ac:dyDescent="0.25">
      <c r="A141" s="8">
        <v>42839.631643518522</v>
      </c>
      <c r="B141" s="20" t="s">
        <v>373</v>
      </c>
      <c r="C141" s="20" t="s">
        <v>774</v>
      </c>
      <c r="D141" s="146">
        <v>3010000</v>
      </c>
      <c r="E141" s="20" t="s">
        <v>457</v>
      </c>
      <c r="F141" s="20" t="s">
        <v>458</v>
      </c>
      <c r="G141" s="8" t="str">
        <f t="shared" si="2"/>
        <v>SULLIVAN BRANDON</v>
      </c>
    </row>
    <row r="142" spans="1:7" x14ac:dyDescent="0.25">
      <c r="A142" s="8">
        <v>42839.633298611108</v>
      </c>
      <c r="B142" s="20" t="s">
        <v>472</v>
      </c>
      <c r="C142" s="20" t="s">
        <v>768</v>
      </c>
      <c r="D142" s="146">
        <v>2970000</v>
      </c>
      <c r="E142" s="20" t="s">
        <v>426</v>
      </c>
      <c r="F142" s="20" t="s">
        <v>427</v>
      </c>
      <c r="G142" s="8" t="str">
        <f t="shared" si="2"/>
        <v>GUZMAN DANNY</v>
      </c>
    </row>
    <row r="143" spans="1:7" x14ac:dyDescent="0.25">
      <c r="A143" s="8">
        <v>42839.633900462963</v>
      </c>
      <c r="B143" s="20" t="s">
        <v>472</v>
      </c>
      <c r="C143" s="20" t="s">
        <v>775</v>
      </c>
      <c r="D143" s="146">
        <v>2970000</v>
      </c>
      <c r="E143" s="20" t="s">
        <v>426</v>
      </c>
      <c r="F143" s="20" t="s">
        <v>427</v>
      </c>
      <c r="G143" s="8" t="str">
        <f t="shared" si="2"/>
        <v>GUZMAN DANNY</v>
      </c>
    </row>
    <row r="144" spans="1:7" x14ac:dyDescent="0.25">
      <c r="A144" s="8">
        <v>42839.635046296295</v>
      </c>
      <c r="B144" s="20" t="s">
        <v>373</v>
      </c>
      <c r="C144" s="20" t="s">
        <v>774</v>
      </c>
      <c r="D144" s="146">
        <v>3010000</v>
      </c>
      <c r="E144" s="20" t="s">
        <v>457</v>
      </c>
      <c r="F144" s="20" t="s">
        <v>458</v>
      </c>
      <c r="G144" s="8" t="str">
        <f t="shared" si="2"/>
        <v>SULLIVAN BRANDON</v>
      </c>
    </row>
    <row r="145" spans="1:7" x14ac:dyDescent="0.25">
      <c r="A145" s="8">
        <v>42839.639699074076</v>
      </c>
      <c r="B145" s="20" t="s">
        <v>373</v>
      </c>
      <c r="C145" s="20" t="s">
        <v>774</v>
      </c>
      <c r="D145" s="146">
        <v>3010000</v>
      </c>
      <c r="E145" s="20" t="s">
        <v>457</v>
      </c>
      <c r="F145" s="20" t="s">
        <v>458</v>
      </c>
      <c r="G145" s="8" t="str">
        <f t="shared" si="2"/>
        <v>SULLIVAN BRANDON</v>
      </c>
    </row>
    <row r="146" spans="1:7" x14ac:dyDescent="0.25">
      <c r="A146" s="8">
        <v>42839.642326388886</v>
      </c>
      <c r="B146" s="20" t="s">
        <v>422</v>
      </c>
      <c r="C146" s="20" t="s">
        <v>776</v>
      </c>
      <c r="D146" s="146">
        <v>880000</v>
      </c>
      <c r="E146" s="20" t="s">
        <v>752</v>
      </c>
      <c r="F146" s="20" t="s">
        <v>196</v>
      </c>
      <c r="G146" s="8" t="str">
        <f t="shared" si="2"/>
        <v>STEWART MICHAEL</v>
      </c>
    </row>
    <row r="147" spans="1:7" x14ac:dyDescent="0.25">
      <c r="A147" s="8">
        <v>42839.644085648149</v>
      </c>
      <c r="B147" s="20" t="s">
        <v>488</v>
      </c>
      <c r="C147" s="20" t="s">
        <v>777</v>
      </c>
      <c r="D147" s="146">
        <v>3020000</v>
      </c>
      <c r="E147" s="20" t="s">
        <v>500</v>
      </c>
      <c r="F147" s="20" t="s">
        <v>501</v>
      </c>
      <c r="G147" s="8" t="str">
        <f t="shared" si="2"/>
        <v>MENGES BRAD</v>
      </c>
    </row>
    <row r="148" spans="1:7" x14ac:dyDescent="0.25">
      <c r="A148" s="8">
        <v>42839.648761574077</v>
      </c>
      <c r="B148" s="20" t="s">
        <v>424</v>
      </c>
      <c r="C148" s="20" t="s">
        <v>778</v>
      </c>
      <c r="D148" s="146">
        <v>2480000</v>
      </c>
      <c r="E148" s="20" t="s">
        <v>459</v>
      </c>
      <c r="F148" s="20" t="s">
        <v>460</v>
      </c>
      <c r="G148" s="8" t="str">
        <f t="shared" si="2"/>
        <v>WHITED DUSTIN</v>
      </c>
    </row>
    <row r="149" spans="1:7" x14ac:dyDescent="0.25">
      <c r="A149" s="8">
        <v>42839.651145833333</v>
      </c>
      <c r="B149" s="20" t="s">
        <v>429</v>
      </c>
      <c r="C149" s="20" t="s">
        <v>779</v>
      </c>
      <c r="D149" s="146">
        <v>2970000</v>
      </c>
      <c r="E149" s="20" t="s">
        <v>426</v>
      </c>
      <c r="F149" s="20" t="s">
        <v>427</v>
      </c>
      <c r="G149" s="8" t="str">
        <f t="shared" si="2"/>
        <v>GUZMAN DANNY</v>
      </c>
    </row>
    <row r="150" spans="1:7" x14ac:dyDescent="0.25">
      <c r="A150" s="8">
        <v>42839.653124999997</v>
      </c>
      <c r="B150" s="20" t="s">
        <v>372</v>
      </c>
      <c r="C150" s="20" t="s">
        <v>780</v>
      </c>
      <c r="D150" s="146">
        <v>3010000</v>
      </c>
      <c r="E150" s="20" t="s">
        <v>457</v>
      </c>
      <c r="F150" s="20" t="s">
        <v>458</v>
      </c>
      <c r="G150" s="8" t="str">
        <f t="shared" si="2"/>
        <v>SULLIVAN BRANDON</v>
      </c>
    </row>
    <row r="151" spans="1:7" x14ac:dyDescent="0.25">
      <c r="A151" s="8">
        <v>42839.653564814813</v>
      </c>
      <c r="B151" s="20" t="s">
        <v>433</v>
      </c>
      <c r="C151" s="20" t="s">
        <v>781</v>
      </c>
      <c r="D151" s="146">
        <v>2360000</v>
      </c>
      <c r="E151" s="20" t="s">
        <v>579</v>
      </c>
      <c r="F151" s="20" t="s">
        <v>580</v>
      </c>
      <c r="G151" s="8" t="str">
        <f t="shared" si="2"/>
        <v>BRANDNER MELINDA</v>
      </c>
    </row>
    <row r="152" spans="1:7" x14ac:dyDescent="0.25">
      <c r="A152" s="8">
        <v>42839.659641203703</v>
      </c>
      <c r="B152" s="20" t="s">
        <v>412</v>
      </c>
      <c r="C152" s="20" t="s">
        <v>782</v>
      </c>
      <c r="D152" s="146">
        <v>930000</v>
      </c>
      <c r="E152" s="20" t="s">
        <v>577</v>
      </c>
      <c r="F152" s="20" t="s">
        <v>578</v>
      </c>
      <c r="G152" s="8" t="str">
        <f t="shared" si="2"/>
        <v>CLARK KATHLEEN</v>
      </c>
    </row>
    <row r="153" spans="1:7" x14ac:dyDescent="0.25">
      <c r="A153" s="8">
        <v>42839.663043981483</v>
      </c>
      <c r="B153" s="20" t="s">
        <v>376</v>
      </c>
      <c r="C153" s="20" t="s">
        <v>783</v>
      </c>
      <c r="D153" s="146">
        <v>2540000</v>
      </c>
      <c r="E153" s="20" t="s">
        <v>541</v>
      </c>
      <c r="F153" s="20" t="s">
        <v>542</v>
      </c>
      <c r="G153" s="8" t="str">
        <f t="shared" si="2"/>
        <v>MCREYNOLDS KYLE</v>
      </c>
    </row>
    <row r="154" spans="1:7" x14ac:dyDescent="0.25">
      <c r="A154" s="8">
        <v>42839.665289351855</v>
      </c>
      <c r="B154" s="20" t="s">
        <v>472</v>
      </c>
      <c r="C154" s="20" t="s">
        <v>784</v>
      </c>
      <c r="D154" s="146">
        <v>2970000</v>
      </c>
      <c r="E154" s="20" t="s">
        <v>426</v>
      </c>
      <c r="F154" s="20" t="s">
        <v>427</v>
      </c>
      <c r="G154" s="8" t="str">
        <f t="shared" si="2"/>
        <v>GUZMAN DANNY</v>
      </c>
    </row>
    <row r="155" spans="1:7" x14ac:dyDescent="0.25">
      <c r="A155" s="8">
        <v>42839.669745370367</v>
      </c>
      <c r="B155" s="20" t="s">
        <v>375</v>
      </c>
      <c r="C155" s="20" t="s">
        <v>785</v>
      </c>
      <c r="D155" s="146">
        <v>1770000</v>
      </c>
      <c r="E155" s="20" t="s">
        <v>581</v>
      </c>
      <c r="F155" s="20" t="s">
        <v>582</v>
      </c>
      <c r="G155" s="8" t="str">
        <f t="shared" si="2"/>
        <v>BRUDER RICHARD</v>
      </c>
    </row>
    <row r="156" spans="1:7" x14ac:dyDescent="0.25">
      <c r="A156" s="8">
        <v>42839.671770833331</v>
      </c>
      <c r="B156" s="20" t="s">
        <v>373</v>
      </c>
      <c r="C156" s="20" t="s">
        <v>643</v>
      </c>
      <c r="D156" s="146">
        <v>3010000</v>
      </c>
      <c r="E156" s="20" t="s">
        <v>457</v>
      </c>
      <c r="F156" s="20" t="s">
        <v>458</v>
      </c>
      <c r="G156" s="8" t="str">
        <f t="shared" si="2"/>
        <v>SULLIVAN BRANDON</v>
      </c>
    </row>
    <row r="157" spans="1:7" x14ac:dyDescent="0.25">
      <c r="A157" s="8">
        <v>42839.674143518518</v>
      </c>
      <c r="B157" s="20" t="s">
        <v>425</v>
      </c>
      <c r="C157" s="20" t="s">
        <v>786</v>
      </c>
      <c r="D157" s="146">
        <v>880000</v>
      </c>
      <c r="E157" s="20" t="s">
        <v>752</v>
      </c>
      <c r="F157" s="20" t="s">
        <v>196</v>
      </c>
      <c r="G157" s="8" t="str">
        <f t="shared" si="2"/>
        <v>STEWART MICHAEL</v>
      </c>
    </row>
    <row r="158" spans="1:7" x14ac:dyDescent="0.25">
      <c r="A158" s="8">
        <v>42839.682604166665</v>
      </c>
      <c r="B158" s="20" t="s">
        <v>640</v>
      </c>
      <c r="C158" s="20" t="s">
        <v>644</v>
      </c>
      <c r="D158" s="146">
        <v>3020000</v>
      </c>
      <c r="E158" s="20" t="s">
        <v>500</v>
      </c>
      <c r="F158" s="20" t="s">
        <v>501</v>
      </c>
      <c r="G158" s="8" t="str">
        <f t="shared" si="2"/>
        <v>MENGES BRAD</v>
      </c>
    </row>
    <row r="159" spans="1:7" x14ac:dyDescent="0.25">
      <c r="A159" s="8">
        <v>42839.683796296296</v>
      </c>
      <c r="B159" s="20" t="s">
        <v>423</v>
      </c>
      <c r="C159" s="20" t="s">
        <v>787</v>
      </c>
      <c r="D159" s="146">
        <v>2480000</v>
      </c>
      <c r="E159" s="20" t="s">
        <v>459</v>
      </c>
      <c r="F159" s="20" t="s">
        <v>460</v>
      </c>
      <c r="G159" s="8" t="str">
        <f t="shared" si="2"/>
        <v>WHITED DUSTIN</v>
      </c>
    </row>
    <row r="160" spans="1:7" x14ac:dyDescent="0.25">
      <c r="A160" s="8">
        <v>42839.690451388888</v>
      </c>
      <c r="B160" s="20" t="s">
        <v>430</v>
      </c>
      <c r="C160" s="20" t="s">
        <v>788</v>
      </c>
      <c r="D160" s="146">
        <v>2360000</v>
      </c>
      <c r="E160" s="20" t="s">
        <v>579</v>
      </c>
      <c r="F160" s="20" t="s">
        <v>580</v>
      </c>
      <c r="G160" s="8" t="str">
        <f t="shared" si="2"/>
        <v>BRANDNER MELINDA</v>
      </c>
    </row>
    <row r="161" spans="1:7" x14ac:dyDescent="0.25">
      <c r="A161" s="8">
        <v>42839.692812499998</v>
      </c>
      <c r="B161" s="20" t="s">
        <v>429</v>
      </c>
      <c r="C161" s="20" t="s">
        <v>789</v>
      </c>
      <c r="D161" s="146">
        <v>2970000</v>
      </c>
      <c r="E161" s="20" t="s">
        <v>426</v>
      </c>
      <c r="F161" s="20" t="s">
        <v>427</v>
      </c>
      <c r="G161" s="8" t="str">
        <f t="shared" si="2"/>
        <v>GUZMAN DANNY</v>
      </c>
    </row>
    <row r="162" spans="1:7" x14ac:dyDescent="0.25">
      <c r="A162" s="8">
        <v>42839.694155092591</v>
      </c>
      <c r="B162" s="20" t="s">
        <v>372</v>
      </c>
      <c r="C162" s="20" t="s">
        <v>790</v>
      </c>
      <c r="D162" s="146">
        <v>3010000</v>
      </c>
      <c r="E162" s="20" t="s">
        <v>457</v>
      </c>
      <c r="F162" s="20" t="s">
        <v>458</v>
      </c>
      <c r="G162" s="8" t="str">
        <f t="shared" si="2"/>
        <v>SULLIVAN BRANDON</v>
      </c>
    </row>
    <row r="163" spans="1:7" x14ac:dyDescent="0.25">
      <c r="A163" s="8">
        <v>42839.695671296293</v>
      </c>
      <c r="B163" s="20" t="s">
        <v>406</v>
      </c>
      <c r="C163" s="20" t="s">
        <v>791</v>
      </c>
      <c r="D163" s="146">
        <v>930000</v>
      </c>
      <c r="E163" s="20" t="s">
        <v>577</v>
      </c>
      <c r="F163" s="20" t="s">
        <v>578</v>
      </c>
      <c r="G163" s="8" t="str">
        <f t="shared" si="2"/>
        <v>CLARK KATHLEEN</v>
      </c>
    </row>
    <row r="164" spans="1:7" x14ac:dyDescent="0.25">
      <c r="A164" s="8">
        <v>42839.698576388888</v>
      </c>
      <c r="B164" s="20" t="s">
        <v>413</v>
      </c>
      <c r="C164" s="20" t="s">
        <v>792</v>
      </c>
      <c r="D164" s="146">
        <v>2540000</v>
      </c>
      <c r="E164" s="20" t="s">
        <v>541</v>
      </c>
      <c r="F164" s="20" t="s">
        <v>542</v>
      </c>
      <c r="G164" s="8" t="str">
        <f t="shared" si="2"/>
        <v>MCREYNOLDS KYLE</v>
      </c>
    </row>
    <row r="165" spans="1:7" x14ac:dyDescent="0.25">
      <c r="A165" s="8">
        <v>42839.703703703701</v>
      </c>
      <c r="B165" s="20" t="s">
        <v>516</v>
      </c>
      <c r="C165" s="20" t="s">
        <v>646</v>
      </c>
      <c r="D165" s="146">
        <v>1770000</v>
      </c>
      <c r="E165" s="20" t="s">
        <v>581</v>
      </c>
      <c r="F165" s="20" t="s">
        <v>582</v>
      </c>
      <c r="G165" s="8" t="str">
        <f t="shared" si="2"/>
        <v>BRUDER RICHARD</v>
      </c>
    </row>
    <row r="166" spans="1:7" x14ac:dyDescent="0.25">
      <c r="A166" s="8">
        <v>42839.713078703702</v>
      </c>
      <c r="B166" s="20" t="s">
        <v>422</v>
      </c>
      <c r="C166" s="20" t="s">
        <v>793</v>
      </c>
      <c r="D166" s="146">
        <v>880000</v>
      </c>
      <c r="E166" s="20" t="s">
        <v>752</v>
      </c>
      <c r="F166" s="20" t="s">
        <v>196</v>
      </c>
      <c r="G166" s="8" t="str">
        <f t="shared" si="2"/>
        <v>STEWART MICHAEL</v>
      </c>
    </row>
    <row r="167" spans="1:7" x14ac:dyDescent="0.25">
      <c r="A167" s="8">
        <v>42839.713449074072</v>
      </c>
      <c r="B167" s="20" t="s">
        <v>373</v>
      </c>
      <c r="C167" s="20" t="s">
        <v>645</v>
      </c>
      <c r="D167" s="146">
        <v>3010000</v>
      </c>
      <c r="E167" s="20" t="s">
        <v>457</v>
      </c>
      <c r="F167" s="20" t="s">
        <v>458</v>
      </c>
      <c r="G167" s="8" t="str">
        <f t="shared" si="2"/>
        <v>SULLIVAN BRANDON</v>
      </c>
    </row>
    <row r="168" spans="1:7" x14ac:dyDescent="0.25">
      <c r="A168" s="8">
        <v>42839.715636574074</v>
      </c>
      <c r="B168" s="20" t="s">
        <v>488</v>
      </c>
      <c r="C168" s="20" t="s">
        <v>794</v>
      </c>
      <c r="D168" s="146">
        <v>3020000</v>
      </c>
      <c r="E168" s="20" t="s">
        <v>500</v>
      </c>
      <c r="F168" s="20" t="s">
        <v>501</v>
      </c>
      <c r="G168" s="8" t="str">
        <f t="shared" si="2"/>
        <v>MENGES BRAD</v>
      </c>
    </row>
    <row r="169" spans="1:7" x14ac:dyDescent="0.25">
      <c r="A169" s="8">
        <v>42839.717152777775</v>
      </c>
      <c r="B169" s="20" t="s">
        <v>472</v>
      </c>
      <c r="C169" s="20" t="s">
        <v>795</v>
      </c>
      <c r="D169" s="146">
        <v>2970000</v>
      </c>
      <c r="E169" s="20" t="s">
        <v>426</v>
      </c>
      <c r="F169" s="20" t="s">
        <v>427</v>
      </c>
      <c r="G169" s="8" t="str">
        <f t="shared" si="2"/>
        <v>GUZMAN DANNY</v>
      </c>
    </row>
    <row r="170" spans="1:7" x14ac:dyDescent="0.25">
      <c r="A170" s="8">
        <v>42839.720567129632</v>
      </c>
      <c r="B170" s="20" t="s">
        <v>424</v>
      </c>
      <c r="C170" s="20" t="s">
        <v>796</v>
      </c>
      <c r="D170" s="146">
        <v>2480000</v>
      </c>
      <c r="E170" s="20" t="s">
        <v>459</v>
      </c>
      <c r="F170" s="20" t="s">
        <v>460</v>
      </c>
      <c r="G170" s="8" t="str">
        <f t="shared" si="2"/>
        <v>WHITED DUSTIN</v>
      </c>
    </row>
    <row r="171" spans="1:7" x14ac:dyDescent="0.25">
      <c r="A171" s="8">
        <v>42839.728472222225</v>
      </c>
      <c r="B171" s="20" t="s">
        <v>433</v>
      </c>
      <c r="C171" s="20" t="s">
        <v>797</v>
      </c>
      <c r="D171" s="146">
        <v>2360000</v>
      </c>
      <c r="E171" s="20" t="s">
        <v>579</v>
      </c>
      <c r="F171" s="20" t="s">
        <v>580</v>
      </c>
      <c r="G171" s="8" t="str">
        <f t="shared" si="2"/>
        <v>BRANDNER MELINDA</v>
      </c>
    </row>
    <row r="172" spans="1:7" x14ac:dyDescent="0.25">
      <c r="A172" s="8">
        <v>42839.732291666667</v>
      </c>
      <c r="B172" s="20" t="s">
        <v>412</v>
      </c>
      <c r="C172" s="20" t="s">
        <v>798</v>
      </c>
      <c r="D172" s="146">
        <v>930000</v>
      </c>
      <c r="E172" s="20" t="s">
        <v>577</v>
      </c>
      <c r="F172" s="20" t="s">
        <v>578</v>
      </c>
      <c r="G172" s="8" t="str">
        <f t="shared" si="2"/>
        <v>CLARK KATHLEEN</v>
      </c>
    </row>
    <row r="173" spans="1:7" x14ac:dyDescent="0.25">
      <c r="A173" s="8">
        <v>42839.732997685183</v>
      </c>
      <c r="B173" s="20" t="s">
        <v>799</v>
      </c>
      <c r="C173" s="20" t="s">
        <v>800</v>
      </c>
      <c r="D173" s="146">
        <v>2440000</v>
      </c>
      <c r="E173" s="20" t="s">
        <v>801</v>
      </c>
      <c r="F173" s="20" t="s">
        <v>802</v>
      </c>
      <c r="G173" s="8" t="str">
        <f t="shared" si="2"/>
        <v>LOPES KIMBERLY</v>
      </c>
    </row>
    <row r="174" spans="1:7" x14ac:dyDescent="0.25">
      <c r="A174" s="8">
        <v>42839.733877314815</v>
      </c>
      <c r="B174" s="20" t="s">
        <v>372</v>
      </c>
      <c r="C174" s="20" t="s">
        <v>803</v>
      </c>
      <c r="D174" s="146">
        <v>3010000</v>
      </c>
      <c r="E174" s="20" t="s">
        <v>457</v>
      </c>
      <c r="F174" s="20" t="s">
        <v>458</v>
      </c>
      <c r="G174" s="8" t="str">
        <f t="shared" si="2"/>
        <v>SULLIVAN BRANDON</v>
      </c>
    </row>
    <row r="175" spans="1:7" x14ac:dyDescent="0.25">
      <c r="A175" s="8">
        <v>42839.734224537038</v>
      </c>
      <c r="B175" s="20" t="s">
        <v>429</v>
      </c>
      <c r="C175" s="20" t="s">
        <v>804</v>
      </c>
      <c r="D175" s="146">
        <v>2970000</v>
      </c>
      <c r="E175" s="20" t="s">
        <v>426</v>
      </c>
      <c r="F175" s="20" t="s">
        <v>427</v>
      </c>
      <c r="G175" s="8" t="str">
        <f t="shared" si="2"/>
        <v>GUZMAN DANNY</v>
      </c>
    </row>
    <row r="176" spans="1:7" x14ac:dyDescent="0.25">
      <c r="A176" s="8">
        <v>42839.736666666664</v>
      </c>
      <c r="B176" s="20" t="s">
        <v>569</v>
      </c>
      <c r="C176" s="20" t="s">
        <v>647</v>
      </c>
      <c r="D176" s="146">
        <v>2610000</v>
      </c>
      <c r="E176" s="20" t="s">
        <v>805</v>
      </c>
      <c r="F176" s="20" t="s">
        <v>806</v>
      </c>
      <c r="G176" s="8" t="str">
        <f t="shared" si="2"/>
        <v>MAGEE KENYA</v>
      </c>
    </row>
    <row r="177" spans="1:7" x14ac:dyDescent="0.25">
      <c r="A177" s="8">
        <v>42839.737002314818</v>
      </c>
      <c r="B177" s="20" t="s">
        <v>376</v>
      </c>
      <c r="C177" s="20" t="s">
        <v>807</v>
      </c>
      <c r="D177" s="146">
        <v>3000000</v>
      </c>
      <c r="E177" s="20" t="s">
        <v>502</v>
      </c>
      <c r="F177" s="20" t="s">
        <v>503</v>
      </c>
      <c r="G177" s="8" t="str">
        <f t="shared" si="2"/>
        <v>FORTUNATO FRANK</v>
      </c>
    </row>
    <row r="178" spans="1:7" x14ac:dyDescent="0.25">
      <c r="A178" s="8">
        <v>42839.743796296294</v>
      </c>
      <c r="B178" s="20" t="s">
        <v>375</v>
      </c>
      <c r="C178" s="20" t="s">
        <v>808</v>
      </c>
      <c r="D178" s="146">
        <v>1770000</v>
      </c>
      <c r="E178" s="20" t="s">
        <v>581</v>
      </c>
      <c r="F178" s="20" t="s">
        <v>582</v>
      </c>
      <c r="G178" s="8" t="str">
        <f t="shared" si="2"/>
        <v>BRUDER RICHARD</v>
      </c>
    </row>
    <row r="179" spans="1:7" x14ac:dyDescent="0.25">
      <c r="A179" s="8">
        <v>42839.745000000003</v>
      </c>
      <c r="B179" s="20" t="s">
        <v>381</v>
      </c>
      <c r="C179" s="20" t="s">
        <v>809</v>
      </c>
      <c r="D179" s="146">
        <v>2150000</v>
      </c>
      <c r="E179" s="20" t="s">
        <v>370</v>
      </c>
      <c r="F179" s="20" t="s">
        <v>371</v>
      </c>
      <c r="G179" s="8" t="str">
        <f t="shared" si="2"/>
        <v>SWANSON BRYCE</v>
      </c>
    </row>
    <row r="180" spans="1:7" x14ac:dyDescent="0.25">
      <c r="A180" s="8">
        <v>42839.746168981481</v>
      </c>
      <c r="B180" s="20" t="s">
        <v>425</v>
      </c>
      <c r="C180" s="20" t="s">
        <v>810</v>
      </c>
      <c r="D180" s="146">
        <v>2620000</v>
      </c>
      <c r="E180" s="20" t="s">
        <v>583</v>
      </c>
      <c r="F180" s="20" t="s">
        <v>584</v>
      </c>
      <c r="G180" s="8" t="str">
        <f t="shared" si="2"/>
        <v>PERKINS DARREN</v>
      </c>
    </row>
    <row r="181" spans="1:7" x14ac:dyDescent="0.25">
      <c r="A181" s="8">
        <v>42839.748449074075</v>
      </c>
      <c r="B181" s="20" t="s">
        <v>472</v>
      </c>
      <c r="C181" s="20" t="s">
        <v>811</v>
      </c>
      <c r="D181" s="146">
        <v>2970000</v>
      </c>
      <c r="E181" s="20" t="s">
        <v>426</v>
      </c>
      <c r="F181" s="20" t="s">
        <v>427</v>
      </c>
      <c r="G181" s="8" t="str">
        <f t="shared" si="2"/>
        <v>GUZMAN DANNY</v>
      </c>
    </row>
    <row r="182" spans="1:7" x14ac:dyDescent="0.25">
      <c r="A182" s="8">
        <v>42839.755011574074</v>
      </c>
      <c r="B182" s="20" t="s">
        <v>373</v>
      </c>
      <c r="C182" s="20" t="s">
        <v>812</v>
      </c>
      <c r="D182" s="146">
        <v>3010000</v>
      </c>
      <c r="E182" s="20" t="s">
        <v>457</v>
      </c>
      <c r="F182" s="20" t="s">
        <v>458</v>
      </c>
      <c r="G182" s="8" t="str">
        <f t="shared" si="2"/>
        <v>SULLIVAN BRANDON</v>
      </c>
    </row>
    <row r="183" spans="1:7" x14ac:dyDescent="0.25">
      <c r="A183" s="8">
        <v>42839.755682870367</v>
      </c>
      <c r="B183" s="20" t="s">
        <v>640</v>
      </c>
      <c r="C183" s="20" t="s">
        <v>813</v>
      </c>
      <c r="D183" s="146">
        <v>3020000</v>
      </c>
      <c r="E183" s="20" t="s">
        <v>500</v>
      </c>
      <c r="F183" s="20" t="s">
        <v>501</v>
      </c>
      <c r="G183" s="8" t="str">
        <f t="shared" si="2"/>
        <v>MENGES BRAD</v>
      </c>
    </row>
    <row r="184" spans="1:7" x14ac:dyDescent="0.25">
      <c r="A184" s="8">
        <v>42839.756365740737</v>
      </c>
      <c r="B184" s="20" t="s">
        <v>423</v>
      </c>
      <c r="C184" s="20" t="s">
        <v>814</v>
      </c>
      <c r="D184" s="146">
        <v>2600000</v>
      </c>
      <c r="E184" s="20" t="s">
        <v>815</v>
      </c>
      <c r="F184" s="20" t="s">
        <v>816</v>
      </c>
      <c r="G184" s="8" t="str">
        <f t="shared" si="2"/>
        <v>DAVIDSON DAVID</v>
      </c>
    </row>
    <row r="185" spans="1:7" x14ac:dyDescent="0.25">
      <c r="A185" s="8">
        <v>42839.764432870368</v>
      </c>
      <c r="B185" s="20" t="s">
        <v>430</v>
      </c>
      <c r="C185" s="20" t="s">
        <v>817</v>
      </c>
      <c r="D185" s="146">
        <v>2360000</v>
      </c>
      <c r="E185" s="20" t="s">
        <v>579</v>
      </c>
      <c r="F185" s="20" t="s">
        <v>580</v>
      </c>
      <c r="G185" s="8" t="str">
        <f t="shared" si="2"/>
        <v>BRANDNER MELINDA</v>
      </c>
    </row>
    <row r="186" spans="1:7" x14ac:dyDescent="0.25">
      <c r="A186" s="8">
        <v>42839.767569444448</v>
      </c>
      <c r="B186" s="20" t="s">
        <v>413</v>
      </c>
      <c r="C186" s="20" t="s">
        <v>818</v>
      </c>
      <c r="D186" s="146">
        <v>3000000</v>
      </c>
      <c r="E186" s="20" t="s">
        <v>502</v>
      </c>
      <c r="F186" s="20" t="s">
        <v>503</v>
      </c>
      <c r="G186" s="8" t="str">
        <f t="shared" si="2"/>
        <v>FORTUNATO FRANK</v>
      </c>
    </row>
    <row r="187" spans="1:7" x14ac:dyDescent="0.25">
      <c r="A187" s="8">
        <v>42839.768761574072</v>
      </c>
      <c r="B187" s="20" t="s">
        <v>406</v>
      </c>
      <c r="C187" s="20" t="s">
        <v>819</v>
      </c>
      <c r="D187" s="146">
        <v>2150000</v>
      </c>
      <c r="E187" s="20" t="s">
        <v>370</v>
      </c>
      <c r="F187" s="20" t="s">
        <v>371</v>
      </c>
      <c r="G187" s="8" t="str">
        <f t="shared" si="2"/>
        <v>SWANSON BRYCE</v>
      </c>
    </row>
    <row r="188" spans="1:7" x14ac:dyDescent="0.25">
      <c r="A188" s="8">
        <v>42839.774178240739</v>
      </c>
      <c r="B188" s="20" t="s">
        <v>380</v>
      </c>
      <c r="C188" s="20" t="s">
        <v>820</v>
      </c>
      <c r="D188" s="146">
        <v>930000</v>
      </c>
      <c r="E188" s="20" t="s">
        <v>577</v>
      </c>
      <c r="F188" s="20" t="s">
        <v>578</v>
      </c>
      <c r="G188" s="8" t="str">
        <f t="shared" si="2"/>
        <v>CLARK KATHLEEN</v>
      </c>
    </row>
    <row r="189" spans="1:7" x14ac:dyDescent="0.25">
      <c r="A189" s="8">
        <v>42839.775729166664</v>
      </c>
      <c r="B189" s="20" t="s">
        <v>429</v>
      </c>
      <c r="C189" s="20" t="s">
        <v>648</v>
      </c>
      <c r="D189" s="146">
        <v>2970000</v>
      </c>
      <c r="E189" s="20" t="s">
        <v>426</v>
      </c>
      <c r="F189" s="20" t="s">
        <v>427</v>
      </c>
      <c r="G189" s="8" t="str">
        <f t="shared" si="2"/>
        <v>GUZMAN DANNY</v>
      </c>
    </row>
    <row r="190" spans="1:7" x14ac:dyDescent="0.25">
      <c r="A190" s="8">
        <v>42839.777395833335</v>
      </c>
      <c r="B190" s="20" t="s">
        <v>516</v>
      </c>
      <c r="C190" s="20" t="s">
        <v>821</v>
      </c>
      <c r="D190" s="146">
        <v>1770000</v>
      </c>
      <c r="E190" s="20" t="s">
        <v>581</v>
      </c>
      <c r="F190" s="20" t="s">
        <v>582</v>
      </c>
      <c r="G190" s="8" t="str">
        <f t="shared" si="2"/>
        <v>BRUDER RICHARD</v>
      </c>
    </row>
    <row r="191" spans="1:7" x14ac:dyDescent="0.25">
      <c r="A191" s="8">
        <v>42839.777696759258</v>
      </c>
      <c r="B191" s="20" t="s">
        <v>372</v>
      </c>
      <c r="C191" s="20" t="s">
        <v>822</v>
      </c>
      <c r="D191" s="146">
        <v>3010000</v>
      </c>
      <c r="E191" s="20" t="s">
        <v>457</v>
      </c>
      <c r="F191" s="20" t="s">
        <v>458</v>
      </c>
      <c r="G191" s="8" t="str">
        <f t="shared" si="2"/>
        <v>SULLIVAN BRANDON</v>
      </c>
    </row>
    <row r="192" spans="1:7" x14ac:dyDescent="0.25">
      <c r="A192" s="8">
        <v>42839.786643518521</v>
      </c>
      <c r="B192" s="20" t="s">
        <v>422</v>
      </c>
      <c r="C192" s="20" t="s">
        <v>649</v>
      </c>
      <c r="D192" s="146">
        <v>2620000</v>
      </c>
      <c r="E192" s="20" t="s">
        <v>583</v>
      </c>
      <c r="F192" s="20" t="s">
        <v>584</v>
      </c>
      <c r="G192" s="8" t="str">
        <f t="shared" si="2"/>
        <v>PERKINS DARREN</v>
      </c>
    </row>
    <row r="193" spans="1:7" x14ac:dyDescent="0.25">
      <c r="A193" s="8">
        <v>42839.789826388886</v>
      </c>
      <c r="B193" s="20" t="s">
        <v>488</v>
      </c>
      <c r="C193" s="20" t="s">
        <v>650</v>
      </c>
      <c r="D193" s="146">
        <v>2270000</v>
      </c>
      <c r="E193" s="20" t="s">
        <v>207</v>
      </c>
      <c r="F193" s="20" t="s">
        <v>208</v>
      </c>
      <c r="G193" s="8" t="str">
        <f t="shared" si="2"/>
        <v>BROWN JACOB</v>
      </c>
    </row>
    <row r="194" spans="1:7" x14ac:dyDescent="0.25">
      <c r="A194" s="8">
        <v>42839.790162037039</v>
      </c>
      <c r="B194" s="20" t="s">
        <v>424</v>
      </c>
      <c r="C194" s="20" t="s">
        <v>823</v>
      </c>
      <c r="D194" s="146">
        <v>2600000</v>
      </c>
      <c r="E194" s="20" t="s">
        <v>815</v>
      </c>
      <c r="F194" s="20" t="s">
        <v>816</v>
      </c>
      <c r="G194" s="8" t="str">
        <f t="shared" si="2"/>
        <v>DAVIDSON DAVID</v>
      </c>
    </row>
    <row r="195" spans="1:7" x14ac:dyDescent="0.25">
      <c r="A195" s="8">
        <v>42839.792534722219</v>
      </c>
      <c r="B195" s="20" t="s">
        <v>472</v>
      </c>
      <c r="C195" s="20" t="s">
        <v>824</v>
      </c>
      <c r="D195" s="146">
        <v>2970000</v>
      </c>
      <c r="E195" s="20" t="s">
        <v>426</v>
      </c>
      <c r="F195" s="20" t="s">
        <v>427</v>
      </c>
      <c r="G195" s="8" t="str">
        <f t="shared" ref="G195:G258" si="3">E195&amp;" "&amp;F195</f>
        <v>GUZMAN DANNY</v>
      </c>
    </row>
    <row r="196" spans="1:7" x14ac:dyDescent="0.25">
      <c r="A196" s="8">
        <v>42839.797013888892</v>
      </c>
      <c r="B196" s="20" t="s">
        <v>373</v>
      </c>
      <c r="C196" s="20" t="s">
        <v>825</v>
      </c>
      <c r="D196" s="146">
        <v>3010000</v>
      </c>
      <c r="E196" s="20" t="s">
        <v>457</v>
      </c>
      <c r="F196" s="20" t="s">
        <v>458</v>
      </c>
      <c r="G196" s="8" t="str">
        <f t="shared" si="3"/>
        <v>SULLIVAN BRANDON</v>
      </c>
    </row>
    <row r="197" spans="1:7" x14ac:dyDescent="0.25">
      <c r="A197" s="8">
        <v>42839.799803240741</v>
      </c>
      <c r="B197" s="20" t="s">
        <v>412</v>
      </c>
      <c r="C197" s="20" t="s">
        <v>826</v>
      </c>
      <c r="D197" s="146">
        <v>2150000</v>
      </c>
      <c r="E197" s="20" t="s">
        <v>370</v>
      </c>
      <c r="F197" s="20" t="s">
        <v>371</v>
      </c>
      <c r="G197" s="8" t="str">
        <f t="shared" si="3"/>
        <v>SWANSON BRYCE</v>
      </c>
    </row>
    <row r="198" spans="1:7" x14ac:dyDescent="0.25">
      <c r="A198" s="8">
        <v>42839.800185185188</v>
      </c>
      <c r="B198" s="20" t="s">
        <v>433</v>
      </c>
      <c r="C198" s="20" t="s">
        <v>827</v>
      </c>
      <c r="D198" s="146">
        <v>2360000</v>
      </c>
      <c r="E198" s="20" t="s">
        <v>579</v>
      </c>
      <c r="F198" s="20" t="s">
        <v>580</v>
      </c>
      <c r="G198" s="8" t="str">
        <f t="shared" si="3"/>
        <v>BRANDNER MELINDA</v>
      </c>
    </row>
    <row r="199" spans="1:7" x14ac:dyDescent="0.25">
      <c r="A199" s="8">
        <v>42839.808495370373</v>
      </c>
      <c r="B199" s="20" t="s">
        <v>376</v>
      </c>
      <c r="C199" s="20" t="s">
        <v>828</v>
      </c>
      <c r="D199" s="146">
        <v>3000000</v>
      </c>
      <c r="E199" s="20" t="s">
        <v>502</v>
      </c>
      <c r="F199" s="20" t="s">
        <v>503</v>
      </c>
      <c r="G199" s="8" t="str">
        <f t="shared" si="3"/>
        <v>FORTUNATO FRANK</v>
      </c>
    </row>
    <row r="200" spans="1:7" x14ac:dyDescent="0.25">
      <c r="A200" s="8">
        <v>42839.817673611113</v>
      </c>
      <c r="B200" s="20" t="s">
        <v>429</v>
      </c>
      <c r="C200" s="20" t="s">
        <v>829</v>
      </c>
      <c r="D200" s="146">
        <v>2970000</v>
      </c>
      <c r="E200" s="20" t="s">
        <v>426</v>
      </c>
      <c r="F200" s="20" t="s">
        <v>427</v>
      </c>
      <c r="G200" s="8" t="str">
        <f t="shared" si="3"/>
        <v>GUZMAN DANNY</v>
      </c>
    </row>
    <row r="201" spans="1:7" x14ac:dyDescent="0.25">
      <c r="A201" s="8">
        <v>42839.821909722225</v>
      </c>
      <c r="B201" s="20" t="s">
        <v>425</v>
      </c>
      <c r="C201" s="20" t="s">
        <v>830</v>
      </c>
      <c r="D201" s="146">
        <v>2540000</v>
      </c>
      <c r="E201" s="20" t="s">
        <v>541</v>
      </c>
      <c r="F201" s="20" t="s">
        <v>542</v>
      </c>
      <c r="G201" s="8" t="str">
        <f t="shared" si="3"/>
        <v>MCREYNOLDS KYLE</v>
      </c>
    </row>
    <row r="202" spans="1:7" x14ac:dyDescent="0.25">
      <c r="A202" s="26">
        <v>42839.826921296299</v>
      </c>
      <c r="B202" s="20" t="s">
        <v>640</v>
      </c>
      <c r="C202" s="20" t="s">
        <v>651</v>
      </c>
      <c r="D202" s="146">
        <v>2270000</v>
      </c>
      <c r="E202" s="20" t="s">
        <v>207</v>
      </c>
      <c r="F202" s="20" t="s">
        <v>208</v>
      </c>
      <c r="G202" s="8" t="str">
        <f t="shared" si="3"/>
        <v>BROWN JACOB</v>
      </c>
    </row>
    <row r="203" spans="1:7" x14ac:dyDescent="0.25">
      <c r="A203" s="8">
        <v>42839.83084490741</v>
      </c>
      <c r="B203" s="20" t="s">
        <v>423</v>
      </c>
      <c r="C203" s="20" t="s">
        <v>831</v>
      </c>
      <c r="D203" s="146">
        <v>2000000</v>
      </c>
      <c r="E203" s="20" t="s">
        <v>374</v>
      </c>
      <c r="F203" s="20" t="s">
        <v>193</v>
      </c>
      <c r="G203" s="8" t="str">
        <f t="shared" si="3"/>
        <v>STAMBAUGH JAMES</v>
      </c>
    </row>
    <row r="204" spans="1:7" x14ac:dyDescent="0.25">
      <c r="A204" s="8">
        <v>42839.841180555559</v>
      </c>
      <c r="B204" s="20" t="s">
        <v>406</v>
      </c>
      <c r="C204" s="20" t="s">
        <v>832</v>
      </c>
      <c r="D204" s="146">
        <v>2680000</v>
      </c>
      <c r="E204" s="20" t="s">
        <v>418</v>
      </c>
      <c r="F204" s="20" t="s">
        <v>419</v>
      </c>
      <c r="G204" s="8" t="str">
        <f t="shared" si="3"/>
        <v>DUNCAN SHEILA</v>
      </c>
    </row>
    <row r="205" spans="1:7" x14ac:dyDescent="0.25">
      <c r="A205" s="8">
        <v>42839.841805555552</v>
      </c>
      <c r="B205" s="20" t="s">
        <v>413</v>
      </c>
      <c r="C205" s="20" t="s">
        <v>833</v>
      </c>
      <c r="D205" s="146">
        <v>3000000</v>
      </c>
      <c r="E205" s="20" t="s">
        <v>502</v>
      </c>
      <c r="F205" s="20" t="s">
        <v>503</v>
      </c>
      <c r="G205" s="8" t="str">
        <f t="shared" si="3"/>
        <v>FORTUNATO FRANK</v>
      </c>
    </row>
    <row r="206" spans="1:7" x14ac:dyDescent="0.25">
      <c r="A206" s="8">
        <v>42839.842152777775</v>
      </c>
      <c r="B206" s="20" t="s">
        <v>472</v>
      </c>
      <c r="C206" s="20" t="s">
        <v>834</v>
      </c>
      <c r="D206" s="146">
        <v>2970000</v>
      </c>
      <c r="E206" s="20" t="s">
        <v>426</v>
      </c>
      <c r="F206" s="20" t="s">
        <v>427</v>
      </c>
      <c r="G206" s="8" t="str">
        <f t="shared" si="3"/>
        <v>GUZMAN DANNY</v>
      </c>
    </row>
    <row r="207" spans="1:7" x14ac:dyDescent="0.25">
      <c r="A207" s="8">
        <v>42839.859548611108</v>
      </c>
      <c r="B207" s="20" t="s">
        <v>429</v>
      </c>
      <c r="C207" s="20" t="s">
        <v>835</v>
      </c>
      <c r="D207" s="146">
        <v>2970000</v>
      </c>
      <c r="E207" s="20" t="s">
        <v>426</v>
      </c>
      <c r="F207" s="20" t="s">
        <v>427</v>
      </c>
      <c r="G207" s="8" t="str">
        <f t="shared" si="3"/>
        <v>GUZMAN DANNY</v>
      </c>
    </row>
    <row r="208" spans="1:7" x14ac:dyDescent="0.25">
      <c r="A208" s="8">
        <v>42839.862835648149</v>
      </c>
      <c r="B208" s="20" t="s">
        <v>518</v>
      </c>
      <c r="C208" s="20" t="s">
        <v>836</v>
      </c>
      <c r="D208" s="146">
        <v>2610000</v>
      </c>
      <c r="E208" s="20" t="s">
        <v>805</v>
      </c>
      <c r="F208" s="20" t="s">
        <v>806</v>
      </c>
      <c r="G208" s="8" t="str">
        <f t="shared" si="3"/>
        <v>MAGEE KENYA</v>
      </c>
    </row>
    <row r="209" spans="1:7" x14ac:dyDescent="0.25">
      <c r="A209" s="8">
        <v>42839.866365740738</v>
      </c>
      <c r="B209" s="20" t="s">
        <v>569</v>
      </c>
      <c r="C209" s="20" t="s">
        <v>837</v>
      </c>
      <c r="D209" s="146">
        <v>2610000</v>
      </c>
      <c r="E209" s="20" t="s">
        <v>805</v>
      </c>
      <c r="F209" s="20" t="s">
        <v>806</v>
      </c>
      <c r="G209" s="8" t="str">
        <f t="shared" si="3"/>
        <v>MAGEE KENYA</v>
      </c>
    </row>
    <row r="210" spans="1:7" x14ac:dyDescent="0.25">
      <c r="A210" s="8">
        <v>42839.86645833333</v>
      </c>
      <c r="B210" s="20" t="s">
        <v>424</v>
      </c>
      <c r="C210" s="20" t="s">
        <v>838</v>
      </c>
      <c r="D210" s="146">
        <v>2000000</v>
      </c>
      <c r="E210" s="20" t="s">
        <v>374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42839.871782407405</v>
      </c>
      <c r="B211" s="20" t="s">
        <v>488</v>
      </c>
      <c r="C211" s="20" t="s">
        <v>839</v>
      </c>
      <c r="D211" s="146">
        <v>2630000</v>
      </c>
      <c r="E211" s="20" t="s">
        <v>486</v>
      </c>
      <c r="F211" s="20" t="s">
        <v>487</v>
      </c>
      <c r="G211" s="8" t="str">
        <f t="shared" si="3"/>
        <v>SAFIEF AEIMEN</v>
      </c>
    </row>
    <row r="212" spans="1:7" x14ac:dyDescent="0.25">
      <c r="A212" s="8">
        <v>42839.876875000002</v>
      </c>
      <c r="B212" s="20" t="s">
        <v>472</v>
      </c>
      <c r="C212" s="20" t="s">
        <v>652</v>
      </c>
      <c r="D212" s="146">
        <v>3010000</v>
      </c>
      <c r="E212" s="20" t="s">
        <v>457</v>
      </c>
      <c r="F212" s="20" t="s">
        <v>458</v>
      </c>
      <c r="G212" s="8" t="str">
        <f t="shared" si="3"/>
        <v>SULLIVAN BRANDON</v>
      </c>
    </row>
    <row r="213" spans="1:7" x14ac:dyDescent="0.25">
      <c r="A213" s="8">
        <v>42839.884212962963</v>
      </c>
      <c r="B213" s="20" t="s">
        <v>376</v>
      </c>
      <c r="C213" s="20" t="s">
        <v>840</v>
      </c>
      <c r="D213" s="146">
        <v>3000000</v>
      </c>
      <c r="E213" s="20" t="s">
        <v>502</v>
      </c>
      <c r="F213" s="20" t="s">
        <v>503</v>
      </c>
      <c r="G213" s="8" t="str">
        <f t="shared" si="3"/>
        <v>FORTUNATO FRANK</v>
      </c>
    </row>
    <row r="214" spans="1:7" x14ac:dyDescent="0.25">
      <c r="A214" s="8">
        <v>42839.886087962965</v>
      </c>
      <c r="B214" s="20" t="s">
        <v>412</v>
      </c>
      <c r="C214" s="20" t="s">
        <v>841</v>
      </c>
      <c r="D214" s="146">
        <v>2680000</v>
      </c>
      <c r="E214" s="20" t="s">
        <v>418</v>
      </c>
      <c r="F214" s="20" t="s">
        <v>419</v>
      </c>
      <c r="G214" s="8" t="str">
        <f t="shared" si="3"/>
        <v>DUNCAN SHEILA</v>
      </c>
    </row>
    <row r="215" spans="1:7" x14ac:dyDescent="0.25">
      <c r="A215" s="8">
        <v>42839.901354166665</v>
      </c>
      <c r="B215" s="20" t="s">
        <v>429</v>
      </c>
      <c r="C215" s="20" t="s">
        <v>842</v>
      </c>
      <c r="D215" s="146">
        <v>3010000</v>
      </c>
      <c r="E215" s="20" t="s">
        <v>457</v>
      </c>
      <c r="F215" s="20" t="s">
        <v>458</v>
      </c>
      <c r="G215" s="8" t="str">
        <f t="shared" si="3"/>
        <v>SULLIVAN BRANDON</v>
      </c>
    </row>
    <row r="216" spans="1:7" x14ac:dyDescent="0.25">
      <c r="A216" s="8">
        <v>42839.90179398148</v>
      </c>
      <c r="B216" s="20" t="s">
        <v>423</v>
      </c>
      <c r="C216" s="20" t="s">
        <v>843</v>
      </c>
      <c r="D216" s="146">
        <v>2000000</v>
      </c>
      <c r="E216" s="20" t="s">
        <v>374</v>
      </c>
      <c r="F216" s="20" t="s">
        <v>193</v>
      </c>
      <c r="G216" s="8" t="str">
        <f t="shared" si="3"/>
        <v>STAMBAUGH JAMES</v>
      </c>
    </row>
    <row r="217" spans="1:7" x14ac:dyDescent="0.25">
      <c r="A217" s="8">
        <v>42839.905509259261</v>
      </c>
      <c r="B217" s="20" t="s">
        <v>640</v>
      </c>
      <c r="C217" s="20" t="s">
        <v>844</v>
      </c>
      <c r="D217" s="146">
        <v>2630000</v>
      </c>
      <c r="E217" s="20" t="s">
        <v>486</v>
      </c>
      <c r="F217" s="20" t="s">
        <v>487</v>
      </c>
      <c r="G217" s="8" t="str">
        <f t="shared" si="3"/>
        <v>SAFIEF AEIMEN</v>
      </c>
    </row>
    <row r="218" spans="1:7" x14ac:dyDescent="0.25">
      <c r="A218" s="8">
        <v>42839.918240740742</v>
      </c>
      <c r="B218" s="20" t="s">
        <v>472</v>
      </c>
      <c r="C218" s="20" t="s">
        <v>845</v>
      </c>
      <c r="D218" s="146">
        <v>3010000</v>
      </c>
      <c r="E218" s="20" t="s">
        <v>457</v>
      </c>
      <c r="F218" s="20" t="s">
        <v>458</v>
      </c>
      <c r="G218" s="8" t="str">
        <f t="shared" si="3"/>
        <v>SULLIVAN BRANDON</v>
      </c>
    </row>
    <row r="219" spans="1:7" x14ac:dyDescent="0.25">
      <c r="A219" s="8">
        <v>42839.92664351852</v>
      </c>
      <c r="B219" s="20" t="s">
        <v>413</v>
      </c>
      <c r="C219" s="20" t="s">
        <v>846</v>
      </c>
      <c r="D219" s="146">
        <v>3000000</v>
      </c>
      <c r="E219" s="20" t="s">
        <v>502</v>
      </c>
      <c r="F219" s="20" t="s">
        <v>503</v>
      </c>
      <c r="G219" s="8" t="str">
        <f t="shared" si="3"/>
        <v>FORTUNATO FRANK</v>
      </c>
    </row>
    <row r="220" spans="1:7" x14ac:dyDescent="0.25">
      <c r="A220" s="8">
        <v>42839.926817129628</v>
      </c>
      <c r="B220" s="20" t="s">
        <v>406</v>
      </c>
      <c r="C220" s="20" t="s">
        <v>847</v>
      </c>
      <c r="D220" s="146">
        <v>2150000</v>
      </c>
      <c r="E220" s="20" t="s">
        <v>370</v>
      </c>
      <c r="F220" s="20" t="s">
        <v>371</v>
      </c>
      <c r="G220" s="8" t="str">
        <f t="shared" si="3"/>
        <v>SWANSON BRYCE</v>
      </c>
    </row>
    <row r="221" spans="1:7" x14ac:dyDescent="0.25">
      <c r="A221" s="8">
        <v>42839.943749999999</v>
      </c>
      <c r="B221" s="20" t="s">
        <v>429</v>
      </c>
      <c r="C221" s="20" t="s">
        <v>848</v>
      </c>
      <c r="D221" s="146">
        <v>3010000</v>
      </c>
      <c r="E221" s="20" t="s">
        <v>457</v>
      </c>
      <c r="F221" s="20" t="s">
        <v>458</v>
      </c>
      <c r="G221" s="8" t="str">
        <f t="shared" si="3"/>
        <v>SULLIVAN BRANDON</v>
      </c>
    </row>
    <row r="222" spans="1:7" x14ac:dyDescent="0.25">
      <c r="A222" s="8">
        <v>42839.950057870374</v>
      </c>
      <c r="B222" s="20" t="s">
        <v>424</v>
      </c>
      <c r="C222" s="20" t="s">
        <v>849</v>
      </c>
      <c r="D222" s="146">
        <v>2000000</v>
      </c>
      <c r="E222" s="20" t="s">
        <v>374</v>
      </c>
      <c r="F222" s="20" t="s">
        <v>193</v>
      </c>
      <c r="G222" s="8" t="str">
        <f t="shared" si="3"/>
        <v>STAMBAUGH JAMES</v>
      </c>
    </row>
    <row r="223" spans="1:7" x14ac:dyDescent="0.25">
      <c r="A223" s="8">
        <v>42839.950428240743</v>
      </c>
      <c r="B223" s="20" t="s">
        <v>488</v>
      </c>
      <c r="C223" s="20" t="s">
        <v>850</v>
      </c>
      <c r="D223" s="146">
        <v>2270000</v>
      </c>
      <c r="E223" s="20" t="s">
        <v>207</v>
      </c>
      <c r="F223" s="20" t="s">
        <v>208</v>
      </c>
      <c r="G223" s="8" t="str">
        <f t="shared" si="3"/>
        <v>BROWN JACOB</v>
      </c>
    </row>
    <row r="224" spans="1:7" x14ac:dyDescent="0.25">
      <c r="A224" s="8">
        <v>42839.955983796295</v>
      </c>
      <c r="B224" t="s">
        <v>424</v>
      </c>
      <c r="C224" t="s">
        <v>849</v>
      </c>
      <c r="D224" s="146">
        <v>2000000</v>
      </c>
      <c r="E224" t="s">
        <v>374</v>
      </c>
      <c r="F224" s="20" t="s">
        <v>193</v>
      </c>
      <c r="G224" s="8" t="str">
        <f t="shared" si="3"/>
        <v>STAMBAUGH JAMES</v>
      </c>
    </row>
    <row r="225" spans="1:7" x14ac:dyDescent="0.25">
      <c r="A225" s="8">
        <v>42839.965752314813</v>
      </c>
      <c r="B225" t="s">
        <v>376</v>
      </c>
      <c r="C225" t="s">
        <v>851</v>
      </c>
      <c r="D225" s="146">
        <v>3000000</v>
      </c>
      <c r="E225" t="s">
        <v>502</v>
      </c>
      <c r="F225" s="20" t="s">
        <v>503</v>
      </c>
      <c r="G225" s="8" t="str">
        <f t="shared" si="3"/>
        <v>FORTUNATO FRANK</v>
      </c>
    </row>
    <row r="226" spans="1:7" x14ac:dyDescent="0.25">
      <c r="A226" s="8">
        <v>42839.969756944447</v>
      </c>
      <c r="B226" t="s">
        <v>412</v>
      </c>
      <c r="C226" t="s">
        <v>852</v>
      </c>
      <c r="D226" s="146">
        <v>2150000</v>
      </c>
      <c r="E226" t="s">
        <v>370</v>
      </c>
      <c r="F226" s="20" t="s">
        <v>371</v>
      </c>
      <c r="G226" s="8" t="str">
        <f t="shared" si="3"/>
        <v>SWANSON BRYCE</v>
      </c>
    </row>
    <row r="227" spans="1:7" x14ac:dyDescent="0.25">
      <c r="A227" s="8">
        <v>42839.98641203704</v>
      </c>
      <c r="B227" t="s">
        <v>423</v>
      </c>
      <c r="C227" t="s">
        <v>853</v>
      </c>
      <c r="D227" s="146">
        <v>2000000</v>
      </c>
      <c r="E227" t="s">
        <v>374</v>
      </c>
      <c r="F227" s="20" t="s">
        <v>193</v>
      </c>
      <c r="G227" s="8" t="str">
        <f t="shared" si="3"/>
        <v>STAMBAUGH JAMES</v>
      </c>
    </row>
    <row r="228" spans="1:7" x14ac:dyDescent="0.25">
      <c r="A228" s="8">
        <v>42839.995428240742</v>
      </c>
      <c r="B228" t="s">
        <v>640</v>
      </c>
      <c r="C228" t="s">
        <v>854</v>
      </c>
      <c r="D228" s="146">
        <v>2270000</v>
      </c>
      <c r="E228" t="s">
        <v>207</v>
      </c>
      <c r="F228" s="20" t="s">
        <v>208</v>
      </c>
      <c r="G228" s="8" t="str">
        <f t="shared" si="3"/>
        <v>BROWN JACOB</v>
      </c>
    </row>
    <row r="229" spans="1:7" x14ac:dyDescent="0.25">
      <c r="A229" s="8">
        <v>42840.010833333334</v>
      </c>
      <c r="B229" t="s">
        <v>413</v>
      </c>
      <c r="C229" t="s">
        <v>851</v>
      </c>
      <c r="D229" s="146">
        <v>3000000</v>
      </c>
      <c r="E229" t="s">
        <v>502</v>
      </c>
      <c r="F229" s="20" t="s">
        <v>503</v>
      </c>
      <c r="G229" s="8" t="str">
        <f t="shared" si="3"/>
        <v>FORTUNATO FRANK</v>
      </c>
    </row>
    <row r="230" spans="1:7" x14ac:dyDescent="0.25">
      <c r="A230" s="8">
        <v>42840.011134259257</v>
      </c>
      <c r="B230" t="s">
        <v>406</v>
      </c>
      <c r="C230" t="s">
        <v>855</v>
      </c>
      <c r="D230" s="146">
        <v>2150000</v>
      </c>
      <c r="E230" t="s">
        <v>370</v>
      </c>
      <c r="F230" s="20" t="s">
        <v>371</v>
      </c>
      <c r="G230" s="8" t="str">
        <f t="shared" si="3"/>
        <v>SWANSON BRYCE</v>
      </c>
    </row>
    <row r="231" spans="1:7" x14ac:dyDescent="0.25">
      <c r="A231" s="8">
        <v>42840.011365740742</v>
      </c>
      <c r="B231" t="s">
        <v>413</v>
      </c>
      <c r="C231" t="s">
        <v>856</v>
      </c>
      <c r="D231" s="146">
        <v>3000000</v>
      </c>
      <c r="E231" t="s">
        <v>502</v>
      </c>
      <c r="F231" s="20" t="s">
        <v>503</v>
      </c>
      <c r="G231" s="8" t="str">
        <f t="shared" si="3"/>
        <v>FORTUNATO FRANK</v>
      </c>
    </row>
    <row r="232" spans="1:7" x14ac:dyDescent="0.25">
      <c r="A232" s="8">
        <v>42840.036377314813</v>
      </c>
      <c r="B232" t="s">
        <v>424</v>
      </c>
      <c r="C232" t="s">
        <v>857</v>
      </c>
      <c r="D232" s="146">
        <v>2000000</v>
      </c>
      <c r="E232" t="s">
        <v>374</v>
      </c>
      <c r="F232" s="20" t="s">
        <v>193</v>
      </c>
      <c r="G232" s="8" t="str">
        <f t="shared" si="3"/>
        <v>STAMBAUGH JAMES</v>
      </c>
    </row>
    <row r="233" spans="1:7" x14ac:dyDescent="0.25">
      <c r="A233" s="8">
        <v>42840.036840277775</v>
      </c>
      <c r="B233" t="s">
        <v>488</v>
      </c>
      <c r="C233" t="s">
        <v>858</v>
      </c>
      <c r="D233" s="146">
        <v>2270000</v>
      </c>
      <c r="E233" t="s">
        <v>207</v>
      </c>
      <c r="F233" s="20" t="s">
        <v>208</v>
      </c>
      <c r="G233" s="8" t="str">
        <f t="shared" si="3"/>
        <v>BROWN JACOB</v>
      </c>
    </row>
    <row r="234" spans="1:7" x14ac:dyDescent="0.25">
      <c r="A234" s="8">
        <v>42840.048252314817</v>
      </c>
      <c r="B234" t="s">
        <v>376</v>
      </c>
      <c r="C234" t="s">
        <v>859</v>
      </c>
      <c r="D234" s="146">
        <v>3000000</v>
      </c>
      <c r="E234" t="s">
        <v>502</v>
      </c>
      <c r="F234" s="20" t="s">
        <v>503</v>
      </c>
      <c r="G234" s="8" t="str">
        <f t="shared" si="3"/>
        <v>FORTUNATO FRANK</v>
      </c>
    </row>
    <row r="235" spans="1:7" x14ac:dyDescent="0.25">
      <c r="A235" s="8">
        <v>42840.058437500003</v>
      </c>
      <c r="B235" t="s">
        <v>412</v>
      </c>
      <c r="C235" t="s">
        <v>860</v>
      </c>
      <c r="D235" s="146">
        <v>2150000</v>
      </c>
      <c r="E235" t="s">
        <v>370</v>
      </c>
      <c r="F235" s="20" t="s">
        <v>371</v>
      </c>
      <c r="G235" s="8" t="str">
        <f t="shared" si="3"/>
        <v>SWANSON BRYCE</v>
      </c>
    </row>
    <row r="236" spans="1:7" x14ac:dyDescent="0.25">
      <c r="A236" s="8">
        <v>42840.068726851852</v>
      </c>
      <c r="B236" t="s">
        <v>423</v>
      </c>
      <c r="C236" t="s">
        <v>861</v>
      </c>
      <c r="D236" s="146">
        <v>2000000</v>
      </c>
      <c r="E236" t="s">
        <v>374</v>
      </c>
      <c r="F236" s="20" t="s">
        <v>193</v>
      </c>
      <c r="G236" s="8" t="str">
        <f t="shared" si="3"/>
        <v>STAMBAUGH JAMES</v>
      </c>
    </row>
    <row r="237" spans="1:7" x14ac:dyDescent="0.25">
      <c r="A237" s="8">
        <v>42840.072546296295</v>
      </c>
      <c r="B237" t="s">
        <v>640</v>
      </c>
      <c r="C237" t="s">
        <v>862</v>
      </c>
      <c r="D237" s="146">
        <v>2270000</v>
      </c>
      <c r="E237" t="s">
        <v>207</v>
      </c>
      <c r="F237" s="20" t="s">
        <v>208</v>
      </c>
      <c r="G237" s="8" t="str">
        <f t="shared" si="3"/>
        <v>BROWN JACOB</v>
      </c>
    </row>
    <row r="238" spans="1:7" x14ac:dyDescent="0.25">
      <c r="A238" s="8">
        <v>42840.091805555552</v>
      </c>
      <c r="B238" t="s">
        <v>406</v>
      </c>
      <c r="C238" t="s">
        <v>863</v>
      </c>
      <c r="D238" s="146">
        <v>2150000</v>
      </c>
      <c r="E238" t="s">
        <v>370</v>
      </c>
      <c r="F238" s="20" t="s">
        <v>371</v>
      </c>
      <c r="G238" s="8" t="str">
        <f t="shared" si="3"/>
        <v>SWANSON BRYCE</v>
      </c>
    </row>
    <row r="239" spans="1:7" x14ac:dyDescent="0.25">
      <c r="A239" s="8">
        <v>42840.110775462963</v>
      </c>
      <c r="B239" t="s">
        <v>488</v>
      </c>
      <c r="C239" t="s">
        <v>864</v>
      </c>
      <c r="D239" s="146">
        <v>2270000</v>
      </c>
      <c r="E239" t="s">
        <v>207</v>
      </c>
      <c r="F239" s="20" t="s">
        <v>208</v>
      </c>
      <c r="G239" s="8" t="str">
        <f t="shared" si="3"/>
        <v>BROWN JACOB</v>
      </c>
    </row>
    <row r="240" spans="1:7" x14ac:dyDescent="0.25">
      <c r="A240" s="8">
        <v>42836.088888888888</v>
      </c>
      <c r="B240" t="s">
        <v>433</v>
      </c>
      <c r="C240" t="s">
        <v>504</v>
      </c>
      <c r="D240" s="146">
        <v>3000000</v>
      </c>
      <c r="E240" t="s">
        <v>502</v>
      </c>
      <c r="F240" s="20" t="s">
        <v>503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380</v>
      </c>
      <c r="C241" t="s">
        <v>473</v>
      </c>
      <c r="D241" s="146">
        <v>1810000</v>
      </c>
      <c r="E241" t="s">
        <v>394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472</v>
      </c>
      <c r="C242" t="s">
        <v>474</v>
      </c>
      <c r="D242" s="146">
        <v>2480000</v>
      </c>
      <c r="E242" t="s">
        <v>459</v>
      </c>
      <c r="F242" s="20" t="s">
        <v>460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424</v>
      </c>
      <c r="C243" t="s">
        <v>475</v>
      </c>
      <c r="D243" s="146">
        <v>1800000</v>
      </c>
      <c r="E243" t="s">
        <v>392</v>
      </c>
      <c r="F243" s="20" t="s">
        <v>393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425</v>
      </c>
      <c r="C244" t="s">
        <v>476</v>
      </c>
      <c r="D244" s="146">
        <v>2150000</v>
      </c>
      <c r="E244" t="s">
        <v>370</v>
      </c>
      <c r="F244" s="20" t="s">
        <v>371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381</v>
      </c>
      <c r="C245" t="s">
        <v>477</v>
      </c>
      <c r="D245" s="146">
        <v>1810000</v>
      </c>
      <c r="E245" t="s">
        <v>394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423</v>
      </c>
      <c r="C246" t="s">
        <v>478</v>
      </c>
      <c r="D246" s="146">
        <v>1800000</v>
      </c>
      <c r="E246" t="s">
        <v>392</v>
      </c>
      <c r="F246" s="20" t="s">
        <v>393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429</v>
      </c>
      <c r="C247" t="s">
        <v>479</v>
      </c>
      <c r="D247" s="146">
        <v>2480000</v>
      </c>
      <c r="E247" t="s">
        <v>459</v>
      </c>
      <c r="F247" s="20" t="s">
        <v>460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380</v>
      </c>
      <c r="C248" t="s">
        <v>480</v>
      </c>
      <c r="D248" s="146">
        <v>1810000</v>
      </c>
      <c r="E248" t="s">
        <v>394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422</v>
      </c>
      <c r="C249" t="s">
        <v>481</v>
      </c>
      <c r="D249" s="146">
        <v>2150000</v>
      </c>
      <c r="E249" t="s">
        <v>370</v>
      </c>
      <c r="F249" s="20" t="s">
        <v>371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472</v>
      </c>
      <c r="C250" t="s">
        <v>482</v>
      </c>
      <c r="D250" s="146">
        <v>2480000</v>
      </c>
      <c r="E250" t="s">
        <v>459</v>
      </c>
      <c r="F250" s="20" t="s">
        <v>460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425</v>
      </c>
      <c r="C251" t="s">
        <v>483</v>
      </c>
      <c r="D251" s="146">
        <v>2150000</v>
      </c>
      <c r="E251" t="s">
        <v>370</v>
      </c>
      <c r="F251" s="20" t="s">
        <v>371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406</v>
      </c>
      <c r="C252" t="s">
        <v>435</v>
      </c>
      <c r="D252" s="146">
        <v>1740000</v>
      </c>
      <c r="E252" t="s">
        <v>395</v>
      </c>
      <c r="F252" s="20" t="s">
        <v>396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425</v>
      </c>
      <c r="C253" t="s">
        <v>436</v>
      </c>
      <c r="D253" s="146">
        <v>2150000</v>
      </c>
      <c r="E253" t="s">
        <v>370</v>
      </c>
      <c r="F253" s="20" t="s">
        <v>371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377</v>
      </c>
      <c r="C254" t="s">
        <v>434</v>
      </c>
      <c r="D254" s="146">
        <v>2680000</v>
      </c>
      <c r="E254" t="s">
        <v>418</v>
      </c>
      <c r="F254" s="20" t="s">
        <v>419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376</v>
      </c>
      <c r="C255" t="s">
        <v>437</v>
      </c>
      <c r="D255" s="146">
        <v>2970000</v>
      </c>
      <c r="E255" t="s">
        <v>426</v>
      </c>
      <c r="F255" s="20" t="s">
        <v>427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378</v>
      </c>
      <c r="C256" t="s">
        <v>432</v>
      </c>
      <c r="D256" s="146">
        <v>2680000</v>
      </c>
      <c r="E256" t="s">
        <v>418</v>
      </c>
      <c r="F256" s="20" t="s">
        <v>419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424</v>
      </c>
      <c r="C257" t="s">
        <v>438</v>
      </c>
      <c r="D257" s="146">
        <v>1810000</v>
      </c>
      <c r="E257" t="s">
        <v>394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422</v>
      </c>
      <c r="C258" t="s">
        <v>439</v>
      </c>
      <c r="D258" s="146">
        <v>2150000</v>
      </c>
      <c r="E258" t="s">
        <v>370</v>
      </c>
      <c r="F258" s="20" t="s">
        <v>371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377</v>
      </c>
      <c r="C259" t="s">
        <v>434</v>
      </c>
      <c r="D259" s="146">
        <v>2680000</v>
      </c>
      <c r="E259" t="s">
        <v>418</v>
      </c>
      <c r="F259" s="20" t="s">
        <v>419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412</v>
      </c>
      <c r="C260" t="s">
        <v>440</v>
      </c>
      <c r="D260" s="146">
        <v>1740000</v>
      </c>
      <c r="E260" t="s">
        <v>395</v>
      </c>
      <c r="F260" s="20" t="s">
        <v>396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398</v>
      </c>
      <c r="C261" t="s">
        <v>441</v>
      </c>
      <c r="D261" s="146">
        <v>1800000</v>
      </c>
      <c r="E261" t="s">
        <v>392</v>
      </c>
      <c r="F261" s="20" t="s">
        <v>393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378</v>
      </c>
      <c r="C262" t="s">
        <v>432</v>
      </c>
      <c r="D262" s="146">
        <v>2680000</v>
      </c>
      <c r="E262" t="s">
        <v>418</v>
      </c>
      <c r="F262" s="20" t="s">
        <v>419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413</v>
      </c>
      <c r="C263" t="s">
        <v>442</v>
      </c>
      <c r="D263" s="146">
        <v>2970000</v>
      </c>
      <c r="E263" t="s">
        <v>426</v>
      </c>
      <c r="F263" s="20" t="s">
        <v>427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378</v>
      </c>
      <c r="C264" t="s">
        <v>432</v>
      </c>
      <c r="D264" s="146">
        <v>2680000</v>
      </c>
      <c r="E264" t="s">
        <v>418</v>
      </c>
      <c r="F264" s="20" t="s">
        <v>419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423</v>
      </c>
      <c r="C265" t="s">
        <v>431</v>
      </c>
      <c r="D265" s="146">
        <v>1810000</v>
      </c>
      <c r="E265" t="s">
        <v>394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377</v>
      </c>
      <c r="C266" t="s">
        <v>434</v>
      </c>
      <c r="D266" s="146">
        <v>2680000</v>
      </c>
      <c r="E266" t="s">
        <v>418</v>
      </c>
      <c r="F266" s="20" t="s">
        <v>419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378</v>
      </c>
      <c r="C267" t="s">
        <v>432</v>
      </c>
      <c r="D267" s="146">
        <v>2680000</v>
      </c>
      <c r="E267" t="s">
        <v>418</v>
      </c>
      <c r="F267" s="20" t="s">
        <v>419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406</v>
      </c>
      <c r="C268" t="s">
        <v>443</v>
      </c>
      <c r="D268" s="146">
        <v>1740000</v>
      </c>
      <c r="E268" t="s">
        <v>395</v>
      </c>
      <c r="F268" s="20" t="s">
        <v>396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399</v>
      </c>
      <c r="C269" t="s">
        <v>444</v>
      </c>
      <c r="D269" s="146">
        <v>1800000</v>
      </c>
      <c r="E269" t="s">
        <v>392</v>
      </c>
      <c r="F269" s="20" t="s">
        <v>393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377</v>
      </c>
      <c r="C270" t="s">
        <v>434</v>
      </c>
      <c r="D270" s="146">
        <v>2680000</v>
      </c>
      <c r="E270" t="s">
        <v>418</v>
      </c>
      <c r="F270" s="20" t="s">
        <v>419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378</v>
      </c>
      <c r="C271" t="s">
        <v>432</v>
      </c>
      <c r="D271" s="146">
        <v>2680000</v>
      </c>
      <c r="E271" t="s">
        <v>418</v>
      </c>
      <c r="F271" s="20" t="s">
        <v>419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376</v>
      </c>
      <c r="C272" t="s">
        <v>445</v>
      </c>
      <c r="D272" s="146">
        <v>2970000</v>
      </c>
      <c r="E272" t="s">
        <v>426</v>
      </c>
      <c r="F272" s="20" t="s">
        <v>427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377</v>
      </c>
      <c r="C273" t="s">
        <v>434</v>
      </c>
      <c r="D273" s="146">
        <v>2680000</v>
      </c>
      <c r="E273" t="s">
        <v>418</v>
      </c>
      <c r="F273" s="20" t="s">
        <v>419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378</v>
      </c>
      <c r="C274" t="s">
        <v>432</v>
      </c>
      <c r="D274" s="146">
        <v>2680000</v>
      </c>
      <c r="E274" t="s">
        <v>418</v>
      </c>
      <c r="F274" s="20" t="s">
        <v>419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424</v>
      </c>
      <c r="C275" t="s">
        <v>446</v>
      </c>
      <c r="D275" s="146">
        <v>1810000</v>
      </c>
      <c r="E275" t="s">
        <v>394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377</v>
      </c>
      <c r="C276" t="s">
        <v>434</v>
      </c>
      <c r="D276" s="146">
        <v>2680000</v>
      </c>
      <c r="E276" t="s">
        <v>418</v>
      </c>
      <c r="F276" s="20" t="s">
        <v>419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378</v>
      </c>
      <c r="C277" t="s">
        <v>432</v>
      </c>
      <c r="D277" s="146">
        <v>2680000</v>
      </c>
      <c r="E277" t="s">
        <v>418</v>
      </c>
      <c r="F277" s="20" t="s">
        <v>419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377</v>
      </c>
      <c r="C278" t="s">
        <v>434</v>
      </c>
      <c r="D278" s="146">
        <v>2680000</v>
      </c>
      <c r="E278" t="s">
        <v>418</v>
      </c>
      <c r="F278" s="20" t="s">
        <v>419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398</v>
      </c>
      <c r="C279" t="s">
        <v>447</v>
      </c>
      <c r="D279" s="146">
        <v>1800000</v>
      </c>
      <c r="E279" t="s">
        <v>392</v>
      </c>
      <c r="F279" s="20" t="s">
        <v>393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412</v>
      </c>
      <c r="C280" t="s">
        <v>448</v>
      </c>
      <c r="D280" s="146">
        <v>1740000</v>
      </c>
      <c r="E280" t="s">
        <v>395</v>
      </c>
      <c r="F280" s="20" t="s">
        <v>396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413</v>
      </c>
      <c r="C281" t="s">
        <v>449</v>
      </c>
      <c r="D281" s="146">
        <v>2970000</v>
      </c>
      <c r="E281" t="s">
        <v>426</v>
      </c>
      <c r="F281" s="20" t="s">
        <v>427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423</v>
      </c>
      <c r="C282" t="s">
        <v>450</v>
      </c>
      <c r="D282" s="146">
        <v>1810000</v>
      </c>
      <c r="E282" t="s">
        <v>394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406</v>
      </c>
      <c r="C283" t="s">
        <v>451</v>
      </c>
      <c r="D283" s="146">
        <v>1740000</v>
      </c>
      <c r="E283" t="s">
        <v>395</v>
      </c>
      <c r="F283" s="20" t="s">
        <v>396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378</v>
      </c>
      <c r="C284" t="s">
        <v>432</v>
      </c>
      <c r="D284" s="146">
        <v>2680000</v>
      </c>
      <c r="E284" t="s">
        <v>418</v>
      </c>
      <c r="F284" s="20" t="s">
        <v>419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378</v>
      </c>
      <c r="C285" t="s">
        <v>432</v>
      </c>
      <c r="D285" s="146">
        <v>2680000</v>
      </c>
      <c r="E285" t="s">
        <v>418</v>
      </c>
      <c r="F285" s="20" t="s">
        <v>419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376</v>
      </c>
      <c r="C286" t="s">
        <v>452</v>
      </c>
      <c r="D286" s="146">
        <v>2970000</v>
      </c>
      <c r="E286" t="s">
        <v>426</v>
      </c>
      <c r="F286" s="20" t="s">
        <v>427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384</v>
      </c>
      <c r="D287" s="146">
        <v>2230000</v>
      </c>
      <c r="E287" t="s">
        <v>379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375</v>
      </c>
      <c r="C288" t="s">
        <v>385</v>
      </c>
      <c r="D288" s="146">
        <v>2000000</v>
      </c>
      <c r="E288" t="s">
        <v>374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382</v>
      </c>
      <c r="C289" t="s">
        <v>386</v>
      </c>
      <c r="D289" s="146">
        <v>2150000</v>
      </c>
      <c r="E289" t="s">
        <v>370</v>
      </c>
      <c r="F289" s="20" t="s">
        <v>371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382</v>
      </c>
      <c r="C290" t="s">
        <v>386</v>
      </c>
      <c r="D290" s="146">
        <v>2150000</v>
      </c>
      <c r="E290" t="s">
        <v>370</v>
      </c>
      <c r="F290" s="20" t="s">
        <v>371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382</v>
      </c>
      <c r="C291" t="s">
        <v>386</v>
      </c>
      <c r="D291" s="146">
        <v>2150000</v>
      </c>
      <c r="E291" t="s">
        <v>370</v>
      </c>
      <c r="F291" s="20" t="s">
        <v>371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383</v>
      </c>
      <c r="C292" t="s">
        <v>387</v>
      </c>
      <c r="D292" s="146">
        <v>2230000</v>
      </c>
      <c r="E292" t="s">
        <v>379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372</v>
      </c>
      <c r="C293" t="s">
        <v>388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372</v>
      </c>
      <c r="C294" t="s">
        <v>388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372</v>
      </c>
      <c r="C295" t="s">
        <v>388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378</v>
      </c>
      <c r="C296" t="s">
        <v>389</v>
      </c>
      <c r="D296" s="146">
        <v>2150000</v>
      </c>
      <c r="E296" t="s">
        <v>370</v>
      </c>
      <c r="F296" s="20" t="s">
        <v>371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373</v>
      </c>
      <c r="C297" t="s">
        <v>390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588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57.21</v>
      </c>
      <c r="B2" s="164">
        <v>0.27</v>
      </c>
      <c r="C2" s="164">
        <v>42.82</v>
      </c>
      <c r="D2" s="8">
        <v>42839</v>
      </c>
      <c r="E2" s="164">
        <v>0.59</v>
      </c>
      <c r="F2" s="164" t="s">
        <v>505</v>
      </c>
      <c r="G2" s="164">
        <v>308.41000000000003</v>
      </c>
      <c r="H2" s="164">
        <v>0</v>
      </c>
      <c r="I2" s="164">
        <v>0</v>
      </c>
      <c r="J2" s="164"/>
      <c r="K2" s="164">
        <v>1006.74</v>
      </c>
      <c r="L2" s="164" t="s">
        <v>345</v>
      </c>
      <c r="M2" s="164">
        <v>57.21</v>
      </c>
      <c r="N2" s="164">
        <v>1492149600</v>
      </c>
      <c r="O2" s="164">
        <v>3.96</v>
      </c>
      <c r="P2" s="164">
        <v>170</v>
      </c>
      <c r="Q2" s="164">
        <v>6.33</v>
      </c>
      <c r="R2"/>
    </row>
    <row r="3" spans="1:18" x14ac:dyDescent="0.25">
      <c r="A3" s="164">
        <v>54.93</v>
      </c>
      <c r="B3" s="164">
        <v>0.2</v>
      </c>
      <c r="C3" s="164">
        <v>41.73</v>
      </c>
      <c r="D3" s="8">
        <v>42839.041666666664</v>
      </c>
      <c r="E3" s="164">
        <v>0.61</v>
      </c>
      <c r="F3" s="164" t="s">
        <v>463</v>
      </c>
      <c r="G3" s="164">
        <v>308.26</v>
      </c>
      <c r="H3" s="164">
        <v>0</v>
      </c>
      <c r="I3" s="164">
        <v>0</v>
      </c>
      <c r="J3" s="164"/>
      <c r="K3" s="164">
        <v>1006.61</v>
      </c>
      <c r="L3" s="164" t="s">
        <v>462</v>
      </c>
      <c r="M3" s="164">
        <v>54.93</v>
      </c>
      <c r="N3" s="164">
        <v>1492153200</v>
      </c>
      <c r="O3" s="164">
        <v>4.21</v>
      </c>
      <c r="P3" s="164">
        <v>178</v>
      </c>
      <c r="Q3" s="164">
        <v>4.66</v>
      </c>
      <c r="R3"/>
    </row>
    <row r="4" spans="1:18" x14ac:dyDescent="0.25">
      <c r="A4" s="164">
        <v>51.91</v>
      </c>
      <c r="B4" s="164">
        <v>0.13</v>
      </c>
      <c r="C4" s="164">
        <v>39.25</v>
      </c>
      <c r="D4" s="8">
        <v>42839.083333333336</v>
      </c>
      <c r="E4" s="164">
        <v>0.62</v>
      </c>
      <c r="F4" s="164" t="s">
        <v>463</v>
      </c>
      <c r="G4" s="164">
        <v>308.11</v>
      </c>
      <c r="H4" s="164">
        <v>0</v>
      </c>
      <c r="I4" s="164">
        <v>0</v>
      </c>
      <c r="J4" s="164"/>
      <c r="K4" s="164">
        <v>1006.48</v>
      </c>
      <c r="L4" s="164" t="s">
        <v>462</v>
      </c>
      <c r="M4" s="164">
        <v>51.91</v>
      </c>
      <c r="N4" s="164">
        <v>1492156800</v>
      </c>
      <c r="O4" s="164">
        <v>4.32</v>
      </c>
      <c r="P4" s="164">
        <v>219</v>
      </c>
      <c r="Q4" s="164">
        <v>3.56</v>
      </c>
      <c r="R4"/>
    </row>
    <row r="5" spans="1:18" x14ac:dyDescent="0.25">
      <c r="A5" s="164">
        <v>50.22</v>
      </c>
      <c r="B5" s="164">
        <v>0.05</v>
      </c>
      <c r="C5" s="164">
        <v>38.21</v>
      </c>
      <c r="D5" s="8">
        <v>42839.125</v>
      </c>
      <c r="E5" s="164">
        <v>0.63</v>
      </c>
      <c r="F5" s="164" t="s">
        <v>463</v>
      </c>
      <c r="G5" s="164">
        <v>307.95999999999998</v>
      </c>
      <c r="H5" s="164">
        <v>0</v>
      </c>
      <c r="I5" s="164">
        <v>0</v>
      </c>
      <c r="J5" s="164"/>
      <c r="K5" s="164">
        <v>1006.37</v>
      </c>
      <c r="L5" s="164" t="s">
        <v>462</v>
      </c>
      <c r="M5" s="164">
        <v>50.22</v>
      </c>
      <c r="N5" s="164">
        <v>1492160400</v>
      </c>
      <c r="O5" s="164">
        <v>3.69</v>
      </c>
      <c r="P5" s="164">
        <v>244</v>
      </c>
      <c r="Q5" s="164">
        <v>2.41</v>
      </c>
      <c r="R5"/>
    </row>
    <row r="6" spans="1:18" x14ac:dyDescent="0.25">
      <c r="A6" s="164">
        <v>48.23</v>
      </c>
      <c r="B6" s="164">
        <v>0.05</v>
      </c>
      <c r="C6" s="164">
        <v>38.85</v>
      </c>
      <c r="D6" s="8">
        <v>42839.166666666664</v>
      </c>
      <c r="E6" s="164">
        <v>0.7</v>
      </c>
      <c r="F6" s="164" t="s">
        <v>463</v>
      </c>
      <c r="G6" s="164">
        <v>307.66000000000003</v>
      </c>
      <c r="H6" s="164">
        <v>0</v>
      </c>
      <c r="I6" s="164">
        <v>0</v>
      </c>
      <c r="J6" s="164"/>
      <c r="K6" s="164">
        <v>1006.52</v>
      </c>
      <c r="L6" s="164" t="s">
        <v>462</v>
      </c>
      <c r="M6" s="164">
        <v>48.23</v>
      </c>
      <c r="N6" s="164">
        <v>1492164000</v>
      </c>
      <c r="O6" s="164">
        <v>3.8</v>
      </c>
      <c r="P6" s="164">
        <v>226</v>
      </c>
      <c r="Q6" s="164">
        <v>1.87</v>
      </c>
      <c r="R6"/>
    </row>
    <row r="7" spans="1:18" x14ac:dyDescent="0.25">
      <c r="A7" s="164">
        <v>45.76</v>
      </c>
      <c r="B7" s="164">
        <v>0.12</v>
      </c>
      <c r="C7" s="164">
        <v>38.479999999999997</v>
      </c>
      <c r="D7" s="8">
        <v>42839.208333333336</v>
      </c>
      <c r="E7" s="164">
        <v>0.76</v>
      </c>
      <c r="F7" s="164" t="s">
        <v>463</v>
      </c>
      <c r="G7" s="164">
        <v>307.29000000000002</v>
      </c>
      <c r="H7" s="164">
        <v>0</v>
      </c>
      <c r="I7" s="164">
        <v>0</v>
      </c>
      <c r="J7" s="164"/>
      <c r="K7" s="164">
        <v>1006.79</v>
      </c>
      <c r="L7" s="164" t="s">
        <v>462</v>
      </c>
      <c r="M7" s="164">
        <v>45.76</v>
      </c>
      <c r="N7" s="164">
        <v>1492167600</v>
      </c>
      <c r="O7" s="164">
        <v>4.57</v>
      </c>
      <c r="P7" s="164">
        <v>219</v>
      </c>
      <c r="Q7" s="164">
        <v>2.25</v>
      </c>
      <c r="R7"/>
    </row>
    <row r="8" spans="1:18" x14ac:dyDescent="0.25">
      <c r="A8" s="164">
        <v>45.59</v>
      </c>
      <c r="B8" s="164">
        <v>0.19</v>
      </c>
      <c r="C8" s="164">
        <v>38.369999999999997</v>
      </c>
      <c r="D8" s="8">
        <v>42839.25</v>
      </c>
      <c r="E8" s="164">
        <v>0.76</v>
      </c>
      <c r="F8" s="164" t="s">
        <v>463</v>
      </c>
      <c r="G8" s="164">
        <v>306.81</v>
      </c>
      <c r="H8" s="164">
        <v>0</v>
      </c>
      <c r="I8" s="164">
        <v>0</v>
      </c>
      <c r="J8" s="164"/>
      <c r="K8" s="164">
        <v>1006.96</v>
      </c>
      <c r="L8" s="164" t="s">
        <v>462</v>
      </c>
      <c r="M8" s="164">
        <v>45.59</v>
      </c>
      <c r="N8" s="164">
        <v>1492171200</v>
      </c>
      <c r="O8" s="164">
        <v>4.8</v>
      </c>
      <c r="P8" s="164">
        <v>197</v>
      </c>
      <c r="Q8" s="164">
        <v>2.12</v>
      </c>
      <c r="R8"/>
    </row>
    <row r="9" spans="1:18" x14ac:dyDescent="0.25">
      <c r="A9" s="164">
        <v>45.17</v>
      </c>
      <c r="B9" s="164">
        <v>0.21</v>
      </c>
      <c r="C9" s="164">
        <v>37.14</v>
      </c>
      <c r="D9" s="8">
        <v>42839.291666666664</v>
      </c>
      <c r="E9" s="164">
        <v>0.73</v>
      </c>
      <c r="F9" s="164" t="s">
        <v>461</v>
      </c>
      <c r="G9" s="164">
        <v>306.14</v>
      </c>
      <c r="H9" s="164">
        <v>0</v>
      </c>
      <c r="I9" s="164">
        <v>0</v>
      </c>
      <c r="J9" s="164"/>
      <c r="K9" s="164">
        <v>1006.92</v>
      </c>
      <c r="L9" s="164" t="s">
        <v>462</v>
      </c>
      <c r="M9" s="164">
        <v>45.17</v>
      </c>
      <c r="N9" s="164">
        <v>1492174800</v>
      </c>
      <c r="O9" s="164">
        <v>3.69</v>
      </c>
      <c r="P9" s="164">
        <v>191</v>
      </c>
      <c r="Q9" s="164">
        <v>1.8</v>
      </c>
      <c r="R9"/>
    </row>
    <row r="10" spans="1:18" x14ac:dyDescent="0.25">
      <c r="A10" s="164">
        <v>49.1</v>
      </c>
      <c r="B10" s="164">
        <v>0.22</v>
      </c>
      <c r="C10" s="164">
        <v>38.28</v>
      </c>
      <c r="D10" s="8">
        <v>42839.333333333336</v>
      </c>
      <c r="E10" s="164">
        <v>0.66</v>
      </c>
      <c r="F10" s="164" t="s">
        <v>461</v>
      </c>
      <c r="G10" s="164">
        <v>305.37</v>
      </c>
      <c r="H10" s="164">
        <v>0</v>
      </c>
      <c r="I10" s="164">
        <v>0</v>
      </c>
      <c r="J10" s="164"/>
      <c r="K10" s="164">
        <v>1006.73</v>
      </c>
      <c r="L10" s="164" t="s">
        <v>462</v>
      </c>
      <c r="M10" s="164">
        <v>49.1</v>
      </c>
      <c r="N10" s="164">
        <v>1492178400</v>
      </c>
      <c r="O10" s="164">
        <v>3.22</v>
      </c>
      <c r="P10" s="164">
        <v>244</v>
      </c>
      <c r="Q10" s="164">
        <v>0.77</v>
      </c>
      <c r="R10"/>
    </row>
    <row r="11" spans="1:18" x14ac:dyDescent="0.25">
      <c r="A11" s="164">
        <v>55.91</v>
      </c>
      <c r="B11" s="164">
        <v>0.26</v>
      </c>
      <c r="C11" s="164">
        <v>40.26</v>
      </c>
      <c r="D11" s="8">
        <v>42839.375</v>
      </c>
      <c r="E11" s="164">
        <v>0.56000000000000005</v>
      </c>
      <c r="F11" s="164" t="s">
        <v>589</v>
      </c>
      <c r="G11" s="164">
        <v>304.72000000000003</v>
      </c>
      <c r="H11" s="164">
        <v>0</v>
      </c>
      <c r="I11" s="164">
        <v>0</v>
      </c>
      <c r="J11" s="164"/>
      <c r="K11" s="164">
        <v>1006.23</v>
      </c>
      <c r="L11" s="164" t="s">
        <v>345</v>
      </c>
      <c r="M11" s="164">
        <v>55.91</v>
      </c>
      <c r="N11" s="164">
        <v>1492182000</v>
      </c>
      <c r="O11" s="164">
        <v>3.02</v>
      </c>
      <c r="P11" s="164">
        <v>228</v>
      </c>
      <c r="Q11" s="164">
        <v>0.71</v>
      </c>
      <c r="R11"/>
    </row>
    <row r="12" spans="1:18" x14ac:dyDescent="0.25">
      <c r="A12" s="164">
        <v>65.22</v>
      </c>
      <c r="B12" s="164">
        <v>0.35</v>
      </c>
      <c r="C12" s="164">
        <v>35.58</v>
      </c>
      <c r="D12" s="8">
        <v>42839.416666666664</v>
      </c>
      <c r="E12" s="164">
        <v>0.33</v>
      </c>
      <c r="F12" s="164" t="s">
        <v>589</v>
      </c>
      <c r="G12" s="164">
        <v>304.24</v>
      </c>
      <c r="H12" s="164">
        <v>0</v>
      </c>
      <c r="I12" s="164">
        <v>0</v>
      </c>
      <c r="J12" s="164"/>
      <c r="K12" s="164">
        <v>1005.44</v>
      </c>
      <c r="L12" s="164" t="s">
        <v>345</v>
      </c>
      <c r="M12" s="164">
        <v>65.22</v>
      </c>
      <c r="N12" s="164">
        <v>1492185600</v>
      </c>
      <c r="O12" s="164">
        <v>2.97</v>
      </c>
      <c r="P12" s="164">
        <v>143</v>
      </c>
      <c r="Q12" s="164">
        <v>1.26</v>
      </c>
      <c r="R12"/>
    </row>
    <row r="13" spans="1:18" x14ac:dyDescent="0.25">
      <c r="A13" s="164">
        <v>71.31</v>
      </c>
      <c r="B13" s="164">
        <v>0.49</v>
      </c>
      <c r="C13" s="164">
        <v>26.76</v>
      </c>
      <c r="D13" s="8">
        <v>42839.458333333336</v>
      </c>
      <c r="E13" s="164">
        <v>0.19</v>
      </c>
      <c r="F13" s="164" t="s">
        <v>589</v>
      </c>
      <c r="G13" s="164">
        <v>303.89</v>
      </c>
      <c r="H13" s="164">
        <v>0</v>
      </c>
      <c r="I13" s="164">
        <v>0</v>
      </c>
      <c r="J13" s="164"/>
      <c r="K13" s="164">
        <v>1004.62</v>
      </c>
      <c r="L13" s="164" t="s">
        <v>345</v>
      </c>
      <c r="M13" s="164">
        <v>71.31</v>
      </c>
      <c r="N13" s="164">
        <v>1492189200</v>
      </c>
      <c r="O13" s="164">
        <v>3</v>
      </c>
      <c r="P13" s="164">
        <v>117</v>
      </c>
      <c r="Q13" s="164">
        <v>0.9</v>
      </c>
      <c r="R13"/>
    </row>
    <row r="14" spans="1:18" x14ac:dyDescent="0.25">
      <c r="A14" s="164">
        <v>74.69</v>
      </c>
      <c r="B14" s="164">
        <v>0.54</v>
      </c>
      <c r="C14" s="164">
        <v>21.05</v>
      </c>
      <c r="D14" s="8">
        <v>42839.5</v>
      </c>
      <c r="E14" s="164">
        <v>0.13</v>
      </c>
      <c r="F14" s="164" t="s">
        <v>589</v>
      </c>
      <c r="G14" s="164">
        <v>303.82</v>
      </c>
      <c r="H14" s="164">
        <v>0</v>
      </c>
      <c r="I14" s="164">
        <v>0</v>
      </c>
      <c r="J14" s="164"/>
      <c r="K14" s="164">
        <v>1003.88</v>
      </c>
      <c r="L14" s="164" t="s">
        <v>345</v>
      </c>
      <c r="M14" s="164">
        <v>74.69</v>
      </c>
      <c r="N14" s="164">
        <v>1492192800</v>
      </c>
      <c r="O14" s="164">
        <v>3.05</v>
      </c>
      <c r="P14" s="164">
        <v>56</v>
      </c>
      <c r="Q14" s="164">
        <v>1.48</v>
      </c>
      <c r="R14"/>
    </row>
    <row r="15" spans="1:18" x14ac:dyDescent="0.25">
      <c r="A15" s="164">
        <v>76.3</v>
      </c>
      <c r="B15" s="164">
        <v>0.51</v>
      </c>
      <c r="C15" s="164">
        <v>26.75</v>
      </c>
      <c r="D15" s="8">
        <v>42839.541666666664</v>
      </c>
      <c r="E15" s="164">
        <v>0.16</v>
      </c>
      <c r="F15" s="164" t="s">
        <v>589</v>
      </c>
      <c r="G15" s="164">
        <v>304.23</v>
      </c>
      <c r="H15" s="164">
        <v>0</v>
      </c>
      <c r="I15" s="164">
        <v>0</v>
      </c>
      <c r="J15" s="164"/>
      <c r="K15" s="164">
        <v>1003.33</v>
      </c>
      <c r="L15" s="164" t="s">
        <v>345</v>
      </c>
      <c r="M15" s="164">
        <v>76.3</v>
      </c>
      <c r="N15" s="164">
        <v>1492196400</v>
      </c>
      <c r="O15" s="164">
        <v>3.08</v>
      </c>
      <c r="P15" s="164">
        <v>30</v>
      </c>
      <c r="Q15" s="164">
        <v>4.87</v>
      </c>
      <c r="R15"/>
    </row>
    <row r="16" spans="1:18" x14ac:dyDescent="0.25">
      <c r="A16" s="164">
        <v>77.14</v>
      </c>
      <c r="B16" s="164">
        <v>0.37</v>
      </c>
      <c r="C16" s="164">
        <v>29.24</v>
      </c>
      <c r="D16" s="8">
        <v>42839.583333333336</v>
      </c>
      <c r="E16" s="164">
        <v>0.17</v>
      </c>
      <c r="F16" s="164" t="s">
        <v>589</v>
      </c>
      <c r="G16" s="164">
        <v>304.92</v>
      </c>
      <c r="H16" s="164">
        <v>0</v>
      </c>
      <c r="I16" s="164">
        <v>0</v>
      </c>
      <c r="J16" s="164"/>
      <c r="K16" s="164">
        <v>1002.91</v>
      </c>
      <c r="L16" s="164" t="s">
        <v>345</v>
      </c>
      <c r="M16" s="164">
        <v>77.14</v>
      </c>
      <c r="N16" s="164">
        <v>1492200000</v>
      </c>
      <c r="O16" s="164">
        <v>3.06</v>
      </c>
      <c r="P16" s="164">
        <v>32</v>
      </c>
      <c r="Q16" s="164">
        <v>4.8600000000000003</v>
      </c>
      <c r="R16"/>
    </row>
    <row r="17" spans="1:18" x14ac:dyDescent="0.25">
      <c r="A17" s="164">
        <v>77.69</v>
      </c>
      <c r="B17" s="164">
        <v>0.3</v>
      </c>
      <c r="C17" s="164">
        <v>28.96</v>
      </c>
      <c r="D17" s="8">
        <v>42839.625</v>
      </c>
      <c r="E17" s="164">
        <v>0.17</v>
      </c>
      <c r="F17" s="164" t="s">
        <v>589</v>
      </c>
      <c r="G17" s="164">
        <v>305.52</v>
      </c>
      <c r="H17" s="164">
        <v>0</v>
      </c>
      <c r="I17" s="164">
        <v>0</v>
      </c>
      <c r="J17" s="164"/>
      <c r="K17" s="164">
        <v>1002.57</v>
      </c>
      <c r="L17" s="164" t="s">
        <v>345</v>
      </c>
      <c r="M17" s="164">
        <v>77.69</v>
      </c>
      <c r="N17" s="164">
        <v>1492203600</v>
      </c>
      <c r="O17" s="164">
        <v>3.02</v>
      </c>
      <c r="P17" s="164">
        <v>39</v>
      </c>
      <c r="Q17" s="164">
        <v>4.43</v>
      </c>
      <c r="R17"/>
    </row>
    <row r="18" spans="1:18" x14ac:dyDescent="0.25">
      <c r="A18" s="164">
        <v>76.92</v>
      </c>
      <c r="B18" s="164">
        <v>0.39</v>
      </c>
      <c r="C18" s="164">
        <v>25.63</v>
      </c>
      <c r="D18" s="8">
        <v>42839.666666666664</v>
      </c>
      <c r="E18" s="164">
        <v>0.15</v>
      </c>
      <c r="F18" s="164" t="s">
        <v>589</v>
      </c>
      <c r="G18" s="164">
        <v>305.69</v>
      </c>
      <c r="H18" s="164">
        <v>0</v>
      </c>
      <c r="I18" s="164">
        <v>0</v>
      </c>
      <c r="J18" s="164"/>
      <c r="K18" s="164">
        <v>1002.04</v>
      </c>
      <c r="L18" s="164" t="s">
        <v>345</v>
      </c>
      <c r="M18" s="164">
        <v>76.92</v>
      </c>
      <c r="N18" s="164">
        <v>1492207200</v>
      </c>
      <c r="O18" s="164">
        <v>3.06</v>
      </c>
      <c r="P18" s="164">
        <v>23</v>
      </c>
      <c r="Q18" s="164">
        <v>3.72</v>
      </c>
      <c r="R18"/>
    </row>
    <row r="19" spans="1:18" x14ac:dyDescent="0.25">
      <c r="A19" s="164">
        <v>77.069999999999993</v>
      </c>
      <c r="B19" s="164">
        <v>0.51</v>
      </c>
      <c r="C19" s="164">
        <v>24.79</v>
      </c>
      <c r="D19" s="8">
        <v>42839.708333333336</v>
      </c>
      <c r="E19" s="164">
        <v>0.14000000000000001</v>
      </c>
      <c r="F19" s="164" t="s">
        <v>589</v>
      </c>
      <c r="G19" s="164">
        <v>305.76</v>
      </c>
      <c r="H19" s="164">
        <v>0</v>
      </c>
      <c r="I19" s="164">
        <v>0</v>
      </c>
      <c r="J19" s="164"/>
      <c r="K19" s="164">
        <v>1001.55</v>
      </c>
      <c r="L19" s="164" t="s">
        <v>345</v>
      </c>
      <c r="M19" s="164">
        <v>77.069999999999993</v>
      </c>
      <c r="N19" s="164">
        <v>1492210800</v>
      </c>
      <c r="O19" s="164">
        <v>5.27</v>
      </c>
      <c r="P19" s="164">
        <v>46</v>
      </c>
      <c r="Q19" s="164">
        <v>3.79</v>
      </c>
      <c r="R19"/>
    </row>
    <row r="20" spans="1:18" x14ac:dyDescent="0.25">
      <c r="A20" s="164">
        <v>74.67</v>
      </c>
      <c r="B20" s="164">
        <v>0.6</v>
      </c>
      <c r="C20" s="164">
        <v>24.89</v>
      </c>
      <c r="D20" s="8">
        <v>42839.75</v>
      </c>
      <c r="E20" s="164">
        <v>0.16</v>
      </c>
      <c r="F20" s="164" t="s">
        <v>589</v>
      </c>
      <c r="G20" s="164">
        <v>306.37</v>
      </c>
      <c r="H20" s="164">
        <v>0</v>
      </c>
      <c r="I20" s="164">
        <v>0</v>
      </c>
      <c r="J20" s="164"/>
      <c r="K20" s="164">
        <v>1001.62</v>
      </c>
      <c r="L20" s="164" t="s">
        <v>865</v>
      </c>
      <c r="M20" s="164">
        <v>74.67</v>
      </c>
      <c r="N20" s="164">
        <v>1492214400</v>
      </c>
      <c r="O20" s="164">
        <v>10</v>
      </c>
      <c r="P20" s="164">
        <v>36</v>
      </c>
      <c r="Q20" s="164">
        <v>3.15</v>
      </c>
      <c r="R20"/>
    </row>
    <row r="21" spans="1:18" x14ac:dyDescent="0.25">
      <c r="A21" s="164">
        <v>70.8</v>
      </c>
      <c r="B21" s="164">
        <v>0.45</v>
      </c>
      <c r="C21" s="164">
        <v>26.3</v>
      </c>
      <c r="D21" s="8">
        <v>42839.791666666664</v>
      </c>
      <c r="E21" s="164">
        <v>0.19</v>
      </c>
      <c r="F21" s="164" t="s">
        <v>589</v>
      </c>
      <c r="G21" s="164">
        <v>307.95999999999998</v>
      </c>
      <c r="H21" s="164">
        <v>0</v>
      </c>
      <c r="I21" s="164">
        <v>0</v>
      </c>
      <c r="J21" s="164"/>
      <c r="K21" s="164">
        <v>1002.18</v>
      </c>
      <c r="L21" s="164" t="s">
        <v>345</v>
      </c>
      <c r="M21" s="164">
        <v>70.8</v>
      </c>
      <c r="N21" s="164">
        <v>1492218000</v>
      </c>
      <c r="O21" s="164">
        <v>5.96</v>
      </c>
      <c r="P21" s="164">
        <v>350</v>
      </c>
      <c r="Q21" s="164">
        <v>3.3</v>
      </c>
      <c r="R21"/>
    </row>
    <row r="22" spans="1:18" x14ac:dyDescent="0.25">
      <c r="A22" s="164">
        <v>66.430000000000007</v>
      </c>
      <c r="B22" s="164">
        <v>0.31</v>
      </c>
      <c r="C22" s="164">
        <v>29.21</v>
      </c>
      <c r="D22" s="8">
        <v>42839.833333333336</v>
      </c>
      <c r="E22" s="164">
        <v>0.25</v>
      </c>
      <c r="F22" s="164" t="s">
        <v>505</v>
      </c>
      <c r="G22" s="164">
        <v>310.10000000000002</v>
      </c>
      <c r="H22" s="164">
        <v>0</v>
      </c>
      <c r="I22" s="164">
        <v>0</v>
      </c>
      <c r="J22" s="164"/>
      <c r="K22" s="164">
        <v>1003.54</v>
      </c>
      <c r="L22" s="164" t="s">
        <v>345</v>
      </c>
      <c r="M22" s="164">
        <v>66.430000000000007</v>
      </c>
      <c r="N22" s="164">
        <v>1492221600</v>
      </c>
      <c r="O22" s="164">
        <v>6.75</v>
      </c>
      <c r="P22" s="164">
        <v>317</v>
      </c>
      <c r="Q22" s="164">
        <v>1.69</v>
      </c>
      <c r="R22"/>
    </row>
    <row r="23" spans="1:18" x14ac:dyDescent="0.25">
      <c r="A23" s="164">
        <v>63.31</v>
      </c>
      <c r="B23" s="164">
        <v>0.2</v>
      </c>
      <c r="C23" s="164">
        <v>30.63</v>
      </c>
      <c r="D23" s="8">
        <v>42839.875</v>
      </c>
      <c r="E23" s="164">
        <v>0.28999999999999998</v>
      </c>
      <c r="F23" s="164" t="s">
        <v>463</v>
      </c>
      <c r="G23" s="164">
        <v>312.13</v>
      </c>
      <c r="H23" s="164">
        <v>0</v>
      </c>
      <c r="I23" s="164">
        <v>0</v>
      </c>
      <c r="J23" s="164"/>
      <c r="K23" s="164">
        <v>1004.69</v>
      </c>
      <c r="L23" s="164" t="s">
        <v>462</v>
      </c>
      <c r="M23" s="164">
        <v>63.31</v>
      </c>
      <c r="N23" s="164">
        <v>1492225200</v>
      </c>
      <c r="O23" s="164">
        <v>7.55</v>
      </c>
      <c r="P23" s="164">
        <v>354</v>
      </c>
      <c r="Q23" s="164">
        <v>2.39</v>
      </c>
      <c r="R23"/>
    </row>
    <row r="24" spans="1:18" x14ac:dyDescent="0.25">
      <c r="A24" s="164">
        <v>60.66</v>
      </c>
      <c r="B24" s="164">
        <v>0.15</v>
      </c>
      <c r="C24" s="164">
        <v>29.33</v>
      </c>
      <c r="D24" s="8">
        <v>42839.916666666664</v>
      </c>
      <c r="E24" s="164">
        <v>0.3</v>
      </c>
      <c r="F24" s="164" t="s">
        <v>463</v>
      </c>
      <c r="G24" s="164">
        <v>313.93</v>
      </c>
      <c r="H24" s="164">
        <v>2.5000000000000001E-3</v>
      </c>
      <c r="I24" s="164">
        <v>7.0000000000000007E-2</v>
      </c>
      <c r="J24" s="164" t="s">
        <v>590</v>
      </c>
      <c r="K24" s="164">
        <v>1005.68</v>
      </c>
      <c r="L24" s="164" t="s">
        <v>462</v>
      </c>
      <c r="M24" s="164">
        <v>60.66</v>
      </c>
      <c r="N24" s="164">
        <v>1492228800</v>
      </c>
      <c r="O24" s="164">
        <v>6.15</v>
      </c>
      <c r="P24" s="164">
        <v>324</v>
      </c>
      <c r="Q24" s="164">
        <v>2.89</v>
      </c>
      <c r="R24"/>
    </row>
    <row r="25" spans="1:18" x14ac:dyDescent="0.25">
      <c r="A25" s="164">
        <v>57.68</v>
      </c>
      <c r="B25" s="164">
        <v>0.14000000000000001</v>
      </c>
      <c r="C25" s="164">
        <v>29.6</v>
      </c>
      <c r="D25" s="8">
        <v>42839.958333333336</v>
      </c>
      <c r="E25" s="164">
        <v>0.34</v>
      </c>
      <c r="F25" s="164" t="s">
        <v>463</v>
      </c>
      <c r="G25" s="164">
        <v>315.63</v>
      </c>
      <c r="H25" s="164">
        <v>0</v>
      </c>
      <c r="I25" s="164">
        <v>0</v>
      </c>
      <c r="J25" s="164"/>
      <c r="K25" s="164">
        <v>1006.65</v>
      </c>
      <c r="L25" s="164" t="s">
        <v>462</v>
      </c>
      <c r="M25" s="164">
        <v>57.68</v>
      </c>
      <c r="N25" s="164">
        <v>1492232400</v>
      </c>
      <c r="O25" s="164">
        <v>5.64</v>
      </c>
      <c r="P25" s="164">
        <v>308</v>
      </c>
      <c r="Q25" s="164">
        <v>1.98</v>
      </c>
      <c r="R25"/>
    </row>
    <row r="26" spans="1:18" x14ac:dyDescent="0.25">
      <c r="A26" s="164">
        <v>55.19</v>
      </c>
      <c r="B26" s="164">
        <v>0.13</v>
      </c>
      <c r="C26" s="164">
        <v>28.65</v>
      </c>
      <c r="D26" s="8">
        <v>42840</v>
      </c>
      <c r="E26" s="164">
        <v>0.36</v>
      </c>
      <c r="F26" s="164" t="s">
        <v>590</v>
      </c>
      <c r="G26" s="164">
        <v>316.93</v>
      </c>
      <c r="H26" s="164">
        <v>7.7000000000000002E-3</v>
      </c>
      <c r="I26" s="164">
        <v>0.39</v>
      </c>
      <c r="J26" s="164" t="s">
        <v>590</v>
      </c>
      <c r="K26" s="164">
        <v>1007.57</v>
      </c>
      <c r="L26" s="164" t="s">
        <v>866</v>
      </c>
      <c r="M26" s="164">
        <v>55.19</v>
      </c>
      <c r="N26" s="164">
        <v>1492236000</v>
      </c>
      <c r="O26" s="164">
        <v>10</v>
      </c>
      <c r="P26" s="164">
        <v>328</v>
      </c>
      <c r="Q26" s="164">
        <v>0.74</v>
      </c>
      <c r="R26"/>
    </row>
    <row r="27" spans="1:18" x14ac:dyDescent="0.25">
      <c r="A27" s="164">
        <v>53.1</v>
      </c>
      <c r="B27" s="164">
        <v>0.06</v>
      </c>
      <c r="C27" s="164">
        <v>28.31</v>
      </c>
      <c r="D27" s="8">
        <v>42840.041666666664</v>
      </c>
      <c r="E27" s="164">
        <v>0.38</v>
      </c>
      <c r="F27" s="164" t="s">
        <v>463</v>
      </c>
      <c r="G27" s="164">
        <v>317.35000000000002</v>
      </c>
      <c r="H27" s="164">
        <v>2.8E-3</v>
      </c>
      <c r="I27" s="164">
        <v>0.09</v>
      </c>
      <c r="J27" s="164" t="s">
        <v>590</v>
      </c>
      <c r="K27" s="164">
        <v>1008.46</v>
      </c>
      <c r="L27" s="164" t="s">
        <v>462</v>
      </c>
      <c r="M27" s="164">
        <v>53.1</v>
      </c>
      <c r="N27" s="164">
        <v>1492239600</v>
      </c>
      <c r="O27" s="164">
        <v>6</v>
      </c>
      <c r="P27" s="164">
        <v>326</v>
      </c>
      <c r="Q27" s="164">
        <v>1.2</v>
      </c>
      <c r="R27"/>
    </row>
    <row r="28" spans="1:18" x14ac:dyDescent="0.25">
      <c r="A28" s="164">
        <v>51.69</v>
      </c>
      <c r="B28" s="164">
        <v>7.0000000000000007E-2</v>
      </c>
      <c r="C28" s="164">
        <v>29.11</v>
      </c>
      <c r="D28" s="8">
        <v>42840.083333333336</v>
      </c>
      <c r="E28" s="164">
        <v>0.42</v>
      </c>
      <c r="F28" s="164" t="s">
        <v>463</v>
      </c>
      <c r="G28" s="164">
        <v>317.77</v>
      </c>
      <c r="H28" s="164">
        <v>0</v>
      </c>
      <c r="I28" s="164">
        <v>0</v>
      </c>
      <c r="J28" s="164"/>
      <c r="K28" s="164">
        <v>1009.3</v>
      </c>
      <c r="L28" s="164" t="s">
        <v>462</v>
      </c>
      <c r="M28" s="164">
        <v>51.69</v>
      </c>
      <c r="N28" s="164">
        <v>1492243200</v>
      </c>
      <c r="O28" s="164">
        <v>5.5</v>
      </c>
      <c r="P28" s="164">
        <v>352</v>
      </c>
      <c r="Q28" s="164">
        <v>2.5499999999999998</v>
      </c>
      <c r="R28"/>
    </row>
    <row r="29" spans="1:18" x14ac:dyDescent="0.25">
      <c r="A29" s="164">
        <v>49.3</v>
      </c>
      <c r="B29" s="164">
        <v>0.08</v>
      </c>
      <c r="C29" s="164">
        <v>29.56</v>
      </c>
      <c r="D29" s="8">
        <v>42840.125</v>
      </c>
      <c r="E29" s="164">
        <v>0.46</v>
      </c>
      <c r="F29" s="164" t="s">
        <v>463</v>
      </c>
      <c r="G29" s="164">
        <v>318.19</v>
      </c>
      <c r="H29" s="164">
        <v>0</v>
      </c>
      <c r="I29" s="164">
        <v>0</v>
      </c>
      <c r="J29" s="164"/>
      <c r="K29" s="164">
        <v>1010.13</v>
      </c>
      <c r="L29" s="164" t="s">
        <v>462</v>
      </c>
      <c r="M29" s="164">
        <v>49.3</v>
      </c>
      <c r="N29" s="164">
        <v>1492246800</v>
      </c>
      <c r="O29" s="164">
        <v>5.37</v>
      </c>
      <c r="P29" s="164">
        <v>324</v>
      </c>
      <c r="Q29" s="164">
        <v>2.17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topLeftCell="A7" workbookViewId="0">
      <selection activeCell="C18" sqref="C18:C34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354</v>
      </c>
      <c r="U1" s="215"/>
      <c r="V1" s="215"/>
      <c r="W1" s="215"/>
      <c r="X1" s="215"/>
    </row>
    <row r="2" spans="1:24" ht="15.75" thickBot="1" x14ac:dyDescent="0.3">
      <c r="A2" s="12">
        <v>42839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355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367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368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369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1006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1007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1008</v>
      </c>
      <c r="J20" s="148" t="s">
        <v>87</v>
      </c>
      <c r="M20" s="164" t="s">
        <v>346</v>
      </c>
      <c r="N20" s="164" t="s">
        <v>346</v>
      </c>
      <c r="T20" s="193"/>
      <c r="U20" s="193"/>
      <c r="V20" s="193"/>
      <c r="W20" s="193"/>
      <c r="X20" s="193"/>
    </row>
    <row r="21" spans="3:24" x14ac:dyDescent="0.25">
      <c r="C21" t="s">
        <v>1009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1010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1011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1012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1013</v>
      </c>
      <c r="J25" s="148" t="s">
        <v>150</v>
      </c>
      <c r="M25" s="164" t="b">
        <v>1</v>
      </c>
    </row>
    <row r="26" spans="3:24" x14ac:dyDescent="0.25">
      <c r="C26" t="s">
        <v>1014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C:\Users\stu\Documents\GitHub\eaglep3-reporting\EC\2017-04-14-refined-times.txt</v>
      </c>
    </row>
    <row r="27" spans="3:24" x14ac:dyDescent="0.25">
      <c r="C27" t="s">
        <v>627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C:\Users\stu\Documents\GitHub\eaglep3-reporting\EC\2017-04-14-Enforcements.txt</v>
      </c>
    </row>
    <row r="28" spans="3:24" x14ac:dyDescent="0.25">
      <c r="C28" t="s">
        <v>1015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C:\Users\stu\Documents\GitHub\eaglep3-reporting\EC\2017-04-14-Runs-refined.txt</v>
      </c>
    </row>
    <row r="29" spans="3:24" x14ac:dyDescent="0.25">
      <c r="C29" t="s">
        <v>1016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C:\Users\stu\Documents\GitHub\eaglep3-reporting\EC\2017-04-14-Trips.txt</v>
      </c>
    </row>
    <row r="30" spans="3:24" x14ac:dyDescent="0.25">
      <c r="C30" t="s">
        <v>1017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C:\Users\stu\Documents\GitHub\eaglep3-reporting\EC\2017-04-14-Weather.txt</v>
      </c>
    </row>
    <row r="31" spans="3:24" x14ac:dyDescent="0.25">
      <c r="C31" t="s">
        <v>1018</v>
      </c>
      <c r="J31" s="148" t="s">
        <v>201</v>
      </c>
      <c r="M31" s="164" t="s">
        <v>202</v>
      </c>
    </row>
    <row r="32" spans="3:24" x14ac:dyDescent="0.25">
      <c r="C32" t="s">
        <v>1019</v>
      </c>
    </row>
    <row r="33" spans="3:3" x14ac:dyDescent="0.25">
      <c r="C33" t="s">
        <v>1020</v>
      </c>
    </row>
    <row r="34" spans="3:3" x14ac:dyDescent="0.25">
      <c r="C34" t="s">
        <v>1021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404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405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2017-04-17T15:34:35Z</dcterms:modified>
</cp:coreProperties>
</file>