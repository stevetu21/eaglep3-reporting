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K203" i="1" l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3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K147" i="1"/>
  <c r="L147" i="1"/>
  <c r="M147" i="1"/>
  <c r="N147" i="1" s="1"/>
  <c r="V147" i="1"/>
  <c r="AA147" i="1"/>
  <c r="AB147" i="1"/>
  <c r="AC147" i="1"/>
  <c r="AD147" i="1"/>
  <c r="AG147" i="1" s="1"/>
  <c r="AE147" i="1"/>
  <c r="AF147" i="1"/>
  <c r="AH147" i="1"/>
  <c r="K146" i="1"/>
  <c r="L146" i="1"/>
  <c r="M146" i="1"/>
  <c r="N146" i="1" s="1"/>
  <c r="V146" i="1"/>
  <c r="AA146" i="1"/>
  <c r="AB146" i="1"/>
  <c r="AC146" i="1"/>
  <c r="AD146" i="1"/>
  <c r="AG146" i="1" s="1"/>
  <c r="AE146" i="1"/>
  <c r="AF146" i="1"/>
  <c r="AH146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K67" i="1"/>
  <c r="L67" i="1"/>
  <c r="M67" i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K18" i="1"/>
  <c r="L18" i="1"/>
  <c r="M18" i="1"/>
  <c r="V18" i="1"/>
  <c r="AA18" i="1"/>
  <c r="AB18" i="1"/>
  <c r="AC18" i="1"/>
  <c r="AD18" i="1"/>
  <c r="T18" i="1" s="1"/>
  <c r="AE18" i="1"/>
  <c r="AF18" i="1"/>
  <c r="AH18" i="1"/>
  <c r="W147" i="1" l="1"/>
  <c r="AG203" i="1"/>
  <c r="AG149" i="1"/>
  <c r="AI147" i="1"/>
  <c r="X147" i="1"/>
  <c r="T147" i="1"/>
  <c r="U147" i="1" s="1"/>
  <c r="S147" i="1" s="1"/>
  <c r="T146" i="1"/>
  <c r="U146" i="1" s="1"/>
  <c r="S146" i="1" s="1"/>
  <c r="AI146" i="1"/>
  <c r="W146" i="1"/>
  <c r="AA68" i="1"/>
  <c r="AA67" i="1"/>
  <c r="W67" i="1" s="1"/>
  <c r="AG144" i="1"/>
  <c r="T67" i="1"/>
  <c r="U67" i="1" s="1"/>
  <c r="S67" i="1" s="1"/>
  <c r="AI67" i="1"/>
  <c r="AG68" i="1"/>
  <c r="X68" i="1"/>
  <c r="AG18" i="1"/>
  <c r="U18" i="1" s="1"/>
  <c r="S18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9" i="3" s="1"/>
  <c r="Y16" i="1"/>
  <c r="Z16" i="1"/>
  <c r="AB16" i="1"/>
  <c r="AC16" i="1"/>
  <c r="AD16" i="1"/>
  <c r="T16" i="1" s="1"/>
  <c r="AE16" i="1"/>
  <c r="R9" i="3" s="1"/>
  <c r="AF16" i="1"/>
  <c r="AH16" i="1"/>
  <c r="K17" i="1"/>
  <c r="L17" i="1"/>
  <c r="M17" i="1"/>
  <c r="P17" i="1" s="1"/>
  <c r="V17" i="1"/>
  <c r="Y17" i="1"/>
  <c r="AA17" i="1" s="1"/>
  <c r="AB17" i="1"/>
  <c r="AC17" i="1"/>
  <c r="AD17" i="1"/>
  <c r="T17" i="1" s="1"/>
  <c r="AE17" i="1"/>
  <c r="AF17" i="1"/>
  <c r="AH17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S21" i="3" s="1"/>
  <c r="Y20" i="1"/>
  <c r="Z20" i="1"/>
  <c r="AB20" i="1"/>
  <c r="AC20" i="1"/>
  <c r="AD20" i="1"/>
  <c r="T20" i="1" s="1"/>
  <c r="AE20" i="1"/>
  <c r="R21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S18" i="3" s="1"/>
  <c r="Y27" i="1"/>
  <c r="Z27" i="1"/>
  <c r="AB27" i="1"/>
  <c r="AC27" i="1"/>
  <c r="AD27" i="1"/>
  <c r="T27" i="1" s="1"/>
  <c r="AE27" i="1"/>
  <c r="R18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S32" i="3" s="1"/>
  <c r="Y30" i="1"/>
  <c r="Z30" i="1"/>
  <c r="AB30" i="1"/>
  <c r="AC30" i="1"/>
  <c r="AD30" i="1"/>
  <c r="T30" i="1" s="1"/>
  <c r="AE30" i="1"/>
  <c r="R32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10" i="3" s="1"/>
  <c r="Y35" i="1"/>
  <c r="Z35" i="1"/>
  <c r="AB35" i="1"/>
  <c r="AC35" i="1"/>
  <c r="AD35" i="1"/>
  <c r="T35" i="1" s="1"/>
  <c r="AE35" i="1"/>
  <c r="R37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1" i="3" s="1"/>
  <c r="Y38" i="1"/>
  <c r="Z38" i="1"/>
  <c r="AB38" i="1"/>
  <c r="AC38" i="1"/>
  <c r="AD38" i="1"/>
  <c r="T38" i="1" s="1"/>
  <c r="AE38" i="1"/>
  <c r="R11" i="3" s="1"/>
  <c r="AF38" i="1"/>
  <c r="AH38" i="1"/>
  <c r="K39" i="1"/>
  <c r="L39" i="1"/>
  <c r="M39" i="1"/>
  <c r="N39" i="1" s="1"/>
  <c r="V39" i="1"/>
  <c r="S13" i="3" s="1"/>
  <c r="Y39" i="1"/>
  <c r="Z39" i="1"/>
  <c r="AB39" i="1"/>
  <c r="AC39" i="1"/>
  <c r="AD39" i="1"/>
  <c r="T39" i="1" s="1"/>
  <c r="AE39" i="1"/>
  <c r="R13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S38" i="3" s="1"/>
  <c r="Y43" i="1"/>
  <c r="Z43" i="1"/>
  <c r="AB43" i="1"/>
  <c r="AC43" i="1"/>
  <c r="AD43" i="1"/>
  <c r="AE43" i="1"/>
  <c r="R38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S19" i="3" s="1"/>
  <c r="Y48" i="1"/>
  <c r="Z48" i="1"/>
  <c r="AB48" i="1"/>
  <c r="AC48" i="1"/>
  <c r="AD48" i="1"/>
  <c r="AE48" i="1"/>
  <c r="R14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K52" i="1"/>
  <c r="L52" i="1"/>
  <c r="M52" i="1"/>
  <c r="N52" i="1" s="1"/>
  <c r="V52" i="1"/>
  <c r="S8" i="3" s="1"/>
  <c r="Y52" i="1"/>
  <c r="Z52" i="1"/>
  <c r="AB52" i="1"/>
  <c r="AC52" i="1"/>
  <c r="AD52" i="1"/>
  <c r="AG52" i="1" s="1"/>
  <c r="AE52" i="1"/>
  <c r="R8" i="3" s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33" i="3" s="1"/>
  <c r="Y54" i="1"/>
  <c r="Z54" i="1"/>
  <c r="AB54" i="1"/>
  <c r="AC54" i="1"/>
  <c r="AD54" i="1"/>
  <c r="T54" i="1" s="1"/>
  <c r="AE54" i="1"/>
  <c r="R3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S20" i="3" s="1"/>
  <c r="Y56" i="1"/>
  <c r="Z56" i="1"/>
  <c r="AB56" i="1"/>
  <c r="AC56" i="1"/>
  <c r="AD56" i="1"/>
  <c r="T56" i="1" s="1"/>
  <c r="AE56" i="1"/>
  <c r="R20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17" i="3" s="1"/>
  <c r="Y62" i="1"/>
  <c r="Z62" i="1"/>
  <c r="AB62" i="1"/>
  <c r="AC62" i="1"/>
  <c r="AD62" i="1"/>
  <c r="AE62" i="1"/>
  <c r="R17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S12" i="3" s="1"/>
  <c r="Y66" i="1"/>
  <c r="Z66" i="1"/>
  <c r="AB66" i="1"/>
  <c r="AC66" i="1"/>
  <c r="AD66" i="1"/>
  <c r="AG66" i="1" s="1"/>
  <c r="AE66" i="1"/>
  <c r="R12" i="3" s="1"/>
  <c r="AF66" i="1"/>
  <c r="AH66" i="1"/>
  <c r="K69" i="1"/>
  <c r="L69" i="1"/>
  <c r="M69" i="1"/>
  <c r="N69" i="1" s="1"/>
  <c r="V69" i="1"/>
  <c r="S39" i="3" s="1"/>
  <c r="Y69" i="1"/>
  <c r="Z69" i="1"/>
  <c r="AB69" i="1"/>
  <c r="AC69" i="1"/>
  <c r="AD69" i="1"/>
  <c r="AE69" i="1"/>
  <c r="R16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P71" i="1" s="1"/>
  <c r="V71" i="1"/>
  <c r="S25" i="3" s="1"/>
  <c r="Y71" i="1"/>
  <c r="Z71" i="1"/>
  <c r="AB71" i="1"/>
  <c r="AC71" i="1"/>
  <c r="AD71" i="1"/>
  <c r="AE71" i="1"/>
  <c r="R25" i="3" s="1"/>
  <c r="AF71" i="1"/>
  <c r="AH71" i="1"/>
  <c r="K72" i="1"/>
  <c r="L72" i="1"/>
  <c r="M72" i="1"/>
  <c r="N72" i="1" s="1"/>
  <c r="V72" i="1"/>
  <c r="S34" i="3" s="1"/>
  <c r="Y72" i="1"/>
  <c r="Z72" i="1"/>
  <c r="AB72" i="1"/>
  <c r="AC72" i="1"/>
  <c r="AD72" i="1"/>
  <c r="AE72" i="1"/>
  <c r="R34" i="3" s="1"/>
  <c r="AF72" i="1"/>
  <c r="AH72" i="1"/>
  <c r="K73" i="1"/>
  <c r="L73" i="1"/>
  <c r="M73" i="1"/>
  <c r="N73" i="1" s="1"/>
  <c r="V73" i="1"/>
  <c r="S40" i="3" s="1"/>
  <c r="Y73" i="1"/>
  <c r="Z73" i="1"/>
  <c r="AB73" i="1"/>
  <c r="AC73" i="1"/>
  <c r="AD73" i="1"/>
  <c r="AE73" i="1"/>
  <c r="R40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S28" i="3" s="1"/>
  <c r="Y76" i="1"/>
  <c r="Z76" i="1"/>
  <c r="AB76" i="1"/>
  <c r="AC76" i="1"/>
  <c r="AD76" i="1"/>
  <c r="AE76" i="1"/>
  <c r="R28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S22" i="3" s="1"/>
  <c r="Y80" i="1"/>
  <c r="Z80" i="1"/>
  <c r="AB80" i="1"/>
  <c r="AC80" i="1"/>
  <c r="AD80" i="1"/>
  <c r="AE80" i="1"/>
  <c r="R22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S35" i="3" s="1"/>
  <c r="Y84" i="1"/>
  <c r="Z84" i="1"/>
  <c r="AB84" i="1"/>
  <c r="AC84" i="1"/>
  <c r="AD84" i="1"/>
  <c r="T84" i="1" s="1"/>
  <c r="AE84" i="1"/>
  <c r="R35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S29" i="3" s="1"/>
  <c r="Y94" i="1"/>
  <c r="Z94" i="1"/>
  <c r="AB94" i="1"/>
  <c r="AC94" i="1"/>
  <c r="AD94" i="1"/>
  <c r="AG94" i="1" s="1"/>
  <c r="AE94" i="1"/>
  <c r="R29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P99" i="1" s="1"/>
  <c r="V99" i="1"/>
  <c r="S30" i="3" s="1"/>
  <c r="Y99" i="1"/>
  <c r="AB99" i="1"/>
  <c r="AC99" i="1"/>
  <c r="AD99" i="1"/>
  <c r="AE99" i="1"/>
  <c r="R30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S7" i="3" s="1"/>
  <c r="Y107" i="1"/>
  <c r="Z107" i="1"/>
  <c r="AB107" i="1"/>
  <c r="AC107" i="1"/>
  <c r="AD107" i="1"/>
  <c r="T107" i="1" s="1"/>
  <c r="AE107" i="1"/>
  <c r="R7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15" i="3" s="1"/>
  <c r="Y140" i="1"/>
  <c r="Z140" i="1"/>
  <c r="AB140" i="1"/>
  <c r="AC140" i="1"/>
  <c r="AD140" i="1"/>
  <c r="X140" i="1" s="1"/>
  <c r="AE140" i="1"/>
  <c r="R36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K148" i="1"/>
  <c r="L148" i="1"/>
  <c r="M148" i="1"/>
  <c r="N148" i="1" s="1"/>
  <c r="V148" i="1"/>
  <c r="S23" i="3" s="1"/>
  <c r="Y148" i="1"/>
  <c r="Z148" i="1"/>
  <c r="AB148" i="1"/>
  <c r="AC148" i="1"/>
  <c r="AD148" i="1"/>
  <c r="AE148" i="1"/>
  <c r="R23" i="3" s="1"/>
  <c r="AF148" i="1"/>
  <c r="AH148" i="1"/>
  <c r="K150" i="1"/>
  <c r="L150" i="1"/>
  <c r="M150" i="1"/>
  <c r="N150" i="1" s="1"/>
  <c r="V150" i="1"/>
  <c r="S24" i="3" s="1"/>
  <c r="Y150" i="1"/>
  <c r="Z150" i="1"/>
  <c r="AB150" i="1"/>
  <c r="AC150" i="1"/>
  <c r="AD150" i="1"/>
  <c r="X150" i="1" s="1"/>
  <c r="AE150" i="1"/>
  <c r="R24" i="3" s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9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17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7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78" i="1"/>
  <c r="K163" i="1"/>
  <c r="L163" i="1"/>
  <c r="M163" i="1"/>
  <c r="N163" i="1" s="1"/>
  <c r="V163" i="1"/>
  <c r="S45" i="3" s="1"/>
  <c r="Y163" i="1"/>
  <c r="Z163" i="1"/>
  <c r="AB163" i="1"/>
  <c r="AC163" i="1"/>
  <c r="AD163" i="1"/>
  <c r="AE163" i="1"/>
  <c r="R45" i="3" s="1"/>
  <c r="AF163" i="1"/>
  <c r="AH17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0" i="1"/>
  <c r="K165" i="1"/>
  <c r="L165" i="1"/>
  <c r="M165" i="1"/>
  <c r="N165" i="1" s="1"/>
  <c r="V165" i="1"/>
  <c r="S41" i="3" s="1"/>
  <c r="Y165" i="1"/>
  <c r="Z165" i="1"/>
  <c r="AB165" i="1"/>
  <c r="AC165" i="1"/>
  <c r="AD165" i="1"/>
  <c r="AE165" i="1"/>
  <c r="R41" i="3" s="1"/>
  <c r="AF165" i="1"/>
  <c r="AH181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2" i="1"/>
  <c r="K167" i="1"/>
  <c r="L167" i="1"/>
  <c r="M167" i="1"/>
  <c r="N167" i="1" s="1"/>
  <c r="V167" i="1"/>
  <c r="S46" i="3" s="1"/>
  <c r="Y167" i="1"/>
  <c r="Z167" i="1"/>
  <c r="AB167" i="1"/>
  <c r="AC167" i="1"/>
  <c r="AD167" i="1"/>
  <c r="AG167" i="1" s="1"/>
  <c r="AE167" i="1"/>
  <c r="R46" i="3" s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0" i="1"/>
  <c r="K175" i="1"/>
  <c r="L175" i="1"/>
  <c r="M175" i="1"/>
  <c r="N175" i="1" s="1"/>
  <c r="V175" i="1"/>
  <c r="S50" i="3" s="1"/>
  <c r="Y175" i="1"/>
  <c r="Z175" i="1"/>
  <c r="AB175" i="1"/>
  <c r="AC175" i="1"/>
  <c r="AD175" i="1"/>
  <c r="AE175" i="1"/>
  <c r="R50" i="3" s="1"/>
  <c r="AF175" i="1"/>
  <c r="AH19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44" i="3" s="1"/>
  <c r="Y186" i="1"/>
  <c r="Z186" i="1"/>
  <c r="AB186" i="1"/>
  <c r="AC186" i="1"/>
  <c r="AD186" i="1"/>
  <c r="T186" i="1" s="1"/>
  <c r="AE186" i="1"/>
  <c r="R44" i="3" s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09" i="1"/>
  <c r="K193" i="1"/>
  <c r="L193" i="1"/>
  <c r="M193" i="1"/>
  <c r="N193" i="1" s="1"/>
  <c r="V193" i="1"/>
  <c r="S47" i="3" s="1"/>
  <c r="Y193" i="1"/>
  <c r="Z193" i="1"/>
  <c r="AB193" i="1"/>
  <c r="AC193" i="1"/>
  <c r="AD193" i="1"/>
  <c r="AG193" i="1" s="1"/>
  <c r="AE193" i="1"/>
  <c r="R47" i="3" s="1"/>
  <c r="AF193" i="1"/>
  <c r="AH210" i="1"/>
  <c r="K194" i="1"/>
  <c r="L194" i="1"/>
  <c r="M194" i="1"/>
  <c r="P194" i="1" s="1"/>
  <c r="V194" i="1"/>
  <c r="Y194" i="1"/>
  <c r="Z194" i="1"/>
  <c r="AB194" i="1"/>
  <c r="AC194" i="1"/>
  <c r="AD194" i="1"/>
  <c r="AE194" i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3" i="1"/>
  <c r="K197" i="1"/>
  <c r="L197" i="1"/>
  <c r="M197" i="1"/>
  <c r="N197" i="1" s="1"/>
  <c r="V197" i="1"/>
  <c r="S43" i="3" s="1"/>
  <c r="Y197" i="1"/>
  <c r="Z197" i="1"/>
  <c r="AB197" i="1"/>
  <c r="AC197" i="1"/>
  <c r="AD197" i="1"/>
  <c r="AG197" i="1" s="1"/>
  <c r="AE197" i="1"/>
  <c r="R43" i="3" s="1"/>
  <c r="AF197" i="1"/>
  <c r="AH214" i="1"/>
  <c r="K198" i="1"/>
  <c r="L198" i="1"/>
  <c r="M198" i="1"/>
  <c r="N198" i="1" s="1"/>
  <c r="V198" i="1"/>
  <c r="S48" i="3" s="1"/>
  <c r="Y198" i="1"/>
  <c r="Z198" i="1"/>
  <c r="AB198" i="1"/>
  <c r="AC198" i="1"/>
  <c r="AD198" i="1"/>
  <c r="AE198" i="1"/>
  <c r="R48" i="3" s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X203" i="1" s="1"/>
  <c r="AE202" i="1"/>
  <c r="AF202" i="1"/>
  <c r="AH219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1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2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3" i="1"/>
  <c r="M9" i="3"/>
  <c r="N9" i="3"/>
  <c r="U9" i="3"/>
  <c r="T9" i="3" s="1"/>
  <c r="V9" i="3"/>
  <c r="W9" i="3"/>
  <c r="X9" i="3"/>
  <c r="M21" i="3"/>
  <c r="N21" i="3"/>
  <c r="U21" i="3"/>
  <c r="T21" i="3" s="1"/>
  <c r="V21" i="3"/>
  <c r="W21" i="3"/>
  <c r="X21" i="3"/>
  <c r="M18" i="3"/>
  <c r="N18" i="3"/>
  <c r="U18" i="3"/>
  <c r="T18" i="3" s="1"/>
  <c r="V18" i="3"/>
  <c r="W18" i="3"/>
  <c r="X18" i="3"/>
  <c r="AC18" i="3"/>
  <c r="M10" i="3"/>
  <c r="N10" i="3"/>
  <c r="U10" i="3"/>
  <c r="T10" i="3" s="1"/>
  <c r="V10" i="3"/>
  <c r="W10" i="3"/>
  <c r="X10" i="3"/>
  <c r="M13" i="3"/>
  <c r="N13" i="3"/>
  <c r="U13" i="3"/>
  <c r="T13" i="3" s="1"/>
  <c r="V13" i="3"/>
  <c r="W13" i="3"/>
  <c r="X13" i="3"/>
  <c r="AC13" i="3"/>
  <c r="M37" i="3"/>
  <c r="N37" i="3"/>
  <c r="U37" i="3"/>
  <c r="T37" i="3" s="1"/>
  <c r="V37" i="3"/>
  <c r="W37" i="3"/>
  <c r="X37" i="3"/>
  <c r="AC37" i="3"/>
  <c r="M32" i="3"/>
  <c r="N32" i="3"/>
  <c r="U32" i="3"/>
  <c r="T32" i="3" s="1"/>
  <c r="V32" i="3"/>
  <c r="W32" i="3"/>
  <c r="X32" i="3"/>
  <c r="M45" i="3"/>
  <c r="N45" i="3"/>
  <c r="U45" i="3"/>
  <c r="T45" i="3" s="1"/>
  <c r="V45" i="3"/>
  <c r="W45" i="3"/>
  <c r="X45" i="3"/>
  <c r="AC45" i="3"/>
  <c r="M41" i="3"/>
  <c r="N41" i="3"/>
  <c r="U41" i="3"/>
  <c r="T41" i="3" s="1"/>
  <c r="V41" i="3"/>
  <c r="W41" i="3"/>
  <c r="X41" i="3"/>
  <c r="AC41" i="3"/>
  <c r="M11" i="3"/>
  <c r="N11" i="3"/>
  <c r="U11" i="3"/>
  <c r="T11" i="3" s="1"/>
  <c r="V11" i="3"/>
  <c r="W11" i="3"/>
  <c r="X11" i="3"/>
  <c r="AC11" i="3"/>
  <c r="M38" i="3"/>
  <c r="N38" i="3"/>
  <c r="U38" i="3"/>
  <c r="T38" i="3" s="1"/>
  <c r="V38" i="3"/>
  <c r="W38" i="3"/>
  <c r="X38" i="3"/>
  <c r="AC38" i="3"/>
  <c r="M46" i="3"/>
  <c r="N46" i="3"/>
  <c r="U46" i="3"/>
  <c r="T46" i="3" s="1"/>
  <c r="V46" i="3"/>
  <c r="W46" i="3"/>
  <c r="X46" i="3"/>
  <c r="AC46" i="3"/>
  <c r="M19" i="3"/>
  <c r="N19" i="3"/>
  <c r="U19" i="3"/>
  <c r="T19" i="3" s="1"/>
  <c r="V19" i="3"/>
  <c r="W19" i="3"/>
  <c r="X19" i="3"/>
  <c r="M14" i="3"/>
  <c r="N14" i="3"/>
  <c r="U14" i="3"/>
  <c r="T14" i="3" s="1"/>
  <c r="V14" i="3"/>
  <c r="W14" i="3"/>
  <c r="X14" i="3"/>
  <c r="M20" i="3"/>
  <c r="N20" i="3"/>
  <c r="U20" i="3"/>
  <c r="T20" i="3" s="1"/>
  <c r="V20" i="3"/>
  <c r="W20" i="3"/>
  <c r="X20" i="3"/>
  <c r="AC20" i="3"/>
  <c r="M8" i="3"/>
  <c r="N8" i="3"/>
  <c r="U8" i="3"/>
  <c r="T8" i="3" s="1"/>
  <c r="V8" i="3"/>
  <c r="W8" i="3"/>
  <c r="X8" i="3"/>
  <c r="AC8" i="3"/>
  <c r="M33" i="3"/>
  <c r="N33" i="3"/>
  <c r="U33" i="3"/>
  <c r="T33" i="3" s="1"/>
  <c r="V33" i="3"/>
  <c r="W33" i="3"/>
  <c r="X33" i="3"/>
  <c r="AC33" i="3"/>
  <c r="M16" i="3"/>
  <c r="N16" i="3"/>
  <c r="U16" i="3"/>
  <c r="T16" i="3" s="1"/>
  <c r="V16" i="3"/>
  <c r="W16" i="3"/>
  <c r="X16" i="3"/>
  <c r="AC16" i="3"/>
  <c r="M25" i="3"/>
  <c r="N25" i="3"/>
  <c r="U25" i="3"/>
  <c r="T25" i="3" s="1"/>
  <c r="V25" i="3"/>
  <c r="W25" i="3"/>
  <c r="X25" i="3"/>
  <c r="AC25" i="3"/>
  <c r="M17" i="3"/>
  <c r="N17" i="3"/>
  <c r="U17" i="3"/>
  <c r="T17" i="3" s="1"/>
  <c r="V17" i="3"/>
  <c r="W17" i="3"/>
  <c r="X17" i="3"/>
  <c r="AC17" i="3"/>
  <c r="M39" i="3"/>
  <c r="N39" i="3"/>
  <c r="U39" i="3"/>
  <c r="T39" i="3" s="1"/>
  <c r="V39" i="3"/>
  <c r="W39" i="3"/>
  <c r="X39" i="3"/>
  <c r="AC39" i="3"/>
  <c r="M42" i="3"/>
  <c r="N42" i="3"/>
  <c r="U42" i="3"/>
  <c r="T42" i="3" s="1"/>
  <c r="V42" i="3"/>
  <c r="W42" i="3"/>
  <c r="X42" i="3"/>
  <c r="AC42" i="3"/>
  <c r="M12" i="3"/>
  <c r="N12" i="3"/>
  <c r="U12" i="3"/>
  <c r="T12" i="3" s="1"/>
  <c r="V12" i="3"/>
  <c r="W12" i="3"/>
  <c r="X12" i="3"/>
  <c r="AC12" i="3"/>
  <c r="M50" i="3"/>
  <c r="N50" i="3"/>
  <c r="U50" i="3"/>
  <c r="T50" i="3" s="1"/>
  <c r="V50" i="3"/>
  <c r="W50" i="3"/>
  <c r="X50" i="3"/>
  <c r="AC50" i="3"/>
  <c r="M40" i="3"/>
  <c r="N40" i="3"/>
  <c r="U40" i="3"/>
  <c r="T40" i="3" s="1"/>
  <c r="V40" i="3"/>
  <c r="W40" i="3"/>
  <c r="X40" i="3"/>
  <c r="AC40" i="3"/>
  <c r="M28" i="3"/>
  <c r="N28" i="3"/>
  <c r="U28" i="3"/>
  <c r="T28" i="3" s="1"/>
  <c r="V28" i="3"/>
  <c r="W28" i="3"/>
  <c r="X28" i="3"/>
  <c r="AC28" i="3"/>
  <c r="M34" i="3"/>
  <c r="N34" i="3"/>
  <c r="U34" i="3"/>
  <c r="T34" i="3" s="1"/>
  <c r="V34" i="3"/>
  <c r="W34" i="3"/>
  <c r="X34" i="3"/>
  <c r="AC34" i="3"/>
  <c r="M22" i="3"/>
  <c r="N22" i="3"/>
  <c r="U22" i="3"/>
  <c r="T22" i="3" s="1"/>
  <c r="V22" i="3"/>
  <c r="W22" i="3"/>
  <c r="X22" i="3"/>
  <c r="AC22" i="3"/>
  <c r="M35" i="3"/>
  <c r="N35" i="3"/>
  <c r="U35" i="3"/>
  <c r="T35" i="3" s="1"/>
  <c r="V35" i="3"/>
  <c r="W35" i="3"/>
  <c r="X35" i="3"/>
  <c r="AC35" i="3"/>
  <c r="M29" i="3"/>
  <c r="N29" i="3"/>
  <c r="U29" i="3"/>
  <c r="T29" i="3" s="1"/>
  <c r="V29" i="3"/>
  <c r="W29" i="3"/>
  <c r="X29" i="3"/>
  <c r="AC29" i="3"/>
  <c r="M27" i="3"/>
  <c r="N27" i="3"/>
  <c r="U27" i="3"/>
  <c r="T27" i="3" s="1"/>
  <c r="V27" i="3"/>
  <c r="W27" i="3"/>
  <c r="X27" i="3"/>
  <c r="AC27" i="3"/>
  <c r="M30" i="3"/>
  <c r="N30" i="3"/>
  <c r="U30" i="3"/>
  <c r="T30" i="3" s="1"/>
  <c r="V30" i="3"/>
  <c r="W30" i="3"/>
  <c r="X30" i="3"/>
  <c r="AC30" i="3"/>
  <c r="M31" i="3"/>
  <c r="N31" i="3"/>
  <c r="U31" i="3"/>
  <c r="T31" i="3" s="1"/>
  <c r="V31" i="3"/>
  <c r="W31" i="3"/>
  <c r="X31" i="3"/>
  <c r="AC31" i="3"/>
  <c r="M7" i="3"/>
  <c r="N7" i="3"/>
  <c r="U7" i="3"/>
  <c r="T7" i="3" s="1"/>
  <c r="V7" i="3"/>
  <c r="W7" i="3"/>
  <c r="X7" i="3"/>
  <c r="AC7" i="3"/>
  <c r="M44" i="3"/>
  <c r="N44" i="3"/>
  <c r="U44" i="3"/>
  <c r="T44" i="3" s="1"/>
  <c r="V44" i="3"/>
  <c r="W44" i="3"/>
  <c r="X44" i="3"/>
  <c r="AC44" i="3"/>
  <c r="M51" i="3"/>
  <c r="N51" i="3"/>
  <c r="U51" i="3"/>
  <c r="T51" i="3" s="1"/>
  <c r="V51" i="3"/>
  <c r="W51" i="3"/>
  <c r="X51" i="3"/>
  <c r="AC51" i="3"/>
  <c r="M47" i="3"/>
  <c r="N47" i="3"/>
  <c r="U47" i="3"/>
  <c r="T47" i="3" s="1"/>
  <c r="V47" i="3"/>
  <c r="W47" i="3"/>
  <c r="X47" i="3"/>
  <c r="AC47" i="3"/>
  <c r="M48" i="3"/>
  <c r="N48" i="3"/>
  <c r="U48" i="3"/>
  <c r="T48" i="3" s="1"/>
  <c r="V48" i="3"/>
  <c r="W48" i="3"/>
  <c r="X48" i="3"/>
  <c r="AC48" i="3"/>
  <c r="M49" i="3"/>
  <c r="N49" i="3"/>
  <c r="U49" i="3"/>
  <c r="T49" i="3" s="1"/>
  <c r="V49" i="3"/>
  <c r="W49" i="3"/>
  <c r="X49" i="3"/>
  <c r="AC49" i="3"/>
  <c r="M43" i="3"/>
  <c r="N43" i="3"/>
  <c r="U43" i="3"/>
  <c r="T43" i="3" s="1"/>
  <c r="V43" i="3"/>
  <c r="W43" i="3"/>
  <c r="X43" i="3"/>
  <c r="AC43" i="3"/>
  <c r="M15" i="3"/>
  <c r="N15" i="3"/>
  <c r="U15" i="3"/>
  <c r="T15" i="3" s="1"/>
  <c r="V15" i="3"/>
  <c r="W15" i="3"/>
  <c r="X15" i="3"/>
  <c r="AC15" i="3"/>
  <c r="M36" i="3"/>
  <c r="N36" i="3"/>
  <c r="U36" i="3"/>
  <c r="T36" i="3" s="1"/>
  <c r="V36" i="3"/>
  <c r="W36" i="3"/>
  <c r="X36" i="3"/>
  <c r="AC36" i="3"/>
  <c r="M23" i="3"/>
  <c r="N23" i="3"/>
  <c r="U23" i="3"/>
  <c r="T23" i="3" s="1"/>
  <c r="V23" i="3"/>
  <c r="W23" i="3"/>
  <c r="X23" i="3"/>
  <c r="AC23" i="3"/>
  <c r="M24" i="3"/>
  <c r="N24" i="3"/>
  <c r="U24" i="3"/>
  <c r="T24" i="3" s="1"/>
  <c r="V24" i="3"/>
  <c r="W24" i="3"/>
  <c r="X24" i="3"/>
  <c r="AC24" i="3"/>
  <c r="S31" i="3" l="1"/>
  <c r="AC10" i="3"/>
  <c r="AC32" i="3"/>
  <c r="Y38" i="3"/>
  <c r="Y32" i="3"/>
  <c r="Y18" i="3"/>
  <c r="W68" i="1"/>
  <c r="AI206" i="1"/>
  <c r="AA218" i="1"/>
  <c r="AI222" i="1"/>
  <c r="AI214" i="1"/>
  <c r="AI119" i="1"/>
  <c r="AA118" i="1"/>
  <c r="AC21" i="3"/>
  <c r="AC9" i="3"/>
  <c r="Y47" i="3"/>
  <c r="Y31" i="3"/>
  <c r="AC19" i="3"/>
  <c r="Y15" i="3"/>
  <c r="Y35" i="3"/>
  <c r="Y40" i="3"/>
  <c r="Y39" i="3"/>
  <c r="Y33" i="3"/>
  <c r="Y19" i="3"/>
  <c r="Y41" i="3"/>
  <c r="Y13" i="3"/>
  <c r="Y9" i="3"/>
  <c r="AI203" i="1"/>
  <c r="U203" i="1"/>
  <c r="S203" i="1" s="1"/>
  <c r="W203" i="1"/>
  <c r="X148" i="1"/>
  <c r="X149" i="1"/>
  <c r="AI149" i="1"/>
  <c r="U149" i="1"/>
  <c r="S149" i="1" s="1"/>
  <c r="W149" i="1"/>
  <c r="AA198" i="1"/>
  <c r="AA193" i="1"/>
  <c r="W193" i="1" s="1"/>
  <c r="R31" i="3"/>
  <c r="R27" i="3"/>
  <c r="X146" i="1"/>
  <c r="R15" i="3"/>
  <c r="AG151" i="1"/>
  <c r="AI151" i="1" s="1"/>
  <c r="X144" i="1"/>
  <c r="X122" i="1"/>
  <c r="AA207" i="1"/>
  <c r="AA205" i="1"/>
  <c r="S42" i="3"/>
  <c r="AI18" i="1"/>
  <c r="X222" i="1"/>
  <c r="X193" i="1"/>
  <c r="T114" i="1"/>
  <c r="X114" i="1"/>
  <c r="AG114" i="1"/>
  <c r="AI114" i="1" s="1"/>
  <c r="S51" i="3"/>
  <c r="S16" i="3"/>
  <c r="AI144" i="1"/>
  <c r="U144" i="1"/>
  <c r="S144" i="1" s="1"/>
  <c r="S14" i="3"/>
  <c r="T116" i="1"/>
  <c r="X116" i="1"/>
  <c r="T115" i="1"/>
  <c r="X115" i="1"/>
  <c r="T22" i="1"/>
  <c r="W144" i="1"/>
  <c r="AG98" i="1"/>
  <c r="AI98" i="1" s="1"/>
  <c r="T76" i="1"/>
  <c r="X76" i="1"/>
  <c r="R19" i="3"/>
  <c r="AG187" i="1"/>
  <c r="U187" i="1" s="1"/>
  <c r="S187" i="1" s="1"/>
  <c r="X169" i="1"/>
  <c r="X67" i="1"/>
  <c r="AI183" i="1"/>
  <c r="AG75" i="1"/>
  <c r="AI75" i="1" s="1"/>
  <c r="X75" i="1"/>
  <c r="T74" i="1"/>
  <c r="X74" i="1"/>
  <c r="T73" i="1"/>
  <c r="X73" i="1"/>
  <c r="T72" i="1"/>
  <c r="X72" i="1"/>
  <c r="T71" i="1"/>
  <c r="X71" i="1"/>
  <c r="S27" i="3"/>
  <c r="AA160" i="1"/>
  <c r="T88" i="1"/>
  <c r="S36" i="3"/>
  <c r="R42" i="3"/>
  <c r="R39" i="3"/>
  <c r="AA202" i="1"/>
  <c r="AA201" i="1"/>
  <c r="W201" i="1" s="1"/>
  <c r="AA200" i="1"/>
  <c r="AG171" i="1"/>
  <c r="AI171" i="1" s="1"/>
  <c r="AA213" i="1"/>
  <c r="AI210" i="1"/>
  <c r="T134" i="1"/>
  <c r="X99" i="1"/>
  <c r="AA98" i="1"/>
  <c r="W98" i="1" s="1"/>
  <c r="R10" i="3"/>
  <c r="T123" i="1"/>
  <c r="X157" i="1"/>
  <c r="X91" i="1"/>
  <c r="X54" i="1"/>
  <c r="X165" i="1"/>
  <c r="AA164" i="1"/>
  <c r="AA162" i="1"/>
  <c r="AG154" i="1"/>
  <c r="AI154" i="1" s="1"/>
  <c r="AG115" i="1"/>
  <c r="AA100" i="1"/>
  <c r="T69" i="1"/>
  <c r="X69" i="1"/>
  <c r="AA54" i="1"/>
  <c r="AA53" i="1"/>
  <c r="AA52" i="1"/>
  <c r="W52" i="1" s="1"/>
  <c r="AA51" i="1"/>
  <c r="AA50" i="1"/>
  <c r="W50" i="1" s="1"/>
  <c r="AG28" i="1"/>
  <c r="U28" i="1" s="1"/>
  <c r="S28" i="1" s="1"/>
  <c r="AI22" i="1"/>
  <c r="X185" i="1"/>
  <c r="X153" i="1"/>
  <c r="X130" i="1"/>
  <c r="X107" i="1"/>
  <c r="X87" i="1"/>
  <c r="X46" i="1"/>
  <c r="AG209" i="1"/>
  <c r="AI209" i="1" s="1"/>
  <c r="AA136" i="1"/>
  <c r="AA135" i="1"/>
  <c r="W135" i="1" s="1"/>
  <c r="AG100" i="1"/>
  <c r="AI100" i="1" s="1"/>
  <c r="X96" i="1"/>
  <c r="X29" i="1"/>
  <c r="X210" i="1"/>
  <c r="X161" i="1"/>
  <c r="X142" i="1"/>
  <c r="X118" i="1"/>
  <c r="X95" i="1"/>
  <c r="W18" i="1"/>
  <c r="U68" i="1"/>
  <c r="S68" i="1" s="1"/>
  <c r="AI68" i="1"/>
  <c r="T33" i="1"/>
  <c r="X26" i="1"/>
  <c r="AA57" i="1"/>
  <c r="AA56" i="1"/>
  <c r="AA55" i="1"/>
  <c r="W55" i="1" s="1"/>
  <c r="AA36" i="1"/>
  <c r="AA34" i="1"/>
  <c r="AG30" i="1"/>
  <c r="U30" i="1" s="1"/>
  <c r="S30" i="1" s="1"/>
  <c r="AA16" i="1"/>
  <c r="AA15" i="1"/>
  <c r="AA14" i="1"/>
  <c r="X42" i="1"/>
  <c r="X16" i="1"/>
  <c r="X66" i="1"/>
  <c r="T61" i="1"/>
  <c r="X61" i="1"/>
  <c r="T60" i="1"/>
  <c r="X60" i="1"/>
  <c r="T59" i="1"/>
  <c r="X59" i="1"/>
  <c r="AG58" i="1"/>
  <c r="X58" i="1"/>
  <c r="T57" i="1"/>
  <c r="X57" i="1"/>
  <c r="X34" i="1"/>
  <c r="AG36" i="1"/>
  <c r="AI36" i="1" s="1"/>
  <c r="AG25" i="1"/>
  <c r="U25" i="1" s="1"/>
  <c r="S25" i="1" s="1"/>
  <c r="AG20" i="1"/>
  <c r="U20" i="1" s="1"/>
  <c r="S20" i="1" s="1"/>
  <c r="AG16" i="1"/>
  <c r="AI16" i="1" s="1"/>
  <c r="X50" i="1"/>
  <c r="X30" i="1"/>
  <c r="T191" i="1"/>
  <c r="X191" i="1"/>
  <c r="T190" i="1"/>
  <c r="X190" i="1"/>
  <c r="T179" i="1"/>
  <c r="X179" i="1"/>
  <c r="T178" i="1"/>
  <c r="X178" i="1"/>
  <c r="AG176" i="1"/>
  <c r="AI176" i="1" s="1"/>
  <c r="X176" i="1"/>
  <c r="T175" i="1"/>
  <c r="X175" i="1"/>
  <c r="AG175" i="1"/>
  <c r="AI175" i="1" s="1"/>
  <c r="T174" i="1"/>
  <c r="X174" i="1"/>
  <c r="AG172" i="1"/>
  <c r="AI172" i="1" s="1"/>
  <c r="X172" i="1"/>
  <c r="AA217" i="1"/>
  <c r="T199" i="1"/>
  <c r="U199" i="1" s="1"/>
  <c r="S199" i="1" s="1"/>
  <c r="X199" i="1"/>
  <c r="T198" i="1"/>
  <c r="X198" i="1"/>
  <c r="AA197" i="1"/>
  <c r="W197" i="1" s="1"/>
  <c r="AA196" i="1"/>
  <c r="AG192" i="1"/>
  <c r="AI192" i="1" s="1"/>
  <c r="X192" i="1"/>
  <c r="AA190" i="1"/>
  <c r="T183" i="1"/>
  <c r="U183" i="1" s="1"/>
  <c r="S183" i="1" s="1"/>
  <c r="X183" i="1"/>
  <c r="T182" i="1"/>
  <c r="X182" i="1"/>
  <c r="AG180" i="1"/>
  <c r="AI180" i="1" s="1"/>
  <c r="X180" i="1"/>
  <c r="AA178" i="1"/>
  <c r="AG159" i="1"/>
  <c r="AI159" i="1" s="1"/>
  <c r="X159" i="1"/>
  <c r="T208" i="1"/>
  <c r="X208" i="1"/>
  <c r="T207" i="1"/>
  <c r="X207" i="1"/>
  <c r="T204" i="1"/>
  <c r="X204" i="1"/>
  <c r="T113" i="1"/>
  <c r="AG113" i="1"/>
  <c r="T112" i="1"/>
  <c r="X112" i="1"/>
  <c r="T82" i="1"/>
  <c r="X82" i="1"/>
  <c r="T80" i="1"/>
  <c r="X80" i="1"/>
  <c r="AG79" i="1"/>
  <c r="T79" i="1"/>
  <c r="T37" i="1"/>
  <c r="X37" i="1"/>
  <c r="AG37" i="1"/>
  <c r="T21" i="1"/>
  <c r="X21" i="1"/>
  <c r="X214" i="1"/>
  <c r="X197" i="1"/>
  <c r="X181" i="1"/>
  <c r="X83" i="1"/>
  <c r="AG196" i="1"/>
  <c r="X196" i="1"/>
  <c r="AG127" i="1"/>
  <c r="AI127" i="1" s="1"/>
  <c r="X127" i="1"/>
  <c r="T65" i="1"/>
  <c r="X65" i="1"/>
  <c r="AG65" i="1"/>
  <c r="T64" i="1"/>
  <c r="X64" i="1"/>
  <c r="T63" i="1"/>
  <c r="X63" i="1"/>
  <c r="AG62" i="1"/>
  <c r="AI62" i="1" s="1"/>
  <c r="T62" i="1"/>
  <c r="T24" i="1"/>
  <c r="X24" i="1"/>
  <c r="AG24" i="1"/>
  <c r="T23" i="1"/>
  <c r="X23" i="1"/>
  <c r="X177" i="1"/>
  <c r="X126" i="1"/>
  <c r="X62" i="1"/>
  <c r="T215" i="1"/>
  <c r="U215" i="1" s="1"/>
  <c r="S215" i="1" s="1"/>
  <c r="X215" i="1"/>
  <c r="T202" i="1"/>
  <c r="X202" i="1"/>
  <c r="AG200" i="1"/>
  <c r="X200" i="1"/>
  <c r="AA194" i="1"/>
  <c r="AG191" i="1"/>
  <c r="AG188" i="1"/>
  <c r="X188" i="1"/>
  <c r="AG179" i="1"/>
  <c r="U179" i="1" s="1"/>
  <c r="S179" i="1" s="1"/>
  <c r="T164" i="1"/>
  <c r="X164" i="1"/>
  <c r="AG164" i="1"/>
  <c r="AI164" i="1" s="1"/>
  <c r="AG163" i="1"/>
  <c r="AI163" i="1" s="1"/>
  <c r="X163" i="1"/>
  <c r="T219" i="1"/>
  <c r="X219" i="1"/>
  <c r="T213" i="1"/>
  <c r="X213" i="1"/>
  <c r="T212" i="1"/>
  <c r="X212" i="1"/>
  <c r="T138" i="1"/>
  <c r="AG138" i="1"/>
  <c r="AI138" i="1" s="1"/>
  <c r="T48" i="1"/>
  <c r="X48" i="1"/>
  <c r="AG48" i="1"/>
  <c r="AI48" i="1" s="1"/>
  <c r="T47" i="1"/>
  <c r="X47" i="1"/>
  <c r="T45" i="1"/>
  <c r="X45" i="1"/>
  <c r="T44" i="1"/>
  <c r="X44" i="1"/>
  <c r="T43" i="1"/>
  <c r="X43" i="1"/>
  <c r="X206" i="1"/>
  <c r="X189" i="1"/>
  <c r="X173" i="1"/>
  <c r="X138" i="1"/>
  <c r="AG217" i="1"/>
  <c r="AI217" i="1" s="1"/>
  <c r="X217" i="1"/>
  <c r="AG216" i="1"/>
  <c r="AI216" i="1" s="1"/>
  <c r="X216" i="1"/>
  <c r="T99" i="1"/>
  <c r="AG99" i="1"/>
  <c r="T196" i="1"/>
  <c r="T195" i="1"/>
  <c r="U195" i="1" s="1"/>
  <c r="S195" i="1" s="1"/>
  <c r="X195" i="1"/>
  <c r="T194" i="1"/>
  <c r="X194" i="1"/>
  <c r="T92" i="1"/>
  <c r="AG92" i="1"/>
  <c r="AI92" i="1" s="1"/>
  <c r="X92" i="1"/>
  <c r="X218" i="1"/>
  <c r="X201" i="1"/>
  <c r="X38" i="1"/>
  <c r="X22" i="1"/>
  <c r="AA174" i="1"/>
  <c r="AG223" i="1"/>
  <c r="U223" i="1" s="1"/>
  <c r="S223" i="1" s="1"/>
  <c r="AA221" i="1"/>
  <c r="AA219" i="1"/>
  <c r="AG211" i="1"/>
  <c r="U211" i="1" s="1"/>
  <c r="S211" i="1" s="1"/>
  <c r="AA208" i="1"/>
  <c r="AG156" i="1"/>
  <c r="AI156" i="1" s="1"/>
  <c r="AA152" i="1"/>
  <c r="AA138" i="1"/>
  <c r="AG123" i="1"/>
  <c r="AA113" i="1"/>
  <c r="AA112" i="1"/>
  <c r="AG110" i="1"/>
  <c r="U110" i="1" s="1"/>
  <c r="S110" i="1" s="1"/>
  <c r="AG96" i="1"/>
  <c r="AI96" i="1" s="1"/>
  <c r="AA92" i="1"/>
  <c r="W92" i="1" s="1"/>
  <c r="AG88" i="1"/>
  <c r="AI88" i="1" s="1"/>
  <c r="AA84" i="1"/>
  <c r="AA81" i="1"/>
  <c r="AA80" i="1"/>
  <c r="AA79" i="1"/>
  <c r="W79" i="1" s="1"/>
  <c r="AG74" i="1"/>
  <c r="AA64" i="1"/>
  <c r="AA63" i="1"/>
  <c r="AA62" i="1"/>
  <c r="T55" i="1"/>
  <c r="U55" i="1" s="1"/>
  <c r="S55" i="1" s="1"/>
  <c r="AI52" i="1"/>
  <c r="AA48" i="1"/>
  <c r="AA47" i="1"/>
  <c r="AA46" i="1"/>
  <c r="AG41" i="1"/>
  <c r="U41" i="1" s="1"/>
  <c r="S41" i="1" s="1"/>
  <c r="AA38" i="1"/>
  <c r="AG33" i="1"/>
  <c r="X223" i="1"/>
  <c r="X211" i="1"/>
  <c r="X186" i="1"/>
  <c r="X170" i="1"/>
  <c r="X158" i="1"/>
  <c r="X154" i="1"/>
  <c r="X143" i="1"/>
  <c r="X139" i="1"/>
  <c r="X135" i="1"/>
  <c r="X119" i="1"/>
  <c r="X108" i="1"/>
  <c r="X104" i="1"/>
  <c r="X100" i="1"/>
  <c r="X84" i="1"/>
  <c r="X55" i="1"/>
  <c r="X39" i="1"/>
  <c r="X35" i="1"/>
  <c r="X31" i="1"/>
  <c r="X27" i="1"/>
  <c r="X17" i="1"/>
  <c r="AA182" i="1"/>
  <c r="AA181" i="1"/>
  <c r="W181" i="1" s="1"/>
  <c r="AI168" i="1"/>
  <c r="AA158" i="1"/>
  <c r="T209" i="1"/>
  <c r="AA123" i="1"/>
  <c r="AA110" i="1"/>
  <c r="AA109" i="1"/>
  <c r="AA96" i="1"/>
  <c r="AA88" i="1"/>
  <c r="AA73" i="1"/>
  <c r="AA72" i="1"/>
  <c r="AA42" i="1"/>
  <c r="W42" i="1" s="1"/>
  <c r="AA33" i="1"/>
  <c r="AA28" i="1"/>
  <c r="AA27" i="1"/>
  <c r="T19" i="1"/>
  <c r="X19" i="1"/>
  <c r="X184" i="1"/>
  <c r="X168" i="1"/>
  <c r="X160" i="1"/>
  <c r="X156" i="1"/>
  <c r="X152" i="1"/>
  <c r="X137" i="1"/>
  <c r="X133" i="1"/>
  <c r="X129" i="1"/>
  <c r="X125" i="1"/>
  <c r="X121" i="1"/>
  <c r="X117" i="1"/>
  <c r="X110" i="1"/>
  <c r="X106" i="1"/>
  <c r="X102" i="1"/>
  <c r="X98" i="1"/>
  <c r="X94" i="1"/>
  <c r="X90" i="1"/>
  <c r="X86" i="1"/>
  <c r="X78" i="1"/>
  <c r="X53" i="1"/>
  <c r="X41" i="1"/>
  <c r="X25" i="1"/>
  <c r="X15" i="1"/>
  <c r="X18" i="1"/>
  <c r="X220" i="1"/>
  <c r="X187" i="1"/>
  <c r="X171" i="1"/>
  <c r="X167" i="1"/>
  <c r="X155" i="1"/>
  <c r="X132" i="1"/>
  <c r="X128" i="1"/>
  <c r="X124" i="1"/>
  <c r="X120" i="1"/>
  <c r="X109" i="1"/>
  <c r="X105" i="1"/>
  <c r="X101" i="1"/>
  <c r="X97" i="1"/>
  <c r="X93" i="1"/>
  <c r="X89" i="1"/>
  <c r="X77" i="1"/>
  <c r="X70" i="1"/>
  <c r="X56" i="1"/>
  <c r="X52" i="1"/>
  <c r="X40" i="1"/>
  <c r="X36" i="1"/>
  <c r="X32" i="1"/>
  <c r="X28" i="1"/>
  <c r="X20" i="1"/>
  <c r="S37" i="3"/>
  <c r="AA26" i="1"/>
  <c r="AA25" i="1"/>
  <c r="AA177" i="1"/>
  <c r="W177" i="1" s="1"/>
  <c r="AA176" i="1"/>
  <c r="T176" i="1"/>
  <c r="AA173" i="1"/>
  <c r="T172" i="1"/>
  <c r="AA170" i="1"/>
  <c r="AA169" i="1"/>
  <c r="W169" i="1" s="1"/>
  <c r="AG158" i="1"/>
  <c r="U158" i="1" s="1"/>
  <c r="S158" i="1" s="1"/>
  <c r="AA210" i="1"/>
  <c r="W210" i="1" s="1"/>
  <c r="T210" i="1"/>
  <c r="U210" i="1" s="1"/>
  <c r="S210" i="1" s="1"/>
  <c r="AA150" i="1"/>
  <c r="AA145" i="1"/>
  <c r="AA143" i="1"/>
  <c r="W143" i="1" s="1"/>
  <c r="AG142" i="1"/>
  <c r="AI142" i="1" s="1"/>
  <c r="AA141" i="1"/>
  <c r="AA140" i="1"/>
  <c r="AA139" i="1"/>
  <c r="W139" i="1" s="1"/>
  <c r="AA134" i="1"/>
  <c r="AG133" i="1"/>
  <c r="U133" i="1" s="1"/>
  <c r="S133" i="1" s="1"/>
  <c r="AG129" i="1"/>
  <c r="U129" i="1" s="1"/>
  <c r="S129" i="1" s="1"/>
  <c r="AA127" i="1"/>
  <c r="AG125" i="1"/>
  <c r="AI125" i="1" s="1"/>
  <c r="AG121" i="1"/>
  <c r="AA119" i="1"/>
  <c r="W119" i="1" s="1"/>
  <c r="AG117" i="1"/>
  <c r="U117" i="1" s="1"/>
  <c r="S117" i="1" s="1"/>
  <c r="AG108" i="1"/>
  <c r="AI108" i="1" s="1"/>
  <c r="AG106" i="1"/>
  <c r="U106" i="1" s="1"/>
  <c r="S106" i="1" s="1"/>
  <c r="AG97" i="1"/>
  <c r="AI97" i="1" s="1"/>
  <c r="AG93" i="1"/>
  <c r="U93" i="1" s="1"/>
  <c r="S93" i="1" s="1"/>
  <c r="AG89" i="1"/>
  <c r="U89" i="1" s="1"/>
  <c r="S89" i="1" s="1"/>
  <c r="AA82" i="1"/>
  <c r="AG78" i="1"/>
  <c r="AI78" i="1" s="1"/>
  <c r="AA70" i="1"/>
  <c r="AA69" i="1"/>
  <c r="AA66" i="1"/>
  <c r="W66" i="1" s="1"/>
  <c r="T66" i="1"/>
  <c r="U66" i="1" s="1"/>
  <c r="S66" i="1" s="1"/>
  <c r="AG61" i="1"/>
  <c r="AG44" i="1"/>
  <c r="AI44" i="1" s="1"/>
  <c r="AG38" i="1"/>
  <c r="AA20" i="1"/>
  <c r="AA19" i="1"/>
  <c r="AA216" i="1"/>
  <c r="T216" i="1"/>
  <c r="AA192" i="1"/>
  <c r="T192" i="1"/>
  <c r="AA189" i="1"/>
  <c r="W189" i="1" s="1"/>
  <c r="AA186" i="1"/>
  <c r="AA185" i="1"/>
  <c r="W185" i="1" s="1"/>
  <c r="AA184" i="1"/>
  <c r="W184" i="1" s="1"/>
  <c r="T184" i="1"/>
  <c r="U184" i="1" s="1"/>
  <c r="S184" i="1" s="1"/>
  <c r="AA180" i="1"/>
  <c r="T180" i="1"/>
  <c r="AA172" i="1"/>
  <c r="T166" i="1"/>
  <c r="AA155" i="1"/>
  <c r="W155" i="1" s="1"/>
  <c r="T155" i="1"/>
  <c r="U155" i="1" s="1"/>
  <c r="S155" i="1" s="1"/>
  <c r="T131" i="1"/>
  <c r="AA188" i="1"/>
  <c r="T188" i="1"/>
  <c r="AA161" i="1"/>
  <c r="AA223" i="1"/>
  <c r="AG219" i="1"/>
  <c r="U219" i="1" s="1"/>
  <c r="S219" i="1" s="1"/>
  <c r="AA153" i="1"/>
  <c r="AA131" i="1"/>
  <c r="AG130" i="1"/>
  <c r="U130" i="1" s="1"/>
  <c r="S130" i="1" s="1"/>
  <c r="AA129" i="1"/>
  <c r="AA128" i="1"/>
  <c r="AA125" i="1"/>
  <c r="AA121" i="1"/>
  <c r="AA120" i="1"/>
  <c r="AA117" i="1"/>
  <c r="AA116" i="1"/>
  <c r="AA108" i="1"/>
  <c r="AG107" i="1"/>
  <c r="U107" i="1" s="1"/>
  <c r="S107" i="1" s="1"/>
  <c r="AA106" i="1"/>
  <c r="AA105" i="1"/>
  <c r="AA104" i="1"/>
  <c r="AG102" i="1"/>
  <c r="U102" i="1" s="1"/>
  <c r="S102" i="1" s="1"/>
  <c r="AA93" i="1"/>
  <c r="AA89" i="1"/>
  <c r="AA77" i="1"/>
  <c r="AA76" i="1"/>
  <c r="AA75" i="1"/>
  <c r="T75" i="1"/>
  <c r="AG71" i="1"/>
  <c r="AI71" i="1" s="1"/>
  <c r="AA60" i="1"/>
  <c r="AA59" i="1"/>
  <c r="AA58" i="1"/>
  <c r="T58" i="1"/>
  <c r="AG45" i="1"/>
  <c r="AI45" i="1" s="1"/>
  <c r="AA44" i="1"/>
  <c r="AA43" i="1"/>
  <c r="AA41" i="1"/>
  <c r="AG34" i="1"/>
  <c r="AI34" i="1" s="1"/>
  <c r="AI201" i="1"/>
  <c r="W173" i="1"/>
  <c r="AI135" i="1"/>
  <c r="AI143" i="1"/>
  <c r="AI139" i="1"/>
  <c r="AI197" i="1"/>
  <c r="AI193" i="1"/>
  <c r="AI189" i="1"/>
  <c r="AI185" i="1"/>
  <c r="T189" i="1"/>
  <c r="U189" i="1" s="1"/>
  <c r="S189" i="1" s="1"/>
  <c r="T181" i="1"/>
  <c r="U181" i="1" s="1"/>
  <c r="S181" i="1" s="1"/>
  <c r="T173" i="1"/>
  <c r="U173" i="1" s="1"/>
  <c r="S173" i="1" s="1"/>
  <c r="AA168" i="1"/>
  <c r="W168" i="1" s="1"/>
  <c r="T168" i="1"/>
  <c r="U168" i="1" s="1"/>
  <c r="S168" i="1" s="1"/>
  <c r="AA167" i="1"/>
  <c r="W167" i="1" s="1"/>
  <c r="AG166" i="1"/>
  <c r="AA165" i="1"/>
  <c r="AG160" i="1"/>
  <c r="T143" i="1"/>
  <c r="U143" i="1" s="1"/>
  <c r="S143" i="1" s="1"/>
  <c r="T119" i="1"/>
  <c r="U119" i="1" s="1"/>
  <c r="S119" i="1" s="1"/>
  <c r="AG104" i="1"/>
  <c r="T217" i="1"/>
  <c r="T197" i="1"/>
  <c r="U197" i="1" s="1"/>
  <c r="S197" i="1" s="1"/>
  <c r="R51" i="3"/>
  <c r="AA199" i="1"/>
  <c r="W199" i="1" s="1"/>
  <c r="AA191" i="1"/>
  <c r="AA183" i="1"/>
  <c r="W183" i="1" s="1"/>
  <c r="AA175" i="1"/>
  <c r="AA163" i="1"/>
  <c r="T163" i="1"/>
  <c r="T162" i="1"/>
  <c r="AA157" i="1"/>
  <c r="AA222" i="1"/>
  <c r="T222" i="1"/>
  <c r="U222" i="1" s="1"/>
  <c r="S222" i="1" s="1"/>
  <c r="T221" i="1"/>
  <c r="AG213" i="1"/>
  <c r="AA212" i="1"/>
  <c r="AA211" i="1"/>
  <c r="W211" i="1" s="1"/>
  <c r="AA209" i="1"/>
  <c r="AA206" i="1"/>
  <c r="W206" i="1" s="1"/>
  <c r="T206" i="1"/>
  <c r="U206" i="1" s="1"/>
  <c r="S206" i="1" s="1"/>
  <c r="T205" i="1"/>
  <c r="AG152" i="1"/>
  <c r="AI152" i="1" s="1"/>
  <c r="T150" i="1"/>
  <c r="AA137" i="1"/>
  <c r="AG134" i="1"/>
  <c r="AG131" i="1"/>
  <c r="AA126" i="1"/>
  <c r="AG122" i="1"/>
  <c r="U122" i="1" s="1"/>
  <c r="S122" i="1" s="1"/>
  <c r="AA115" i="1"/>
  <c r="AG112" i="1"/>
  <c r="T103" i="1"/>
  <c r="AG103" i="1"/>
  <c r="AI103" i="1" s="1"/>
  <c r="U97" i="1"/>
  <c r="S97" i="1" s="1"/>
  <c r="AI42" i="1"/>
  <c r="T201" i="1"/>
  <c r="U201" i="1" s="1"/>
  <c r="S201" i="1" s="1"/>
  <c r="T185" i="1"/>
  <c r="U185" i="1" s="1"/>
  <c r="S185" i="1" s="1"/>
  <c r="T177" i="1"/>
  <c r="U177" i="1" s="1"/>
  <c r="S177" i="1" s="1"/>
  <c r="T169" i="1"/>
  <c r="U169" i="1" s="1"/>
  <c r="S169" i="1" s="1"/>
  <c r="T139" i="1"/>
  <c r="U139" i="1" s="1"/>
  <c r="S139" i="1" s="1"/>
  <c r="T135" i="1"/>
  <c r="U135" i="1" s="1"/>
  <c r="S135" i="1" s="1"/>
  <c r="AA133" i="1"/>
  <c r="AA132" i="1"/>
  <c r="AG126" i="1"/>
  <c r="U126" i="1" s="1"/>
  <c r="S126" i="1" s="1"/>
  <c r="T111" i="1"/>
  <c r="AG111" i="1"/>
  <c r="T193" i="1"/>
  <c r="U193" i="1" s="1"/>
  <c r="S193" i="1" s="1"/>
  <c r="R49" i="3"/>
  <c r="AA215" i="1"/>
  <c r="W215" i="1" s="1"/>
  <c r="AA195" i="1"/>
  <c r="W195" i="1" s="1"/>
  <c r="AA187" i="1"/>
  <c r="W187" i="1" s="1"/>
  <c r="AA179" i="1"/>
  <c r="AA171" i="1"/>
  <c r="AA166" i="1"/>
  <c r="AG162" i="1"/>
  <c r="AI162" i="1" s="1"/>
  <c r="AA159" i="1"/>
  <c r="T159" i="1"/>
  <c r="AG221" i="1"/>
  <c r="AI221" i="1" s="1"/>
  <c r="AA220" i="1"/>
  <c r="AA214" i="1"/>
  <c r="W214" i="1" s="1"/>
  <c r="T214" i="1"/>
  <c r="U214" i="1" s="1"/>
  <c r="S214" i="1" s="1"/>
  <c r="AG207" i="1"/>
  <c r="AG205" i="1"/>
  <c r="AA204" i="1"/>
  <c r="AA156" i="1"/>
  <c r="AA154" i="1"/>
  <c r="AA151" i="1"/>
  <c r="AG150" i="1"/>
  <c r="AI150" i="1" s="1"/>
  <c r="AG137" i="1"/>
  <c r="U137" i="1" s="1"/>
  <c r="S137" i="1" s="1"/>
  <c r="T127" i="1"/>
  <c r="U127" i="1" s="1"/>
  <c r="S127" i="1" s="1"/>
  <c r="AA124" i="1"/>
  <c r="AG118" i="1"/>
  <c r="U118" i="1" s="1"/>
  <c r="S118" i="1" s="1"/>
  <c r="AA97" i="1"/>
  <c r="AI50" i="1"/>
  <c r="AA49" i="1"/>
  <c r="T49" i="1"/>
  <c r="AG46" i="1"/>
  <c r="AA130" i="1"/>
  <c r="AA122" i="1"/>
  <c r="AA114" i="1"/>
  <c r="AA107" i="1"/>
  <c r="AA99" i="1"/>
  <c r="AG95" i="1"/>
  <c r="U95" i="1" s="1"/>
  <c r="S95" i="1" s="1"/>
  <c r="AG91" i="1"/>
  <c r="U91" i="1" s="1"/>
  <c r="S91" i="1" s="1"/>
  <c r="AG87" i="1"/>
  <c r="U87" i="1" s="1"/>
  <c r="S87" i="1" s="1"/>
  <c r="AG84" i="1"/>
  <c r="AI84" i="1" s="1"/>
  <c r="AG82" i="1"/>
  <c r="AG80" i="1"/>
  <c r="AA78" i="1"/>
  <c r="AG76" i="1"/>
  <c r="AI76" i="1" s="1"/>
  <c r="AA74" i="1"/>
  <c r="AG72" i="1"/>
  <c r="AI72" i="1" s="1"/>
  <c r="AA71" i="1"/>
  <c r="AG69" i="1"/>
  <c r="AI69" i="1" s="1"/>
  <c r="AA65" i="1"/>
  <c r="AG63" i="1"/>
  <c r="AI63" i="1" s="1"/>
  <c r="AA61" i="1"/>
  <c r="AG59" i="1"/>
  <c r="AI59" i="1" s="1"/>
  <c r="AG56" i="1"/>
  <c r="AI56" i="1" s="1"/>
  <c r="T50" i="1"/>
  <c r="U50" i="1" s="1"/>
  <c r="S50" i="1" s="1"/>
  <c r="T42" i="1"/>
  <c r="U42" i="1" s="1"/>
  <c r="S42" i="1" s="1"/>
  <c r="AG40" i="1"/>
  <c r="AI40" i="1" s="1"/>
  <c r="AA35" i="1"/>
  <c r="AG32" i="1"/>
  <c r="U32" i="1" s="1"/>
  <c r="S32" i="1" s="1"/>
  <c r="AA29" i="1"/>
  <c r="T29" i="1"/>
  <c r="AG26" i="1"/>
  <c r="AA24" i="1"/>
  <c r="AA23" i="1"/>
  <c r="AA22" i="1"/>
  <c r="W22" i="1" s="1"/>
  <c r="AG21" i="1"/>
  <c r="AI21" i="1" s="1"/>
  <c r="AG17" i="1"/>
  <c r="W17" i="1" s="1"/>
  <c r="AA102" i="1"/>
  <c r="AA101" i="1"/>
  <c r="AG54" i="1"/>
  <c r="AG49" i="1"/>
  <c r="AI49" i="1" s="1"/>
  <c r="AA45" i="1"/>
  <c r="AA37" i="1"/>
  <c r="U22" i="1"/>
  <c r="S22" i="1" s="1"/>
  <c r="AA111" i="1"/>
  <c r="AA103" i="1"/>
  <c r="AA95" i="1"/>
  <c r="AA94" i="1"/>
  <c r="W94" i="1" s="1"/>
  <c r="AA91" i="1"/>
  <c r="AA90" i="1"/>
  <c r="W90" i="1" s="1"/>
  <c r="AA87" i="1"/>
  <c r="AA86" i="1"/>
  <c r="W86" i="1" s="1"/>
  <c r="AA83" i="1"/>
  <c r="W83" i="1" s="1"/>
  <c r="T83" i="1"/>
  <c r="U83" i="1" s="1"/>
  <c r="S83" i="1" s="1"/>
  <c r="AA40" i="1"/>
  <c r="AA39" i="1"/>
  <c r="AA32" i="1"/>
  <c r="AA31" i="1"/>
  <c r="AA30" i="1"/>
  <c r="AG29" i="1"/>
  <c r="AI29" i="1" s="1"/>
  <c r="AA21" i="1"/>
  <c r="AI184" i="1"/>
  <c r="S49" i="3"/>
  <c r="AG218" i="1"/>
  <c r="AI218" i="1" s="1"/>
  <c r="AG202" i="1"/>
  <c r="AG198" i="1"/>
  <c r="AG194" i="1"/>
  <c r="AG190" i="1"/>
  <c r="AG186" i="1"/>
  <c r="AG182" i="1"/>
  <c r="AI182" i="1" s="1"/>
  <c r="AG178" i="1"/>
  <c r="AI178" i="1" s="1"/>
  <c r="AG174" i="1"/>
  <c r="AI174" i="1" s="1"/>
  <c r="AG170" i="1"/>
  <c r="T167" i="1"/>
  <c r="U167" i="1" s="1"/>
  <c r="S167" i="1" s="1"/>
  <c r="T165" i="1"/>
  <c r="AG165" i="1"/>
  <c r="AI155" i="1"/>
  <c r="AI199" i="1"/>
  <c r="AI195" i="1"/>
  <c r="AI167" i="1"/>
  <c r="W222" i="1"/>
  <c r="T151" i="1"/>
  <c r="T148" i="1"/>
  <c r="AA142" i="1"/>
  <c r="AI94" i="1"/>
  <c r="AI90" i="1"/>
  <c r="AI86" i="1"/>
  <c r="AG161" i="1"/>
  <c r="AG157" i="1"/>
  <c r="AG220" i="1"/>
  <c r="AG212" i="1"/>
  <c r="AI212" i="1" s="1"/>
  <c r="AG208" i="1"/>
  <c r="AG204" i="1"/>
  <c r="AG153" i="1"/>
  <c r="AG148" i="1"/>
  <c r="T145" i="1"/>
  <c r="AG145" i="1"/>
  <c r="T141" i="1"/>
  <c r="AG141" i="1"/>
  <c r="T140" i="1"/>
  <c r="AG140" i="1"/>
  <c r="U121" i="1"/>
  <c r="S121" i="1" s="1"/>
  <c r="AA148" i="1"/>
  <c r="AI137" i="1"/>
  <c r="T136" i="1"/>
  <c r="AG136" i="1"/>
  <c r="AG132" i="1"/>
  <c r="AG128" i="1"/>
  <c r="AG124" i="1"/>
  <c r="AG120" i="1"/>
  <c r="AG116" i="1"/>
  <c r="AG109" i="1"/>
  <c r="AG105" i="1"/>
  <c r="AG101" i="1"/>
  <c r="T94" i="1"/>
  <c r="U94" i="1" s="1"/>
  <c r="S94" i="1" s="1"/>
  <c r="T90" i="1"/>
  <c r="U90" i="1" s="1"/>
  <c r="S90" i="1" s="1"/>
  <c r="T86" i="1"/>
  <c r="U86" i="1" s="1"/>
  <c r="S86" i="1" s="1"/>
  <c r="AI83" i="1"/>
  <c r="AA85" i="1"/>
  <c r="T81" i="1"/>
  <c r="AG81" i="1"/>
  <c r="AI66" i="1"/>
  <c r="AI55" i="1"/>
  <c r="T85" i="1"/>
  <c r="AG85" i="1"/>
  <c r="T51" i="1"/>
  <c r="AG51" i="1"/>
  <c r="AG77" i="1"/>
  <c r="AG73" i="1"/>
  <c r="AG70" i="1"/>
  <c r="AG64" i="1"/>
  <c r="AG60" i="1"/>
  <c r="AG57" i="1"/>
  <c r="AG53" i="1"/>
  <c r="T52" i="1"/>
  <c r="U52" i="1" s="1"/>
  <c r="S52" i="1" s="1"/>
  <c r="AG15" i="1"/>
  <c r="AG47" i="1"/>
  <c r="AG43" i="1"/>
  <c r="AG39" i="1"/>
  <c r="AG35" i="1"/>
  <c r="AG31" i="1"/>
  <c r="AG27" i="1"/>
  <c r="AG23" i="1"/>
  <c r="AG19" i="1"/>
  <c r="AG14" i="1"/>
  <c r="AD21" i="3"/>
  <c r="Y23" i="3"/>
  <c r="Y49" i="3"/>
  <c r="Y44" i="3"/>
  <c r="Y27" i="3"/>
  <c r="Y34" i="3"/>
  <c r="Y12" i="3"/>
  <c r="Y25" i="3"/>
  <c r="Y20" i="3"/>
  <c r="Y24" i="3"/>
  <c r="Y36" i="3"/>
  <c r="Y30" i="3"/>
  <c r="Y22" i="3"/>
  <c r="Y28" i="3"/>
  <c r="Y8" i="3"/>
  <c r="AD33" i="3"/>
  <c r="AD35" i="3"/>
  <c r="AD51" i="3"/>
  <c r="AD15" i="3"/>
  <c r="AD24" i="3"/>
  <c r="AD12" i="3"/>
  <c r="AD42" i="3"/>
  <c r="AD20" i="3"/>
  <c r="AD39" i="3"/>
  <c r="AD23" i="3"/>
  <c r="AD44" i="3"/>
  <c r="AD11" i="3"/>
  <c r="AD41" i="3"/>
  <c r="AD9" i="3"/>
  <c r="AD32" i="3"/>
  <c r="AD49" i="3"/>
  <c r="AD10" i="3"/>
  <c r="AD48" i="3"/>
  <c r="AD29" i="3"/>
  <c r="AD18" i="3"/>
  <c r="AD14" i="3"/>
  <c r="AC14" i="3"/>
  <c r="AD8" i="3"/>
  <c r="AD45" i="3"/>
  <c r="AD36" i="3"/>
  <c r="AD43" i="3"/>
  <c r="AD47" i="3"/>
  <c r="AD50" i="3"/>
  <c r="AD17" i="3"/>
  <c r="AD22" i="3"/>
  <c r="AD34" i="3"/>
  <c r="AD31" i="3"/>
  <c r="AD13" i="3"/>
  <c r="AD30" i="3"/>
  <c r="AD28" i="3"/>
  <c r="AD19" i="3"/>
  <c r="AD46" i="3"/>
  <c r="AD27" i="3"/>
  <c r="AD7" i="3"/>
  <c r="AD40" i="3"/>
  <c r="AD37" i="3"/>
  <c r="AD38" i="3"/>
  <c r="Y43" i="3"/>
  <c r="Y48" i="3"/>
  <c r="Y51" i="3"/>
  <c r="Y7" i="3"/>
  <c r="Y29" i="3"/>
  <c r="Y50" i="3"/>
  <c r="Y42" i="3"/>
  <c r="Y17" i="3"/>
  <c r="Y16" i="3"/>
  <c r="Y14" i="3"/>
  <c r="Y46" i="3"/>
  <c r="Y11" i="3"/>
  <c r="Y45" i="3"/>
  <c r="Y37" i="3"/>
  <c r="Y10" i="3"/>
  <c r="Y21" i="3"/>
  <c r="W198" i="1" l="1"/>
  <c r="AI158" i="1"/>
  <c r="W57" i="1"/>
  <c r="W140" i="1"/>
  <c r="W216" i="1"/>
  <c r="U171" i="1"/>
  <c r="S171" i="1" s="1"/>
  <c r="U61" i="1"/>
  <c r="S61" i="1" s="1"/>
  <c r="W151" i="1"/>
  <c r="AI25" i="1"/>
  <c r="U209" i="1"/>
  <c r="S209" i="1" s="1"/>
  <c r="W78" i="1"/>
  <c r="AI41" i="1"/>
  <c r="U75" i="1"/>
  <c r="S75" i="1" s="1"/>
  <c r="W213" i="1"/>
  <c r="W20" i="1"/>
  <c r="AI130" i="1"/>
  <c r="U151" i="1"/>
  <c r="S151" i="1" s="1"/>
  <c r="AI187" i="1"/>
  <c r="W207" i="1"/>
  <c r="AI20" i="1"/>
  <c r="U78" i="1"/>
  <c r="S78" i="1" s="1"/>
  <c r="AI129" i="1"/>
  <c r="U98" i="1"/>
  <c r="S98" i="1" s="1"/>
  <c r="U180" i="1"/>
  <c r="S180" i="1" s="1"/>
  <c r="W65" i="1"/>
  <c r="W129" i="1"/>
  <c r="U164" i="1"/>
  <c r="S164" i="1" s="1"/>
  <c r="U191" i="1"/>
  <c r="S191" i="1" s="1"/>
  <c r="U196" i="1"/>
  <c r="S196" i="1" s="1"/>
  <c r="U58" i="1"/>
  <c r="S58" i="1" s="1"/>
  <c r="AI61" i="1"/>
  <c r="U96" i="1"/>
  <c r="S96" i="1" s="1"/>
  <c r="U84" i="1"/>
  <c r="S84" i="1" s="1"/>
  <c r="W202" i="1"/>
  <c r="AI179" i="1"/>
  <c r="W114" i="1"/>
  <c r="U176" i="1"/>
  <c r="S176" i="1" s="1"/>
  <c r="U115" i="1"/>
  <c r="S115" i="1" s="1"/>
  <c r="U125" i="1"/>
  <c r="S125" i="1" s="1"/>
  <c r="U154" i="1"/>
  <c r="S154" i="1" s="1"/>
  <c r="U40" i="1"/>
  <c r="S40" i="1" s="1"/>
  <c r="U16" i="1"/>
  <c r="S16" i="1" s="1"/>
  <c r="U59" i="1"/>
  <c r="S59" i="1" s="1"/>
  <c r="W101" i="1"/>
  <c r="AI191" i="1"/>
  <c r="U79" i="1"/>
  <c r="S79" i="1" s="1"/>
  <c r="U175" i="1"/>
  <c r="S175" i="1" s="1"/>
  <c r="AI58" i="1"/>
  <c r="W16" i="1"/>
  <c r="U188" i="1"/>
  <c r="S188" i="1" s="1"/>
  <c r="W35" i="1"/>
  <c r="U100" i="1"/>
  <c r="S100" i="1" s="1"/>
  <c r="U76" i="1"/>
  <c r="S76" i="1" s="1"/>
  <c r="W132" i="1"/>
  <c r="W141" i="1"/>
  <c r="U159" i="1"/>
  <c r="S159" i="1" s="1"/>
  <c r="W122" i="1"/>
  <c r="U150" i="1"/>
  <c r="S150" i="1" s="1"/>
  <c r="W217" i="1"/>
  <c r="W77" i="1"/>
  <c r="U88" i="1"/>
  <c r="S88" i="1" s="1"/>
  <c r="W204" i="1"/>
  <c r="AI188" i="1"/>
  <c r="W71" i="1"/>
  <c r="W154" i="1"/>
  <c r="U111" i="1"/>
  <c r="S111" i="1" s="1"/>
  <c r="W115" i="1"/>
  <c r="U134" i="1"/>
  <c r="S134" i="1" s="1"/>
  <c r="W191" i="1"/>
  <c r="U217" i="1"/>
  <c r="S217" i="1" s="1"/>
  <c r="W138" i="1"/>
  <c r="W196" i="1"/>
  <c r="W164" i="1"/>
  <c r="W160" i="1"/>
  <c r="W91" i="1"/>
  <c r="W103" i="1"/>
  <c r="AI89" i="1"/>
  <c r="AI213" i="1"/>
  <c r="W130" i="1"/>
  <c r="W205" i="1"/>
  <c r="U138" i="1"/>
  <c r="S138" i="1" s="1"/>
  <c r="U166" i="1"/>
  <c r="S166" i="1" s="1"/>
  <c r="W58" i="1"/>
  <c r="W88" i="1"/>
  <c r="U69" i="1"/>
  <c r="S69" i="1" s="1"/>
  <c r="U114" i="1"/>
  <c r="S114" i="1" s="1"/>
  <c r="W111" i="1"/>
  <c r="U82" i="1"/>
  <c r="S82" i="1" s="1"/>
  <c r="U49" i="1"/>
  <c r="S49" i="1" s="1"/>
  <c r="AI115" i="1"/>
  <c r="W117" i="1"/>
  <c r="U123" i="1"/>
  <c r="S123" i="1" s="1"/>
  <c r="AI79" i="1"/>
  <c r="AI122" i="1"/>
  <c r="W136" i="1"/>
  <c r="W95" i="1"/>
  <c r="W112" i="1"/>
  <c r="U71" i="1"/>
  <c r="S71" i="1" s="1"/>
  <c r="W96" i="1"/>
  <c r="U74" i="1"/>
  <c r="S74" i="1" s="1"/>
  <c r="W100" i="1"/>
  <c r="W105" i="1"/>
  <c r="W116" i="1"/>
  <c r="AI134" i="1"/>
  <c r="AI30" i="1"/>
  <c r="W75" i="1"/>
  <c r="W48" i="1"/>
  <c r="AI28" i="1"/>
  <c r="U44" i="1"/>
  <c r="S44" i="1" s="1"/>
  <c r="AI82" i="1"/>
  <c r="AI166" i="1"/>
  <c r="W142" i="1"/>
  <c r="W162" i="1"/>
  <c r="W170" i="1"/>
  <c r="U216" i="1"/>
  <c r="S216" i="1" s="1"/>
  <c r="W221" i="1"/>
  <c r="W166" i="1"/>
  <c r="U142" i="1"/>
  <c r="S142" i="1" s="1"/>
  <c r="W172" i="1"/>
  <c r="W127" i="1"/>
  <c r="U172" i="1"/>
  <c r="S172" i="1" s="1"/>
  <c r="U92" i="1"/>
  <c r="S92" i="1" s="1"/>
  <c r="U207" i="1"/>
  <c r="S207" i="1" s="1"/>
  <c r="W36" i="1"/>
  <c r="W107" i="1"/>
  <c r="W156" i="1"/>
  <c r="W171" i="1"/>
  <c r="W89" i="1"/>
  <c r="W125" i="1"/>
  <c r="W25" i="1"/>
  <c r="W158" i="1"/>
  <c r="U65" i="1"/>
  <c r="S65" i="1" s="1"/>
  <c r="AI65" i="1"/>
  <c r="W70" i="1"/>
  <c r="U56" i="1"/>
  <c r="S56" i="1" s="1"/>
  <c r="W81" i="1"/>
  <c r="AI95" i="1"/>
  <c r="W109" i="1"/>
  <c r="AI118" i="1"/>
  <c r="W157" i="1"/>
  <c r="AI196" i="1"/>
  <c r="U108" i="1"/>
  <c r="S108" i="1" s="1"/>
  <c r="W54" i="1"/>
  <c r="W46" i="1"/>
  <c r="W97" i="1"/>
  <c r="W131" i="1"/>
  <c r="W209" i="1"/>
  <c r="U221" i="1"/>
  <c r="S221" i="1" s="1"/>
  <c r="U156" i="1"/>
  <c r="S156" i="1" s="1"/>
  <c r="W180" i="1"/>
  <c r="W38" i="1"/>
  <c r="W82" i="1"/>
  <c r="W121" i="1"/>
  <c r="U33" i="1"/>
  <c r="S33" i="1" s="1"/>
  <c r="U99" i="1"/>
  <c r="S99" i="1" s="1"/>
  <c r="W188" i="1"/>
  <c r="W200" i="1"/>
  <c r="W53" i="1"/>
  <c r="AI106" i="1"/>
  <c r="AI107" i="1"/>
  <c r="U205" i="1"/>
  <c r="S205" i="1" s="1"/>
  <c r="U152" i="1"/>
  <c r="S152" i="1" s="1"/>
  <c r="W159" i="1"/>
  <c r="U200" i="1"/>
  <c r="S200" i="1" s="1"/>
  <c r="AI205" i="1"/>
  <c r="U34" i="1"/>
  <c r="S34" i="1" s="1"/>
  <c r="W102" i="1"/>
  <c r="W99" i="1"/>
  <c r="W150" i="1"/>
  <c r="W106" i="1"/>
  <c r="U162" i="1"/>
  <c r="S162" i="1" s="1"/>
  <c r="AI32" i="1"/>
  <c r="AI121" i="1"/>
  <c r="AI133" i="1"/>
  <c r="AI87" i="1"/>
  <c r="AI126" i="1"/>
  <c r="AI170" i="1"/>
  <c r="W165" i="1"/>
  <c r="W87" i="1"/>
  <c r="AI38" i="1"/>
  <c r="U21" i="1"/>
  <c r="S21" i="1" s="1"/>
  <c r="U38" i="1"/>
  <c r="S38" i="1" s="1"/>
  <c r="W28" i="1"/>
  <c r="U37" i="1"/>
  <c r="S37" i="1" s="1"/>
  <c r="U36" i="1"/>
  <c r="S36" i="1" s="1"/>
  <c r="AI102" i="1"/>
  <c r="AI99" i="1"/>
  <c r="W120" i="1"/>
  <c r="W220" i="1"/>
  <c r="AI200" i="1"/>
  <c r="W45" i="1"/>
  <c r="U45" i="1"/>
  <c r="S45" i="1" s="1"/>
  <c r="W133" i="1"/>
  <c r="U213" i="1"/>
  <c r="S213" i="1" s="1"/>
  <c r="U163" i="1"/>
  <c r="S163" i="1" s="1"/>
  <c r="U113" i="1"/>
  <c r="S113" i="1" s="1"/>
  <c r="AI33" i="1"/>
  <c r="W64" i="1"/>
  <c r="W37" i="1"/>
  <c r="W41" i="1"/>
  <c r="U48" i="1"/>
  <c r="S48" i="1" s="1"/>
  <c r="U24" i="1"/>
  <c r="S24" i="1" s="1"/>
  <c r="W62" i="1"/>
  <c r="U29" i="1"/>
  <c r="S29" i="1" s="1"/>
  <c r="AI37" i="1"/>
  <c r="W30" i="1"/>
  <c r="W40" i="1"/>
  <c r="W44" i="1"/>
  <c r="W33" i="1"/>
  <c r="AI123" i="1"/>
  <c r="W163" i="1"/>
  <c r="W123" i="1"/>
  <c r="W108" i="1"/>
  <c r="W223" i="1"/>
  <c r="AI91" i="1"/>
  <c r="AI111" i="1"/>
  <c r="W124" i="1"/>
  <c r="AI93" i="1"/>
  <c r="W24" i="1"/>
  <c r="AI24" i="1"/>
  <c r="U62" i="1"/>
  <c r="S62" i="1" s="1"/>
  <c r="U72" i="1"/>
  <c r="S72" i="1" s="1"/>
  <c r="AI110" i="1"/>
  <c r="AI117" i="1"/>
  <c r="U192" i="1"/>
  <c r="S192" i="1" s="1"/>
  <c r="W61" i="1"/>
  <c r="W175" i="1"/>
  <c r="W176" i="1"/>
  <c r="W113" i="1"/>
  <c r="AI54" i="1"/>
  <c r="AI74" i="1"/>
  <c r="U54" i="1"/>
  <c r="S54" i="1" s="1"/>
  <c r="U63" i="1"/>
  <c r="S63" i="1" s="1"/>
  <c r="AI113" i="1"/>
  <c r="W128" i="1"/>
  <c r="W208" i="1"/>
  <c r="W194" i="1"/>
  <c r="W110" i="1"/>
  <c r="W74" i="1"/>
  <c r="W179" i="1"/>
  <c r="W192" i="1"/>
  <c r="W21" i="1"/>
  <c r="W32" i="1"/>
  <c r="W212" i="1"/>
  <c r="W137" i="1"/>
  <c r="W134" i="1"/>
  <c r="W219" i="1"/>
  <c r="W93" i="1"/>
  <c r="W34" i="1"/>
  <c r="AI208" i="1"/>
  <c r="U26" i="1"/>
  <c r="S26" i="1" s="1"/>
  <c r="AI26" i="1"/>
  <c r="U80" i="1"/>
  <c r="S80" i="1" s="1"/>
  <c r="AI80" i="1"/>
  <c r="U104" i="1"/>
  <c r="S104" i="1" s="1"/>
  <c r="AI104" i="1"/>
  <c r="AI204" i="1"/>
  <c r="W49" i="1"/>
  <c r="W104" i="1"/>
  <c r="U112" i="1"/>
  <c r="S112" i="1" s="1"/>
  <c r="AI112" i="1"/>
  <c r="U131" i="1"/>
  <c r="S131" i="1" s="1"/>
  <c r="AI131" i="1"/>
  <c r="W152" i="1"/>
  <c r="U160" i="1"/>
  <c r="S160" i="1" s="1"/>
  <c r="AI160" i="1"/>
  <c r="AI220" i="1"/>
  <c r="U17" i="1"/>
  <c r="S17" i="1" s="1"/>
  <c r="AI17" i="1"/>
  <c r="W29" i="1"/>
  <c r="W26" i="1"/>
  <c r="W59" i="1"/>
  <c r="W56" i="1"/>
  <c r="U103" i="1"/>
  <c r="S103" i="1" s="1"/>
  <c r="W63" i="1"/>
  <c r="U46" i="1"/>
  <c r="S46" i="1" s="1"/>
  <c r="AI46" i="1"/>
  <c r="W84" i="1"/>
  <c r="W76" i="1"/>
  <c r="W72" i="1"/>
  <c r="W118" i="1"/>
  <c r="W69" i="1"/>
  <c r="W126" i="1"/>
  <c r="W80" i="1"/>
  <c r="AI14" i="1"/>
  <c r="U14" i="1"/>
  <c r="S14" i="1" s="1"/>
  <c r="AI23" i="1"/>
  <c r="U23" i="1"/>
  <c r="S23" i="1" s="1"/>
  <c r="AI31" i="1"/>
  <c r="U31" i="1"/>
  <c r="S31" i="1" s="1"/>
  <c r="AI43" i="1"/>
  <c r="U43" i="1"/>
  <c r="S43" i="1" s="1"/>
  <c r="AI15" i="1"/>
  <c r="U15" i="1"/>
  <c r="S15" i="1" s="1"/>
  <c r="AI153" i="1"/>
  <c r="U153" i="1"/>
  <c r="S153" i="1" s="1"/>
  <c r="W14" i="1"/>
  <c r="U81" i="1"/>
  <c r="S81" i="1" s="1"/>
  <c r="AI81" i="1"/>
  <c r="U145" i="1"/>
  <c r="S145" i="1" s="1"/>
  <c r="AI145" i="1"/>
  <c r="U148" i="1"/>
  <c r="S148" i="1" s="1"/>
  <c r="AI148" i="1"/>
  <c r="AI165" i="1"/>
  <c r="U212" i="1"/>
  <c r="S212" i="1" s="1"/>
  <c r="AI190" i="1"/>
  <c r="U174" i="1"/>
  <c r="S174" i="1" s="1"/>
  <c r="AI198" i="1"/>
  <c r="U182" i="1"/>
  <c r="S182" i="1" s="1"/>
  <c r="AI207" i="1"/>
  <c r="U190" i="1"/>
  <c r="S190" i="1" s="1"/>
  <c r="AI215" i="1"/>
  <c r="U198" i="1"/>
  <c r="S198" i="1" s="1"/>
  <c r="AI223" i="1"/>
  <c r="U218" i="1"/>
  <c r="S218" i="1" s="1"/>
  <c r="W182" i="1"/>
  <c r="AI35" i="1"/>
  <c r="U35" i="1"/>
  <c r="S35" i="1" s="1"/>
  <c r="U73" i="1"/>
  <c r="S73" i="1" s="1"/>
  <c r="AI73" i="1"/>
  <c r="U51" i="1"/>
  <c r="S51" i="1" s="1"/>
  <c r="W51" i="1"/>
  <c r="AI51" i="1"/>
  <c r="AI85" i="1"/>
  <c r="U85" i="1"/>
  <c r="S85" i="1" s="1"/>
  <c r="AI140" i="1"/>
  <c r="U140" i="1"/>
  <c r="S140" i="1" s="1"/>
  <c r="AI157" i="1"/>
  <c r="U204" i="1"/>
  <c r="S204" i="1" s="1"/>
  <c r="AI173" i="1"/>
  <c r="U157" i="1"/>
  <c r="S157" i="1" s="1"/>
  <c r="AI186" i="1"/>
  <c r="U170" i="1"/>
  <c r="S170" i="1" s="1"/>
  <c r="AI194" i="1"/>
  <c r="U178" i="1"/>
  <c r="S178" i="1" s="1"/>
  <c r="AI202" i="1"/>
  <c r="U186" i="1"/>
  <c r="S186" i="1" s="1"/>
  <c r="AI211" i="1"/>
  <c r="U194" i="1"/>
  <c r="S194" i="1" s="1"/>
  <c r="AI219" i="1"/>
  <c r="U202" i="1"/>
  <c r="S202" i="1" s="1"/>
  <c r="W186" i="1"/>
  <c r="AI19" i="1"/>
  <c r="U19" i="1"/>
  <c r="S19" i="1" s="1"/>
  <c r="AI27" i="1"/>
  <c r="U27" i="1"/>
  <c r="S27" i="1" s="1"/>
  <c r="AI39" i="1"/>
  <c r="U39" i="1"/>
  <c r="S39" i="1" s="1"/>
  <c r="AI47" i="1"/>
  <c r="U47" i="1"/>
  <c r="S47" i="1" s="1"/>
  <c r="W31" i="1"/>
  <c r="W47" i="1"/>
  <c r="W15" i="1"/>
  <c r="U57" i="1"/>
  <c r="S57" i="1" s="1"/>
  <c r="AI57" i="1"/>
  <c r="U64" i="1"/>
  <c r="S64" i="1" s="1"/>
  <c r="AI64" i="1"/>
  <c r="W19" i="1"/>
  <c r="W85" i="1"/>
  <c r="AI136" i="1"/>
  <c r="U136" i="1"/>
  <c r="S136" i="1" s="1"/>
  <c r="AI141" i="1"/>
  <c r="U141" i="1"/>
  <c r="S141" i="1" s="1"/>
  <c r="AI169" i="1"/>
  <c r="U220" i="1"/>
  <c r="S220" i="1" s="1"/>
  <c r="AI181" i="1"/>
  <c r="U165" i="1"/>
  <c r="S165" i="1" s="1"/>
  <c r="W23" i="1"/>
  <c r="W43" i="1"/>
  <c r="W27" i="1"/>
  <c r="W39" i="1"/>
  <c r="U53" i="1"/>
  <c r="S53" i="1" s="1"/>
  <c r="AI53" i="1"/>
  <c r="U60" i="1"/>
  <c r="S60" i="1" s="1"/>
  <c r="AI60" i="1"/>
  <c r="U70" i="1"/>
  <c r="S70" i="1" s="1"/>
  <c r="AI70" i="1"/>
  <c r="U77" i="1"/>
  <c r="S77" i="1" s="1"/>
  <c r="AI77" i="1"/>
  <c r="W60" i="1"/>
  <c r="W73" i="1"/>
  <c r="AI101" i="1"/>
  <c r="U101" i="1"/>
  <c r="S101" i="1" s="1"/>
  <c r="AI105" i="1"/>
  <c r="U105" i="1"/>
  <c r="S105" i="1" s="1"/>
  <c r="AI109" i="1"/>
  <c r="U109" i="1"/>
  <c r="S109" i="1" s="1"/>
  <c r="AI116" i="1"/>
  <c r="U116" i="1"/>
  <c r="S116" i="1" s="1"/>
  <c r="AI120" i="1"/>
  <c r="U120" i="1"/>
  <c r="S120" i="1" s="1"/>
  <c r="AI124" i="1"/>
  <c r="U124" i="1"/>
  <c r="S124" i="1" s="1"/>
  <c r="AI128" i="1"/>
  <c r="U128" i="1"/>
  <c r="S128" i="1" s="1"/>
  <c r="AI132" i="1"/>
  <c r="U132" i="1"/>
  <c r="S132" i="1" s="1"/>
  <c r="W148" i="1"/>
  <c r="AI161" i="1"/>
  <c r="U208" i="1"/>
  <c r="S208" i="1" s="1"/>
  <c r="AI177" i="1"/>
  <c r="U161" i="1"/>
  <c r="S161" i="1" s="1"/>
  <c r="W145" i="1"/>
  <c r="W153" i="1"/>
  <c r="W161" i="1"/>
  <c r="W174" i="1"/>
  <c r="W178" i="1"/>
  <c r="W190" i="1"/>
  <c r="W218" i="1"/>
  <c r="K13" i="1"/>
  <c r="L13" i="1"/>
  <c r="M13" i="1"/>
  <c r="N13" i="1" s="1"/>
  <c r="V13" i="1"/>
  <c r="Y13" i="1"/>
  <c r="Z13" i="1"/>
  <c r="AB13" i="1"/>
  <c r="AC13" i="1"/>
  <c r="AD13" i="1"/>
  <c r="AE13" i="1"/>
  <c r="AF13" i="1"/>
  <c r="T13" i="1" l="1"/>
  <c r="X13" i="1"/>
  <c r="X14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111" i="9"/>
  <c r="C74" i="9"/>
  <c r="C110" i="9"/>
  <c r="C77" i="9"/>
  <c r="C78" i="9"/>
  <c r="C79" i="9"/>
  <c r="C45" i="9"/>
  <c r="C70" i="9"/>
  <c r="C68" i="9"/>
  <c r="C44" i="9"/>
  <c r="C61" i="9"/>
  <c r="C71" i="9"/>
  <c r="C73" i="9"/>
  <c r="C113" i="9"/>
  <c r="C42" i="9"/>
  <c r="C57" i="9"/>
  <c r="C101" i="9"/>
  <c r="C103" i="9"/>
  <c r="C51" i="9"/>
  <c r="C10" i="9"/>
  <c r="C90" i="9"/>
  <c r="C46" i="9"/>
  <c r="C62" i="9"/>
  <c r="C98" i="9"/>
  <c r="C15" i="9"/>
  <c r="C30" i="9"/>
  <c r="C16" i="9"/>
  <c r="C29" i="9"/>
  <c r="C84" i="9"/>
  <c r="C92" i="9"/>
  <c r="C88" i="9"/>
  <c r="C85" i="9"/>
  <c r="C86" i="9"/>
  <c r="C95" i="9"/>
  <c r="C108" i="9"/>
  <c r="C12" i="9"/>
  <c r="C37" i="9"/>
  <c r="C36" i="9"/>
  <c r="C39" i="9"/>
  <c r="C13" i="9"/>
  <c r="C104" i="9"/>
  <c r="C106" i="9"/>
  <c r="C25" i="9" l="1"/>
  <c r="C19" i="9"/>
  <c r="C67" i="9"/>
  <c r="C59" i="9"/>
  <c r="C54" i="9"/>
  <c r="C22" i="9"/>
  <c r="C17" i="9"/>
  <c r="C75" i="9"/>
  <c r="C18" i="9"/>
  <c r="C20" i="9"/>
  <c r="C34" i="9"/>
  <c r="C87" i="9"/>
  <c r="C99" i="9"/>
  <c r="C52" i="9"/>
  <c r="C69" i="9"/>
  <c r="C55" i="9"/>
  <c r="C8" i="9"/>
  <c r="C9" i="9"/>
  <c r="C65" i="9"/>
  <c r="C80" i="9"/>
  <c r="C38" i="9"/>
  <c r="C96" i="9"/>
  <c r="C107" i="9"/>
  <c r="C83" i="9"/>
  <c r="C97" i="9"/>
  <c r="C47" i="9"/>
  <c r="C89" i="9"/>
  <c r="C66" i="9"/>
  <c r="C58" i="9"/>
  <c r="C112" i="9"/>
  <c r="C60" i="9"/>
  <c r="C76" i="9"/>
  <c r="C31" i="9"/>
  <c r="C32" i="9"/>
  <c r="C5" i="9"/>
  <c r="C6" i="9"/>
  <c r="C27" i="9"/>
  <c r="C105" i="9"/>
  <c r="C35" i="9"/>
  <c r="C14" i="9"/>
  <c r="C93" i="9"/>
  <c r="C91" i="9"/>
  <c r="C94" i="9"/>
  <c r="C28" i="9"/>
  <c r="C100" i="9"/>
  <c r="C63" i="9"/>
  <c r="C11" i="9"/>
  <c r="C53" i="9"/>
  <c r="C102" i="9"/>
  <c r="C40" i="9"/>
  <c r="C41" i="9"/>
  <c r="C72" i="9"/>
  <c r="C43" i="9"/>
  <c r="C109" i="9"/>
  <c r="C56" i="9"/>
  <c r="C2" i="9"/>
  <c r="C3" i="9"/>
  <c r="C49" i="9"/>
  <c r="C21" i="9"/>
  <c r="C23" i="9"/>
  <c r="C81" i="9"/>
  <c r="W13" i="1"/>
  <c r="AI13" i="1"/>
  <c r="U13" i="1"/>
  <c r="S13" i="1" s="1"/>
  <c r="R26" i="3"/>
  <c r="M26" i="3"/>
  <c r="N26" i="3"/>
  <c r="S26" i="3"/>
  <c r="U26" i="3"/>
  <c r="V26" i="3"/>
  <c r="W26" i="3"/>
  <c r="X26" i="3"/>
  <c r="AD16" i="3" l="1"/>
  <c r="AD26" i="3"/>
  <c r="AC26" i="3"/>
  <c r="Y26" i="3"/>
  <c r="AD25" i="3"/>
  <c r="T26" i="3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<sst xmlns="http://schemas.openxmlformats.org/spreadsheetml/2006/main" count="2450" uniqueCount="931">
  <si>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</si>
  <si>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</si>
  <si>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</si>
  <si>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</si>
  <si>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</si>
  <si>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</si>
  <si>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</si>
  <si>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</si>
  <si>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</si>
  <si>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</si>
  <si>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</si>
  <si>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</si>
  <si>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</si>
  <si>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</si>
  <si>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</si>
  <si>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</si>
  <si>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</si>
  <si>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</si>
  <si>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</si>
  <si>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</si>
  <si>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</si>
  <si>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</si>
  <si>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</si>
  <si>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</si>
  <si>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</si>
  <si>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</si>
  <si>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</si>
  <si>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</si>
  <si>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</si>
  <si>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</si>
  <si>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</si>
  <si>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</si>
  <si>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</si>
  <si>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</si>
  <si>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</si>
  <si>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</si>
  <si>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</si>
  <si>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</si>
  <si>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</si>
  <si>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</si>
  <si>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</si>
  <si>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</si>
  <si>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</si>
  <si>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</si>
  <si>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</si>
  <si>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</si>
  <si>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</si>
  <si>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</si>
  <si>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</si>
  <si>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</si>
  <si>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</si>
  <si>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</si>
  <si>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</si>
  <si>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</si>
  <si>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</si>
  <si>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</si>
  <si>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</si>
  <si>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</si>
  <si>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</si>
  <si>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</si>
  <si>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</si>
  <si>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</si>
  <si>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</si>
  <si>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</si>
  <si>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</si>
  <si>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</si>
  <si>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</si>
  <si>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</si>
  <si>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</si>
  <si>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</si>
  <si>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</si>
  <si>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</si>
  <si>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</si>
  <si>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</si>
  <si>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</si>
  <si>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</si>
  <si>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</si>
  <si>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</si>
  <si>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</si>
  <si>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</si>
  <si>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</si>
  <si>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</si>
  <si>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</si>
  <si>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</si>
  <si>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</si>
  <si>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</si>
  <si>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</si>
  <si>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</si>
  <si>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</si>
  <si>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</si>
  <si>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</si>
  <si>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</si>
  <si>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</si>
  <si>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</si>
  <si>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</si>
  <si>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</si>
  <si>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</si>
  <si>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</si>
  <si>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</si>
  <si>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</si>
  <si>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</si>
  <si>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</si>
  <si>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</si>
  <si>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</si>
  <si>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</si>
  <si>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</si>
  <si>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</si>
  <si>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</si>
  <si>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</si>
  <si>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</si>
  <si>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</si>
  <si>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</si>
  <si>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</si>
  <si>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</si>
  <si>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</si>
  <si>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</si>
  <si>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</si>
  <si>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</si>
  <si>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</si>
  <si>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</si>
  <si>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</si>
  <si>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</si>
  <si>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</si>
  <si>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</si>
  <si>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</si>
  <si>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</si>
  <si>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</si>
  <si>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</si>
  <si>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</si>
  <si>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</si>
  <si>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</si>
  <si>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</si>
  <si>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</si>
  <si>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</si>
  <si>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</si>
  <si>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</si>
  <si>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</si>
  <si>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</si>
  <si>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</si>
  <si>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</si>
  <si>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</si>
  <si>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</si>
  <si>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</si>
  <si>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</si>
  <si>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</si>
  <si>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</si>
  <si>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</si>
  <si>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</si>
  <si>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</si>
  <si>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</si>
  <si>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</si>
  <si>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</si>
  <si>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</si>
  <si>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</si>
  <si>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</si>
  <si>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</si>
  <si>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</si>
  <si>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</si>
  <si>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</si>
  <si>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</si>
  <si>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</si>
  <si>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</si>
  <si>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</si>
  <si>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</si>
  <si>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</si>
  <si>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</si>
  <si>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</si>
  <si>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</si>
  <si>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</si>
  <si>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</si>
  <si>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</si>
  <si>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</si>
  <si>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</si>
  <si>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</si>
  <si>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</si>
  <si>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</si>
  <si>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</si>
  <si>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</si>
  <si>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</si>
  <si>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</si>
  <si>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</si>
  <si>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</si>
  <si>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</si>
  <si>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</si>
  <si>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</si>
  <si>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</si>
  <si>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</si>
  <si>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</si>
  <si>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</si>
  <si>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</si>
  <si>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</si>
  <si>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</si>
  <si>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</si>
  <si>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</si>
  <si>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</si>
  <si>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</si>
  <si>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</si>
  <si>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</si>
  <si>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</si>
  <si>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</si>
  <si>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</si>
  <si>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</si>
  <si>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</si>
  <si>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</si>
  <si>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</si>
  <si>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</si>
  <si>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</si>
  <si>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</si>
  <si>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</si>
  <si>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</si>
  <si>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</si>
  <si>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</si>
  <si>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</si>
  <si>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</si>
  <si>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</si>
  <si>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</si>
  <si>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</si>
  <si>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</si>
  <si>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</si>
  <si>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</si>
  <si>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</si>
  <si>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</si>
  <si>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</si>
  <si>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</si>
  <si>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</si>
  <si>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</si>
  <si>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</si>
  <si>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</si>
  <si>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</si>
  <si>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</si>
  <si>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204:469</t>
  </si>
  <si>
    <t>204:233306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</si>
  <si>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</si>
  <si>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</si>
  <si>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</si>
  <si>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</si>
  <si>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</si>
  <si>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</si>
  <si>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</si>
  <si>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</si>
  <si>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</si>
  <si>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</si>
  <si>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204:438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</si>
  <si>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</si>
  <si>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</si>
  <si>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</si>
  <si>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</si>
  <si>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</si>
  <si>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</si>
  <si>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204:233303</t>
  </si>
  <si>
    <t>204:480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</si>
  <si>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</si>
  <si>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</si>
  <si>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</si>
  <si>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</si>
  <si>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</si>
  <si>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</si>
  <si>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</si>
  <si>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</si>
  <si>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</si>
  <si>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</si>
  <si>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</si>
  <si>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</si>
  <si>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</si>
  <si>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</si>
  <si>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</si>
  <si>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</si>
  <si>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</si>
  <si>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</si>
  <si>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</si>
  <si>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</si>
  <si>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</si>
  <si>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</si>
  <si>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204:232980</t>
  </si>
  <si>
    <t>204:449</t>
  </si>
  <si>
    <t>204:141</t>
  </si>
  <si>
    <t>CHANDLER</t>
  </si>
  <si>
    <t>partly-cloudy-day</t>
  </si>
  <si>
    <t>204:444</t>
  </si>
  <si>
    <t>204:232987</t>
  </si>
  <si>
    <t>204:233315</t>
  </si>
  <si>
    <t>rtdc.l.rtdc.4014:itc</t>
  </si>
  <si>
    <t>rtdc.l.rtdc.4013:itc</t>
  </si>
  <si>
    <t>204:233301</t>
  </si>
  <si>
    <t>204:232989</t>
  </si>
  <si>
    <t>204:232975</t>
  </si>
  <si>
    <t>300:58935</t>
  </si>
  <si>
    <t>CRAYTON</t>
  </si>
  <si>
    <t>ROMERO</t>
  </si>
  <si>
    <t>204:233000</t>
  </si>
  <si>
    <t>204:232994</t>
  </si>
  <si>
    <t>204:233289</t>
  </si>
  <si>
    <t>204:167</t>
  </si>
  <si>
    <t>300:58929</t>
  </si>
  <si>
    <t>300:58608</t>
  </si>
  <si>
    <t>204:233308</t>
  </si>
  <si>
    <t>rtdc.l.rtdc.4018:itc</t>
  </si>
  <si>
    <t>JOHNSON</t>
  </si>
  <si>
    <t>MCREYNOLDS</t>
  </si>
  <si>
    <t>NELSON</t>
  </si>
  <si>
    <t>PERKINS</t>
  </si>
  <si>
    <t>204:132</t>
  </si>
  <si>
    <t>204:233006</t>
  </si>
  <si>
    <t>204:440</t>
  </si>
  <si>
    <t>204:232984</t>
  </si>
  <si>
    <t>204:233288</t>
  </si>
  <si>
    <t>204:988</t>
  </si>
  <si>
    <t>300:58924</t>
  </si>
  <si>
    <t>204:724</t>
  </si>
  <si>
    <t>CLI Grep2 (for slice disagreement)</t>
  </si>
  <si>
    <t>rtdc.l.rtdc.4003:itc</t>
  </si>
  <si>
    <t>rtdc.l.rtdc.4041:itc</t>
  </si>
  <si>
    <t>rtdc.l.rtdc.4042:itc</t>
  </si>
  <si>
    <t>SAFIEF</t>
  </si>
  <si>
    <t>STARKS</t>
  </si>
  <si>
    <t>DAVIDSON</t>
  </si>
  <si>
    <t>NICHOLSON</t>
  </si>
  <si>
    <t>309-15</t>
  </si>
  <si>
    <t>243-15</t>
  </si>
  <si>
    <t>242-15</t>
  </si>
  <si>
    <t>311-15</t>
  </si>
  <si>
    <t>244-15</t>
  </si>
  <si>
    <t>313-15</t>
  </si>
  <si>
    <t>204:435</t>
  </si>
  <si>
    <t>204:233309</t>
  </si>
  <si>
    <t>204:233317</t>
  </si>
  <si>
    <t>204:232974</t>
  </si>
  <si>
    <t>204:145</t>
  </si>
  <si>
    <t>204:233017</t>
  </si>
  <si>
    <t>204:233307</t>
  </si>
  <si>
    <t>204:429</t>
  </si>
  <si>
    <t>204:232998</t>
  </si>
  <si>
    <t>204:701</t>
  </si>
  <si>
    <t>204:1011</t>
  </si>
  <si>
    <t>204:692</t>
  </si>
  <si>
    <t>300:58623</t>
  </si>
  <si>
    <t>204:985</t>
  </si>
  <si>
    <t>300:58664</t>
  </si>
  <si>
    <t>Y</t>
  </si>
  <si>
    <t>TEMPORARY SPEED RESTRICTION</t>
  </si>
  <si>
    <t>MAELZER</t>
  </si>
  <si>
    <t>STRICKLAND</t>
  </si>
  <si>
    <t>SPECTOR</t>
  </si>
  <si>
    <t>RICHARDSON</t>
  </si>
  <si>
    <t>MACDONALD</t>
  </si>
  <si>
    <t>BROWN</t>
  </si>
  <si>
    <t>CUSHING</t>
  </si>
  <si>
    <t>ADANE</t>
  </si>
  <si>
    <t>BERLING</t>
  </si>
  <si>
    <t>HILLS</t>
  </si>
  <si>
    <t>COOLAHAN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</si>
  <si>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</si>
  <si>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</si>
  <si>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</si>
  <si>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</si>
  <si>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</si>
  <si>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</si>
  <si>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</si>
  <si>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</si>
  <si>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</si>
  <si>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</si>
  <si>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</si>
  <si>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Mostly Cloudy</t>
  </si>
  <si>
    <t>partly-cloudy-night</t>
  </si>
  <si>
    <t>204:734</t>
  </si>
  <si>
    <t>204:232996</t>
  </si>
  <si>
    <t>204:741</t>
  </si>
  <si>
    <t>204:147</t>
  </si>
  <si>
    <t>204:233304</t>
  </si>
  <si>
    <t>204:232993</t>
  </si>
  <si>
    <t>204:233318</t>
  </si>
  <si>
    <t>204:170</t>
  </si>
  <si>
    <t>204:437</t>
  </si>
  <si>
    <t>204:232978</t>
  </si>
  <si>
    <t>204:467</t>
  </si>
  <si>
    <t>204:165</t>
  </si>
  <si>
    <t>204:232982</t>
  </si>
  <si>
    <t>204:493</t>
  </si>
  <si>
    <t>204:233293</t>
  </si>
  <si>
    <t>204:233314</t>
  </si>
  <si>
    <t>204:233015</t>
  </si>
  <si>
    <t>204:233349</t>
  </si>
  <si>
    <t>204:455</t>
  </si>
  <si>
    <t>204:402</t>
  </si>
  <si>
    <t>204:233009</t>
  </si>
  <si>
    <t>204:233324</t>
  </si>
  <si>
    <t>204:233300</t>
  </si>
  <si>
    <t>204:232983</t>
  </si>
  <si>
    <t>204:233002</t>
  </si>
  <si>
    <t>313-16</t>
  </si>
  <si>
    <t>204:1222</t>
  </si>
  <si>
    <t>204:3379</t>
  </si>
  <si>
    <t>315-16</t>
  </si>
  <si>
    <t>300:58673</t>
  </si>
  <si>
    <t>204:1049</t>
  </si>
  <si>
    <t>300:58954</t>
  </si>
  <si>
    <t>300:58984</t>
  </si>
  <si>
    <t>204:687</t>
  </si>
  <si>
    <t>300:58992</t>
  </si>
  <si>
    <t>300:58672</t>
  </si>
  <si>
    <t>204:736</t>
  </si>
  <si>
    <t>204:752</t>
  </si>
  <si>
    <t>204:1014</t>
  </si>
  <si>
    <t>300:58613</t>
  </si>
  <si>
    <t>300:58948</t>
  </si>
  <si>
    <t>204:748</t>
  </si>
  <si>
    <t>204:1009</t>
  </si>
  <si>
    <t>300:23262</t>
  </si>
  <si>
    <t>204:722</t>
  </si>
  <si>
    <t>300:58645</t>
  </si>
  <si>
    <t>300:58624</t>
  </si>
  <si>
    <t>104-17</t>
  </si>
  <si>
    <t>108-17</t>
  </si>
  <si>
    <t>rtdc.l.rtdc.4031:itc</t>
  </si>
  <si>
    <t>115-17</t>
  </si>
  <si>
    <t>123-17</t>
  </si>
  <si>
    <t>127-17</t>
  </si>
  <si>
    <t>118-17</t>
  </si>
  <si>
    <t>806-17</t>
  </si>
  <si>
    <t>rtdc.l.rtdc.4017:itc</t>
  </si>
  <si>
    <t>808-17</t>
  </si>
  <si>
    <t>126-17</t>
  </si>
  <si>
    <t>131-17</t>
  </si>
  <si>
    <t>810-17</t>
  </si>
  <si>
    <t>136-17</t>
  </si>
  <si>
    <t>rtdc.l.rtdc.4032:itc</t>
  </si>
  <si>
    <t>144-17</t>
  </si>
  <si>
    <t>140-17</t>
  </si>
  <si>
    <t>142-17</t>
  </si>
  <si>
    <t>157-17</t>
  </si>
  <si>
    <t>159-17</t>
  </si>
  <si>
    <t>150-17</t>
  </si>
  <si>
    <t>818-17</t>
  </si>
  <si>
    <t>154-17</t>
  </si>
  <si>
    <t>161-17</t>
  </si>
  <si>
    <t>164-17</t>
  </si>
  <si>
    <t>160-17</t>
  </si>
  <si>
    <t>168-17</t>
  </si>
  <si>
    <t>172-17</t>
  </si>
  <si>
    <t>182-17</t>
  </si>
  <si>
    <t>187-17</t>
  </si>
  <si>
    <t>195-17</t>
  </si>
  <si>
    <t>EQUIPMENT RESTRICTION</t>
  </si>
  <si>
    <t>829-17</t>
  </si>
  <si>
    <t>836-17</t>
  </si>
  <si>
    <t>841-17</t>
  </si>
  <si>
    <t>840-17</t>
  </si>
  <si>
    <t>228-17</t>
  </si>
  <si>
    <t>236-17</t>
  </si>
  <si>
    <t>238-17</t>
  </si>
  <si>
    <t>51-17</t>
  </si>
  <si>
    <t>302-17</t>
  </si>
  <si>
    <t>304-17</t>
  </si>
  <si>
    <t>101-17</t>
  </si>
  <si>
    <t>103-17</t>
  </si>
  <si>
    <t>308-17</t>
  </si>
  <si>
    <t>50-17</t>
  </si>
  <si>
    <t>107-17</t>
  </si>
  <si>
    <t>310-17</t>
  </si>
  <si>
    <t>105-17</t>
  </si>
  <si>
    <t>DE LA ROSA</t>
  </si>
  <si>
    <t>102-17</t>
  </si>
  <si>
    <t>109-17</t>
  </si>
  <si>
    <t>111-17</t>
  </si>
  <si>
    <t>800-17</t>
  </si>
  <si>
    <t>YORK</t>
  </si>
  <si>
    <t>113-17</t>
  </si>
  <si>
    <t>801-17</t>
  </si>
  <si>
    <t>110-17</t>
  </si>
  <si>
    <t>117-17</t>
  </si>
  <si>
    <t>112-17</t>
  </si>
  <si>
    <t>119-17</t>
  </si>
  <si>
    <t>902-17</t>
  </si>
  <si>
    <t>802-17</t>
  </si>
  <si>
    <t>114-17</t>
  </si>
  <si>
    <t>121-17</t>
  </si>
  <si>
    <t>803-17</t>
  </si>
  <si>
    <t>116-17</t>
  </si>
  <si>
    <t>805-17</t>
  </si>
  <si>
    <t>804-17</t>
  </si>
  <si>
    <t>125-17</t>
  </si>
  <si>
    <t>120-17</t>
  </si>
  <si>
    <t>122-17</t>
  </si>
  <si>
    <t>129-17</t>
  </si>
  <si>
    <t>807-17</t>
  </si>
  <si>
    <t>124-17</t>
  </si>
  <si>
    <t>809-17</t>
  </si>
  <si>
    <t>133-17</t>
  </si>
  <si>
    <t>128-17</t>
  </si>
  <si>
    <t>135-17</t>
  </si>
  <si>
    <t>130-17</t>
  </si>
  <si>
    <t>811-17</t>
  </si>
  <si>
    <t>137-17</t>
  </si>
  <si>
    <t>132-17</t>
  </si>
  <si>
    <t>139-17</t>
  </si>
  <si>
    <t>903-17</t>
  </si>
  <si>
    <t>812-17</t>
  </si>
  <si>
    <t>134-17</t>
  </si>
  <si>
    <t>141-17</t>
  </si>
  <si>
    <t>143-17</t>
  </si>
  <si>
    <t>813-17</t>
  </si>
  <si>
    <t>138-17</t>
  </si>
  <si>
    <t>145-17</t>
  </si>
  <si>
    <t>147-17</t>
  </si>
  <si>
    <t>814-17</t>
  </si>
  <si>
    <t>149-17</t>
  </si>
  <si>
    <t>151-17</t>
  </si>
  <si>
    <t>815-17</t>
  </si>
  <si>
    <t>146-17</t>
  </si>
  <si>
    <t>153-17</t>
  </si>
  <si>
    <t>148-17</t>
  </si>
  <si>
    <t>816-17</t>
  </si>
  <si>
    <t>152-17</t>
  </si>
  <si>
    <t>817-17</t>
  </si>
  <si>
    <t>SHOOK</t>
  </si>
  <si>
    <t>158-17</t>
  </si>
  <si>
    <t>163-17</t>
  </si>
  <si>
    <t>165-17</t>
  </si>
  <si>
    <t>LALONDE</t>
  </si>
  <si>
    <t>167-17</t>
  </si>
  <si>
    <t>819-17</t>
  </si>
  <si>
    <t>162-17</t>
  </si>
  <si>
    <t>169-17</t>
  </si>
  <si>
    <t>166-17</t>
  </si>
  <si>
    <t>820-17</t>
  </si>
  <si>
    <t>171-17</t>
  </si>
  <si>
    <t>173-17</t>
  </si>
  <si>
    <t>175-17</t>
  </si>
  <si>
    <t>821-17</t>
  </si>
  <si>
    <t>170-17</t>
  </si>
  <si>
    <t>177-17</t>
  </si>
  <si>
    <t>179-17</t>
  </si>
  <si>
    <t>174-17</t>
  </si>
  <si>
    <t>822-17</t>
  </si>
  <si>
    <t>176-17</t>
  </si>
  <si>
    <t>181-17</t>
  </si>
  <si>
    <t>183-17</t>
  </si>
  <si>
    <t>178-17</t>
  </si>
  <si>
    <t>823-17</t>
  </si>
  <si>
    <t>185-17</t>
  </si>
  <si>
    <t>180-17</t>
  </si>
  <si>
    <t>824-17</t>
  </si>
  <si>
    <t>189-17</t>
  </si>
  <si>
    <t>184-17</t>
  </si>
  <si>
    <t>191-17</t>
  </si>
  <si>
    <t>186-17</t>
  </si>
  <si>
    <t>193-17</t>
  </si>
  <si>
    <t>825-17</t>
  </si>
  <si>
    <t>188-17</t>
  </si>
  <si>
    <t>BONDS</t>
  </si>
  <si>
    <t>190-17</t>
  </si>
  <si>
    <t>904-17</t>
  </si>
  <si>
    <t>826-17</t>
  </si>
  <si>
    <t>197-17</t>
  </si>
  <si>
    <t>827-17</t>
  </si>
  <si>
    <t>192-17</t>
  </si>
  <si>
    <t>194-17</t>
  </si>
  <si>
    <t>199-17</t>
  </si>
  <si>
    <t>828-17</t>
  </si>
  <si>
    <t>201-17</t>
  </si>
  <si>
    <t>196-17</t>
  </si>
  <si>
    <t>203-17</t>
  </si>
  <si>
    <t>198-17</t>
  </si>
  <si>
    <t>830-17</t>
  </si>
  <si>
    <t>831-17</t>
  </si>
  <si>
    <t>205-17</t>
  </si>
  <si>
    <t>200-17</t>
  </si>
  <si>
    <t>207-17</t>
  </si>
  <si>
    <t>202-17</t>
  </si>
  <si>
    <t>832-17</t>
  </si>
  <si>
    <t>833-17</t>
  </si>
  <si>
    <t>209-17</t>
  </si>
  <si>
    <t>SMITH</t>
  </si>
  <si>
    <t>204-17</t>
  </si>
  <si>
    <t>211-17</t>
  </si>
  <si>
    <t>206-17</t>
  </si>
  <si>
    <t>834-17</t>
  </si>
  <si>
    <t>213-17</t>
  </si>
  <si>
    <t>208-17</t>
  </si>
  <si>
    <t>835-17</t>
  </si>
  <si>
    <t>65-17</t>
  </si>
  <si>
    <t>OUN</t>
  </si>
  <si>
    <t>54-17</t>
  </si>
  <si>
    <t>215-17</t>
  </si>
  <si>
    <t>210-17</t>
  </si>
  <si>
    <t>217-17</t>
  </si>
  <si>
    <t>DELGADO</t>
  </si>
  <si>
    <t>837-17</t>
  </si>
  <si>
    <t>212-17</t>
  </si>
  <si>
    <t>219-17</t>
  </si>
  <si>
    <t>214-17</t>
  </si>
  <si>
    <t>303-17</t>
  </si>
  <si>
    <t>906-17</t>
  </si>
  <si>
    <t>838-17</t>
  </si>
  <si>
    <t>839-17</t>
  </si>
  <si>
    <t>216-17</t>
  </si>
  <si>
    <t>221-17</t>
  </si>
  <si>
    <t>218-17</t>
  </si>
  <si>
    <t>220-17</t>
  </si>
  <si>
    <t>305-17</t>
  </si>
  <si>
    <t>223-17</t>
  </si>
  <si>
    <t>307-17</t>
  </si>
  <si>
    <t>222-17</t>
  </si>
  <si>
    <t>225-17</t>
  </si>
  <si>
    <t>227-17</t>
  </si>
  <si>
    <t>843-17</t>
  </si>
  <si>
    <t>224-17</t>
  </si>
  <si>
    <t>842-17</t>
  </si>
  <si>
    <t>226-17</t>
  </si>
  <si>
    <t>229-17</t>
  </si>
  <si>
    <t>845-17</t>
  </si>
  <si>
    <t>231-17</t>
  </si>
  <si>
    <t>844-17</t>
  </si>
  <si>
    <t>230-17</t>
  </si>
  <si>
    <t>233-17</t>
  </si>
  <si>
    <t>847-17</t>
  </si>
  <si>
    <t>232-17</t>
  </si>
  <si>
    <t>235-17</t>
  </si>
  <si>
    <t>908-17</t>
  </si>
  <si>
    <t>237-17</t>
  </si>
  <si>
    <t>234-17</t>
  </si>
  <si>
    <t>239-17</t>
  </si>
  <si>
    <t>241-17</t>
  </si>
  <si>
    <t>243-17</t>
  </si>
  <si>
    <t>240-17</t>
  </si>
  <si>
    <t>309-17</t>
  </si>
  <si>
    <t>242-17</t>
  </si>
  <si>
    <t>311-17</t>
  </si>
  <si>
    <t>244-17</t>
  </si>
  <si>
    <t>precipAccumulation</t>
  </si>
  <si>
    <t>precipType</t>
  </si>
  <si>
    <t>sleet</t>
  </si>
  <si>
    <t>Light Sleet</t>
  </si>
  <si>
    <t>snow</t>
  </si>
  <si>
    <t>Snow</t>
  </si>
  <si>
    <t>Light Snow</t>
  </si>
  <si>
    <t>204:732</t>
  </si>
  <si>
    <t>204:233332</t>
  </si>
  <si>
    <t>204:232698</t>
  </si>
  <si>
    <t>204:766</t>
  </si>
  <si>
    <t>204:232652</t>
  </si>
  <si>
    <t>204:37255</t>
  </si>
  <si>
    <t>204:233302</t>
  </si>
  <si>
    <t>204:786</t>
  </si>
  <si>
    <t>204:233285</t>
  </si>
  <si>
    <t>204:728</t>
  </si>
  <si>
    <t>204:233298</t>
  </si>
  <si>
    <t>204:232991</t>
  </si>
  <si>
    <t>204:174</t>
  </si>
  <si>
    <t>204:232969</t>
  </si>
  <si>
    <t>204:139</t>
  </si>
  <si>
    <t>204:233282</t>
  </si>
  <si>
    <t>204:232967</t>
  </si>
  <si>
    <t>204:233268</t>
  </si>
  <si>
    <t>204:232990</t>
  </si>
  <si>
    <t>204:475</t>
  </si>
  <si>
    <t>204:233340</t>
  </si>
  <si>
    <t>204:231044</t>
  </si>
  <si>
    <t>204:442</t>
  </si>
  <si>
    <t>204:1960</t>
  </si>
  <si>
    <t>204:364</t>
  </si>
  <si>
    <t>204:233251</t>
  </si>
  <si>
    <t>204:232961</t>
  </si>
  <si>
    <t>204:446</t>
  </si>
  <si>
    <t>204:231314</t>
  </si>
  <si>
    <t>204:233281</t>
  </si>
  <si>
    <t>204:19130</t>
  </si>
  <si>
    <t>204:123</t>
  </si>
  <si>
    <t>204:176</t>
  </si>
  <si>
    <t>204:233376</t>
  </si>
  <si>
    <t>204:233065</t>
  </si>
  <si>
    <t>204:130</t>
  </si>
  <si>
    <t>204:233316</t>
  </si>
  <si>
    <t>204:192</t>
  </si>
  <si>
    <t>204:134</t>
  </si>
  <si>
    <t>204:433</t>
  </si>
  <si>
    <t>204:233362</t>
  </si>
  <si>
    <t>204:233038</t>
  </si>
  <si>
    <t>204:497</t>
  </si>
  <si>
    <t>204:232981</t>
  </si>
  <si>
    <t>204:406</t>
  </si>
  <si>
    <t>204:72</t>
  </si>
  <si>
    <t>204:482</t>
  </si>
  <si>
    <t>204:233287</t>
  </si>
  <si>
    <t>204:233034</t>
  </si>
  <si>
    <t>204:233336</t>
  </si>
  <si>
    <t>204:233049</t>
  </si>
  <si>
    <t>204:400</t>
  </si>
  <si>
    <t>204:233364</t>
  </si>
  <si>
    <t>204:489</t>
  </si>
  <si>
    <t>204:422</t>
  </si>
  <si>
    <t>204:1171</t>
  </si>
  <si>
    <t>204:233040</t>
  </si>
  <si>
    <t>204:233325</t>
  </si>
  <si>
    <t>204:233027</t>
  </si>
  <si>
    <t>204:233305</t>
  </si>
  <si>
    <t>204:233019</t>
  </si>
  <si>
    <t>204:79</t>
  </si>
  <si>
    <t>204:233346</t>
  </si>
  <si>
    <t>204:125</t>
  </si>
  <si>
    <t>204:232966</t>
  </si>
  <si>
    <t>204:233347</t>
  </si>
  <si>
    <t>204:187</t>
  </si>
  <si>
    <t>204:233342</t>
  </si>
  <si>
    <t>204:233337</t>
  </si>
  <si>
    <t>204:232960</t>
  </si>
  <si>
    <t>204:233334</t>
  </si>
  <si>
    <t>204:233010</t>
  </si>
  <si>
    <t>204:119</t>
  </si>
  <si>
    <t>204:61128</t>
  </si>
  <si>
    <t>204:232968</t>
  </si>
  <si>
    <t>204:58890</t>
  </si>
  <si>
    <t>300:23124</t>
  </si>
  <si>
    <t>300:23312</t>
  </si>
  <si>
    <t>300:23148</t>
  </si>
  <si>
    <t>300:23314</t>
  </si>
  <si>
    <t>300:21229</t>
  </si>
  <si>
    <t>300:22811</t>
  </si>
  <si>
    <t>300:23290</t>
  </si>
  <si>
    <t>204:431</t>
  </si>
  <si>
    <t>300:23306</t>
  </si>
  <si>
    <t>204:111730</t>
  </si>
  <si>
    <t>204:5896</t>
  </si>
  <si>
    <t>204:5905</t>
  </si>
  <si>
    <t>204:112058</t>
  </si>
  <si>
    <t>300:21719</t>
  </si>
  <si>
    <t>204:878</t>
  </si>
  <si>
    <t>204:1488</t>
  </si>
  <si>
    <t>300:23299</t>
  </si>
  <si>
    <t>204:1028</t>
  </si>
  <si>
    <t>300:58596</t>
  </si>
  <si>
    <t>300:58988</t>
  </si>
  <si>
    <t>300:58666</t>
  </si>
  <si>
    <t>204:810</t>
  </si>
  <si>
    <t>204:981</t>
  </si>
  <si>
    <t>204:684</t>
  </si>
  <si>
    <t>204:694</t>
  </si>
  <si>
    <t>204:983</t>
  </si>
  <si>
    <t>204:885</t>
  </si>
  <si>
    <t>204:1199</t>
  </si>
  <si>
    <t>204:913</t>
  </si>
  <si>
    <t>204:1235</t>
  </si>
  <si>
    <t>300:58660</t>
  </si>
  <si>
    <t>204:919</t>
  </si>
  <si>
    <t>204:1212</t>
  </si>
  <si>
    <t>300:58937</t>
  </si>
  <si>
    <t>204:745</t>
  </si>
  <si>
    <t>204:1039</t>
  </si>
  <si>
    <t>204:1007</t>
  </si>
  <si>
    <t>204:719</t>
  </si>
  <si>
    <t>204:1021</t>
  </si>
  <si>
    <t>300:58634</t>
  </si>
  <si>
    <t>204:738</t>
  </si>
  <si>
    <t>204:720</t>
  </si>
  <si>
    <t>300:58621</t>
  </si>
  <si>
    <t>204:1016</t>
  </si>
  <si>
    <t>300:58960</t>
  </si>
  <si>
    <t>300:58643</t>
  </si>
  <si>
    <t>300:24682</t>
  </si>
  <si>
    <t>300:58649</t>
  </si>
  <si>
    <t>300:58965</t>
  </si>
  <si>
    <t>300:58615</t>
  </si>
  <si>
    <t>204:997</t>
  </si>
  <si>
    <t>204:743</t>
  </si>
  <si>
    <t>300:58928</t>
  </si>
  <si>
    <t>204:1025</t>
  </si>
  <si>
    <t>300:58961</t>
  </si>
  <si>
    <t>300:23478</t>
  </si>
  <si>
    <t>204:689</t>
  </si>
  <si>
    <t>204:1111</t>
  </si>
  <si>
    <t>300:24229</t>
  </si>
  <si>
    <t>300:28780</t>
  </si>
  <si>
    <t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t>
  </si>
  <si>
    <t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t>
  </si>
  <si>
    <t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t>
  </si>
  <si>
    <t>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 &amp; 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</t>
  </si>
  <si>
    <t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t>
  </si>
  <si>
    <t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t>
  </si>
  <si>
    <t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t>
  </si>
  <si>
    <t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t>
  </si>
  <si>
    <t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t>
  </si>
  <si>
    <t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t>
  </si>
  <si>
    <t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t>
  </si>
  <si>
    <t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t>
  </si>
  <si>
    <t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t>
  </si>
  <si>
    <t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t>
  </si>
  <si>
    <t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t>
  </si>
  <si>
    <t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t>
  </si>
  <si>
    <t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t>
  </si>
  <si>
    <t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t>
  </si>
  <si>
    <t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t>
  </si>
  <si>
    <t>11/17/2016 04:31:10 - Wi-MAX went offline for 8 hours</t>
  </si>
  <si>
    <t>Wi-MAX went offline for 8 hours</t>
  </si>
  <si>
    <t>106-17</t>
  </si>
  <si>
    <t>Did not init</t>
  </si>
  <si>
    <t>155-17</t>
  </si>
  <si>
    <t>156-17</t>
  </si>
  <si>
    <t>DUS switches 9A/B were reverse, route not aligned</t>
  </si>
  <si>
    <t>Basically, they needed to wait for the route to line up before they could go</t>
  </si>
  <si>
    <t>PSS contained mismatched Site Name</t>
  </si>
  <si>
    <t>SiteName should be -NW0226RH- in keeping with the Signal object in the XML file. The currently used name is -NW0226RH CRMFS CONTROL POINT MAIN HOUSE-, which is incorrectly taken from the WIUFeature</t>
  </si>
  <si>
    <t>Early arrival (41st)</t>
  </si>
  <si>
    <t>Form C</t>
  </si>
  <si>
    <t>Early arrival</t>
  </si>
  <si>
    <t>Overspeed (speedometer OK)</t>
  </si>
  <si>
    <t>40th 4S STOP</t>
  </si>
  <si>
    <t>Pena 4S STOP</t>
  </si>
  <si>
    <t>Onboard in-route failure</t>
  </si>
  <si>
    <t>SYS :2016/11/17 22:06:35.993:COMPARATOR:xc_evaluate_vote_out:=&gt; My Slice [3] is Out of Sync and may reboot in a minute!</t>
  </si>
  <si>
    <t>RESTRICTING aspects</t>
  </si>
  <si>
    <t>Wi-MAX data drop</t>
  </si>
  <si>
    <t>see title</t>
  </si>
  <si>
    <t>SYS :2016/11/17 23:03:35.759:ENFORCEMENT:Reactive Enforcement Action:  Target Number: 0000F053  Target Speed:  79.0  Current Speed:  84.1</t>
  </si>
  <si>
    <t>SYS :2016/11/17 23:03:35.763:ENFORCEMENT:Reactive Enforcement Action:  Target Number: 00010390  Target Speed:  79.0  Current Speed:  84.1</t>
  </si>
  <si>
    <t>SYS :2016/11/17 23:03:35.894:ENFORCEMENT:Reactive Enforcement Action:  Target Number: 0000F01B  Target Speed:  79.0  Current Speed:  84.1</t>
  </si>
  <si>
    <t>SYS :2016/11/17 23:03:35.899:ENFORCEMENT:Reactive Enforcement Action:  Target Number: 00010101  Target Speed:  79.0  Current Speed:  84.1</t>
  </si>
  <si>
    <t>SYS :2016/11/17 23:03:35.974:ENFORCEMENT:Reactive Enforcement Action:  Target Number: 0000F052  Target Speed:  79.0  Current Speed:  84.1</t>
  </si>
  <si>
    <t>SYS :2016/11/17 23:03:35.979:ENFORCEMENT:Reactive Enforcement Action:  Target Number: 00010393  Target Speed:  79.0  Current Speed:  84.1</t>
  </si>
  <si>
    <t>SYS :2016/11/17 14:57:47.952:ENFORCEMENT:Predictive Enforcement Action:  Target Number: 0001719F  Target Speed:  36.0  Current Speed:  41.0</t>
  </si>
  <si>
    <t>SYS :2016/11/17 17:03:21.946:ENFORCEMENT:Predictive Enforcement Action:  Target Number: 0000E004  Target Speed:   0.0  Current Speed:   5.3</t>
  </si>
  <si>
    <t>SYS :2016/11/17 18:53:37.937:ENFORCEMENT:Predictive Enforcement Action:  Target Number: 000102D7  Target Speed:  15.0  Current Speed:  21.6</t>
  </si>
  <si>
    <t>SYS :2016/11/17 14:57:47.578:ENFORCEMENT:Predictive Enforcement Action:  Target Number: 0001719F  Target Speed:  36.0  Current Speed:  41.0</t>
  </si>
  <si>
    <t>SYS :2016/11/17 17:03:21.565:ENFORCEMENT:Predictive Enforcement Action:  Target Number: 0000E004  Target Speed:   0.0  Current Speed:   5.3</t>
  </si>
  <si>
    <t>SYS :2016/11/17 18:53:37.563:ENFORCEMENT:Predictive Enforcement Action:  Target Number: 000102D7  Target Speed:  15.0  Current Speed:  21.6</t>
  </si>
  <si>
    <t>SYS :2016/11/17 12:07:01.273:ENFORCEMENT:Predictive Enforcement Action:  Target Number: 000060F5  Target Speed:   0.0  Current Speed:   7.4</t>
  </si>
  <si>
    <t>SYS :2016/11/17 12:18:40.312:ENFORCEMENT:Predictive Enforcement Action:  Target Number: 00017046  Target Speed:  49.0  Current Speed:  55.3</t>
  </si>
  <si>
    <t>SYS :2016/11/17 12:07:01.859:ENFORCEMENT:Predictive Enforcement Action:  Target Number: 000060E0  Target Speed:   0.0  Current Speed:   7.2</t>
  </si>
  <si>
    <t>SYS :2016/11/17 12:18:38.883:ENFORCEMENT:Predictive Enforcement Action:  Target Number: 00017046  Target Speed:  49.0  Current Speed:  55.5</t>
  </si>
  <si>
    <t>SYS :2016/11/17 12:07:01.491:ENFORCEMENT:Predictive Enforcement Action:  Target Number: 000060E0  Target Speed:   0.0  Current Speed:   7.4</t>
  </si>
  <si>
    <t>SYS :2016/11/17 12:18:39.529:ENFORCEMENT:Predictive Enforcement Action:  Target Number: 00017046  Target Speed:  49.0  Current Speed:  55.5</t>
  </si>
  <si>
    <t>SYS :2016/11/17 13:44:19.896:ENFORCEMENT:Predictive Enforcement Action:  Target Number: 0001701D  Target Speed:  39.0  Current Speed:  57.0</t>
  </si>
  <si>
    <t>SYS :2016/11/17 14:07:38.880:ENFORCEMENT:Predictive Enforcement Action:  Target Number: 00001005  Target Speed:   0.0  Current Speed:   4.7</t>
  </si>
  <si>
    <t>SYS :2016/11/17 13:44:20.954:ENFORCEMENT:Predictive Enforcement Action:  Target Number: 0001701D  Target Speed:  39.0  Current Speed:  55.9</t>
  </si>
  <si>
    <t>SYS :2016/11/17 14:07:38.943:ENFORCEMENT:Predictive Enforcement Action:  Target Number: 00001005  Target Speed:   0.0  Current Speed:   4.7</t>
  </si>
  <si>
    <t>SYS :2016/11/17 14:02:38.827:ENFORCEMENT:Reactive Enforcement Action:  Target Number: 0001004E  Target Speed:  40.0  Current Speed:  45.8</t>
  </si>
  <si>
    <t>SYS :2016/11/17 11:24:21.977:ENFORCEMENT:Predictive Enforcement Action:  Target Number: 00001002  Target Speed:   0.0  Current Speed:   3.7</t>
  </si>
  <si>
    <t>SYS :2016/11/17 14:02:37.986:ENFORCEMENT:Reactive Enforcement Action:  Target Number: 0001004D  Target Speed:  40.0  Current Speed:  45.8</t>
  </si>
  <si>
    <t>SYS :2016/11/17 12:29:22.115:ENFORCEMENT:Reactive Enforcement Action:  Target Number: 00010020  Target Speed:  35.0  Current Speed:  40.6</t>
  </si>
  <si>
    <t>SYS :2016/11/17 16:02:51.118:ENFORCEMENT:Reactive Enforcement Action:  Target Number: 00010058  Target Speed:  60.0  Current Speed:  65.4</t>
  </si>
  <si>
    <t>SYS :2016/11/17 16:37:15.109:ENFORCEMENT:Predictive Enforcement Action:  Target Number: 00010079  Target Speed:  20.0  Current Speed:  29.2</t>
  </si>
  <si>
    <t>SYS :2016/11/17 18:03:22.114:ENFORCEMENT:Predictive Enforcement Action:  Target Number: 0001008D  Target Speed:  40.0  Current Speed:  48.6</t>
  </si>
  <si>
    <t>SYS :2016/11/17 19:41:10.105:ENFORCEMENT:Predictive Enforcement Action:  Target Number: 00006156  Target Speed:   0.0  Current Speed:  24.8</t>
  </si>
  <si>
    <t>SYS :2016/11/17 12:29:21.434:ENFORCEMENT:Reactive Enforcement Action:  Target Number: 00010020  Target Speed:  35.0  Current Speed:  40.6</t>
  </si>
  <si>
    <t>SYS :2016/11/17 14:15:56.411:ENFORCEMENT:Predictive Enforcement Action:  Target Number: 00006065  Target Speed:   0.0  Current Speed:  53.7</t>
  </si>
  <si>
    <t>SYS :2016/11/17 12:29:21.749:ENFORCEMENT:Reactive Enforcement Action:  Target Number: 00010020  Target Speed:  35.0  Current Speed:  40.6</t>
  </si>
  <si>
    <t>SYS :2016/11/17 14:15:55.041:ENFORCEMENT:Predictive Enforcement Action:  Target Number: 00006012  Target Speed:   0.0  Current Speed:  55.0</t>
  </si>
  <si>
    <t>SYS :2016/11/17 16:02:51.044:ENFORCEMENT:Reactive Enforcement Action:  Target Number: 0001002C  Target Speed:  60.0  Current Speed:  65.4</t>
  </si>
  <si>
    <t>SYS :2016/11/17 16:37:14.041:ENFORCEMENT:Predictive Enforcement Action:  Target Number: 0001004D  Target Speed:  20.0  Current Speed:  29.2</t>
  </si>
  <si>
    <t>SYS :2016/11/17 18:03:21.040:ENFORCEMENT:Predictive Enforcement Action:  Target Number: 00010061  Target Speed:  40.0  Current Speed:  48.7</t>
  </si>
  <si>
    <t>SYS :2016/11/17 19:41:10.048:ENFORCEMENT:Predictive Enforcement Action:  Target Number: 00006103  Target Speed:   0.0  Current Speed:  24.8</t>
  </si>
  <si>
    <t>SYS :2016/11/18 05:03:16.107:ENFORCEMENT:Predictive Enforcement Action:  Target Number: 00010172  Target Speed:  20.0  Current Speed:  30.9</t>
  </si>
  <si>
    <t>SYS :2016/11/18 05:06:46.100:ENFORCEMENT:Predictive Enforcement Action:  Target Number: 00001022  Target Speed:   0.0  Current Speed:   5.9</t>
  </si>
  <si>
    <t>SYS :2016/11/18 06:27:16.123:ENFORCEMENT:Reactive Enforcement Action:  Target Number: 00010182  Target Speed:  15.0  Current Speed:  21.0</t>
  </si>
  <si>
    <t>SYS :2016/11/18 05:03:16.036:ENFORCEMENT:Predictive Enforcement Action:  Target Number: 00010146  Target Speed:  20.0  Current Speed:  30.9</t>
  </si>
  <si>
    <t>SYS :2016/11/18 05:06:46.027:ENFORCEMENT:Predictive Enforcement Action:  Target Number: 0000101E  Target Speed:   0.0  Current Speed:   5.9</t>
  </si>
  <si>
    <t>SYS :2016/11/18 06:27:16.039:ENFORCEMENT:Reactive Enforcement Action:  Target Number: 00010156  Target Speed:  15.0  Current Speed:  21.0</t>
  </si>
  <si>
    <t>SYS :2016/11/17 12:59:43.530:ENFORCEMENT:Predictive Enforcement Action:  Target Number: 00010012  Target Speed:  60.0  Current Speed:  69.8</t>
  </si>
  <si>
    <t>SYS :2016/11/17 17:50:21.558:ENFORCEMENT:Predictive Enforcement Action:  Target Number: 00010065  Target Speed:  40.0  Current Speed:  60.6</t>
  </si>
  <si>
    <t>SYS :2016/11/17 18:25:09.505:ENFORCEMENT:Predictive Enforcement Action:  Target Number: 00001007  Target Speed:   0.0  Current Speed:   5.3</t>
  </si>
  <si>
    <t>SYS :2016/11/17 12:59:43.822:ENFORCEMENT:Predictive Enforcement Action:  Target Number: 00010015  Target Speed:  60.0  Current Speed:  69.8</t>
  </si>
  <si>
    <t>SYS :2016/11/17 17:50:21.838:ENFORCEMENT:Predictive Enforcement Action:  Target Number: 00010069  Target Speed:  40.0  Current Speed:  60.6</t>
  </si>
  <si>
    <t>SYS :2016/11/17 18:25:09.807:ENFORCEMENT:Predictive Enforcement Action:  Target Number: 00001008  Target Speed:   0.0  Current Speed:   5.3</t>
  </si>
  <si>
    <t>SYS :2016/11/17 12:59:43.948:ENFORCEMENT:Predictive Enforcement Action:  Target Number: 00010015  Target Speed:  60.0  Current Speed:  69.8</t>
  </si>
  <si>
    <t>SYS :2016/11/17 17:50:21.954:ENFORCEMENT:Predictive Enforcement Action:  Target Number: 00010068  Target Speed:  40.0  Current Speed:  60.6</t>
  </si>
  <si>
    <t>SYS :2016/11/17 16:59:32.962:ENFORCEMENT:Reactive Enforcement Action:  Target Number: 00010083  Target Speed:  55.0  Current Speed:  60.1</t>
  </si>
  <si>
    <t>SYS :2016/11/17 16:59:32.786:ENFORCEMENT:Reactive Enforcement Action:  Target Number: 00010083  Target Speed:  55.0  Current Speed:  60.1</t>
  </si>
  <si>
    <t>SYS :2016/11/17 20:03:00.955:ENFORCEMENT:Reactive Enforcement Action:  Target Number: 000102E9  Target Speed:  35.0  Current Speed:  40.0</t>
  </si>
  <si>
    <t>SYS :2016/11/17 21:46:46.937:ENFORCEMENT:Predictive Enforcement Action:  Target Number: 000066E7  Target Speed:   0.0  Current Speed:  37.3</t>
  </si>
  <si>
    <t>SYS :2016/11/17 21:54:50.940:ENFORCEMENT:Predictive Enforcement Action:  Target Number: 000066FE  Target Speed:   0.0  Current Speed:  62.6</t>
  </si>
  <si>
    <t>SYS :2016/11/17 22:14:06.943:ENFORCEMENT:Reactive Enforcement Action:  Target Number: 0000A00E  Target Speed:  15.0  Current Speed:  20.4</t>
  </si>
  <si>
    <t>SYS :2016/11/17 20:03:00.568:ENFORCEMENT:Reactive Enforcement Action:  Target Number: 000102E9  Target Speed:  35.0  Current Speed:  40.0</t>
  </si>
  <si>
    <t>SYS :2016/11/17 21:46:46.560:ENFORCEMENT:Predictive Enforcement Action:  Target Number: 00006646  Target Speed:   0.0  Current Speed:  37.3</t>
  </si>
  <si>
    <t>SYS :2016/11/17 21:54:51.563:ENFORCEMENT:Predictive Enforcement Action:  Target Number: 0000665D  Target Speed:   0.0  Current Speed:  61.6</t>
  </si>
  <si>
    <t>SYS :2016/11/17 22:14:06.566:ENFORCEMENT:Reactive Enforcement Action:  Target Number: 0000A00E  Target Speed:  15.0  Current Speed:  20.4</t>
  </si>
  <si>
    <t>SYS :2016/11/18 06:57:44.385:ENFORCEMENT:Predictive Enforcement Action:  Target Number: 00010077  Target Speed:  15.0  Current Speed:  20.1</t>
  </si>
  <si>
    <t>SYS :2016/11/18 06:57:43.828:ENFORCEMENT:Predictive Enforcement Action:  Target Number: 00010077  Target Speed:  15.0  Current Speed:  20.1</t>
  </si>
  <si>
    <t>SYS :2016/11/18 06:57:43.931:ENFORCEMENT:Predictive Enforcement Action:  Target Number: 00010077  Target Speed:  15.0  Current Speed:  20.1</t>
  </si>
  <si>
    <t>SYS :2016/11/17 15:05:15.170:ENFORCEMENT:Predictive Enforcement Action:  Target Number: 00001008  Target Speed:   0.0  Current Speed:   8.1</t>
  </si>
  <si>
    <t>SYS :2016/11/17 18:00:32.184:ENFORCEMENT:Predictive Enforcement Action:  Target Number: 00006147  Target Speed:   0.0  Current Speed:  16.7</t>
  </si>
  <si>
    <t>SYS :2016/11/17 18:00:32.205:ENFORCEMENT:Predictive Enforcement Action:  Target Number: 0000406E  Target Speed:   0.0  Current Speed:  16.7</t>
  </si>
  <si>
    <t>SYS :2016/11/17 18:00:32.948:ENFORCEMENT:Predictive Enforcement Action:  Target Number: 0000613B  Target Speed:   0.0  Current Speed:  16.7</t>
  </si>
  <si>
    <t>SYS :2016/11/17 18:00:32.966:ENFORCEMENT:Predictive Enforcement Action:  Target Number: 00004077  Target Speed:   0.0  Current Speed:  16.7</t>
  </si>
  <si>
    <t>SYS :2016/11/17 22:06:27.962:ENFORCEMENT:Predictive Enforcement Action:  Target Number: 0000623B  Target Speed:   0.0  Current Speed:  29.6</t>
  </si>
  <si>
    <t>SYS :2016/11/17 14:20:24.246:ENFORCEMENT:Predictive Enforcement Action:  Target Number: 00001001  Target Speed:   0.0  Current Speed:   6.5</t>
  </si>
  <si>
    <t>SYS :2016/11/17 19:48:00.239:ENFORCEMENT:Predictive Enforcement Action:  Target Number: 0000100A  Target Speed:   0.0  Current Speed:   4.7</t>
  </si>
  <si>
    <t>SYS :2016/11/17 14:20:23.062:ENFORCEMENT:Predictive Enforcement Action:  Target Number: 00001001  Target Speed:   0.0  Current Speed:   6.5</t>
  </si>
  <si>
    <t>SYS :2016/11/17 19:47:59.465:ENFORCEMENT:Predictive Enforcement Action:  Target Number: 00001006  Target Speed:   0.0  Current Speed:   4.7</t>
  </si>
  <si>
    <t>SYS :2016/11/17 14:20:24.181:ENFORCEMENT:Predictive Enforcement Action:  Target Number: 00001001  Target Speed:   0.0  Current Speed:   6.5</t>
  </si>
  <si>
    <t>SYS :2016/11/17 19:48:00.182:ENFORCEMENT:Predictive Enforcement Action:  Target Number: 0000100A  Target Speed:   0.0  Current Speed:   4.7</t>
  </si>
  <si>
    <t>SYS :2016/11/17 17:27:06.345:ENFORCEMENT:Predictive Enforcement Action:  Target Number: 00001009  Target Speed:   0.0  Current Speed:   4.0</t>
  </si>
  <si>
    <t>SYS :2016/11/17 17:27:06.307:ENFORCEMENT:Predictive Enforcement Action:  Target Number: 00001002  Target Speed:   0.0  Current Speed:   4.0</t>
  </si>
  <si>
    <t>SYS :2016/11/17 17:27:07.093:ENFORCEMENT:Predictive Enforcement Action:  Target Number: 00001009  Target Speed:   0.0  Current Speed:   4.0</t>
  </si>
  <si>
    <t>SYS :2016/11/17 21:14:56.939:ENFORCEMENT:Predictive Enforcement Action:  Target Number: 00001014  Target Speed:   0.0  Current Speed:   6.5</t>
  </si>
  <si>
    <t>SYS :2016/11/17 21:14:56.758:ENFORCEMENT:Predictive Enforcement Action:  Target Number: 00001014  Target Speed:   0.0  Current Speed:   6.5</t>
  </si>
  <si>
    <t>SYS :2016/11/17 19:01:58.338:ENFORCEMENT:Predictive Enforcement Action:  Target Number: 0000100B  Target Speed:   0.0  Current Speed:   5.3</t>
  </si>
  <si>
    <t>SYS :2016/11/17 19:01:58.264:ENFORCEMENT:Predictive Enforcement Action:  Target Number: 0000100C  Target Speed:   0.0  Current Speed:   5.3</t>
  </si>
  <si>
    <t>SYS :2016/11/17 14:49:42.508:ENFORCEMENT:Predictive Enforcement Action:  Target Number: 00017005  Target Speed:   0.0  Current Speed:  46.2</t>
  </si>
  <si>
    <t>SYS :2016/11/17 18:49:50.506:ENFORCEMENT:Predictive Enforcement Action:  Target Number: 0001700D  Target Speed:   0.0  Current Speed:  25.0</t>
  </si>
  <si>
    <t>SYS :2016/11/17 18:57:01.501:ENFORCEMENT:Predictive Enforcement Action:  Target Number: 00001013  Target Speed:   0.0  Current Speed:  10.4</t>
  </si>
  <si>
    <t>SYS :2016/11/17 14:49:43.063:ENFORCEMENT:Predictive Enforcement Action:  Target Number: 00017005  Target Speed:   0.0  Current Speed:  46.0</t>
  </si>
  <si>
    <t>SYS :2016/11/17 18:49:51.060:ENFORCEMENT:Predictive Enforcement Action:  Target Number: 0001700D  Target Speed:   0.0  Current Speed:  25.0</t>
  </si>
  <si>
    <t>SYS :2016/11/17 14:49:43.149:ENFORCEMENT:Predictive Enforcement Action:  Target Number: 00017005  Target Speed:   0.0  Current Speed:  46.0</t>
  </si>
  <si>
    <t>SYS :2016/11/17 18:49:51.144:ENFORCEMENT:Predictive Enforcement Action:  Target Number: 0001700D  Target Speed:   0.0  Current Speed:  24.7</t>
  </si>
  <si>
    <t>SYS :2016/11/17 18:57:01.136:ENFORCEMENT:Predictive Enforcement Action:  Target Number: 00001013  Target Speed:   0.0  Current Speed:  10.4</t>
  </si>
  <si>
    <t>SYS :2016/11/18 02:56:19.507:ENFORCEMENT:Predictive Enforcement Action:  Target Number: 00017022  Target Speed:  30.0  Current Speed:  48.2</t>
  </si>
  <si>
    <t>SYS :2016/11/18 02:56:21.074:ENFORCEMENT:Predictive Enforcement Action:  Target Number: 00017022  Target Speed:  30.0  Current Speed:  48.6</t>
  </si>
  <si>
    <t>SYS :2016/11/18 02:56:21.155:ENFORCEMENT:Predictive Enforcement Action:  Target Number: 00017022  Target Speed:  30.0  Current Speed:  48.6</t>
  </si>
  <si>
    <t>SYS :2016/11/17 23:32:04.664:ENFORCEMENT:Predictive Enforcement Action:  Target Number: 00010166  Target Speed:  15.0  Current Speed:  27.9</t>
  </si>
  <si>
    <t>SYS :2016/11/17 23:35:35.660:ENFORCEMENT:Predictive Enforcement Action:  Target Number: 0000101F  Target Speed:   0.0  Current Speed:   2.2</t>
  </si>
  <si>
    <t>SYS :2016/11/17 21:32:03.168:ENFORCEMENT:Predictive Enforcement Action:  Target Number: 00010130  Target Speed:  15.0  Current Speed:  29.9</t>
  </si>
  <si>
    <t>SYS :2016/11/17 23:32:04.165:ENFORCEMENT:Predictive Enforcement Action:  Target Number: 00010165  Target Speed:  15.0  Current Speed:  28.7</t>
  </si>
  <si>
    <t>SYS :2016/11/17 23:32:05.443:ENFORCEMENT:Predictive Enforcement Action:  Target Number: 00010165  Target Speed:  15.0  Current Speed:  27.9</t>
  </si>
  <si>
    <t>SYS :2016/11/17 15:21:46.867:ENFORCEMENT:Predictive Enforcement Action:  Target Number: 00006407  Target Speed:   0.0  Current Speed:  34.3</t>
  </si>
  <si>
    <t>SYS :2016/11/17 14:22:52.180:ENFORCEMENT:Predictive Enforcement Action:  Target Number: 000063E1  Target Speed:   0.0  Current Speed:  12.5</t>
  </si>
  <si>
    <t>SYS :2016/11/17 15:21:46.189:ENFORCEMENT:Predictive Enforcement Action:  Target Number: 00006408  Target Speed:   0.0  Current Speed:  35.1</t>
  </si>
  <si>
    <t>SYS :2016/11/17 14:22:51.837:ENFORCEMENT:Predictive Enforcement Action:  Target Number: 000063E3  Target Speed:   0.0  Current Speed:  12.5</t>
  </si>
  <si>
    <t>SYS :2016/11/17 15:21:46.847:ENFORCEMENT:Predictive Enforcement Action:  Target Number: 0000640B  Target Speed:   0.0  Current Speed:  34.3</t>
  </si>
  <si>
    <t>SYS :2016/11/18 01:19:03.873:ENFORCEMENT:Predictive Enforcement Action:  Target Number: 000064A2  Target Speed:   0.0  Current Speed:  32.5</t>
  </si>
  <si>
    <t>SYS :2016/11/18 01:19:04.189:ENFORCEMENT:Predictive Enforcement Action:  Target Number: 000064A4  Target Speed:   0.0  Current Speed:  31.6</t>
  </si>
  <si>
    <t>SYS :2016/11/18 01:19:03.845:ENFORCEMENT:Predictive Enforcement Action:  Target Number: 000064A7  Target Speed:   0.0  Current Speed:  32.5</t>
  </si>
  <si>
    <t>SYS :2016/11/18 02:29:49.671:ENFORCEMENT:Predictive Enforcement Action:  Target Number: 00006249  Target Speed:   0.0  Current Speed:  37.5</t>
  </si>
  <si>
    <t>SYS :2016/11/17 23:35:35.164:ENFORCEMENT:Predictive Enforcement Action:  Target Number: 0000101F  Target Speed:   0.0  Current Speed:   2.4</t>
  </si>
  <si>
    <t>SYS :2016/11/18 02:29:50.174:ENFORCEMENT:Predictive Enforcement Action:  Target Number: 0000621D  Target Speed:   0.0  Current Speed:  37.5</t>
  </si>
  <si>
    <t>SYS :2016/11/17 23:35:35.439:ENFORCEMENT:Predictive Enforcement Action:  Target Number: 0000101F  Target Speed:   0.0  Current Speed:   2.4</t>
  </si>
  <si>
    <t>SYS :2016/11/18 02:29:50.456:ENFORCEMENT:Predictive Enforcement Action:  Target Number: 0000622E  Target Speed:   0.0  Current Speed:  37.5</t>
  </si>
  <si>
    <t>DUS 2N STOP due to 20N at STOP</t>
  </si>
  <si>
    <t>Planned XING ADT / Subdiv upgrade work</t>
  </si>
  <si>
    <t>Banner without braking</t>
  </si>
  <si>
    <t>Only 1 slice commanded braking</t>
  </si>
  <si>
    <t>Crossing false activation @ 09:07:28 due to slice vote out</t>
  </si>
  <si>
    <t>At 16:07:28.873 UTC, there was a primary slice change (ACA_MANAGER fault weight maxed on Primary slice). This caused a crossing arm to get aborted partway through.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</si>
</sst>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1" fillId="0" borderId="0" xfId="0" applyNumberFormat="1" applyFont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topLeftCell="A27" workbookViewId="0">
      <selection activeCell="V46" sqref="V4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COUNTIFS($N$13:$N$9387,"&gt;0",$AG$13:$AG$9387,I1)</f>
        <v>136</v>
      </c>
      <c r="K5" s="44"/>
      <c r="L5" s="44"/>
      <c r="M5" s="45">
        <f>AVERAGEIFS($N$13:$N$9387,$AG$13:$AG$9387,I1)</f>
        <v>40.329534314600203</v>
      </c>
      <c r="N5" s="43">
        <f t="array" ref="N5">MIN(IF($AG$13:$AG$9387=I1,IF(ISNUMBER($N$13:$N$9387),IF($N$13:$N$9387&gt;0,$N$13:$N$9387))))</f>
        <v>34.250000001629815</v>
      </c>
      <c r="O5" s="3">
        <f t="array" ref="O5">MAX(IF($AG$13:$AG$9387=I1,IF(ISNUMBER($N$13:$N$9387),IF($N$13:$N$9387&gt;0,$N$13:$N$9387))))</f>
        <v>52.566666664788499</v>
      </c>
      <c r="P5" s="2"/>
      <c r="R5" s="80" t="s">
        <v>17</v>
      </c>
      <c r="S5" s="55">
        <f>COUNTIFS($N$13:$N$9387,"&gt;0",$AG$13:$AG$9387,R1)</f>
        <v>46</v>
      </c>
      <c r="T5" s="44"/>
      <c r="U5" s="169"/>
      <c r="V5" s="45">
        <f>AVERAGEIFS($N$13:$N$9387,$AG$13:$AG$9387,R1)</f>
        <v>15.07318840574716</v>
      </c>
      <c r="W5" s="43">
        <f t="array" ref="W5">MIN(IF($AG$13:$AG$9387=R1,IF(ISNUMBER($N$13:$N$9387),IF($N$13:$N$9387&gt;0,$N$13:$N$9387))))</f>
        <v>12.583333330694586</v>
      </c>
      <c r="X5" s="173">
        <f t="array" ref="X5">MAX(IF($AG$13:$AG$9387=R1,IF(ISNUMBER($N$13:$N$9387),IF($N$13:$N$9387&gt;0,$N$13:$N$9387))))</f>
        <v>21.883333325386047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COUNTIFS($P$13:$P$9387,"&gt;0",$AG$13:$AG$9387,I1)</f>
        <v>8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COUNTIFS($P$13:$P$9387,"&gt;0",$AG$13:$AG$9387,R1)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40.329534314600203</v>
      </c>
      <c r="N8" s="43">
        <f>N5</f>
        <v>34.250000001629815</v>
      </c>
      <c r="O8" s="3">
        <f>O5</f>
        <v>52.566666664788499</v>
      </c>
      <c r="P8" s="2"/>
      <c r="R8" s="80" t="s">
        <v>16</v>
      </c>
      <c r="S8" s="55">
        <f>S5</f>
        <v>46</v>
      </c>
      <c r="T8" s="44"/>
      <c r="U8" s="169"/>
      <c r="V8" s="45">
        <f>V5</f>
        <v>15.07318840574716</v>
      </c>
      <c r="W8" s="43">
        <f>W5</f>
        <v>12.583333330694586</v>
      </c>
      <c r="X8" s="173">
        <f>X5</f>
        <v>21.883333325386047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0.94444444444444442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- 2016-11-17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AVERAGE(S13:S106)</f>
        <v>0.96897163120567376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453</v>
      </c>
      <c r="B13" s="7">
        <v>4002</v>
      </c>
      <c r="C13" s="22" t="s">
        <v>220</v>
      </c>
      <c r="D13" s="22" t="s">
        <v>636</v>
      </c>
      <c r="E13" s="13">
        <v>42691.141921296294</v>
      </c>
      <c r="F13" s="13">
        <v>42691.153101851851</v>
      </c>
      <c r="G13" s="7">
        <v>1</v>
      </c>
      <c r="H13" s="22" t="s">
        <v>637</v>
      </c>
      <c r="I13" s="13">
        <v>42691.183622685188</v>
      </c>
      <c r="J13" s="7">
        <v>0</v>
      </c>
      <c r="K13" s="109" t="str">
        <f t="shared" ref="K13:K77" si="0">IF(ISEVEN(B13),(B13-1)&amp;"/"&amp;B13,B13&amp;"/"&amp;(B13+1))</f>
        <v>4001/4002</v>
      </c>
      <c r="L13" s="22" t="str">
        <f>VLOOKUP(A13,'Trips&amp;Operators'!$C$1:$E$10000,3,FALSE)</f>
        <v>MAELZER</v>
      </c>
      <c r="M13" s="6">
        <f t="shared" ref="M13:M77" si="1">I13-F13</f>
        <v>3.0520833337504882E-2</v>
      </c>
      <c r="N13" s="7">
        <f t="shared" ref="N13:P77" si="2">24*60*SUM($M13:$M13)</f>
        <v>43.950000006007031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https://search-rtdc-monitor-bjffxe2xuh6vdkpspy63sjmuny.us-east-1.es.amazonaws.com/_plugin/kibana/#/discover/Steve-Slow-Train-Analysis-(2080s-and-2083s)?_g=(refreshInterval:(display:Off,section:0,value:0),time:(from:'2016-11-17 02:24:22-700',mode:absolute,to:'2016-11-17 05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 t="shared" ref="W13:W77" si="6">IF(AA13&lt;IF(AG13="EC",23,5.65),"Y","N")</f>
        <v>N</v>
      </c>
      <c r="X13" s="177" t="e">
        <f>VALUE(LEFT(AD13,4))-VALUE(LEFT(AD12,4))</f>
        <v>#VALUE!</v>
      </c>
      <c r="Y13" s="67">
        <f t="shared" ref="Y13:Y77" si="7">RIGHT(D13,LEN(D13)-4)/10000</f>
        <v>7.3200000000000001E-2</v>
      </c>
      <c r="Z13" s="67">
        <f t="shared" ref="Z13:Z77" si="8">RIGHT(H13,LEN(H13)-4)/10000</f>
        <v>23.333200000000001</v>
      </c>
      <c r="AA13" s="67">
        <f t="shared" ref="AA13:AA77" si="9">ABS(Z13-Y13)</f>
        <v>23.26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7" si="10">IF(LEN(A13)=6,"0"&amp;A13,A13)</f>
        <v>0101-17</v>
      </c>
      <c r="AE13" s="91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3" s="88" t="str">
        <f t="shared" ref="AF13:AF77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/stypes="app*4002*20161117*" /stext=" 11:.+((SYSTEM_STATE.+slice.+state.+changed )|(ment ac)|(system.+state.+changed )|(\[timeout)|(PRM\|1\|D)|(kpr)|(kdp)|(\|lc)|(penalty))" /e /r /s</v>
      </c>
      <c r="AG13" s="1" t="str">
        <f t="shared" ref="AG13:AG77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4002 --swversion DE.1.0.8.0 --startMP 204:732 --initTime 2016-11-17T03:24:22 --startdatetime 2016-11-17T03:40:28 --delay 1 --endMP 204:233332 --enddatetime 2016-11-17T04:24:25 --enforcementcount 0 &gt;&gt;C:\Users\stu\Documents\GitHub\eaglep3-reporting\EC\2016-11-17-refined-times.txt</v>
      </c>
      <c r="AI13" s="11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ID","value":"101-17"},{"id":16,"name":"Locomotive ID","value":"4002"},{"id":130,"name":"Impact","value":""},{"id":150,"name":"Time of Event (Mountain Time)","value":"04:24:25"},{"id":151,"name":"Denver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461</v>
      </c>
      <c r="B14" s="7">
        <v>4032</v>
      </c>
      <c r="C14" s="22" t="s">
        <v>220</v>
      </c>
      <c r="D14" s="22" t="s">
        <v>638</v>
      </c>
      <c r="E14" s="13">
        <v>42691.185555555552</v>
      </c>
      <c r="F14" s="13">
        <v>42691.188703703701</v>
      </c>
      <c r="G14" s="7">
        <v>2</v>
      </c>
      <c r="H14" s="22" t="s">
        <v>271</v>
      </c>
      <c r="I14" s="13">
        <v>42691.214467592596</v>
      </c>
      <c r="J14" s="7">
        <v>0</v>
      </c>
      <c r="K14" s="109" t="str">
        <f t="shared" si="0"/>
        <v>4031/4032</v>
      </c>
      <c r="L14" s="22" t="str">
        <f>VLOOKUP(A14,'Trips&amp;Operators'!$C$1:$E$10000,3,FALSE)</f>
        <v>MAELZER</v>
      </c>
      <c r="M14" s="6">
        <f t="shared" si="1"/>
        <v>2.5763888894289266E-2</v>
      </c>
      <c r="N14" s="7">
        <f t="shared" si="2"/>
        <v>37.100000007776543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03:27:12-700',mode:absolute,to:'2016-11-17 06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52" t="str">
        <f t="shared" si="6"/>
        <v>N</v>
      </c>
      <c r="X14" s="177">
        <f t="shared" ref="X14:X78" si="16">VALUE(LEFT(AD14,4))-VALUE(LEFT(AD13,4))</f>
        <v>1</v>
      </c>
      <c r="Y14" s="67">
        <f t="shared" si="7"/>
        <v>23.2698</v>
      </c>
      <c r="Z14" s="67">
        <f t="shared" si="8"/>
        <v>1.38E-2</v>
      </c>
      <c r="AA14" s="67">
        <f t="shared" si="9"/>
        <v>23.256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0102-17</v>
      </c>
      <c r="AE14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14" s="88" t="str">
        <f t="shared" si="12"/>
        <v>"C:\Program Files (x86)\AstroGrep\AstroGrep.exe" /spath="%USERPROFILE%\AppData\Local\Temp\OnboardLogs" /stypes="app*4032*20161117*" /stext=" 12:.+((SYSTEM_STATE.+slice.+state.+changed )|(ment ac)|(system.+state.+changed )|(\[timeout)|(PRM\|1\|D)|(kpr)|(kdp)|(\|lc)|(penalty))" /e /r /s</v>
      </c>
      <c r="AG14" s="1" t="str">
        <f t="shared" si="13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4032 --swversion DE.1.0.8.0 --startMP 204:232698 --initTime 2016-11-17T04:27:12 --startdatetime 2016-11-17T04:31:44 --delay 2 --endMP 204:138 --enddatetime 2016-11-17T05:08:50 --enforcementcount 0 &gt;&gt;C:\Users\stu\Documents\GitHub\eaglep3-reporting\EC\2016-11-17-refined-times.txt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ID","value":"102-17"},{"id":16,"name":"Locomotive ID","value":"4032"},{"id":130,"name":"Impact","value":""},{"id":150,"name":"Time of Event (Mountain Time)","value":"05:08:50"},{"id":151,"name":"Denver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454</v>
      </c>
      <c r="B15" s="7">
        <v>4003</v>
      </c>
      <c r="C15" s="22" t="s">
        <v>220</v>
      </c>
      <c r="D15" s="22" t="s">
        <v>639</v>
      </c>
      <c r="E15" s="13">
        <v>42691.153784722221</v>
      </c>
      <c r="F15" s="13">
        <v>42691.160266203704</v>
      </c>
      <c r="G15" s="7">
        <v>2</v>
      </c>
      <c r="H15" s="22" t="s">
        <v>283</v>
      </c>
      <c r="I15" s="13">
        <v>42691.187604166669</v>
      </c>
      <c r="J15" s="7">
        <v>0</v>
      </c>
      <c r="K15" s="109" t="str">
        <f t="shared" si="0"/>
        <v>4003/4004</v>
      </c>
      <c r="L15" s="22" t="str">
        <f>VLOOKUP(A15,'Trips&amp;Operators'!$C$1:$E$10000,3,FALSE)</f>
        <v>SPECTOR</v>
      </c>
      <c r="M15" s="6">
        <f t="shared" si="1"/>
        <v>2.7337962965248153E-2</v>
      </c>
      <c r="N15" s="7">
        <f t="shared" si="2"/>
        <v>39.36666666995734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02:41:27-700',mode:absolute,to:'2016-11-17 05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2" t="str">
        <f t="shared" si="6"/>
        <v>N</v>
      </c>
      <c r="X15" s="177">
        <f t="shared" si="16"/>
        <v>1</v>
      </c>
      <c r="Y15" s="67">
        <f t="shared" si="7"/>
        <v>7.6600000000000001E-2</v>
      </c>
      <c r="Z15" s="67">
        <f t="shared" si="8"/>
        <v>23.330100000000002</v>
      </c>
      <c r="AA15" s="67">
        <f t="shared" si="9"/>
        <v>23.253500000000003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0"/>
        <v>0103-17</v>
      </c>
      <c r="AE15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5" s="88" t="str">
        <f t="shared" si="12"/>
        <v>"C:\Program Files (x86)\AstroGrep\AstroGrep.exe" /spath="%USERPROFILE%\AppData\Local\Temp\OnboardLogs" /stypes="app*4003*20161117*" /stext=" 11:.+((SYSTEM_STATE.+slice.+state.+changed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si="17"/>
        <v>"%USERPROFILE%\Documents\GitHub\eaglep3\Utilities\RefineRTDCRunTimes.py" --tripid 103-17 --locoid 4003 --swversion DE.1.0.8.0 --startMP 204:766 --initTime 2016-11-17T03:41:27 --startdatetime 2016-11-17T03:50:47 --delay 2 --endMP 204:233301 --enddatetime 2016-11-17T04:30:09 --enforcementcount 0 &gt;&gt;C:\Users\stu\Documents\GitHub\eaglep3-reporting\EC\2016-11-17-refined-times.txt</v>
      </c>
      <c r="AI1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ID","value":"103-17"},{"id":16,"name":"Locomotive ID","value":"4003"},{"id":130,"name":"Impact","value":""},{"id":150,"name":"Time of Event (Mountain Time)","value":"04:30:09"},{"id":151,"name":"Denver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411</v>
      </c>
      <c r="B16" s="7">
        <v>4013</v>
      </c>
      <c r="C16" s="22" t="s">
        <v>220</v>
      </c>
      <c r="D16" s="22" t="s">
        <v>640</v>
      </c>
      <c r="E16" s="13">
        <v>42691.200671296298</v>
      </c>
      <c r="F16" s="13">
        <v>42691.203796296293</v>
      </c>
      <c r="G16" s="7">
        <v>3</v>
      </c>
      <c r="H16" s="22" t="s">
        <v>327</v>
      </c>
      <c r="I16" s="13">
        <v>42691.231157407405</v>
      </c>
      <c r="J16" s="7">
        <v>0</v>
      </c>
      <c r="K16" s="109" t="str">
        <f t="shared" si="0"/>
        <v>4013/4014</v>
      </c>
      <c r="L16" s="22" t="str">
        <f>VLOOKUP(A16,'Trips&amp;Operators'!$C$1:$E$10000,3,FALSE)</f>
        <v>SPECTOR</v>
      </c>
      <c r="M16" s="6">
        <f t="shared" si="1"/>
        <v>2.73611111115315E-2</v>
      </c>
      <c r="N16" s="7">
        <f t="shared" si="2"/>
        <v>39.40000000060536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6"/>
        <v>N</v>
      </c>
      <c r="X16" s="177">
        <f t="shared" si="16"/>
        <v>1</v>
      </c>
      <c r="Y16" s="67">
        <f t="shared" si="7"/>
        <v>23.2652</v>
      </c>
      <c r="Z16" s="67">
        <f t="shared" si="8"/>
        <v>1.4500000000000001E-2</v>
      </c>
      <c r="AA16" s="67">
        <f t="shared" si="9"/>
        <v>23.250699999999998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 t="shared" si="10"/>
        <v>0104-17</v>
      </c>
      <c r="AE16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6" s="88" t="str">
        <f t="shared" si="12"/>
        <v>"C:\Program Files (x86)\AstroGrep\AstroGrep.exe" /spath="%USERPROFILE%\AppData\Local\Temp\OnboardLogs" /stypes="app*4013*20161117*" /stext=" 12:.+((SYSTEM_STATE.+slice.+state.+changed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17"/>
        <v>"%USERPROFILE%\Documents\GitHub\eaglep3\Utilities\RefineRTDCRunTimes.py" --tripid 104-17 --locoid 4013 --swversion DE.1.0.8.0 --startMP 204:232652 --initTime 2016-11-17T04:48:58 --startdatetime 2016-11-17T04:53:28 --delay 3 --endMP 204:145 --enddatetime 2016-11-17T05:32:52 --enforcementcount 0 &gt;&gt;C:\Users\stu\Documents\GitHub\eaglep3-reporting\EC\2016-11-17-refined-times.txt</v>
      </c>
      <c r="AI1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ID","value":"104-17"},{"id":16,"name":"Locomotive ID","value":"4013"},{"id":130,"name":"Impact","value":""},{"id":150,"name":"Time of Event (Mountain Time)","value":"05:32:52"},{"id":151,"name":"Denver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459</v>
      </c>
      <c r="B17" s="7">
        <v>4022</v>
      </c>
      <c r="C17" s="22" t="s">
        <v>220</v>
      </c>
      <c r="D17" s="22" t="s">
        <v>641</v>
      </c>
      <c r="E17" s="13">
        <v>42691.185115740744</v>
      </c>
      <c r="F17" s="13">
        <v>42691.187002314815</v>
      </c>
      <c r="G17" s="7">
        <v>1</v>
      </c>
      <c r="H17" s="22" t="s">
        <v>642</v>
      </c>
      <c r="I17" s="13">
        <v>42691.188067129631</v>
      </c>
      <c r="J17" s="7">
        <v>0</v>
      </c>
      <c r="K17" s="109" t="str">
        <f t="shared" si="0"/>
        <v>4021/4022</v>
      </c>
      <c r="L17" s="22" t="str">
        <f>VLOOKUP(A17,'Trips&amp;Operators'!$C$1:$E$10000,3,FALSE)</f>
        <v>DE LA ROSA</v>
      </c>
      <c r="M17" s="6">
        <f t="shared" si="1"/>
        <v>1.0648148163454607E-3</v>
      </c>
      <c r="N17" s="7"/>
      <c r="O17" s="7"/>
      <c r="P17" s="7">
        <f t="shared" si="2"/>
        <v>1.5333333355374634</v>
      </c>
      <c r="Q17" s="23"/>
      <c r="R17" s="23" t="s">
        <v>792</v>
      </c>
      <c r="S17" s="35">
        <f t="shared" si="3"/>
        <v>8.3333333333333329E-2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03:26:34-700',mode:absolute,to:'2016-11-17 05:30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Y</v>
      </c>
      <c r="X17" s="177">
        <f t="shared" si="16"/>
        <v>1</v>
      </c>
      <c r="Y17" s="67">
        <f t="shared" si="7"/>
        <v>3.7254999999999998</v>
      </c>
      <c r="Z17" s="67">
        <v>4.4000000000000004</v>
      </c>
      <c r="AA17" s="67">
        <f t="shared" si="9"/>
        <v>0.67450000000000054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0105-17</v>
      </c>
      <c r="AE17" s="91" t="str">
        <f t="shared" si="11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7" s="88" t="str">
        <f t="shared" si="12"/>
        <v>"C:\Program Files (x86)\AstroGrep\AstroGrep.exe" /spath="%USERPROFILE%\AppData\Local\Temp\OnboardLogs" /stypes="app*4022*20161117*" /stext=" 11:.+((SYSTEM_STATE.+slice.+state.+changed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17"/>
        <v>"%USERPROFILE%\Documents\GitHub\eaglep3\Utilities\RefineRTDCRunTimes.py" --tripid 105-17 --locoid 4022 --swversion DE.1.0.8.0 --startMP 204:37255 --initTime 2016-11-17T04:26:34 --startdatetime 2016-11-17T04:29:17 --delay 1 --endMP 204:233302 --enddatetime 2016-11-17T04:30:49 --enforcementcount 0 &gt;&gt;C:\Users\stu\Documents\GitHub\eaglep3-reporting\EC\2016-11-17-refined-times.txt</v>
      </c>
      <c r="AI17" s="119" t="str">
        <f t="shared" si="18"/>
        <v>echo {"issue":{"subject":"Wi-MAX went offline for 8 hours","project_id":79,"tracker_id":40,"status_id":1,"priority_id":2,"assigned_to_id":23,"start_date":"2016-11-17","description":"11/17/2016 04:31:10 - Wi-MAX went offline for 8 hours","custom_fields":[{"id":1,"name":"Subdivision","value":"EC"},{"id":4,"name":"Milepost","value":"4.4"},{"id":17,"name":"Train ID","value":"105-17"},{"id":16,"name":"Locomotive ID","value":"4022"},{"id":130,"name":"Impact","value":"Unexpected Cut-Out or Disengaged"},{"id":150,"name":"Time of Event (Mountain Time)","value":"04:30:49"},{"id":151,"name":"Denver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7" s="53" t="s">
        <v>791</v>
      </c>
      <c r="AK17" s="53" t="s">
        <v>131</v>
      </c>
      <c r="AL17" s="53" t="s">
        <v>138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793</v>
      </c>
      <c r="B18" s="7"/>
      <c r="C18" s="22" t="s">
        <v>220</v>
      </c>
      <c r="D18" s="22" t="s">
        <v>641</v>
      </c>
      <c r="E18" s="13">
        <v>42691.185115740744</v>
      </c>
      <c r="F18" s="13"/>
      <c r="G18" s="7">
        <v>1</v>
      </c>
      <c r="H18" s="22" t="s">
        <v>642</v>
      </c>
      <c r="I18" s="13"/>
      <c r="J18" s="7">
        <v>0</v>
      </c>
      <c r="K18" s="109" t="str">
        <f t="shared" ref="K18" si="19">IF(ISEVEN(B18),(B18-1)&amp;"/"&amp;B18,B18&amp;"/"&amp;(B18+1))</f>
        <v>-1/</v>
      </c>
      <c r="L18" s="22" t="e">
        <f>VLOOKUP(A18,'Trips&amp;Operators'!$C$1:$E$10000,3,FALSE)</f>
        <v>#N/A</v>
      </c>
      <c r="M18" s="6">
        <f t="shared" ref="M18" si="20">I18-F18</f>
        <v>0</v>
      </c>
      <c r="N18" s="7"/>
      <c r="O18" s="7"/>
      <c r="P18" s="7">
        <v>1</v>
      </c>
      <c r="Q18" s="23"/>
      <c r="R18" s="23" t="s">
        <v>794</v>
      </c>
      <c r="S18" s="35">
        <f t="shared" ref="S18" si="21">SUM(U18:U18)/IF(AG18="EC",12,1)</f>
        <v>0</v>
      </c>
      <c r="T18" s="50" t="str">
        <f t="shared" ref="T18" si="22"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8" t="str">
        <f t="shared" ref="V18" si="23"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https://search-rtdc-monitor-bjffxe2xuh6vdkpspy63sjmuny.us-east-1.es.amazonaws.com/_plugin/kibana/#/discover/Steve-Slow-Train-Analysis-(2080s-and-2083s)?_g=(refreshInterval:(display:Off,section:0,value:0),time:(from:'2016-11-17 03:26:34-700',mode:absolute,to:'1900-01-00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8" s="52" t="str">
        <f t="shared" ref="W18" si="24">IF(AA18&lt;IF(AG18="EC",23,5.65),"Y","N")</f>
        <v>Y</v>
      </c>
      <c r="X18" s="177">
        <f t="shared" ref="X18:X19" si="25">VALUE(LEFT(AD18,4))-VALUE(LEFT(AD17,4))</f>
        <v>1</v>
      </c>
      <c r="Y18" s="67">
        <v>0</v>
      </c>
      <c r="Z18" s="67">
        <v>0</v>
      </c>
      <c r="AA18" s="67">
        <f t="shared" ref="AA18" si="26">ABS(Z18-Y18)</f>
        <v>0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ref="AD18" si="27">IF(LEN(A18)=6,"0"&amp;A18,A18)</f>
        <v>0106-17</v>
      </c>
      <c r="AE18" s="91" t="str">
        <f t="shared" ref="AE18" si="28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8" s="88" t="str">
        <f t="shared" ref="AF18" si="29"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/stypes="app**19000100*" /stext=" 07:.+((SYSTEM_STATE.+slice.+state.+changed )|(ment ac)|(system.+state.+changed )|(\[timeout)|(PRM\|1\|D)|(kpr)|(kdp)|(\|lc)|(penalty))" /e /r /s</v>
      </c>
      <c r="AG18" s="1" t="str">
        <f t="shared" ref="AG18" si="30">IFERROR(IF(VALUE(LEFT(AD18,2))&lt;=2,"EC",IF(OR(VALUE(LEFT(AD18,2))=8,VALUE(LEFT(AD18,2))=18),"NW","Other")),"Other")</f>
        <v>EC</v>
      </c>
      <c r="AH18" s="92" t="str">
        <f t="shared" ref="AH18" si="31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106-17 --locoid  --swversion DE.1.0.8.0 --startMP 204:37255 --initTime 2016-11-17T04:26:34 --startdatetime 1900-01-00T00:00:00 --delay 1 --endMP 204:233302 --enddatetime 1900-01-00T00:00:00 --enforcementcount 0 &gt;&gt;C:\Users\stu\Documents\GitHub\eaglep3-reporting\EC\2016-11-17-refined-times.txt</v>
      </c>
      <c r="AI18" s="119" t="str">
        <f t="shared" ref="AI18" si="32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init","project_id":79,"tracker_id":40,"status_id":1,"priority_id":2,"assigned_to_id":23,"start_date":"1900-01-00","description":"11/17/2016 04:31:10 - Wi-MAX went offline for 8 hours","custom_fields":[{"id":1,"name":"Subdivision","value":"EC"},{"id":4,"name":"Milepost","value":"0"},{"id":17,"name":"Train ID","value":"106-17"},{"id":16,"name":"Locomotive ID","value":""},{"id":130,"name":"Impact","value":"Unexpected Cut-Out or Disengaged"},{"id":150,"name":"Time of Event (Mountain Time)","value":"00:00:00"},{"id":151,"name":"Denver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8" s="53" t="s">
        <v>791</v>
      </c>
      <c r="AK18" s="53" t="s">
        <v>131</v>
      </c>
      <c r="AL18" s="53" t="s">
        <v>138</v>
      </c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</row>
    <row r="19" spans="1:91" s="1" customFormat="1" x14ac:dyDescent="0.25">
      <c r="A19" s="37" t="s">
        <v>457</v>
      </c>
      <c r="B19" s="7">
        <v>4038</v>
      </c>
      <c r="C19" s="22" t="s">
        <v>220</v>
      </c>
      <c r="D19" s="22" t="s">
        <v>248</v>
      </c>
      <c r="E19" s="13">
        <v>42691.181504629632</v>
      </c>
      <c r="F19" s="13">
        <v>42691.187962962962</v>
      </c>
      <c r="G19" s="7">
        <v>2</v>
      </c>
      <c r="H19" s="22" t="s">
        <v>200</v>
      </c>
      <c r="I19" s="13">
        <v>42691.217245370368</v>
      </c>
      <c r="J19" s="7">
        <v>0</v>
      </c>
      <c r="K19" s="109" t="str">
        <f t="shared" si="0"/>
        <v>4037/4038</v>
      </c>
      <c r="L19" s="22" t="str">
        <f>VLOOKUP(A19,'Trips&amp;Operators'!$C$1:$E$10000,3,FALSE)</f>
        <v>STRICKLAND</v>
      </c>
      <c r="M19" s="6">
        <f t="shared" si="1"/>
        <v>2.9282407405844424E-2</v>
      </c>
      <c r="N19" s="7">
        <f t="shared" si="2"/>
        <v>42.16666666441597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03:21:22-700',mode:absolute,to:'2016-11-17 06:12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" s="52" t="str">
        <f t="shared" si="6"/>
        <v>N</v>
      </c>
      <c r="X19" s="177">
        <f t="shared" si="25"/>
        <v>1</v>
      </c>
      <c r="Y19" s="67">
        <f t="shared" si="7"/>
        <v>4.7300000000000002E-2</v>
      </c>
      <c r="Z19" s="67">
        <f t="shared" si="8"/>
        <v>23.329499999999999</v>
      </c>
      <c r="AA19" s="67">
        <f t="shared" si="9"/>
        <v>23.2822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0107-17</v>
      </c>
      <c r="AE19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9" s="88" t="str">
        <f t="shared" si="12"/>
        <v>"C:\Program Files (x86)\AstroGrep\AstroGrep.exe" /spath="%USERPROFILE%\AppData\Local\Temp\OnboardLogs" /stypes="app*4038*20161117*" /stext=" 12:.+((SYSTEM_STATE.+slice.+state.+changed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17"/>
        <v>"%USERPROFILE%\Documents\GitHub\eaglep3\Utilities\RefineRTDCRunTimes.py" --tripid 107-17 --locoid 4038 --swversion DE.1.0.8.0 --startMP 204:473 --initTime 2016-11-17T04:21:22 --startdatetime 2016-11-17T04:30:40 --delay 2 --endMP 204:233295 --enddatetime 2016-11-17T05:12:50 --enforcementcount 0 &gt;&gt;C:\Users\stu\Documents\GitHub\eaglep3-reporting\EC\2016-11-17-refined-times.txt</v>
      </c>
      <c r="AI1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{"issue":{"subject":"","project_id":79,"tracker_id":40,"status_id":1,"priority_id":2,"assigned_to_id":23,"start_date":"2016-11-17","description":"","custom_fields":[{"id":1,"name":"Subdivision","value":"EC"},{"id":4,"name":"Milepost","value":"23.3295"},{"id":17,"name":"Train ID","value":"107-17"},{"id":16,"name":"Locomotive ID","value":"4038"},{"id":130,"name":"Impact","value":""},{"id":150,"name":"Time of Event (Mountain Time)","value":"05:12:50"},{"id":151,"name":"Denver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412</v>
      </c>
      <c r="B20" s="7">
        <v>4037</v>
      </c>
      <c r="C20" s="22" t="s">
        <v>220</v>
      </c>
      <c r="D20" s="22" t="s">
        <v>285</v>
      </c>
      <c r="E20" s="13">
        <v>42691.221053240741</v>
      </c>
      <c r="F20" s="13">
        <v>42691.227164351854</v>
      </c>
      <c r="G20" s="7">
        <v>1</v>
      </c>
      <c r="H20" s="22" t="s">
        <v>233</v>
      </c>
      <c r="I20" s="13">
        <v>42691.255462962959</v>
      </c>
      <c r="J20" s="7">
        <v>0</v>
      </c>
      <c r="K20" s="109" t="str">
        <f t="shared" si="0"/>
        <v>4037/4038</v>
      </c>
      <c r="L20" s="22" t="str">
        <f>VLOOKUP(A20,'Trips&amp;Operators'!$C$1:$E$10000,3,FALSE)</f>
        <v>STRICKLAND</v>
      </c>
      <c r="M20" s="6">
        <f t="shared" si="1"/>
        <v>2.8298611105128657E-2</v>
      </c>
      <c r="N20" s="7">
        <f t="shared" si="2"/>
        <v>40.749999991385266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04:18:19-700',mode:absolute,to:'2016-11-17 07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" s="52" t="str">
        <f t="shared" si="6"/>
        <v>N</v>
      </c>
      <c r="X20" s="177">
        <f t="shared" si="16"/>
        <v>1</v>
      </c>
      <c r="Y20" s="67">
        <f t="shared" si="7"/>
        <v>23.297499999999999</v>
      </c>
      <c r="Z20" s="67">
        <f t="shared" si="8"/>
        <v>1.6E-2</v>
      </c>
      <c r="AA20" s="67">
        <f t="shared" si="9"/>
        <v>23.281500000000001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0"/>
        <v>0108-17</v>
      </c>
      <c r="AE20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20" s="88" t="str">
        <f t="shared" si="12"/>
        <v>"C:\Program Files (x86)\AstroGrep\AstroGrep.exe" /spath="%USERPROFILE%\AppData\Local\Temp\OnboardLogs" /stypes="app*4037*20161117*" /stext=" 13:.+((SYSTEM_STATE.+slice.+state.+changed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17"/>
        <v>"%USERPROFILE%\Documents\GitHub\eaglep3\Utilities\RefineRTDCRunTimes.py" --tripid 108-17 --locoid 4037 --swversion DE.1.0.8.0 --startMP 204:232975 --initTime 2016-11-17T05:18:19 --startdatetime 2016-11-17T05:27:07 --delay 1 --endMP 204:160 --enddatetime 2016-11-17T06:07:52 --enforcementcount 0 &gt;&gt;C:\Users\stu\Documents\GitHub\eaglep3-reporting\EC\2016-11-17-refined-times.txt</v>
      </c>
      <c r="AI2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ID","value":"108-17"},{"id":16,"name":"Locomotive ID","value":"4037"},{"id":130,"name":"Impact","value":""},{"id":150,"name":"Time of Event (Mountain Time)","value":"06:07:52"},{"id":151,"name":"Denver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4042</v>
      </c>
      <c r="C21" s="22" t="s">
        <v>220</v>
      </c>
      <c r="D21" s="22" t="s">
        <v>222</v>
      </c>
      <c r="E21" s="13">
        <v>42691.194432870368</v>
      </c>
      <c r="F21" s="13">
        <v>42691.198275462964</v>
      </c>
      <c r="G21" s="7">
        <v>2</v>
      </c>
      <c r="H21" s="22" t="s">
        <v>231</v>
      </c>
      <c r="I21" s="13">
        <v>42691.222442129627</v>
      </c>
      <c r="J21" s="7">
        <v>0</v>
      </c>
      <c r="K21" s="109" t="str">
        <f t="shared" si="0"/>
        <v>4041/4042</v>
      </c>
      <c r="L21" s="22" t="str">
        <f>VLOOKUP(A21,'Trips&amp;Operators'!$C$1:$E$10000,3,FALSE)</f>
        <v>SAFIEF</v>
      </c>
      <c r="M21" s="6">
        <f t="shared" si="1"/>
        <v>2.4166666662495118E-2</v>
      </c>
      <c r="N21" s="7">
        <f t="shared" si="2"/>
        <v>34.799999993992969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03:39:59-700',mode:absolute,to:'2016-11-17 06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16"/>
        <v>1</v>
      </c>
      <c r="Y21" s="67">
        <f t="shared" si="7"/>
        <v>4.58E-2</v>
      </c>
      <c r="Z21" s="67">
        <f t="shared" si="8"/>
        <v>23.3306</v>
      </c>
      <c r="AA21" s="67">
        <f t="shared" si="9"/>
        <v>23.284800000000001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0109-17</v>
      </c>
      <c r="AE21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21" s="88" t="str">
        <f t="shared" si="12"/>
        <v>"C:\Program Files (x86)\AstroGrep\AstroGrep.exe" /spath="%USERPROFILE%\AppData\Local\Temp\OnboardLogs" /stypes="app*4042*20161117*" /stext=" 12:.+((SYSTEM_STATE.+slice.+state.+changed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17"/>
        <v>"%USERPROFILE%\Documents\GitHub\eaglep3\Utilities\RefineRTDCRunTimes.py" --tripid 109-17 --locoid 4042 --swversion DE.1.0.8.0 --startMP 204:458 --initTime 2016-11-17T04:39:59 --startdatetime 2016-11-17T04:45:31 --delay 2 --endMP 204:233306 --enddatetime 2016-11-17T05:20:19 --enforcementcount 0 &gt;&gt;C:\Users\stu\Documents\GitHub\eaglep3-reporting\EC\2016-11-17-refined-times.txt</v>
      </c>
      <c r="AI2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ID","value":"109-17"},{"id":16,"name":"Locomotive ID","value":"4042"},{"id":130,"name":"Impact","value":""},{"id":150,"name":"Time of Event (Mountain Time)","value":"05:20:19"},{"id":151,"name":"Denver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468</v>
      </c>
      <c r="B22" s="7">
        <v>4041</v>
      </c>
      <c r="C22" s="22" t="s">
        <v>220</v>
      </c>
      <c r="D22" s="22" t="s">
        <v>331</v>
      </c>
      <c r="E22" s="13">
        <v>42691.235462962963</v>
      </c>
      <c r="F22" s="13">
        <v>42691.237719907411</v>
      </c>
      <c r="G22" s="7">
        <v>1</v>
      </c>
      <c r="H22" s="22" t="s">
        <v>234</v>
      </c>
      <c r="I22" s="13">
        <v>42691.263831018521</v>
      </c>
      <c r="J22" s="7">
        <v>0</v>
      </c>
      <c r="K22" s="109" t="str">
        <f t="shared" si="0"/>
        <v>4041/4042</v>
      </c>
      <c r="L22" s="22" t="str">
        <f>VLOOKUP(A22,'Trips&amp;Operators'!$C$1:$E$10000,3,FALSE)</f>
        <v>SAFIEF</v>
      </c>
      <c r="M22" s="6">
        <f t="shared" si="1"/>
        <v>2.6111111110367347E-2</v>
      </c>
      <c r="N22" s="7">
        <f t="shared" si="2"/>
        <v>37.599999998928979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04:39:04-700',mode:absolute,to:'2016-11-17 07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16"/>
        <v>1</v>
      </c>
      <c r="Y22" s="67">
        <f t="shared" si="7"/>
        <v>23.299800000000001</v>
      </c>
      <c r="Z22" s="67">
        <f t="shared" si="8"/>
        <v>1.4999999999999999E-2</v>
      </c>
      <c r="AA22" s="67">
        <f t="shared" si="9"/>
        <v>23.284800000000001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0"/>
        <v>0110-17</v>
      </c>
      <c r="AE22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22" s="88" t="str">
        <f t="shared" si="12"/>
        <v>"C:\Program Files (x86)\AstroGrep\AstroGrep.exe" /spath="%USERPROFILE%\AppData\Local\Temp\OnboardLogs" /stypes="app*4041*20161117*" /stext=" 13:.+((SYSTEM_STATE.+slice.+state.+changed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17"/>
        <v>"%USERPROFILE%\Documents\GitHub\eaglep3\Utilities\RefineRTDCRunTimes.py" --tripid 110-17 --locoid 4041 --swversion DE.1.0.8.0 --startMP 204:232998 --initTime 2016-11-17T05:39:04 --startdatetime 2016-11-17T05:42:19 --delay 1 --endMP 204:150 --enddatetime 2016-11-17T06:19:55 --enforcementcount 0 &gt;&gt;C:\Users\stu\Documents\GitHub\eaglep3-reporting\EC\2016-11-17-refined-times.txt</v>
      </c>
      <c r="AI2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ID","value":"110-17"},{"id":16,"name":"Locomotive ID","value":"4041"},{"id":130,"name":"Impact","value":""},{"id":150,"name":"Time of Event (Mountain Time)","value":"06:19:55"},{"id":151,"name":"Denver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463</v>
      </c>
      <c r="B23" s="7">
        <v>4011</v>
      </c>
      <c r="C23" s="22" t="s">
        <v>220</v>
      </c>
      <c r="D23" s="22" t="s">
        <v>303</v>
      </c>
      <c r="E23" s="13">
        <v>42691.198819444442</v>
      </c>
      <c r="F23" s="13">
        <v>42691.208541666667</v>
      </c>
      <c r="G23" s="7">
        <v>3</v>
      </c>
      <c r="H23" s="22" t="s">
        <v>378</v>
      </c>
      <c r="I23" s="13">
        <v>42691.234270833331</v>
      </c>
      <c r="J23" s="7">
        <v>0</v>
      </c>
      <c r="K23" s="109" t="str">
        <f t="shared" si="0"/>
        <v>4011/4012</v>
      </c>
      <c r="L23" s="22" t="str">
        <f>VLOOKUP(A23,'Trips&amp;Operators'!$C$1:$E$10000,3,FALSE)</f>
        <v>STARKS</v>
      </c>
      <c r="M23" s="6">
        <f t="shared" si="1"/>
        <v>2.5729166663950309E-2</v>
      </c>
      <c r="N23" s="7">
        <f t="shared" si="2"/>
        <v>37.049999996088445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03:46:18-700',mode:absolute,to:'2016-11-17 06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" s="52" t="str">
        <f t="shared" si="6"/>
        <v>N</v>
      </c>
      <c r="X23" s="177">
        <f t="shared" si="16"/>
        <v>1</v>
      </c>
      <c r="Y23" s="67">
        <f t="shared" si="7"/>
        <v>4.3999999999999997E-2</v>
      </c>
      <c r="Z23" s="67">
        <f t="shared" si="8"/>
        <v>23.3293</v>
      </c>
      <c r="AA23" s="67">
        <f t="shared" si="9"/>
        <v>23.285299999999999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0"/>
        <v>0111-17</v>
      </c>
      <c r="AE23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3" s="88" t="str">
        <f t="shared" si="12"/>
        <v>"C:\Program Files (x86)\AstroGrep\AstroGrep.exe" /spath="%USERPROFILE%\AppData\Local\Temp\OnboardLogs" /stypes="app*4011*20161117*" /stext=" 12:.+((SYSTEM_STATE.+slice.+state.+changed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17"/>
        <v>"%USERPROFILE%\Documents\GitHub\eaglep3\Utilities\RefineRTDCRunTimes.py" --tripid 111-17 --locoid 4011 --swversion DE.1.0.8.0 --startMP 204:440 --initTime 2016-11-17T04:46:18 --startdatetime 2016-11-17T05:00:18 --delay 3 --endMP 204:233293 --enddatetime 2016-11-17T05:37:21 --enforcementcount 0 &gt;&gt;C:\Users\stu\Documents\GitHub\eaglep3-reporting\EC\2016-11-17-refined-times.txt</v>
      </c>
      <c r="AI2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{"issue":{"subject":"","project_id":79,"tracker_id":40,"status_id":1,"priority_id":2,"assigned_to_id":23,"start_date":"2016-11-17","description":"","custom_fields":[{"id":1,"name":"Subdivision","value":"EC"},{"id":4,"name":"Milepost","value":"23.3293"},{"id":17,"name":"Train ID","value":"111-17"},{"id":16,"name":"Locomotive ID","value":"4011"},{"id":130,"name":"Impact","value":""},{"id":150,"name":"Time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470</v>
      </c>
      <c r="B24" s="7">
        <v>4012</v>
      </c>
      <c r="C24" s="22" t="s">
        <v>220</v>
      </c>
      <c r="D24" s="22" t="s">
        <v>376</v>
      </c>
      <c r="E24" s="13">
        <v>42691.24590277778</v>
      </c>
      <c r="F24" s="13">
        <v>42691.247407407405</v>
      </c>
      <c r="G24" s="7">
        <v>1</v>
      </c>
      <c r="H24" s="22" t="s">
        <v>233</v>
      </c>
      <c r="I24" s="13">
        <v>42691.275277777779</v>
      </c>
      <c r="J24" s="7">
        <v>0</v>
      </c>
      <c r="K24" s="109" t="str">
        <f t="shared" si="0"/>
        <v>4011/4012</v>
      </c>
      <c r="L24" s="22" t="str">
        <f>VLOOKUP(A24,'Trips&amp;Operators'!$C$1:$E$10000,3,FALSE)</f>
        <v>STARKS</v>
      </c>
      <c r="M24" s="6">
        <f t="shared" si="1"/>
        <v>2.7870370373420883E-2</v>
      </c>
      <c r="N24" s="7">
        <f t="shared" si="2"/>
        <v>40.133333337726071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04:54:06-700',mode:absolute,to:'2016-11-17 07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" s="52" t="str">
        <f t="shared" si="6"/>
        <v>N</v>
      </c>
      <c r="X24" s="177">
        <f t="shared" si="16"/>
        <v>1</v>
      </c>
      <c r="Y24" s="67">
        <f t="shared" si="7"/>
        <v>23.298200000000001</v>
      </c>
      <c r="Z24" s="67">
        <f t="shared" si="8"/>
        <v>1.6E-2</v>
      </c>
      <c r="AA24" s="67">
        <f t="shared" si="9"/>
        <v>23.282200000000003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0"/>
        <v>0112-17</v>
      </c>
      <c r="AE24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24" s="88" t="str">
        <f t="shared" si="12"/>
        <v>"C:\Program Files (x86)\AstroGrep\AstroGrep.exe" /spath="%USERPROFILE%\AppData\Local\Temp\OnboardLogs" /stypes="app*4012*20161117*" /stext=" 13:.+((SYSTEM_STATE.+slice.+state.+changed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17"/>
        <v>"%USERPROFILE%\Documents\GitHub\eaglep3\Utilities\RefineRTDCRunTimes.py" --tripid 112-17 --locoid 4012 --swversion DE.1.0.8.0 --startMP 204:232982 --initTime 2016-11-17T05:54:06 --startdatetime 2016-11-17T05:56:16 --delay 1 --endMP 204:160 --enddatetime 2016-11-17T06:36:24 --enforcementcount 0 &gt;&gt;C:\Users\stu\Documents\GitHub\eaglep3-reporting\EC\2016-11-17-refined-times.txt</v>
      </c>
      <c r="AI2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ID","value":"112-17"},{"id":16,"name":"Locomotive ID","value":"4012"},{"id":130,"name":"Impact","value":""},{"id":150,"name":"Time of Event (Mountain Time)","value":"06:36:24"},{"id":151,"name":"Denver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4002</v>
      </c>
      <c r="C25" s="22" t="s">
        <v>220</v>
      </c>
      <c r="D25" s="22" t="s">
        <v>643</v>
      </c>
      <c r="E25" s="13">
        <v>42691.219606481478</v>
      </c>
      <c r="F25" s="13">
        <v>42691.220937500002</v>
      </c>
      <c r="G25" s="7">
        <v>1</v>
      </c>
      <c r="H25" s="22" t="s">
        <v>644</v>
      </c>
      <c r="I25" s="13">
        <v>42691.245555555557</v>
      </c>
      <c r="J25" s="7">
        <v>0</v>
      </c>
      <c r="K25" s="109" t="str">
        <f t="shared" si="0"/>
        <v>4001/4002</v>
      </c>
      <c r="L25" s="22" t="str">
        <f>VLOOKUP(A25,'Trips&amp;Operators'!$C$1:$E$10000,3,FALSE)</f>
        <v>MAELZER</v>
      </c>
      <c r="M25" s="6">
        <f t="shared" si="1"/>
        <v>2.4618055555038154E-2</v>
      </c>
      <c r="N25" s="7">
        <f t="shared" si="2"/>
        <v>35.449999999254942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04:16:14-700',mode:absolute,to:'2016-11-17 06:53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 t="shared" si="6"/>
        <v>N</v>
      </c>
      <c r="X25" s="177">
        <f t="shared" si="16"/>
        <v>1</v>
      </c>
      <c r="Y25" s="67">
        <f t="shared" si="7"/>
        <v>7.8600000000000003E-2</v>
      </c>
      <c r="Z25" s="67">
        <f t="shared" si="8"/>
        <v>23.328499999999998</v>
      </c>
      <c r="AA25" s="67">
        <f t="shared" si="9"/>
        <v>23.249899999999997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0"/>
        <v>0113-17</v>
      </c>
      <c r="AE25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25" s="88" t="str">
        <f t="shared" si="12"/>
        <v>"C:\Program Files (x86)\AstroGrep\AstroGrep.exe" /spath="%USERPROFILE%\AppData\Local\Temp\OnboardLogs" /stypes="app*4002*20161117*" /stext=" 12:.+((SYSTEM_STATE.+slice.+state.+changed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17"/>
        <v>"%USERPROFILE%\Documents\GitHub\eaglep3\Utilities\RefineRTDCRunTimes.py" --tripid 113-17 --locoid 4002 --swversion DE.1.0.8.0 --startMP 204:786 --initTime 2016-11-17T05:16:14 --startdatetime 2016-11-17T05:18:09 --delay 1 --endMP 204:233285 --enddatetime 2016-11-17T05:53:36 --enforcementcount 0 &gt;&gt;C:\Users\stu\Documents\GitHub\eaglep3-reporting\EC\2016-11-17-refined-times.txt</v>
      </c>
      <c r="AI2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{"issue":{"subject":"","project_id":79,"tracker_id":40,"status_id":1,"priority_id":2,"assigned_to_id":23,"start_date":"2016-11-17","description":"","custom_fields":[{"id":1,"name":"Subdivision","value":"EC"},{"id":4,"name":"Milepost","value":"23.3285"},{"id":17,"name":"Train ID","value":"113-17"},{"id":16,"name":"Locomotive ID","value":"4002"},{"id":130,"name":"Impact","value":""},{"id":150,"name":"Time of Event (Mountain Time)","value":"05:53:36"},{"id":151,"name":"Denver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474</v>
      </c>
      <c r="B26" s="7">
        <v>4001</v>
      </c>
      <c r="C26" s="22" t="s">
        <v>220</v>
      </c>
      <c r="D26" s="22" t="s">
        <v>326</v>
      </c>
      <c r="E26" s="13">
        <v>42691.254814814813</v>
      </c>
      <c r="F26" s="13">
        <v>42691.257951388892</v>
      </c>
      <c r="G26" s="7">
        <v>1</v>
      </c>
      <c r="H26" s="22" t="s">
        <v>234</v>
      </c>
      <c r="I26" s="13">
        <v>42691.283784722225</v>
      </c>
      <c r="J26" s="7">
        <v>0</v>
      </c>
      <c r="K26" s="109" t="str">
        <f t="shared" si="0"/>
        <v>4001/4002</v>
      </c>
      <c r="L26" s="22" t="str">
        <f>VLOOKUP(A26,'Trips&amp;Operators'!$C$1:$E$10000,3,FALSE)</f>
        <v>MAELZER</v>
      </c>
      <c r="M26" s="6">
        <f t="shared" si="1"/>
        <v>2.5833333333139308E-2</v>
      </c>
      <c r="N26" s="7">
        <f t="shared" si="2"/>
        <v>37.199999999720603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05:06:56-700',mode:absolute,to:'2016-11-17 07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 t="shared" si="6"/>
        <v>N</v>
      </c>
      <c r="X26" s="177">
        <f t="shared" si="16"/>
        <v>1</v>
      </c>
      <c r="Y26" s="67">
        <f t="shared" si="7"/>
        <v>23.2974</v>
      </c>
      <c r="Z26" s="67">
        <f t="shared" si="8"/>
        <v>1.4999999999999999E-2</v>
      </c>
      <c r="AA26" s="67">
        <f t="shared" si="9"/>
        <v>23.282399999999999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0"/>
        <v>0114-17</v>
      </c>
      <c r="AE26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26" s="88" t="str">
        <f t="shared" si="12"/>
        <v>"C:\Program Files (x86)\AstroGrep\AstroGrep.exe" /spath="%USERPROFILE%\AppData\Local\Temp\OnboardLogs" /stypes="app*4001*20161117*" /stext=" 13:.+((SYSTEM_STATE.+slice.+state.+changed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17"/>
        <v>"%USERPROFILE%\Documents\GitHub\eaglep3\Utilities\RefineRTDCRunTimes.py" --tripid 114-17 --locoid 4001 --swversion DE.1.0.8.0 --startMP 204:232974 --initTime 2016-11-17T06:06:56 --startdatetime 2016-11-17T06:11:27 --delay 1 --endMP 204:150 --enddatetime 2016-11-17T06:48:39 --enforcementcount 0 &gt;&gt;C:\Users\stu\Documents\GitHub\eaglep3-reporting\EC\2016-11-17-refined-times.txt</v>
      </c>
      <c r="AI2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ID","value":"114-17"},{"id":16,"name":"Locomotive ID","value":"4001"},{"id":130,"name":"Impact","value":""},{"id":150,"name":"Time of Event (Mountain Time)","value":"06:48:39"},{"id":151,"name":"Denver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414</v>
      </c>
      <c r="B27" s="7">
        <v>4031</v>
      </c>
      <c r="C27" s="22" t="s">
        <v>220</v>
      </c>
      <c r="D27" s="22" t="s">
        <v>372</v>
      </c>
      <c r="E27" s="13">
        <v>42691.224768518521</v>
      </c>
      <c r="F27" s="13">
        <v>42691.22934027778</v>
      </c>
      <c r="G27" s="7">
        <v>1</v>
      </c>
      <c r="H27" s="22" t="s">
        <v>378</v>
      </c>
      <c r="I27" s="13">
        <v>42691.25540509259</v>
      </c>
      <c r="J27" s="7">
        <v>0</v>
      </c>
      <c r="K27" s="109" t="str">
        <f t="shared" si="0"/>
        <v>4031/4032</v>
      </c>
      <c r="L27" s="22" t="str">
        <f>VLOOKUP(A27,'Trips&amp;Operators'!$C$1:$E$10000,3,FALSE)</f>
        <v>RICHARDSON</v>
      </c>
      <c r="M27" s="6">
        <f t="shared" si="1"/>
        <v>2.6064814810524695E-2</v>
      </c>
      <c r="N27" s="7">
        <f t="shared" si="2"/>
        <v>37.53333332715556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04:23:40-700',mode:absolute,to:'2016-11-17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16"/>
        <v>1</v>
      </c>
      <c r="Y27" s="67">
        <f t="shared" si="7"/>
        <v>4.3700000000000003E-2</v>
      </c>
      <c r="Z27" s="67">
        <f t="shared" si="8"/>
        <v>23.3293</v>
      </c>
      <c r="AA27" s="67">
        <f t="shared" si="9"/>
        <v>23.285599999999999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0"/>
        <v>0115-17</v>
      </c>
      <c r="AE27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27" s="88" t="str">
        <f t="shared" si="12"/>
        <v>"C:\Program Files (x86)\AstroGrep\AstroGrep.exe" /spath="%USERPROFILE%\AppData\Local\Temp\OnboardLogs" /stypes="app*4031*20161117*" /stext=" 13:.+((SYSTEM_STATE.+slice.+state.+changed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17"/>
        <v>"%USERPROFILE%\Documents\GitHub\eaglep3\Utilities\RefineRTDCRunTimes.py" --tripid 115-17 --locoid 4031 --swversion DE.1.0.8.0 --startMP 204:437 --initTime 2016-11-17T05:23:40 --startdatetime 2016-11-17T05:30:15 --delay 1 --endMP 204:233293 --enddatetime 2016-11-17T06:07:47 --enforcementcount 0 &gt;&gt;C:\Users\stu\Documents\GitHub\eaglep3-reporting\EC\2016-11-17-refined-times.txt</v>
      </c>
      <c r="AI2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{"issue":{"subject":"","project_id":79,"tracker_id":40,"status_id":1,"priority_id":2,"assigned_to_id":23,"start_date":"2016-11-17","description":"","custom_fields":[{"id":1,"name":"Subdivision","value":"EC"},{"id":4,"name":"Milepost","value":"23.3293"},{"id":17,"name":"Train ID","value":"115-17"},{"id":16,"name":"Locomotive ID","value":"4031"},{"id":130,"name":"Impact","value":""},{"id":150,"name":"Time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477</v>
      </c>
      <c r="B28" s="7">
        <v>4032</v>
      </c>
      <c r="C28" s="22" t="s">
        <v>220</v>
      </c>
      <c r="D28" s="22" t="s">
        <v>373</v>
      </c>
      <c r="E28" s="13">
        <v>42691.259641203702</v>
      </c>
      <c r="F28" s="13">
        <v>42691.268287037034</v>
      </c>
      <c r="G28" s="7">
        <v>2</v>
      </c>
      <c r="H28" s="22" t="s">
        <v>234</v>
      </c>
      <c r="I28" s="13">
        <v>42691.295601851853</v>
      </c>
      <c r="J28" s="7">
        <v>0</v>
      </c>
      <c r="K28" s="109" t="str">
        <f t="shared" si="0"/>
        <v>4031/4032</v>
      </c>
      <c r="L28" s="22" t="str">
        <f>VLOOKUP(A28,'Trips&amp;Operators'!$C$1:$E$10000,3,FALSE)</f>
        <v>RICHARDSON</v>
      </c>
      <c r="M28" s="6">
        <f t="shared" si="1"/>
        <v>2.7314814818964805E-2</v>
      </c>
      <c r="N28" s="7">
        <f t="shared" si="2"/>
        <v>39.33333333930932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05:13:53-700',mode:absolute,to:'2016-11-17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 t="shared" si="16"/>
        <v>1</v>
      </c>
      <c r="Y28" s="67">
        <f t="shared" si="7"/>
        <v>23.297799999999999</v>
      </c>
      <c r="Z28" s="67">
        <f t="shared" si="8"/>
        <v>1.4999999999999999E-2</v>
      </c>
      <c r="AA28" s="67">
        <f t="shared" si="9"/>
        <v>23.282799999999998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0"/>
        <v>0116-17</v>
      </c>
      <c r="AE28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28" s="88" t="str">
        <f t="shared" si="12"/>
        <v>"C:\Program Files (x86)\AstroGrep\AstroGrep.exe" /spath="%USERPROFILE%\AppData\Local\Temp\OnboardLogs" /stypes="app*4032*20161117*" /stext=" 14:.+((SYSTEM_STATE.+slice.+state.+changed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17"/>
        <v>"%USERPROFILE%\Documents\GitHub\eaglep3\Utilities\RefineRTDCRunTimes.py" --tripid 116-17 --locoid 4032 --swversion DE.1.0.8.0 --startMP 204:232978 --initTime 2016-11-17T06:13:53 --startdatetime 2016-11-17T06:26:20 --delay 2 --endMP 204:150 --enddatetime 2016-11-17T07:05:40 --enforcementcount 0 &gt;&gt;C:\Users\stu\Documents\GitHub\eaglep3-reporting\EC\2016-11-17-refined-times.txt</v>
      </c>
      <c r="AI2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ID","value":"116-17"},{"id":16,"name":"Locomotive ID","value":"4032"},{"id":130,"name":"Impact","value":""},{"id":150,"name":"Time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469</v>
      </c>
      <c r="B29" s="7">
        <v>4003</v>
      </c>
      <c r="C29" s="22" t="s">
        <v>220</v>
      </c>
      <c r="D29" s="22" t="s">
        <v>645</v>
      </c>
      <c r="E29" s="13">
        <v>42691.237743055557</v>
      </c>
      <c r="F29" s="13">
        <v>42691.239756944444</v>
      </c>
      <c r="G29" s="7">
        <v>1</v>
      </c>
      <c r="H29" s="22" t="s">
        <v>646</v>
      </c>
      <c r="I29" s="13">
        <v>42691.264189814814</v>
      </c>
      <c r="J29" s="7">
        <v>0</v>
      </c>
      <c r="K29" s="109" t="str">
        <f t="shared" si="0"/>
        <v>4003/4004</v>
      </c>
      <c r="L29" s="22" t="str">
        <f>VLOOKUP(A29,'Trips&amp;Operators'!$C$1:$E$10000,3,FALSE)</f>
        <v>SPECTOR</v>
      </c>
      <c r="M29" s="6">
        <f t="shared" si="1"/>
        <v>2.4432870370219462E-2</v>
      </c>
      <c r="N29" s="7">
        <f t="shared" si="2"/>
        <v>35.183333333116025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04:42:21-700',mode:absolute,to:'2016-11-17 07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16"/>
        <v>1</v>
      </c>
      <c r="Y29" s="67">
        <f t="shared" si="7"/>
        <v>7.2800000000000004E-2</v>
      </c>
      <c r="Z29" s="67">
        <f t="shared" si="8"/>
        <v>23.329799999999999</v>
      </c>
      <c r="AA29" s="67">
        <f t="shared" si="9"/>
        <v>23.256999999999998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0"/>
        <v>0117-17</v>
      </c>
      <c r="AE29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29" s="88" t="str">
        <f t="shared" si="12"/>
        <v>"C:\Program Files (x86)\AstroGrep\AstroGrep.exe" /spath="%USERPROFILE%\AppData\Local\Temp\OnboardLogs" /stypes="app*4003*20161117*" /stext=" 13:.+((SYSTEM_STATE.+slice.+state.+changed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17"/>
        <v>"%USERPROFILE%\Documents\GitHub\eaglep3\Utilities\RefineRTDCRunTimes.py" --tripid 117-17 --locoid 4003 --swversion DE.1.0.8.0 --startMP 204:728 --initTime 2016-11-17T05:42:21 --startdatetime 2016-11-17T05:45:15 --delay 1 --endMP 204:233298 --enddatetime 2016-11-17T06:20:26 --enforcementcount 0 &gt;&gt;C:\Users\stu\Documents\GitHub\eaglep3-reporting\EC\2016-11-17-refined-times.txt</v>
      </c>
      <c r="AI2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{"issue":{"subject":"","project_id":79,"tracker_id":40,"status_id":1,"priority_id":2,"assigned_to_id":23,"start_date":"2016-11-17","description":"","custom_fields":[{"id":1,"name":"Subdivision","value":"EC"},{"id":4,"name":"Milepost","value":"23.3298"},{"id":17,"name":"Train ID","value":"117-17"},{"id":16,"name":"Locomotive ID","value":"4003"},{"id":130,"name":"Impact","value":""},{"id":150,"name":"Time of Event (Mountain Time)","value":"06:20:26"},{"id":151,"name":"Denver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417</v>
      </c>
      <c r="B30" s="7">
        <v>4004</v>
      </c>
      <c r="C30" s="22" t="s">
        <v>220</v>
      </c>
      <c r="D30" s="22" t="s">
        <v>647</v>
      </c>
      <c r="E30" s="13">
        <v>42691.27239583333</v>
      </c>
      <c r="F30" s="13">
        <v>42691.278645833336</v>
      </c>
      <c r="G30" s="7">
        <v>1</v>
      </c>
      <c r="H30" s="22" t="s">
        <v>648</v>
      </c>
      <c r="I30" s="13">
        <v>42691.305891203701</v>
      </c>
      <c r="J30" s="7">
        <v>0</v>
      </c>
      <c r="K30" s="109" t="str">
        <f t="shared" si="0"/>
        <v>4003/4004</v>
      </c>
      <c r="L30" s="22" t="str">
        <f>VLOOKUP(A30,'Trips&amp;Operators'!$C$1:$E$10000,3,FALSE)</f>
        <v>SPECTOR</v>
      </c>
      <c r="M30" s="6">
        <f t="shared" si="1"/>
        <v>2.7245370365562849E-2</v>
      </c>
      <c r="N30" s="7">
        <f t="shared" si="2"/>
        <v>39.233333326410502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05:32:15-700',mode:absolute,to:'2016-11-17 08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16"/>
        <v>1</v>
      </c>
      <c r="Y30" s="67">
        <f t="shared" si="7"/>
        <v>23.299099999999999</v>
      </c>
      <c r="Z30" s="67">
        <f t="shared" si="8"/>
        <v>1.7399999999999999E-2</v>
      </c>
      <c r="AA30" s="67">
        <f t="shared" si="9"/>
        <v>23.281700000000001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0"/>
        <v>0118-17</v>
      </c>
      <c r="AE30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30" s="88" t="str">
        <f t="shared" si="12"/>
        <v>"C:\Program Files (x86)\AstroGrep\AstroGrep.exe" /spath="%USERPROFILE%\AppData\Local\Temp\OnboardLogs" /stypes="app*4004*20161117*" /stext=" 14:.+((SYSTEM_STATE.+slice.+state.+changed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17"/>
        <v>"%USERPROFILE%\Documents\GitHub\eaglep3\Utilities\RefineRTDCRunTimes.py" --tripid 118-17 --locoid 4004 --swversion DE.1.0.8.0 --startMP 204:232991 --initTime 2016-11-17T06:32:15 --startdatetime 2016-11-17T06:41:15 --delay 1 --endMP 204:174 --enddatetime 2016-11-17T07:20:29 --enforcementcount 0 &gt;&gt;C:\Users\stu\Documents\GitHub\eaglep3-reporting\EC\2016-11-17-refined-times.txt</v>
      </c>
      <c r="AI3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{"issue":{"subject":"","project_id":79,"tracker_id":40,"status_id":1,"priority_id":2,"assigned_to_id":23,"start_date":"2016-11-17","description":"","custom_fields":[{"id":1,"name":"Subdivision","value":"EC"},{"id":4,"name":"Milepost","value":"0.0174"},{"id":17,"name":"Train ID","value":"118-17"},{"id":16,"name":"Locomotive ID","value":"4004"},{"id":130,"name":"Impact","value":""},{"id":150,"name":"Time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471</v>
      </c>
      <c r="B31" s="7">
        <v>4014</v>
      </c>
      <c r="C31" s="22" t="s">
        <v>220</v>
      </c>
      <c r="D31" s="22" t="s">
        <v>201</v>
      </c>
      <c r="E31" s="13">
        <v>42691.247442129628</v>
      </c>
      <c r="F31" s="13">
        <v>42691.250439814816</v>
      </c>
      <c r="G31" s="7">
        <v>1</v>
      </c>
      <c r="H31" s="22" t="s">
        <v>305</v>
      </c>
      <c r="I31" s="13">
        <v>42691.275000000001</v>
      </c>
      <c r="J31" s="7">
        <v>0</v>
      </c>
      <c r="K31" s="109" t="str">
        <f t="shared" si="0"/>
        <v>4013/4014</v>
      </c>
      <c r="L31" s="22" t="str">
        <f>VLOOKUP(A31,'Trips&amp;Operators'!$C$1:$E$10000,3,FALSE)</f>
        <v>DE LA ROSA</v>
      </c>
      <c r="M31" s="6">
        <f t="shared" si="1"/>
        <v>2.4560185185691807E-2</v>
      </c>
      <c r="N31" s="7">
        <f t="shared" si="2"/>
        <v>35.366666667396203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04:56:19-700',mode:absolute,to:'2016-11-17 07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16"/>
        <v>1</v>
      </c>
      <c r="Y31" s="67">
        <f t="shared" si="7"/>
        <v>4.5100000000000001E-2</v>
      </c>
      <c r="Z31" s="67">
        <f t="shared" si="8"/>
        <v>23.328800000000001</v>
      </c>
      <c r="AA31" s="67">
        <f t="shared" si="9"/>
        <v>23.2837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0"/>
        <v>0119-17</v>
      </c>
      <c r="AE31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31" s="88" t="str">
        <f t="shared" si="12"/>
        <v>"C:\Program Files (x86)\AstroGrep\AstroGrep.exe" /spath="%USERPROFILE%\AppData\Local\Temp\OnboardLogs" /stypes="app*4014*20161117*" /stext=" 13:.+((SYSTEM_STATE.+slice.+state.+changed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17"/>
        <v>"%USERPROFILE%\Documents\GitHub\eaglep3\Utilities\RefineRTDCRunTimes.py" --tripid 119-17 --locoid 4014 --swversion DE.1.0.8.0 --startMP 204:451 --initTime 2016-11-17T05:56:19 --startdatetime 2016-11-17T06:00:38 --delay 1 --endMP 204:233288 --enddatetime 2016-11-17T06:36:00 --enforcementcount 0 &gt;&gt;C:\Users\stu\Documents\GitHub\eaglep3-reporting\EC\2016-11-17-refined-times.txt</v>
      </c>
      <c r="AI3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{"issue":{"subject":"","project_id":79,"tracker_id":40,"status_id":1,"priority_id":2,"assigned_to_id":23,"start_date":"2016-11-17","description":"","custom_fields":[{"id":1,"name":"Subdivision","value":"EC"},{"id":4,"name":"Milepost","value":"23.3288"},{"id":17,"name":"Train ID","value":"119-17"},{"id":16,"name":"Locomotive ID","value":"4014"},{"id":130,"name":"Impact","value":""},{"id":150,"name":"Time of Event (Mountain Time)","value":"06:36:00"},{"id":151,"name":"Denver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481</v>
      </c>
      <c r="B32" s="7">
        <v>4013</v>
      </c>
      <c r="C32" s="22" t="s">
        <v>220</v>
      </c>
      <c r="D32" s="22" t="s">
        <v>649</v>
      </c>
      <c r="E32" s="13">
        <v>42691.282384259262</v>
      </c>
      <c r="F32" s="13">
        <v>42691.289085648146</v>
      </c>
      <c r="G32" s="7">
        <v>2</v>
      </c>
      <c r="H32" s="22" t="s">
        <v>650</v>
      </c>
      <c r="I32" s="13">
        <v>42691.316874999997</v>
      </c>
      <c r="J32" s="7">
        <v>0</v>
      </c>
      <c r="K32" s="109" t="str">
        <f t="shared" si="0"/>
        <v>4013/4014</v>
      </c>
      <c r="L32" s="22" t="str">
        <f>VLOOKUP(A32,'Trips&amp;Operators'!$C$1:$E$10000,3,FALSE)</f>
        <v>DE LA ROSA</v>
      </c>
      <c r="M32" s="6">
        <f t="shared" si="1"/>
        <v>2.7789351850515231E-2</v>
      </c>
      <c r="N32" s="7">
        <f t="shared" si="2"/>
        <v>40.016666664741933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05:46:38-700',mode:absolute,to:'2016-11-17 08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si="16"/>
        <v>1</v>
      </c>
      <c r="Y32" s="67">
        <f t="shared" si="7"/>
        <v>23.296900000000001</v>
      </c>
      <c r="Z32" s="67">
        <f t="shared" si="8"/>
        <v>1.3899999999999999E-2</v>
      </c>
      <c r="AA32" s="67">
        <f t="shared" si="9"/>
        <v>23.283000000000001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0"/>
        <v>0120-17</v>
      </c>
      <c r="AE32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32" s="88" t="str">
        <f t="shared" si="12"/>
        <v>"C:\Program Files (x86)\AstroGrep\AstroGrep.exe" /spath="%USERPROFILE%\AppData\Local\Temp\OnboardLogs" /stypes="app*4013*20161117*" /stext=" 14:.+((SYSTEM_STATE.+slice.+state.+changed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17"/>
        <v>"%USERPROFILE%\Documents\GitHub\eaglep3\Utilities\RefineRTDCRunTimes.py" --tripid 120-17 --locoid 4013 --swversion DE.1.0.8.0 --startMP 204:232969 --initTime 2016-11-17T06:46:38 --startdatetime 2016-11-17T06:56:17 --delay 2 --endMP 204:139 --enddatetime 2016-11-17T07:36:18 --enforcementcount 0 &gt;&gt;C:\Users\stu\Documents\GitHub\eaglep3-reporting\EC\2016-11-17-refined-times.txt</v>
      </c>
      <c r="AI3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{"issue":{"subject":"","project_id":79,"tracker_id":40,"status_id":1,"priority_id":2,"assigned_to_id":23,"start_date":"2016-11-17","description":"","custom_fields":[{"id":1,"name":"Subdivision","value":"EC"},{"id":4,"name":"Milepost","value":"0.0139"},{"id":17,"name":"Train ID","value":"120-17"},{"id":16,"name":"Locomotive ID","value":"4013"},{"id":130,"name":"Impact","value":""},{"id":150,"name":"Time of Event (Mountain Time)","value":"07:36:18"},{"id":151,"name":"Denver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475</v>
      </c>
      <c r="B33" s="7">
        <v>4038</v>
      </c>
      <c r="C33" s="22" t="s">
        <v>220</v>
      </c>
      <c r="D33" s="22" t="s">
        <v>222</v>
      </c>
      <c r="E33" s="13">
        <v>42691.256990740738</v>
      </c>
      <c r="F33" s="13">
        <v>42691.260740740741</v>
      </c>
      <c r="G33" s="7">
        <v>1</v>
      </c>
      <c r="H33" s="22" t="s">
        <v>295</v>
      </c>
      <c r="I33" s="13">
        <v>42691.28707175926</v>
      </c>
      <c r="J33" s="7">
        <v>0</v>
      </c>
      <c r="K33" s="109" t="str">
        <f t="shared" si="0"/>
        <v>4037/4038</v>
      </c>
      <c r="L33" s="22" t="str">
        <f>VLOOKUP(A33,'Trips&amp;Operators'!$C$1:$E$10000,3,FALSE)</f>
        <v>STRICKLAND</v>
      </c>
      <c r="M33" s="6">
        <f t="shared" si="1"/>
        <v>2.6331018518249039E-2</v>
      </c>
      <c r="N33" s="7">
        <f t="shared" si="2"/>
        <v>37.916666666278616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05:10:04-700',mode:absolute,to:'2016-11-17 07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3" s="52" t="str">
        <f t="shared" si="6"/>
        <v>N</v>
      </c>
      <c r="X33" s="177">
        <f t="shared" si="16"/>
        <v>1</v>
      </c>
      <c r="Y33" s="67">
        <f t="shared" si="7"/>
        <v>4.58E-2</v>
      </c>
      <c r="Z33" s="67">
        <f t="shared" si="8"/>
        <v>23.3308</v>
      </c>
      <c r="AA33" s="67">
        <f t="shared" si="9"/>
        <v>23.285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0"/>
        <v>0121-17</v>
      </c>
      <c r="AE33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33" s="88" t="str">
        <f t="shared" si="12"/>
        <v>"C:\Program Files (x86)\AstroGrep\AstroGrep.exe" /spath="%USERPROFILE%\AppData\Local\Temp\OnboardLogs" /stypes="app*4038*20161117*" /stext=" 13:.+((SYSTEM_STATE.+slice.+state.+changed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17"/>
        <v>"%USERPROFILE%\Documents\GitHub\eaglep3\Utilities\RefineRTDCRunTimes.py" --tripid 121-17 --locoid 4038 --swversion DE.1.0.8.0 --startMP 204:458 --initTime 2016-11-17T06:10:04 --startdatetime 2016-11-17T06:15:28 --delay 1 --endMP 204:233308 --enddatetime 2016-11-17T06:53:23 --enforcementcount 0 &gt;&gt;C:\Users\stu\Documents\GitHub\eaglep3-reporting\EC\2016-11-17-refined-times.txt</v>
      </c>
      <c r="AI3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{"issue":{"subject":"","project_id":79,"tracker_id":40,"status_id":1,"priority_id":2,"assigned_to_id":23,"start_date":"2016-11-17","description":"","custom_fields":[{"id":1,"name":"Subdivision","value":"EC"},{"id":4,"name":"Milepost","value":"23.3308"},{"id":17,"name":"Train ID","value":"121-17"},{"id":16,"name":"Locomotive ID","value":"4038"},{"id":130,"name":"Impact","value":""},{"id":150,"name":"Time of Event (Mountain Time)","value":"06:53:23"},{"id":151,"name":"Denver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482</v>
      </c>
      <c r="B34" s="7">
        <v>4037</v>
      </c>
      <c r="C34" s="22" t="s">
        <v>220</v>
      </c>
      <c r="D34" s="22" t="s">
        <v>284</v>
      </c>
      <c r="E34" s="13">
        <v>42691.295775462961</v>
      </c>
      <c r="F34" s="13">
        <v>42691.299560185187</v>
      </c>
      <c r="G34" s="7">
        <v>1</v>
      </c>
      <c r="H34" s="22" t="s">
        <v>367</v>
      </c>
      <c r="I34" s="13">
        <v>42691.326770833337</v>
      </c>
      <c r="J34" s="7">
        <v>0</v>
      </c>
      <c r="K34" s="109" t="str">
        <f t="shared" si="0"/>
        <v>4037/4038</v>
      </c>
      <c r="L34" s="22" t="str">
        <f>VLOOKUP(A34,'Trips&amp;Operators'!$C$1:$E$10000,3,FALSE)</f>
        <v>STRICKLAND</v>
      </c>
      <c r="M34" s="6">
        <f t="shared" si="1"/>
        <v>2.7210648149775807E-2</v>
      </c>
      <c r="N34" s="7">
        <f t="shared" si="2"/>
        <v>39.183333335677162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06:05:55-700',mode:absolute,to:'2016-11-17 08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4" s="52" t="str">
        <f t="shared" si="6"/>
        <v>N</v>
      </c>
      <c r="X34" s="177">
        <f t="shared" si="16"/>
        <v>1</v>
      </c>
      <c r="Y34" s="67">
        <f t="shared" si="7"/>
        <v>23.2989</v>
      </c>
      <c r="Z34" s="67">
        <f t="shared" si="8"/>
        <v>1.47E-2</v>
      </c>
      <c r="AA34" s="67">
        <f t="shared" si="9"/>
        <v>23.284199999999998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0"/>
        <v>0122-17</v>
      </c>
      <c r="AE34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34" s="88" t="str">
        <f t="shared" si="12"/>
        <v>"C:\Program Files (x86)\AstroGrep\AstroGrep.exe" /spath="%USERPROFILE%\AppData\Local\Temp\OnboardLogs" /stypes="app*4037*20161117*" /stext=" 14:.+((SYSTEM_STATE.+slice.+state.+changed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17"/>
        <v>"%USERPROFILE%\Documents\GitHub\eaglep3\Utilities\RefineRTDCRunTimes.py" --tripid 122-17 --locoid 4037 --swversion DE.1.0.8.0 --startMP 204:232989 --initTime 2016-11-17T07:05:55 --startdatetime 2016-11-17T07:11:22 --delay 1 --endMP 204:147 --enddatetime 2016-11-17T07:50:33 --enforcementcount 0 &gt;&gt;C:\Users\stu\Documents\GitHub\eaglep3-reporting\EC\2016-11-17-refined-times.txt</v>
      </c>
      <c r="AI3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{"issue":{"subject":"","project_id":79,"tracker_id":40,"status_id":1,"priority_id":2,"assigned_to_id":23,"start_date":"2016-11-17","description":"","custom_fields":[{"id":1,"name":"Subdivision","value":"EC"},{"id":4,"name":"Milepost","value":"0.0147"},{"id":17,"name":"Train ID","value":"122-17"},{"id":16,"name":"Locomotive ID","value":"4037"},{"id":130,"name":"Impact","value":""},{"id":150,"name":"Time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415</v>
      </c>
      <c r="B35" s="7">
        <v>4042</v>
      </c>
      <c r="C35" s="22" t="s">
        <v>220</v>
      </c>
      <c r="D35" s="22" t="s">
        <v>274</v>
      </c>
      <c r="E35" s="13">
        <v>42691.265856481485</v>
      </c>
      <c r="F35" s="13">
        <v>42691.27140046296</v>
      </c>
      <c r="G35" s="7">
        <v>2</v>
      </c>
      <c r="H35" s="22" t="s">
        <v>651</v>
      </c>
      <c r="I35" s="13">
        <v>42691.296747685185</v>
      </c>
      <c r="J35" s="7">
        <v>0</v>
      </c>
      <c r="K35" s="109" t="str">
        <f t="shared" si="0"/>
        <v>4041/4042</v>
      </c>
      <c r="L35" s="22" t="str">
        <f>VLOOKUP(A35,'Trips&amp;Operators'!$C$1:$E$10000,3,FALSE)</f>
        <v>SAFIEF</v>
      </c>
      <c r="M35" s="6">
        <f t="shared" si="1"/>
        <v>2.5347222224809229E-2</v>
      </c>
      <c r="N35" s="7">
        <f t="shared" si="2"/>
        <v>36.50000000372529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16"/>
        <v>1</v>
      </c>
      <c r="Y35" s="67">
        <f t="shared" si="7"/>
        <v>4.4900000000000002E-2</v>
      </c>
      <c r="Z35" s="67">
        <f t="shared" si="8"/>
        <v>23.328199999999999</v>
      </c>
      <c r="AA35" s="67">
        <f t="shared" si="9"/>
        <v>23.283300000000001</v>
      </c>
      <c r="AB35" s="64" t="str">
        <f>VLOOKUP(A35,Enforcements!$C$7:$K$20,8,0)</f>
        <v>Bulletin (2)</v>
      </c>
      <c r="AC35" s="60" t="str">
        <f>VLOOKUP(A35,Enforcements!$C$7:$E$20,3,0)</f>
        <v>GRADE CROSSING</v>
      </c>
      <c r="AD35" s="61" t="str">
        <f t="shared" si="10"/>
        <v>0123-17</v>
      </c>
      <c r="AE35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35" s="88" t="str">
        <f t="shared" si="12"/>
        <v>"C:\Program Files (x86)\AstroGrep\AstroGrep.exe" /spath="%USERPROFILE%\AppData\Local\Temp\OnboardLogs" /stypes="app*4042*20161117*" /stext=" 14:.+((SYSTEM_STATE.+slice.+state.+changed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17"/>
        <v>"%USERPROFILE%\Documents\GitHub\eaglep3\Utilities\RefineRTDCRunTimes.py" --tripid 123-17 --locoid 4042 --swversion DE.1.0.8.0 --startMP 204:449 --initTime 2016-11-17T06:22:50 --startdatetime 2016-11-17T06:30:49 --delay 2 --endMP 204:233282 --enddatetime 2016-11-17T07:07:19 --enforcementcount 0 &gt;&gt;C:\Users\stu\Documents\GitHub\eaglep3-reporting\EC\2016-11-17-refined-times.txt</v>
      </c>
      <c r="AI3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{"issue":{"subject":"","project_id":79,"tracker_id":40,"status_id":1,"priority_id":2,"assigned_to_id":23,"start_date":"2016-11-17","description":"","custom_fields":[{"id":1,"name":"Subdivision","value":"EC"},{"id":4,"name":"Milepost","value":"23.3282"},{"id":17,"name":"Train ID","value":"123-17"},{"id":16,"name":"Locomotive ID","value":"4042"},{"id":130,"name":"Impact","value":""},{"id":150,"name":"Time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485</v>
      </c>
      <c r="B36" s="7">
        <v>4041</v>
      </c>
      <c r="C36" s="22" t="s">
        <v>220</v>
      </c>
      <c r="D36" s="22" t="s">
        <v>652</v>
      </c>
      <c r="E36" s="13">
        <v>42691.30332175926</v>
      </c>
      <c r="F36" s="13">
        <v>42691.310624999998</v>
      </c>
      <c r="G36" s="7">
        <v>1</v>
      </c>
      <c r="H36" s="22" t="s">
        <v>212</v>
      </c>
      <c r="I36" s="13">
        <v>42691.337245370371</v>
      </c>
      <c r="J36" s="7">
        <v>0</v>
      </c>
      <c r="K36" s="109" t="str">
        <f t="shared" si="0"/>
        <v>4041/4042</v>
      </c>
      <c r="L36" s="22" t="str">
        <f>VLOOKUP(A36,'Trips&amp;Operators'!$C$1:$E$10000,3,FALSE)</f>
        <v>SAFIEF</v>
      </c>
      <c r="M36" s="6">
        <f t="shared" si="1"/>
        <v>2.662037037225673E-2</v>
      </c>
      <c r="N36" s="7">
        <f t="shared" si="2"/>
        <v>38.333333336049691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06:16:47-700',mode:absolute,to:'2016-11-17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16"/>
        <v>1</v>
      </c>
      <c r="Y36" s="67">
        <f t="shared" si="7"/>
        <v>23.296700000000001</v>
      </c>
      <c r="Z36" s="67">
        <f t="shared" si="8"/>
        <v>1.5599999999999999E-2</v>
      </c>
      <c r="AA36" s="67">
        <f t="shared" si="9"/>
        <v>23.281100000000002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0"/>
        <v>0124-17</v>
      </c>
      <c r="AE36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36" s="88" t="str">
        <f t="shared" si="12"/>
        <v>"C:\Program Files (x86)\AstroGrep\AstroGrep.exe" /spath="%USERPROFILE%\AppData\Local\Temp\OnboardLogs" /stypes="app*4041*20161117*" /stext=" 15:.+((SYSTEM_STATE.+slice.+state.+changed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17"/>
        <v>"%USERPROFILE%\Documents\GitHub\eaglep3\Utilities\RefineRTDCRunTimes.py" --tripid 124-17 --locoid 4041 --swversion DE.1.0.8.0 --startMP 204:232967 --initTime 2016-11-17T07:16:47 --startdatetime 2016-11-17T07:27:18 --delay 1 --endMP 204:156 --enddatetime 2016-11-17T08:05:38 --enforcementcount 0 &gt;&gt;C:\Users\stu\Documents\GitHub\eaglep3-reporting\EC\2016-11-17-refined-times.txt</v>
      </c>
      <c r="AI3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ID","value":"124-17"},{"id":16,"name":"Locomotive ID","value":"4041"},{"id":130,"name":"Impact","value":""},{"id":150,"name":"Time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480</v>
      </c>
      <c r="B37" s="7">
        <v>4011</v>
      </c>
      <c r="C37" s="22" t="s">
        <v>220</v>
      </c>
      <c r="D37" s="22" t="s">
        <v>201</v>
      </c>
      <c r="E37" s="13">
        <v>42691.279074074075</v>
      </c>
      <c r="F37" s="13">
        <v>42691.281944444447</v>
      </c>
      <c r="G37" s="7">
        <v>1</v>
      </c>
      <c r="H37" s="22" t="s">
        <v>386</v>
      </c>
      <c r="I37" s="13">
        <v>42691.307384259257</v>
      </c>
      <c r="J37" s="7">
        <v>0</v>
      </c>
      <c r="K37" s="109" t="str">
        <f t="shared" si="0"/>
        <v>4011/4012</v>
      </c>
      <c r="L37" s="22" t="str">
        <f>VLOOKUP(A37,'Trips&amp;Operators'!$C$1:$E$10000,3,FALSE)</f>
        <v>STARKS</v>
      </c>
      <c r="M37" s="6">
        <f t="shared" si="1"/>
        <v>2.5439814809942618E-2</v>
      </c>
      <c r="N37" s="7">
        <f t="shared" si="2"/>
        <v>36.63333332631737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05:41:52-700',mode:absolute,to:'2016-11-17 08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7" s="52" t="str">
        <f t="shared" si="6"/>
        <v>N</v>
      </c>
      <c r="X37" s="177">
        <f t="shared" si="16"/>
        <v>1</v>
      </c>
      <c r="Y37" s="67">
        <f t="shared" si="7"/>
        <v>4.5100000000000001E-2</v>
      </c>
      <c r="Z37" s="67">
        <f t="shared" si="8"/>
        <v>23.33</v>
      </c>
      <c r="AA37" s="67">
        <f t="shared" si="9"/>
        <v>23.284899999999997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0"/>
        <v>0125-17</v>
      </c>
      <c r="AE37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37" s="88" t="str">
        <f t="shared" si="12"/>
        <v>"C:\Program Files (x86)\AstroGrep\AstroGrep.exe" /spath="%USERPROFILE%\AppData\Local\Temp\OnboardLogs" /stypes="app*4011*20161117*" /stext=" 14:.+((SYSTEM_STATE.+slice.+state.+changed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17"/>
        <v>"%USERPROFILE%\Documents\GitHub\eaglep3\Utilities\RefineRTDCRunTimes.py" --tripid 125-17 --locoid 4011 --swversion DE.1.0.8.0 --startMP 204:451 --initTime 2016-11-17T06:41:52 --startdatetime 2016-11-17T06:46:00 --delay 1 --endMP 204:233300 --enddatetime 2016-11-17T07:22:38 --enforcementcount 0 &gt;&gt;C:\Users\stu\Documents\GitHub\eaglep3-reporting\EC\2016-11-17-refined-times.txt</v>
      </c>
      <c r="AI3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{"issue":{"subject":"","project_id":79,"tracker_id":40,"status_id":1,"priority_id":2,"assigned_to_id":23,"start_date":"2016-11-17","description":"","custom_fields":[{"id":1,"name":"Subdivision","value":"EC"},{"id":4,"name":"Milepost","value":"23.33"},{"id":17,"name":"Train ID","value":"125-17"},{"id":16,"name":"Locomotive ID","value":"4011"},{"id":130,"name":"Impact","value":""},{"id":150,"name":"Time of Event (Mountain Time)","value":"07:22:38"},{"id":151,"name":"Denver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421</v>
      </c>
      <c r="B38" s="7">
        <v>4012</v>
      </c>
      <c r="C38" s="22" t="s">
        <v>220</v>
      </c>
      <c r="D38" s="22" t="s">
        <v>289</v>
      </c>
      <c r="E38" s="13">
        <v>42691.318657407406</v>
      </c>
      <c r="F38" s="13">
        <v>42691.320393518516</v>
      </c>
      <c r="G38" s="7">
        <v>1</v>
      </c>
      <c r="H38" s="22" t="s">
        <v>650</v>
      </c>
      <c r="I38" s="13">
        <v>42691.347731481481</v>
      </c>
      <c r="J38" s="7">
        <v>0</v>
      </c>
      <c r="K38" s="109" t="str">
        <f t="shared" si="0"/>
        <v>4011/4012</v>
      </c>
      <c r="L38" s="22" t="str">
        <f>VLOOKUP(A38,'Trips&amp;Operators'!$C$1:$E$10000,3,FALSE)</f>
        <v>STARKS</v>
      </c>
      <c r="M38" s="6">
        <f t="shared" si="1"/>
        <v>2.7337962965248153E-2</v>
      </c>
      <c r="N38" s="7">
        <f t="shared" si="2"/>
        <v>39.36666666995734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06:38:52-700',mode:absolute,to:'2016-11-17 09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8" s="52" t="str">
        <f t="shared" si="6"/>
        <v>N</v>
      </c>
      <c r="X38" s="177">
        <f t="shared" si="16"/>
        <v>1</v>
      </c>
      <c r="Y38" s="67">
        <f t="shared" si="7"/>
        <v>23.3</v>
      </c>
      <c r="Z38" s="67">
        <f t="shared" si="8"/>
        <v>1.3899999999999999E-2</v>
      </c>
      <c r="AA38" s="67">
        <f t="shared" si="9"/>
        <v>23.286100000000001</v>
      </c>
      <c r="AB38" s="64" t="str">
        <f>VLOOKUP(A38,Enforcements!$C$7:$K$20,8,0)</f>
        <v>Bulletin (2)</v>
      </c>
      <c r="AC38" s="60" t="str">
        <f>VLOOKUP(A38,Enforcements!$C$7:$E$20,3,0)</f>
        <v>GRADE CROSSING</v>
      </c>
      <c r="AD38" s="61" t="str">
        <f t="shared" si="10"/>
        <v>0126-17</v>
      </c>
      <c r="AE38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38" s="88" t="str">
        <f t="shared" si="12"/>
        <v>"C:\Program Files (x86)\AstroGrep\AstroGrep.exe" /spath="%USERPROFILE%\AppData\Local\Temp\OnboardLogs" /stypes="app*4012*20161117*" /stext=" 15:.+((SYSTEM_STATE.+slice.+state.+changed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17"/>
        <v>"%USERPROFILE%\Documents\GitHub\eaglep3\Utilities\RefineRTDCRunTimes.py" --tripid 126-17 --locoid 4012 --swversion DE.1.0.8.0 --startMP 204:233000 --initTime 2016-11-17T07:38:52 --startdatetime 2016-11-17T07:41:22 --delay 1 --endMP 204:139 --enddatetime 2016-11-17T08:20:44 --enforcementcount 0 &gt;&gt;C:\Users\stu\Documents\GitHub\eaglep3-reporting\EC\2016-11-17-refined-times.txt</v>
      </c>
      <c r="AI3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{"issue":{"subject":"","project_id":79,"tracker_id":40,"status_id":1,"priority_id":2,"assigned_to_id":23,"start_date":"2016-11-17","description":"","custom_fields":[{"id":1,"name":"Subdivision","value":"EC"},{"id":4,"name":"Milepost","value":"0.0139"},{"id":17,"name":"Train ID","value":"126-17"},{"id":16,"name":"Locomotive ID","value":"4012"},{"id":130,"name":"Impact","value":""},{"id":150,"name":"Time of Event (Mountain Time)","value":"08:20:44"},{"id":151,"name":"Denver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416</v>
      </c>
      <c r="B39" s="7">
        <v>4002</v>
      </c>
      <c r="C39" s="22" t="s">
        <v>220</v>
      </c>
      <c r="D39" s="22" t="s">
        <v>201</v>
      </c>
      <c r="E39" s="13">
        <v>42691.287743055553</v>
      </c>
      <c r="F39" s="13">
        <v>42691.292013888888</v>
      </c>
      <c r="G39" s="7">
        <v>1</v>
      </c>
      <c r="H39" s="22" t="s">
        <v>283</v>
      </c>
      <c r="I39" s="13">
        <v>42691.317615740743</v>
      </c>
      <c r="J39" s="7">
        <v>0</v>
      </c>
      <c r="K39" s="109" t="str">
        <f t="shared" si="0"/>
        <v>4001/4002</v>
      </c>
      <c r="L39" s="22" t="str">
        <f>VLOOKUP(A39,'Trips&amp;Operators'!$C$1:$E$10000,3,FALSE)</f>
        <v>MAELZER</v>
      </c>
      <c r="M39" s="6">
        <f t="shared" si="1"/>
        <v>2.5601851855753921E-2</v>
      </c>
      <c r="N39" s="7">
        <f t="shared" si="2"/>
        <v>36.866666672285646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05:54:21-700',mode:absolute,to:'2016-11-17 08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9" s="52" t="str">
        <f t="shared" si="6"/>
        <v>N</v>
      </c>
      <c r="X39" s="177">
        <f t="shared" si="16"/>
        <v>1</v>
      </c>
      <c r="Y39" s="67">
        <f t="shared" si="7"/>
        <v>4.5100000000000001E-2</v>
      </c>
      <c r="Z39" s="67">
        <f t="shared" si="8"/>
        <v>23.330100000000002</v>
      </c>
      <c r="AA39" s="67">
        <f t="shared" si="9"/>
        <v>23.285</v>
      </c>
      <c r="AB39" s="64" t="str">
        <f>VLOOKUP(A39,Enforcements!$C$7:$K$20,8,0)</f>
        <v>Speed (6)</v>
      </c>
      <c r="AC39" s="60" t="str">
        <f>VLOOKUP(A39,Enforcements!$C$7:$E$20,3,0)</f>
        <v>PERMANENT SPEED RESTRICTION</v>
      </c>
      <c r="AD39" s="61" t="str">
        <f t="shared" si="10"/>
        <v>0127-17</v>
      </c>
      <c r="AE39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39" s="88" t="str">
        <f t="shared" si="12"/>
        <v>"C:\Program Files (x86)\AstroGrep\AstroGrep.exe" /spath="%USERPROFILE%\AppData\Local\Temp\OnboardLogs" /stypes="app*4002*20161117*" /stext=" 14:.+((SYSTEM_STATE.+slice.+state.+changed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17"/>
        <v>"%USERPROFILE%\Documents\GitHub\eaglep3\Utilities\RefineRTDCRunTimes.py" --tripid 127-17 --locoid 4002 --swversion DE.1.0.8.0 --startMP 204:451 --initTime 2016-11-17T06:54:21 --startdatetime 2016-11-17T07:00:30 --delay 1 --endMP 204:233301 --enddatetime 2016-11-17T07:37:22 --enforcementcount 0 &gt;&gt;C:\Users\stu\Documents\GitHub\eaglep3-reporting\EC\2016-11-17-refined-times.txt</v>
      </c>
      <c r="AI3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ID","value":"127-17"},{"id":16,"name":"Locomotive ID","value":"4002"},{"id":130,"name":"Impact","value":""},{"id":150,"name":"Time of Event (Mountain Time)","value":"07:37:22"},{"id":151,"name":"Denver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488</v>
      </c>
      <c r="B40" s="7">
        <v>4001</v>
      </c>
      <c r="C40" s="22" t="s">
        <v>220</v>
      </c>
      <c r="D40" s="22" t="s">
        <v>373</v>
      </c>
      <c r="E40" s="13">
        <v>42691.323611111111</v>
      </c>
      <c r="F40" s="13">
        <v>42691.331111111111</v>
      </c>
      <c r="G40" s="7">
        <v>1</v>
      </c>
      <c r="H40" s="22" t="s">
        <v>271</v>
      </c>
      <c r="I40" s="13">
        <v>42691.356932870367</v>
      </c>
      <c r="J40" s="7">
        <v>0</v>
      </c>
      <c r="K40" s="109" t="str">
        <f t="shared" si="0"/>
        <v>4001/4002</v>
      </c>
      <c r="L40" s="22" t="str">
        <f>VLOOKUP(A40,'Trips&amp;Operators'!$C$1:$E$10000,3,FALSE)</f>
        <v>MAELZER</v>
      </c>
      <c r="M40" s="6">
        <f t="shared" si="1"/>
        <v>2.5821759256359655E-2</v>
      </c>
      <c r="N40" s="7">
        <f t="shared" si="2"/>
        <v>37.183333329157904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06:46:00-700',mode:absolute,to:'2016-11-17 09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0" s="52" t="str">
        <f t="shared" si="6"/>
        <v>N</v>
      </c>
      <c r="X40" s="177">
        <f t="shared" si="16"/>
        <v>1</v>
      </c>
      <c r="Y40" s="67">
        <f t="shared" si="7"/>
        <v>23.297799999999999</v>
      </c>
      <c r="Z40" s="67">
        <f t="shared" si="8"/>
        <v>1.38E-2</v>
      </c>
      <c r="AA40" s="67">
        <f t="shared" si="9"/>
        <v>23.283999999999999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0"/>
        <v>0128-17</v>
      </c>
      <c r="AE40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40" s="88" t="str">
        <f t="shared" si="12"/>
        <v>"C:\Program Files (x86)\AstroGrep\AstroGrep.exe" /spath="%USERPROFILE%\AppData\Local\Temp\OnboardLogs" /stypes="app*4001*20161117*" /stext=" 15:.+((SYSTEM_STATE.+slice.+state.+changed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17"/>
        <v>"%USERPROFILE%\Documents\GitHub\eaglep3\Utilities\RefineRTDCRunTimes.py" --tripid 128-17 --locoid 4001 --swversion DE.1.0.8.0 --startMP 204:232978 --initTime 2016-11-17T07:46:00 --startdatetime 2016-11-17T07:56:48 --delay 1 --endMP 204:138 --enddatetime 2016-11-17T08:33:59 --enforcementcount 0 &gt;&gt;C:\Users\stu\Documents\GitHub\eaglep3-reporting\EC\2016-11-17-refined-times.txt</v>
      </c>
      <c r="AI4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ID","value":"128-17"},{"id":16,"name":"Locomotive ID","value":"4001"},{"id":130,"name":"Impact","value":""},{"id":150,"name":"Time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483</v>
      </c>
      <c r="B41" s="7">
        <v>4031</v>
      </c>
      <c r="C41" s="22" t="s">
        <v>220</v>
      </c>
      <c r="D41" s="22" t="s">
        <v>219</v>
      </c>
      <c r="E41" s="13">
        <v>42691.297372685185</v>
      </c>
      <c r="F41" s="13">
        <v>42691.302256944444</v>
      </c>
      <c r="G41" s="7">
        <v>1</v>
      </c>
      <c r="H41" s="22" t="s">
        <v>295</v>
      </c>
      <c r="I41" s="13">
        <v>42691.327314814815</v>
      </c>
      <c r="J41" s="7">
        <v>0</v>
      </c>
      <c r="K41" s="109" t="str">
        <f t="shared" si="0"/>
        <v>4031/4032</v>
      </c>
      <c r="L41" s="22" t="str">
        <f>VLOOKUP(A41,'Trips&amp;Operators'!$C$1:$E$10000,3,FALSE)</f>
        <v>RICHARDSON</v>
      </c>
      <c r="M41" s="6">
        <f t="shared" si="1"/>
        <v>2.5057870370801538E-2</v>
      </c>
      <c r="N41" s="7">
        <f t="shared" si="2"/>
        <v>36.083333333954215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06:08:13-700',mode:absolute,to:'2016-11-17 08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16"/>
        <v>1</v>
      </c>
      <c r="Y41" s="67">
        <f t="shared" si="7"/>
        <v>4.6399999999999997E-2</v>
      </c>
      <c r="Z41" s="67">
        <f t="shared" si="8"/>
        <v>23.3308</v>
      </c>
      <c r="AA41" s="67">
        <f t="shared" si="9"/>
        <v>23.284400000000002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0"/>
        <v>0129-17</v>
      </c>
      <c r="AE41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41" s="88" t="str">
        <f t="shared" si="12"/>
        <v>"C:\Program Files (x86)\AstroGrep\AstroGrep.exe" /spath="%USERPROFILE%\AppData\Local\Temp\OnboardLogs" /stypes="app*4031*20161117*" /stext=" 14:.+((SYSTEM_STATE.+slice.+state.+changed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17"/>
        <v>"%USERPROFILE%\Documents\GitHub\eaglep3\Utilities\RefineRTDCRunTimes.py" --tripid 129-17 --locoid 4031 --swversion DE.1.0.8.0 --startMP 204:464 --initTime 2016-11-17T07:08:13 --startdatetime 2016-11-17T07:15:15 --delay 1 --endMP 204:233308 --enddatetime 2016-11-17T07:51:20 --enforcementcount 0 &gt;&gt;C:\Users\stu\Documents\GitHub\eaglep3-reporting\EC\2016-11-17-refined-times.txt</v>
      </c>
      <c r="AI4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{"issue":{"subject":"","project_id":79,"tracker_id":40,"status_id":1,"priority_id":2,"assigned_to_id":23,"start_date":"2016-11-17","description":"","custom_fields":[{"id":1,"name":"Subdivision","value":"EC"},{"id":4,"name":"Milepost","value":"23.3308"},{"id":17,"name":"Train ID","value":"129-17"},{"id":16,"name":"Locomotive ID","value":"4031"},{"id":130,"name":"Impact","value":""},{"id":150,"name":"Time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490</v>
      </c>
      <c r="B42" s="7">
        <v>4032</v>
      </c>
      <c r="C42" s="22" t="s">
        <v>220</v>
      </c>
      <c r="D42" s="22" t="s">
        <v>216</v>
      </c>
      <c r="E42" s="13">
        <v>42691.330335648148</v>
      </c>
      <c r="F42" s="13">
        <v>42691.341145833336</v>
      </c>
      <c r="G42" s="7">
        <v>1</v>
      </c>
      <c r="H42" s="22" t="s">
        <v>327</v>
      </c>
      <c r="I42" s="13">
        <v>42691.367766203701</v>
      </c>
      <c r="J42" s="7">
        <v>0</v>
      </c>
      <c r="K42" s="109" t="str">
        <f t="shared" si="0"/>
        <v>4031/4032</v>
      </c>
      <c r="L42" s="22" t="str">
        <f>VLOOKUP(A42,'Trips&amp;Operators'!$C$1:$E$10000,3,FALSE)</f>
        <v>RICHARDSON</v>
      </c>
      <c r="M42" s="6">
        <f t="shared" si="1"/>
        <v>2.6620370364980772E-2</v>
      </c>
      <c r="N42" s="7">
        <f t="shared" si="2"/>
        <v>38.333333325572312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06:55:41-700',mode:absolute,to:'2016-11-17 09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16"/>
        <v>1</v>
      </c>
      <c r="Y42" s="67">
        <f t="shared" si="7"/>
        <v>23.298500000000001</v>
      </c>
      <c r="Z42" s="67">
        <f t="shared" si="8"/>
        <v>1.4500000000000001E-2</v>
      </c>
      <c r="AA42" s="67">
        <f t="shared" si="9"/>
        <v>23.283999999999999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0"/>
        <v>0130-17</v>
      </c>
      <c r="AE42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42" s="88" t="str">
        <f t="shared" si="12"/>
        <v>"C:\Program Files (x86)\AstroGrep\AstroGrep.exe" /spath="%USERPROFILE%\AppData\Local\Temp\OnboardLogs" /stypes="app*4032*20161117*" /stext=" 15:.+((SYSTEM_STATE.+slice.+state.+changed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17"/>
        <v>"%USERPROFILE%\Documents\GitHub\eaglep3\Utilities\RefineRTDCRunTimes.py" --tripid 130-17 --locoid 4032 --swversion DE.1.0.8.0 --startMP 204:232985 --initTime 2016-11-17T07:55:41 --startdatetime 2016-11-17T08:11:15 --delay 1 --endMP 204:145 --enddatetime 2016-11-17T08:49:35 --enforcementcount 0 &gt;&gt;C:\Users\stu\Documents\GitHub\eaglep3-reporting\EC\2016-11-17-refined-times.txt</v>
      </c>
      <c r="AI4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ID","value":"130-17"},{"id":16,"name":"Locomotive ID","value":"4032"},{"id":130,"name":"Impact","value":""},{"id":150,"name":"Time of Event (Mountain Time)","value":"08:49:35"},{"id":151,"name":"Denver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422</v>
      </c>
      <c r="B43" s="7">
        <v>4003</v>
      </c>
      <c r="C43" s="22" t="s">
        <v>220</v>
      </c>
      <c r="D43" s="22" t="s">
        <v>230</v>
      </c>
      <c r="E43" s="13">
        <v>42691.30840277778</v>
      </c>
      <c r="F43" s="13">
        <v>42691.3127662037</v>
      </c>
      <c r="G43" s="7">
        <v>1</v>
      </c>
      <c r="H43" s="22" t="s">
        <v>653</v>
      </c>
      <c r="I43" s="13">
        <v>42691.337060185186</v>
      </c>
      <c r="J43" s="7">
        <v>0</v>
      </c>
      <c r="K43" s="109" t="str">
        <f t="shared" si="0"/>
        <v>4003/4004</v>
      </c>
      <c r="L43" s="22" t="str">
        <f>VLOOKUP(A43,'Trips&amp;Operators'!$C$1:$E$10000,3,FALSE)</f>
        <v>SPECTOR</v>
      </c>
      <c r="M43" s="6">
        <f t="shared" si="1"/>
        <v>2.4293981485243421E-2</v>
      </c>
      <c r="N43" s="7">
        <f t="shared" si="2"/>
        <v>34.983333338750526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06:24:06-700',mode:absolute,to:'2016-11-17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N</v>
      </c>
      <c r="X43" s="177">
        <f t="shared" si="16"/>
        <v>1</v>
      </c>
      <c r="Y43" s="67">
        <f t="shared" si="7"/>
        <v>4.6899999999999997E-2</v>
      </c>
      <c r="Z43" s="67">
        <f t="shared" si="8"/>
        <v>23.326799999999999</v>
      </c>
      <c r="AA43" s="67">
        <f t="shared" si="9"/>
        <v>23.279899999999998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0"/>
        <v>0131-17</v>
      </c>
      <c r="AE43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43" s="88" t="str">
        <f t="shared" si="12"/>
        <v>"C:\Program Files (x86)\AstroGrep\AstroGrep.exe" /spath="%USERPROFILE%\AppData\Local\Temp\OnboardLogs" /stypes="app*4003*20161117*" /stext=" 15:.+((SYSTEM_STATE.+slice.+state.+changed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17"/>
        <v>"%USERPROFILE%\Documents\GitHub\eaglep3\Utilities\RefineRTDCRunTimes.py" --tripid 131-17 --locoid 4003 --swversion DE.1.0.8.0 --startMP 204:469 --initTime 2016-11-17T07:24:06 --startdatetime 2016-11-17T07:30:23 --delay 1 --endMP 204:233268 --enddatetime 2016-11-17T08:05:22 --enforcementcount 0 &gt;&gt;C:\Users\stu\Documents\GitHub\eaglep3-reporting\EC\2016-11-17-refined-times.txt</v>
      </c>
      <c r="AI4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{"issue":{"subject":"","project_id":79,"tracker_id":40,"status_id":1,"priority_id":2,"assigned_to_id":23,"start_date":"2016-11-17","description":"","custom_fields":[{"id":1,"name":"Subdivision","value":"EC"},{"id":4,"name":"Milepost","value":"23.3268"},{"id":17,"name":"Train ID","value":"131-17"},{"id":16,"name":"Locomotive ID","value":"4003"},{"id":130,"name":"Impact","value":""},{"id":150,"name":"Time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493</v>
      </c>
      <c r="B44" s="7">
        <v>4004</v>
      </c>
      <c r="C44" s="22" t="s">
        <v>220</v>
      </c>
      <c r="D44" s="22" t="s">
        <v>654</v>
      </c>
      <c r="E44" s="13">
        <v>42691.34578703704</v>
      </c>
      <c r="F44" s="13">
        <v>42691.3515625</v>
      </c>
      <c r="G44" s="7">
        <v>1</v>
      </c>
      <c r="H44" s="22" t="s">
        <v>327</v>
      </c>
      <c r="I44" s="13">
        <v>42691.377557870372</v>
      </c>
      <c r="J44" s="7">
        <v>0</v>
      </c>
      <c r="K44" s="109" t="str">
        <f t="shared" si="0"/>
        <v>4003/4004</v>
      </c>
      <c r="L44" s="22" t="str">
        <f>VLOOKUP(A44,'Trips&amp;Operators'!$C$1:$E$10000,3,FALSE)</f>
        <v>SPECTOR</v>
      </c>
      <c r="M44" s="6">
        <f t="shared" si="1"/>
        <v>2.5995370371674653E-2</v>
      </c>
      <c r="N44" s="7">
        <f t="shared" si="2"/>
        <v>37.433333335211501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07:17:56-700',mode:absolute,to:'2016-11-17 10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N</v>
      </c>
      <c r="X44" s="177">
        <f t="shared" si="16"/>
        <v>1</v>
      </c>
      <c r="Y44" s="67">
        <f t="shared" si="7"/>
        <v>23.298999999999999</v>
      </c>
      <c r="Z44" s="67">
        <f t="shared" si="8"/>
        <v>1.4500000000000001E-2</v>
      </c>
      <c r="AA44" s="67">
        <f t="shared" si="9"/>
        <v>23.284499999999998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0"/>
        <v>0132-17</v>
      </c>
      <c r="AE44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44" s="88" t="str">
        <f t="shared" si="12"/>
        <v>"C:\Program Files (x86)\AstroGrep\AstroGrep.exe" /spath="%USERPROFILE%\AppData\Local\Temp\OnboardLogs" /stypes="app*4004*20161117*" /stext=" 16:.+((SYSTEM_STATE.+slice.+state.+changed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17"/>
        <v>"%USERPROFILE%\Documents\GitHub\eaglep3\Utilities\RefineRTDCRunTimes.py" --tripid 132-17 --locoid 4004 --swversion DE.1.0.8.0 --startMP 204:232990 --initTime 2016-11-17T08:17:56 --startdatetime 2016-11-17T08:26:15 --delay 1 --endMP 204:145 --enddatetime 2016-11-17T09:03:41 --enforcementcount 0 &gt;&gt;C:\Users\stu\Documents\GitHub\eaglep3-reporting\EC\2016-11-17-refined-times.txt</v>
      </c>
      <c r="AI4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ID","value":"132-17"},{"id":16,"name":"Locomotive ID","value":"4004"},{"id":130,"name":"Impact","value":""},{"id":150,"name":"Time of Event (Mountain Time)","value":"09:03:41"},{"id":151,"name":"Denver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487</v>
      </c>
      <c r="B45" s="7">
        <v>4014</v>
      </c>
      <c r="C45" s="22" t="s">
        <v>220</v>
      </c>
      <c r="D45" s="22" t="s">
        <v>372</v>
      </c>
      <c r="E45" s="13">
        <v>42691.319687499999</v>
      </c>
      <c r="F45" s="13">
        <v>42691.323125000003</v>
      </c>
      <c r="G45" s="7">
        <v>1</v>
      </c>
      <c r="H45" s="22" t="s">
        <v>325</v>
      </c>
      <c r="I45" s="13">
        <v>42691.347511574073</v>
      </c>
      <c r="J45" s="7">
        <v>0</v>
      </c>
      <c r="K45" s="109" t="str">
        <f t="shared" si="0"/>
        <v>4013/4014</v>
      </c>
      <c r="L45" s="22" t="str">
        <f>VLOOKUP(A45,'Trips&amp;Operators'!$C$1:$E$10000,3,FALSE)</f>
        <v>DE LA ROSA</v>
      </c>
      <c r="M45" s="6">
        <f t="shared" si="1"/>
        <v>2.438657407037681E-2</v>
      </c>
      <c r="N45" s="7">
        <f t="shared" si="2"/>
        <v>35.116666661342606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06:40:21-700',mode:absolute,to:'2016-11-17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6"/>
        <v>N</v>
      </c>
      <c r="X45" s="177">
        <f t="shared" si="16"/>
        <v>1</v>
      </c>
      <c r="Y45" s="67">
        <f t="shared" si="7"/>
        <v>4.3700000000000003E-2</v>
      </c>
      <c r="Z45" s="67">
        <f t="shared" si="8"/>
        <v>23.331700000000001</v>
      </c>
      <c r="AA45" s="67">
        <f t="shared" si="9"/>
        <v>23.288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0"/>
        <v>0133-17</v>
      </c>
      <c r="AE45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45" s="88" t="str">
        <f t="shared" si="12"/>
        <v>"C:\Program Files (x86)\AstroGrep\AstroGrep.exe" /spath="%USERPROFILE%\AppData\Local\Temp\OnboardLogs" /stypes="app*4014*20161117*" /stext=" 15:.+((SYSTEM_STATE.+slice.+state.+changed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17"/>
        <v>"%USERPROFILE%\Documents\GitHub\eaglep3\Utilities\RefineRTDCRunTimes.py" --tripid 133-17 --locoid 4014 --swversion DE.1.0.8.0 --startMP 204:437 --initTime 2016-11-17T07:40:21 --startdatetime 2016-11-17T07:45:18 --delay 1 --endMP 204:233317 --enddatetime 2016-11-17T08:20:25 --enforcementcount 0 &gt;&gt;C:\Users\stu\Documents\GitHub\eaglep3-reporting\EC\2016-11-17-refined-times.txt</v>
      </c>
      <c r="AI4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{"issue":{"subject":"","project_id":79,"tracker_id":40,"status_id":1,"priority_id":2,"assigned_to_id":23,"start_date":"2016-11-17","description":"","custom_fields":[{"id":1,"name":"Subdivision","value":"EC"},{"id":4,"name":"Milepost","value":"23.3317"},{"id":17,"name":"Train ID","value":"133-17"},{"id":16,"name":"Locomotive ID","value":"4014"},{"id":130,"name":"Impact","value":""},{"id":150,"name":"Time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497</v>
      </c>
      <c r="B46" s="7">
        <v>4013</v>
      </c>
      <c r="C46" s="22" t="s">
        <v>220</v>
      </c>
      <c r="D46" s="22" t="s">
        <v>216</v>
      </c>
      <c r="E46" s="13">
        <v>42691.359618055554</v>
      </c>
      <c r="F46" s="13">
        <v>42691.36204861111</v>
      </c>
      <c r="G46" s="7">
        <v>1</v>
      </c>
      <c r="H46" s="22" t="s">
        <v>196</v>
      </c>
      <c r="I46" s="13">
        <v>42691.389687499999</v>
      </c>
      <c r="J46" s="7">
        <v>0</v>
      </c>
      <c r="K46" s="109" t="str">
        <f t="shared" si="0"/>
        <v>4013/4014</v>
      </c>
      <c r="L46" s="22" t="str">
        <f>VLOOKUP(A46,'Trips&amp;Operators'!$C$1:$E$10000,3,FALSE)</f>
        <v>DE LA ROSA</v>
      </c>
      <c r="M46" s="6">
        <f t="shared" si="1"/>
        <v>2.7638888888759539E-2</v>
      </c>
      <c r="N46" s="7">
        <f t="shared" si="2"/>
        <v>39.799999999813735</v>
      </c>
      <c r="O46" s="7"/>
      <c r="P46" s="7"/>
      <c r="Q46" s="23"/>
      <c r="R46" s="23" t="s">
        <v>929</v>
      </c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07:37:51-700',mode:absolute,to:'2016-11-17 10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6"/>
        <v>N</v>
      </c>
      <c r="X46" s="177">
        <f t="shared" si="16"/>
        <v>1</v>
      </c>
      <c r="Y46" s="67">
        <f t="shared" si="7"/>
        <v>23.298500000000001</v>
      </c>
      <c r="Z46" s="67">
        <f t="shared" si="8"/>
        <v>1.49E-2</v>
      </c>
      <c r="AA46" s="67">
        <f t="shared" si="9"/>
        <v>23.2836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0"/>
        <v>0134-17</v>
      </c>
      <c r="AE46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46" s="88" t="str">
        <f t="shared" si="12"/>
        <v>"C:\Program Files (x86)\AstroGrep\AstroGrep.exe" /spath="%USERPROFILE%\AppData\Local\Temp\OnboardLogs" /stypes="app*4013*20161117*" /stext=" 16:.+((SYSTEM_STATE.+slice.+state.+changed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17"/>
        <v>"%USERPROFILE%\Documents\GitHub\eaglep3\Utilities\RefineRTDCRunTimes.py" --tripid 134-17 --locoid 4013 --swversion DE.1.0.8.0 --startMP 204:232985 --initTime 2016-11-17T08:37:51 --startdatetime 2016-11-17T08:41:21 --delay 1 --endMP 204:149 --enddatetime 2016-11-17T09:21:09 --enforcementcount 0 &gt;&gt;C:\Users\stu\Documents\GitHub\eaglep3-reporting\EC\2016-11-17-refined-times.txt</v>
      </c>
      <c r="AI46" s="119" t="str">
        <f t="shared" si="18"/>
        <v>echo {"issue":{"subject":"Crossing false activation @ 09:07:28 due to slice vote out","project_id":79,"tracker_id":40,"status_id":1,"priority_id":2,"assigned_to_id":23,"start_date":"2016-11-17","description":"At 16:07:28.873 UTC, there was a primary slice change (ACA_MANAGER fault weight maxed on Primary slice). This caused a crossing arm to get aborted partway through.","custom_fields":[{"id":1,"name":"Subdivision","value":"EC"},{"id":4,"name":"Milepost","value":"0.0149"},{"id":17,"name":"Train ID","value":"134-17"},{"id":16,"name":"Locomotive ID","value":"4013"},{"id":130,"name":"Impact","value":"Others"},{"id":150,"name":"Time of Event (Mountain Time)","value":"09:21:09"},{"id":151,"name":"Denver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6" s="53" t="s">
        <v>930</v>
      </c>
      <c r="AK46" s="53" t="s">
        <v>137</v>
      </c>
      <c r="AL46" s="53" t="s">
        <v>177</v>
      </c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489</v>
      </c>
      <c r="B47" s="7">
        <v>4038</v>
      </c>
      <c r="C47" s="22" t="s">
        <v>220</v>
      </c>
      <c r="D47" s="22" t="s">
        <v>655</v>
      </c>
      <c r="E47" s="13">
        <v>42691.328252314815</v>
      </c>
      <c r="F47" s="13">
        <v>42691.333587962959</v>
      </c>
      <c r="G47" s="7">
        <v>1</v>
      </c>
      <c r="H47" s="22" t="s">
        <v>329</v>
      </c>
      <c r="I47" s="13">
        <v>42691.358842592592</v>
      </c>
      <c r="J47" s="7">
        <v>0</v>
      </c>
      <c r="K47" s="109" t="str">
        <f t="shared" si="0"/>
        <v>4037/4038</v>
      </c>
      <c r="L47" s="22" t="str">
        <f>VLOOKUP(A47,'Trips&amp;Operators'!$C$1:$E$10000,3,FALSE)</f>
        <v>STRICKLAND</v>
      </c>
      <c r="M47" s="6">
        <f t="shared" si="1"/>
        <v>2.5254629632399883E-2</v>
      </c>
      <c r="N47" s="7">
        <f t="shared" si="2"/>
        <v>36.366666670655832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06:52:41-700',mode:absolute,to:'2016-11-17 09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7" s="52" t="str">
        <f t="shared" si="6"/>
        <v>N</v>
      </c>
      <c r="X47" s="177">
        <f t="shared" si="16"/>
        <v>1</v>
      </c>
      <c r="Y47" s="67">
        <f t="shared" si="7"/>
        <v>4.7500000000000001E-2</v>
      </c>
      <c r="Z47" s="67">
        <f t="shared" si="8"/>
        <v>23.3307</v>
      </c>
      <c r="AA47" s="67">
        <f t="shared" si="9"/>
        <v>23.283200000000001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0"/>
        <v>0135-17</v>
      </c>
      <c r="AE47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47" s="88" t="str">
        <f t="shared" si="12"/>
        <v>"C:\Program Files (x86)\AstroGrep\AstroGrep.exe" /spath="%USERPROFILE%\AppData\Local\Temp\OnboardLogs" /stypes="app*4038*20161117*" /stext=" 15:.+((SYSTEM_STATE.+slice.+state.+changed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17"/>
        <v>"%USERPROFILE%\Documents\GitHub\eaglep3\Utilities\RefineRTDCRunTimes.py" --tripid 135-17 --locoid 4038 --swversion DE.1.0.8.0 --startMP 204:475 --initTime 2016-11-17T07:52:41 --startdatetime 2016-11-17T08:00:22 --delay 1 --endMP 204:233307 --enddatetime 2016-11-17T08:36:44 --enforcementcount 0 &gt;&gt;C:\Users\stu\Documents\GitHub\eaglep3-reporting\EC\2016-11-17-refined-times.txt</v>
      </c>
      <c r="AI4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{"issue":{"subject":"","project_id":79,"tracker_id":40,"status_id":1,"priority_id":2,"assigned_to_id":23,"start_date":"2016-11-17","description":"","custom_fields":[{"id":1,"name":"Subdivision","value":"EC"},{"id":4,"name":"Milepost","value":"23.3307"},{"id":17,"name":"Train ID","value":"135-17"},{"id":16,"name":"Locomotive ID","value":"4038"},{"id":130,"name":"Impact","value":""},{"id":150,"name":"Time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424</v>
      </c>
      <c r="B48" s="7">
        <v>4037</v>
      </c>
      <c r="C48" s="22" t="s">
        <v>220</v>
      </c>
      <c r="D48" s="22" t="s">
        <v>273</v>
      </c>
      <c r="E48" s="13">
        <v>42691.360254629632</v>
      </c>
      <c r="F48" s="13">
        <v>42691.372569444444</v>
      </c>
      <c r="G48" s="7">
        <v>1</v>
      </c>
      <c r="H48" s="22" t="s">
        <v>375</v>
      </c>
      <c r="I48" s="13">
        <v>42691.403703703705</v>
      </c>
      <c r="J48" s="7">
        <v>0</v>
      </c>
      <c r="K48" s="109" t="str">
        <f t="shared" si="0"/>
        <v>4037/4038</v>
      </c>
      <c r="L48" s="22" t="str">
        <f>VLOOKUP(A48,'Trips&amp;Operators'!$C$1:$E$10000,3,FALSE)</f>
        <v>STRICKLAND</v>
      </c>
      <c r="M48" s="6">
        <f t="shared" si="1"/>
        <v>3.1134259261307307E-2</v>
      </c>
      <c r="N48" s="7">
        <f t="shared" si="2"/>
        <v>44.833333336282521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8" s="52" t="str">
        <f t="shared" si="6"/>
        <v>N</v>
      </c>
      <c r="X48" s="177">
        <f t="shared" si="16"/>
        <v>1</v>
      </c>
      <c r="Y48" s="67">
        <f t="shared" si="7"/>
        <v>23.297999999999998</v>
      </c>
      <c r="Z48" s="67">
        <f t="shared" si="8"/>
        <v>1.6500000000000001E-2</v>
      </c>
      <c r="AA48" s="67">
        <f t="shared" si="9"/>
        <v>23.281499999999998</v>
      </c>
      <c r="AB48" s="64" t="str">
        <f>VLOOKUP(A48,Enforcements!$C$7:$K$20,8,0)</f>
        <v>Speed (6)</v>
      </c>
      <c r="AC48" s="60" t="str">
        <f>VLOOKUP(A48,Enforcements!$C$7:$E$20,3,0)</f>
        <v>PERMANENT SPEED RESTRICTION</v>
      </c>
      <c r="AD48" s="61" t="str">
        <f t="shared" si="10"/>
        <v>0136-17</v>
      </c>
      <c r="AE48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48" s="88" t="str">
        <f t="shared" si="12"/>
        <v>"C:\Program Files (x86)\AstroGrep\AstroGrep.exe" /spath="%USERPROFILE%\AppData\Local\Temp\OnboardLogs" /stypes="app*4037*20161117*" /stext=" 16:.+((SYSTEM_STATE.+slice.+state.+changed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17"/>
        <v>"%USERPROFILE%\Documents\GitHub\eaglep3\Utilities\RefineRTDCRunTimes.py" --tripid 136-17 --locoid 4037 --swversion DE.1.0.8.0 --startMP 204:232980 --initTime 2016-11-17T08:38:46 --startdatetime 2016-11-17T08:56:30 --delay 1 --endMP 204:165 --enddatetime 2016-11-17T09:41:20 --enforcementcount 0 &gt;&gt;C:\Users\stu\Documents\GitHub\eaglep3-reporting\EC\2016-11-17-refined-times.txt</v>
      </c>
      <c r="AI4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{"issue":{"subject":"","project_id":79,"tracker_id":40,"status_id":1,"priority_id":2,"assigned_to_id":23,"start_date":"2016-11-17","description":"","custom_fields":[{"id":1,"name":"Subdivision","value":"EC"},{"id":4,"name":"Milepost","value":"0.0165"},{"id":17,"name":"Train ID","value":"136-17"},{"id":16,"name":"Locomotive ID","value":"4037"},{"id":130,"name":"Impact","value":""},{"id":150,"name":"Time of Event (Mountain Time)","value":"09:41:20"},{"id":151,"name":"Denver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492</v>
      </c>
      <c r="B49" s="7">
        <v>4042</v>
      </c>
      <c r="C49" s="22" t="s">
        <v>220</v>
      </c>
      <c r="D49" s="22" t="s">
        <v>222</v>
      </c>
      <c r="E49" s="13">
        <v>42691.340150462966</v>
      </c>
      <c r="F49" s="13">
        <v>42691.344652777778</v>
      </c>
      <c r="G49" s="7">
        <v>2</v>
      </c>
      <c r="H49" s="22" t="s">
        <v>656</v>
      </c>
      <c r="I49" s="13">
        <v>42691.368437500001</v>
      </c>
      <c r="J49" s="7">
        <v>0</v>
      </c>
      <c r="K49" s="109" t="str">
        <f t="shared" si="0"/>
        <v>4041/4042</v>
      </c>
      <c r="L49" s="22" t="str">
        <f>VLOOKUP(A49,'Trips&amp;Operators'!$C$1:$E$10000,3,FALSE)</f>
        <v>SAFIEF</v>
      </c>
      <c r="M49" s="6">
        <f t="shared" si="1"/>
        <v>2.3784722223354038E-2</v>
      </c>
      <c r="N49" s="7">
        <f t="shared" si="2"/>
        <v>34.250000001629815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07:09:49-700',mode:absolute,to:'2016-11-17 09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7">
        <f t="shared" si="16"/>
        <v>1</v>
      </c>
      <c r="Y49" s="67">
        <f t="shared" si="7"/>
        <v>4.58E-2</v>
      </c>
      <c r="Z49" s="67">
        <f t="shared" si="8"/>
        <v>23.334</v>
      </c>
      <c r="AA49" s="67">
        <f t="shared" si="9"/>
        <v>23.2882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0"/>
        <v>0137-17</v>
      </c>
      <c r="AE49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49" s="88" t="str">
        <f t="shared" si="12"/>
        <v>"C:\Program Files (x86)\AstroGrep\AstroGrep.exe" /spath="%USERPROFILE%\AppData\Local\Temp\OnboardLogs" /stypes="app*4042*20161117*" /stext=" 15:.+((SYSTEM_STATE.+slice.+state.+changed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17"/>
        <v>"%USERPROFILE%\Documents\GitHub\eaglep3\Utilities\RefineRTDCRunTimes.py" --tripid 137-17 --locoid 4042 --swversion DE.1.0.8.0 --startMP 204:458 --initTime 2016-11-17T08:09:49 --startdatetime 2016-11-17T08:16:18 --delay 2 --endMP 204:233340 --enddatetime 2016-11-17T08:50:33 --enforcementcount 0 &gt;&gt;C:\Users\stu\Documents\GitHub\eaglep3-reporting\EC\2016-11-17-refined-times.txt</v>
      </c>
      <c r="AI4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{"issue":{"subject":"","project_id":79,"tracker_id":40,"status_id":1,"priority_id":2,"assigned_to_id":23,"start_date":"2016-11-17","description":"","custom_fields":[{"id":1,"name":"Subdivision","value":"EC"},{"id":4,"name":"Milepost","value":"23.334"},{"id":17,"name":"Train ID","value":"137-17"},{"id":16,"name":"Locomotive ID","value":"4042"},{"id":130,"name":"Impact","value":""},{"id":150,"name":"Time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501</v>
      </c>
      <c r="B50" s="7">
        <v>4041</v>
      </c>
      <c r="C50" s="22" t="s">
        <v>220</v>
      </c>
      <c r="D50" s="22" t="s">
        <v>331</v>
      </c>
      <c r="E50" s="13">
        <v>42691.377025462964</v>
      </c>
      <c r="F50" s="13">
        <v>42691.382870370369</v>
      </c>
      <c r="G50" s="7">
        <v>1</v>
      </c>
      <c r="H50" s="22" t="s">
        <v>224</v>
      </c>
      <c r="I50" s="13">
        <v>42691.409803240742</v>
      </c>
      <c r="J50" s="7">
        <v>0</v>
      </c>
      <c r="K50" s="109" t="str">
        <f t="shared" si="0"/>
        <v>4041/4042</v>
      </c>
      <c r="L50" s="22" t="str">
        <f>VLOOKUP(A50,'Trips&amp;Operators'!$C$1:$E$10000,3,FALSE)</f>
        <v>SAFIEF</v>
      </c>
      <c r="M50" s="6">
        <f t="shared" si="1"/>
        <v>2.6932870372547768E-2</v>
      </c>
      <c r="N50" s="7">
        <f t="shared" si="2"/>
        <v>38.783333336468786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08:02:55-700',mode:absolute,to:'2016-11-17 10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7">
        <f t="shared" si="16"/>
        <v>1</v>
      </c>
      <c r="Y50" s="67">
        <f t="shared" si="7"/>
        <v>23.299800000000001</v>
      </c>
      <c r="Z50" s="67">
        <f t="shared" si="8"/>
        <v>1.5800000000000002E-2</v>
      </c>
      <c r="AA50" s="67">
        <f t="shared" si="9"/>
        <v>23.284000000000002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0"/>
        <v>0138-17</v>
      </c>
      <c r="AE50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50" s="88" t="str">
        <f t="shared" si="12"/>
        <v>"C:\Program Files (x86)\AstroGrep\AstroGrep.exe" /spath="%USERPROFILE%\AppData\Local\Temp\OnboardLogs" /stypes="app*4041*20161117*" /stext=" 16:.+((SYSTEM_STATE.+slice.+state.+changed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17"/>
        <v>"%USERPROFILE%\Documents\GitHub\eaglep3\Utilities\RefineRTDCRunTimes.py" --tripid 138-17 --locoid 4041 --swversion DE.1.0.8.0 --startMP 204:232998 --initTime 2016-11-17T09:02:55 --startdatetime 2016-11-17T09:11:20 --delay 1 --endMP 204:158 --enddatetime 2016-11-17T09:50:07 --enforcementcount 0 &gt;&gt;C:\Users\stu\Documents\GitHub\eaglep3-reporting\EC\2016-11-17-refined-times.txt</v>
      </c>
      <c r="AI5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{"issue":{"subject":"","project_id":79,"tracker_id":40,"status_id":1,"priority_id":2,"assigned_to_id":23,"start_date":"2016-11-17","description":"","custom_fields":[{"id":1,"name":"Subdivision","value":"EC"},{"id":4,"name":"Milepost","value":"0.0158"},{"id":17,"name":"Train ID","value":"138-17"},{"id":16,"name":"Locomotive ID","value":"4041"},{"id":130,"name":"Impact","value":""},{"id":150,"name":"Time of Event (Mountain Time)","value":"09:50:07"},{"id":151,"name":"Denver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494</v>
      </c>
      <c r="B51" s="7">
        <v>4011</v>
      </c>
      <c r="C51" s="22" t="s">
        <v>220</v>
      </c>
      <c r="D51" s="22" t="s">
        <v>250</v>
      </c>
      <c r="E51" s="13">
        <v>42691.349386574075</v>
      </c>
      <c r="F51" s="13">
        <v>42691.354456018518</v>
      </c>
      <c r="G51" s="7">
        <v>1</v>
      </c>
      <c r="H51" s="22" t="s">
        <v>283</v>
      </c>
      <c r="I51" s="13">
        <v>42691.379675925928</v>
      </c>
      <c r="J51" s="7">
        <v>0</v>
      </c>
      <c r="K51" s="109" t="str">
        <f t="shared" si="0"/>
        <v>4011/4012</v>
      </c>
      <c r="L51" s="22" t="str">
        <f>VLOOKUP(A51,'Trips&amp;Operators'!$C$1:$E$10000,3,FALSE)</f>
        <v>STARKS</v>
      </c>
      <c r="M51" s="6">
        <f t="shared" si="1"/>
        <v>2.5219907409336884E-2</v>
      </c>
      <c r="N51" s="7">
        <f t="shared" si="2"/>
        <v>36.316666669445112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07:23:07-700',mode:absolute,to:'2016-11-17 10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1" s="52" t="str">
        <f t="shared" si="6"/>
        <v>N</v>
      </c>
      <c r="X51" s="177">
        <f t="shared" si="16"/>
        <v>1</v>
      </c>
      <c r="Y51" s="67">
        <f t="shared" si="7"/>
        <v>4.8000000000000001E-2</v>
      </c>
      <c r="Z51" s="67">
        <f t="shared" si="8"/>
        <v>23.330100000000002</v>
      </c>
      <c r="AA51" s="67">
        <f t="shared" si="9"/>
        <v>23.282100000000003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0"/>
        <v>0139-17</v>
      </c>
      <c r="AE51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51" s="88" t="str">
        <f t="shared" si="12"/>
        <v>"C:\Program Files (x86)\AstroGrep\AstroGrep.exe" /spath="%USERPROFILE%\AppData\Local\Temp\OnboardLogs" /stypes="app*4011*20161117*" /stext=" 16:.+((SYSTEM_STATE.+slice.+state.+changed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17"/>
        <v>"%USERPROFILE%\Documents\GitHub\eaglep3\Utilities\RefineRTDCRunTimes.py" --tripid 139-17 --locoid 4011 --swversion DE.1.0.8.0 --startMP 204:480 --initTime 2016-11-17T08:23:07 --startdatetime 2016-11-17T08:30:25 --delay 1 --endMP 204:233301 --enddatetime 2016-11-17T09:06:44 --enforcementcount 0 &gt;&gt;C:\Users\stu\Documents\GitHub\eaglep3-reporting\EC\2016-11-17-refined-times.txt</v>
      </c>
      <c r="AI5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ID","value":"139-17"},{"id":16,"name":"Locomotive ID","value":"4011"},{"id":130,"name":"Impact","value":""},{"id":150,"name":"Time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427</v>
      </c>
      <c r="B52" s="7">
        <v>4012</v>
      </c>
      <c r="C52" s="22" t="s">
        <v>220</v>
      </c>
      <c r="D52" s="22" t="s">
        <v>657</v>
      </c>
      <c r="E52" s="13">
        <v>42691.3903587963</v>
      </c>
      <c r="F52" s="13">
        <v>42691.393240740741</v>
      </c>
      <c r="G52" s="7">
        <v>4</v>
      </c>
      <c r="H52" s="22" t="s">
        <v>327</v>
      </c>
      <c r="I52" s="13">
        <v>42691.427210648151</v>
      </c>
      <c r="J52" s="7">
        <v>0</v>
      </c>
      <c r="K52" s="109" t="str">
        <f t="shared" si="0"/>
        <v>4011/4012</v>
      </c>
      <c r="L52" s="22" t="str">
        <f>VLOOKUP(A52,'Trips&amp;Operators'!$C$1:$E$10000,3,FALSE)</f>
        <v>STARKS</v>
      </c>
      <c r="M52" s="6">
        <f t="shared" si="1"/>
        <v>3.3969907410209998E-2</v>
      </c>
      <c r="N52" s="7">
        <f t="shared" si="2"/>
        <v>48.916666670702398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08:22:07-700',mode:absolute,to:'2016-11-17 11:15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2" s="52" t="str">
        <f t="shared" si="6"/>
        <v>N</v>
      </c>
      <c r="X52" s="177">
        <f t="shared" si="16"/>
        <v>1</v>
      </c>
      <c r="Y52" s="67">
        <f t="shared" si="7"/>
        <v>23.104399999999998</v>
      </c>
      <c r="Z52" s="67">
        <f t="shared" si="8"/>
        <v>1.4500000000000001E-2</v>
      </c>
      <c r="AA52" s="67">
        <f t="shared" si="9"/>
        <v>23.089899999999997</v>
      </c>
      <c r="AB52" s="64" t="str">
        <f>VLOOKUP(A52,Enforcements!$C$7:$K$20,8,0)</f>
        <v>Bulletin (2)</v>
      </c>
      <c r="AC52" s="60" t="str">
        <f>VLOOKUP(A52,Enforcements!$C$7:$E$20,3,0)</f>
        <v>GRADE CROSSING</v>
      </c>
      <c r="AD52" s="61" t="str">
        <f t="shared" si="10"/>
        <v>0140-17</v>
      </c>
      <c r="AE52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52" s="88" t="str">
        <f t="shared" si="12"/>
        <v>"C:\Program Files (x86)\AstroGrep\AstroGrep.exe" /spath="%USERPROFILE%\AppData\Local\Temp\OnboardLogs" /stypes="app*4012*20161117*" /stext=" 17:.+((SYSTEM_STATE.+slice.+state.+changed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17"/>
        <v>"%USERPROFILE%\Documents\GitHub\eaglep3\Utilities\RefineRTDCRunTimes.py" --tripid 140-17 --locoid 4012 --swversion DE.1.0.8.0 --startMP 204:231044 --initTime 2016-11-17T09:22:07 --startdatetime 2016-11-17T09:26:16 --delay 4 --endMP 204:145 --enddatetime 2016-11-17T10:15:11 --enforcementcount 0 &gt;&gt;C:\Users\stu\Documents\GitHub\eaglep3-reporting\EC\2016-11-17-refined-times.txt</v>
      </c>
      <c r="AI5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ID","value":"140-17"},{"id":16,"name":"Locomotive ID","value":"4012"},{"id":130,"name":"Impact","value":""},{"id":150,"name":"Time of Event (Mountain Time)","value":"10:15:11"},{"id":151,"name":"Denver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498</v>
      </c>
      <c r="B53" s="7">
        <v>4002</v>
      </c>
      <c r="C53" s="22" t="s">
        <v>220</v>
      </c>
      <c r="D53" s="22" t="s">
        <v>658</v>
      </c>
      <c r="E53" s="13">
        <v>42691.359930555554</v>
      </c>
      <c r="F53" s="13">
        <v>42691.364861111113</v>
      </c>
      <c r="G53" s="7">
        <v>0</v>
      </c>
      <c r="H53" s="22" t="s">
        <v>379</v>
      </c>
      <c r="I53" s="13">
        <v>42691.389594907407</v>
      </c>
      <c r="J53" s="7">
        <v>0</v>
      </c>
      <c r="K53" s="109" t="str">
        <f t="shared" si="0"/>
        <v>4001/4002</v>
      </c>
      <c r="L53" s="22" t="str">
        <f>VLOOKUP(A53,'Trips&amp;Operators'!$C$1:$E$10000,3,FALSE)</f>
        <v>MAELZER</v>
      </c>
      <c r="M53" s="6">
        <f t="shared" si="1"/>
        <v>2.4733796293730848E-2</v>
      </c>
      <c r="N53" s="7">
        <f t="shared" si="2"/>
        <v>35.61666666297242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07:38:18-700',mode:absolute,to:'2016-11-17 10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3" s="52" t="str">
        <f t="shared" si="6"/>
        <v>N</v>
      </c>
      <c r="X53" s="177">
        <f t="shared" si="16"/>
        <v>1</v>
      </c>
      <c r="Y53" s="67">
        <f t="shared" si="7"/>
        <v>4.4200000000000003E-2</v>
      </c>
      <c r="Z53" s="67">
        <f t="shared" si="8"/>
        <v>23.331399999999999</v>
      </c>
      <c r="AA53" s="67">
        <f t="shared" si="9"/>
        <v>23.287199999999999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0"/>
        <v>0141-17</v>
      </c>
      <c r="AE53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53" s="88" t="str">
        <f t="shared" si="12"/>
        <v>"C:\Program Files (x86)\AstroGrep\AstroGrep.exe" /spath="%USERPROFILE%\AppData\Local\Temp\OnboardLogs" /stypes="app*4002*20161117*" /stext=" 16:.+((SYSTEM_STATE.+slice.+state.+changed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17"/>
        <v>"%USERPROFILE%\Documents\GitHub\eaglep3\Utilities\RefineRTDCRunTimes.py" --tripid 141-17 --locoid 4002 --swversion DE.1.0.8.0 --startMP 204:442 --initTime 2016-11-17T08:38:18 --startdatetime 2016-11-17T08:45:24 --delay 0 --endMP 204:233314 --enddatetime 2016-11-17T09:21:01 --enforcementcount 0 &gt;&gt;C:\Users\stu\Documents\GitHub\eaglep3-reporting\EC\2016-11-17-refined-times.txt</v>
      </c>
      <c r="AI5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ID","value":"141-17"},{"id":16,"name":"Locomotive ID","value":"4002"},{"id":130,"name":"Impact","value":""},{"id":150,"name":"Time of Event (Mountain Time)","value":"09:21:01"},{"id":151,"name":"Denver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428</v>
      </c>
      <c r="B54" s="7">
        <v>4001</v>
      </c>
      <c r="C54" s="22" t="s">
        <v>220</v>
      </c>
      <c r="D54" s="22" t="s">
        <v>289</v>
      </c>
      <c r="E54" s="13">
        <v>42691.399224537039</v>
      </c>
      <c r="F54" s="13">
        <v>42691.403935185182</v>
      </c>
      <c r="G54" s="7">
        <v>1</v>
      </c>
      <c r="H54" s="22" t="s">
        <v>327</v>
      </c>
      <c r="I54" s="13">
        <v>42691.435543981483</v>
      </c>
      <c r="J54" s="7">
        <v>0</v>
      </c>
      <c r="K54" s="109" t="str">
        <f t="shared" si="0"/>
        <v>4001/4002</v>
      </c>
      <c r="L54" s="22" t="str">
        <f>VLOOKUP(A54,'Trips&amp;Operators'!$C$1:$E$10000,3,FALSE)</f>
        <v>MAELZER</v>
      </c>
      <c r="M54" s="6">
        <f t="shared" si="1"/>
        <v>3.160879630013369E-2</v>
      </c>
      <c r="N54" s="7">
        <f t="shared" si="2"/>
        <v>45.516666672192514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08:34:53-700',mode:absolute,to:'2016-11-17 11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4" s="52" t="str">
        <f t="shared" si="6"/>
        <v>N</v>
      </c>
      <c r="X54" s="177">
        <f t="shared" si="16"/>
        <v>1</v>
      </c>
      <c r="Y54" s="67">
        <f t="shared" si="7"/>
        <v>23.3</v>
      </c>
      <c r="Z54" s="67">
        <f t="shared" si="8"/>
        <v>1.4500000000000001E-2</v>
      </c>
      <c r="AA54" s="67">
        <f t="shared" si="9"/>
        <v>23.285499999999999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0"/>
        <v>0142-17</v>
      </c>
      <c r="AE54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54" s="88" t="str">
        <f t="shared" si="12"/>
        <v>"C:\Program Files (x86)\AstroGrep\AstroGrep.exe" /spath="%USERPROFILE%\AppData\Local\Temp\OnboardLogs" /stypes="app*4001*20161117*" /stext=" 17:.+((SYSTEM_STATE.+slice.+state.+changed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17"/>
        <v>"%USERPROFILE%\Documents\GitHub\eaglep3\Utilities\RefineRTDCRunTimes.py" --tripid 142-17 --locoid 4001 --swversion DE.1.0.8.0 --startMP 204:233000 --initTime 2016-11-17T09:34:53 --startdatetime 2016-11-17T09:41:40 --delay 1 --endMP 204:145 --enddatetime 2016-11-17T10:27:11 --enforcementcount 0 &gt;&gt;C:\Users\stu\Documents\GitHub\eaglep3-reporting\EC\2016-11-17-refined-times.txt</v>
      </c>
      <c r="AI5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ID","value":"142-17"},{"id":16,"name":"Locomotive ID","value":"4001"},{"id":130,"name":"Impact","value":""},{"id":150,"name":"Time of Event (Mountain Time)","value":"10:27:11"},{"id":151,"name":"Denver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499</v>
      </c>
      <c r="B55" s="7">
        <v>4031</v>
      </c>
      <c r="C55" s="22" t="s">
        <v>220</v>
      </c>
      <c r="D55" s="22" t="s">
        <v>382</v>
      </c>
      <c r="E55" s="13">
        <v>42691.369699074072</v>
      </c>
      <c r="F55" s="13">
        <v>42691.375162037039</v>
      </c>
      <c r="G55" s="7">
        <v>1</v>
      </c>
      <c r="H55" s="22" t="s">
        <v>324</v>
      </c>
      <c r="I55" s="13">
        <v>42691.399918981479</v>
      </c>
      <c r="J55" s="7">
        <v>0</v>
      </c>
      <c r="K55" s="109" t="str">
        <f t="shared" si="0"/>
        <v>4031/4032</v>
      </c>
      <c r="L55" s="22" t="str">
        <f>VLOOKUP(A55,'Trips&amp;Operators'!$C$1:$E$10000,3,FALSE)</f>
        <v>RICHARDSON</v>
      </c>
      <c r="M55" s="6">
        <f t="shared" si="1"/>
        <v>2.4756944440014195E-2</v>
      </c>
      <c r="N55" s="7">
        <f t="shared" si="2"/>
        <v>35.64999999362044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07:52:22-700',mode:absolute,to:'2016-11-17 10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16"/>
        <v>1</v>
      </c>
      <c r="Y55" s="67">
        <f t="shared" si="7"/>
        <v>4.5499999999999999E-2</v>
      </c>
      <c r="Z55" s="67">
        <f t="shared" si="8"/>
        <v>23.3309</v>
      </c>
      <c r="AA55" s="67">
        <f t="shared" si="9"/>
        <v>23.285399999999999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0"/>
        <v>0143-17</v>
      </c>
      <c r="AE55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55" s="88" t="str">
        <f t="shared" si="12"/>
        <v>"C:\Program Files (x86)\AstroGrep\AstroGrep.exe" /spath="%USERPROFILE%\AppData\Local\Temp\OnboardLogs" /stypes="app*4031*20161117*" /stext=" 16:.+((SYSTEM_STATE.+slice.+state.+changed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17"/>
        <v>"%USERPROFILE%\Documents\GitHub\eaglep3\Utilities\RefineRTDCRunTimes.py" --tripid 143-17 --locoid 4031 --swversion DE.1.0.8.0 --startMP 204:455 --initTime 2016-11-17T08:52:22 --startdatetime 2016-11-17T09:00:14 --delay 1 --endMP 204:233309 --enddatetime 2016-11-17T09:35:53 --enforcementcount 0 &gt;&gt;C:\Users\stu\Documents\GitHub\eaglep3-reporting\EC\2016-11-17-refined-times.txt</v>
      </c>
      <c r="AI5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{"issue":{"subject":"","project_id":79,"tracker_id":40,"status_id":1,"priority_id":2,"assigned_to_id":23,"start_date":"2016-11-17","description":"","custom_fields":[{"id":1,"name":"Subdivision","value":"EC"},{"id":4,"name":"Milepost","value":"23.3309"},{"id":17,"name":"Train ID","value":"143-17"},{"id":16,"name":"Locomotive ID","value":"4031"},{"id":130,"name":"Impact","value":""},{"id":150,"name":"Time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426</v>
      </c>
      <c r="B56" s="7">
        <v>4032</v>
      </c>
      <c r="C56" s="22" t="s">
        <v>220</v>
      </c>
      <c r="D56" s="22" t="s">
        <v>304</v>
      </c>
      <c r="E56" s="13">
        <v>42691.404699074075</v>
      </c>
      <c r="F56" s="13">
        <v>42691.414236111108</v>
      </c>
      <c r="G56" s="7">
        <v>1</v>
      </c>
      <c r="H56" s="22" t="s">
        <v>175</v>
      </c>
      <c r="I56" s="13">
        <v>42691.442719907405</v>
      </c>
      <c r="J56" s="7">
        <v>0</v>
      </c>
      <c r="K56" s="109" t="str">
        <f t="shared" si="0"/>
        <v>4031/4032</v>
      </c>
      <c r="L56" s="22" t="str">
        <f>VLOOKUP(A56,'Trips&amp;Operators'!$C$1:$E$10000,3,FALSE)</f>
        <v>RICHARDSON</v>
      </c>
      <c r="M56" s="6">
        <f t="shared" si="1"/>
        <v>2.8483796297223307E-2</v>
      </c>
      <c r="N56" s="7">
        <f t="shared" si="2"/>
        <v>41.016666668001562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08:42:46-700',mode:absolute,to:'2016-11-17 11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16"/>
        <v>1</v>
      </c>
      <c r="Y56" s="67">
        <f t="shared" si="7"/>
        <v>23.298400000000001</v>
      </c>
      <c r="Z56" s="67">
        <f t="shared" si="8"/>
        <v>1.52E-2</v>
      </c>
      <c r="AA56" s="67">
        <f t="shared" si="9"/>
        <v>23.283200000000001</v>
      </c>
      <c r="AB56" s="64" t="str">
        <f>VLOOKUP(A56,Enforcements!$C$7:$K$20,8,0)</f>
        <v>Speed (6)</v>
      </c>
      <c r="AC56" s="60" t="str">
        <f>VLOOKUP(A56,Enforcements!$C$7:$E$20,3,0)</f>
        <v>PERMANENT SPEED RESTRICTION</v>
      </c>
      <c r="AD56" s="61" t="str">
        <f t="shared" si="10"/>
        <v>0144-17</v>
      </c>
      <c r="AE56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56" s="88" t="str">
        <f t="shared" si="12"/>
        <v>"C:\Program Files (x86)\AstroGrep\AstroGrep.exe" /spath="%USERPROFILE%\AppData\Local\Temp\OnboardLogs" /stypes="app*4032*20161117*" /stext=" 17:.+((SYSTEM_STATE.+slice.+state.+changed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17"/>
        <v>"%USERPROFILE%\Documents\GitHub\eaglep3\Utilities\RefineRTDCRunTimes.py" --tripid 144-17 --locoid 4032 --swversion DE.1.0.8.0 --startMP 204:232984 --initTime 2016-11-17T09:42:46 --startdatetime 2016-11-17T09:56:30 --delay 1 --endMP 204:152 --enddatetime 2016-11-17T10:37:31 --enforcementcount 0 &gt;&gt;C:\Users\stu\Documents\GitHub\eaglep3-reporting\EC\2016-11-17-refined-times.txt</v>
      </c>
      <c r="AI5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{"issue":{"subject":"","project_id":79,"tracker_id":40,"status_id":1,"priority_id":2,"assigned_to_id":23,"start_date":"2016-11-17","description":"","custom_fields":[{"id":1,"name":"Subdivision","value":"EC"},{"id":4,"name":"Milepost","value":"0.0152"},{"id":17,"name":"Train ID","value":"144-17"},{"id":16,"name":"Locomotive ID","value":"4032"},{"id":130,"name":"Impact","value":""},{"id":150,"name":"Time of Event (Mountain Time)","value":"10:37:31"},{"id":151,"name":"Denver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502</v>
      </c>
      <c r="B57" s="7">
        <v>4003</v>
      </c>
      <c r="C57" s="22" t="s">
        <v>220</v>
      </c>
      <c r="D57" s="22" t="s">
        <v>659</v>
      </c>
      <c r="E57" s="13">
        <v>42691.385208333333</v>
      </c>
      <c r="F57" s="13">
        <v>42691.387337962966</v>
      </c>
      <c r="G57" s="7">
        <v>2</v>
      </c>
      <c r="H57" s="22" t="s">
        <v>231</v>
      </c>
      <c r="I57" s="13">
        <v>42691.414664351854</v>
      </c>
      <c r="J57" s="7">
        <v>0</v>
      </c>
      <c r="K57" s="109" t="str">
        <f t="shared" si="0"/>
        <v>4003/4004</v>
      </c>
      <c r="L57" s="22" t="str">
        <f>VLOOKUP(A57,'Trips&amp;Operators'!$C$1:$E$10000,3,FALSE)</f>
        <v>COOLAHAN</v>
      </c>
      <c r="M57" s="6">
        <f t="shared" si="1"/>
        <v>2.73263888884685E-2</v>
      </c>
      <c r="N57" s="7">
        <f t="shared" si="2"/>
        <v>39.34999999939464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08:14:42-700',mode:absolute,to:'2016-11-17 10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52" t="str">
        <f t="shared" si="6"/>
        <v>N</v>
      </c>
      <c r="X57" s="177">
        <f t="shared" si="16"/>
        <v>1</v>
      </c>
      <c r="Y57" s="67">
        <f t="shared" si="7"/>
        <v>0.19600000000000001</v>
      </c>
      <c r="Z57" s="67">
        <f t="shared" si="8"/>
        <v>23.3306</v>
      </c>
      <c r="AA57" s="67">
        <f t="shared" si="9"/>
        <v>23.134599999999999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0"/>
        <v>0145-17</v>
      </c>
      <c r="AE57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57" s="88" t="str">
        <f t="shared" si="12"/>
        <v>"C:\Program Files (x86)\AstroGrep\AstroGrep.exe" /spath="%USERPROFILE%\AppData\Local\Temp\OnboardLogs" /stypes="app*4003*20161117*" /stext=" 16:.+((SYSTEM_STATE.+slice.+state.+changed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17"/>
        <v>"%USERPROFILE%\Documents\GitHub\eaglep3\Utilities\RefineRTDCRunTimes.py" --tripid 145-17 --locoid 4003 --swversion DE.1.0.8.0 --startMP 204:1960 --initTime 2016-11-17T09:14:42 --startdatetime 2016-11-17T09:17:46 --delay 2 --endMP 204:233306 --enddatetime 2016-11-17T09:57:07 --enforcementcount 0 &gt;&gt;C:\Users\stu\Documents\GitHub\eaglep3-reporting\EC\2016-11-17-refined-times.txt</v>
      </c>
      <c r="AI5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ID","value":"145-17"},{"id":16,"name":"Locomotive ID","value":"4003"},{"id":130,"name":"Impact","value":""},{"id":150,"name":"Time of Event (Mountain Time)","value":"09:57:07"},{"id":151,"name":"Denver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508</v>
      </c>
      <c r="B58" s="7">
        <v>4004</v>
      </c>
      <c r="C58" s="22" t="s">
        <v>220</v>
      </c>
      <c r="D58" s="22" t="s">
        <v>365</v>
      </c>
      <c r="E58" s="13">
        <v>42691.418541666666</v>
      </c>
      <c r="F58" s="13">
        <v>42691.424791666665</v>
      </c>
      <c r="G58" s="7">
        <v>1</v>
      </c>
      <c r="H58" s="22" t="s">
        <v>660</v>
      </c>
      <c r="I58" s="13">
        <v>42691.453692129631</v>
      </c>
      <c r="J58" s="7">
        <v>0</v>
      </c>
      <c r="K58" s="109" t="str">
        <f t="shared" si="0"/>
        <v>4003/4004</v>
      </c>
      <c r="L58" s="22" t="str">
        <f>VLOOKUP(A58,'Trips&amp;Operators'!$C$1:$E$10000,3,FALSE)</f>
        <v>COOLAHAN</v>
      </c>
      <c r="M58" s="6">
        <f t="shared" si="1"/>
        <v>2.8900462966703344E-2</v>
      </c>
      <c r="N58" s="7">
        <f t="shared" si="2"/>
        <v>41.616666672052816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09:02:42-700',mode:absolute,to:'2016-11-17 11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52" t="str">
        <f t="shared" si="6"/>
        <v>N</v>
      </c>
      <c r="X58" s="177">
        <f t="shared" si="16"/>
        <v>1</v>
      </c>
      <c r="Y58" s="67">
        <f t="shared" si="7"/>
        <v>23.299600000000002</v>
      </c>
      <c r="Z58" s="67">
        <f t="shared" si="8"/>
        <v>3.6400000000000002E-2</v>
      </c>
      <c r="AA58" s="67">
        <f t="shared" si="9"/>
        <v>23.263200000000001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0"/>
        <v>0146-17</v>
      </c>
      <c r="AE58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58" s="88" t="str">
        <f t="shared" si="12"/>
        <v>"C:\Program Files (x86)\AstroGrep\AstroGrep.exe" /spath="%USERPROFILE%\AppData\Local\Temp\OnboardLogs" /stypes="app*4004*20161117*" /stext=" 17:.+((SYSTEM_STATE.+slice.+state.+changed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17"/>
        <v>"%USERPROFILE%\Documents\GitHub\eaglep3\Utilities\RefineRTDCRunTimes.py" --tripid 146-17 --locoid 4004 --swversion DE.1.0.8.0 --startMP 204:232996 --initTime 2016-11-17T10:02:42 --startdatetime 2016-11-17T10:11:42 --delay 1 --endMP 204:364 --enddatetime 2016-11-17T10:53:19 --enforcementcount 0 &gt;&gt;C:\Users\stu\Documents\GitHub\eaglep3-reporting\EC\2016-11-17-refined-times.txt</v>
      </c>
      <c r="AI5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{"issue":{"subject":"","project_id":79,"tracker_id":40,"status_id":1,"priority_id":2,"assigned_to_id":23,"start_date":"2016-11-17","description":"","custom_fields":[{"id":1,"name":"Subdivision","value":"EC"},{"id":4,"name":"Milepost","value":"0.0364"},{"id":17,"name":"Train ID","value":"146-17"},{"id":16,"name":"Locomotive ID","value":"4004"},{"id":130,"name":"Impact","value":""},{"id":150,"name":"Time of Event (Mountain Time)","value":"10:53:19"},{"id":151,"name":"Denver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4014</v>
      </c>
      <c r="C59" s="22" t="s">
        <v>220</v>
      </c>
      <c r="D59" s="22" t="s">
        <v>278</v>
      </c>
      <c r="E59" s="13">
        <v>42691.392743055556</v>
      </c>
      <c r="F59" s="13">
        <v>42691.396226851852</v>
      </c>
      <c r="G59" s="7">
        <v>1</v>
      </c>
      <c r="H59" s="22" t="s">
        <v>324</v>
      </c>
      <c r="I59" s="13">
        <v>42691.421458333331</v>
      </c>
      <c r="J59" s="7">
        <v>0</v>
      </c>
      <c r="K59" s="109" t="str">
        <f t="shared" si="0"/>
        <v>4013/4014</v>
      </c>
      <c r="L59" s="22" t="str">
        <f>VLOOKUP(A59,'Trips&amp;Operators'!$C$1:$E$10000,3,FALSE)</f>
        <v>DE LA ROSA</v>
      </c>
      <c r="M59" s="6">
        <f t="shared" si="1"/>
        <v>2.5231481478840578E-2</v>
      </c>
      <c r="N59" s="7">
        <f t="shared" si="2"/>
        <v>36.333333329530433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08:25:33-700',mode:absolute,to:'2016-11-17 11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6"/>
        <v>N</v>
      </c>
      <c r="X59" s="177">
        <f t="shared" si="16"/>
        <v>1</v>
      </c>
      <c r="Y59" s="67">
        <f t="shared" si="7"/>
        <v>4.4400000000000002E-2</v>
      </c>
      <c r="Z59" s="67">
        <f t="shared" si="8"/>
        <v>23.3309</v>
      </c>
      <c r="AA59" s="67">
        <f t="shared" si="9"/>
        <v>23.2865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0"/>
        <v>0147-17</v>
      </c>
      <c r="AE59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59" s="88" t="str">
        <f t="shared" si="12"/>
        <v>"C:\Program Files (x86)\AstroGrep\AstroGrep.exe" /spath="%USERPROFILE%\AppData\Local\Temp\OnboardLogs" /stypes="app*4014*20161117*" /stext=" 17:.+((SYSTEM_STATE.+slice.+state.+changed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17"/>
        <v>"%USERPROFILE%\Documents\GitHub\eaglep3\Utilities\RefineRTDCRunTimes.py" --tripid 147-17 --locoid 4014 --swversion DE.1.0.8.0 --startMP 204:444 --initTime 2016-11-17T09:25:33 --startdatetime 2016-11-17T09:30:34 --delay 1 --endMP 204:233309 --enddatetime 2016-11-17T10:06:54 --enforcementcount 0 &gt;&gt;C:\Users\stu\Documents\GitHub\eaglep3-reporting\EC\2016-11-17-refined-times.txt</v>
      </c>
      <c r="AI5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{"issue":{"subject":"","project_id":79,"tracker_id":40,"status_id":1,"priority_id":2,"assigned_to_id":23,"start_date":"2016-11-17","description":"","custom_fields":[{"id":1,"name":"Subdivision","value":"EC"},{"id":4,"name":"Milepost","value":"23.3309"},{"id":17,"name":"Train ID","value":"147-17"},{"id":16,"name":"Locomotive ID","value":"4014"},{"id":130,"name":"Impact","value":""},{"id":150,"name":"Time of Event (Mountain Time)","value":"10:06:54"},{"id":151,"name":"Denver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510</v>
      </c>
      <c r="B60" s="7">
        <v>4013</v>
      </c>
      <c r="C60" s="22" t="s">
        <v>220</v>
      </c>
      <c r="D60" s="22" t="s">
        <v>373</v>
      </c>
      <c r="E60" s="13">
        <v>42691.430694444447</v>
      </c>
      <c r="F60" s="13">
        <v>42691.434965277775</v>
      </c>
      <c r="G60" s="7">
        <v>2</v>
      </c>
      <c r="H60" s="22" t="s">
        <v>175</v>
      </c>
      <c r="I60" s="13">
        <v>42691.465370370373</v>
      </c>
      <c r="J60" s="7">
        <v>0</v>
      </c>
      <c r="K60" s="109" t="str">
        <f t="shared" si="0"/>
        <v>4013/4014</v>
      </c>
      <c r="L60" s="22" t="str">
        <f>VLOOKUP(A60,'Trips&amp;Operators'!$C$1:$E$10000,3,FALSE)</f>
        <v>DE LA ROSA</v>
      </c>
      <c r="M60" s="6">
        <f t="shared" si="1"/>
        <v>3.0405092598812189E-2</v>
      </c>
      <c r="N60" s="7">
        <f t="shared" si="2"/>
        <v>43.783333342289552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09:20:12-700',mode:absolute,to:'2016-11-17 12:10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6"/>
        <v>N</v>
      </c>
      <c r="X60" s="177">
        <f t="shared" si="16"/>
        <v>1</v>
      </c>
      <c r="Y60" s="67">
        <f t="shared" si="7"/>
        <v>23.297799999999999</v>
      </c>
      <c r="Z60" s="67">
        <f t="shared" si="8"/>
        <v>1.52E-2</v>
      </c>
      <c r="AA60" s="67">
        <f t="shared" si="9"/>
        <v>23.282599999999999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0"/>
        <v>0148-17</v>
      </c>
      <c r="AE60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60" s="88" t="str">
        <f t="shared" si="12"/>
        <v>"C:\Program Files (x86)\AstroGrep\AstroGrep.exe" /spath="%USERPROFILE%\AppData\Local\Temp\OnboardLogs" /stypes="app*4013*20161117*" /stext=" 18:.+((SYSTEM_STATE.+slice.+state.+changed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17"/>
        <v>"%USERPROFILE%\Documents\GitHub\eaglep3\Utilities\RefineRTDCRunTimes.py" --tripid 148-17 --locoid 4013 --swversion DE.1.0.8.0 --startMP 204:232978 --initTime 2016-11-17T10:20:12 --startdatetime 2016-11-17T10:26:21 --delay 2 --endMP 204:152 --enddatetime 2016-11-17T11:10:08 --enforcementcount 0 &gt;&gt;C:\Users\stu\Documents\GitHub\eaglep3-reporting\EC\2016-11-17-refined-times.txt</v>
      </c>
      <c r="AI6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{"issue":{"subject":"","project_id":79,"tracker_id":40,"status_id":1,"priority_id":2,"assigned_to_id":23,"start_date":"2016-11-17","description":"","custom_fields":[{"id":1,"name":"Subdivision","value":"EC"},{"id":4,"name":"Milepost","value":"0.0152"},{"id":17,"name":"Train ID","value":"148-17"},{"id":16,"name":"Locomotive ID","value":"4013"},{"id":130,"name":"Impact","value":""},{"id":150,"name":"Time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505</v>
      </c>
      <c r="B61" s="7">
        <v>4038</v>
      </c>
      <c r="C61" s="22" t="s">
        <v>220</v>
      </c>
      <c r="D61" s="22" t="s">
        <v>382</v>
      </c>
      <c r="E61" s="13">
        <v>42691.405219907407</v>
      </c>
      <c r="F61" s="13">
        <v>42691.407013888886</v>
      </c>
      <c r="G61" s="7">
        <v>1</v>
      </c>
      <c r="H61" s="22" t="s">
        <v>280</v>
      </c>
      <c r="I61" s="13">
        <v>42691.433807870373</v>
      </c>
      <c r="J61" s="7">
        <v>0</v>
      </c>
      <c r="K61" s="109" t="str">
        <f t="shared" si="0"/>
        <v>4037/4038</v>
      </c>
      <c r="L61" s="22" t="str">
        <f>VLOOKUP(A61,'Trips&amp;Operators'!$C$1:$E$10000,3,FALSE)</f>
        <v>STRICKLAND</v>
      </c>
      <c r="M61" s="6">
        <f t="shared" si="1"/>
        <v>2.6793981487571727E-2</v>
      </c>
      <c r="N61" s="7">
        <f t="shared" si="2"/>
        <v>38.583333342103288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08:43:31-700',mode:absolute,to:'2016-11-17 11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1" s="52" t="str">
        <f t="shared" si="6"/>
        <v>N</v>
      </c>
      <c r="X61" s="177">
        <f t="shared" si="16"/>
        <v>1</v>
      </c>
      <c r="Y61" s="67">
        <f t="shared" si="7"/>
        <v>4.5499999999999999E-2</v>
      </c>
      <c r="Z61" s="67">
        <f t="shared" si="8"/>
        <v>23.331499999999998</v>
      </c>
      <c r="AA61" s="67">
        <f t="shared" si="9"/>
        <v>23.285999999999998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0"/>
        <v>0149-17</v>
      </c>
      <c r="AE61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61" s="88" t="str">
        <f t="shared" si="12"/>
        <v>"C:\Program Files (x86)\AstroGrep\AstroGrep.exe" /spath="%USERPROFILE%\AppData\Local\Temp\OnboardLogs" /stypes="app*4038*20161117*" /stext=" 17:.+((SYSTEM_STATE.+slice.+state.+changed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17"/>
        <v>"%USERPROFILE%\Documents\GitHub\eaglep3\Utilities\RefineRTDCRunTimes.py" --tripid 149-17 --locoid 4038 --swversion DE.1.0.8.0 --startMP 204:455 --initTime 2016-11-17T09:43:31 --startdatetime 2016-11-17T09:46:06 --delay 1 --endMP 204:233315 --enddatetime 2016-11-17T10:24:41 --enforcementcount 0 &gt;&gt;C:\Users\stu\Documents\GitHub\eaglep3-reporting\EC\2016-11-17-refined-times.txt</v>
      </c>
      <c r="AI6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{"issue":{"subject":"","project_id":79,"tracker_id":40,"status_id":1,"priority_id":2,"assigned_to_id":23,"start_date":"2016-11-17","description":"","custom_fields":[{"id":1,"name":"Subdivision","value":"EC"},{"id":4,"name":"Milepost","value":"23.3315"},{"id":17,"name":"Train ID","value":"149-17"},{"id":16,"name":"Locomotive ID","value":"4038"},{"id":130,"name":"Impact","value":""},{"id":150,"name":"Time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431</v>
      </c>
      <c r="B62" s="7">
        <v>4037</v>
      </c>
      <c r="C62" s="22" t="s">
        <v>220</v>
      </c>
      <c r="D62" s="22" t="s">
        <v>216</v>
      </c>
      <c r="E62" s="13">
        <v>42691.434895833336</v>
      </c>
      <c r="F62" s="13">
        <v>42691.445335648146</v>
      </c>
      <c r="G62" s="7">
        <v>1</v>
      </c>
      <c r="H62" s="22" t="s">
        <v>212</v>
      </c>
      <c r="I62" s="13">
        <v>42691.479884259257</v>
      </c>
      <c r="J62" s="7">
        <v>0</v>
      </c>
      <c r="K62" s="109" t="str">
        <f t="shared" si="0"/>
        <v>4037/4038</v>
      </c>
      <c r="L62" s="22" t="str">
        <f>VLOOKUP(A62,'Trips&amp;Operators'!$C$1:$E$10000,3,FALSE)</f>
        <v>STRICKLAND</v>
      </c>
      <c r="M62" s="6">
        <f t="shared" si="1"/>
        <v>3.4548611110949423E-2</v>
      </c>
      <c r="N62" s="7">
        <f t="shared" si="2"/>
        <v>49.749999999767169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09:26:15-700',mode:absolute,to:'2016-11-17 12:31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2" s="52" t="str">
        <f t="shared" si="6"/>
        <v>N</v>
      </c>
      <c r="X62" s="177">
        <f t="shared" si="16"/>
        <v>1</v>
      </c>
      <c r="Y62" s="67">
        <f t="shared" si="7"/>
        <v>23.298500000000001</v>
      </c>
      <c r="Z62" s="67">
        <f t="shared" si="8"/>
        <v>1.5599999999999999E-2</v>
      </c>
      <c r="AA62" s="67">
        <f t="shared" si="9"/>
        <v>23.282900000000001</v>
      </c>
      <c r="AB62" s="64" t="str">
        <f>VLOOKUP(A62,Enforcements!$C$7:$K$20,8,0)</f>
        <v>Speed (6)</v>
      </c>
      <c r="AC62" s="60" t="str">
        <f>VLOOKUP(A62,Enforcements!$C$7:$E$20,3,0)</f>
        <v>PERMANENT SPEED RESTRICTION</v>
      </c>
      <c r="AD62" s="61" t="str">
        <f t="shared" si="10"/>
        <v>0150-17</v>
      </c>
      <c r="AE62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62" s="88" t="str">
        <f t="shared" si="12"/>
        <v>"C:\Program Files (x86)\AstroGrep\AstroGrep.exe" /spath="%USERPROFILE%\AppData\Local\Temp\OnboardLogs" /stypes="app*4037*20161117*" /stext=" 18:.+((SYSTEM_STATE.+slice.+state.+changed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17"/>
        <v>"%USERPROFILE%\Documents\GitHub\eaglep3\Utilities\RefineRTDCRunTimes.py" --tripid 150-17 --locoid 4037 --swversion DE.1.0.8.0 --startMP 204:232985 --initTime 2016-11-17T10:26:15 --startdatetime 2016-11-17T10:41:17 --delay 1 --endMP 204:156 --enddatetime 2016-11-17T11:31:02 --enforcementcount 0 &gt;&gt;C:\Users\stu\Documents\GitHub\eaglep3-reporting\EC\2016-11-17-refined-times.txt</v>
      </c>
      <c r="AI6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ID","value":"150-17"},{"id":16,"name":"Locomotive ID","value":"4037"},{"id":130,"name":"Impact","value":""},{"id":150,"name":"Time of Event (Mountain Time)","value":"11:31:02"},{"id":151,"name":"Denver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506</v>
      </c>
      <c r="B63" s="7">
        <v>4042</v>
      </c>
      <c r="C63" s="22" t="s">
        <v>220</v>
      </c>
      <c r="D63" s="22" t="s">
        <v>248</v>
      </c>
      <c r="E63" s="13">
        <v>42691.411261574074</v>
      </c>
      <c r="F63" s="13">
        <v>42691.41710648148</v>
      </c>
      <c r="G63" s="7">
        <v>2</v>
      </c>
      <c r="H63" s="22" t="s">
        <v>661</v>
      </c>
      <c r="I63" s="13">
        <v>42691.443680555552</v>
      </c>
      <c r="J63" s="7">
        <v>0</v>
      </c>
      <c r="K63" s="109" t="str">
        <f t="shared" si="0"/>
        <v>4041/4042</v>
      </c>
      <c r="L63" s="22" t="str">
        <f>VLOOKUP(A63,'Trips&amp;Operators'!$C$1:$E$10000,3,FALSE)</f>
        <v>SAFIEF</v>
      </c>
      <c r="M63" s="6">
        <f t="shared" si="1"/>
        <v>2.6574074072414078E-2</v>
      </c>
      <c r="N63" s="7">
        <f t="shared" si="2"/>
        <v>38.266666664276272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08:52:13-700',mode:absolute,to:'2016-11-17 11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6"/>
        <v>N</v>
      </c>
      <c r="X63" s="177">
        <f t="shared" si="16"/>
        <v>1</v>
      </c>
      <c r="Y63" s="67">
        <f t="shared" si="7"/>
        <v>4.7300000000000002E-2</v>
      </c>
      <c r="Z63" s="67">
        <f t="shared" si="8"/>
        <v>23.325099999999999</v>
      </c>
      <c r="AA63" s="67">
        <f t="shared" si="9"/>
        <v>23.277799999999999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0"/>
        <v>0151-17</v>
      </c>
      <c r="AE63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63" s="88" t="str">
        <f t="shared" si="12"/>
        <v>"C:\Program Files (x86)\AstroGrep\AstroGrep.exe" /spath="%USERPROFILE%\AppData\Local\Temp\OnboardLogs" /stypes="app*4042*20161117*"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17"/>
        <v>"%USERPROFILE%\Documents\GitHub\eaglep3\Utilities\RefineRTDCRunTimes.py" --tripid 151-17 --locoid 4042 --swversion DE.1.0.8.0 --startMP 204:473 --initTime 2016-11-17T09:52:13 --startdatetime 2016-11-17T10:00:38 --delay 2 --endMP 204:233251 --enddatetime 2016-11-17T10:38:54 --enforcementcount 0 &gt;&gt;C:\Users\stu\Documents\GitHub\eaglep3-reporting\EC\2016-11-17-refined-times.txt</v>
      </c>
      <c r="AI6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{"issue":{"subject":"","project_id":79,"tracker_id":40,"status_id":1,"priority_id":2,"assigned_to_id":23,"start_date":"2016-11-17","description":"","custom_fields":[{"id":1,"name":"Subdivision","value":"EC"},{"id":4,"name":"Milepost","value":"23.3251"},{"id":17,"name":"Train ID","value":"151-17"},{"id":16,"name":"Locomotive ID","value":"4042"},{"id":130,"name":"Impact","value":""},{"id":150,"name":"Time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512</v>
      </c>
      <c r="B64" s="7">
        <v>4041</v>
      </c>
      <c r="C64" s="22" t="s">
        <v>220</v>
      </c>
      <c r="D64" s="22" t="s">
        <v>662</v>
      </c>
      <c r="E64" s="13">
        <v>42691.450092592589</v>
      </c>
      <c r="F64" s="13">
        <v>42691.456944444442</v>
      </c>
      <c r="G64" s="7">
        <v>1</v>
      </c>
      <c r="H64" s="22" t="s">
        <v>196</v>
      </c>
      <c r="I64" s="13">
        <v>42691.488483796296</v>
      </c>
      <c r="J64" s="7">
        <v>0</v>
      </c>
      <c r="K64" s="109" t="str">
        <f t="shared" si="0"/>
        <v>4041/4042</v>
      </c>
      <c r="L64" s="22" t="str">
        <f>VLOOKUP(A64,'Trips&amp;Operators'!$C$1:$E$10000,3,FALSE)</f>
        <v>SAFIEF</v>
      </c>
      <c r="M64" s="6">
        <f t="shared" si="1"/>
        <v>3.1539351854007691E-2</v>
      </c>
      <c r="N64" s="7">
        <f t="shared" si="2"/>
        <v>45.416666669771075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09:48:08-700',mode:absolute,to:'2016-11-17 12:43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6"/>
        <v>N</v>
      </c>
      <c r="X64" s="177">
        <f t="shared" si="16"/>
        <v>1</v>
      </c>
      <c r="Y64" s="67">
        <f t="shared" si="7"/>
        <v>23.296099999999999</v>
      </c>
      <c r="Z64" s="67">
        <f t="shared" si="8"/>
        <v>1.49E-2</v>
      </c>
      <c r="AA64" s="67">
        <f t="shared" si="9"/>
        <v>23.281199999999998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0"/>
        <v>0152-17</v>
      </c>
      <c r="AE64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64" s="88" t="str">
        <f t="shared" si="12"/>
        <v>"C:\Program Files (x86)\AstroGrep\AstroGrep.exe" /spath="%USERPROFILE%\AppData\Local\Temp\OnboardLogs" /stypes="app*4041*20161117*" /stext=" 18:.+((SYSTEM_STATE.+slice.+state.+changed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17"/>
        <v>"%USERPROFILE%\Documents\GitHub\eaglep3\Utilities\RefineRTDCRunTimes.py" --tripid 152-17 --locoid 4041 --swversion DE.1.0.8.0 --startMP 204:232961 --initTime 2016-11-17T10:48:08 --startdatetime 2016-11-17T10:58:00 --delay 1 --endMP 204:149 --enddatetime 2016-11-17T11:43:25 --enforcementcount 0 &gt;&gt;C:\Users\stu\Documents\GitHub\eaglep3-reporting\EC\2016-11-17-refined-times.txt</v>
      </c>
      <c r="AI6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ID","value":"152-17"},{"id":16,"name":"Locomotive ID","value":"4041"},{"id":130,"name":"Impact","value":""},{"id":150,"name":"Time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509</v>
      </c>
      <c r="B65" s="7">
        <v>4011</v>
      </c>
      <c r="C65" s="22" t="s">
        <v>220</v>
      </c>
      <c r="D65" s="22" t="s">
        <v>663</v>
      </c>
      <c r="E65" s="13">
        <v>42691.428298611114</v>
      </c>
      <c r="F65" s="13">
        <v>42691.467314814814</v>
      </c>
      <c r="G65" s="7">
        <v>1</v>
      </c>
      <c r="H65" s="22" t="s">
        <v>368</v>
      </c>
      <c r="I65" s="13">
        <v>42691.497743055559</v>
      </c>
      <c r="J65" s="7">
        <v>0</v>
      </c>
      <c r="K65" s="109" t="str">
        <f t="shared" si="0"/>
        <v>4011/4012</v>
      </c>
      <c r="L65" s="22" t="str">
        <f>VLOOKUP(A65,'Trips&amp;Operators'!$C$1:$E$10000,3,FALSE)</f>
        <v>STARKS</v>
      </c>
      <c r="M65" s="6">
        <f t="shared" si="1"/>
        <v>3.0428240745095536E-2</v>
      </c>
      <c r="N65" s="7">
        <f t="shared" si="2"/>
        <v>43.816666672937572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09:16:45-700',mode:absolute,to:'2016-11-17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52" t="str">
        <f t="shared" si="6"/>
        <v>N</v>
      </c>
      <c r="X65" s="177">
        <f t="shared" si="16"/>
        <v>1</v>
      </c>
      <c r="Y65" s="67">
        <f t="shared" si="7"/>
        <v>4.4600000000000001E-2</v>
      </c>
      <c r="Z65" s="67">
        <f t="shared" si="8"/>
        <v>23.330400000000001</v>
      </c>
      <c r="AA65" s="67">
        <f t="shared" si="9"/>
        <v>23.285800000000002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0"/>
        <v>0153-17</v>
      </c>
      <c r="AE65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65" s="88" t="str">
        <f t="shared" si="12"/>
        <v>"C:\Program Files (x86)\AstroGrep\AstroGrep.exe" /spath="%USERPROFILE%\AppData\Local\Temp\OnboardLogs" /stypes="app*4011*20161117*" /stext=" 18:.+((SYSTEM_STATE.+slice.+state.+changed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17"/>
        <v>"%USERPROFILE%\Documents\GitHub\eaglep3\Utilities\RefineRTDCRunTimes.py" --tripid 153-17 --locoid 4011 --swversion DE.1.0.8.0 --startMP 204:446 --initTime 2016-11-17T10:16:45 --startdatetime 2016-11-17T11:12:56 --delay 1 --endMP 204:233304 --enddatetime 2016-11-17T11:56:45 --enforcementcount 0 &gt;&gt;C:\Users\stu\Documents\GitHub\eaglep3-reporting\EC\2016-11-17-refined-times.txt</v>
      </c>
      <c r="AI6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{"issue":{"subject":"","project_id":79,"tracker_id":40,"status_id":1,"priority_id":2,"assigned_to_id":23,"start_date":"2016-11-17","description":"","custom_fields":[{"id":1,"name":"Subdivision","value":"EC"},{"id":4,"name":"Milepost","value":"23.3304"},{"id":17,"name":"Train ID","value":"153-17"},{"id":16,"name":"Locomotive ID","value":"4011"},{"id":130,"name":"Impact","value":""},{"id":150,"name":"Time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433</v>
      </c>
      <c r="B66" s="7">
        <v>4012</v>
      </c>
      <c r="C66" s="22" t="s">
        <v>220</v>
      </c>
      <c r="D66" s="22" t="s">
        <v>664</v>
      </c>
      <c r="E66" s="13">
        <v>42691.464895833335</v>
      </c>
      <c r="F66" s="13">
        <v>42691.467314814814</v>
      </c>
      <c r="G66" s="7">
        <v>2</v>
      </c>
      <c r="H66" s="22" t="s">
        <v>301</v>
      </c>
      <c r="I66" s="13">
        <v>42691.497743055559</v>
      </c>
      <c r="J66" s="7">
        <v>0</v>
      </c>
      <c r="K66" s="109" t="str">
        <f t="shared" si="0"/>
        <v>4011/4012</v>
      </c>
      <c r="L66" s="22" t="str">
        <f>VLOOKUP(A66,'Trips&amp;Operators'!$C$1:$E$10000,3,FALSE)</f>
        <v>STARKS</v>
      </c>
      <c r="M66" s="6">
        <f t="shared" si="1"/>
        <v>3.0428240745095536E-2</v>
      </c>
      <c r="N66" s="7">
        <f t="shared" si="2"/>
        <v>43.816666672937572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10:09:27-700',mode:absolute,to:'2016-11-17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6" s="52" t="str">
        <f t="shared" si="6"/>
        <v>N</v>
      </c>
      <c r="X66" s="177">
        <f t="shared" si="16"/>
        <v>1</v>
      </c>
      <c r="Y66" s="67">
        <f t="shared" si="7"/>
        <v>23.131399999999999</v>
      </c>
      <c r="Z66" s="67">
        <f t="shared" si="8"/>
        <v>1.32E-2</v>
      </c>
      <c r="AA66" s="67">
        <f t="shared" si="9"/>
        <v>23.118199999999998</v>
      </c>
      <c r="AB66" s="64" t="str">
        <f>VLOOKUP(A66,Enforcements!$C$7:$K$20,8,0)</f>
        <v>Speed (6)</v>
      </c>
      <c r="AC66" s="60" t="str">
        <f>VLOOKUP(A66,Enforcements!$C$7:$E$20,3,0)</f>
        <v>PERMANENT SPEED RESTRICTION</v>
      </c>
      <c r="AD66" s="61" t="str">
        <f t="shared" si="10"/>
        <v>0154-17</v>
      </c>
      <c r="AE66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66" s="88" t="str">
        <f t="shared" si="12"/>
        <v>"C:\Program Files (x86)\AstroGrep\AstroGrep.exe" /spath="%USERPROFILE%\AppData\Local\Temp\OnboardLogs" /stypes="app*4012*20161117*" /stext=" 18:.+((SYSTEM_STATE.+slice.+state.+changed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17"/>
        <v>"%USERPROFILE%\Documents\GitHub\eaglep3\Utilities\RefineRTDCRunTimes.py" --tripid 154-17 --locoid 4012 --swversion DE.1.0.8.0 --startMP 204:231314 --initTime 2016-11-17T11:09:27 --startdatetime 2016-11-17T11:12:56 --delay 2 --endMP 204:132 --enddatetime 2016-11-17T11:56:45 --enforcementcount 0 &gt;&gt;C:\Users\stu\Documents\GitHub\eaglep3-reporting\EC\2016-11-17-refined-times.txt</v>
      </c>
      <c r="AI6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ID","value":"154-17"},{"id":16,"name":"Locomotive ID","value":"4012"},{"id":130,"name":"Impact","value":""},{"id":150,"name":"Time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795</v>
      </c>
      <c r="B67" s="7">
        <v>4022</v>
      </c>
      <c r="C67" s="22" t="s">
        <v>220</v>
      </c>
      <c r="D67" s="22" t="s">
        <v>664</v>
      </c>
      <c r="E67" s="13">
        <v>42691.464895833335</v>
      </c>
      <c r="F67" s="13"/>
      <c r="G67" s="7">
        <v>2</v>
      </c>
      <c r="H67" s="22" t="s">
        <v>301</v>
      </c>
      <c r="I67" s="13"/>
      <c r="J67" s="7">
        <v>0</v>
      </c>
      <c r="K67" s="109" t="str">
        <f t="shared" ref="K67:K68" si="33">IF(ISEVEN(B67),(B67-1)&amp;"/"&amp;B67,B67&amp;"/"&amp;(B67+1))</f>
        <v>4021/4022</v>
      </c>
      <c r="L67" s="22" t="e">
        <f>VLOOKUP(A67,'Trips&amp;Operators'!$C$1:$E$10000,3,FALSE)</f>
        <v>#N/A</v>
      </c>
      <c r="M67" s="6">
        <f t="shared" ref="M67:M68" si="34">I67-F67</f>
        <v>0</v>
      </c>
      <c r="N67" s="7"/>
      <c r="O67" s="7"/>
      <c r="P67" s="7">
        <v>1</v>
      </c>
      <c r="Q67" s="23"/>
      <c r="R67" s="23" t="s">
        <v>792</v>
      </c>
      <c r="S67" s="35">
        <f t="shared" ref="S67:S68" si="35">SUM(U67:U67)/IF(AG67="EC",12,1)</f>
        <v>0</v>
      </c>
      <c r="T67" s="50" t="str">
        <f t="shared" ref="T67:T68" si="36"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 t="shared" ref="V67:V68" si="37"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https://search-rtdc-monitor-bjffxe2xuh6vdkpspy63sjmuny.us-east-1.es.amazonaws.com/_plugin/kibana/#/discover/Steve-Slow-Train-Analysis-(2080s-and-2083s)?_g=(refreshInterval:(display:Off,section:0,value:0),time:(from:'2016-11-17 10:09:27-700',mode:absolute,to:'1900-01-00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ref="W67:W68" si="38">IF(AA67&lt;IF(AG67="EC",23,5.65),"Y","N")</f>
        <v>N</v>
      </c>
      <c r="X67" s="177">
        <f t="shared" ref="X67:X69" si="39">VALUE(LEFT(AD67,4))-VALUE(LEFT(AD66,4))</f>
        <v>1</v>
      </c>
      <c r="Y67" s="67">
        <f t="shared" ref="Y67:Y68" si="40">RIGHT(D67,LEN(D67)-4)/10000</f>
        <v>23.131399999999999</v>
      </c>
      <c r="Z67" s="67">
        <f t="shared" ref="Z67:Z68" si="41">RIGHT(H67,LEN(H67)-4)/10000</f>
        <v>1.32E-2</v>
      </c>
      <c r="AA67" s="67">
        <f t="shared" ref="AA67:AA68" si="42">ABS(Z67-Y67)</f>
        <v>23.118199999999998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ref="AD67:AD68" si="43">IF(LEN(A67)=6,"0"&amp;A67,A67)</f>
        <v>0155-17</v>
      </c>
      <c r="AE67" s="91" t="str">
        <f t="shared" ref="AE67:AE68" si="44"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s3://rtdc.mdm.uploadarchive.raw/RTDC4022/ "%USERPROFILE%\AppData\Local\Temp\OnboardLogs"\RTDC4022\1900-01-00 --exclude "*" --recursive --include "*19000100*" &amp; "%USERPROFILE%\Documents\GitHub\mrs-test-scripts\Headless Mode &amp; Sideloading\WalkAndUnGZ.bat" "%USERPROFILE%\AppData\Local\Temp\OnboardLogs"\RTDC4022\1900-01-00 &amp; aws s3 cp s3://rtdc.mdm.uploadarchive.raw/RTDC4022/ "%USERPROFILE%\AppData\Local\Temp\OnboardLogs"\RTDC4022\1900-01-01 --exclude "*" --recursive --include "*19000101*" &amp; "%USERPROFILE%\Documents\GitHub\mrs-test-scripts\Headless Mode &amp; Sideloading\WalkAndUnGZ.bat" "%USERPROFILE%\AppData\Local\Temp\OnboardLogs"\RTDC4022\1900-01-01</v>
      </c>
      <c r="AF67" s="88" t="str">
        <f t="shared" ref="AF67:AF68" si="45"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/stypes="app*4022*19000100*" /stext=" 07:.+((SYSTEM_STATE.+slice.+state.+changed )|(ment ac)|(system.+state.+changed )|(\[timeout)|(PRM\|1\|D)|(kpr)|(kdp)|(\|lc)|(penalty))" /e /r /s</v>
      </c>
      <c r="AG67" s="1" t="str">
        <f t="shared" ref="AG67:AG68" si="46">IFERROR(IF(VALUE(LEFT(AD67,2))&lt;=2,"EC",IF(OR(VALUE(LEFT(AD67,2))=8,VALUE(LEFT(AD67,2))=18),"NW","Other")),"Other")</f>
        <v>EC</v>
      </c>
      <c r="AH67" s="92" t="str">
        <f t="shared" ref="AH67:AH68" si="47"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155-17 --locoid 4022 --swversion DE.1.0.8.0 --startMP 204:231314 --initTime 2016-11-17T11:09:27 --startdatetime 1900-01-00T00:00:00 --delay 2 --endMP 204:132 --enddatetime 1900-01-00T00:00:00 --enforcementcount 0 &gt;&gt;C:\Users\stu\Documents\GitHub\eaglep3-reporting\EC\2016-11-17-refined-times.txt</v>
      </c>
      <c r="AI67" s="119" t="str">
        <f t="shared" ref="AI67:AI68" si="48"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-X POST -H ""Content-Type: application/json"" -H ""X-Redmine-API-Key: "&amp;redm_api_key&amp;""" "&amp;redm_url&amp;" --data @-"</f>
        <v>echo {"issue":{"subject":"Wi-MAX went offline for 8 hours","project_id":79,"tracker_id":40,"status_id":1,"priority_id":2,"assigned_to_id":23,"start_date":"1900-01-00","description":"","custom_fields":[{"id":1,"name":"Subdivision","value":"EC"},{"id":4,"name":"Milepost","value":"0.0132"},{"id":17,"name":"Train ID","value":"155-17"},{"id":16,"name":"Locomotive ID","value":"4022"},{"id":130,"name":"Impact","value":""},{"id":150,"name":"Time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</row>
    <row r="68" spans="1:91" s="1" customFormat="1" x14ac:dyDescent="0.25">
      <c r="A68" s="37" t="s">
        <v>796</v>
      </c>
      <c r="B68" s="7">
        <v>4021</v>
      </c>
      <c r="C68" s="22" t="s">
        <v>220</v>
      </c>
      <c r="D68" s="22" t="s">
        <v>664</v>
      </c>
      <c r="E68" s="13">
        <v>42691.464895833335</v>
      </c>
      <c r="F68" s="13"/>
      <c r="G68" s="7">
        <v>2</v>
      </c>
      <c r="H68" s="22" t="s">
        <v>301</v>
      </c>
      <c r="I68" s="13"/>
      <c r="J68" s="7">
        <v>0</v>
      </c>
      <c r="K68" s="109" t="str">
        <f t="shared" si="33"/>
        <v>4021/4022</v>
      </c>
      <c r="L68" s="22" t="e">
        <f>VLOOKUP(A68,'Trips&amp;Operators'!$C$1:$E$10000,3,FALSE)</f>
        <v>#N/A</v>
      </c>
      <c r="M68" s="6">
        <f t="shared" si="34"/>
        <v>0</v>
      </c>
      <c r="N68" s="7"/>
      <c r="O68" s="7"/>
      <c r="P68" s="7">
        <v>1</v>
      </c>
      <c r="Q68" s="23"/>
      <c r="R68" s="23" t="s">
        <v>792</v>
      </c>
      <c r="S68" s="35">
        <f t="shared" si="35"/>
        <v>1</v>
      </c>
      <c r="T68" s="50" t="str">
        <f t="shared" si="36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https://search-rtdc-monitor-bjffxe2xuh6vdkpspy63sjmuny.us-east-1.es.amazonaws.com/_plugin/kibana/#/discover/Steve-Slow-Train-Analysis-(2080s-and-2083s)?_g=(refreshInterval:(display:Off,section:0,value:0),time:(from:'2016-11-17 10:09:27-700',mode:absolute,to:'1900-01-00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38"/>
        <v>N</v>
      </c>
      <c r="X68" s="177">
        <f t="shared" si="39"/>
        <v>1</v>
      </c>
      <c r="Y68" s="67">
        <f t="shared" si="40"/>
        <v>23.131399999999999</v>
      </c>
      <c r="Z68" s="67">
        <f t="shared" si="41"/>
        <v>1.32E-2</v>
      </c>
      <c r="AA68" s="67">
        <f t="shared" si="42"/>
        <v>23.118199999999998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43"/>
        <v>0156-17</v>
      </c>
      <c r="AE68" s="91" t="str">
        <f t="shared" si="44"/>
        <v>aws s3 cp s3://rtdc.mdm.uploadarchive.raw/RTDC4021/ "%USERPROFILE%\AppData\Local\Temp\OnboardLogs"\RTDC4021\1900-01-00 --exclude "*" --recursive --include "*19000100*" &amp; "%USERPROFILE%\Documents\GitHub\mrs-test-scripts\Headless Mode &amp; Sideloading\WalkAndUnGZ.bat" "%USERPROFILE%\AppData\Local\Temp\OnboardLogs"\RTDC4021\1900-01-00 &amp; aws s3 cp s3://rtdc.mdm.uploadarchive.raw/RTDC4021/ "%USERPROFILE%\AppData\Local\Temp\OnboardLogs"\RTDC4021\1900-01-01 --exclude "*" --recursive --include "*19000101*" &amp; "%USERPROFILE%\Documents\GitHub\mrs-test-scripts\Headless Mode &amp; Sideloading\WalkAndUnGZ.bat" "%USERPROFILE%\AppData\Local\Temp\OnboardLogs"\RTDC4021\1900-01-01</v>
      </c>
      <c r="AF68" s="88" t="str">
        <f t="shared" si="45"/>
        <v>"C:\Program Files (x86)\AstroGrep\AstroGrep.exe" /spath="%USERPROFILE%\AppData\Local\Temp\OnboardLogs" /stypes="app*4021*19000100*" /stext=" 07:.+((SYSTEM_STATE.+slice.+state.+changed )|(ment ac)|(system.+state.+changed )|(\[timeout)|(PRM\|1\|D)|(kpr)|(kdp)|(\|lc)|(penalty))" /e /r /s</v>
      </c>
      <c r="AG68" s="1" t="str">
        <f t="shared" si="46"/>
        <v>EC</v>
      </c>
      <c r="AH68" s="92" t="str">
        <f t="shared" si="47"/>
        <v>"%USERPROFILE%\Documents\GitHub\eaglep3\Utilities\RefineRTDCRunTimes.py" --tripid 156-17 --locoid 4021 --swversion DE.1.0.8.0 --startMP 204:231314 --initTime 2016-11-17T11:09:27 --startdatetime 1900-01-00T00:00:00 --delay 2 --endMP 204:132 --enddatetime 1900-01-00T00:00:00 --enforcementcount 0 &gt;&gt;C:\Users\stu\Documents\GitHub\eaglep3-reporting\EC\2016-11-17-refined-times.txt</v>
      </c>
      <c r="AI68" s="119" t="str">
        <f t="shared" si="48"/>
        <v>echo {"issue":{"subject":"Wi-MAX went offline for 8 hours","project_id":79,"tracker_id":40,"status_id":1,"priority_id":2,"assigned_to_id":23,"start_date":"1900-01-00","description":"","custom_fields":[{"id":1,"name":"Subdivision","value":"EC"},{"id":4,"name":"Milepost","value":"0.0132"},{"id":17,"name":"Train ID","value":"156-17"},{"id":16,"name":"Locomotive ID","value":"4021"},{"id":130,"name":"Impact","value":""},{"id":150,"name":"Time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</row>
    <row r="69" spans="1:91" s="1" customFormat="1" x14ac:dyDescent="0.25">
      <c r="A69" s="37" t="s">
        <v>429</v>
      </c>
      <c r="B69" s="7">
        <v>4031</v>
      </c>
      <c r="C69" s="22" t="s">
        <v>220</v>
      </c>
      <c r="D69" s="22" t="s">
        <v>278</v>
      </c>
      <c r="E69" s="13">
        <v>42691.444641203707</v>
      </c>
      <c r="F69" s="13">
        <v>42691.448078703703</v>
      </c>
      <c r="G69" s="7">
        <v>1</v>
      </c>
      <c r="H69" s="22" t="s">
        <v>665</v>
      </c>
      <c r="I69" s="13">
        <v>42691.47587962963</v>
      </c>
      <c r="J69" s="7">
        <v>0</v>
      </c>
      <c r="K69" s="109" t="str">
        <f t="shared" si="0"/>
        <v>4031/4032</v>
      </c>
      <c r="L69" s="22" t="str">
        <f>VLOOKUP(A69,'Trips&amp;Operators'!$C$1:$E$10000,3,FALSE)</f>
        <v>RICHARDSON</v>
      </c>
      <c r="M69" s="6">
        <f t="shared" si="1"/>
        <v>2.7800925927294884E-2</v>
      </c>
      <c r="N69" s="7">
        <f t="shared" si="2"/>
        <v>40.033333335304633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39"/>
        <v>1</v>
      </c>
      <c r="Y69" s="67">
        <f t="shared" si="7"/>
        <v>4.4400000000000002E-2</v>
      </c>
      <c r="Z69" s="67">
        <f t="shared" si="8"/>
        <v>23.328099999999999</v>
      </c>
      <c r="AA69" s="67">
        <f t="shared" si="9"/>
        <v>23.2837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10"/>
        <v>0157-17</v>
      </c>
      <c r="AE69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69" s="88" t="str">
        <f t="shared" si="12"/>
        <v>"C:\Program Files (x86)\AstroGrep\AstroGrep.exe" /spath="%USERPROFILE%\AppData\Local\Temp\OnboardLogs" /stypes="app*4031*20161117*" /stext=" 18:.+((SYSTEM_STATE.+slice.+state.+changed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17"/>
        <v>"%USERPROFILE%\Documents\GitHub\eaglep3\Utilities\RefineRTDCRunTimes.py" --tripid 157-17 --locoid 4031 --swversion DE.1.0.8.0 --startMP 204:444 --initTime 2016-11-17T10:40:17 --startdatetime 2016-11-17T10:45:14 --delay 1 --endMP 204:233281 --enddatetime 2016-11-17T11:25:16 --enforcementcount 0 &gt;&gt;C:\Users\stu\Documents\GitHub\eaglep3-reporting\EC\2016-11-17-refined-times.txt</v>
      </c>
      <c r="AI6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{"issue":{"subject":"","project_id":79,"tracker_id":40,"status_id":1,"priority_id":2,"assigned_to_id":23,"start_date":"2016-11-17","description":"","custom_fields":[{"id":1,"name":"Subdivision","value":"EC"},{"id":4,"name":"Milepost","value":"23.3281"},{"id":17,"name":"Train ID","value":"157-17"},{"id":16,"name":"Locomotive ID","value":"4031"},{"id":130,"name":"Impact","value":""},{"id":150,"name":"Time of Event (Mountain Time)","value":"11:25:16"},{"id":151,"name":"Denver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515</v>
      </c>
      <c r="B70" s="7">
        <v>4032</v>
      </c>
      <c r="C70" s="22" t="s">
        <v>220</v>
      </c>
      <c r="D70" s="22" t="s">
        <v>369</v>
      </c>
      <c r="E70" s="13">
        <v>42691.48159722222</v>
      </c>
      <c r="F70" s="13">
        <v>42691.486956018518</v>
      </c>
      <c r="G70" s="7">
        <v>1</v>
      </c>
      <c r="H70" s="22" t="s">
        <v>275</v>
      </c>
      <c r="I70" s="13">
        <v>42691.522175925929</v>
      </c>
      <c r="J70" s="7">
        <v>0</v>
      </c>
      <c r="K70" s="109" t="str">
        <f t="shared" si="0"/>
        <v>4031/4032</v>
      </c>
      <c r="L70" s="22" t="str">
        <f>VLOOKUP(A70,'Trips&amp;Operators'!$C$1:$E$10000,3,FALSE)</f>
        <v>RICHARDSON</v>
      </c>
      <c r="M70" s="6">
        <f t="shared" si="1"/>
        <v>3.5219907411374152E-2</v>
      </c>
      <c r="N70" s="7">
        <f t="shared" si="2"/>
        <v>50.716666672378778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10:33:30-700',mode:absolute,to:'2016-11-17 13:31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16"/>
        <v>1</v>
      </c>
      <c r="Y70" s="67">
        <f t="shared" si="7"/>
        <v>23.299299999999999</v>
      </c>
      <c r="Z70" s="67">
        <f t="shared" si="8"/>
        <v>1.41E-2</v>
      </c>
      <c r="AA70" s="67">
        <f t="shared" si="9"/>
        <v>23.2852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0"/>
        <v>0158-17</v>
      </c>
      <c r="AE70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70" s="88" t="str">
        <f t="shared" si="12"/>
        <v>"C:\Program Files (x86)\AstroGrep\AstroGrep.exe" /spath="%USERPROFILE%\AppData\Local\Temp\OnboardLogs" /stypes="app*4032*20161117*" /stext=" 19:.+((SYSTEM_STATE.+slice.+state.+changed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17"/>
        <v>"%USERPROFILE%\Documents\GitHub\eaglep3\Utilities\RefineRTDCRunTimes.py" --tripid 158-17 --locoid 4032 --swversion DE.1.0.8.0 --startMP 204:232993 --initTime 2016-11-17T11:33:30 --startdatetime 2016-11-17T11:41:13 --delay 1 --endMP 204:141 --enddatetime 2016-11-17T12:31:56 --enforcementcount 0 &gt;&gt;C:\Users\stu\Documents\GitHub\eaglep3-reporting\EC\2016-11-17-refined-times.txt</v>
      </c>
      <c r="AI7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{"issue":{"subject":"","project_id":79,"tracker_id":40,"status_id":1,"priority_id":2,"assigned_to_id":23,"start_date":"2016-11-17","description":"","custom_fields":[{"id":1,"name":"Subdivision","value":"EC"},{"id":4,"name":"Milepost","value":"0.0141"},{"id":17,"name":"Train ID","value":"158-17"},{"id":16,"name":"Locomotive ID","value":"4032"},{"id":130,"name":"Impact","value":""},{"id":150,"name":"Time of Event (Mountain Time)","value":"12:31:56"},{"id":151,"name":"Denver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430</v>
      </c>
      <c r="B71" s="7">
        <v>4003</v>
      </c>
      <c r="C71" s="22" t="s">
        <v>220</v>
      </c>
      <c r="D71" s="22" t="s">
        <v>666</v>
      </c>
      <c r="E71" s="13">
        <v>42691.462372685186</v>
      </c>
      <c r="F71" s="13">
        <v>42691.463263888887</v>
      </c>
      <c r="G71" s="7">
        <v>1</v>
      </c>
      <c r="H71" s="22" t="s">
        <v>249</v>
      </c>
      <c r="I71" s="13">
        <v>42691.487546296295</v>
      </c>
      <c r="J71" s="7">
        <v>0</v>
      </c>
      <c r="K71" s="109" t="str">
        <f t="shared" si="0"/>
        <v>4003/4004</v>
      </c>
      <c r="L71" s="22" t="str">
        <f>VLOOKUP(A71,'Trips&amp;Operators'!$C$1:$E$10000,3,FALSE)</f>
        <v>MACDONALD</v>
      </c>
      <c r="M71" s="6">
        <f t="shared" si="1"/>
        <v>2.4282407408463769E-2</v>
      </c>
      <c r="N71" s="7"/>
      <c r="O71" s="7"/>
      <c r="P71" s="7">
        <f t="shared" si="2"/>
        <v>34.966666668187827</v>
      </c>
      <c r="Q71" s="23"/>
      <c r="R71" s="23" t="s">
        <v>925</v>
      </c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10:05:49-700',mode:absolute,to:'2016-11-17 12:42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52" t="str">
        <f t="shared" si="6"/>
        <v>Y</v>
      </c>
      <c r="X71" s="177">
        <f t="shared" si="16"/>
        <v>1</v>
      </c>
      <c r="Y71" s="67">
        <f t="shared" si="7"/>
        <v>1.913</v>
      </c>
      <c r="Z71" s="67">
        <f t="shared" si="8"/>
        <v>23.330300000000001</v>
      </c>
      <c r="AA71" s="67">
        <f t="shared" si="9"/>
        <v>21.417300000000001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0"/>
        <v>0159-17</v>
      </c>
      <c r="AE71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71" s="88" t="str">
        <f t="shared" si="12"/>
        <v>"C:\Program Files (x86)\AstroGrep\AstroGrep.exe" /spath="%USERPROFILE%\AppData\Local\Temp\OnboardLogs" /stypes="app*4003*20161117*" /stext=" 18:.+((SYSTEM_STATE.+slice.+state.+changed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17"/>
        <v>"%USERPROFILE%\Documents\GitHub\eaglep3\Utilities\RefineRTDCRunTimes.py" --tripid 159-17 --locoid 4003 --swversion DE.1.0.8.0 --startMP 204:19130 --initTime 2016-11-17T11:05:49 --startdatetime 2016-11-17T11:07:06 --delay 1 --endMP 204:233303 --enddatetime 2016-11-17T11:42:04 --enforcementcount 0 &gt;&gt;C:\Users\stu\Documents\GitHub\eaglep3-reporting\EC\2016-11-17-refined-times.txt</v>
      </c>
      <c r="AI71" s="119" t="str">
        <f t="shared" si="18"/>
        <v>echo {"issue":{"subject":"DUS 2N STOP due to 20N at STOP","project_id":79,"tracker_id":40,"status_id":1,"priority_id":2,"assigned_to_id":23,"start_date":"2016-11-17","description":"Basically, they needed to wait for the route to line up before they could go","custom_fields":[{"id":1,"name":"Subdivision","value":"EC"},{"id":4,"name":"Milepost","value":"23.3303"},{"id":17,"name":"Train ID","value":"159-17"},{"id":16,"name":"Locomotive ID","value":"4003"},{"id":130,"name":"Impact","value":"Unexpected Cut-Out or Disengaged"},{"id":150,"name":"Time of Event (Mountain Time)","value":"11:42:04"},{"id":151,"name":"Denver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71" s="53" t="s">
        <v>798</v>
      </c>
      <c r="AK71" s="53" t="s">
        <v>131</v>
      </c>
      <c r="AL71" s="53" t="s">
        <v>228</v>
      </c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436</v>
      </c>
      <c r="B72" s="7">
        <v>4004</v>
      </c>
      <c r="C72" s="22" t="s">
        <v>220</v>
      </c>
      <c r="D72" s="22" t="s">
        <v>210</v>
      </c>
      <c r="E72" s="13">
        <v>42691.49145833333</v>
      </c>
      <c r="F72" s="13">
        <v>42691.497615740744</v>
      </c>
      <c r="G72" s="7">
        <v>1</v>
      </c>
      <c r="H72" s="22" t="s">
        <v>667</v>
      </c>
      <c r="I72" s="13">
        <v>42691.533414351848</v>
      </c>
      <c r="J72" s="7">
        <v>0</v>
      </c>
      <c r="K72" s="109" t="str">
        <f t="shared" si="0"/>
        <v>4003/4004</v>
      </c>
      <c r="L72" s="22" t="str">
        <f>VLOOKUP(A72,'Trips&amp;Operators'!$C$1:$E$10000,3,FALSE)</f>
        <v>MACDONALD</v>
      </c>
      <c r="M72" s="6">
        <f t="shared" si="1"/>
        <v>3.5798611104837619E-2</v>
      </c>
      <c r="N72" s="7">
        <f t="shared" si="2"/>
        <v>51.549999990966171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10:47:42-700',mode:absolute,to:'2016-11-17 13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2" s="52" t="str">
        <f t="shared" si="6"/>
        <v>N</v>
      </c>
      <c r="X72" s="177">
        <f t="shared" si="16"/>
        <v>1</v>
      </c>
      <c r="Y72" s="67">
        <f t="shared" si="7"/>
        <v>23.297699999999999</v>
      </c>
      <c r="Z72" s="67">
        <f t="shared" si="8"/>
        <v>1.23E-2</v>
      </c>
      <c r="AA72" s="67">
        <f t="shared" si="9"/>
        <v>23.285399999999999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0"/>
        <v>0160-17</v>
      </c>
      <c r="AE72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72" s="88" t="str">
        <f t="shared" si="12"/>
        <v>"C:\Program Files (x86)\AstroGrep\AstroGrep.exe" /spath="%USERPROFILE%\AppData\Local\Temp\OnboardLogs" /stypes="app*4004*20161117*" /stext=" 19:.+((SYSTEM_STATE.+slice.+state.+changed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17"/>
        <v>"%USERPROFILE%\Documents\GitHub\eaglep3\Utilities\RefineRTDCRunTimes.py" --tripid 160-17 --locoid 4004 --swversion DE.1.0.8.0 --startMP 204:232977 --initTime 2016-11-17T11:47:42 --startdatetime 2016-11-17T11:56:34 --delay 1 --endMP 204:123 --enddatetime 2016-11-17T12:48:07 --enforcementcount 0 &gt;&gt;C:\Users\stu\Documents\GitHub\eaglep3-reporting\EC\2016-11-17-refined-times.txt</v>
      </c>
      <c r="AI7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{"issue":{"subject":"","project_id":79,"tracker_id":40,"status_id":1,"priority_id":2,"assigned_to_id":23,"start_date":"2016-11-17","description":"","custom_fields":[{"id":1,"name":"Subdivision","value":"EC"},{"id":4,"name":"Milepost","value":"0.0123"},{"id":17,"name":"Train ID","value":"160-17"},{"id":16,"name":"Locomotive ID","value":"4004"},{"id":130,"name":"Impact","value":""},{"id":150,"name":"Time of Event (Mountain Time)","value":"12:48:07"},{"id":151,"name":"Denver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434</v>
      </c>
      <c r="B73" s="7">
        <v>4014</v>
      </c>
      <c r="C73" s="22" t="s">
        <v>220</v>
      </c>
      <c r="D73" s="22" t="s">
        <v>382</v>
      </c>
      <c r="E73" s="13">
        <v>42691.46738425926</v>
      </c>
      <c r="F73" s="13">
        <v>42691.469525462962</v>
      </c>
      <c r="G73" s="7">
        <v>2</v>
      </c>
      <c r="H73" s="22" t="s">
        <v>187</v>
      </c>
      <c r="I73" s="13">
        <v>42691.501446759263</v>
      </c>
      <c r="J73" s="7">
        <v>0</v>
      </c>
      <c r="K73" s="109" t="str">
        <f t="shared" si="0"/>
        <v>4013/4014</v>
      </c>
      <c r="L73" s="22" t="str">
        <f>VLOOKUP(A73,'Trips&amp;Operators'!$C$1:$E$10000,3,FALSE)</f>
        <v>SHOOK</v>
      </c>
      <c r="M73" s="6">
        <f t="shared" si="1"/>
        <v>3.1921296300424729E-2</v>
      </c>
      <c r="N73" s="7">
        <f t="shared" si="2"/>
        <v>45.966666672611609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10:13:02-700',mode:absolute,to:'2016-11-17 13:02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6"/>
        <v>N</v>
      </c>
      <c r="X73" s="177">
        <f t="shared" si="16"/>
        <v>1</v>
      </c>
      <c r="Y73" s="67">
        <f t="shared" si="7"/>
        <v>4.5499999999999999E-2</v>
      </c>
      <c r="Z73" s="67">
        <f t="shared" si="8"/>
        <v>23.329699999999999</v>
      </c>
      <c r="AA73" s="67">
        <f t="shared" si="9"/>
        <v>23.284199999999998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0"/>
        <v>0161-17</v>
      </c>
      <c r="AE73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73" s="88" t="str">
        <f t="shared" si="12"/>
        <v>"C:\Program Files (x86)\AstroGrep\AstroGrep.exe" /spath="%USERPROFILE%\AppData\Local\Temp\OnboardLogs" /stypes="app*4014*20161117*" /stext=" 19:.+((SYSTEM_STATE.+slice.+state.+changed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17"/>
        <v>"%USERPROFILE%\Documents\GitHub\eaglep3\Utilities\RefineRTDCRunTimes.py" --tripid 161-17 --locoid 4014 --swversion DE.1.0.8.0 --startMP 204:455 --initTime 2016-11-17T11:13:02 --startdatetime 2016-11-17T11:16:07 --delay 2 --endMP 204:233297 --enddatetime 2016-11-17T12:02:05 --enforcementcount 0 &gt;&gt;C:\Users\stu\Documents\GitHub\eaglep3-reporting\EC\2016-11-17-refined-times.txt</v>
      </c>
      <c r="AI7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ID","value":"161-17"},{"id":16,"name":"Locomotive ID","value":"4014"},{"id":130,"name":"Impact","value":""},{"id":150,"name":"Time of Event (Mountain Time)","value":"12:02:05"},{"id":151,"name":"Denver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521</v>
      </c>
      <c r="B74" s="7">
        <v>4013</v>
      </c>
      <c r="C74" s="22" t="s">
        <v>220</v>
      </c>
      <c r="D74" s="22" t="s">
        <v>387</v>
      </c>
      <c r="E74" s="13">
        <v>42691.504976851851</v>
      </c>
      <c r="F74" s="13">
        <v>42691.507905092592</v>
      </c>
      <c r="G74" s="7">
        <v>1</v>
      </c>
      <c r="H74" s="22" t="s">
        <v>197</v>
      </c>
      <c r="I74" s="13">
        <v>42691.540879629632</v>
      </c>
      <c r="J74" s="7">
        <v>0</v>
      </c>
      <c r="K74" s="109" t="str">
        <f t="shared" si="0"/>
        <v>4013/4014</v>
      </c>
      <c r="L74" s="22" t="str">
        <f>VLOOKUP(A74,'Trips&amp;Operators'!$C$1:$E$10000,3,FALSE)</f>
        <v>SHOOK</v>
      </c>
      <c r="M74" s="6">
        <f t="shared" si="1"/>
        <v>3.2974537039990537E-2</v>
      </c>
      <c r="N74" s="7">
        <f t="shared" si="2"/>
        <v>47.483333337586373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11:07:10-700',mode:absolute,to:'2016-11-17 13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6"/>
        <v>N</v>
      </c>
      <c r="X74" s="177">
        <f t="shared" si="16"/>
        <v>1</v>
      </c>
      <c r="Y74" s="67">
        <f t="shared" si="7"/>
        <v>23.298300000000001</v>
      </c>
      <c r="Z74" s="67">
        <f t="shared" si="8"/>
        <v>1.43E-2</v>
      </c>
      <c r="AA74" s="67">
        <f t="shared" si="9"/>
        <v>23.284000000000002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0"/>
        <v>0162-17</v>
      </c>
      <c r="AE74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74" s="88" t="str">
        <f t="shared" si="12"/>
        <v>"C:\Program Files (x86)\AstroGrep\AstroGrep.exe" /spath="%USERPROFILE%\AppData\Local\Temp\OnboardLogs" /stypes="app*4013*20161117*" /stext=" 19:.+((SYSTEM_STATE.+slice.+state.+changed )|(ment ac)|(system.+state.+changed )|(\[timeout)|(PRM\|1\|D)|(kpr)|(kdp)|(\|lc)|(penalty))" /e /r /s</v>
      </c>
      <c r="AG74" s="1" t="str">
        <f t="shared" si="13"/>
        <v>EC</v>
      </c>
      <c r="AH74" s="92" t="str">
        <f t="shared" si="17"/>
        <v>"%USERPROFILE%\Documents\GitHub\eaglep3\Utilities\RefineRTDCRunTimes.py" --tripid 162-17 --locoid 4013 --swversion DE.1.0.8.0 --startMP 204:232983 --initTime 2016-11-17T12:07:10 --startdatetime 2016-11-17T12:11:23 --delay 1 --endMP 204:143 --enddatetime 2016-11-17T12:58:52 --enforcementcount 0 &gt;&gt;C:\Users\stu\Documents\GitHub\eaglep3-reporting\EC\2016-11-17-refined-times.txt</v>
      </c>
      <c r="AI7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ID","value":"162-17"},{"id":16,"name":"Locomotive ID","value":"4013"},{"id":130,"name":"Impact","value":""},{"id":150,"name":"Time of Event (Mountain Time)","value":"12:58:52"},{"id":151,"name":"Denver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516</v>
      </c>
      <c r="B75" s="7">
        <v>4038</v>
      </c>
      <c r="C75" s="22" t="s">
        <v>220</v>
      </c>
      <c r="D75" s="22" t="s">
        <v>215</v>
      </c>
      <c r="E75" s="13">
        <v>42691.483182870368</v>
      </c>
      <c r="F75" s="13">
        <v>42691.48510416667</v>
      </c>
      <c r="G75" s="7">
        <v>1</v>
      </c>
      <c r="H75" s="22" t="s">
        <v>637</v>
      </c>
      <c r="I75" s="13">
        <v>42691.512627314813</v>
      </c>
      <c r="J75" s="7">
        <v>0</v>
      </c>
      <c r="K75" s="109" t="str">
        <f t="shared" si="0"/>
        <v>4037/4038</v>
      </c>
      <c r="L75" s="22" t="str">
        <f>VLOOKUP(A75,'Trips&amp;Operators'!$C$1:$E$10000,3,FALSE)</f>
        <v>JOHNSON</v>
      </c>
      <c r="M75" s="6">
        <f t="shared" si="1"/>
        <v>2.7523148142790888E-2</v>
      </c>
      <c r="N75" s="7">
        <f t="shared" si="2"/>
        <v>39.633333325618878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10:35:47-700',mode:absolute,to:'2016-11-17 13:18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5" s="52" t="str">
        <f t="shared" si="6"/>
        <v>N</v>
      </c>
      <c r="X75" s="177">
        <f t="shared" si="16"/>
        <v>1</v>
      </c>
      <c r="Y75" s="67">
        <f t="shared" si="7"/>
        <v>4.6199999999999998E-2</v>
      </c>
      <c r="Z75" s="67">
        <f t="shared" si="8"/>
        <v>23.333200000000001</v>
      </c>
      <c r="AA75" s="67">
        <f t="shared" si="9"/>
        <v>23.287000000000003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0"/>
        <v>0163-17</v>
      </c>
      <c r="AE75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75" s="88" t="str">
        <f t="shared" si="12"/>
        <v>"C:\Program Files (x86)\AstroGrep\AstroGrep.exe" /spath="%USERPROFILE%\AppData\Local\Temp\OnboardLogs" /stypes="app*4038*20161117*" /stext=" 19:.+((SYSTEM_STATE.+slice.+state.+changed )|(ment ac)|(system.+state.+changed )|(\[timeout)|(PRM\|1\|D)|(kpr)|(kdp)|(\|lc)|(penalty))" /e /r /s</v>
      </c>
      <c r="AG75" s="1" t="str">
        <f t="shared" si="13"/>
        <v>EC</v>
      </c>
      <c r="AH75" s="92" t="str">
        <f t="shared" si="17"/>
        <v>"%USERPROFILE%\Documents\GitHub\eaglep3\Utilities\RefineRTDCRunTimes.py" --tripid 163-17 --locoid 4038 --swversion DE.1.0.8.0 --startMP 204:462 --initTime 2016-11-17T11:35:47 --startdatetime 2016-11-17T11:38:33 --delay 1 --endMP 204:233332 --enddatetime 2016-11-17T12:18:11 --enforcementcount 0 &gt;&gt;C:\Users\stu\Documents\GitHub\eaglep3-reporting\EC\2016-11-17-refined-times.txt</v>
      </c>
      <c r="AI7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ID","value":"163-17"},{"id":16,"name":"Locomotive ID","value":"4038"},{"id":130,"name":"Impact","value":""},{"id":150,"name":"Time of Event (Mountain Time)","value":"12:18:11"},{"id":151,"name":"Denver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435</v>
      </c>
      <c r="B76" s="7">
        <v>4037</v>
      </c>
      <c r="C76" s="22" t="s">
        <v>220</v>
      </c>
      <c r="D76" s="22" t="s">
        <v>384</v>
      </c>
      <c r="E76" s="13">
        <v>42691.517604166664</v>
      </c>
      <c r="F76" s="13">
        <v>42691.520011574074</v>
      </c>
      <c r="G76" s="7">
        <v>1</v>
      </c>
      <c r="H76" s="22" t="s">
        <v>668</v>
      </c>
      <c r="I76" s="13">
        <v>42691.555</v>
      </c>
      <c r="J76" s="7">
        <v>0</v>
      </c>
      <c r="K76" s="109" t="str">
        <f t="shared" si="0"/>
        <v>4037/4038</v>
      </c>
      <c r="L76" s="22" t="str">
        <f>VLOOKUP(A76,'Trips&amp;Operators'!$C$1:$E$10000,3,FALSE)</f>
        <v>JOHNSON</v>
      </c>
      <c r="M76" s="6">
        <f t="shared" si="1"/>
        <v>3.4988425926712807E-2</v>
      </c>
      <c r="N76" s="7">
        <f t="shared" si="2"/>
        <v>50.383333334466442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11:25:21-700',mode:absolute,to:'2016-11-17 14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6" s="52" t="str">
        <f t="shared" si="6"/>
        <v>N</v>
      </c>
      <c r="X76" s="177">
        <f t="shared" si="16"/>
        <v>1</v>
      </c>
      <c r="Y76" s="67">
        <f t="shared" si="7"/>
        <v>23.300899999999999</v>
      </c>
      <c r="Z76" s="67">
        <f t="shared" si="8"/>
        <v>1.7600000000000001E-2</v>
      </c>
      <c r="AA76" s="67">
        <f t="shared" si="9"/>
        <v>23.283299999999997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0"/>
        <v>0164-17</v>
      </c>
      <c r="AE76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76" s="88" t="str">
        <f t="shared" si="12"/>
        <v>"C:\Program Files (x86)\AstroGrep\AstroGrep.exe" /spath="%USERPROFILE%\AppData\Local\Temp\OnboardLogs" /stypes="app*4037*20161117*" /stext=" 20:.+((SYSTEM_STATE.+slice.+state.+changed )|(ment ac)|(system.+state.+changed )|(\[timeout)|(PRM\|1\|D)|(kpr)|(kdp)|(\|lc)|(penalty))" /e /r /s</v>
      </c>
      <c r="AG76" s="1" t="str">
        <f t="shared" si="13"/>
        <v>EC</v>
      </c>
      <c r="AH76" s="92" t="str">
        <f t="shared" si="17"/>
        <v>"%USERPROFILE%\Documents\GitHub\eaglep3\Utilities\RefineRTDCRunTimes.py" --tripid 164-17 --locoid 4037 --swversion DE.1.0.8.0 --startMP 204:233009 --initTime 2016-11-17T12:25:21 --startdatetime 2016-11-17T12:28:49 --delay 1 --endMP 204:176 --enddatetime 2016-11-17T13:19:12 --enforcementcount 0 &gt;&gt;C:\Users\stu\Documents\GitHub\eaglep3-reporting\EC\2016-11-17-refined-times.txt</v>
      </c>
      <c r="AI7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{"issue":{"subject":"","project_id":79,"tracker_id":40,"status_id":1,"priority_id":2,"assigned_to_id":23,"start_date":"2016-11-17","description":"","custom_fields":[{"id":1,"name":"Subdivision","value":"EC"},{"id":4,"name":"Milepost","value":"0.0176"},{"id":17,"name":"Train ID","value":"164-17"},{"id":16,"name":"Locomotive ID","value":"4037"},{"id":130,"name":"Impact","value":""},{"id":150,"name":"Time of Event (Mountain Time)","value":"13:19:12"},{"id":151,"name":"Denver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517</v>
      </c>
      <c r="B77" s="7">
        <v>4042</v>
      </c>
      <c r="C77" s="22" t="s">
        <v>220</v>
      </c>
      <c r="D77" s="22" t="s">
        <v>248</v>
      </c>
      <c r="E77" s="13">
        <v>42691.490520833337</v>
      </c>
      <c r="F77" s="13">
        <v>42691.492465277777</v>
      </c>
      <c r="G77" s="7">
        <v>1</v>
      </c>
      <c r="H77" s="22" t="s">
        <v>227</v>
      </c>
      <c r="I77" s="13">
        <v>42691.519212962965</v>
      </c>
      <c r="J77" s="7">
        <v>0</v>
      </c>
      <c r="K77" s="109" t="str">
        <f t="shared" si="0"/>
        <v>4041/4042</v>
      </c>
      <c r="L77" s="22" t="str">
        <f>VLOOKUP(A77,'Trips&amp;Operators'!$C$1:$E$10000,3,FALSE)</f>
        <v>LALONDE</v>
      </c>
      <c r="M77" s="6">
        <f t="shared" si="1"/>
        <v>2.6747685187729076E-2</v>
      </c>
      <c r="N77" s="7">
        <f t="shared" si="2"/>
        <v>38.516666670329869</v>
      </c>
      <c r="O77" s="7"/>
      <c r="P77" s="7"/>
      <c r="Q77" s="23"/>
      <c r="R77" s="23"/>
      <c r="S77" s="35">
        <f t="shared" si="3"/>
        <v>1</v>
      </c>
      <c r="T77" s="50" t="str">
        <f t="shared" si="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10:46:21-700',mode:absolute,to:'2016-11-17 13:27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si="6"/>
        <v>N</v>
      </c>
      <c r="X77" s="177">
        <f t="shared" si="16"/>
        <v>1</v>
      </c>
      <c r="Y77" s="67">
        <f t="shared" si="7"/>
        <v>4.7300000000000002E-2</v>
      </c>
      <c r="Z77" s="67">
        <f t="shared" si="8"/>
        <v>23.331199999999999</v>
      </c>
      <c r="AA77" s="67">
        <f t="shared" si="9"/>
        <v>23.283899999999999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10"/>
        <v>0165-17</v>
      </c>
      <c r="AE77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77" s="88" t="str">
        <f t="shared" si="12"/>
        <v>"C:\Program Files (x86)\AstroGrep\AstroGrep.exe" /spath="%USERPROFILE%\AppData\Local\Temp\OnboardLogs" /stypes="app*4042*20161117*" /stext=" 19:.+((SYSTEM_STATE.+slice.+state.+changed )|(ment ac)|(system.+state.+changed )|(\[timeout)|(PRM\|1\|D)|(kpr)|(kdp)|(\|lc)|(penalty))" /e /r /s</v>
      </c>
      <c r="AG77" s="1" t="str">
        <f t="shared" si="13"/>
        <v>EC</v>
      </c>
      <c r="AH77" s="92" t="str">
        <f t="shared" si="17"/>
        <v>"%USERPROFILE%\Documents\GitHub\eaglep3\Utilities\RefineRTDCRunTimes.py" --tripid 165-17 --locoid 4042 --swversion DE.1.0.8.0 --startMP 204:473 --initTime 2016-11-17T11:46:21 --startdatetime 2016-11-17T11:49:09 --delay 1 --endMP 204:233312 --enddatetime 2016-11-17T12:27:40 --enforcementcount 0 &gt;&gt;C:\Users\stu\Documents\GitHub\eaglep3-reporting\EC\2016-11-17-refined-times.txt</v>
      </c>
      <c r="AI7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{"issue":{"subject":"","project_id":79,"tracker_id":40,"status_id":1,"priority_id":2,"assigned_to_id":23,"start_date":"2016-11-17","description":"","custom_fields":[{"id":1,"name":"Subdivision","value":"EC"},{"id":4,"name":"Milepost","value":"23.3312"},{"id":17,"name":"Train ID","value":"165-17"},{"id":16,"name":"Locomotive ID","value":"4042"},{"id":130,"name":"Impact","value":""},{"id":150,"name":"Time of Event (Mountain Time)","value":"12:27:40"},{"id":151,"name":"Denver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523</v>
      </c>
      <c r="B78" s="7">
        <v>4041</v>
      </c>
      <c r="C78" s="22" t="s">
        <v>220</v>
      </c>
      <c r="D78" s="22" t="s">
        <v>290</v>
      </c>
      <c r="E78" s="13">
        <v>42691.525173611109</v>
      </c>
      <c r="F78" s="13">
        <v>42691.528726851851</v>
      </c>
      <c r="G78" s="7">
        <v>1</v>
      </c>
      <c r="H78" s="22" t="s">
        <v>196</v>
      </c>
      <c r="I78" s="13">
        <v>42691.562534722223</v>
      </c>
      <c r="J78" s="7">
        <v>0</v>
      </c>
      <c r="K78" s="109" t="str">
        <f t="shared" ref="K78:K140" si="49">IF(ISEVEN(B78),(B78-1)&amp;"/"&amp;B78,B78&amp;"/"&amp;(B78+1))</f>
        <v>4041/4042</v>
      </c>
      <c r="L78" s="22" t="str">
        <f>VLOOKUP(A78,'Trips&amp;Operators'!$C$1:$E$10000,3,FALSE)</f>
        <v>LALONDE</v>
      </c>
      <c r="M78" s="6">
        <f t="shared" ref="M78:M140" si="50">I78-F78</f>
        <v>3.3807870371674653E-2</v>
      </c>
      <c r="N78" s="7">
        <f t="shared" ref="N78:P140" si="51">24*60*SUM($M78:$M78)</f>
        <v>48.683333335211501</v>
      </c>
      <c r="O78" s="7"/>
      <c r="P78" s="7"/>
      <c r="Q78" s="23"/>
      <c r="R78" s="23"/>
      <c r="S78" s="35">
        <f t="shared" ref="S78:S140" si="52">SUM(U78:U78)/IF(AG78="EC",12,1)</f>
        <v>1</v>
      </c>
      <c r="T78" s="50" t="str">
        <f t="shared" ref="T78:T140" si="53"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0" si="54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https://search-rtdc-monitor-bjffxe2xuh6vdkpspy63sjmuny.us-east-1.es.amazonaws.com/_plugin/kibana/#/discover/Steve-Slow-Train-Analysis-(2080s-and-2083s)?_g=(refreshInterval:(display:Off,section:0,value:0),time:(from:'2016-11-17 11:36:15-700',mode:absolute,to:'2016-11-17 14:30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ref="W78:W140" si="55">IF(AA78&lt;IF(AG78="EC",23,5.65),"Y","N")</f>
        <v>N</v>
      </c>
      <c r="X78" s="177">
        <f t="shared" si="16"/>
        <v>1</v>
      </c>
      <c r="Y78" s="67">
        <f t="shared" ref="Y78:Y140" si="56">RIGHT(D78,LEN(D78)-4)/10000</f>
        <v>23.299399999999999</v>
      </c>
      <c r="Z78" s="67">
        <f t="shared" ref="Z78:Z140" si="57">RIGHT(H78,LEN(H78)-4)/10000</f>
        <v>1.49E-2</v>
      </c>
      <c r="AA78" s="67">
        <f t="shared" ref="AA78:AA140" si="58">ABS(Z78-Y78)</f>
        <v>23.284499999999998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40" si="59">IF(LEN(A78)=6,"0"&amp;A78,A78)</f>
        <v>0166-17</v>
      </c>
      <c r="AE78" s="91" t="str">
        <f t="shared" ref="AE78:AE140" si="60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78" s="88" t="str">
        <f t="shared" ref="AF78:AF140" si="61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/stypes="app*4041*20161117*" /stext=" 20:.+((SYSTEM_STATE.+slice.+state.+changed )|(ment ac)|(system.+state.+changed )|(\[timeout)|(PRM\|1\|D)|(kpr)|(kdp)|(\|lc)|(penalty))" /e /r /s</v>
      </c>
      <c r="AG78" s="1" t="str">
        <f t="shared" ref="AG78:AG140" si="62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166-17 --locoid 4041 --swversion DE.1.0.8.0 --startMP 204:232994 --initTime 2016-11-17T12:36:15 --startdatetime 2016-11-17T12:41:22 --delay 1 --endMP 204:149 --enddatetime 2016-11-17T13:30:03 --enforcementcount 0 &gt;&gt;C:\Users\stu\Documents\GitHub\eaglep3-reporting\EC\2016-11-17-refined-times.txt</v>
      </c>
      <c r="AI7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ID","value":"166-17"},{"id":16,"name":"Locomotive ID","value":"4041"},{"id":130,"name":"Impact","value":""},{"id":150,"name":"Time of Event (Mountain Time)","value":"13:30:03"},{"id":151,"name":"Denver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519</v>
      </c>
      <c r="B79" s="7">
        <v>4011</v>
      </c>
      <c r="C79" s="22" t="s">
        <v>220</v>
      </c>
      <c r="D79" s="22" t="s">
        <v>272</v>
      </c>
      <c r="E79" s="13">
        <v>42691.500381944446</v>
      </c>
      <c r="F79" s="13">
        <v>42691.502557870372</v>
      </c>
      <c r="G79" s="7">
        <v>1</v>
      </c>
      <c r="H79" s="22" t="s">
        <v>669</v>
      </c>
      <c r="I79" s="13">
        <v>42691.531493055554</v>
      </c>
      <c r="J79" s="7">
        <v>0</v>
      </c>
      <c r="K79" s="109" t="str">
        <f t="shared" si="49"/>
        <v>4011/4012</v>
      </c>
      <c r="L79" s="22" t="str">
        <f>VLOOKUP(A79,'Trips&amp;Operators'!$C$1:$E$10000,3,FALSE)</f>
        <v>HILLS</v>
      </c>
      <c r="M79" s="6">
        <f t="shared" si="50"/>
        <v>2.8935185182490386E-2</v>
      </c>
      <c r="N79" s="7">
        <f t="shared" si="51"/>
        <v>41.666666662786156</v>
      </c>
      <c r="O79" s="7"/>
      <c r="P79" s="7"/>
      <c r="Q79" s="23"/>
      <c r="R79" s="23"/>
      <c r="S79" s="35">
        <f t="shared" si="52"/>
        <v>1</v>
      </c>
      <c r="T79" s="50" t="str">
        <f t="shared" si="5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11:00:33-700',mode:absolute,to:'2016-11-17 13:45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9" s="52" t="str">
        <f t="shared" si="55"/>
        <v>N</v>
      </c>
      <c r="X79" s="177">
        <f t="shared" ref="X79:X141" si="63">VALUE(LEFT(AD79,4))-VALUE(LEFT(AD78,4))</f>
        <v>1</v>
      </c>
      <c r="Y79" s="67">
        <f t="shared" si="56"/>
        <v>4.6600000000000003E-2</v>
      </c>
      <c r="Z79" s="67">
        <f t="shared" si="57"/>
        <v>23.337599999999998</v>
      </c>
      <c r="AA79" s="67">
        <f t="shared" si="58"/>
        <v>23.290999999999997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59"/>
        <v>0167-17</v>
      </c>
      <c r="AE79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79" s="88" t="str">
        <f t="shared" si="61"/>
        <v>"C:\Program Files (x86)\AstroGrep\AstroGrep.exe" /spath="%USERPROFILE%\AppData\Local\Temp\OnboardLogs" /stypes="app*4011*20161117*" /stext=" 19:.+((SYSTEM_STATE.+slice.+state.+changed )|(ment ac)|(system.+state.+changed )|(\[timeout)|(PRM\|1\|D)|(kpr)|(kdp)|(\|lc)|(penalty))" /e /r /s</v>
      </c>
      <c r="AG79" s="1" t="str">
        <f t="shared" si="62"/>
        <v>EC</v>
      </c>
      <c r="AH79" s="92" t="str">
        <f t="shared" ref="AH79:AH141" si="6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167-17 --locoid 4011 --swversion DE.1.0.8.0 --startMP 204:466 --initTime 2016-11-17T12:00:33 --startdatetime 2016-11-17T12:03:41 --delay 1 --endMP 204:233376 --enddatetime 2016-11-17T12:45:21 --enforcementcount 0 &gt;&gt;C:\Users\stu\Documents\GitHub\eaglep3-reporting\EC\2016-11-17-refined-times.txt</v>
      </c>
      <c r="AI79" s="119" t="str">
        <f t="shared" ref="AI79:AI141" si="6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{"issue":{"subject":"","project_id":79,"tracker_id":40,"status_id":1,"priority_id":2,"assigned_to_id":23,"start_date":"2016-11-17","description":"","custom_fields":[{"id":1,"name":"Subdivision","value":"EC"},{"id":4,"name":"Milepost","value":"23.3376"},{"id":17,"name":"Train ID","value":"167-17"},{"id":16,"name":"Locomotive ID","value":"4011"},{"id":130,"name":"Impact","value":""},{"id":150,"name":"Time of Event (Mountain Time)","value":"12:45:21"},{"id":151,"name":"Denver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437</v>
      </c>
      <c r="B80" s="7">
        <v>4012</v>
      </c>
      <c r="C80" s="22" t="s">
        <v>220</v>
      </c>
      <c r="D80" s="22" t="s">
        <v>670</v>
      </c>
      <c r="E80" s="13">
        <v>42691.53392361111</v>
      </c>
      <c r="F80" s="13">
        <v>42691.539097222223</v>
      </c>
      <c r="G80" s="7">
        <v>1</v>
      </c>
      <c r="H80" s="22" t="s">
        <v>671</v>
      </c>
      <c r="I80" s="13">
        <v>42691.574560185189</v>
      </c>
      <c r="J80" s="7">
        <v>0</v>
      </c>
      <c r="K80" s="109" t="str">
        <f t="shared" si="49"/>
        <v>4011/4012</v>
      </c>
      <c r="L80" s="22" t="str">
        <f>VLOOKUP(A80,'Trips&amp;Operators'!$C$1:$E$10000,3,FALSE)</f>
        <v>HILLS</v>
      </c>
      <c r="M80" s="6">
        <f t="shared" si="50"/>
        <v>3.5462962965539191E-2</v>
      </c>
      <c r="N80" s="7">
        <f t="shared" si="51"/>
        <v>51.066666670376435</v>
      </c>
      <c r="O80" s="7"/>
      <c r="P80" s="7"/>
      <c r="Q80" s="23"/>
      <c r="R80" s="23"/>
      <c r="S80" s="35">
        <f t="shared" si="52"/>
        <v>1</v>
      </c>
      <c r="T80" s="50" t="str">
        <f t="shared" si="5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11:48:51-700',mode:absolute,to:'2016-11-17 14:47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0" s="52" t="str">
        <f t="shared" si="55"/>
        <v>N</v>
      </c>
      <c r="X80" s="177">
        <f t="shared" si="63"/>
        <v>1</v>
      </c>
      <c r="Y80" s="67">
        <f t="shared" si="56"/>
        <v>23.3065</v>
      </c>
      <c r="Z80" s="67">
        <f t="shared" si="57"/>
        <v>1.2999999999999999E-2</v>
      </c>
      <c r="AA80" s="67">
        <f t="shared" si="58"/>
        <v>23.293499999999998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59"/>
        <v>0168-17</v>
      </c>
      <c r="AE80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80" s="88" t="str">
        <f t="shared" si="61"/>
        <v>"C:\Program Files (x86)\AstroGrep\AstroGrep.exe" /spath="%USERPROFILE%\AppData\Local\Temp\OnboardLogs" /stypes="app*4012*20161117*" /stext=" 20:.+((SYSTEM_STATE.+slice.+state.+changed )|(ment ac)|(system.+state.+changed )|(\[timeout)|(PRM\|1\|D)|(kpr)|(kdp)|(\|lc)|(penalty))" /e /r /s</v>
      </c>
      <c r="AG80" s="1" t="str">
        <f t="shared" si="62"/>
        <v>EC</v>
      </c>
      <c r="AH80" s="92" t="str">
        <f t="shared" si="64"/>
        <v>"%USERPROFILE%\Documents\GitHub\eaglep3\Utilities\RefineRTDCRunTimes.py" --tripid 168-17 --locoid 4012 --swversion DE.1.0.8.0 --startMP 204:233065 --initTime 2016-11-17T12:48:51 --startdatetime 2016-11-17T12:56:18 --delay 1 --endMP 204:130 --enddatetime 2016-11-17T13:47:22 --enforcementcount 0 &gt;&gt;C:\Users\stu\Documents\GitHub\eaglep3-reporting\EC\2016-11-17-refined-times.txt</v>
      </c>
      <c r="AI8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{"issue":{"subject":"","project_id":79,"tracker_id":40,"status_id":1,"priority_id":2,"assigned_to_id":23,"start_date":"2016-11-17","description":"","custom_fields":[{"id":1,"name":"Subdivision","value":"EC"},{"id":4,"name":"Milepost","value":"0.013"},{"id":17,"name":"Train ID","value":"168-17"},{"id":16,"name":"Locomotive ID","value":"4012"},{"id":130,"name":"Impact","value":""},{"id":150,"name":"Time of Event (Mountain Time)","value":"13:47:22"},{"id":151,"name":"Denver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522</v>
      </c>
      <c r="B81" s="7">
        <v>4002</v>
      </c>
      <c r="C81" s="22" t="s">
        <v>220</v>
      </c>
      <c r="D81" s="22" t="s">
        <v>663</v>
      </c>
      <c r="E81" s="13">
        <v>42691.510405092595</v>
      </c>
      <c r="F81" s="13">
        <v>42691.511782407404</v>
      </c>
      <c r="G81" s="7">
        <v>1</v>
      </c>
      <c r="H81" s="22" t="s">
        <v>187</v>
      </c>
      <c r="I81" s="13">
        <v>42691.542488425926</v>
      </c>
      <c r="J81" s="7">
        <v>0</v>
      </c>
      <c r="K81" s="109" t="str">
        <f t="shared" si="49"/>
        <v>4001/4002</v>
      </c>
      <c r="L81" s="22" t="str">
        <f>VLOOKUP(A81,'Trips&amp;Operators'!$C$1:$E$10000,3,FALSE)</f>
        <v>ADANE</v>
      </c>
      <c r="M81" s="6">
        <f t="shared" si="50"/>
        <v>3.0706018522323575E-2</v>
      </c>
      <c r="N81" s="7">
        <f t="shared" si="51"/>
        <v>44.216666672145948</v>
      </c>
      <c r="O81" s="7"/>
      <c r="P81" s="7"/>
      <c r="Q81" s="23"/>
      <c r="R81" s="23"/>
      <c r="S81" s="35">
        <f t="shared" si="52"/>
        <v>1</v>
      </c>
      <c r="T81" s="50" t="str">
        <f t="shared" si="5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11:14:59-700',mode:absolute,to:'2016-11-17 14:01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1" s="52" t="str">
        <f t="shared" si="55"/>
        <v>N</v>
      </c>
      <c r="X81" s="177">
        <f t="shared" si="63"/>
        <v>1</v>
      </c>
      <c r="Y81" s="67">
        <f t="shared" si="56"/>
        <v>4.4600000000000001E-2</v>
      </c>
      <c r="Z81" s="67">
        <f t="shared" si="57"/>
        <v>23.329699999999999</v>
      </c>
      <c r="AA81" s="67">
        <f t="shared" si="58"/>
        <v>23.2851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59"/>
        <v>0169-17</v>
      </c>
      <c r="AE81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81" s="88" t="str">
        <f t="shared" si="61"/>
        <v>"C:\Program Files (x86)\AstroGrep\AstroGrep.exe" /spath="%USERPROFILE%\AppData\Local\Temp\OnboardLogs" /stypes="app*4002*20161117*" /stext=" 20:.+((SYSTEM_STATE.+slice.+state.+changed )|(ment ac)|(system.+state.+changed )|(\[timeout)|(PRM\|1\|D)|(kpr)|(kdp)|(\|lc)|(penalty))" /e /r /s</v>
      </c>
      <c r="AG81" s="1" t="str">
        <f t="shared" si="62"/>
        <v>EC</v>
      </c>
      <c r="AH81" s="92" t="str">
        <f t="shared" si="64"/>
        <v>"%USERPROFILE%\Documents\GitHub\eaglep3\Utilities\RefineRTDCRunTimes.py" --tripid 169-17 --locoid 4002 --swversion DE.1.0.8.0 --startMP 204:446 --initTime 2016-11-17T12:14:59 --startdatetime 2016-11-17T12:16:58 --delay 1 --endMP 204:233297 --enddatetime 2016-11-17T13:01:11 --enforcementcount 0 &gt;&gt;C:\Users\stu\Documents\GitHub\eaglep3-reporting\EC\2016-11-17-refined-times.txt</v>
      </c>
      <c r="AI8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ID","value":"169-17"},{"id":16,"name":"Locomotive ID","value":"4002"},{"id":130,"name":"Impact","value":""},{"id":150,"name":"Time of Event (Mountain Time)","value":"13:01:11"},{"id":151,"name":"Denver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529</v>
      </c>
      <c r="B82" s="7">
        <v>4001</v>
      </c>
      <c r="C82" s="22" t="s">
        <v>220</v>
      </c>
      <c r="D82" s="22" t="s">
        <v>326</v>
      </c>
      <c r="E82" s="13">
        <v>42691.547164351854</v>
      </c>
      <c r="F82" s="13">
        <v>42691.549756944441</v>
      </c>
      <c r="G82" s="7">
        <v>1</v>
      </c>
      <c r="H82" s="22" t="s">
        <v>197</v>
      </c>
      <c r="I82" s="13">
        <v>42691.582870370374</v>
      </c>
      <c r="J82" s="7">
        <v>0</v>
      </c>
      <c r="K82" s="109" t="str">
        <f t="shared" si="49"/>
        <v>4001/4002</v>
      </c>
      <c r="L82" s="22" t="str">
        <f>VLOOKUP(A82,'Trips&amp;Operators'!$C$1:$E$10000,3,FALSE)</f>
        <v>ADANE</v>
      </c>
      <c r="M82" s="6">
        <f t="shared" si="50"/>
        <v>3.3113425932242535E-2</v>
      </c>
      <c r="N82" s="7">
        <f t="shared" si="51"/>
        <v>47.68333334242925</v>
      </c>
      <c r="O82" s="7"/>
      <c r="P82" s="7"/>
      <c r="Q82" s="23"/>
      <c r="R82" s="23"/>
      <c r="S82" s="35">
        <f t="shared" si="52"/>
        <v>1</v>
      </c>
      <c r="T82" s="50" t="str">
        <f t="shared" si="5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12:07:55-700',mode:absolute,to:'2016-11-17 14:59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2" s="52" t="str">
        <f t="shared" si="55"/>
        <v>N</v>
      </c>
      <c r="X82" s="177">
        <f t="shared" si="63"/>
        <v>1</v>
      </c>
      <c r="Y82" s="67">
        <f t="shared" si="56"/>
        <v>23.2974</v>
      </c>
      <c r="Z82" s="67">
        <f t="shared" si="57"/>
        <v>1.43E-2</v>
      </c>
      <c r="AA82" s="67">
        <f t="shared" si="58"/>
        <v>23.283100000000001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59"/>
        <v>0170-17</v>
      </c>
      <c r="AE82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82" s="88" t="str">
        <f t="shared" si="61"/>
        <v>"C:\Program Files (x86)\AstroGrep\AstroGrep.exe" /spath="%USERPROFILE%\AppData\Local\Temp\OnboardLogs" /stypes="app*4001*20161117*" /stext=" 20:.+((SYSTEM_STATE.+slice.+state.+changed )|(ment ac)|(system.+state.+changed )|(\[timeout)|(PRM\|1\|D)|(kpr)|(kdp)|(\|lc)|(penalty))" /e /r /s</v>
      </c>
      <c r="AG82" s="1" t="str">
        <f t="shared" si="62"/>
        <v>EC</v>
      </c>
      <c r="AH82" s="92" t="str">
        <f t="shared" si="64"/>
        <v>"%USERPROFILE%\Documents\GitHub\eaglep3\Utilities\RefineRTDCRunTimes.py" --tripid 170-17 --locoid 4001 --swversion DE.1.0.8.0 --startMP 204:232974 --initTime 2016-11-17T13:07:55 --startdatetime 2016-11-17T13:11:39 --delay 1 --endMP 204:143 --enddatetime 2016-11-17T13:59:20 --enforcementcount 0 &gt;&gt;C:\Users\stu\Documents\GitHub\eaglep3-reporting\EC\2016-11-17-refined-times.txt</v>
      </c>
      <c r="AI8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ID","value":"170-17"},{"id":16,"name":"Locomotive ID","value":"4001"},{"id":130,"name":"Impact","value":""},{"id":150,"name":"Time of Event (Mountain Time)","value":"13:59:20"},{"id":151,"name":"Denver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525</v>
      </c>
      <c r="B83" s="7">
        <v>4031</v>
      </c>
      <c r="C83" s="22" t="s">
        <v>220</v>
      </c>
      <c r="D83" s="22" t="s">
        <v>215</v>
      </c>
      <c r="E83" s="13">
        <v>42691.525636574072</v>
      </c>
      <c r="F83" s="13">
        <v>42691.527662037035</v>
      </c>
      <c r="G83" s="7">
        <v>1</v>
      </c>
      <c r="H83" s="22" t="s">
        <v>672</v>
      </c>
      <c r="I83" s="13">
        <v>42691.554537037038</v>
      </c>
      <c r="J83" s="7">
        <v>0</v>
      </c>
      <c r="K83" s="109" t="str">
        <f t="shared" si="49"/>
        <v>4031/4032</v>
      </c>
      <c r="L83" s="22" t="str">
        <f>VLOOKUP(A83,'Trips&amp;Operators'!$C$1:$E$10000,3,FALSE)</f>
        <v>NICHOLSON</v>
      </c>
      <c r="M83" s="6">
        <f t="shared" si="50"/>
        <v>2.6875000003201421E-2</v>
      </c>
      <c r="N83" s="7">
        <f t="shared" si="51"/>
        <v>38.700000004610047</v>
      </c>
      <c r="O83" s="7"/>
      <c r="P83" s="7"/>
      <c r="Q83" s="23"/>
      <c r="R83" s="23"/>
      <c r="S83" s="35">
        <f t="shared" si="52"/>
        <v>1</v>
      </c>
      <c r="T83" s="50" t="str">
        <f t="shared" si="5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11:36:55-700',mode:absolute,to:'2016-11-17 14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55"/>
        <v>N</v>
      </c>
      <c r="X83" s="177">
        <f t="shared" si="63"/>
        <v>1</v>
      </c>
      <c r="Y83" s="67">
        <f t="shared" si="56"/>
        <v>4.6199999999999998E-2</v>
      </c>
      <c r="Z83" s="67">
        <f t="shared" si="57"/>
        <v>23.331600000000002</v>
      </c>
      <c r="AA83" s="67">
        <f t="shared" si="58"/>
        <v>23.285400000000003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59"/>
        <v>0171-17</v>
      </c>
      <c r="AE83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83" s="88" t="str">
        <f t="shared" si="61"/>
        <v>"C:\Program Files (x86)\AstroGrep\AstroGrep.exe" /spath="%USERPROFILE%\AppData\Local\Temp\OnboardLogs" /stypes="app*4031*20161117*" /stext=" 20:.+((SYSTEM_STATE.+slice.+state.+changed )|(ment ac)|(system.+state.+changed )|(\[timeout)|(PRM\|1\|D)|(kpr)|(kdp)|(\|lc)|(penalty))" /e /r /s</v>
      </c>
      <c r="AG83" s="1" t="str">
        <f t="shared" si="62"/>
        <v>EC</v>
      </c>
      <c r="AH83" s="92" t="str">
        <f t="shared" si="64"/>
        <v>"%USERPROFILE%\Documents\GitHub\eaglep3\Utilities\RefineRTDCRunTimes.py" --tripid 171-17 --locoid 4031 --swversion DE.1.0.8.0 --startMP 204:462 --initTime 2016-11-17T12:36:55 --startdatetime 2016-11-17T12:39:50 --delay 1 --endMP 204:233316 --enddatetime 2016-11-17T13:18:32 --enforcementcount 0 &gt;&gt;C:\Users\stu\Documents\GitHub\eaglep3-reporting\EC\2016-11-17-refined-times.txt</v>
      </c>
      <c r="AI8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{"issue":{"subject":"","project_id":79,"tracker_id":40,"status_id":1,"priority_id":2,"assigned_to_id":23,"start_date":"2016-11-17","description":"","custom_fields":[{"id":1,"name":"Subdivision","value":"EC"},{"id":4,"name":"Milepost","value":"23.3316"},{"id":17,"name":"Train ID","value":"171-17"},{"id":16,"name":"Locomotive ID","value":"4031"},{"id":130,"name":"Impact","value":""},{"id":150,"name":"Time of Event (Mountain Time)","value":"13:18:32"},{"id":151,"name":"Denver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438</v>
      </c>
      <c r="B84" s="7">
        <v>4032</v>
      </c>
      <c r="C84" s="22" t="s">
        <v>220</v>
      </c>
      <c r="D84" s="22" t="s">
        <v>273</v>
      </c>
      <c r="E84" s="13">
        <v>42691.556006944447</v>
      </c>
      <c r="F84" s="13">
        <v>42691.564004629632</v>
      </c>
      <c r="G84" s="7">
        <v>1</v>
      </c>
      <c r="H84" s="22" t="s">
        <v>673</v>
      </c>
      <c r="I84" s="13">
        <v>42691.593773148146</v>
      </c>
      <c r="J84" s="7">
        <v>0</v>
      </c>
      <c r="K84" s="109" t="str">
        <f t="shared" si="49"/>
        <v>4031/4032</v>
      </c>
      <c r="L84" s="22" t="str">
        <f>VLOOKUP(A84,'Trips&amp;Operators'!$C$1:$E$10000,3,FALSE)</f>
        <v>NICHOLSON</v>
      </c>
      <c r="M84" s="6">
        <f t="shared" si="50"/>
        <v>2.9768518514174502E-2</v>
      </c>
      <c r="N84" s="7">
        <f t="shared" si="51"/>
        <v>42.866666660411283</v>
      </c>
      <c r="O84" s="7"/>
      <c r="P84" s="7"/>
      <c r="Q84" s="23"/>
      <c r="R84" s="23"/>
      <c r="S84" s="35">
        <f t="shared" si="52"/>
        <v>1</v>
      </c>
      <c r="T84" s="50" t="str">
        <f t="shared" si="5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12:20:39-700',mode:absolute,to:'2016-11-17 15:15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55"/>
        <v>N</v>
      </c>
      <c r="X84" s="177">
        <f t="shared" si="63"/>
        <v>1</v>
      </c>
      <c r="Y84" s="67">
        <f t="shared" si="56"/>
        <v>23.297999999999998</v>
      </c>
      <c r="Z84" s="67">
        <f t="shared" si="57"/>
        <v>1.9199999999999998E-2</v>
      </c>
      <c r="AA84" s="67">
        <f t="shared" si="58"/>
        <v>23.278799999999997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59"/>
        <v>0172-17</v>
      </c>
      <c r="AE84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84" s="88" t="str">
        <f t="shared" si="61"/>
        <v>"C:\Program Files (x86)\AstroGrep\AstroGrep.exe" /spath="%USERPROFILE%\AppData\Local\Temp\OnboardLogs" /stypes="app*4032*20161117*" /stext=" 21:.+((SYSTEM_STATE.+slice.+state.+changed )|(ment ac)|(system.+state.+changed )|(\[timeout)|(PRM\|1\|D)|(kpr)|(kdp)|(\|lc)|(penalty))" /e /r /s</v>
      </c>
      <c r="AG84" s="1" t="str">
        <f t="shared" si="62"/>
        <v>EC</v>
      </c>
      <c r="AH84" s="92" t="str">
        <f t="shared" si="64"/>
        <v>"%USERPROFILE%\Documents\GitHub\eaglep3\Utilities\RefineRTDCRunTimes.py" --tripid 172-17 --locoid 4032 --swversion DE.1.0.8.0 --startMP 204:232980 --initTime 2016-11-17T13:20:39 --startdatetime 2016-11-17T13:32:10 --delay 1 --endMP 204:192 --enddatetime 2016-11-17T14:15:02 --enforcementcount 0 &gt;&gt;C:\Users\stu\Documents\GitHub\eaglep3-reporting\EC\2016-11-17-refined-times.txt</v>
      </c>
      <c r="AI8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{"issue":{"subject":"","project_id":79,"tracker_id":40,"status_id":1,"priority_id":2,"assigned_to_id":23,"start_date":"2016-11-17","description":"","custom_fields":[{"id":1,"name":"Subdivision","value":"EC"},{"id":4,"name":"Milepost","value":"0.0192"},{"id":17,"name":"Train ID","value":"172-17"},{"id":16,"name":"Locomotive ID","value":"4032"},{"id":130,"name":"Impact","value":""},{"id":150,"name":"Time of Event (Mountain Time)","value":"14:15:02"},{"id":151,"name":"Denver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526</v>
      </c>
      <c r="B85" s="7">
        <v>4003</v>
      </c>
      <c r="C85" s="22" t="s">
        <v>220</v>
      </c>
      <c r="D85" s="22" t="s">
        <v>658</v>
      </c>
      <c r="E85" s="13">
        <v>42691.534490740742</v>
      </c>
      <c r="F85" s="13">
        <v>42691.538437499999</v>
      </c>
      <c r="G85" s="7">
        <v>1</v>
      </c>
      <c r="H85" s="22" t="s">
        <v>368</v>
      </c>
      <c r="I85" s="13">
        <v>42691.563923611109</v>
      </c>
      <c r="J85" s="7">
        <v>0</v>
      </c>
      <c r="K85" s="109" t="str">
        <f t="shared" si="49"/>
        <v>4003/4004</v>
      </c>
      <c r="L85" s="22" t="str">
        <f>VLOOKUP(A85,'Trips&amp;Operators'!$C$1:$E$10000,3,FALSE)</f>
        <v>MACDONALD</v>
      </c>
      <c r="M85" s="6">
        <f t="shared" si="50"/>
        <v>2.548611110978527E-2</v>
      </c>
      <c r="N85" s="7">
        <f t="shared" si="51"/>
        <v>36.699999998090789</v>
      </c>
      <c r="O85" s="7"/>
      <c r="P85" s="7"/>
      <c r="Q85" s="23"/>
      <c r="R85" s="23"/>
      <c r="S85" s="35">
        <f t="shared" si="52"/>
        <v>1</v>
      </c>
      <c r="T85" s="50" t="str">
        <f t="shared" si="5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11:49:40-700',mode:absolute,to:'2016-11-17 14:32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5" s="52" t="str">
        <f t="shared" si="55"/>
        <v>N</v>
      </c>
      <c r="X85" s="177">
        <f t="shared" si="63"/>
        <v>1</v>
      </c>
      <c r="Y85" s="67">
        <f t="shared" si="56"/>
        <v>4.4200000000000003E-2</v>
      </c>
      <c r="Z85" s="67">
        <f t="shared" si="57"/>
        <v>23.330400000000001</v>
      </c>
      <c r="AA85" s="67">
        <f t="shared" si="58"/>
        <v>23.286200000000001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59"/>
        <v>0173-17</v>
      </c>
      <c r="AE85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85" s="88" t="str">
        <f t="shared" si="61"/>
        <v>"C:\Program Files (x86)\AstroGrep\AstroGrep.exe" /spath="%USERPROFILE%\AppData\Local\Temp\OnboardLogs" /stypes="app*4003*20161117*" /stext=" 20:.+((SYSTEM_STATE.+slice.+state.+changed )|(ment ac)|(system.+state.+changed )|(\[timeout)|(PRM\|1\|D)|(kpr)|(kdp)|(\|lc)|(penalty))" /e /r /s</v>
      </c>
      <c r="AG85" s="1" t="str">
        <f t="shared" si="62"/>
        <v>EC</v>
      </c>
      <c r="AH85" s="92" t="str">
        <f t="shared" si="64"/>
        <v>"%USERPROFILE%\Documents\GitHub\eaglep3\Utilities\RefineRTDCRunTimes.py" --tripid 173-17 --locoid 4003 --swversion DE.1.0.8.0 --startMP 204:442 --initTime 2016-11-17T12:49:40 --startdatetime 2016-11-17T12:55:21 --delay 1 --endMP 204:233304 --enddatetime 2016-11-17T13:32:03 --enforcementcount 0 &gt;&gt;C:\Users\stu\Documents\GitHub\eaglep3-reporting\EC\2016-11-17-refined-times.txt</v>
      </c>
      <c r="AI8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{"issue":{"subject":"","project_id":79,"tracker_id":40,"status_id":1,"priority_id":2,"assigned_to_id":23,"start_date":"2016-11-17","description":"","custom_fields":[{"id":1,"name":"Subdivision","value":"EC"},{"id":4,"name":"Milepost","value":"23.3304"},{"id":17,"name":"Train ID","value":"173-17"},{"id":16,"name":"Locomotive ID","value":"4003"},{"id":130,"name":"Impact","value":""},{"id":150,"name":"Time of Event (Mountain Time)","value":"13:32:03"},{"id":151,"name":"Denver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532</v>
      </c>
      <c r="B86" s="7">
        <v>4004</v>
      </c>
      <c r="C86" s="22" t="s">
        <v>220</v>
      </c>
      <c r="D86" s="22" t="s">
        <v>284</v>
      </c>
      <c r="E86" s="13">
        <v>42691.565821759257</v>
      </c>
      <c r="F86" s="13">
        <v>42691.570370370369</v>
      </c>
      <c r="G86" s="7">
        <v>1</v>
      </c>
      <c r="H86" s="22" t="s">
        <v>674</v>
      </c>
      <c r="I86" s="13">
        <v>42691.597581018519</v>
      </c>
      <c r="J86" s="7">
        <v>0</v>
      </c>
      <c r="K86" s="109" t="str">
        <f t="shared" si="49"/>
        <v>4003/4004</v>
      </c>
      <c r="L86" s="22" t="str">
        <f>VLOOKUP(A86,'Trips&amp;Operators'!$C$1:$E$10000,3,FALSE)</f>
        <v>MACDONALD</v>
      </c>
      <c r="M86" s="6">
        <f t="shared" si="50"/>
        <v>2.7210648149775807E-2</v>
      </c>
      <c r="N86" s="7">
        <f t="shared" si="51"/>
        <v>39.183333335677162</v>
      </c>
      <c r="O86" s="7"/>
      <c r="P86" s="7"/>
      <c r="Q86" s="23"/>
      <c r="R86" s="23"/>
      <c r="S86" s="35">
        <f t="shared" si="52"/>
        <v>1</v>
      </c>
      <c r="T86" s="50" t="str">
        <f t="shared" si="5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12:34:47-700',mode:absolute,to:'2016-11-17 15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2" t="str">
        <f t="shared" si="55"/>
        <v>N</v>
      </c>
      <c r="X86" s="177">
        <f t="shared" si="63"/>
        <v>1</v>
      </c>
      <c r="Y86" s="67">
        <f t="shared" si="56"/>
        <v>23.2989</v>
      </c>
      <c r="Z86" s="67">
        <f t="shared" si="57"/>
        <v>1.34E-2</v>
      </c>
      <c r="AA86" s="67">
        <f t="shared" si="58"/>
        <v>23.285499999999999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59"/>
        <v>0174-17</v>
      </c>
      <c r="AE86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86" s="88" t="str">
        <f t="shared" si="61"/>
        <v>"C:\Program Files (x86)\AstroGrep\AstroGrep.exe" /spath="%USERPROFILE%\AppData\Local\Temp\OnboardLogs" /stypes="app*4004*20161117*" /stext=" 21:.+((SYSTEM_STATE.+slice.+state.+changed )|(ment ac)|(system.+state.+changed )|(\[timeout)|(PRM\|1\|D)|(kpr)|(kdp)|(\|lc)|(penalty))" /e /r /s</v>
      </c>
      <c r="AG86" s="1" t="str">
        <f t="shared" si="62"/>
        <v>EC</v>
      </c>
      <c r="AH86" s="92" t="str">
        <f t="shared" si="64"/>
        <v>"%USERPROFILE%\Documents\GitHub\eaglep3\Utilities\RefineRTDCRunTimes.py" --tripid 174-17 --locoid 4004 --swversion DE.1.0.8.0 --startMP 204:232989 --initTime 2016-11-17T13:34:47 --startdatetime 2016-11-17T13:41:20 --delay 1 --endMP 204:134 --enddatetime 2016-11-17T14:20:31 --enforcementcount 0 &gt;&gt;C:\Users\stu\Documents\GitHub\eaglep3-reporting\EC\2016-11-17-refined-times.txt</v>
      </c>
      <c r="AI8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{"issue":{"subject":"","project_id":79,"tracker_id":40,"status_id":1,"priority_id":2,"assigned_to_id":23,"start_date":"2016-11-17","description":"","custom_fields":[{"id":1,"name":"Subdivision","value":"EC"},{"id":4,"name":"Milepost","value":"0.0134"},{"id":17,"name":"Train ID","value":"174-17"},{"id":16,"name":"Locomotive ID","value":"4004"},{"id":130,"name":"Impact","value":""},{"id":150,"name":"Time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527</v>
      </c>
      <c r="B87" s="7">
        <v>4014</v>
      </c>
      <c r="C87" s="22" t="s">
        <v>220</v>
      </c>
      <c r="D87" s="22" t="s">
        <v>675</v>
      </c>
      <c r="E87" s="13">
        <v>42691.542118055557</v>
      </c>
      <c r="F87" s="13">
        <v>42691.545254629629</v>
      </c>
      <c r="G87" s="7">
        <v>1</v>
      </c>
      <c r="H87" s="22" t="s">
        <v>676</v>
      </c>
      <c r="I87" s="13">
        <v>42691.572881944441</v>
      </c>
      <c r="J87" s="7">
        <v>0</v>
      </c>
      <c r="K87" s="109" t="str">
        <f t="shared" si="49"/>
        <v>4013/4014</v>
      </c>
      <c r="L87" s="22" t="str">
        <f>VLOOKUP(A87,'Trips&amp;Operators'!$C$1:$E$10000,3,FALSE)</f>
        <v>SHOOK</v>
      </c>
      <c r="M87" s="6">
        <f t="shared" si="50"/>
        <v>2.7627314811979886E-2</v>
      </c>
      <c r="N87" s="7">
        <f t="shared" si="51"/>
        <v>39.783333329251036</v>
      </c>
      <c r="O87" s="7"/>
      <c r="P87" s="7"/>
      <c r="Q87" s="23"/>
      <c r="R87" s="23"/>
      <c r="S87" s="35">
        <f t="shared" si="52"/>
        <v>1</v>
      </c>
      <c r="T87" s="50" t="str">
        <f t="shared" si="5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12:00:39-700',mode:absolute,to:'2016-11-17 14:44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55"/>
        <v>N</v>
      </c>
      <c r="X87" s="177">
        <f t="shared" si="63"/>
        <v>1</v>
      </c>
      <c r="Y87" s="67">
        <f t="shared" si="56"/>
        <v>4.3299999999999998E-2</v>
      </c>
      <c r="Z87" s="67">
        <f t="shared" si="57"/>
        <v>23.336200000000002</v>
      </c>
      <c r="AA87" s="67">
        <f t="shared" si="58"/>
        <v>23.292900000000003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59"/>
        <v>0175-17</v>
      </c>
      <c r="AE87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87" s="88" t="str">
        <f t="shared" si="61"/>
        <v>"C:\Program Files (x86)\AstroGrep\AstroGrep.exe" /spath="%USERPROFILE%\AppData\Local\Temp\OnboardLogs" /stypes="app*4014*20161117*" /stext=" 20:.+((SYSTEM_STATE.+slice.+state.+changed )|(ment ac)|(system.+state.+changed )|(\[timeout)|(PRM\|1\|D)|(kpr)|(kdp)|(\|lc)|(penalty))" /e /r /s</v>
      </c>
      <c r="AG87" s="1" t="str">
        <f t="shared" si="62"/>
        <v>EC</v>
      </c>
      <c r="AH87" s="92" t="str">
        <f t="shared" si="64"/>
        <v>"%USERPROFILE%\Documents\GitHub\eaglep3\Utilities\RefineRTDCRunTimes.py" --tripid 175-17 --locoid 4014 --swversion DE.1.0.8.0 --startMP 204:433 --initTime 2016-11-17T13:00:39 --startdatetime 2016-11-17T13:05:10 --delay 1 --endMP 204:233362 --enddatetime 2016-11-17T13:44:57 --enforcementcount 0 &gt;&gt;C:\Users\stu\Documents\GitHub\eaglep3-reporting\EC\2016-11-17-refined-times.txt</v>
      </c>
      <c r="AI8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{"issue":{"subject":"","project_id":79,"tracker_id":40,"status_id":1,"priority_id":2,"assigned_to_id":23,"start_date":"2016-11-17","description":"","custom_fields":[{"id":1,"name":"Subdivision","value":"EC"},{"id":4,"name":"Milepost","value":"23.3362"},{"id":17,"name":"Train ID","value":"175-17"},{"id":16,"name":"Locomotive ID","value":"4014"},{"id":130,"name":"Impact","value":""},{"id":150,"name":"Time of Event (Mountain Time)","value":"13:44:57"},{"id":151,"name":"Denver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534</v>
      </c>
      <c r="B88" s="7">
        <v>4013</v>
      </c>
      <c r="C88" s="22" t="s">
        <v>220</v>
      </c>
      <c r="D88" s="22" t="s">
        <v>677</v>
      </c>
      <c r="E88" s="13">
        <v>42691.576574074075</v>
      </c>
      <c r="F88" s="13">
        <v>42691.580787037034</v>
      </c>
      <c r="G88" s="7">
        <v>0</v>
      </c>
      <c r="H88" s="22" t="s">
        <v>375</v>
      </c>
      <c r="I88" s="13">
        <v>42691.608229166668</v>
      </c>
      <c r="J88" s="7">
        <v>0</v>
      </c>
      <c r="K88" s="109" t="str">
        <f t="shared" si="49"/>
        <v>4013/4014</v>
      </c>
      <c r="L88" s="22" t="str">
        <f>VLOOKUP(A88,'Trips&amp;Operators'!$C$1:$E$10000,3,FALSE)</f>
        <v>SHOOK</v>
      </c>
      <c r="M88" s="6">
        <f t="shared" si="50"/>
        <v>2.7442129634437151E-2</v>
      </c>
      <c r="N88" s="7">
        <f t="shared" si="51"/>
        <v>39.516666673589498</v>
      </c>
      <c r="O88" s="7"/>
      <c r="P88" s="7"/>
      <c r="Q88" s="23"/>
      <c r="R88" s="23"/>
      <c r="S88" s="35">
        <f t="shared" si="52"/>
        <v>1</v>
      </c>
      <c r="T88" s="50" t="str">
        <f t="shared" si="5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12:50:16-700',mode:absolute,to:'2016-11-17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55"/>
        <v>N</v>
      </c>
      <c r="X88" s="177">
        <f t="shared" si="63"/>
        <v>1</v>
      </c>
      <c r="Y88" s="67">
        <f t="shared" si="56"/>
        <v>23.303799999999999</v>
      </c>
      <c r="Z88" s="67">
        <f t="shared" si="57"/>
        <v>1.6500000000000001E-2</v>
      </c>
      <c r="AA88" s="67">
        <f t="shared" si="58"/>
        <v>23.287299999999998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59"/>
        <v>0176-17</v>
      </c>
      <c r="AE88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88" s="88" t="str">
        <f t="shared" si="61"/>
        <v>"C:\Program Files (x86)\AstroGrep\AstroGrep.exe" /spath="%USERPROFILE%\AppData\Local\Temp\OnboardLogs" /stypes="app*4013*20161117*" /stext=" 21:.+((SYSTEM_STATE.+slice.+state.+changed )|(ment ac)|(system.+state.+changed )|(\[timeout)|(PRM\|1\|D)|(kpr)|(kdp)|(\|lc)|(penalty))" /e /r /s</v>
      </c>
      <c r="AG88" s="1" t="str">
        <f t="shared" si="62"/>
        <v>EC</v>
      </c>
      <c r="AH88" s="92" t="str">
        <f t="shared" si="64"/>
        <v>"%USERPROFILE%\Documents\GitHub\eaglep3\Utilities\RefineRTDCRunTimes.py" --tripid 176-17 --locoid 4013 --swversion DE.1.0.8.0 --startMP 204:233038 --initTime 2016-11-17T13:50:16 --startdatetime 2016-11-17T13:56:20 --delay 0 --endMP 204:165 --enddatetime 2016-11-17T14:35:51 --enforcementcount 0 &gt;&gt;C:\Users\stu\Documents\GitHub\eaglep3-reporting\EC\2016-11-17-refined-times.txt</v>
      </c>
      <c r="AI8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{"issue":{"subject":"","project_id":79,"tracker_id":40,"status_id":1,"priority_id":2,"assigned_to_id":23,"start_date":"2016-11-17","description":"","custom_fields":[{"id":1,"name":"Subdivision","value":"EC"},{"id":4,"name":"Milepost","value":"0.0165"},{"id":17,"name":"Train ID","value":"176-17"},{"id":16,"name":"Locomotive ID","value":"4013"},{"id":130,"name":"Impact","value":""},{"id":150,"name":"Time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530</v>
      </c>
      <c r="B89" s="7">
        <v>4038</v>
      </c>
      <c r="C89" s="22" t="s">
        <v>220</v>
      </c>
      <c r="D89" s="22" t="s">
        <v>678</v>
      </c>
      <c r="E89" s="13">
        <v>42691.556435185186</v>
      </c>
      <c r="F89" s="13">
        <v>42691.558368055557</v>
      </c>
      <c r="G89" s="7">
        <v>1</v>
      </c>
      <c r="H89" s="22" t="s">
        <v>231</v>
      </c>
      <c r="I89" s="13">
        <v>42691.585416666669</v>
      </c>
      <c r="J89" s="7">
        <v>0</v>
      </c>
      <c r="K89" s="109" t="str">
        <f t="shared" si="49"/>
        <v>4037/4038</v>
      </c>
      <c r="L89" s="22" t="str">
        <f>VLOOKUP(A89,'Trips&amp;Operators'!$C$1:$E$10000,3,FALSE)</f>
        <v>JOHNSON</v>
      </c>
      <c r="M89" s="6">
        <f t="shared" si="50"/>
        <v>2.7048611111240461E-2</v>
      </c>
      <c r="N89" s="7">
        <f t="shared" si="51"/>
        <v>38.950000000186265</v>
      </c>
      <c r="O89" s="7"/>
      <c r="P89" s="7"/>
      <c r="Q89" s="23"/>
      <c r="R89" s="23"/>
      <c r="S89" s="35">
        <f t="shared" si="52"/>
        <v>1</v>
      </c>
      <c r="T89" s="50" t="str">
        <f t="shared" si="5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12:21:16-700',mode:absolute,to:'2016-11-17 15:03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9" s="52" t="str">
        <f t="shared" si="55"/>
        <v>N</v>
      </c>
      <c r="X89" s="177">
        <f t="shared" si="63"/>
        <v>1</v>
      </c>
      <c r="Y89" s="67">
        <f t="shared" si="56"/>
        <v>4.9700000000000001E-2</v>
      </c>
      <c r="Z89" s="67">
        <f t="shared" si="57"/>
        <v>23.3306</v>
      </c>
      <c r="AA89" s="67">
        <f t="shared" si="58"/>
        <v>23.280899999999999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59"/>
        <v>0177-17</v>
      </c>
      <c r="AE89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89" s="88" t="str">
        <f t="shared" si="61"/>
        <v>"C:\Program Files (x86)\AstroGrep\AstroGrep.exe" /spath="%USERPROFILE%\AppData\Local\Temp\OnboardLogs" /stypes="app*4038*20161117*" /stext=" 21:.+((SYSTEM_STATE.+slice.+state.+changed )|(ment ac)|(system.+state.+changed )|(\[timeout)|(PRM\|1\|D)|(kpr)|(kdp)|(\|lc)|(penalty))" /e /r /s</v>
      </c>
      <c r="AG89" s="1" t="str">
        <f t="shared" si="62"/>
        <v>EC</v>
      </c>
      <c r="AH89" s="92" t="str">
        <f t="shared" si="64"/>
        <v>"%USERPROFILE%\Documents\GitHub\eaglep3\Utilities\RefineRTDCRunTimes.py" --tripid 177-17 --locoid 4038 --swversion DE.1.0.8.0 --startMP 204:497 --initTime 2016-11-17T13:21:16 --startdatetime 2016-11-17T13:24:03 --delay 1 --endMP 204:233306 --enddatetime 2016-11-17T14:03:00 --enforcementcount 0 &gt;&gt;C:\Users\stu\Documents\GitHub\eaglep3-reporting\EC\2016-11-17-refined-times.txt</v>
      </c>
      <c r="AI8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ID","value":"177-17"},{"id":16,"name":"Locomotive ID","value":"4038"},{"id":130,"name":"Impact","value":""},{"id":150,"name":"Time of Event (Mountain Time)","value":"14:03:00"},{"id":151,"name":"Denver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537</v>
      </c>
      <c r="B90" s="7">
        <v>4037</v>
      </c>
      <c r="C90" s="22" t="s">
        <v>220</v>
      </c>
      <c r="D90" s="22" t="s">
        <v>679</v>
      </c>
      <c r="E90" s="13">
        <v>42691.587430555555</v>
      </c>
      <c r="F90" s="13">
        <v>42691.591307870367</v>
      </c>
      <c r="G90" s="7">
        <v>1</v>
      </c>
      <c r="H90" s="22" t="s">
        <v>224</v>
      </c>
      <c r="I90" s="13">
        <v>42691.619884259257</v>
      </c>
      <c r="J90" s="7">
        <v>0</v>
      </c>
      <c r="K90" s="109" t="str">
        <f t="shared" si="49"/>
        <v>4037/4038</v>
      </c>
      <c r="L90" s="22" t="str">
        <f>VLOOKUP(A90,'Trips&amp;Operators'!$C$1:$E$10000,3,FALSE)</f>
        <v>JOHNSON</v>
      </c>
      <c r="M90" s="6">
        <f t="shared" si="50"/>
        <v>2.8576388889632653E-2</v>
      </c>
      <c r="N90" s="7">
        <f t="shared" si="51"/>
        <v>41.150000001071021</v>
      </c>
      <c r="O90" s="7"/>
      <c r="P90" s="7"/>
      <c r="Q90" s="23"/>
      <c r="R90" s="23"/>
      <c r="S90" s="35">
        <f t="shared" si="52"/>
        <v>1</v>
      </c>
      <c r="T90" s="50" t="str">
        <f t="shared" si="5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13:05:54-700',mode:absolute,to:'2016-11-17 15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0" s="52" t="str">
        <f t="shared" si="55"/>
        <v>N</v>
      </c>
      <c r="X90" s="177">
        <f t="shared" si="63"/>
        <v>1</v>
      </c>
      <c r="Y90" s="67">
        <f t="shared" si="56"/>
        <v>23.298100000000002</v>
      </c>
      <c r="Z90" s="67">
        <f t="shared" si="57"/>
        <v>1.5800000000000002E-2</v>
      </c>
      <c r="AA90" s="67">
        <f t="shared" si="58"/>
        <v>23.282300000000003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59"/>
        <v>0178-17</v>
      </c>
      <c r="AE90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90" s="88" t="str">
        <f t="shared" si="61"/>
        <v>"C:\Program Files (x86)\AstroGrep\AstroGrep.exe" /spath="%USERPROFILE%\AppData\Local\Temp\OnboardLogs" /stypes="app*4037*20161117*" /stext=" 21:.+((SYSTEM_STATE.+slice.+state.+changed )|(ment ac)|(system.+state.+changed )|(\[timeout)|(PRM\|1\|D)|(kpr)|(kdp)|(\|lc)|(penalty))" /e /r /s</v>
      </c>
      <c r="AG90" s="1" t="str">
        <f t="shared" si="62"/>
        <v>EC</v>
      </c>
      <c r="AH90" s="92" t="str">
        <f t="shared" si="64"/>
        <v>"%USERPROFILE%\Documents\GitHub\eaglep3\Utilities\RefineRTDCRunTimes.py" --tripid 178-17 --locoid 4037 --swversion DE.1.0.8.0 --startMP 204:232981 --initTime 2016-11-17T14:05:54 --startdatetime 2016-11-17T14:11:29 --delay 1 --endMP 204:158 --enddatetime 2016-11-17T14:52:38 --enforcementcount 0 &gt;&gt;C:\Users\stu\Documents\GitHub\eaglep3-reporting\EC\2016-11-17-refined-times.txt</v>
      </c>
      <c r="AI9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{"issue":{"subject":"","project_id":79,"tracker_id":40,"status_id":1,"priority_id":2,"assigned_to_id":23,"start_date":"2016-11-17","description":"","custom_fields":[{"id":1,"name":"Subdivision","value":"EC"},{"id":4,"name":"Milepost","value":"0.0158"},{"id":17,"name":"Train ID","value":"178-17"},{"id":16,"name":"Locomotive ID","value":"4037"},{"id":130,"name":"Impact","value":""},{"id":150,"name":"Time of Event (Mountain Time)","value":"14:52:38"},{"id":151,"name":"Denver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531</v>
      </c>
      <c r="B91" s="7">
        <v>4042</v>
      </c>
      <c r="C91" s="22" t="s">
        <v>220</v>
      </c>
      <c r="D91" s="22" t="s">
        <v>278</v>
      </c>
      <c r="E91" s="13">
        <v>42691.564062500001</v>
      </c>
      <c r="F91" s="13">
        <v>42691.569143518522</v>
      </c>
      <c r="G91" s="7">
        <v>1</v>
      </c>
      <c r="H91" s="22" t="s">
        <v>379</v>
      </c>
      <c r="I91" s="13">
        <v>42691.595173611109</v>
      </c>
      <c r="J91" s="7">
        <v>0</v>
      </c>
      <c r="K91" s="109" t="str">
        <f t="shared" si="49"/>
        <v>4041/4042</v>
      </c>
      <c r="L91" s="22" t="str">
        <f>VLOOKUP(A91,'Trips&amp;Operators'!$C$1:$E$10000,3,FALSE)</f>
        <v>LALONDE</v>
      </c>
      <c r="M91" s="6">
        <f t="shared" si="50"/>
        <v>2.6030092587461695E-2</v>
      </c>
      <c r="N91" s="7">
        <f t="shared" si="51"/>
        <v>37.483333325944841</v>
      </c>
      <c r="O91" s="7"/>
      <c r="P91" s="7"/>
      <c r="Q91" s="23"/>
      <c r="R91" s="23"/>
      <c r="S91" s="35">
        <f t="shared" si="52"/>
        <v>1</v>
      </c>
      <c r="T91" s="50" t="str">
        <f t="shared" si="5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12:32:15-700',mode:absolute,to:'2016-11-17 15:17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55"/>
        <v>N</v>
      </c>
      <c r="X91" s="177">
        <f t="shared" si="63"/>
        <v>1</v>
      </c>
      <c r="Y91" s="67">
        <f t="shared" si="56"/>
        <v>4.4400000000000002E-2</v>
      </c>
      <c r="Z91" s="67">
        <f t="shared" si="57"/>
        <v>23.331399999999999</v>
      </c>
      <c r="AA91" s="67">
        <f t="shared" si="58"/>
        <v>23.286999999999999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59"/>
        <v>0179-17</v>
      </c>
      <c r="AE91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91" s="88" t="str">
        <f t="shared" si="61"/>
        <v>"C:\Program Files (x86)\AstroGrep\AstroGrep.exe" /spath="%USERPROFILE%\AppData\Local\Temp\OnboardLogs" /stypes="app*4042*20161117*" /stext=" 21:.+((SYSTEM_STATE.+slice.+state.+changed )|(ment ac)|(system.+state.+changed )|(\[timeout)|(PRM\|1\|D)|(kpr)|(kdp)|(\|lc)|(penalty))" /e /r /s</v>
      </c>
      <c r="AG91" s="1" t="str">
        <f t="shared" si="62"/>
        <v>EC</v>
      </c>
      <c r="AH91" s="92" t="str">
        <f t="shared" si="64"/>
        <v>"%USERPROFILE%\Documents\GitHub\eaglep3\Utilities\RefineRTDCRunTimes.py" --tripid 179-17 --locoid 4042 --swversion DE.1.0.8.0 --startMP 204:444 --initTime 2016-11-17T13:32:15 --startdatetime 2016-11-17T13:39:34 --delay 1 --endMP 204:233314 --enddatetime 2016-11-17T14:17:03 --enforcementcount 0 &gt;&gt;C:\Users\stu\Documents\GitHub\eaglep3-reporting\EC\2016-11-17-refined-times.txt</v>
      </c>
      <c r="AI9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ID","value":"179-17"},{"id":16,"name":"Locomotive ID","value":"4042"},{"id":130,"name":"Impact","value":""},{"id":150,"name":"Time of Event (Mountain Time)","value":"14:17:03"},{"id":151,"name":"Denver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540</v>
      </c>
      <c r="B92" s="7">
        <v>4041</v>
      </c>
      <c r="C92" s="22" t="s">
        <v>220</v>
      </c>
      <c r="D92" s="22" t="s">
        <v>216</v>
      </c>
      <c r="E92" s="13">
        <v>42691.596261574072</v>
      </c>
      <c r="F92" s="13">
        <v>42691.6015625</v>
      </c>
      <c r="G92" s="7">
        <v>1</v>
      </c>
      <c r="H92" s="22" t="s">
        <v>292</v>
      </c>
      <c r="I92" s="13">
        <v>42691.631874999999</v>
      </c>
      <c r="J92" s="7">
        <v>0</v>
      </c>
      <c r="K92" s="109" t="str">
        <f t="shared" si="49"/>
        <v>4041/4042</v>
      </c>
      <c r="L92" s="22" t="str">
        <f>VLOOKUP(A92,'Trips&amp;Operators'!$C$1:$E$10000,3,FALSE)</f>
        <v>LALONDE</v>
      </c>
      <c r="M92" s="6">
        <f t="shared" si="50"/>
        <v>3.0312499999126885E-2</v>
      </c>
      <c r="N92" s="7">
        <f t="shared" si="51"/>
        <v>43.649999998742715</v>
      </c>
      <c r="O92" s="7"/>
      <c r="P92" s="7"/>
      <c r="Q92" s="23"/>
      <c r="R92" s="23"/>
      <c r="S92" s="35">
        <f t="shared" si="52"/>
        <v>1</v>
      </c>
      <c r="T92" s="50" t="str">
        <f t="shared" si="5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13:18:37-700',mode:absolute,to:'2016-11-17 16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55"/>
        <v>N</v>
      </c>
      <c r="X92" s="177">
        <f t="shared" si="63"/>
        <v>1</v>
      </c>
      <c r="Y92" s="67">
        <f t="shared" si="56"/>
        <v>23.298500000000001</v>
      </c>
      <c r="Z92" s="67">
        <f t="shared" si="57"/>
        <v>1.67E-2</v>
      </c>
      <c r="AA92" s="67">
        <f t="shared" si="58"/>
        <v>23.2818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59"/>
        <v>0180-17</v>
      </c>
      <c r="AE92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92" s="88" t="str">
        <f t="shared" si="61"/>
        <v>"C:\Program Files (x86)\AstroGrep\AstroGrep.exe" /spath="%USERPROFILE%\AppData\Local\Temp\OnboardLogs" /stypes="app*4041*20161117*" /stext=" 22:.+((SYSTEM_STATE.+slice.+state.+changed )|(ment ac)|(system.+state.+changed )|(\[timeout)|(PRM\|1\|D)|(kpr)|(kdp)|(\|lc)|(penalty))" /e /r /s</v>
      </c>
      <c r="AG92" s="1" t="str">
        <f t="shared" si="62"/>
        <v>EC</v>
      </c>
      <c r="AH92" s="92" t="str">
        <f t="shared" si="64"/>
        <v>"%USERPROFILE%\Documents\GitHub\eaglep3\Utilities\RefineRTDCRunTimes.py" --tripid 180-17 --locoid 4041 --swversion DE.1.0.8.0 --startMP 204:232985 --initTime 2016-11-17T14:18:37 --startdatetime 2016-11-17T14:26:15 --delay 1 --endMP 204:167 --enddatetime 2016-11-17T15:09:54 --enforcementcount 0 &gt;&gt;C:\Users\stu\Documents\GitHub\eaglep3-reporting\EC\2016-11-17-refined-times.txt</v>
      </c>
      <c r="AI9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{"issue":{"subject":"","project_id":79,"tracker_id":40,"status_id":1,"priority_id":2,"assigned_to_id":23,"start_date":"2016-11-17","description":"","custom_fields":[{"id":1,"name":"Subdivision","value":"EC"},{"id":4,"name":"Milepost","value":"0.0167"},{"id":17,"name":"Train ID","value":"180-17"},{"id":16,"name":"Locomotive ID","value":"4041"},{"id":130,"name":"Impact","value":""},{"id":150,"name":"Time of Event (Mountain Time)","value":"15:09:54"},{"id":151,"name":"Denver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535</v>
      </c>
      <c r="B93" s="7">
        <v>4011</v>
      </c>
      <c r="C93" s="22" t="s">
        <v>220</v>
      </c>
      <c r="D93" s="22" t="s">
        <v>680</v>
      </c>
      <c r="E93" s="13">
        <v>42691.576874999999</v>
      </c>
      <c r="F93" s="13">
        <v>42691.578819444447</v>
      </c>
      <c r="G93" s="7">
        <v>1</v>
      </c>
      <c r="H93" s="22" t="s">
        <v>385</v>
      </c>
      <c r="I93" s="13">
        <v>42691.605312500003</v>
      </c>
      <c r="J93" s="7">
        <v>0</v>
      </c>
      <c r="K93" s="109" t="str">
        <f t="shared" si="49"/>
        <v>4011/4012</v>
      </c>
      <c r="L93" s="22" t="str">
        <f>VLOOKUP(A93,'Trips&amp;Operators'!$C$1:$E$10000,3,FALSE)</f>
        <v>HILLS</v>
      </c>
      <c r="M93" s="6">
        <f t="shared" si="50"/>
        <v>2.6493055556784384E-2</v>
      </c>
      <c r="N93" s="7">
        <f t="shared" si="51"/>
        <v>38.150000001769513</v>
      </c>
      <c r="O93" s="7"/>
      <c r="P93" s="7"/>
      <c r="Q93" s="23"/>
      <c r="R93" s="23"/>
      <c r="S93" s="35">
        <f t="shared" si="52"/>
        <v>1</v>
      </c>
      <c r="T93" s="50" t="str">
        <f t="shared" si="5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12:50:42-700',mode:absolute,to:'2016-11-17 15:31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3" s="52" t="str">
        <f t="shared" si="55"/>
        <v>N</v>
      </c>
      <c r="X93" s="177">
        <f t="shared" si="63"/>
        <v>1</v>
      </c>
      <c r="Y93" s="67">
        <f t="shared" si="56"/>
        <v>4.0599999999999997E-2</v>
      </c>
      <c r="Z93" s="67">
        <f t="shared" si="57"/>
        <v>23.3324</v>
      </c>
      <c r="AA93" s="67">
        <f t="shared" si="58"/>
        <v>23.291799999999999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59"/>
        <v>0181-17</v>
      </c>
      <c r="AE93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93" s="88" t="str">
        <f t="shared" si="61"/>
        <v>"C:\Program Files (x86)\AstroGrep\AstroGrep.exe" /spath="%USERPROFILE%\AppData\Local\Temp\OnboardLogs" /stypes="app*4011*20161117*" /stext=" 21:.+((SYSTEM_STATE.+slice.+state.+changed )|(ment ac)|(system.+state.+changed )|(\[timeout)|(PRM\|1\|D)|(kpr)|(kdp)|(\|lc)|(penalty))" /e /r /s</v>
      </c>
      <c r="AG93" s="1" t="str">
        <f t="shared" si="62"/>
        <v>EC</v>
      </c>
      <c r="AH93" s="92" t="str">
        <f t="shared" si="64"/>
        <v>"%USERPROFILE%\Documents\GitHub\eaglep3\Utilities\RefineRTDCRunTimes.py" --tripid 181-17 --locoid 4011 --swversion DE.1.0.8.0 --startMP 204:406 --initTime 2016-11-17T13:50:42 --startdatetime 2016-11-17T13:53:30 --delay 1 --endMP 204:233324 --enddatetime 2016-11-17T14:31:39 --enforcementcount 0 &gt;&gt;C:\Users\stu\Documents\GitHub\eaglep3-reporting\EC\2016-11-17-refined-times.txt</v>
      </c>
      <c r="AI9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{"issue":{"subject":"","project_id":79,"tracker_id":40,"status_id":1,"priority_id":2,"assigned_to_id":23,"start_date":"2016-11-17","description":"","custom_fields":[{"id":1,"name":"Subdivision","value":"EC"},{"id":4,"name":"Milepost","value":"23.3324"},{"id":17,"name":"Train ID","value":"181-17"},{"id":16,"name":"Locomotive ID","value":"4011"},{"id":130,"name":"Impact","value":""},{"id":150,"name":"Time of Event (Mountain Time)","value":"14:31:39"},{"id":151,"name":"Denver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439</v>
      </c>
      <c r="B94" s="7">
        <v>4012</v>
      </c>
      <c r="C94" s="22" t="s">
        <v>220</v>
      </c>
      <c r="D94" s="22" t="s">
        <v>384</v>
      </c>
      <c r="E94" s="13">
        <v>42691.608854166669</v>
      </c>
      <c r="F94" s="13">
        <v>42691.612013888887</v>
      </c>
      <c r="G94" s="7">
        <v>1</v>
      </c>
      <c r="H94" s="22" t="s">
        <v>681</v>
      </c>
      <c r="I94" s="13">
        <v>42691.639745370368</v>
      </c>
      <c r="J94" s="7">
        <v>0</v>
      </c>
      <c r="K94" s="109" t="str">
        <f t="shared" si="49"/>
        <v>4011/4012</v>
      </c>
      <c r="L94" s="22" t="str">
        <f>VLOOKUP(A94,'Trips&amp;Operators'!$C$1:$E$10000,3,FALSE)</f>
        <v>HILLS</v>
      </c>
      <c r="M94" s="6">
        <f t="shared" si="50"/>
        <v>2.7731481481168885E-2</v>
      </c>
      <c r="N94" s="7">
        <f t="shared" si="51"/>
        <v>39.933333332883194</v>
      </c>
      <c r="O94" s="7"/>
      <c r="P94" s="7"/>
      <c r="Q94" s="23"/>
      <c r="R94" s="23"/>
      <c r="S94" s="35">
        <f t="shared" si="52"/>
        <v>1</v>
      </c>
      <c r="T94" s="50" t="str">
        <f t="shared" si="5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4" s="52" t="str">
        <f t="shared" si="55"/>
        <v>N</v>
      </c>
      <c r="X94" s="177">
        <f t="shared" si="63"/>
        <v>1</v>
      </c>
      <c r="Y94" s="67">
        <f t="shared" si="56"/>
        <v>23.300899999999999</v>
      </c>
      <c r="Z94" s="67">
        <f t="shared" si="57"/>
        <v>7.1999999999999998E-3</v>
      </c>
      <c r="AA94" s="67">
        <f t="shared" si="58"/>
        <v>23.293699999999998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59"/>
        <v>0182-17</v>
      </c>
      <c r="AE94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94" s="88" t="str">
        <f t="shared" si="61"/>
        <v>"C:\Program Files (x86)\AstroGrep\AstroGrep.exe" /spath="%USERPROFILE%\AppData\Local\Temp\OnboardLogs" /stypes="app*4012*20161117*" /stext=" 22:.+((SYSTEM_STATE.+slice.+state.+changed )|(ment ac)|(system.+state.+changed )|(\[timeout)|(PRM\|1\|D)|(kpr)|(kdp)|(\|lc)|(penalty))" /e /r /s</v>
      </c>
      <c r="AG94" s="1" t="str">
        <f t="shared" si="62"/>
        <v>EC</v>
      </c>
      <c r="AH94" s="92" t="str">
        <f t="shared" si="64"/>
        <v>"%USERPROFILE%\Documents\GitHub\eaglep3\Utilities\RefineRTDCRunTimes.py" --tripid 182-17 --locoid 4012 --swversion DE.1.0.8.0 --startMP 204:233009 --initTime 2016-11-17T14:36:45 --startdatetime 2016-11-17T14:41:18 --delay 1 --endMP 204:72 --enddatetime 2016-11-17T15:21:14 --enforcementcount 0 &gt;&gt;C:\Users\stu\Documents\GitHub\eaglep3-reporting\EC\2016-11-17-refined-times.txt</v>
      </c>
      <c r="AI9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{"issue":{"subject":"","project_id":79,"tracker_id":40,"status_id":1,"priority_id":2,"assigned_to_id":23,"start_date":"2016-11-17","description":"","custom_fields":[{"id":1,"name":"Subdivision","value":"EC"},{"id":4,"name":"Milepost","value":"0.0072"},{"id":17,"name":"Train ID","value":"182-17"},{"id":16,"name":"Locomotive ID","value":"4012"},{"id":130,"name":"Impact","value":""},{"id":150,"name":"Time of Event (Mountain Time)","value":"15:21:14"},{"id":151,"name":"Denver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536</v>
      </c>
      <c r="B95" s="7">
        <v>4002</v>
      </c>
      <c r="C95" s="22" t="s">
        <v>220</v>
      </c>
      <c r="D95" s="22" t="s">
        <v>230</v>
      </c>
      <c r="E95" s="13">
        <v>42691.583993055552</v>
      </c>
      <c r="F95" s="13">
        <v>42691.585763888892</v>
      </c>
      <c r="G95" s="7">
        <v>1</v>
      </c>
      <c r="H95" s="22" t="s">
        <v>386</v>
      </c>
      <c r="I95" s="13">
        <v>42691.61041666667</v>
      </c>
      <c r="J95" s="7">
        <v>0</v>
      </c>
      <c r="K95" s="109" t="str">
        <f t="shared" si="49"/>
        <v>4001/4002</v>
      </c>
      <c r="L95" s="22" t="str">
        <f>VLOOKUP(A95,'Trips&amp;Operators'!$C$1:$E$10000,3,FALSE)</f>
        <v>ADANE</v>
      </c>
      <c r="M95" s="6">
        <f t="shared" si="50"/>
        <v>2.4652777778101154E-2</v>
      </c>
      <c r="N95" s="7">
        <f t="shared" si="51"/>
        <v>35.500000000465661</v>
      </c>
      <c r="O95" s="7"/>
      <c r="P95" s="7"/>
      <c r="Q95" s="23"/>
      <c r="R95" s="23"/>
      <c r="S95" s="35">
        <f t="shared" si="52"/>
        <v>1</v>
      </c>
      <c r="T95" s="50" t="str">
        <f t="shared" si="5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13:00:57-700',mode:absolute,to:'2016-11-17 15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5" s="52" t="str">
        <f t="shared" si="55"/>
        <v>N</v>
      </c>
      <c r="X95" s="177">
        <f t="shared" si="63"/>
        <v>1</v>
      </c>
      <c r="Y95" s="67">
        <f t="shared" si="56"/>
        <v>4.6899999999999997E-2</v>
      </c>
      <c r="Z95" s="67">
        <f t="shared" si="57"/>
        <v>23.33</v>
      </c>
      <c r="AA95" s="67">
        <f t="shared" si="58"/>
        <v>23.283099999999997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59"/>
        <v>0183-17</v>
      </c>
      <c r="AE9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95" s="88" t="str">
        <f t="shared" si="61"/>
        <v>"C:\Program Files (x86)\AstroGrep\AstroGrep.exe" /spath="%USERPROFILE%\AppData\Local\Temp\OnboardLogs" /stypes="app*4002*20161117*" /stext=" 21:.+((SYSTEM_STATE.+slice.+state.+changed )|(ment ac)|(system.+state.+changed )|(\[timeout)|(PRM\|1\|D)|(kpr)|(kdp)|(\|lc)|(penalty))" /e /r /s</v>
      </c>
      <c r="AG95" s="1" t="str">
        <f t="shared" si="62"/>
        <v>EC</v>
      </c>
      <c r="AH95" s="92" t="str">
        <f t="shared" si="64"/>
        <v>"%USERPROFILE%\Documents\GitHub\eaglep3\Utilities\RefineRTDCRunTimes.py" --tripid 183-17 --locoid 4002 --swversion DE.1.0.8.0 --startMP 204:469 --initTime 2016-11-17T14:00:57 --startdatetime 2016-11-17T14:03:30 --delay 1 --endMP 204:233300 --enddatetime 2016-11-17T14:39:00 --enforcementcount 0 &gt;&gt;C:\Users\stu\Documents\GitHub\eaglep3-reporting\EC\2016-11-17-refined-times.txt</v>
      </c>
      <c r="AI9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{"issue":{"subject":"","project_id":79,"tracker_id":40,"status_id":1,"priority_id":2,"assigned_to_id":23,"start_date":"2016-11-17","description":"","custom_fields":[{"id":1,"name":"Subdivision","value":"EC"},{"id":4,"name":"Milepost","value":"23.33"},{"id":17,"name":"Train ID","value":"183-17"},{"id":16,"name":"Locomotive ID","value":"4002"},{"id":130,"name":"Impact","value":""},{"id":150,"name":"Time of Event (Mountain Time)","value":"14:39:00"},{"id":151,"name":"Denver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543</v>
      </c>
      <c r="B96" s="7">
        <v>4001</v>
      </c>
      <c r="C96" s="22" t="s">
        <v>220</v>
      </c>
      <c r="D96" s="22" t="s">
        <v>647</v>
      </c>
      <c r="E96" s="13">
        <v>42691.61215277778</v>
      </c>
      <c r="F96" s="13">
        <v>42691.622650462959</v>
      </c>
      <c r="G96" s="7">
        <v>1</v>
      </c>
      <c r="H96" s="22" t="s">
        <v>234</v>
      </c>
      <c r="I96" s="13">
        <v>42691.649942129632</v>
      </c>
      <c r="J96" s="7">
        <v>0</v>
      </c>
      <c r="K96" s="109" t="str">
        <f t="shared" si="49"/>
        <v>4001/4002</v>
      </c>
      <c r="L96" s="22" t="str">
        <f>VLOOKUP(A96,'Trips&amp;Operators'!$C$1:$E$10000,3,FALSE)</f>
        <v>ADANE</v>
      </c>
      <c r="M96" s="6">
        <f t="shared" si="50"/>
        <v>2.7291666672681458E-2</v>
      </c>
      <c r="N96" s="7">
        <f t="shared" si="51"/>
        <v>39.3000000086613</v>
      </c>
      <c r="O96" s="7"/>
      <c r="P96" s="7"/>
      <c r="Q96" s="23"/>
      <c r="R96" s="23"/>
      <c r="S96" s="35">
        <f t="shared" si="52"/>
        <v>1</v>
      </c>
      <c r="T96" s="50" t="str">
        <f t="shared" si="5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13:41:30-700',mode:absolute,to:'2016-11-17 16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6" s="52" t="str">
        <f t="shared" si="55"/>
        <v>N</v>
      </c>
      <c r="X96" s="177">
        <f t="shared" si="63"/>
        <v>1</v>
      </c>
      <c r="Y96" s="67">
        <f t="shared" si="56"/>
        <v>23.299099999999999</v>
      </c>
      <c r="Z96" s="67">
        <f t="shared" si="57"/>
        <v>1.4999999999999999E-2</v>
      </c>
      <c r="AA96" s="67">
        <f t="shared" si="58"/>
        <v>23.284099999999999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59"/>
        <v>0184-17</v>
      </c>
      <c r="AE9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96" s="88" t="str">
        <f t="shared" si="61"/>
        <v>"C:\Program Files (x86)\AstroGrep\AstroGrep.exe" /spath="%USERPROFILE%\AppData\Local\Temp\OnboardLogs" /stypes="app*4001*20161117*" /stext=" 22:.+((SYSTEM_STATE.+slice.+state.+changed )|(ment ac)|(system.+state.+changed )|(\[timeout)|(PRM\|1\|D)|(kpr)|(kdp)|(\|lc)|(penalty))" /e /r /s</v>
      </c>
      <c r="AG96" s="1" t="str">
        <f t="shared" si="62"/>
        <v>EC</v>
      </c>
      <c r="AH96" s="92" t="str">
        <f t="shared" si="64"/>
        <v>"%USERPROFILE%\Documents\GitHub\eaglep3\Utilities\RefineRTDCRunTimes.py" --tripid 184-17 --locoid 4001 --swversion DE.1.0.8.0 --startMP 204:232991 --initTime 2016-11-17T14:41:30 --startdatetime 2016-11-17T14:56:37 --delay 1 --endMP 204:150 --enddatetime 2016-11-17T15:35:55 --enforcementcount 0 &gt;&gt;C:\Users\stu\Documents\GitHub\eaglep3-reporting\EC\2016-11-17-refined-times.txt</v>
      </c>
      <c r="AI9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ID","value":"184-17"},{"id":16,"name":"Locomotive ID","value":"4001"},{"id":130,"name":"Impact","value":""},{"id":150,"name":"Time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539</v>
      </c>
      <c r="B97" s="7">
        <v>4031</v>
      </c>
      <c r="C97" s="22" t="s">
        <v>220</v>
      </c>
      <c r="D97" s="22" t="s">
        <v>682</v>
      </c>
      <c r="E97" s="13">
        <v>42691.59542824074</v>
      </c>
      <c r="F97" s="13">
        <v>42691.597916666666</v>
      </c>
      <c r="G97" s="7">
        <v>1</v>
      </c>
      <c r="H97" s="22" t="s">
        <v>187</v>
      </c>
      <c r="I97" s="13">
        <v>42691.626840277779</v>
      </c>
      <c r="J97" s="7">
        <v>0</v>
      </c>
      <c r="K97" s="109" t="str">
        <f t="shared" si="49"/>
        <v>4031/4032</v>
      </c>
      <c r="L97" s="22" t="str">
        <f>VLOOKUP(A97,'Trips&amp;Operators'!$C$1:$E$10000,3,FALSE)</f>
        <v>NICHOLSON</v>
      </c>
      <c r="M97" s="6">
        <f t="shared" si="50"/>
        <v>2.8923611112986691E-2</v>
      </c>
      <c r="N97" s="7">
        <f t="shared" si="51"/>
        <v>41.650000002700835</v>
      </c>
      <c r="O97" s="7"/>
      <c r="P97" s="7"/>
      <c r="Q97" s="23"/>
      <c r="R97" s="23"/>
      <c r="S97" s="35">
        <f t="shared" si="52"/>
        <v>1</v>
      </c>
      <c r="T97" s="50" t="str">
        <f t="shared" si="5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13:17:25-700',mode:absolute,to:'2016-11-17 16:02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55"/>
        <v>N</v>
      </c>
      <c r="X97" s="177">
        <f t="shared" si="63"/>
        <v>1</v>
      </c>
      <c r="Y97" s="67">
        <f t="shared" si="56"/>
        <v>4.82E-2</v>
      </c>
      <c r="Z97" s="67">
        <f t="shared" si="57"/>
        <v>23.329699999999999</v>
      </c>
      <c r="AA97" s="67">
        <f t="shared" si="58"/>
        <v>23.281499999999998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59"/>
        <v>0185-17</v>
      </c>
      <c r="AE97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97" s="88" t="str">
        <f t="shared" si="61"/>
        <v>"C:\Program Files (x86)\AstroGrep\AstroGrep.exe" /spath="%USERPROFILE%\AppData\Local\Temp\OnboardLogs" /stypes="app*4031*20161117*" /stext=" 22:.+((SYSTEM_STATE.+slice.+state.+changed )|(ment ac)|(system.+state.+changed )|(\[timeout)|(PRM\|1\|D)|(kpr)|(kdp)|(\|lc)|(penalty))" /e /r /s</v>
      </c>
      <c r="AG97" s="1" t="str">
        <f t="shared" si="62"/>
        <v>EC</v>
      </c>
      <c r="AH97" s="92" t="str">
        <f t="shared" si="64"/>
        <v>"%USERPROFILE%\Documents\GitHub\eaglep3\Utilities\RefineRTDCRunTimes.py" --tripid 185-17 --locoid 4031 --swversion DE.1.0.8.0 --startMP 204:482 --initTime 2016-11-17T14:17:25 --startdatetime 2016-11-17T14:21:00 --delay 1 --endMP 204:233297 --enddatetime 2016-11-17T15:02:39 --enforcementcount 0 &gt;&gt;C:\Users\stu\Documents\GitHub\eaglep3-reporting\EC\2016-11-17-refined-times.txt</v>
      </c>
      <c r="AI9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ID","value":"185-17"},{"id":16,"name":"Locomotive ID","value":"4031"},{"id":130,"name":"Impact","value":""},{"id":150,"name":"Time of Event (Mountain Time)","value":"15:02:39"},{"id":151,"name":"Denver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545</v>
      </c>
      <c r="B98" s="7">
        <v>4032</v>
      </c>
      <c r="C98" s="22" t="s">
        <v>220</v>
      </c>
      <c r="D98" s="22" t="s">
        <v>365</v>
      </c>
      <c r="E98" s="13">
        <v>42691.628587962965</v>
      </c>
      <c r="F98" s="13">
        <v>42691.632835648146</v>
      </c>
      <c r="G98" s="7">
        <v>1</v>
      </c>
      <c r="H98" s="22" t="s">
        <v>371</v>
      </c>
      <c r="I98" s="13">
        <v>42691.662546296298</v>
      </c>
      <c r="J98" s="7">
        <v>0</v>
      </c>
      <c r="K98" s="109" t="str">
        <f t="shared" si="49"/>
        <v>4031/4032</v>
      </c>
      <c r="L98" s="22" t="str">
        <f>VLOOKUP(A98,'Trips&amp;Operators'!$C$1:$E$10000,3,FALSE)</f>
        <v>NICHOLSON</v>
      </c>
      <c r="M98" s="6">
        <f t="shared" si="50"/>
        <v>2.9710648152104113E-2</v>
      </c>
      <c r="N98" s="7">
        <f t="shared" si="51"/>
        <v>42.783333339029923</v>
      </c>
      <c r="O98" s="7"/>
      <c r="P98" s="7"/>
      <c r="Q98" s="23"/>
      <c r="R98" s="23"/>
      <c r="S98" s="35">
        <f t="shared" si="52"/>
        <v>1</v>
      </c>
      <c r="T98" s="50" t="str">
        <f t="shared" si="5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14:05:10-700',mode:absolute,to:'2016-11-17 16:54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55"/>
        <v>N</v>
      </c>
      <c r="X98" s="177">
        <f t="shared" si="63"/>
        <v>1</v>
      </c>
      <c r="Y98" s="67">
        <f t="shared" si="56"/>
        <v>23.299600000000002</v>
      </c>
      <c r="Z98" s="67">
        <f t="shared" si="57"/>
        <v>1.7000000000000001E-2</v>
      </c>
      <c r="AA98" s="67">
        <f t="shared" si="58"/>
        <v>23.282600000000002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59"/>
        <v>0186-17</v>
      </c>
      <c r="AE98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98" s="88" t="str">
        <f t="shared" si="61"/>
        <v>"C:\Program Files (x86)\AstroGrep\AstroGrep.exe" /spath="%USERPROFILE%\AppData\Local\Temp\OnboardLogs" /stypes="app*4032*20161117*" /stext=" 22:.+((SYSTEM_STATE.+slice.+state.+changed )|(ment ac)|(system.+state.+changed )|(\[timeout)|(PRM\|1\|D)|(kpr)|(kdp)|(\|lc)|(penalty))" /e /r /s</v>
      </c>
      <c r="AG98" s="1" t="str">
        <f t="shared" si="62"/>
        <v>EC</v>
      </c>
      <c r="AH98" s="92" t="str">
        <f t="shared" si="64"/>
        <v>"%USERPROFILE%\Documents\GitHub\eaglep3\Utilities\RefineRTDCRunTimes.py" --tripid 186-17 --locoid 4032 --swversion DE.1.0.8.0 --startMP 204:232996 --initTime 2016-11-17T15:05:10 --startdatetime 2016-11-17T15:11:17 --delay 1 --endMP 204:170 --enddatetime 2016-11-17T15:54:04 --enforcementcount 0 &gt;&gt;C:\Users\stu\Documents\GitHub\eaglep3-reporting\EC\2016-11-17-refined-times.txt</v>
      </c>
      <c r="AI9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{"issue":{"subject":"","project_id":79,"tracker_id":40,"status_id":1,"priority_id":2,"assigned_to_id":23,"start_date":"2016-11-17","description":"","custom_fields":[{"id":1,"name":"Subdivision","value":"EC"},{"id":4,"name":"Milepost","value":"0.017"},{"id":17,"name":"Train ID","value":"186-17"},{"id":16,"name":"Locomotive ID","value":"4032"},{"id":130,"name":"Impact","value":""},{"id":150,"name":"Time of Event (Mountain Time)","value":"15:54:04"},{"id":151,"name":"Denver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440</v>
      </c>
      <c r="B99" s="7">
        <v>4003</v>
      </c>
      <c r="C99" s="22" t="s">
        <v>220</v>
      </c>
      <c r="D99" s="22" t="s">
        <v>323</v>
      </c>
      <c r="E99" s="13">
        <v>42691.598703703705</v>
      </c>
      <c r="F99" s="13">
        <v>42691.604467592595</v>
      </c>
      <c r="G99" s="7">
        <v>2</v>
      </c>
      <c r="H99" s="22" t="s">
        <v>683</v>
      </c>
      <c r="I99" s="13">
        <v>42691.629675925928</v>
      </c>
      <c r="J99" s="7">
        <v>0</v>
      </c>
      <c r="K99" s="109" t="str">
        <f t="shared" si="49"/>
        <v>4003/4004</v>
      </c>
      <c r="L99" s="22" t="str">
        <f>VLOOKUP(A99,'Trips&amp;Operators'!$C$1:$E$10000,3,FALSE)</f>
        <v>MACDONALD</v>
      </c>
      <c r="M99" s="6">
        <f t="shared" si="50"/>
        <v>2.5208333332557231E-2</v>
      </c>
      <c r="N99" s="7"/>
      <c r="O99" s="7"/>
      <c r="P99" s="7">
        <f t="shared" si="51"/>
        <v>36.299999998882413</v>
      </c>
      <c r="Q99" s="23"/>
      <c r="R99" s="23" t="s">
        <v>807</v>
      </c>
      <c r="S99" s="35">
        <f t="shared" si="52"/>
        <v>1</v>
      </c>
      <c r="T99" s="50" t="str">
        <f t="shared" si="5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13:22:08-700',mode:absolute,to:'2016-11-17 16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9" s="52" t="str">
        <f t="shared" si="55"/>
        <v>Y</v>
      </c>
      <c r="X99" s="177">
        <f t="shared" si="63"/>
        <v>1</v>
      </c>
      <c r="Y99" s="67">
        <f t="shared" si="56"/>
        <v>4.3499999999999997E-2</v>
      </c>
      <c r="Z99" s="67">
        <v>22.9</v>
      </c>
      <c r="AA99" s="67">
        <f t="shared" si="58"/>
        <v>22.856499999999997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59"/>
        <v>0187-17</v>
      </c>
      <c r="AE99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99" s="88" t="str">
        <f t="shared" si="61"/>
        <v>"C:\Program Files (x86)\AstroGrep\AstroGrep.exe" /spath="%USERPROFILE%\AppData\Local\Temp\OnboardLogs" /stypes="app*4003*20161117*" /stext=" 22:.+((SYSTEM_STATE.+slice.+state.+changed )|(ment ac)|(system.+state.+changed )|(\[timeout)|(PRM\|1\|D)|(kpr)|(kdp)|(\|lc)|(penalty))" /e /r /s</v>
      </c>
      <c r="AG99" s="1" t="str">
        <f t="shared" si="62"/>
        <v>EC</v>
      </c>
      <c r="AH99" s="92" t="str">
        <f t="shared" si="64"/>
        <v>"%USERPROFILE%\Documents\GitHub\eaglep3\Utilities\RefineRTDCRunTimes.py" --tripid 187-17 --locoid 4003 --swversion DE.1.0.8.0 --startMP 204:435 --initTime 2016-11-17T14:22:08 --startdatetime 2016-11-17T14:30:26 --delay 2 --endMP 204:233287 --enddatetime 2016-11-17T15:06:44 --enforcementcount 0 &gt;&gt;C:\Users\stu\Documents\GitHub\eaglep3-reporting\EC\2016-11-17-refined-times.txt</v>
      </c>
      <c r="AI99" s="119" t="str">
        <f t="shared" si="65"/>
        <v>echo {"issue":{"subject":"Onboard in-route failure","project_id":79,"tracker_id":40,"status_id":1,"priority_id":2,"assigned_to_id":23,"start_date":"2016-11-17","description":"SYS :2016/11/17 22:06:35.993:COMPARATOR:xc_evaluate_vote_out:=&gt; My Slice [3] is Out of Sync and may reboot in a minute!","custom_fields":[{"id":1,"name":"Subdivision","value":"EC"},{"id":4,"name":"Milepost","value":"22.9"},{"id":17,"name":"Train ID","value":"187-17"},{"id":16,"name":"Locomotive ID","value":"4003"},{"id":130,"name":"Impact","value":"Failed State"},{"id":150,"name":"Time of Event (Mountain Time)","value":"15:06:44"},{"id":151,"name":"Denver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9" s="53" t="s">
        <v>808</v>
      </c>
      <c r="AK99" s="53" t="s">
        <v>128</v>
      </c>
      <c r="AL99" s="53" t="s">
        <v>177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548</v>
      </c>
      <c r="B100" s="7">
        <v>4004</v>
      </c>
      <c r="C100" s="22" t="s">
        <v>220</v>
      </c>
      <c r="D100" s="22" t="s">
        <v>684</v>
      </c>
      <c r="E100" s="13">
        <v>42691.640844907408</v>
      </c>
      <c r="F100" s="13">
        <v>42691.64402777778</v>
      </c>
      <c r="G100" s="7">
        <v>3</v>
      </c>
      <c r="H100" s="22" t="s">
        <v>270</v>
      </c>
      <c r="I100" s="13">
        <v>42691.671087962961</v>
      </c>
      <c r="J100" s="7">
        <v>0</v>
      </c>
      <c r="K100" s="109" t="str">
        <f t="shared" si="49"/>
        <v>4003/4004</v>
      </c>
      <c r="L100" s="22" t="str">
        <f>VLOOKUP(A100,'Trips&amp;Operators'!$C$1:$E$10000,3,FALSE)</f>
        <v>BONDS</v>
      </c>
      <c r="M100" s="6">
        <f t="shared" si="50"/>
        <v>2.7060185180744156E-2</v>
      </c>
      <c r="N100" s="7">
        <f t="shared" si="51"/>
        <v>38.966666660271585</v>
      </c>
      <c r="O100" s="7"/>
      <c r="P100" s="7"/>
      <c r="Q100" s="23"/>
      <c r="R100" s="23"/>
      <c r="S100" s="35">
        <f t="shared" si="52"/>
        <v>1</v>
      </c>
      <c r="T100" s="50" t="str">
        <f t="shared" si="5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14:22:49-700',mode:absolute,to:'2016-11-17 17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0" s="52" t="str">
        <f t="shared" si="55"/>
        <v>N</v>
      </c>
      <c r="X100" s="177">
        <f t="shared" si="63"/>
        <v>1</v>
      </c>
      <c r="Y100" s="67">
        <f t="shared" si="56"/>
        <v>23.3034</v>
      </c>
      <c r="Z100" s="67">
        <f t="shared" si="57"/>
        <v>1.54E-2</v>
      </c>
      <c r="AA100" s="67">
        <f t="shared" si="58"/>
        <v>23.288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59"/>
        <v>0188-17</v>
      </c>
      <c r="AE100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00" s="88" t="str">
        <f t="shared" si="61"/>
        <v>"C:\Program Files (x86)\AstroGrep\AstroGrep.exe" /spath="%USERPROFILE%\AppData\Local\Temp\OnboardLogs" /stypes="app*4004*20161117*" /stext=" 23:.+((SYSTEM_STATE.+slice.+state.+changed )|(ment ac)|(system.+state.+changed )|(\[timeout)|(PRM\|1\|D)|(kpr)|(kdp)|(\|lc)|(penalty))" /e /r /s</v>
      </c>
      <c r="AG100" s="1" t="str">
        <f t="shared" si="62"/>
        <v>EC</v>
      </c>
      <c r="AH100" s="92" t="str">
        <f t="shared" si="64"/>
        <v>"%USERPROFILE%\Documents\GitHub\eaglep3\Utilities\RefineRTDCRunTimes.py" --tripid 188-17 --locoid 4004 --swversion DE.1.0.8.0 --startMP 204:233034 --initTime 2016-11-17T15:22:49 --startdatetime 2016-11-17T15:27:24 --delay 3 --endMP 204:154 --enddatetime 2016-11-17T16:06:22 --enforcementcount 0 &gt;&gt;C:\Users\stu\Documents\GitHub\eaglep3-reporting\EC\2016-11-17-refined-times.txt</v>
      </c>
      <c r="AI10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{"issue":{"subject":"","project_id":79,"tracker_id":40,"status_id":1,"priority_id":2,"assigned_to_id":23,"start_date":"2016-11-17","description":"","custom_fields":[{"id":1,"name":"Subdivision","value":"EC"},{"id":4,"name":"Milepost","value":"0.0154"},{"id":17,"name":"Train ID","value":"188-17"},{"id":16,"name":"Locomotive ID","value":"4004"},{"id":130,"name":"Impact","value":""},{"id":150,"name":"Time of Event (Mountain Time)","value":"16:06:22"},{"id":151,"name":"Denver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542</v>
      </c>
      <c r="B101" s="7">
        <v>4014</v>
      </c>
      <c r="C101" s="22" t="s">
        <v>220</v>
      </c>
      <c r="D101" s="22" t="s">
        <v>218</v>
      </c>
      <c r="E101" s="13">
        <v>42691.609965277778</v>
      </c>
      <c r="F101" s="13">
        <v>42691.614768518521</v>
      </c>
      <c r="G101" s="7">
        <v>2</v>
      </c>
      <c r="H101" s="22" t="s">
        <v>685</v>
      </c>
      <c r="I101" s="13">
        <v>42691.641435185185</v>
      </c>
      <c r="J101" s="7">
        <v>0</v>
      </c>
      <c r="K101" s="109" t="str">
        <f t="shared" si="49"/>
        <v>4013/4014</v>
      </c>
      <c r="L101" s="22" t="str">
        <f>VLOOKUP(A101,'Trips&amp;Operators'!$C$1:$E$10000,3,FALSE)</f>
        <v>SHOOK</v>
      </c>
      <c r="M101" s="6">
        <f t="shared" si="50"/>
        <v>2.6666666664823424E-2</v>
      </c>
      <c r="N101" s="7">
        <f t="shared" si="51"/>
        <v>38.399999997345731</v>
      </c>
      <c r="O101" s="7"/>
      <c r="P101" s="7"/>
      <c r="Q101" s="23"/>
      <c r="R101" s="23"/>
      <c r="S101" s="35">
        <f t="shared" si="52"/>
        <v>1</v>
      </c>
      <c r="T101" s="50" t="str">
        <f t="shared" si="5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13:38:21-700',mode:absolute,to:'2016-11-17 16:23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55"/>
        <v>N</v>
      </c>
      <c r="X101" s="177">
        <f t="shared" si="63"/>
        <v>1</v>
      </c>
      <c r="Y101" s="67">
        <f t="shared" si="56"/>
        <v>4.5699999999999998E-2</v>
      </c>
      <c r="Z101" s="67">
        <f t="shared" si="57"/>
        <v>23.333600000000001</v>
      </c>
      <c r="AA101" s="67">
        <f t="shared" si="58"/>
        <v>23.2879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59"/>
        <v>0189-17</v>
      </c>
      <c r="AE101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01" s="88" t="str">
        <f t="shared" si="61"/>
        <v>"C:\Program Files (x86)\AstroGrep\AstroGrep.exe" /spath="%USERPROFILE%\AppData\Local\Temp\OnboardLogs" /stypes="app*4014*20161117*" /stext=" 22:.+((SYSTEM_STATE.+slice.+state.+changed )|(ment ac)|(system.+state.+changed )|(\[timeout)|(PRM\|1\|D)|(kpr)|(kdp)|(\|lc)|(penalty))" /e /r /s</v>
      </c>
      <c r="AG101" s="1" t="str">
        <f t="shared" si="62"/>
        <v>EC</v>
      </c>
      <c r="AH101" s="92" t="str">
        <f t="shared" si="64"/>
        <v>"%USERPROFILE%\Documents\GitHub\eaglep3\Utilities\RefineRTDCRunTimes.py" --tripid 189-17 --locoid 4014 --swversion DE.1.0.8.0 --startMP 204:457 --initTime 2016-11-17T14:38:21 --startdatetime 2016-11-17T14:45:16 --delay 2 --endMP 204:233336 --enddatetime 2016-11-17T15:23:40 --enforcementcount 0 &gt;&gt;C:\Users\stu\Documents\GitHub\eaglep3-reporting\EC\2016-11-17-refined-times.txt</v>
      </c>
      <c r="AI10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{"issue":{"subject":"","project_id":79,"tracker_id":40,"status_id":1,"priority_id":2,"assigned_to_id":23,"start_date":"2016-11-17","description":"","custom_fields":[{"id":1,"name":"Subdivision","value":"EC"},{"id":4,"name":"Milepost","value":"23.3336"},{"id":17,"name":"Train ID","value":"189-17"},{"id":16,"name":"Locomotive ID","value":"4014"},{"id":130,"name":"Impact","value":""},{"id":150,"name":"Time of Event (Mountain Time)","value":"15:23:40"},{"id":151,"name":"Denver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550</v>
      </c>
      <c r="B102" s="7">
        <v>4013</v>
      </c>
      <c r="C102" s="22" t="s">
        <v>220</v>
      </c>
      <c r="D102" s="22" t="s">
        <v>686</v>
      </c>
      <c r="E102" s="13">
        <v>42691.647766203707</v>
      </c>
      <c r="F102" s="13">
        <v>42691.653680555559</v>
      </c>
      <c r="G102" s="7">
        <v>1</v>
      </c>
      <c r="H102" s="22" t="s">
        <v>327</v>
      </c>
      <c r="I102" s="13">
        <v>42691.681215277778</v>
      </c>
      <c r="J102" s="7">
        <v>0</v>
      </c>
      <c r="K102" s="109" t="str">
        <f t="shared" si="49"/>
        <v>4013/4014</v>
      </c>
      <c r="L102" s="22" t="str">
        <f>VLOOKUP(A102,'Trips&amp;Operators'!$C$1:$E$10000,3,FALSE)</f>
        <v>SHOOK</v>
      </c>
      <c r="M102" s="6">
        <f t="shared" si="50"/>
        <v>2.753472221957054E-2</v>
      </c>
      <c r="N102" s="7">
        <f t="shared" si="51"/>
        <v>39.649999996181577</v>
      </c>
      <c r="O102" s="7"/>
      <c r="P102" s="7"/>
      <c r="Q102" s="23"/>
      <c r="R102" s="23"/>
      <c r="S102" s="35">
        <f t="shared" si="52"/>
        <v>1</v>
      </c>
      <c r="T102" s="50" t="str">
        <f t="shared" si="5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14:32:47-700',mode:absolute,to:'2016-11-17 17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55"/>
        <v>N</v>
      </c>
      <c r="X102" s="177">
        <f t="shared" si="63"/>
        <v>1</v>
      </c>
      <c r="Y102" s="67">
        <f t="shared" si="56"/>
        <v>23.3049</v>
      </c>
      <c r="Z102" s="67">
        <f t="shared" si="57"/>
        <v>1.4500000000000001E-2</v>
      </c>
      <c r="AA102" s="67">
        <f t="shared" si="58"/>
        <v>23.290399999999998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59"/>
        <v>0190-17</v>
      </c>
      <c r="AE102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02" s="88" t="str">
        <f t="shared" si="61"/>
        <v>"C:\Program Files (x86)\AstroGrep\AstroGrep.exe" /spath="%USERPROFILE%\AppData\Local\Temp\OnboardLogs" /stypes="app*4013*20161117*" /stext=" 23:.+((SYSTEM_STATE.+slice.+state.+changed )|(ment ac)|(system.+state.+changed )|(\[timeout)|(PRM\|1\|D)|(kpr)|(kdp)|(\|lc)|(penalty))" /e /r /s</v>
      </c>
      <c r="AG102" s="1" t="str">
        <f t="shared" si="62"/>
        <v>EC</v>
      </c>
      <c r="AH102" s="92" t="str">
        <f t="shared" si="64"/>
        <v>"%USERPROFILE%\Documents\GitHub\eaglep3\Utilities\RefineRTDCRunTimes.py" --tripid 190-17 --locoid 4013 --swversion DE.1.0.8.0 --startMP 204:233049 --initTime 2016-11-17T15:32:47 --startdatetime 2016-11-17T15:41:18 --delay 1 --endMP 204:145 --enddatetime 2016-11-17T16:20:57 --enforcementcount 0 &gt;&gt;C:\Users\stu\Documents\GitHub\eaglep3-reporting\EC\2016-11-17-refined-times.txt</v>
      </c>
      <c r="AI10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ID","value":"190-17"},{"id":16,"name":"Locomotive ID","value":"4013"},{"id":130,"name":"Impact","value":""},{"id":150,"name":"Time of Event (Mountain Time)","value":"16:20:57"},{"id":151,"name":"Denver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544</v>
      </c>
      <c r="B103" s="7">
        <v>4038</v>
      </c>
      <c r="C103" s="22" t="s">
        <v>220</v>
      </c>
      <c r="D103" s="22" t="s">
        <v>201</v>
      </c>
      <c r="E103" s="13">
        <v>42691.62128472222</v>
      </c>
      <c r="F103" s="13">
        <v>42691.625358796293</v>
      </c>
      <c r="G103" s="7">
        <v>1</v>
      </c>
      <c r="H103" s="22" t="s">
        <v>370</v>
      </c>
      <c r="I103" s="13">
        <v>42691.651238425926</v>
      </c>
      <c r="J103" s="7">
        <v>0</v>
      </c>
      <c r="K103" s="109" t="str">
        <f t="shared" si="49"/>
        <v>4037/4038</v>
      </c>
      <c r="L103" s="22" t="str">
        <f>VLOOKUP(A103,'Trips&amp;Operators'!$C$1:$E$10000,3,FALSE)</f>
        <v>JOHNSON</v>
      </c>
      <c r="M103" s="6">
        <f t="shared" si="50"/>
        <v>2.587962963298196E-2</v>
      </c>
      <c r="N103" s="7">
        <f t="shared" si="51"/>
        <v>37.266666671494022</v>
      </c>
      <c r="O103" s="7"/>
      <c r="P103" s="7"/>
      <c r="Q103" s="23"/>
      <c r="R103" s="23"/>
      <c r="S103" s="35">
        <f t="shared" si="52"/>
        <v>1</v>
      </c>
      <c r="T103" s="50" t="str">
        <f t="shared" si="5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13:54:39-700',mode:absolute,to:'2016-11-17 16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3" s="52" t="str">
        <f t="shared" si="55"/>
        <v>N</v>
      </c>
      <c r="X103" s="177">
        <f t="shared" si="63"/>
        <v>1</v>
      </c>
      <c r="Y103" s="67">
        <f t="shared" si="56"/>
        <v>4.5100000000000001E-2</v>
      </c>
      <c r="Z103" s="67">
        <f t="shared" si="57"/>
        <v>23.331800000000001</v>
      </c>
      <c r="AA103" s="67">
        <f t="shared" si="58"/>
        <v>23.2867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59"/>
        <v>0191-17</v>
      </c>
      <c r="AE103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03" s="88" t="str">
        <f t="shared" si="61"/>
        <v>"C:\Program Files (x86)\AstroGrep\AstroGrep.exe" /spath="%USERPROFILE%\AppData\Local\Temp\OnboardLogs" /stypes="app*4038*20161117*" /stext=" 22:.+((SYSTEM_STATE.+slice.+state.+changed )|(ment ac)|(system.+state.+changed )|(\[timeout)|(PRM\|1\|D)|(kpr)|(kdp)|(\|lc)|(penalty))" /e /r /s</v>
      </c>
      <c r="AG103" s="1" t="str">
        <f t="shared" si="62"/>
        <v>EC</v>
      </c>
      <c r="AH103" s="92" t="str">
        <f t="shared" si="64"/>
        <v>"%USERPROFILE%\Documents\GitHub\eaglep3\Utilities\RefineRTDCRunTimes.py" --tripid 191-17 --locoid 4038 --swversion DE.1.0.8.0 --startMP 204:451 --initTime 2016-11-17T14:54:39 --startdatetime 2016-11-17T15:00:31 --delay 1 --endMP 204:233318 --enddatetime 2016-11-17T15:37:47 --enforcementcount 0 &gt;&gt;C:\Users\stu\Documents\GitHub\eaglep3-reporting\EC\2016-11-17-refined-times.txt</v>
      </c>
      <c r="AI10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{"issue":{"subject":"","project_id":79,"tracker_id":40,"status_id":1,"priority_id":2,"assigned_to_id":23,"start_date":"2016-11-17","description":"","custom_fields":[{"id":1,"name":"Subdivision","value":"EC"},{"id":4,"name":"Milepost","value":"23.3318"},{"id":17,"name":"Train ID","value":"191-17"},{"id":16,"name":"Locomotive ID","value":"4038"},{"id":130,"name":"Impact","value":""},{"id":150,"name":"Time of Event (Mountain Time)","value":"15:37:47"},{"id":151,"name":"Denver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555</v>
      </c>
      <c r="B104" s="7">
        <v>4037</v>
      </c>
      <c r="C104" s="22" t="s">
        <v>220</v>
      </c>
      <c r="D104" s="22" t="s">
        <v>273</v>
      </c>
      <c r="E104" s="13">
        <v>42691.659942129627</v>
      </c>
      <c r="F104" s="13">
        <v>42691.664236111108</v>
      </c>
      <c r="G104" s="7">
        <v>1</v>
      </c>
      <c r="H104" s="22" t="s">
        <v>196</v>
      </c>
      <c r="I104" s="13">
        <v>42691.69326388889</v>
      </c>
      <c r="J104" s="7">
        <v>0</v>
      </c>
      <c r="K104" s="109" t="str">
        <f t="shared" si="49"/>
        <v>4037/4038</v>
      </c>
      <c r="L104" s="22" t="str">
        <f>VLOOKUP(A104,'Trips&amp;Operators'!$C$1:$E$10000,3,FALSE)</f>
        <v>JOHNSON</v>
      </c>
      <c r="M104" s="6">
        <f t="shared" si="50"/>
        <v>2.902777778217569E-2</v>
      </c>
      <c r="N104" s="7">
        <f t="shared" si="51"/>
        <v>41.800000006332994</v>
      </c>
      <c r="O104" s="7"/>
      <c r="P104" s="7"/>
      <c r="Q104" s="23"/>
      <c r="R104" s="23"/>
      <c r="S104" s="35">
        <f t="shared" si="52"/>
        <v>1</v>
      </c>
      <c r="T104" s="50" t="str">
        <f t="shared" si="5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14:50:19-700',mode:absolute,to:'2016-11-17 17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4" s="52" t="str">
        <f t="shared" si="55"/>
        <v>N</v>
      </c>
      <c r="X104" s="177">
        <f t="shared" si="63"/>
        <v>1</v>
      </c>
      <c r="Y104" s="67">
        <f t="shared" si="56"/>
        <v>23.297999999999998</v>
      </c>
      <c r="Z104" s="67">
        <f t="shared" si="57"/>
        <v>1.49E-2</v>
      </c>
      <c r="AA104" s="67">
        <f t="shared" si="58"/>
        <v>23.283099999999997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59"/>
        <v>0192-17</v>
      </c>
      <c r="AE104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04" s="88" t="str">
        <f t="shared" si="61"/>
        <v>"C:\Program Files (x86)\AstroGrep\AstroGrep.exe" /spath="%USERPROFILE%\AppData\Local\Temp\OnboardLogs" /stypes="app*4037*20161117*" /stext=" 23:.+((SYSTEM_STATE.+slice.+state.+changed )|(ment ac)|(system.+state.+changed )|(\[timeout)|(PRM\|1\|D)|(kpr)|(kdp)|(\|lc)|(penalty))" /e /r /s</v>
      </c>
      <c r="AG104" s="1" t="str">
        <f t="shared" si="62"/>
        <v>EC</v>
      </c>
      <c r="AH104" s="92" t="str">
        <f t="shared" si="64"/>
        <v>"%USERPROFILE%\Documents\GitHub\eaglep3\Utilities\RefineRTDCRunTimes.py" --tripid 192-17 --locoid 4037 --swversion DE.1.0.8.0 --startMP 204:232980 --initTime 2016-11-17T15:50:19 --startdatetime 2016-11-17T15:56:30 --delay 1 --endMP 204:149 --enddatetime 2016-11-17T16:38:18 --enforcementcount 0 &gt;&gt;C:\Users\stu\Documents\GitHub\eaglep3-reporting\EC\2016-11-17-refined-times.txt</v>
      </c>
      <c r="AI10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ID","value":"192-17"},{"id":16,"name":"Locomotive ID","value":"4037"},{"id":130,"name":"Impact","value":""},{"id":150,"name":"Time of Event (Mountain Time)","value":"16:38:18"},{"id":151,"name":"Denver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546</v>
      </c>
      <c r="B105" s="7">
        <v>4042</v>
      </c>
      <c r="C105" s="22" t="s">
        <v>220</v>
      </c>
      <c r="D105" s="22" t="s">
        <v>377</v>
      </c>
      <c r="E105" s="13">
        <v>42691.633333333331</v>
      </c>
      <c r="F105" s="13">
        <v>42691.635763888888</v>
      </c>
      <c r="G105" s="7">
        <v>1</v>
      </c>
      <c r="H105" s="22" t="s">
        <v>187</v>
      </c>
      <c r="I105" s="13">
        <v>42691.661481481482</v>
      </c>
      <c r="J105" s="7">
        <v>0</v>
      </c>
      <c r="K105" s="109" t="str">
        <f t="shared" si="49"/>
        <v>4041/4042</v>
      </c>
      <c r="L105" s="22" t="str">
        <f>VLOOKUP(A105,'Trips&amp;Operators'!$C$1:$E$10000,3,FALSE)</f>
        <v>LALONDE</v>
      </c>
      <c r="M105" s="6">
        <f t="shared" si="50"/>
        <v>2.5717592594446614E-2</v>
      </c>
      <c r="N105" s="7">
        <f t="shared" si="51"/>
        <v>37.033333336003125</v>
      </c>
      <c r="O105" s="7"/>
      <c r="P105" s="7"/>
      <c r="Q105" s="23"/>
      <c r="R105" s="23"/>
      <c r="S105" s="35">
        <f t="shared" si="52"/>
        <v>1</v>
      </c>
      <c r="T105" s="50" t="str">
        <f t="shared" si="5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14:12:00-700',mode:absolute,to:'2016-11-17 16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55"/>
        <v>N</v>
      </c>
      <c r="X105" s="177">
        <f t="shared" si="63"/>
        <v>1</v>
      </c>
      <c r="Y105" s="67">
        <f t="shared" si="56"/>
        <v>4.9299999999999997E-2</v>
      </c>
      <c r="Z105" s="67">
        <f t="shared" si="57"/>
        <v>23.329699999999999</v>
      </c>
      <c r="AA105" s="67">
        <f t="shared" si="58"/>
        <v>23.2804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59"/>
        <v>0193-17</v>
      </c>
      <c r="AE105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105" s="88" t="str">
        <f t="shared" si="61"/>
        <v>"C:\Program Files (x86)\AstroGrep\AstroGrep.exe" /spath="%USERPROFILE%\AppData\Local\Temp\OnboardLogs" /stypes="app*4042*20161117*" /stext=" 22:.+((SYSTEM_STATE.+slice.+state.+changed )|(ment ac)|(system.+state.+changed )|(\[timeout)|(PRM\|1\|D)|(kpr)|(kdp)|(\|lc)|(penalty))" /e /r /s</v>
      </c>
      <c r="AG105" s="1" t="str">
        <f t="shared" si="62"/>
        <v>EC</v>
      </c>
      <c r="AH105" s="92" t="str">
        <f t="shared" si="64"/>
        <v>"%USERPROFILE%\Documents\GitHub\eaglep3\Utilities\RefineRTDCRunTimes.py" --tripid 193-17 --locoid 4042 --swversion DE.1.0.8.0 --startMP 204:493 --initTime 2016-11-17T15:12:00 --startdatetime 2016-11-17T15:15:30 --delay 1 --endMP 204:233297 --enddatetime 2016-11-17T15:52:32 --enforcementcount 0 &gt;&gt;C:\Users\stu\Documents\GitHub\eaglep3-reporting\EC\2016-11-17-refined-times.txt</v>
      </c>
      <c r="AI10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ID","value":"193-17"},{"id":16,"name":"Locomotive ID","value":"4042"},{"id":130,"name":"Impact","value":""},{"id":150,"name":"Time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556</v>
      </c>
      <c r="B106" s="7">
        <v>4041</v>
      </c>
      <c r="C106" s="22" t="s">
        <v>220</v>
      </c>
      <c r="D106" s="22" t="s">
        <v>369</v>
      </c>
      <c r="E106" s="13">
        <v>42691.663055555553</v>
      </c>
      <c r="F106" s="13">
        <v>42691.674513888887</v>
      </c>
      <c r="G106" s="7">
        <v>1</v>
      </c>
      <c r="H106" s="22" t="s">
        <v>212</v>
      </c>
      <c r="I106" s="13">
        <v>42691.702407407407</v>
      </c>
      <c r="J106" s="7">
        <v>0</v>
      </c>
      <c r="K106" s="109" t="str">
        <f t="shared" si="49"/>
        <v>4041/4042</v>
      </c>
      <c r="L106" s="22" t="str">
        <f>VLOOKUP(A106,'Trips&amp;Operators'!$C$1:$E$10000,3,FALSE)</f>
        <v>LALONDE</v>
      </c>
      <c r="M106" s="6">
        <f t="shared" si="50"/>
        <v>2.789351851970423E-2</v>
      </c>
      <c r="N106" s="7">
        <f t="shared" si="51"/>
        <v>40.166666668374091</v>
      </c>
      <c r="O106" s="7"/>
      <c r="P106" s="7"/>
      <c r="Q106" s="23"/>
      <c r="R106" s="23"/>
      <c r="S106" s="35">
        <f t="shared" si="52"/>
        <v>1</v>
      </c>
      <c r="T106" s="50" t="str">
        <f t="shared" si="5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14:54:48-700',mode:absolute,to:'2016-11-17 17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55"/>
        <v>N</v>
      </c>
      <c r="X106" s="177">
        <f t="shared" si="63"/>
        <v>1</v>
      </c>
      <c r="Y106" s="67">
        <f t="shared" si="56"/>
        <v>23.299299999999999</v>
      </c>
      <c r="Z106" s="67">
        <f t="shared" si="57"/>
        <v>1.5599999999999999E-2</v>
      </c>
      <c r="AA106" s="67">
        <f t="shared" si="58"/>
        <v>23.2837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59"/>
        <v>0194-17</v>
      </c>
      <c r="AE106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106" s="88" t="str">
        <f t="shared" si="61"/>
        <v>"C:\Program Files (x86)\AstroGrep\AstroGrep.exe" /spath="%USERPROFILE%\AppData\Local\Temp\OnboardLogs" /stypes="app*4041*20161117*" /stext=" 23:.+((SYSTEM_STATE.+slice.+state.+changed )|(ment ac)|(system.+state.+changed )|(\[timeout)|(PRM\|1\|D)|(kpr)|(kdp)|(\|lc)|(penalty))" /e /r /s</v>
      </c>
      <c r="AG106" s="1" t="str">
        <f t="shared" si="62"/>
        <v>EC</v>
      </c>
      <c r="AH106" s="92" t="str">
        <f t="shared" si="64"/>
        <v>"%USERPROFILE%\Documents\GitHub\eaglep3\Utilities\RefineRTDCRunTimes.py" --tripid 194-17 --locoid 4041 --swversion DE.1.0.8.0 --startMP 204:232993 --initTime 2016-11-17T15:54:48 --startdatetime 2016-11-17T16:11:18 --delay 1 --endMP 204:156 --enddatetime 2016-11-17T16:51:28 --enforcementcount 0 &gt;&gt;C:\Users\stu\Documents\GitHub\eaglep3-reporting\EC\2016-11-17-refined-times.txt</v>
      </c>
      <c r="AI10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ID","value":"194-17"},{"id":16,"name":"Locomotive ID","value":"4041"},{"id":130,"name":"Impact","value":""},{"id":150,"name":"Time of Event (Mountain Time)","value":"16:51:28"},{"id":151,"name":"Denver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441</v>
      </c>
      <c r="B107" s="7">
        <v>4011</v>
      </c>
      <c r="C107" s="22" t="s">
        <v>220</v>
      </c>
      <c r="D107" s="22" t="s">
        <v>687</v>
      </c>
      <c r="E107" s="13">
        <v>42691.641805555555</v>
      </c>
      <c r="F107" s="13">
        <v>42691.646168981482</v>
      </c>
      <c r="G107" s="7">
        <v>1</v>
      </c>
      <c r="H107" s="22" t="s">
        <v>688</v>
      </c>
      <c r="I107" s="13">
        <v>42691.672500000001</v>
      </c>
      <c r="J107" s="7">
        <v>0</v>
      </c>
      <c r="K107" s="109" t="str">
        <f t="shared" si="49"/>
        <v>4011/4012</v>
      </c>
      <c r="L107" s="22" t="str">
        <f>VLOOKUP(A107,'Trips&amp;Operators'!$C$1:$E$10000,3,FALSE)</f>
        <v>HILLS</v>
      </c>
      <c r="M107" s="6">
        <f t="shared" si="50"/>
        <v>2.6331018518249039E-2</v>
      </c>
      <c r="N107" s="7">
        <f t="shared" si="51"/>
        <v>37.916666666278616</v>
      </c>
      <c r="O107" s="7"/>
      <c r="P107" s="7"/>
      <c r="Q107" s="23"/>
      <c r="R107" s="23"/>
      <c r="S107" s="35">
        <f t="shared" si="52"/>
        <v>1</v>
      </c>
      <c r="T107" s="50" t="str">
        <f t="shared" si="5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14:24:12-700',mode:absolute,to:'2016-11-17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7" s="52" t="str">
        <f t="shared" si="55"/>
        <v>N</v>
      </c>
      <c r="X107" s="177">
        <f t="shared" si="63"/>
        <v>1</v>
      </c>
      <c r="Y107" s="67">
        <f t="shared" si="56"/>
        <v>0.04</v>
      </c>
      <c r="Z107" s="67">
        <f t="shared" si="57"/>
        <v>23.336400000000001</v>
      </c>
      <c r="AA107" s="67">
        <f t="shared" si="58"/>
        <v>23.296400000000002</v>
      </c>
      <c r="AB107" s="64" t="str">
        <f>VLOOKUP(A107,Enforcements!$C$7:$K$20,8,0)</f>
        <v>Speed (6)</v>
      </c>
      <c r="AC107" s="60" t="str">
        <f>VLOOKUP(A107,Enforcements!$C$7:$E$20,3,0)</f>
        <v>EQUIPMENT RESTRICTION</v>
      </c>
      <c r="AD107" s="61" t="str">
        <f t="shared" si="59"/>
        <v>0195-17</v>
      </c>
      <c r="AE107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107" s="88" t="str">
        <f t="shared" si="61"/>
        <v>"C:\Program Files (x86)\AstroGrep\AstroGrep.exe" /spath="%USERPROFILE%\AppData\Local\Temp\OnboardLogs" /stypes="app*4011*20161117*" /stext=" 23:.+((SYSTEM_STATE.+slice.+state.+changed )|(ment ac)|(system.+state.+changed )|(\[timeout)|(PRM\|1\|D)|(kpr)|(kdp)|(\|lc)|(penalty))" /e /r /s</v>
      </c>
      <c r="AG107" s="1" t="str">
        <f t="shared" si="62"/>
        <v>EC</v>
      </c>
      <c r="AH107" s="92" t="str">
        <f t="shared" si="64"/>
        <v>"%USERPROFILE%\Documents\GitHub\eaglep3\Utilities\RefineRTDCRunTimes.py" --tripid 195-17 --locoid 4011 --swversion DE.1.0.8.0 --startMP 204:400 --initTime 2016-11-17T15:24:12 --startdatetime 2016-11-17T15:30:29 --delay 1 --endMP 204:233364 --enddatetime 2016-11-17T16:08:24 --enforcementcount 0 &gt;&gt;C:\Users\stu\Documents\GitHub\eaglep3-reporting\EC\2016-11-17-refined-times.txt</v>
      </c>
      <c r="AI10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{"issue":{"subject":"","project_id":79,"tracker_id":40,"status_id":1,"priority_id":2,"assigned_to_id":23,"start_date":"2016-11-17","description":"","custom_fields":[{"id":1,"name":"Subdivision","value":"EC"},{"id":4,"name":"Milepost","value":"23.3364"},{"id":17,"name":"Train ID","value":"195-17"},{"id":16,"name":"Locomotive ID","value":"4011"},{"id":130,"name":"Impact","value":""},{"id":150,"name":"Time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560</v>
      </c>
      <c r="B108" s="7">
        <v>4012</v>
      </c>
      <c r="C108" s="22" t="s">
        <v>220</v>
      </c>
      <c r="D108" s="22" t="s">
        <v>328</v>
      </c>
      <c r="E108" s="13">
        <v>42691.674884259257</v>
      </c>
      <c r="F108" s="13">
        <v>42691.685162037036</v>
      </c>
      <c r="G108" s="7">
        <v>1</v>
      </c>
      <c r="H108" s="22" t="s">
        <v>197</v>
      </c>
      <c r="I108" s="13">
        <v>42691.721666666665</v>
      </c>
      <c r="J108" s="7">
        <v>0</v>
      </c>
      <c r="K108" s="109" t="str">
        <f t="shared" si="49"/>
        <v>4011/4012</v>
      </c>
      <c r="L108" s="22" t="str">
        <f>VLOOKUP(A108,'Trips&amp;Operators'!$C$1:$E$10000,3,FALSE)</f>
        <v>HILLS</v>
      </c>
      <c r="M108" s="6">
        <f t="shared" si="50"/>
        <v>3.6504629628325347E-2</v>
      </c>
      <c r="N108" s="7">
        <f t="shared" si="51"/>
        <v>52.566666664788499</v>
      </c>
      <c r="O108" s="7"/>
      <c r="P108" s="7"/>
      <c r="Q108" s="23"/>
      <c r="R108" s="23"/>
      <c r="S108" s="35">
        <f t="shared" si="52"/>
        <v>1</v>
      </c>
      <c r="T108" s="50" t="str">
        <f t="shared" si="5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15:11:50-700',mode:absolute,to:'2016-11-17 18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8" s="52" t="str">
        <f t="shared" si="55"/>
        <v>N</v>
      </c>
      <c r="X108" s="177">
        <f t="shared" si="63"/>
        <v>1</v>
      </c>
      <c r="Y108" s="67">
        <f t="shared" si="56"/>
        <v>23.3017</v>
      </c>
      <c r="Z108" s="67">
        <f t="shared" si="57"/>
        <v>1.43E-2</v>
      </c>
      <c r="AA108" s="67">
        <f t="shared" si="58"/>
        <v>23.287400000000002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59"/>
        <v>0196-17</v>
      </c>
      <c r="AE108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108" s="88" t="str">
        <f t="shared" si="61"/>
        <v>"C:\Program Files (x86)\AstroGrep\AstroGrep.exe" /spath="%USERPROFILE%\AppData\Local\Temp\OnboardLogs" /stypes="app*4012*20161118*" /stext=" 00:.+((SYSTEM_STATE.+slice.+state.+changed )|(ment ac)|(system.+state.+changed )|(\[timeout)|(PRM\|1\|D)|(kpr)|(kdp)|(\|lc)|(penalty))" /e /r /s</v>
      </c>
      <c r="AG108" s="1" t="str">
        <f t="shared" si="62"/>
        <v>EC</v>
      </c>
      <c r="AH108" s="92" t="str">
        <f t="shared" si="64"/>
        <v>"%USERPROFILE%\Documents\GitHub\eaglep3\Utilities\RefineRTDCRunTimes.py" --tripid 196-17 --locoid 4012 --swversion DE.1.0.8.0 --startMP 204:233017 --initTime 2016-11-17T16:11:50 --startdatetime 2016-11-17T16:26:38 --delay 1 --endMP 204:143 --enddatetime 2016-11-17T17:19:12 --enforcementcount 0 &gt;&gt;C:\Users\stu\Documents\GitHub\eaglep3-reporting\EC\2016-11-17-refined-times.txt</v>
      </c>
      <c r="AI10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ID","value":"196-17"},{"id":16,"name":"Locomotive ID","value":"4012"},{"id":130,"name":"Impact","value":""},{"id":150,"name":"Time of Event (Mountain Time)","value":"17:19:12"},{"id":151,"name":"Denver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553</v>
      </c>
      <c r="B109" s="7">
        <v>4002</v>
      </c>
      <c r="C109" s="22" t="s">
        <v>220</v>
      </c>
      <c r="D109" s="22" t="s">
        <v>689</v>
      </c>
      <c r="E109" s="13">
        <v>42691.651944444442</v>
      </c>
      <c r="F109" s="13">
        <v>42691.656805555554</v>
      </c>
      <c r="G109" s="7">
        <v>1</v>
      </c>
      <c r="H109" s="22" t="s">
        <v>685</v>
      </c>
      <c r="I109" s="13">
        <v>42691.681666666664</v>
      </c>
      <c r="J109" s="7">
        <v>0</v>
      </c>
      <c r="K109" s="109" t="str">
        <f t="shared" si="49"/>
        <v>4001/4002</v>
      </c>
      <c r="L109" s="22" t="str">
        <f>VLOOKUP(A109,'Trips&amp;Operators'!$C$1:$E$10000,3,FALSE)</f>
        <v>ADANE</v>
      </c>
      <c r="M109" s="6">
        <f t="shared" si="50"/>
        <v>2.4861111109203193E-2</v>
      </c>
      <c r="N109" s="7">
        <f t="shared" si="51"/>
        <v>35.799999997252598</v>
      </c>
      <c r="O109" s="7"/>
      <c r="P109" s="7"/>
      <c r="Q109" s="23"/>
      <c r="R109" s="23"/>
      <c r="S109" s="35">
        <f t="shared" si="52"/>
        <v>1</v>
      </c>
      <c r="T109" s="50" t="str">
        <f t="shared" si="5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14:38:48-700',mode:absolute,to:'2016-11-17 17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9" s="52" t="str">
        <f t="shared" si="55"/>
        <v>N</v>
      </c>
      <c r="X109" s="177">
        <f t="shared" si="63"/>
        <v>1</v>
      </c>
      <c r="Y109" s="67">
        <f t="shared" si="56"/>
        <v>4.8899999999999999E-2</v>
      </c>
      <c r="Z109" s="67">
        <f t="shared" si="57"/>
        <v>23.333600000000001</v>
      </c>
      <c r="AA109" s="67">
        <f t="shared" si="58"/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59"/>
        <v>0197-17</v>
      </c>
      <c r="AE109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09" s="88" t="str">
        <f t="shared" si="61"/>
        <v>"C:\Program Files (x86)\AstroGrep\AstroGrep.exe" /spath="%USERPROFILE%\AppData\Local\Temp\OnboardLogs" /stypes="app*4002*20161117*" /stext=" 23:.+((SYSTEM_STATE.+slice.+state.+changed )|(ment ac)|(system.+state.+changed )|(\[timeout)|(PRM\|1\|D)|(kpr)|(kdp)|(\|lc)|(penalty))" /e /r /s</v>
      </c>
      <c r="AG109" s="1" t="str">
        <f t="shared" si="62"/>
        <v>EC</v>
      </c>
      <c r="AH109" s="92" t="str">
        <f t="shared" si="64"/>
        <v>"%USERPROFILE%\Documents\GitHub\eaglep3\Utilities\RefineRTDCRunTimes.py" --tripid 197-17 --locoid 4002 --swversion DE.1.0.8.0 --startMP 204:489 --initTime 2016-11-17T15:38:48 --startdatetime 2016-11-17T15:45:48 --delay 1 --endMP 204:233336 --enddatetime 2016-11-17T16:21:36 --enforcementcount 0 &gt;&gt;C:\Users\stu\Documents\GitHub\eaglep3-reporting\EC\2016-11-17-refined-times.txt</v>
      </c>
      <c r="AI10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{"issue":{"subject":"","project_id":79,"tracker_id":40,"status_id":1,"priority_id":2,"assigned_to_id":23,"start_date":"2016-11-17","description":"","custom_fields":[{"id":1,"name":"Subdivision","value":"EC"},{"id":4,"name":"Milepost","value":"23.3336"},{"id":17,"name":"Train ID","value":"197-17"},{"id":16,"name":"Locomotive ID","value":"4002"},{"id":130,"name":"Impact","value":""},{"id":150,"name":"Time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562</v>
      </c>
      <c r="B110" s="7">
        <v>4001</v>
      </c>
      <c r="C110" s="22" t="s">
        <v>220</v>
      </c>
      <c r="D110" s="22" t="s">
        <v>302</v>
      </c>
      <c r="E110" s="13">
        <v>42691.683333333334</v>
      </c>
      <c r="F110" s="13">
        <v>42691.703333333331</v>
      </c>
      <c r="G110" s="7">
        <v>1</v>
      </c>
      <c r="H110" s="22" t="s">
        <v>671</v>
      </c>
      <c r="I110" s="13">
        <v>42691.733680555553</v>
      </c>
      <c r="J110" s="7">
        <v>0</v>
      </c>
      <c r="K110" s="109" t="str">
        <f t="shared" si="49"/>
        <v>4001/4002</v>
      </c>
      <c r="L110" s="22" t="str">
        <f>VLOOKUP(A110,'Trips&amp;Operators'!$C$1:$E$10000,3,FALSE)</f>
        <v>ADANE</v>
      </c>
      <c r="M110" s="6">
        <f t="shared" si="50"/>
        <v>3.0347222222189885E-2</v>
      </c>
      <c r="N110" s="7">
        <f t="shared" si="51"/>
        <v>43.699999999953434</v>
      </c>
      <c r="O110" s="7"/>
      <c r="P110" s="7"/>
      <c r="Q110" s="23"/>
      <c r="R110" s="23"/>
      <c r="S110" s="35">
        <f t="shared" si="52"/>
        <v>1</v>
      </c>
      <c r="T110" s="50" t="str">
        <f t="shared" si="5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15:24:00-700',mode:absolute,to:'2016-11-17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0" s="52" t="str">
        <f t="shared" si="55"/>
        <v>N</v>
      </c>
      <c r="X110" s="177">
        <f t="shared" si="63"/>
        <v>1</v>
      </c>
      <c r="Y110" s="67">
        <f t="shared" si="56"/>
        <v>23.300599999999999</v>
      </c>
      <c r="Z110" s="67">
        <f t="shared" si="57"/>
        <v>1.2999999999999999E-2</v>
      </c>
      <c r="AA110" s="67">
        <f t="shared" si="58"/>
        <v>23.287599999999998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59"/>
        <v>0198-17</v>
      </c>
      <c r="AE110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10" s="88" t="str">
        <f t="shared" si="61"/>
        <v>"C:\Program Files (x86)\AstroGrep\AstroGrep.exe" /spath="%USERPROFILE%\AppData\Local\Temp\OnboardLogs" /stypes="app*4001*20161118*" /stext=" 00:.+((SYSTEM_STATE.+slice.+state.+changed )|(ment ac)|(system.+state.+changed )|(\[timeout)|(PRM\|1\|D)|(kpr)|(kdp)|(\|lc)|(penalty))" /e /r /s</v>
      </c>
      <c r="AG110" s="1" t="str">
        <f t="shared" si="62"/>
        <v>EC</v>
      </c>
      <c r="AH110" s="92" t="str">
        <f t="shared" si="64"/>
        <v>"%USERPROFILE%\Documents\GitHub\eaglep3\Utilities\RefineRTDCRunTimes.py" --tripid 198-17 --locoid 4001 --swversion DE.1.0.8.0 --startMP 204:233006 --initTime 2016-11-17T16:24:00 --startdatetime 2016-11-17T16:52:48 --delay 1 --endMP 204:130 --enddatetime 2016-11-17T17:36:30 --enforcementcount 0 &gt;&gt;C:\Users\stu\Documents\GitHub\eaglep3-reporting\EC\2016-11-17-refined-times.txt</v>
      </c>
      <c r="AI11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{"issue":{"subject":"","project_id":79,"tracker_id":40,"status_id":1,"priority_id":2,"assigned_to_id":23,"start_date":"2016-11-17","description":"","custom_fields":[{"id":1,"name":"Subdivision","value":"EC"},{"id":4,"name":"Milepost","value":"0.013"},{"id":17,"name":"Train ID","value":"198-17"},{"id":16,"name":"Locomotive ID","value":"4001"},{"id":130,"name":"Impact","value":""},{"id":150,"name":"Time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7" t="s">
        <v>557</v>
      </c>
      <c r="B111" s="7">
        <v>4031</v>
      </c>
      <c r="C111" s="22" t="s">
        <v>220</v>
      </c>
      <c r="D111" s="22" t="s">
        <v>690</v>
      </c>
      <c r="E111" s="13">
        <v>42691.664212962962</v>
      </c>
      <c r="F111" s="13">
        <v>42691.666863425926</v>
      </c>
      <c r="G111" s="7">
        <v>1</v>
      </c>
      <c r="H111" s="22" t="s">
        <v>305</v>
      </c>
      <c r="I111" s="13">
        <v>42691.69427083333</v>
      </c>
      <c r="J111" s="7">
        <v>0</v>
      </c>
      <c r="K111" s="109" t="str">
        <f t="shared" si="49"/>
        <v>4031/4032</v>
      </c>
      <c r="L111" s="22" t="str">
        <f>VLOOKUP(A111,'Trips&amp;Operators'!$C$1:$E$10000,3,FALSE)</f>
        <v>NICHOLSON</v>
      </c>
      <c r="M111" s="6">
        <f t="shared" si="50"/>
        <v>2.7407407404098194E-2</v>
      </c>
      <c r="N111" s="7">
        <f t="shared" si="51"/>
        <v>39.466666661901399</v>
      </c>
      <c r="O111" s="7"/>
      <c r="P111" s="7"/>
      <c r="Q111" s="23"/>
      <c r="R111" s="23"/>
      <c r="S111" s="35">
        <f t="shared" si="52"/>
        <v>1</v>
      </c>
      <c r="T111" s="50" t="str">
        <f t="shared" si="5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14:56:28-700',mode:absolute,to:'2016-11-17 17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52" t="str">
        <f t="shared" si="55"/>
        <v>N</v>
      </c>
      <c r="X111" s="177">
        <f t="shared" si="63"/>
        <v>1</v>
      </c>
      <c r="Y111" s="67">
        <f t="shared" si="56"/>
        <v>4.2200000000000001E-2</v>
      </c>
      <c r="Z111" s="67">
        <f t="shared" si="57"/>
        <v>23.328800000000001</v>
      </c>
      <c r="AA111" s="67">
        <f t="shared" si="58"/>
        <v>23.2866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59"/>
        <v>0199-17</v>
      </c>
      <c r="AE111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111" s="88" t="str">
        <f t="shared" si="61"/>
        <v>"C:\Program Files (x86)\AstroGrep\AstroGrep.exe" /spath="%USERPROFILE%\AppData\Local\Temp\OnboardLogs" /stypes="app*4031*20161117*" /stext=" 23:.+((SYSTEM_STATE.+slice.+state.+changed )|(ment ac)|(system.+state.+changed )|(\[timeout)|(PRM\|1\|D)|(kpr)|(kdp)|(\|lc)|(penalty))" /e /r /s</v>
      </c>
      <c r="AG111" s="1" t="str">
        <f t="shared" si="62"/>
        <v>EC</v>
      </c>
      <c r="AH111" s="92" t="str">
        <f t="shared" si="64"/>
        <v>"%USERPROFILE%\Documents\GitHub\eaglep3\Utilities\RefineRTDCRunTimes.py" --tripid 199-17 --locoid 4031 --swversion DE.1.0.8.0 --startMP 204:422 --initTime 2016-11-17T15:56:28 --startdatetime 2016-11-17T16:00:17 --delay 1 --endMP 204:233288 --enddatetime 2016-11-17T16:39:45 --enforcementcount 0 &gt;&gt;C:\Users\stu\Documents\GitHub\eaglep3-reporting\EC\2016-11-17-refined-times.txt</v>
      </c>
      <c r="AI11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{"issue":{"subject":"","project_id":79,"tracker_id":40,"status_id":1,"priority_id":2,"assigned_to_id":23,"start_date":"2016-11-17","description":"","custom_fields":[{"id":1,"name":"Subdivision","value":"EC"},{"id":4,"name":"Milepost","value":"23.3288"},{"id":17,"name":"Train ID","value":"199-17"},{"id":16,"name":"Locomotive ID","value":"4031"},{"id":130,"name":"Impact","value":""},{"id":150,"name":"Time of Event (Mountain Time)","value":"16:39:45"},{"id":151,"name":"Denver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566</v>
      </c>
      <c r="B112" s="7">
        <v>4032</v>
      </c>
      <c r="C112" s="22" t="s">
        <v>220</v>
      </c>
      <c r="D112" s="22" t="s">
        <v>304</v>
      </c>
      <c r="E112" s="13">
        <v>42691.699652777781</v>
      </c>
      <c r="F112" s="13">
        <v>42691.70890046296</v>
      </c>
      <c r="G112" s="7">
        <v>1</v>
      </c>
      <c r="H112" s="22" t="s">
        <v>691</v>
      </c>
      <c r="I112" s="13">
        <v>42691.740300925929</v>
      </c>
      <c r="J112" s="7">
        <v>0</v>
      </c>
      <c r="K112" s="109" t="str">
        <f t="shared" si="49"/>
        <v>4031/4032</v>
      </c>
      <c r="L112" s="22" t="str">
        <f>VLOOKUP(A112,'Trips&amp;Operators'!$C$1:$E$10000,3,FALSE)</f>
        <v>NICHOLSON</v>
      </c>
      <c r="M112" s="6">
        <f t="shared" si="50"/>
        <v>3.1400462969031651E-2</v>
      </c>
      <c r="N112" s="7">
        <f t="shared" si="51"/>
        <v>45.216666675405577</v>
      </c>
      <c r="O112" s="7"/>
      <c r="P112" s="7"/>
      <c r="Q112" s="23"/>
      <c r="R112" s="23"/>
      <c r="S112" s="35">
        <f t="shared" si="52"/>
        <v>1</v>
      </c>
      <c r="T112" s="50" t="str">
        <f t="shared" si="5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15:47:30-700',mode:absolute,to:'2016-11-17 18:46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52" t="str">
        <f t="shared" si="55"/>
        <v>N</v>
      </c>
      <c r="X112" s="177">
        <f t="shared" si="63"/>
        <v>1</v>
      </c>
      <c r="Y112" s="67">
        <f t="shared" si="56"/>
        <v>23.298400000000001</v>
      </c>
      <c r="Z112" s="67">
        <f t="shared" si="57"/>
        <v>0.1171</v>
      </c>
      <c r="AA112" s="67">
        <f t="shared" si="58"/>
        <v>23.1813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59"/>
        <v>0200-17</v>
      </c>
      <c r="AE112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112" s="88" t="str">
        <f t="shared" si="61"/>
        <v>"C:\Program Files (x86)\AstroGrep\AstroGrep.exe" /spath="%USERPROFILE%\AppData\Local\Temp\OnboardLogs" /stypes="app*4032*20161118*" /stext=" 00:.+((SYSTEM_STATE.+slice.+state.+changed )|(ment ac)|(system.+state.+changed )|(\[timeout)|(PRM\|1\|D)|(kpr)|(kdp)|(\|lc)|(penalty))" /e /r /s</v>
      </c>
      <c r="AG112" s="1" t="str">
        <f t="shared" si="62"/>
        <v>EC</v>
      </c>
      <c r="AH112" s="92" t="str">
        <f t="shared" si="64"/>
        <v>"%USERPROFILE%\Documents\GitHub\eaglep3\Utilities\RefineRTDCRunTimes.py" --tripid 200-17 --locoid 4032 --swversion DE.1.0.8.0 --startMP 204:232984 --initTime 2016-11-17T16:47:30 --startdatetime 2016-11-17T17:00:49 --delay 1 --endMP 204:1171 --enddatetime 2016-11-17T17:46:02 --enforcementcount 0 &gt;&gt;C:\Users\stu\Documents\GitHub\eaglep3-reporting\EC\2016-11-17-refined-times.txt</v>
      </c>
      <c r="AI11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{"issue":{"subject":"","project_id":79,"tracker_id":40,"status_id":1,"priority_id":2,"assigned_to_id":23,"start_date":"2016-11-17","description":"","custom_fields":[{"id":1,"name":"Subdivision","value":"EC"},{"id":4,"name":"Milepost","value":"0.1171"},{"id":17,"name":"Train ID","value":"200-17"},{"id":16,"name":"Locomotive ID","value":"4032"},{"id":130,"name":"Impact","value":""},{"id":150,"name":"Time of Event (Mountain Time)","value":"17:46:02"},{"id":151,"name":"Denver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4003</v>
      </c>
      <c r="C113" s="22" t="s">
        <v>220</v>
      </c>
      <c r="D113" s="22" t="s">
        <v>682</v>
      </c>
      <c r="E113" s="13">
        <v>42691.673645833333</v>
      </c>
      <c r="F113" s="13">
        <v>42691.677337962959</v>
      </c>
      <c r="G113" s="7">
        <v>2</v>
      </c>
      <c r="H113" s="22" t="s">
        <v>683</v>
      </c>
      <c r="I113" s="13">
        <v>42691.708645833336</v>
      </c>
      <c r="J113" s="7">
        <v>0</v>
      </c>
      <c r="K113" s="109" t="str">
        <f t="shared" si="49"/>
        <v>4003/4004</v>
      </c>
      <c r="L113" s="22" t="str">
        <f>VLOOKUP(A113,'Trips&amp;Operators'!$C$1:$E$10000,3,FALSE)</f>
        <v>MACDONALD</v>
      </c>
      <c r="M113" s="6">
        <f t="shared" si="50"/>
        <v>3.1307870376622304E-2</v>
      </c>
      <c r="N113" s="7">
        <f t="shared" si="51"/>
        <v>45.083333342336118</v>
      </c>
      <c r="O113" s="7"/>
      <c r="P113" s="7"/>
      <c r="Q113" s="23"/>
      <c r="R113" s="23"/>
      <c r="S113" s="35">
        <f t="shared" si="52"/>
        <v>1</v>
      </c>
      <c r="T113" s="50" t="str">
        <f t="shared" si="5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15:10:03-700',mode:absolute,to:'2016-11-17 18:00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3" s="52" t="str">
        <f t="shared" si="55"/>
        <v>N</v>
      </c>
      <c r="X113" s="177">
        <f t="shared" si="63"/>
        <v>1</v>
      </c>
      <c r="Y113" s="67">
        <f t="shared" si="56"/>
        <v>4.82E-2</v>
      </c>
      <c r="Z113" s="67">
        <f t="shared" si="57"/>
        <v>23.328700000000001</v>
      </c>
      <c r="AA113" s="67">
        <f t="shared" si="58"/>
        <v>23.2805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59"/>
        <v>0201-17</v>
      </c>
      <c r="AE113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13" s="88" t="str">
        <f t="shared" si="61"/>
        <v>"C:\Program Files (x86)\AstroGrep\AstroGrep.exe" /spath="%USERPROFILE%\AppData\Local\Temp\OnboardLogs" /stypes="app*4003*20161118*" /stext=" 00:.+((SYSTEM_STATE.+slice.+state.+changed )|(ment ac)|(system.+state.+changed )|(\[timeout)|(PRM\|1\|D)|(kpr)|(kdp)|(\|lc)|(penalty))" /e /r /s</v>
      </c>
      <c r="AG113" s="1" t="str">
        <f t="shared" si="62"/>
        <v>EC</v>
      </c>
      <c r="AH113" s="92" t="str">
        <f t="shared" si="64"/>
        <v>"%USERPROFILE%\Documents\GitHub\eaglep3\Utilities\RefineRTDCRunTimes.py" --tripid 201-17 --locoid 4003 --swversion DE.1.0.8.0 --startMP 204:482 --initTime 2016-11-17T16:10:03 --startdatetime 2016-11-17T16:15:22 --delay 2 --endMP 204:233287 --enddatetime 2016-11-17T17:00:27 --enforcementcount 0 &gt;&gt;C:\Users\stu\Documents\GitHub\eaglep3-reporting\EC\2016-11-17-refined-times.txt</v>
      </c>
      <c r="AI11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{"issue":{"subject":"","project_id":79,"tracker_id":40,"status_id":1,"priority_id":2,"assigned_to_id":23,"start_date":"2016-11-17","description":"","custom_fields":[{"id":1,"name":"Subdivision","value":"EC"},{"id":4,"name":"Milepost","value":"23.3287"},{"id":17,"name":"Train ID","value":"201-17"},{"id":16,"name":"Locomotive ID","value":"4003"},{"id":130,"name":"Impact","value":""},{"id":150,"name":"Time of Event (Mountain Time)","value":"17:00:27"},{"id":151,"name":"Denver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568</v>
      </c>
      <c r="B114" s="7">
        <v>4004</v>
      </c>
      <c r="C114" s="22" t="s">
        <v>220</v>
      </c>
      <c r="D114" s="22" t="s">
        <v>279</v>
      </c>
      <c r="E114" s="13">
        <v>42691.712060185186</v>
      </c>
      <c r="F114" s="13">
        <v>42691.716423611113</v>
      </c>
      <c r="G114" s="7">
        <v>1</v>
      </c>
      <c r="H114" s="22" t="s">
        <v>196</v>
      </c>
      <c r="I114" s="13">
        <v>42691.746539351851</v>
      </c>
      <c r="J114" s="7">
        <v>0</v>
      </c>
      <c r="K114" s="109" t="str">
        <f t="shared" si="49"/>
        <v>4003/4004</v>
      </c>
      <c r="L114" s="22" t="str">
        <f>VLOOKUP(A114,'Trips&amp;Operators'!$C$1:$E$10000,3,FALSE)</f>
        <v>MACDONALD</v>
      </c>
      <c r="M114" s="6">
        <f t="shared" si="50"/>
        <v>3.011574073752854E-2</v>
      </c>
      <c r="N114" s="7">
        <f t="shared" si="51"/>
        <v>43.366666662041098</v>
      </c>
      <c r="O114" s="7"/>
      <c r="P114" s="7"/>
      <c r="Q114" s="23"/>
      <c r="R114" s="23"/>
      <c r="S114" s="35">
        <f t="shared" si="52"/>
        <v>1</v>
      </c>
      <c r="T114" s="50" t="str">
        <f t="shared" si="5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16:05:22-700',mode:absolute,to:'2016-11-17 18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4" s="52" t="str">
        <f t="shared" si="55"/>
        <v>N</v>
      </c>
      <c r="X114" s="177">
        <f t="shared" si="63"/>
        <v>1</v>
      </c>
      <c r="Y114" s="67">
        <f t="shared" si="56"/>
        <v>23.2987</v>
      </c>
      <c r="Z114" s="67">
        <f t="shared" si="57"/>
        <v>1.49E-2</v>
      </c>
      <c r="AA114" s="67">
        <f t="shared" si="58"/>
        <v>23.283799999999999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59"/>
        <v>0202-17</v>
      </c>
      <c r="AE114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14" s="88" t="str">
        <f t="shared" si="61"/>
        <v>"C:\Program Files (x86)\AstroGrep\AstroGrep.exe" /spath="%USERPROFILE%\AppData\Local\Temp\OnboardLogs" /stypes="app*4004*20161118*" /stext=" 00:.+((SYSTEM_STATE.+slice.+state.+changed )|(ment ac)|(system.+state.+changed )|(\[timeout)|(PRM\|1\|D)|(kpr)|(kdp)|(\|lc)|(penalty))" /e /r /s</v>
      </c>
      <c r="AG114" s="1" t="str">
        <f t="shared" si="62"/>
        <v>EC</v>
      </c>
      <c r="AH114" s="92" t="str">
        <f t="shared" si="64"/>
        <v>"%USERPROFILE%\Documents\GitHub\eaglep3\Utilities\RefineRTDCRunTimes.py" --tripid 202-17 --locoid 4004 --swversion DE.1.0.8.0 --startMP 204:232987 --initTime 2016-11-17T17:05:22 --startdatetime 2016-11-17T17:11:39 --delay 1 --endMP 204:149 --enddatetime 2016-11-17T17:55:01 --enforcementcount 0 &gt;&gt;C:\Users\stu\Documents\GitHub\eaglep3-reporting\EC\2016-11-17-refined-times.txt</v>
      </c>
      <c r="AI11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ID","value":"202-17"},{"id":16,"name":"Locomotive ID","value":"4004"},{"id":130,"name":"Impact","value":""},{"id":150,"name":"Time of Event (Mountain Time)","value":"17:55:01"},{"id":151,"name":"Denver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561</v>
      </c>
      <c r="B115" s="7">
        <v>4014</v>
      </c>
      <c r="C115" s="22" t="s">
        <v>220</v>
      </c>
      <c r="D115" s="22" t="s">
        <v>199</v>
      </c>
      <c r="E115" s="13">
        <v>42691.683136574073</v>
      </c>
      <c r="F115" s="13">
        <v>42691.687685185185</v>
      </c>
      <c r="G115" s="7">
        <v>1</v>
      </c>
      <c r="H115" s="22" t="s">
        <v>676</v>
      </c>
      <c r="I115" s="13">
        <v>42691.719155092593</v>
      </c>
      <c r="J115" s="7">
        <v>0</v>
      </c>
      <c r="K115" s="109" t="str">
        <f t="shared" si="49"/>
        <v>4013/4014</v>
      </c>
      <c r="L115" s="22" t="str">
        <f>VLOOKUP(A115,'Trips&amp;Operators'!$C$1:$E$10000,3,FALSE)</f>
        <v>SHOOK</v>
      </c>
      <c r="M115" s="6">
        <f t="shared" si="50"/>
        <v>3.1469907407881692E-2</v>
      </c>
      <c r="N115" s="7">
        <f t="shared" si="51"/>
        <v>45.316666667349637</v>
      </c>
      <c r="O115" s="7"/>
      <c r="P115" s="7"/>
      <c r="Q115" s="23"/>
      <c r="R115" s="23"/>
      <c r="S115" s="35">
        <f t="shared" si="52"/>
        <v>1</v>
      </c>
      <c r="T115" s="50" t="str">
        <f t="shared" si="5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15:23:43-700',mode:absolute,to:'2016-11-17 18:15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55"/>
        <v>N</v>
      </c>
      <c r="X115" s="177">
        <f t="shared" si="63"/>
        <v>1</v>
      </c>
      <c r="Y115" s="67">
        <f t="shared" si="56"/>
        <v>4.53E-2</v>
      </c>
      <c r="Z115" s="67">
        <f t="shared" si="57"/>
        <v>23.336200000000002</v>
      </c>
      <c r="AA115" s="67">
        <f t="shared" si="58"/>
        <v>23.290900000000001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59"/>
        <v>0203-17</v>
      </c>
      <c r="AE115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15" s="88" t="str">
        <f t="shared" si="61"/>
        <v>"C:\Program Files (x86)\AstroGrep\AstroGrep.exe" /spath="%USERPROFILE%\AppData\Local\Temp\OnboardLogs" /stypes="app*4014*20161118*" /stext=" 00:.+((SYSTEM_STATE.+slice.+state.+changed )|(ment ac)|(system.+state.+changed )|(\[timeout)|(PRM\|1\|D)|(kpr)|(kdp)|(\|lc)|(penalty))" /e /r /s</v>
      </c>
      <c r="AG115" s="1" t="str">
        <f t="shared" si="62"/>
        <v>EC</v>
      </c>
      <c r="AH115" s="92" t="str">
        <f t="shared" si="64"/>
        <v>"%USERPROFILE%\Documents\GitHub\eaglep3\Utilities\RefineRTDCRunTimes.py" --tripid 203-17 --locoid 4014 --swversion DE.1.0.8.0 --startMP 204:453 --initTime 2016-11-17T16:23:43 --startdatetime 2016-11-17T16:30:16 --delay 1 --endMP 204:233362 --enddatetime 2016-11-17T17:15:35 --enforcementcount 0 &gt;&gt;C:\Users\stu\Documents\GitHub\eaglep3-reporting\EC\2016-11-17-refined-times.txt</v>
      </c>
      <c r="AI11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{"issue":{"subject":"","project_id":79,"tracker_id":40,"status_id":1,"priority_id":2,"assigned_to_id":23,"start_date":"2016-11-17","description":"","custom_fields":[{"id":1,"name":"Subdivision","value":"EC"},{"id":4,"name":"Milepost","value":"23.3362"},{"id":17,"name":"Train ID","value":"203-17"},{"id":16,"name":"Locomotive ID","value":"4014"},{"id":130,"name":"Impact","value":""},{"id":150,"name":"Time of Event (Mountain Time)","value":"17:15:35"},{"id":151,"name":"Denver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573</v>
      </c>
      <c r="B116" s="7">
        <v>4013</v>
      </c>
      <c r="C116" s="22" t="s">
        <v>220</v>
      </c>
      <c r="D116" s="22" t="s">
        <v>692</v>
      </c>
      <c r="E116" s="13">
        <v>42691.722384259258</v>
      </c>
      <c r="F116" s="13">
        <v>42691.7265625</v>
      </c>
      <c r="G116" s="7">
        <v>1</v>
      </c>
      <c r="H116" s="22" t="s">
        <v>275</v>
      </c>
      <c r="I116" s="13">
        <v>42691.757418981484</v>
      </c>
      <c r="J116" s="7">
        <v>0</v>
      </c>
      <c r="K116" s="109" t="str">
        <f t="shared" si="49"/>
        <v>4013/4014</v>
      </c>
      <c r="L116" s="22" t="str">
        <f>VLOOKUP(A116,'Trips&amp;Operators'!$C$1:$E$10000,3,FALSE)</f>
        <v>SHOOK</v>
      </c>
      <c r="M116" s="6">
        <f t="shared" si="50"/>
        <v>3.0856481484079268E-2</v>
      </c>
      <c r="N116" s="7">
        <f t="shared" si="51"/>
        <v>44.433333337074146</v>
      </c>
      <c r="O116" s="7"/>
      <c r="P116" s="7"/>
      <c r="Q116" s="23"/>
      <c r="R116" s="23"/>
      <c r="S116" s="35">
        <f t="shared" si="52"/>
        <v>1</v>
      </c>
      <c r="T116" s="50" t="str">
        <f t="shared" si="5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16:20:14-700',mode:absolute,to:'2016-11-17 19:10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55"/>
        <v>N</v>
      </c>
      <c r="X116" s="177">
        <f t="shared" si="63"/>
        <v>1</v>
      </c>
      <c r="Y116" s="67">
        <f t="shared" si="56"/>
        <v>23.303999999999998</v>
      </c>
      <c r="Z116" s="67">
        <f t="shared" si="57"/>
        <v>1.41E-2</v>
      </c>
      <c r="AA116" s="67">
        <f t="shared" si="58"/>
        <v>23.289899999999999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59"/>
        <v>0204-17</v>
      </c>
      <c r="AE116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16" s="88" t="str">
        <f t="shared" si="61"/>
        <v>"C:\Program Files (x86)\AstroGrep\AstroGrep.exe" /spath="%USERPROFILE%\AppData\Local\Temp\OnboardLogs" /stypes="app*4013*20161118*" /stext=" 01:.+((SYSTEM_STATE.+slice.+state.+changed )|(ment ac)|(system.+state.+changed )|(\[timeout)|(PRM\|1\|D)|(kpr)|(kdp)|(\|lc)|(penalty))" /e /r /s</v>
      </c>
      <c r="AG116" s="1" t="str">
        <f t="shared" si="62"/>
        <v>EC</v>
      </c>
      <c r="AH116" s="92" t="str">
        <f t="shared" si="64"/>
        <v>"%USERPROFILE%\Documents\GitHub\eaglep3\Utilities\RefineRTDCRunTimes.py" --tripid 204-17 --locoid 4013 --swversion DE.1.0.8.0 --startMP 204:233040 --initTime 2016-11-17T17:20:14 --startdatetime 2016-11-17T17:26:15 --delay 1 --endMP 204:141 --enddatetime 2016-11-17T18:10:41 --enforcementcount 0 &gt;&gt;C:\Users\stu\Documents\GitHub\eaglep3-reporting\EC\2016-11-17-refined-times.txt</v>
      </c>
      <c r="AI11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{"issue":{"subject":"","project_id":79,"tracker_id":40,"status_id":1,"priority_id":2,"assigned_to_id":23,"start_date":"2016-11-17","description":"","custom_fields":[{"id":1,"name":"Subdivision","value":"EC"},{"id":4,"name":"Milepost","value":"0.0141"},{"id":17,"name":"Train ID","value":"204-17"},{"id":16,"name":"Locomotive ID","value":"4013"},{"id":130,"name":"Impact","value":""},{"id":150,"name":"Time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565</v>
      </c>
      <c r="B117" s="7">
        <v>4038</v>
      </c>
      <c r="C117" s="22" t="s">
        <v>220</v>
      </c>
      <c r="D117" s="22" t="s">
        <v>663</v>
      </c>
      <c r="E117" s="13">
        <v>42691.6955787037</v>
      </c>
      <c r="F117" s="13">
        <v>42691.698425925926</v>
      </c>
      <c r="G117" s="7">
        <v>2</v>
      </c>
      <c r="H117" s="22" t="s">
        <v>693</v>
      </c>
      <c r="I117" s="13">
        <v>42691.726261574076</v>
      </c>
      <c r="J117" s="7">
        <v>0</v>
      </c>
      <c r="K117" s="109" t="str">
        <f t="shared" si="49"/>
        <v>4037/4038</v>
      </c>
      <c r="L117" s="22" t="str">
        <f>VLOOKUP(A117,'Trips&amp;Operators'!$C$1:$E$10000,3,FALSE)</f>
        <v>JOHNSON</v>
      </c>
      <c r="M117" s="6">
        <f t="shared" si="50"/>
        <v>2.7835648150357883E-2</v>
      </c>
      <c r="N117" s="7">
        <f t="shared" si="51"/>
        <v>40.083333336515352</v>
      </c>
      <c r="O117" s="7"/>
      <c r="P117" s="7"/>
      <c r="Q117" s="23"/>
      <c r="R117" s="23"/>
      <c r="S117" s="35">
        <f t="shared" si="52"/>
        <v>1</v>
      </c>
      <c r="T117" s="50" t="str">
        <f t="shared" si="5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15:41:38-700',mode:absolute,to:'2016-11-17 18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7" s="52" t="str">
        <f t="shared" si="55"/>
        <v>N</v>
      </c>
      <c r="X117" s="177">
        <f t="shared" si="63"/>
        <v>1</v>
      </c>
      <c r="Y117" s="67">
        <f t="shared" si="56"/>
        <v>4.4600000000000001E-2</v>
      </c>
      <c r="Z117" s="67">
        <f t="shared" si="57"/>
        <v>23.3325</v>
      </c>
      <c r="AA117" s="67">
        <f t="shared" si="58"/>
        <v>23.2879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59"/>
        <v>0205-17</v>
      </c>
      <c r="AE117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17" s="88" t="str">
        <f t="shared" si="61"/>
        <v>"C:\Program Files (x86)\AstroGrep\AstroGrep.exe" /spath="%USERPROFILE%\AppData\Local\Temp\OnboardLogs" /stypes="app*4038*20161118*" /stext=" 00:.+((SYSTEM_STATE.+slice.+state.+changed )|(ment ac)|(system.+state.+changed )|(\[timeout)|(PRM\|1\|D)|(kpr)|(kdp)|(\|lc)|(penalty))" /e /r /s</v>
      </c>
      <c r="AG117" s="1" t="str">
        <f t="shared" si="62"/>
        <v>EC</v>
      </c>
      <c r="AH117" s="92" t="str">
        <f t="shared" si="64"/>
        <v>"%USERPROFILE%\Documents\GitHub\eaglep3\Utilities\RefineRTDCRunTimes.py" --tripid 205-17 --locoid 4038 --swversion DE.1.0.8.0 --startMP 204:446 --initTime 2016-11-17T16:41:38 --startdatetime 2016-11-17T16:45:44 --delay 2 --endMP 204:233325 --enddatetime 2016-11-17T17:25:49 --enforcementcount 0 &gt;&gt;C:\Users\stu\Documents\GitHub\eaglep3-reporting\EC\2016-11-17-refined-times.txt</v>
      </c>
      <c r="AI11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{"issue":{"subject":"","project_id":79,"tracker_id":40,"status_id":1,"priority_id":2,"assigned_to_id":23,"start_date":"2016-11-17","description":"","custom_fields":[{"id":1,"name":"Subdivision","value":"EC"},{"id":4,"name":"Milepost","value":"23.3325"},{"id":17,"name":"Train ID","value":"205-17"},{"id":16,"name":"Locomotive ID","value":"4038"},{"id":130,"name":"Impact","value":""},{"id":150,"name":"Time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575</v>
      </c>
      <c r="B118" s="7">
        <v>4037</v>
      </c>
      <c r="C118" s="22" t="s">
        <v>220</v>
      </c>
      <c r="D118" s="22" t="s">
        <v>694</v>
      </c>
      <c r="E118" s="13">
        <v>42691.73232638889</v>
      </c>
      <c r="F118" s="13">
        <v>42691.737060185187</v>
      </c>
      <c r="G118" s="7">
        <v>1</v>
      </c>
      <c r="H118" s="22" t="s">
        <v>371</v>
      </c>
      <c r="I118" s="13">
        <v>42691.767928240741</v>
      </c>
      <c r="J118" s="7">
        <v>0</v>
      </c>
      <c r="K118" s="109" t="str">
        <f t="shared" si="49"/>
        <v>4037/4038</v>
      </c>
      <c r="L118" s="22" t="str">
        <f>VLOOKUP(A118,'Trips&amp;Operators'!$C$1:$E$10000,3,FALSE)</f>
        <v>JOHNSON</v>
      </c>
      <c r="M118" s="6">
        <f t="shared" si="50"/>
        <v>3.0868055553582963E-2</v>
      </c>
      <c r="N118" s="7">
        <f t="shared" si="51"/>
        <v>44.449999997159466</v>
      </c>
      <c r="O118" s="7"/>
      <c r="P118" s="7"/>
      <c r="Q118" s="23"/>
      <c r="R118" s="23"/>
      <c r="S118" s="35">
        <f t="shared" si="52"/>
        <v>1</v>
      </c>
      <c r="T118" s="50" t="str">
        <f t="shared" si="5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16:34:33-700',mode:absolute,to:'2016-11-17 19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8" s="52" t="str">
        <f t="shared" si="55"/>
        <v>N</v>
      </c>
      <c r="X118" s="177">
        <f t="shared" si="63"/>
        <v>1</v>
      </c>
      <c r="Y118" s="67">
        <f t="shared" si="56"/>
        <v>23.302700000000002</v>
      </c>
      <c r="Z118" s="67">
        <f t="shared" si="57"/>
        <v>1.7000000000000001E-2</v>
      </c>
      <c r="AA118" s="67">
        <f t="shared" si="58"/>
        <v>23.285700000000002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59"/>
        <v>0206-17</v>
      </c>
      <c r="AE118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18" s="88" t="str">
        <f t="shared" si="61"/>
        <v>"C:\Program Files (x86)\AstroGrep\AstroGrep.exe" /spath="%USERPROFILE%\AppData\Local\Temp\OnboardLogs" /stypes="app*4037*20161118*" /stext=" 01:.+((SYSTEM_STATE.+slice.+state.+changed )|(ment ac)|(system.+state.+changed )|(\[timeout)|(PRM\|1\|D)|(kpr)|(kdp)|(\|lc)|(penalty))" /e /r /s</v>
      </c>
      <c r="AG118" s="1" t="str">
        <f t="shared" si="62"/>
        <v>EC</v>
      </c>
      <c r="AH118" s="92" t="str">
        <f t="shared" si="64"/>
        <v>"%USERPROFILE%\Documents\GitHub\eaglep3\Utilities\RefineRTDCRunTimes.py" --tripid 206-17 --locoid 4037 --swversion DE.1.0.8.0 --startMP 204:233027 --initTime 2016-11-17T17:34:33 --startdatetime 2016-11-17T17:41:22 --delay 1 --endMP 204:170 --enddatetime 2016-11-17T18:25:49 --enforcementcount 0 &gt;&gt;C:\Users\stu\Documents\GitHub\eaglep3-reporting\EC\2016-11-17-refined-times.txt</v>
      </c>
      <c r="AI11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{"issue":{"subject":"","project_id":79,"tracker_id":40,"status_id":1,"priority_id":2,"assigned_to_id":23,"start_date":"2016-11-17","description":"","custom_fields":[{"id":1,"name":"Subdivision","value":"EC"},{"id":4,"name":"Milepost","value":"0.017"},{"id":17,"name":"Train ID","value":"206-17"},{"id":16,"name":"Locomotive ID","value":"4037"},{"id":130,"name":"Impact","value":""},{"id":150,"name":"Time of Event (Mountain Time)","value":"18:25:49"},{"id":151,"name":"Denver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4042</v>
      </c>
      <c r="C119" s="22" t="s">
        <v>220</v>
      </c>
      <c r="D119" s="22" t="s">
        <v>218</v>
      </c>
      <c r="E119" s="13">
        <v>42691.703611111108</v>
      </c>
      <c r="F119" s="13">
        <v>42691.708587962959</v>
      </c>
      <c r="G119" s="7">
        <v>1</v>
      </c>
      <c r="H119" s="22" t="s">
        <v>695</v>
      </c>
      <c r="I119" s="13">
        <v>42691.736828703702</v>
      </c>
      <c r="J119" s="7">
        <v>0</v>
      </c>
      <c r="K119" s="109" t="str">
        <f t="shared" si="49"/>
        <v>4041/4042</v>
      </c>
      <c r="L119" s="22" t="str">
        <f>VLOOKUP(A119,'Trips&amp;Operators'!$C$1:$E$10000,3,FALSE)</f>
        <v>LALONDE</v>
      </c>
      <c r="M119" s="6">
        <f t="shared" si="50"/>
        <v>2.8240740743058268E-2</v>
      </c>
      <c r="N119" s="7">
        <f t="shared" si="51"/>
        <v>40.666666670003906</v>
      </c>
      <c r="O119" s="7"/>
      <c r="P119" s="7"/>
      <c r="Q119" s="23"/>
      <c r="R119" s="23"/>
      <c r="S119" s="35">
        <f t="shared" si="52"/>
        <v>1</v>
      </c>
      <c r="T119" s="50" t="str">
        <f t="shared" si="5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15:53:12-700',mode:absolute,to:'2016-11-17 18:41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55"/>
        <v>N</v>
      </c>
      <c r="X119" s="177">
        <f t="shared" si="63"/>
        <v>1</v>
      </c>
      <c r="Y119" s="67">
        <f t="shared" si="56"/>
        <v>4.5699999999999998E-2</v>
      </c>
      <c r="Z119" s="67">
        <f t="shared" si="57"/>
        <v>23.330500000000001</v>
      </c>
      <c r="AA119" s="67">
        <f t="shared" si="58"/>
        <v>23.284800000000001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59"/>
        <v>0207-17</v>
      </c>
      <c r="AE119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119" s="88" t="str">
        <f t="shared" si="61"/>
        <v>"C:\Program Files (x86)\AstroGrep\AstroGrep.exe" /spath="%USERPROFILE%\AppData\Local\Temp\OnboardLogs" /stypes="app*4042*20161118*" /stext=" 00:.+((SYSTEM_STATE.+slice.+state.+changed )|(ment ac)|(system.+state.+changed )|(\[timeout)|(PRM\|1\|D)|(kpr)|(kdp)|(\|lc)|(penalty))" /e /r /s</v>
      </c>
      <c r="AG119" s="1" t="str">
        <f t="shared" si="62"/>
        <v>EC</v>
      </c>
      <c r="AH119" s="92" t="str">
        <f t="shared" si="64"/>
        <v>"%USERPROFILE%\Documents\GitHub\eaglep3\Utilities\RefineRTDCRunTimes.py" --tripid 207-17 --locoid 4042 --swversion DE.1.0.8.0 --startMP 204:457 --initTime 2016-11-17T16:53:12 --startdatetime 2016-11-17T17:00:22 --delay 1 --endMP 204:233305 --enddatetime 2016-11-17T17:41:02 --enforcementcount 0 &gt;&gt;C:\Users\stu\Documents\GitHub\eaglep3-reporting\EC\2016-11-17-refined-times.txt</v>
      </c>
      <c r="AI11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{"issue":{"subject":"","project_id":79,"tracker_id":40,"status_id":1,"priority_id":2,"assigned_to_id":23,"start_date":"2016-11-17","description":"","custom_fields":[{"id":1,"name":"Subdivision","value":"EC"},{"id":4,"name":"Milepost","value":"23.3305"},{"id":17,"name":"Train ID","value":"207-17"},{"id":16,"name":"Locomotive ID","value":"4042"},{"id":130,"name":"Impact","value":""},{"id":150,"name":"Time of Event (Mountain Time)","value":"17:41:02"},{"id":151,"name":"Denver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578</v>
      </c>
      <c r="B120" s="7">
        <v>4041</v>
      </c>
      <c r="C120" s="22" t="s">
        <v>220</v>
      </c>
      <c r="D120" s="22" t="s">
        <v>654</v>
      </c>
      <c r="E120" s="13">
        <v>42691.738530092596</v>
      </c>
      <c r="F120" s="13">
        <v>42691.747546296298</v>
      </c>
      <c r="G120" s="7">
        <v>1</v>
      </c>
      <c r="H120" s="22" t="s">
        <v>234</v>
      </c>
      <c r="I120" s="13">
        <v>42691.775590277779</v>
      </c>
      <c r="J120" s="7">
        <v>0</v>
      </c>
      <c r="K120" s="109" t="str">
        <f t="shared" si="49"/>
        <v>4041/4042</v>
      </c>
      <c r="L120" s="22" t="str">
        <f>VLOOKUP(A120,'Trips&amp;Operators'!$C$1:$E$10000,3,FALSE)</f>
        <v>LALONDE</v>
      </c>
      <c r="M120" s="6">
        <f t="shared" si="50"/>
        <v>2.8043981481459923E-2</v>
      </c>
      <c r="N120" s="7">
        <f t="shared" si="51"/>
        <v>40.383333333302289</v>
      </c>
      <c r="O120" s="7"/>
      <c r="P120" s="7"/>
      <c r="Q120" s="23"/>
      <c r="R120" s="23"/>
      <c r="S120" s="35">
        <f t="shared" si="52"/>
        <v>1</v>
      </c>
      <c r="T120" s="50" t="str">
        <f t="shared" si="5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16:43:29-700',mode:absolute,to:'2016-11-17 19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55"/>
        <v>N</v>
      </c>
      <c r="X120" s="177">
        <f t="shared" si="63"/>
        <v>1</v>
      </c>
      <c r="Y120" s="67">
        <f t="shared" si="56"/>
        <v>23.298999999999999</v>
      </c>
      <c r="Z120" s="67">
        <f t="shared" si="57"/>
        <v>1.4999999999999999E-2</v>
      </c>
      <c r="AA120" s="67">
        <f t="shared" si="58"/>
        <v>23.283999999999999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59"/>
        <v>0208-17</v>
      </c>
      <c r="AE120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120" s="88" t="str">
        <f t="shared" si="61"/>
        <v>"C:\Program Files (x86)\AstroGrep\AstroGrep.exe" /spath="%USERPROFILE%\AppData\Local\Temp\OnboardLogs" /stypes="app*4041*20161118*" /stext=" 01:.+((SYSTEM_STATE.+slice.+state.+changed )|(ment ac)|(system.+state.+changed )|(\[timeout)|(PRM\|1\|D)|(kpr)|(kdp)|(\|lc)|(penalty))" /e /r /s</v>
      </c>
      <c r="AG120" s="1" t="str">
        <f t="shared" si="62"/>
        <v>EC</v>
      </c>
      <c r="AH120" s="92" t="str">
        <f t="shared" si="64"/>
        <v>"%USERPROFILE%\Documents\GitHub\eaglep3\Utilities\RefineRTDCRunTimes.py" --tripid 208-17 --locoid 4041 --swversion DE.1.0.8.0 --startMP 204:232990 --initTime 2016-11-17T17:43:29 --startdatetime 2016-11-17T17:56:28 --delay 1 --endMP 204:150 --enddatetime 2016-11-17T18:36:51 --enforcementcount 0 &gt;&gt;C:\Users\stu\Documents\GitHub\eaglep3-reporting\EC\2016-11-17-refined-times.txt</v>
      </c>
      <c r="AI12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ID","value":"208-17"},{"id":16,"name":"Locomotive ID","value":"4041"},{"id":130,"name":"Impact","value":""},{"id":150,"name":"Time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4022</v>
      </c>
      <c r="C121" s="22" t="s">
        <v>220</v>
      </c>
      <c r="D121" s="22" t="s">
        <v>218</v>
      </c>
      <c r="E121" s="13">
        <v>42691.717627314814</v>
      </c>
      <c r="F121" s="13">
        <v>42691.719768518517</v>
      </c>
      <c r="G121" s="7">
        <v>2</v>
      </c>
      <c r="H121" s="22" t="s">
        <v>642</v>
      </c>
      <c r="I121" s="13">
        <v>42691.747372685182</v>
      </c>
      <c r="J121" s="7">
        <v>0</v>
      </c>
      <c r="K121" s="109" t="str">
        <f t="shared" si="49"/>
        <v>4021/4022</v>
      </c>
      <c r="L121" s="22" t="str">
        <f>VLOOKUP(A121,'Trips&amp;Operators'!$C$1:$E$10000,3,FALSE)</f>
        <v>SMITH</v>
      </c>
      <c r="M121" s="6">
        <f t="shared" si="50"/>
        <v>2.7604166665696539E-2</v>
      </c>
      <c r="N121" s="7">
        <f t="shared" si="51"/>
        <v>39.749999998603016</v>
      </c>
      <c r="O121" s="7"/>
      <c r="P121" s="7"/>
      <c r="Q121" s="23"/>
      <c r="R121" s="23"/>
      <c r="S121" s="35">
        <f t="shared" si="52"/>
        <v>1</v>
      </c>
      <c r="T121" s="50" t="str">
        <f t="shared" si="5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16:13:23-700',mode:absolute,to:'2016-11-17 18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1" s="52" t="str">
        <f t="shared" si="55"/>
        <v>N</v>
      </c>
      <c r="X121" s="177">
        <f t="shared" si="63"/>
        <v>1</v>
      </c>
      <c r="Y121" s="67">
        <f t="shared" si="56"/>
        <v>4.5699999999999998E-2</v>
      </c>
      <c r="Z121" s="67">
        <f t="shared" si="57"/>
        <v>23.330200000000001</v>
      </c>
      <c r="AA121" s="67">
        <f t="shared" si="58"/>
        <v>23.284500000000001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59"/>
        <v>0209-17</v>
      </c>
      <c r="AE121" s="91" t="str">
        <f t="shared" si="60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21" s="88" t="str">
        <f t="shared" si="61"/>
        <v>"C:\Program Files (x86)\AstroGrep\AstroGrep.exe" /spath="%USERPROFILE%\AppData\Local\Temp\OnboardLogs" /stypes="app*4022*20161118*" /stext=" 00:.+((SYSTEM_STATE.+slice.+state.+changed )|(ment ac)|(system.+state.+changed )|(\[timeout)|(PRM\|1\|D)|(kpr)|(kdp)|(\|lc)|(penalty))" /e /r /s</v>
      </c>
      <c r="AG121" s="1" t="str">
        <f t="shared" si="62"/>
        <v>EC</v>
      </c>
      <c r="AH121" s="92" t="str">
        <f t="shared" si="64"/>
        <v>"%USERPROFILE%\Documents\GitHub\eaglep3\Utilities\RefineRTDCRunTimes.py" --tripid 209-17 --locoid 4022 --swversion DE.1.0.8.0 --startMP 204:457 --initTime 2016-11-17T17:13:23 --startdatetime 2016-11-17T17:16:28 --delay 2 --endMP 204:233302 --enddatetime 2016-11-17T17:56:13 --enforcementcount 0 &gt;&gt;C:\Users\stu\Documents\GitHub\eaglep3-reporting\EC\2016-11-17-refined-times.txt</v>
      </c>
      <c r="AI12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{"issue":{"subject":"","project_id":79,"tracker_id":40,"status_id":1,"priority_id":2,"assigned_to_id":23,"start_date":"2016-11-17","description":"","custom_fields":[{"id":1,"name":"Subdivision","value":"EC"},{"id":4,"name":"Milepost","value":"23.3302"},{"id":17,"name":"Train ID","value":"209-17"},{"id":16,"name":"Locomotive ID","value":"4022"},{"id":130,"name":"Impact","value":""},{"id":150,"name":"Time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584</v>
      </c>
      <c r="B122" s="7">
        <v>4021</v>
      </c>
      <c r="C122" s="22" t="s">
        <v>220</v>
      </c>
      <c r="D122" s="22" t="s">
        <v>388</v>
      </c>
      <c r="E122" s="13">
        <v>42691.753009259257</v>
      </c>
      <c r="F122" s="13">
        <v>42691.762349537035</v>
      </c>
      <c r="G122" s="7">
        <v>3</v>
      </c>
      <c r="H122" s="22" t="s">
        <v>301</v>
      </c>
      <c r="I122" s="13">
        <v>42691.788831018515</v>
      </c>
      <c r="J122" s="7">
        <v>0</v>
      </c>
      <c r="K122" s="109" t="str">
        <f t="shared" si="49"/>
        <v>4021/4022</v>
      </c>
      <c r="L122" s="22" t="str">
        <f>VLOOKUP(A122,'Trips&amp;Operators'!$C$1:$E$10000,3,FALSE)</f>
        <v>SMITH</v>
      </c>
      <c r="M122" s="6">
        <f t="shared" si="50"/>
        <v>2.6481481480004732E-2</v>
      </c>
      <c r="N122" s="7">
        <f t="shared" si="51"/>
        <v>38.133333331206813</v>
      </c>
      <c r="O122" s="7"/>
      <c r="P122" s="7"/>
      <c r="Q122" s="23"/>
      <c r="R122" s="23"/>
      <c r="S122" s="35">
        <f t="shared" si="52"/>
        <v>1</v>
      </c>
      <c r="T122" s="50" t="str">
        <f t="shared" si="5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17:04:20-700',mode:absolute,to:'2016-11-17 19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2" s="52" t="str">
        <f t="shared" si="55"/>
        <v>N</v>
      </c>
      <c r="X122" s="177">
        <f t="shared" si="63"/>
        <v>1</v>
      </c>
      <c r="Y122" s="67">
        <f t="shared" si="56"/>
        <v>23.3002</v>
      </c>
      <c r="Z122" s="67">
        <f t="shared" si="57"/>
        <v>1.32E-2</v>
      </c>
      <c r="AA122" s="67">
        <f t="shared" si="58"/>
        <v>23.286999999999999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59"/>
        <v>0210-17</v>
      </c>
      <c r="AE122" s="91" t="str">
        <f t="shared" si="60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22" s="88" t="str">
        <f t="shared" si="61"/>
        <v>"C:\Program Files (x86)\AstroGrep\AstroGrep.exe" /spath="%USERPROFILE%\AppData\Local\Temp\OnboardLogs" /stypes="app*4021*20161118*" /stext=" 01:.+((SYSTEM_STATE.+slice.+state.+changed )|(ment ac)|(system.+state.+changed )|(\[timeout)|(PRM\|1\|D)|(kpr)|(kdp)|(\|lc)|(penalty))" /e /r /s</v>
      </c>
      <c r="AG122" s="1" t="str">
        <f t="shared" si="62"/>
        <v>EC</v>
      </c>
      <c r="AH122" s="92" t="str">
        <f t="shared" si="64"/>
        <v>"%USERPROFILE%\Documents\GitHub\eaglep3\Utilities\RefineRTDCRunTimes.py" --tripid 210-17 --locoid 4021 --swversion DE.1.0.8.0 --startMP 204:233002 --initTime 2016-11-17T18:04:20 --startdatetime 2016-11-17T18:17:47 --delay 3 --endMP 204:132 --enddatetime 2016-11-17T18:55:55 --enforcementcount 0 &gt;&gt;C:\Users\stu\Documents\GitHub\eaglep3-reporting\EC\2016-11-17-refined-times.txt</v>
      </c>
      <c r="AI12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ID","value":"210-17"},{"id":16,"name":"Locomotive ID","value":"4021"},{"id":130,"name":"Impact","value":""},{"id":150,"name":"Time of Event (Mountain Time)","value":"18:55:55"},{"id":151,"name":"Denver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4011</v>
      </c>
      <c r="C123" s="22" t="s">
        <v>220</v>
      </c>
      <c r="D123" s="22" t="s">
        <v>222</v>
      </c>
      <c r="E123" s="13">
        <v>42691.724328703705</v>
      </c>
      <c r="F123" s="13">
        <v>42691.729675925926</v>
      </c>
      <c r="G123" s="7">
        <v>1</v>
      </c>
      <c r="H123" s="22" t="s">
        <v>381</v>
      </c>
      <c r="I123" s="13">
        <v>42691.756249999999</v>
      </c>
      <c r="J123" s="7">
        <v>0</v>
      </c>
      <c r="K123" s="109" t="str">
        <f t="shared" si="49"/>
        <v>4011/4012</v>
      </c>
      <c r="L123" s="22" t="str">
        <f>VLOOKUP(A123,'Trips&amp;Operators'!$C$1:$E$10000,3,FALSE)</f>
        <v>HILLS</v>
      </c>
      <c r="M123" s="6">
        <f t="shared" si="50"/>
        <v>2.6574074072414078E-2</v>
      </c>
      <c r="N123" s="7">
        <f t="shared" si="51"/>
        <v>38.266666664276272</v>
      </c>
      <c r="O123" s="7"/>
      <c r="P123" s="7"/>
      <c r="Q123" s="23"/>
      <c r="R123" s="23"/>
      <c r="S123" s="35">
        <f t="shared" si="52"/>
        <v>1</v>
      </c>
      <c r="T123" s="50" t="str">
        <f t="shared" si="5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16:23:02-700',mode:absolute,to:'2016-11-17 19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55"/>
        <v>N</v>
      </c>
      <c r="X123" s="177">
        <f t="shared" si="63"/>
        <v>1</v>
      </c>
      <c r="Y123" s="67">
        <f t="shared" si="56"/>
        <v>4.58E-2</v>
      </c>
      <c r="Z123" s="67">
        <f t="shared" si="57"/>
        <v>23.334900000000001</v>
      </c>
      <c r="AA123" s="67">
        <f t="shared" si="58"/>
        <v>23.289100000000001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59"/>
        <v>0211-17</v>
      </c>
      <c r="AE123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123" s="88" t="str">
        <f t="shared" si="61"/>
        <v>"C:\Program Files (x86)\AstroGrep\AstroGrep.exe" /spath="%USERPROFILE%\AppData\Local\Temp\OnboardLogs" /stypes="app*4011*20161118*" /stext=" 01:.+((SYSTEM_STATE.+slice.+state.+changed )|(ment ac)|(system.+state.+changed )|(\[timeout)|(PRM\|1\|D)|(kpr)|(kdp)|(\|lc)|(penalty))" /e /r /s</v>
      </c>
      <c r="AG123" s="1" t="str">
        <f t="shared" si="62"/>
        <v>EC</v>
      </c>
      <c r="AH123" s="92" t="str">
        <f t="shared" si="64"/>
        <v>"%USERPROFILE%\Documents\GitHub\eaglep3\Utilities\RefineRTDCRunTimes.py" --tripid 211-17 --locoid 4011 --swversion DE.1.0.8.0 --startMP 204:458 --initTime 2016-11-17T17:23:02 --startdatetime 2016-11-17T17:30:44 --delay 1 --endMP 204:233349 --enddatetime 2016-11-17T18:09:00 --enforcementcount 0 &gt;&gt;C:\Users\stu\Documents\GitHub\eaglep3-reporting\EC\2016-11-17-refined-times.txt</v>
      </c>
      <c r="AI12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{"issue":{"subject":"","project_id":79,"tracker_id":40,"status_id":1,"priority_id":2,"assigned_to_id":23,"start_date":"2016-11-17","description":"","custom_fields":[{"id":1,"name":"Subdivision","value":"EC"},{"id":4,"name":"Milepost","value":"23.3349"},{"id":17,"name":"Train ID","value":"211-17"},{"id":16,"name":"Locomotive ID","value":"4011"},{"id":130,"name":"Impact","value":""},{"id":150,"name":"Time of Event (Mountain Time)","value":"18:09:00"},{"id":151,"name":"Denver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4012</v>
      </c>
      <c r="C124" s="22" t="s">
        <v>220</v>
      </c>
      <c r="D124" s="22" t="s">
        <v>696</v>
      </c>
      <c r="E124" s="13">
        <v>42691.76258101852</v>
      </c>
      <c r="F124" s="13">
        <v>42691.768252314818</v>
      </c>
      <c r="G124" s="7">
        <v>1</v>
      </c>
      <c r="H124" s="22" t="s">
        <v>697</v>
      </c>
      <c r="I124" s="13">
        <v>42691.799004629633</v>
      </c>
      <c r="J124" s="7">
        <v>0</v>
      </c>
      <c r="K124" s="109" t="str">
        <f t="shared" si="49"/>
        <v>4011/4012</v>
      </c>
      <c r="L124" s="22" t="str">
        <f>VLOOKUP(A124,'Trips&amp;Operators'!$C$1:$E$10000,3,FALSE)</f>
        <v>HILLS</v>
      </c>
      <c r="M124" s="6">
        <f t="shared" si="50"/>
        <v>3.0752314814890269E-2</v>
      </c>
      <c r="N124" s="7">
        <f t="shared" si="51"/>
        <v>44.283333333441988</v>
      </c>
      <c r="O124" s="7"/>
      <c r="P124" s="7"/>
      <c r="Q124" s="23"/>
      <c r="R124" s="23"/>
      <c r="S124" s="35">
        <f t="shared" si="52"/>
        <v>1</v>
      </c>
      <c r="T124" s="50" t="str">
        <f t="shared" si="5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17:18:07-700',mode:absolute,to:'2016-11-17 20:10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55"/>
        <v>N</v>
      </c>
      <c r="X124" s="177">
        <f t="shared" si="63"/>
        <v>1</v>
      </c>
      <c r="Y124" s="67">
        <f t="shared" si="56"/>
        <v>23.3019</v>
      </c>
      <c r="Z124" s="67">
        <f t="shared" si="57"/>
        <v>7.9000000000000008E-3</v>
      </c>
      <c r="AA124" s="67">
        <f t="shared" si="58"/>
        <v>23.294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59"/>
        <v>0212-17</v>
      </c>
      <c r="AE124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124" s="88" t="str">
        <f t="shared" si="61"/>
        <v>"C:\Program Files (x86)\AstroGrep\AstroGrep.exe" /spath="%USERPROFILE%\AppData\Local\Temp\OnboardLogs" /stypes="app*4012*20161118*" /stext=" 02:.+((SYSTEM_STATE.+slice.+state.+changed )|(ment ac)|(system.+state.+changed )|(\[timeout)|(PRM\|1\|D)|(kpr)|(kdp)|(\|lc)|(penalty))" /e /r /s</v>
      </c>
      <c r="AG124" s="1" t="str">
        <f t="shared" si="62"/>
        <v>EC</v>
      </c>
      <c r="AH124" s="92" t="str">
        <f t="shared" si="64"/>
        <v>"%USERPROFILE%\Documents\GitHub\eaglep3\Utilities\RefineRTDCRunTimes.py" --tripid 212-17 --locoid 4012 --swversion DE.1.0.8.0 --startMP 204:233019 --initTime 2016-11-17T18:18:07 --startdatetime 2016-11-17T18:26:17 --delay 1 --endMP 204:79 --enddatetime 2016-11-17T19:10:34 --enforcementcount 0 &gt;&gt;C:\Users\stu\Documents\GitHub\eaglep3-reporting\EC\2016-11-17-refined-times.txt</v>
      </c>
      <c r="AI12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{"issue":{"subject":"","project_id":79,"tracker_id":40,"status_id":1,"priority_id":2,"assigned_to_id":23,"start_date":"2016-11-17","description":"","custom_fields":[{"id":1,"name":"Subdivision","value":"EC"},{"id":4,"name":"Milepost","value":"0.0079"},{"id":17,"name":"Train ID","value":"212-17"},{"id":16,"name":"Locomotive ID","value":"4012"},{"id":130,"name":"Impact","value":""},{"id":150,"name":"Time of Event (Mountain Time)","value":"19:10:34"},{"id":151,"name":"Denver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577</v>
      </c>
      <c r="B125" s="7">
        <v>4002</v>
      </c>
      <c r="C125" s="22" t="s">
        <v>220</v>
      </c>
      <c r="D125" s="22" t="s">
        <v>201</v>
      </c>
      <c r="E125" s="13">
        <v>42691.736030092594</v>
      </c>
      <c r="F125" s="13">
        <v>42691.740474537037</v>
      </c>
      <c r="G125" s="7">
        <v>2</v>
      </c>
      <c r="H125" s="22" t="s">
        <v>637</v>
      </c>
      <c r="I125" s="13">
        <v>42691.766886574071</v>
      </c>
      <c r="J125" s="7">
        <v>0</v>
      </c>
      <c r="K125" s="109" t="str">
        <f t="shared" si="49"/>
        <v>4001/4002</v>
      </c>
      <c r="L125" s="22" t="str">
        <f>VLOOKUP(A125,'Trips&amp;Operators'!$C$1:$E$10000,3,FALSE)</f>
        <v>BERLING</v>
      </c>
      <c r="M125" s="6">
        <f t="shared" si="50"/>
        <v>2.6412037033878732E-2</v>
      </c>
      <c r="N125" s="7">
        <f t="shared" si="51"/>
        <v>38.033333328785375</v>
      </c>
      <c r="O125" s="7"/>
      <c r="P125" s="7"/>
      <c r="Q125" s="23"/>
      <c r="R125" s="23"/>
      <c r="S125" s="35">
        <f t="shared" si="52"/>
        <v>1</v>
      </c>
      <c r="T125" s="50" t="str">
        <f t="shared" si="5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16:39:53-700',mode:absolute,to:'2016-11-17 19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 t="shared" si="55"/>
        <v>N</v>
      </c>
      <c r="X125" s="177">
        <f t="shared" si="63"/>
        <v>1</v>
      </c>
      <c r="Y125" s="67">
        <f t="shared" si="56"/>
        <v>4.5100000000000001E-2</v>
      </c>
      <c r="Z125" s="67">
        <f t="shared" si="57"/>
        <v>23.333200000000001</v>
      </c>
      <c r="AA125" s="67">
        <f t="shared" si="58"/>
        <v>23.2881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59"/>
        <v>0213-17</v>
      </c>
      <c r="AE12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25" s="88" t="str">
        <f t="shared" si="61"/>
        <v>"C:\Program Files (x86)\AstroGrep\AstroGrep.exe" /spath="%USERPROFILE%\AppData\Local\Temp\OnboardLogs" /stypes="app*4002*20161118*" /stext=" 01:.+((SYSTEM_STATE.+slice.+state.+changed )|(ment ac)|(system.+state.+changed )|(\[timeout)|(PRM\|1\|D)|(kpr)|(kdp)|(\|lc)|(penalty))" /e /r /s</v>
      </c>
      <c r="AG125" s="1" t="str">
        <f t="shared" si="62"/>
        <v>EC</v>
      </c>
      <c r="AH125" s="92" t="str">
        <f t="shared" si="64"/>
        <v>"%USERPROFILE%\Documents\GitHub\eaglep3\Utilities\RefineRTDCRunTimes.py" --tripid 213-17 --locoid 4002 --swversion DE.1.0.8.0 --startMP 204:451 --initTime 2016-11-17T17:39:53 --startdatetime 2016-11-17T17:46:17 --delay 2 --endMP 204:233332 --enddatetime 2016-11-17T18:24:19 --enforcementcount 0 &gt;&gt;C:\Users\stu\Documents\GitHub\eaglep3-reporting\EC\2016-11-17-refined-times.txt</v>
      </c>
      <c r="AI12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ID","value":"213-17"},{"id":16,"name":"Locomotive ID","value":"4002"},{"id":130,"name":"Impact","value":""},{"id":150,"name":"Time of Event (Mountain Time)","value":"18:24:19"},{"id":151,"name":"Denver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4001</v>
      </c>
      <c r="C126" s="22" t="s">
        <v>220</v>
      </c>
      <c r="D126" s="22" t="s">
        <v>380</v>
      </c>
      <c r="E126" s="13">
        <v>42691.773773148147</v>
      </c>
      <c r="F126" s="13">
        <v>42691.778935185182</v>
      </c>
      <c r="G126" s="7">
        <v>2</v>
      </c>
      <c r="H126" s="22" t="s">
        <v>271</v>
      </c>
      <c r="I126" s="13">
        <v>42691.807488425926</v>
      </c>
      <c r="J126" s="7">
        <v>0</v>
      </c>
      <c r="K126" s="109" t="str">
        <f t="shared" si="49"/>
        <v>4001/4002</v>
      </c>
      <c r="L126" s="22" t="str">
        <f>VLOOKUP(A126,'Trips&amp;Operators'!$C$1:$E$10000,3,FALSE)</f>
        <v>BERLING</v>
      </c>
      <c r="M126" s="6">
        <f t="shared" si="50"/>
        <v>2.8553240743349306E-2</v>
      </c>
      <c r="N126" s="7">
        <f t="shared" si="51"/>
        <v>41.116666670423001</v>
      </c>
      <c r="O126" s="7"/>
      <c r="P126" s="7"/>
      <c r="Q126" s="23"/>
      <c r="R126" s="23"/>
      <c r="S126" s="35">
        <f t="shared" si="52"/>
        <v>1</v>
      </c>
      <c r="T126" s="50" t="str">
        <f t="shared" si="5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17:34:14-700',mode:absolute,to:'2016-11-17 20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 t="shared" si="55"/>
        <v>N</v>
      </c>
      <c r="X126" s="177">
        <f t="shared" si="63"/>
        <v>1</v>
      </c>
      <c r="Y126" s="67">
        <f t="shared" si="56"/>
        <v>23.301500000000001</v>
      </c>
      <c r="Z126" s="67">
        <f t="shared" si="57"/>
        <v>1.38E-2</v>
      </c>
      <c r="AA126" s="67">
        <f t="shared" si="58"/>
        <v>23.287700000000001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59"/>
        <v>0214-17</v>
      </c>
      <c r="AE12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26" s="88" t="str">
        <f t="shared" si="61"/>
        <v>"C:\Program Files (x86)\AstroGrep\AstroGrep.exe" /spath="%USERPROFILE%\AppData\Local\Temp\OnboardLogs" /stypes="app*4001*20161118*" /stext=" 02:.+((SYSTEM_STATE.+slice.+state.+changed )|(ment ac)|(system.+state.+changed )|(\[timeout)|(PRM\|1\|D)|(kpr)|(kdp)|(\|lc)|(penalty))" /e /r /s</v>
      </c>
      <c r="AG126" s="1" t="str">
        <f t="shared" si="62"/>
        <v>EC</v>
      </c>
      <c r="AH126" s="92" t="str">
        <f t="shared" si="64"/>
        <v>"%USERPROFILE%\Documents\GitHub\eaglep3\Utilities\RefineRTDCRunTimes.py" --tripid 214-17 --locoid 4001 --swversion DE.1.0.8.0 --startMP 204:233015 --initTime 2016-11-17T18:34:14 --startdatetime 2016-11-17T18:41:40 --delay 2 --endMP 204:138 --enddatetime 2016-11-17T19:22:47 --enforcementcount 0 &gt;&gt;C:\Users\stu\Documents\GitHub\eaglep3-reporting\EC\2016-11-17-refined-times.txt</v>
      </c>
      <c r="AI12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ID","value":"214-17"},{"id":16,"name":"Locomotive ID","value":"4001"},{"id":130,"name":"Impact","value":""},{"id":150,"name":"Time of Event (Mountain Time)","value":"19:22:47"},{"id":151,"name":"Denver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583</v>
      </c>
      <c r="B127" s="7">
        <v>4003</v>
      </c>
      <c r="C127" s="22" t="s">
        <v>220</v>
      </c>
      <c r="D127" s="22" t="s">
        <v>330</v>
      </c>
      <c r="E127" s="13">
        <v>42691.750659722224</v>
      </c>
      <c r="F127" s="13">
        <v>42691.752650462964</v>
      </c>
      <c r="G127" s="7">
        <v>1</v>
      </c>
      <c r="H127" s="22" t="s">
        <v>385</v>
      </c>
      <c r="I127" s="13">
        <v>42691.779861111114</v>
      </c>
      <c r="J127" s="7">
        <v>0</v>
      </c>
      <c r="K127" s="109" t="str">
        <f t="shared" si="49"/>
        <v>4003/4004</v>
      </c>
      <c r="L127" s="22" t="str">
        <f>VLOOKUP(A127,'Trips&amp;Operators'!$C$1:$E$10000,3,FALSE)</f>
        <v>NICHOLSON</v>
      </c>
      <c r="M127" s="6">
        <f t="shared" si="50"/>
        <v>2.7210648149775807E-2</v>
      </c>
      <c r="N127" s="7">
        <f t="shared" si="51"/>
        <v>39.183333335677162</v>
      </c>
      <c r="O127" s="7"/>
      <c r="P127" s="7"/>
      <c r="Q127" s="23"/>
      <c r="R127" s="23"/>
      <c r="S127" s="35">
        <f t="shared" si="52"/>
        <v>1</v>
      </c>
      <c r="T127" s="50" t="str">
        <f t="shared" si="5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17:00:57-700',mode:absolute,to:'2016-11-17 19:43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7" s="52" t="str">
        <f t="shared" si="55"/>
        <v>N</v>
      </c>
      <c r="X127" s="177">
        <f t="shared" si="63"/>
        <v>1</v>
      </c>
      <c r="Y127" s="67">
        <f t="shared" si="56"/>
        <v>4.2900000000000001E-2</v>
      </c>
      <c r="Z127" s="67">
        <f t="shared" si="57"/>
        <v>23.3324</v>
      </c>
      <c r="AA127" s="67">
        <f t="shared" si="58"/>
        <v>23.2895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59"/>
        <v>0215-17</v>
      </c>
      <c r="AE127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27" s="88" t="str">
        <f t="shared" si="61"/>
        <v>"C:\Program Files (x86)\AstroGrep\AstroGrep.exe" /spath="%USERPROFILE%\AppData\Local\Temp\OnboardLogs" /stypes="app*4003*20161118*" /stext=" 01:.+((SYSTEM_STATE.+slice.+state.+changed )|(ment ac)|(system.+state.+changed )|(\[timeout)|(PRM\|1\|D)|(kpr)|(kdp)|(\|lc)|(penalty))" /e /r /s</v>
      </c>
      <c r="AG127" s="1" t="str">
        <f t="shared" si="62"/>
        <v>EC</v>
      </c>
      <c r="AH127" s="92" t="str">
        <f t="shared" si="64"/>
        <v>"%USERPROFILE%\Documents\GitHub\eaglep3\Utilities\RefineRTDCRunTimes.py" --tripid 215-17 --locoid 4003 --swversion DE.1.0.8.0 --startMP 204:429 --initTime 2016-11-17T18:00:57 --startdatetime 2016-11-17T18:03:49 --delay 1 --endMP 204:233324 --enddatetime 2016-11-17T18:43:00 --enforcementcount 0 &gt;&gt;C:\Users\stu\Documents\GitHub\eaglep3-reporting\EC\2016-11-17-refined-times.txt</v>
      </c>
      <c r="AI12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{"issue":{"subject":"","project_id":79,"tracker_id":40,"status_id":1,"priority_id":2,"assigned_to_id":23,"start_date":"2016-11-17","description":"","custom_fields":[{"id":1,"name":"Subdivision","value":"EC"},{"id":4,"name":"Milepost","value":"23.3324"},{"id":17,"name":"Train ID","value":"215-17"},{"id":16,"name":"Locomotive ID","value":"4003"},{"id":130,"name":"Impact","value":""},{"id":150,"name":"Time of Event (Mountain Time)","value":"18:43:00"},{"id":151,"name":"Denver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595</v>
      </c>
      <c r="B128" s="7">
        <v>4004</v>
      </c>
      <c r="C128" s="22" t="s">
        <v>220</v>
      </c>
      <c r="D128" s="22" t="s">
        <v>289</v>
      </c>
      <c r="E128" s="13">
        <v>42691.781689814816</v>
      </c>
      <c r="F128" s="13">
        <v>42691.789571759262</v>
      </c>
      <c r="G128" s="7">
        <v>1</v>
      </c>
      <c r="H128" s="22" t="s">
        <v>327</v>
      </c>
      <c r="I128" s="13">
        <v>42691.819351851853</v>
      </c>
      <c r="J128" s="7">
        <v>0</v>
      </c>
      <c r="K128" s="109" t="str">
        <f t="shared" si="49"/>
        <v>4003/4004</v>
      </c>
      <c r="L128" s="22" t="str">
        <f>VLOOKUP(A128,'Trips&amp;Operators'!$C$1:$E$10000,3,FALSE)</f>
        <v>NICHOLSON</v>
      </c>
      <c r="M128" s="6">
        <f t="shared" si="50"/>
        <v>2.9780092590954155E-2</v>
      </c>
      <c r="N128" s="7">
        <f t="shared" si="51"/>
        <v>42.883333330973983</v>
      </c>
      <c r="O128" s="7"/>
      <c r="P128" s="7"/>
      <c r="Q128" s="23"/>
      <c r="R128" s="23"/>
      <c r="S128" s="35">
        <f t="shared" si="52"/>
        <v>1</v>
      </c>
      <c r="T128" s="50" t="str">
        <f t="shared" si="5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17:45:38-700',mode:absolute,to:'2016-11-17 20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8" s="52" t="str">
        <f t="shared" si="55"/>
        <v>N</v>
      </c>
      <c r="X128" s="177">
        <f t="shared" si="63"/>
        <v>1</v>
      </c>
      <c r="Y128" s="67">
        <f t="shared" si="56"/>
        <v>23.3</v>
      </c>
      <c r="Z128" s="67">
        <f t="shared" si="57"/>
        <v>1.4500000000000001E-2</v>
      </c>
      <c r="AA128" s="67">
        <f t="shared" si="58"/>
        <v>23.285499999999999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59"/>
        <v>0216-17</v>
      </c>
      <c r="AE128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28" s="88" t="str">
        <f t="shared" si="61"/>
        <v>"C:\Program Files (x86)\AstroGrep\AstroGrep.exe" /spath="%USERPROFILE%\AppData\Local\Temp\OnboardLogs" /stypes="app*4004*20161118*" /stext=" 02:.+((SYSTEM_STATE.+slice.+state.+changed )|(ment ac)|(system.+state.+changed )|(\[timeout)|(PRM\|1\|D)|(kpr)|(kdp)|(\|lc)|(penalty))" /e /r /s</v>
      </c>
      <c r="AG128" s="1" t="str">
        <f t="shared" si="62"/>
        <v>EC</v>
      </c>
      <c r="AH128" s="92" t="str">
        <f t="shared" si="64"/>
        <v>"%USERPROFILE%\Documents\GitHub\eaglep3\Utilities\RefineRTDCRunTimes.py" --tripid 216-17 --locoid 4004 --swversion DE.1.0.8.0 --startMP 204:233000 --initTime 2016-11-17T18:45:38 --startdatetime 2016-11-17T18:56:59 --delay 1 --endMP 204:145 --enddatetime 2016-11-17T19:39:52 --enforcementcount 0 &gt;&gt;C:\Users\stu\Documents\GitHub\eaglep3-reporting\EC\2016-11-17-refined-times.txt</v>
      </c>
      <c r="AI12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ID","value":"216-17"},{"id":16,"name":"Locomotive ID","value":"4004"},{"id":130,"name":"Impact","value":""},{"id":150,"name":"Time of Event (Mountain Time)","value":"19:39:52"},{"id":151,"name":"Denver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585</v>
      </c>
      <c r="B129" s="7">
        <v>4014</v>
      </c>
      <c r="C129" s="22" t="s">
        <v>220</v>
      </c>
      <c r="D129" s="22" t="s">
        <v>382</v>
      </c>
      <c r="E129" s="13">
        <v>42691.759733796294</v>
      </c>
      <c r="F129" s="13">
        <v>42691.761412037034</v>
      </c>
      <c r="G129" s="7">
        <v>1</v>
      </c>
      <c r="H129" s="22" t="s">
        <v>642</v>
      </c>
      <c r="I129" s="13">
        <v>42691.794270833336</v>
      </c>
      <c r="J129" s="7">
        <v>0</v>
      </c>
      <c r="K129" s="109" t="str">
        <f t="shared" si="49"/>
        <v>4013/4014</v>
      </c>
      <c r="L129" s="22" t="str">
        <f>VLOOKUP(A129,'Trips&amp;Operators'!$C$1:$E$10000,3,FALSE)</f>
        <v>DELGADO</v>
      </c>
      <c r="M129" s="6">
        <f t="shared" si="50"/>
        <v>3.2858796301297843E-2</v>
      </c>
      <c r="N129" s="7">
        <f t="shared" si="51"/>
        <v>47.316666673868895</v>
      </c>
      <c r="O129" s="7"/>
      <c r="P129" s="7"/>
      <c r="Q129" s="23"/>
      <c r="R129" s="23"/>
      <c r="S129" s="35">
        <f t="shared" si="52"/>
        <v>1</v>
      </c>
      <c r="T129" s="50" t="str">
        <f t="shared" si="5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17:14:01-700',mode:absolute,to:'2016-11-17 20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55"/>
        <v>N</v>
      </c>
      <c r="X129" s="177">
        <f t="shared" si="63"/>
        <v>1</v>
      </c>
      <c r="Y129" s="67">
        <f t="shared" si="56"/>
        <v>4.5499999999999999E-2</v>
      </c>
      <c r="Z129" s="67">
        <f t="shared" si="57"/>
        <v>23.330200000000001</v>
      </c>
      <c r="AA129" s="67">
        <f t="shared" si="58"/>
        <v>23.284700000000001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59"/>
        <v>0217-17</v>
      </c>
      <c r="AE129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29" s="88" t="str">
        <f t="shared" si="61"/>
        <v>"C:\Program Files (x86)\AstroGrep\AstroGrep.exe" /spath="%USERPROFILE%\AppData\Local\Temp\OnboardLogs" /stypes="app*4014*20161118*" /stext=" 02:.+((SYSTEM_STATE.+slice.+state.+changed )|(ment ac)|(system.+state.+changed )|(\[timeout)|(PRM\|1\|D)|(kpr)|(kdp)|(\|lc)|(penalty))" /e /r /s</v>
      </c>
      <c r="AG129" s="1" t="str">
        <f t="shared" si="62"/>
        <v>EC</v>
      </c>
      <c r="AH129" s="92" t="str">
        <f t="shared" si="64"/>
        <v>"%USERPROFILE%\Documents\GitHub\eaglep3\Utilities\RefineRTDCRunTimes.py" --tripid 217-17 --locoid 4014 --swversion DE.1.0.8.0 --startMP 204:455 --initTime 2016-11-17T18:14:01 --startdatetime 2016-11-17T18:16:26 --delay 1 --endMP 204:233302 --enddatetime 2016-11-17T19:03:45 --enforcementcount 0 &gt;&gt;C:\Users\stu\Documents\GitHub\eaglep3-reporting\EC\2016-11-17-refined-times.txt</v>
      </c>
      <c r="AI12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{"issue":{"subject":"","project_id":79,"tracker_id":40,"status_id":1,"priority_id":2,"assigned_to_id":23,"start_date":"2016-11-17","description":"","custom_fields":[{"id":1,"name":"Subdivision","value":"EC"},{"id":4,"name":"Milepost","value":"23.3302"},{"id":17,"name":"Train ID","value":"217-17"},{"id":16,"name":"Locomotive ID","value":"4014"},{"id":130,"name":"Impact","value":""},{"id":150,"name":"Time of Event (Mountain Time)","value":"19:03:45"},{"id":151,"name":"Denver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597</v>
      </c>
      <c r="B130" s="7">
        <v>4013</v>
      </c>
      <c r="C130" s="22" t="s">
        <v>220</v>
      </c>
      <c r="D130" s="22" t="s">
        <v>216</v>
      </c>
      <c r="E130" s="13">
        <v>42691.796203703707</v>
      </c>
      <c r="F130" s="13">
        <v>42691.799618055556</v>
      </c>
      <c r="G130" s="7">
        <v>1</v>
      </c>
      <c r="H130" s="22" t="s">
        <v>301</v>
      </c>
      <c r="I130" s="13">
        <v>42691.82917824074</v>
      </c>
      <c r="J130" s="7">
        <v>0</v>
      </c>
      <c r="K130" s="109" t="str">
        <f t="shared" si="49"/>
        <v>4013/4014</v>
      </c>
      <c r="L130" s="22" t="str">
        <f>VLOOKUP(A130,'Trips&amp;Operators'!$C$1:$E$10000,3,FALSE)</f>
        <v>DELGADO</v>
      </c>
      <c r="M130" s="6">
        <f t="shared" si="50"/>
        <v>2.9560185183072463E-2</v>
      </c>
      <c r="N130" s="7">
        <f t="shared" si="51"/>
        <v>42.566666663624346</v>
      </c>
      <c r="O130" s="7"/>
      <c r="P130" s="7"/>
      <c r="Q130" s="23"/>
      <c r="R130" s="23"/>
      <c r="S130" s="35">
        <f t="shared" si="52"/>
        <v>1</v>
      </c>
      <c r="T130" s="50" t="str">
        <f t="shared" si="5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18:06:32-700',mode:absolute,to:'2016-11-17 20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55"/>
        <v>N</v>
      </c>
      <c r="X130" s="177">
        <f t="shared" si="63"/>
        <v>1</v>
      </c>
      <c r="Y130" s="67">
        <f t="shared" si="56"/>
        <v>23.298500000000001</v>
      </c>
      <c r="Z130" s="67">
        <f t="shared" si="57"/>
        <v>1.32E-2</v>
      </c>
      <c r="AA130" s="67">
        <f t="shared" si="58"/>
        <v>23.285299999999999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59"/>
        <v>0218-17</v>
      </c>
      <c r="AE130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30" s="88" t="str">
        <f t="shared" si="61"/>
        <v>"C:\Program Files (x86)\AstroGrep\AstroGrep.exe" /spath="%USERPROFILE%\AppData\Local\Temp\OnboardLogs" /stypes="app*4013*20161118*" /stext=" 02:.+((SYSTEM_STATE.+slice.+state.+changed )|(ment ac)|(system.+state.+changed )|(\[timeout)|(PRM\|1\|D)|(kpr)|(kdp)|(\|lc)|(penalty))" /e /r /s</v>
      </c>
      <c r="AG130" s="1" t="str">
        <f t="shared" si="62"/>
        <v>EC</v>
      </c>
      <c r="AH130" s="92" t="str">
        <f t="shared" si="64"/>
        <v>"%USERPROFILE%\Documents\GitHub\eaglep3\Utilities\RefineRTDCRunTimes.py" --tripid 218-17 --locoid 4013 --swversion DE.1.0.8.0 --startMP 204:232985 --initTime 2016-11-17T19:06:32 --startdatetime 2016-11-17T19:11:27 --delay 1 --endMP 204:132 --enddatetime 2016-11-17T19:54:01 --enforcementcount 0 &gt;&gt;C:\Users\stu\Documents\GitHub\eaglep3-reporting\EC\2016-11-17-refined-times.txt</v>
      </c>
      <c r="AI13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ID","value":"218-17"},{"id":16,"name":"Locomotive ID","value":"4013"},{"id":130,"name":"Impact","value":""},{"id":150,"name":"Time of Event (Mountain Time)","value":"19:54:01"},{"id":151,"name":"Denver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589</v>
      </c>
      <c r="B131" s="7">
        <v>4038</v>
      </c>
      <c r="C131" s="22" t="s">
        <v>220</v>
      </c>
      <c r="D131" s="22" t="s">
        <v>377</v>
      </c>
      <c r="E131" s="13">
        <v>42691.770601851851</v>
      </c>
      <c r="F131" s="13">
        <v>42691.772268518522</v>
      </c>
      <c r="G131" s="7">
        <v>1</v>
      </c>
      <c r="H131" s="22" t="s">
        <v>695</v>
      </c>
      <c r="I131" s="13">
        <v>42691.798437500001</v>
      </c>
      <c r="J131" s="7">
        <v>0</v>
      </c>
      <c r="K131" s="109" t="str">
        <f t="shared" si="49"/>
        <v>4037/4038</v>
      </c>
      <c r="L131" s="22" t="str">
        <f>VLOOKUP(A131,'Trips&amp;Operators'!$C$1:$E$10000,3,FALSE)</f>
        <v>LOPES</v>
      </c>
      <c r="M131" s="6">
        <f t="shared" si="50"/>
        <v>2.6168981479713693E-2</v>
      </c>
      <c r="N131" s="7">
        <f t="shared" si="51"/>
        <v>37.683333330787718</v>
      </c>
      <c r="O131" s="7"/>
      <c r="P131" s="7"/>
      <c r="Q131" s="23"/>
      <c r="R131" s="23"/>
      <c r="S131" s="35">
        <f t="shared" si="52"/>
        <v>1</v>
      </c>
      <c r="T131" s="50" t="str">
        <f t="shared" si="5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17:29:40-700',mode:absolute,to:'2016-11-17 20:09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1" s="52" t="str">
        <f t="shared" si="55"/>
        <v>N</v>
      </c>
      <c r="X131" s="177">
        <f t="shared" si="63"/>
        <v>1</v>
      </c>
      <c r="Y131" s="67">
        <f t="shared" si="56"/>
        <v>4.9299999999999997E-2</v>
      </c>
      <c r="Z131" s="67">
        <f t="shared" si="57"/>
        <v>23.330500000000001</v>
      </c>
      <c r="AA131" s="67">
        <f t="shared" si="58"/>
        <v>23.281200000000002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59"/>
        <v>0219-17</v>
      </c>
      <c r="AE131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31" s="88" t="str">
        <f t="shared" si="61"/>
        <v>"C:\Program Files (x86)\AstroGrep\AstroGrep.exe" /spath="%USERPROFILE%\AppData\Local\Temp\OnboardLogs" /stypes="app*4038*20161118*" /stext=" 02:.+((SYSTEM_STATE.+slice.+state.+changed )|(ment ac)|(system.+state.+changed )|(\[timeout)|(PRM\|1\|D)|(kpr)|(kdp)|(\|lc)|(penalty))" /e /r /s</v>
      </c>
      <c r="AG131" s="1" t="str">
        <f t="shared" si="62"/>
        <v>EC</v>
      </c>
      <c r="AH131" s="92" t="str">
        <f t="shared" si="64"/>
        <v>"%USERPROFILE%\Documents\GitHub\eaglep3\Utilities\RefineRTDCRunTimes.py" --tripid 219-17 --locoid 4038 --swversion DE.1.0.8.0 --startMP 204:493 --initTime 2016-11-17T18:29:40 --startdatetime 2016-11-17T18:32:04 --delay 1 --endMP 204:233305 --enddatetime 2016-11-17T19:09:45 --enforcementcount 0 &gt;&gt;C:\Users\stu\Documents\GitHub\eaglep3-reporting\EC\2016-11-17-refined-times.txt</v>
      </c>
      <c r="AI13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{"issue":{"subject":"","project_id":79,"tracker_id":40,"status_id":1,"priority_id":2,"assigned_to_id":23,"start_date":"2016-11-17","description":"","custom_fields":[{"id":1,"name":"Subdivision","value":"EC"},{"id":4,"name":"Milepost","value":"23.3305"},{"id":17,"name":"Train ID","value":"219-17"},{"id":16,"name":"Locomotive ID","value":"4038"},{"id":130,"name":"Impact","value":""},{"id":150,"name":"Time of Event (Mountain Time)","value":"19:09:45"},{"id":151,"name":"Denver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598</v>
      </c>
      <c r="B132" s="7">
        <v>4037</v>
      </c>
      <c r="C132" s="22" t="s">
        <v>220</v>
      </c>
      <c r="D132" s="22" t="s">
        <v>376</v>
      </c>
      <c r="E132" s="13">
        <v>42691.800219907411</v>
      </c>
      <c r="F132" s="13">
        <v>42691.810532407406</v>
      </c>
      <c r="G132" s="7">
        <v>1</v>
      </c>
      <c r="H132" s="22" t="s">
        <v>233</v>
      </c>
      <c r="I132" s="13">
        <v>42691.837534722225</v>
      </c>
      <c r="J132" s="7">
        <v>0</v>
      </c>
      <c r="K132" s="109" t="str">
        <f t="shared" si="49"/>
        <v>4037/4038</v>
      </c>
      <c r="L132" s="22" t="str">
        <f>VLOOKUP(A132,'Trips&amp;Operators'!$C$1:$E$10000,3,FALSE)</f>
        <v>LOPES</v>
      </c>
      <c r="M132" s="6">
        <f t="shared" si="50"/>
        <v>2.7002314818673767E-2</v>
      </c>
      <c r="N132" s="7">
        <f t="shared" si="51"/>
        <v>38.883333338890225</v>
      </c>
      <c r="O132" s="7"/>
      <c r="P132" s="7"/>
      <c r="Q132" s="23"/>
      <c r="R132" s="23"/>
      <c r="S132" s="35">
        <f t="shared" si="52"/>
        <v>1</v>
      </c>
      <c r="T132" s="50" t="str">
        <f t="shared" si="5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18:12:19-700',mode:absolute,to:'2016-11-17 21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2" s="52" t="str">
        <f t="shared" si="55"/>
        <v>N</v>
      </c>
      <c r="X132" s="177">
        <f t="shared" si="63"/>
        <v>1</v>
      </c>
      <c r="Y132" s="67">
        <f t="shared" si="56"/>
        <v>23.298200000000001</v>
      </c>
      <c r="Z132" s="67">
        <f t="shared" si="57"/>
        <v>1.6E-2</v>
      </c>
      <c r="AA132" s="67">
        <f t="shared" si="58"/>
        <v>23.282200000000003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59"/>
        <v>0220-17</v>
      </c>
      <c r="AE132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32" s="88" t="str">
        <f t="shared" si="61"/>
        <v>"C:\Program Files (x86)\AstroGrep\AstroGrep.exe" /spath="%USERPROFILE%\AppData\Local\Temp\OnboardLogs" /stypes="app*4037*20161118*" /stext=" 03:.+((SYSTEM_STATE.+slice.+state.+changed )|(ment ac)|(system.+state.+changed )|(\[timeout)|(PRM\|1\|D)|(kpr)|(kdp)|(\|lc)|(penalty))" /e /r /s</v>
      </c>
      <c r="AG132" s="1" t="str">
        <f t="shared" si="62"/>
        <v>EC</v>
      </c>
      <c r="AH132" s="92" t="str">
        <f t="shared" si="64"/>
        <v>"%USERPROFILE%\Documents\GitHub\eaglep3\Utilities\RefineRTDCRunTimes.py" --tripid 220-17 --locoid 4037 --swversion DE.1.0.8.0 --startMP 204:232982 --initTime 2016-11-17T19:12:19 --startdatetime 2016-11-17T19:27:10 --delay 1 --endMP 204:160 --enddatetime 2016-11-17T20:06:03 --enforcementcount 0 &gt;&gt;C:\Users\stu\Documents\GitHub\eaglep3-reporting\EC\2016-11-17-refined-times.txt</v>
      </c>
      <c r="AI13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ID","value":"220-17"},{"id":16,"name":"Locomotive ID","value":"4037"},{"id":130,"name":"Impact","value":""},{"id":150,"name":"Time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596</v>
      </c>
      <c r="B133" s="7">
        <v>4022</v>
      </c>
      <c r="C133" s="22" t="s">
        <v>220</v>
      </c>
      <c r="D133" s="22" t="s">
        <v>198</v>
      </c>
      <c r="E133" s="13">
        <v>42691.790601851855</v>
      </c>
      <c r="F133" s="13">
        <v>42691.792175925926</v>
      </c>
      <c r="G133" s="7">
        <v>1</v>
      </c>
      <c r="H133" s="22" t="s">
        <v>379</v>
      </c>
      <c r="I133" s="13">
        <v>42691.818402777775</v>
      </c>
      <c r="J133" s="7">
        <v>0</v>
      </c>
      <c r="K133" s="109" t="str">
        <f t="shared" si="49"/>
        <v>4021/4022</v>
      </c>
      <c r="L133" s="22" t="str">
        <f>VLOOKUP(A133,'Trips&amp;Operators'!$C$1:$E$10000,3,FALSE)</f>
        <v>SMITH</v>
      </c>
      <c r="M133" s="6">
        <f t="shared" si="50"/>
        <v>2.622685184906004E-2</v>
      </c>
      <c r="N133" s="7">
        <f t="shared" si="51"/>
        <v>37.766666662646458</v>
      </c>
      <c r="O133" s="7"/>
      <c r="P133" s="7"/>
      <c r="Q133" s="23"/>
      <c r="R133" s="23"/>
      <c r="S133" s="35">
        <f t="shared" si="52"/>
        <v>1</v>
      </c>
      <c r="T133" s="50" t="str">
        <f t="shared" si="5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17:58:28-700',mode:absolute,to:'2016-11-17 20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3" s="52" t="str">
        <f t="shared" si="55"/>
        <v>N</v>
      </c>
      <c r="X133" s="177">
        <f t="shared" si="63"/>
        <v>1</v>
      </c>
      <c r="Y133" s="67">
        <f t="shared" si="56"/>
        <v>4.4699999999999997E-2</v>
      </c>
      <c r="Z133" s="67">
        <f t="shared" si="57"/>
        <v>23.331399999999999</v>
      </c>
      <c r="AA133" s="67">
        <f t="shared" si="58"/>
        <v>23.2867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59"/>
        <v>0221-17</v>
      </c>
      <c r="AE133" s="91" t="str">
        <f t="shared" si="60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33" s="88" t="str">
        <f t="shared" si="61"/>
        <v>"C:\Program Files (x86)\AstroGrep\AstroGrep.exe" /spath="%USERPROFILE%\AppData\Local\Temp\OnboardLogs" /stypes="app*4022*20161118*" /stext=" 02:.+((SYSTEM_STATE.+slice.+state.+changed )|(ment ac)|(system.+state.+changed )|(\[timeout)|(PRM\|1\|D)|(kpr)|(kdp)|(\|lc)|(penalty))" /e /r /s</v>
      </c>
      <c r="AG133" s="1" t="str">
        <f t="shared" si="62"/>
        <v>EC</v>
      </c>
      <c r="AH133" s="92" t="str">
        <f t="shared" si="64"/>
        <v>"%USERPROFILE%\Documents\GitHub\eaglep3\Utilities\RefineRTDCRunTimes.py" --tripid 221-17 --locoid 4022 --swversion DE.1.0.8.0 --startMP 204:447 --initTime 2016-11-17T18:58:28 --startdatetime 2016-11-17T19:00:44 --delay 1 --endMP 204:233314 --enddatetime 2016-11-17T19:38:30 --enforcementcount 0 &gt;&gt;C:\Users\stu\Documents\GitHub\eaglep3-reporting\EC\2016-11-17-refined-times.txt</v>
      </c>
      <c r="AI13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ID","value":"221-17"},{"id":16,"name":"Locomotive ID","value":"4022"},{"id":130,"name":"Impact","value":""},{"id":150,"name":"Time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602</v>
      </c>
      <c r="B134" s="7">
        <v>4021</v>
      </c>
      <c r="C134" s="22" t="s">
        <v>220</v>
      </c>
      <c r="D134" s="22" t="s">
        <v>388</v>
      </c>
      <c r="E134" s="13">
        <v>42691.824282407404</v>
      </c>
      <c r="F134" s="13">
        <v>42691.830891203703</v>
      </c>
      <c r="G134" s="7">
        <v>2</v>
      </c>
      <c r="H134" s="22" t="s">
        <v>327</v>
      </c>
      <c r="I134" s="13">
        <v>42691.8594212963</v>
      </c>
      <c r="J134" s="7">
        <v>0</v>
      </c>
      <c r="K134" s="109" t="str">
        <f t="shared" si="49"/>
        <v>4021/4022</v>
      </c>
      <c r="L134" s="22" t="str">
        <f>VLOOKUP(A134,'Trips&amp;Operators'!$C$1:$E$10000,3,FALSE)</f>
        <v>SMITH</v>
      </c>
      <c r="M134" s="6">
        <f t="shared" si="50"/>
        <v>2.8530092597065959E-2</v>
      </c>
      <c r="N134" s="7">
        <f t="shared" si="51"/>
        <v>41.083333339774981</v>
      </c>
      <c r="O134" s="7"/>
      <c r="P134" s="7"/>
      <c r="Q134" s="23"/>
      <c r="R134" s="23"/>
      <c r="S134" s="35">
        <f t="shared" si="52"/>
        <v>1</v>
      </c>
      <c r="T134" s="50" t="str">
        <f t="shared" si="5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18:46:58-700',mode:absolute,to:'2016-11-17 21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4" s="52" t="str">
        <f t="shared" si="55"/>
        <v>N</v>
      </c>
      <c r="X134" s="177">
        <f t="shared" si="63"/>
        <v>1</v>
      </c>
      <c r="Y134" s="67">
        <f t="shared" si="56"/>
        <v>23.3002</v>
      </c>
      <c r="Z134" s="67">
        <f t="shared" si="57"/>
        <v>1.4500000000000001E-2</v>
      </c>
      <c r="AA134" s="67">
        <f t="shared" si="58"/>
        <v>23.285699999999999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59"/>
        <v>0222-17</v>
      </c>
      <c r="AE134" s="91" t="str">
        <f t="shared" si="60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34" s="88" t="str">
        <f t="shared" si="61"/>
        <v>"C:\Program Files (x86)\AstroGrep\AstroGrep.exe" /spath="%USERPROFILE%\AppData\Local\Temp\OnboardLogs" /stypes="app*4021*20161118*" /stext=" 03:.+((SYSTEM_STATE.+slice.+state.+changed )|(ment ac)|(system.+state.+changed )|(\[timeout)|(PRM\|1\|D)|(kpr)|(kdp)|(\|lc)|(penalty))" /e /r /s</v>
      </c>
      <c r="AG134" s="1" t="str">
        <f t="shared" si="62"/>
        <v>EC</v>
      </c>
      <c r="AH134" s="92" t="str">
        <f t="shared" si="64"/>
        <v>"%USERPROFILE%\Documents\GitHub\eaglep3\Utilities\RefineRTDCRunTimes.py" --tripid 222-17 --locoid 4021 --swversion DE.1.0.8.0 --startMP 204:233002 --initTime 2016-11-17T19:46:58 --startdatetime 2016-11-17T19:56:29 --delay 2 --endMP 204:145 --enddatetime 2016-11-17T20:37:34 --enforcementcount 0 &gt;&gt;C:\Users\stu\Documents\GitHub\eaglep3-reporting\EC\2016-11-17-refined-times.txt</v>
      </c>
      <c r="AI13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ID","value":"222-17"},{"id":16,"name":"Locomotive ID","value":"4021"},{"id":130,"name":"Impact","value":""},{"id":150,"name":"Time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600</v>
      </c>
      <c r="B135" s="7">
        <v>4002</v>
      </c>
      <c r="C135" s="22" t="s">
        <v>220</v>
      </c>
      <c r="D135" s="22" t="s">
        <v>222</v>
      </c>
      <c r="E135" s="13">
        <v>42691.81113425926</v>
      </c>
      <c r="F135" s="13">
        <v>42691.812789351854</v>
      </c>
      <c r="G135" s="7">
        <v>1</v>
      </c>
      <c r="H135" s="22" t="s">
        <v>698</v>
      </c>
      <c r="I135" s="13">
        <v>42691.839560185188</v>
      </c>
      <c r="J135" s="7">
        <v>0</v>
      </c>
      <c r="K135" s="109" t="str">
        <f t="shared" si="49"/>
        <v>4001/4002</v>
      </c>
      <c r="L135" s="22" t="str">
        <f>VLOOKUP(A135,'Trips&amp;Operators'!$C$1:$E$10000,3,FALSE)</f>
        <v>BERLING</v>
      </c>
      <c r="M135" s="6">
        <f t="shared" si="50"/>
        <v>2.6770833334012423E-2</v>
      </c>
      <c r="N135" s="7">
        <f t="shared" si="51"/>
        <v>38.550000000977889</v>
      </c>
      <c r="O135" s="7"/>
      <c r="P135" s="7"/>
      <c r="Q135" s="23"/>
      <c r="R135" s="23"/>
      <c r="S135" s="35">
        <f t="shared" si="52"/>
        <v>1</v>
      </c>
      <c r="T135" s="50" t="str">
        <f t="shared" si="5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18:28:02-700',mode:absolute,to:'2016-11-17 21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5" s="52" t="str">
        <f t="shared" si="55"/>
        <v>N</v>
      </c>
      <c r="X135" s="177">
        <f t="shared" si="63"/>
        <v>1</v>
      </c>
      <c r="Y135" s="67">
        <f t="shared" si="56"/>
        <v>4.58E-2</v>
      </c>
      <c r="Z135" s="67">
        <f t="shared" si="57"/>
        <v>23.334599999999998</v>
      </c>
      <c r="AA135" s="67">
        <f t="shared" si="58"/>
        <v>23.288799999999998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59"/>
        <v>0223-17</v>
      </c>
      <c r="AE13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35" s="88" t="str">
        <f t="shared" si="61"/>
        <v>"C:\Program Files (x86)\AstroGrep\AstroGrep.exe" /spath="%USERPROFILE%\AppData\Local\Temp\OnboardLogs" /stypes="app*4002*20161118*" /stext=" 03:.+((SYSTEM_STATE.+slice.+state.+changed )|(ment ac)|(system.+state.+changed )|(\[timeout)|(PRM\|1\|D)|(kpr)|(kdp)|(\|lc)|(penalty))" /e /r /s</v>
      </c>
      <c r="AG135" s="1" t="str">
        <f t="shared" si="62"/>
        <v>EC</v>
      </c>
      <c r="AH135" s="92" t="str">
        <f t="shared" si="64"/>
        <v>"%USERPROFILE%\Documents\GitHub\eaglep3\Utilities\RefineRTDCRunTimes.py" --tripid 223-17 --locoid 4002 --swversion DE.1.0.8.0 --startMP 204:458 --initTime 2016-11-17T19:28:02 --startdatetime 2016-11-17T19:30:25 --delay 1 --endMP 204:233346 --enddatetime 2016-11-17T20:08:58 --enforcementcount 0 &gt;&gt;C:\Users\stu\Documents\GitHub\eaglep3-reporting\EC\2016-11-17-refined-times.txt</v>
      </c>
      <c r="AI13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{"issue":{"subject":"","project_id":79,"tracker_id":40,"status_id":1,"priority_id":2,"assigned_to_id":23,"start_date":"2016-11-17","description":"","custom_fields":[{"id":1,"name":"Subdivision","value":"EC"},{"id":4,"name":"Milepost","value":"23.3346"},{"id":17,"name":"Train ID","value":"223-17"},{"id":16,"name":"Locomotive ID","value":"4002"},{"id":130,"name":"Impact","value":""},{"id":150,"name":"Time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4001</v>
      </c>
      <c r="C136" s="22" t="s">
        <v>220</v>
      </c>
      <c r="D136" s="22" t="s">
        <v>694</v>
      </c>
      <c r="E136" s="13">
        <v>42691.846296296295</v>
      </c>
      <c r="F136" s="13">
        <v>42691.851643518516</v>
      </c>
      <c r="G136" s="7">
        <v>1</v>
      </c>
      <c r="H136" s="22" t="s">
        <v>699</v>
      </c>
      <c r="I136" s="13">
        <v>42691.880659722221</v>
      </c>
      <c r="J136" s="7">
        <v>0</v>
      </c>
      <c r="K136" s="109" t="str">
        <f t="shared" si="49"/>
        <v>4001/4002</v>
      </c>
      <c r="L136" s="22" t="str">
        <f>VLOOKUP(A136,'Trips&amp;Operators'!$C$1:$E$10000,3,FALSE)</f>
        <v>BERLING</v>
      </c>
      <c r="M136" s="6">
        <f t="shared" si="50"/>
        <v>2.9016203705396038E-2</v>
      </c>
      <c r="N136" s="7">
        <f t="shared" si="51"/>
        <v>41.783333335770294</v>
      </c>
      <c r="O136" s="7"/>
      <c r="P136" s="7"/>
      <c r="Q136" s="23"/>
      <c r="R136" s="23"/>
      <c r="S136" s="35">
        <f t="shared" si="52"/>
        <v>1</v>
      </c>
      <c r="T136" s="50" t="str">
        <f t="shared" si="5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19:18:40-700',mode:absolute,to:'2016-11-17 22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6" s="52" t="str">
        <f t="shared" si="55"/>
        <v>N</v>
      </c>
      <c r="X136" s="177">
        <f t="shared" si="63"/>
        <v>1</v>
      </c>
      <c r="Y136" s="67">
        <f t="shared" si="56"/>
        <v>23.302700000000002</v>
      </c>
      <c r="Z136" s="67">
        <f t="shared" si="57"/>
        <v>1.2500000000000001E-2</v>
      </c>
      <c r="AA136" s="67">
        <f t="shared" si="58"/>
        <v>23.290200000000002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59"/>
        <v>0224-17</v>
      </c>
      <c r="AE13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36" s="88" t="str">
        <f t="shared" si="61"/>
        <v>"C:\Program Files (x86)\AstroGrep\AstroGrep.exe" /spath="%USERPROFILE%\AppData\Local\Temp\OnboardLogs" /stypes="app*4001*20161118*" /stext=" 04:.+((SYSTEM_STATE.+slice.+state.+changed )|(ment ac)|(system.+state.+changed )|(\[timeout)|(PRM\|1\|D)|(kpr)|(kdp)|(\|lc)|(penalty))" /e /r /s</v>
      </c>
      <c r="AG136" s="1" t="str">
        <f t="shared" si="62"/>
        <v>EC</v>
      </c>
      <c r="AH136" s="92" t="str">
        <f t="shared" si="64"/>
        <v>"%USERPROFILE%\Documents\GitHub\eaglep3\Utilities\RefineRTDCRunTimes.py" --tripid 224-17 --locoid 4001 --swversion DE.1.0.8.0 --startMP 204:233027 --initTime 2016-11-17T20:18:40 --startdatetime 2016-11-17T20:26:22 --delay 1 --endMP 204:125 --enddatetime 2016-11-17T21:08:09 --enforcementcount 0 &gt;&gt;C:\Users\stu\Documents\GitHub\eaglep3-reporting\EC\2016-11-17-refined-times.txt</v>
      </c>
      <c r="AI13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{"issue":{"subject":"","project_id":79,"tracker_id":40,"status_id":1,"priority_id":2,"assigned_to_id":23,"start_date":"2016-11-17","description":"","custom_fields":[{"id":1,"name":"Subdivision","value":"EC"},{"id":4,"name":"Milepost","value":"0.0125"},{"id":17,"name":"Train ID","value":"224-17"},{"id":16,"name":"Locomotive ID","value":"4001"},{"id":130,"name":"Impact","value":""},{"id":150,"name":"Time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603</v>
      </c>
      <c r="B137" s="7">
        <v>4014</v>
      </c>
      <c r="C137" s="22" t="s">
        <v>220</v>
      </c>
      <c r="D137" s="22" t="s">
        <v>272</v>
      </c>
      <c r="E137" s="13">
        <v>42691.831122685187</v>
      </c>
      <c r="F137" s="13">
        <v>42691.833703703705</v>
      </c>
      <c r="G137" s="7">
        <v>1</v>
      </c>
      <c r="H137" s="22" t="s">
        <v>291</v>
      </c>
      <c r="I137" s="13">
        <v>42691.860879629632</v>
      </c>
      <c r="J137" s="7">
        <v>0</v>
      </c>
      <c r="K137" s="109" t="str">
        <f t="shared" si="49"/>
        <v>4013/4014</v>
      </c>
      <c r="L137" s="22" t="str">
        <f>VLOOKUP(A137,'Trips&amp;Operators'!$C$1:$E$10000,3,FALSE)</f>
        <v>DELGADO</v>
      </c>
      <c r="M137" s="6">
        <f t="shared" si="50"/>
        <v>2.7175925926712807E-2</v>
      </c>
      <c r="N137" s="7">
        <f t="shared" si="51"/>
        <v>39.133333334466442</v>
      </c>
      <c r="O137" s="7"/>
      <c r="P137" s="7"/>
      <c r="Q137" s="23"/>
      <c r="R137" s="23"/>
      <c r="S137" s="35">
        <f t="shared" si="52"/>
        <v>1</v>
      </c>
      <c r="T137" s="50" t="str">
        <f t="shared" si="5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18:56:49-700',mode:absolute,to:'2016-11-17 21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7" s="52" t="str">
        <f t="shared" si="55"/>
        <v>N</v>
      </c>
      <c r="X137" s="177">
        <f t="shared" si="63"/>
        <v>1</v>
      </c>
      <c r="Y137" s="67">
        <f t="shared" si="56"/>
        <v>4.6600000000000003E-2</v>
      </c>
      <c r="Z137" s="67">
        <f t="shared" si="57"/>
        <v>23.328900000000001</v>
      </c>
      <c r="AA137" s="67">
        <f t="shared" si="58"/>
        <v>23.282299999999999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59"/>
        <v>0225-17</v>
      </c>
      <c r="AE137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37" s="88" t="str">
        <f t="shared" si="61"/>
        <v>"C:\Program Files (x86)\AstroGrep\AstroGrep.exe" /spath="%USERPROFILE%\AppData\Local\Temp\OnboardLogs" /stypes="app*4014*20161118*" /stext=" 03:.+((SYSTEM_STATE.+slice.+state.+changed )|(ment ac)|(system.+state.+changed )|(\[timeout)|(PRM\|1\|D)|(kpr)|(kdp)|(\|lc)|(penalty))" /e /r /s</v>
      </c>
      <c r="AG137" s="1" t="str">
        <f t="shared" si="62"/>
        <v>EC</v>
      </c>
      <c r="AH137" s="92" t="str">
        <f t="shared" si="64"/>
        <v>"%USERPROFILE%\Documents\GitHub\eaglep3\Utilities\RefineRTDCRunTimes.py" --tripid 225-17 --locoid 4014 --swversion DE.1.0.8.0 --startMP 204:466 --initTime 2016-11-17T19:56:49 --startdatetime 2016-11-17T20:00:32 --delay 1 --endMP 204:233289 --enddatetime 2016-11-17T20:39:40 --enforcementcount 0 &gt;&gt;C:\Users\stu\Documents\GitHub\eaglep3-reporting\EC\2016-11-17-refined-times.txt</v>
      </c>
      <c r="AI13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{"issue":{"subject":"","project_id":79,"tracker_id":40,"status_id":1,"priority_id":2,"assigned_to_id":23,"start_date":"2016-11-17","description":"","custom_fields":[{"id":1,"name":"Subdivision","value":"EC"},{"id":4,"name":"Milepost","value":"23.3289"},{"id":17,"name":"Train ID","value":"225-17"},{"id":16,"name":"Locomotive ID","value":"4014"},{"id":130,"name":"Impact","value":""},{"id":150,"name":"Time of Event (Mountain Time)","value":"20:39:40"},{"id":151,"name":"Denver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608</v>
      </c>
      <c r="B138" s="7">
        <v>4013</v>
      </c>
      <c r="C138" s="22" t="s">
        <v>220</v>
      </c>
      <c r="D138" s="22" t="s">
        <v>700</v>
      </c>
      <c r="E138" s="13">
        <v>42691.864351851851</v>
      </c>
      <c r="F138" s="13">
        <v>42691.872534722221</v>
      </c>
      <c r="G138" s="7">
        <v>1</v>
      </c>
      <c r="H138" s="22" t="s">
        <v>367</v>
      </c>
      <c r="I138" s="13">
        <v>42691.901377314818</v>
      </c>
      <c r="J138" s="7">
        <v>0</v>
      </c>
      <c r="K138" s="109" t="str">
        <f t="shared" si="49"/>
        <v>4013/4014</v>
      </c>
      <c r="L138" s="22" t="str">
        <f>VLOOKUP(A138,'Trips&amp;Operators'!$C$1:$E$10000,3,FALSE)</f>
        <v>DELGADO</v>
      </c>
      <c r="M138" s="6">
        <f t="shared" si="50"/>
        <v>2.8842592597356997E-2</v>
      </c>
      <c r="N138" s="7">
        <f t="shared" si="51"/>
        <v>41.533333340194076</v>
      </c>
      <c r="O138" s="7"/>
      <c r="P138" s="7"/>
      <c r="Q138" s="23"/>
      <c r="R138" s="23"/>
      <c r="S138" s="35">
        <f t="shared" si="52"/>
        <v>1</v>
      </c>
      <c r="T138" s="50" t="str">
        <f t="shared" si="5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19:44:40-700',mode:absolute,to:'2016-11-17 22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8" s="52" t="str">
        <f t="shared" si="55"/>
        <v>N</v>
      </c>
      <c r="X138" s="177">
        <f t="shared" si="63"/>
        <v>1</v>
      </c>
      <c r="Y138" s="67">
        <f t="shared" si="56"/>
        <v>23.296600000000002</v>
      </c>
      <c r="Z138" s="67">
        <f t="shared" si="57"/>
        <v>1.47E-2</v>
      </c>
      <c r="AA138" s="67">
        <f t="shared" si="58"/>
        <v>23.2819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59"/>
        <v>0226-17</v>
      </c>
      <c r="AE138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38" s="88" t="str">
        <f t="shared" si="61"/>
        <v>"C:\Program Files (x86)\AstroGrep\AstroGrep.exe" /spath="%USERPROFILE%\AppData\Local\Temp\OnboardLogs" /stypes="app*4013*20161118*" /stext=" 04:.+((SYSTEM_STATE.+slice.+state.+changed )|(ment ac)|(system.+state.+changed )|(\[timeout)|(PRM\|1\|D)|(kpr)|(kdp)|(\|lc)|(penalty))" /e /r /s</v>
      </c>
      <c r="AG138" s="1" t="str">
        <f t="shared" si="62"/>
        <v>EC</v>
      </c>
      <c r="AH138" s="92" t="str">
        <f t="shared" si="64"/>
        <v>"%USERPROFILE%\Documents\GitHub\eaglep3\Utilities\RefineRTDCRunTimes.py" --tripid 226-17 --locoid 4013 --swversion DE.1.0.8.0 --startMP 204:232966 --initTime 2016-11-17T20:44:40 --startdatetime 2016-11-17T20:56:27 --delay 1 --endMP 204:147 --enddatetime 2016-11-17T21:37:59 --enforcementcount 0 &gt;&gt;C:\Users\stu\Documents\GitHub\eaglep3-reporting\EC\2016-11-17-refined-times.txt</v>
      </c>
      <c r="AI13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{"issue":{"subject":"","project_id":79,"tracker_id":40,"status_id":1,"priority_id":2,"assigned_to_id":23,"start_date":"2016-11-17","description":"","custom_fields":[{"id":1,"name":"Subdivision","value":"EC"},{"id":4,"name":"Milepost","value":"0.0147"},{"id":17,"name":"Train ID","value":"226-17"},{"id":16,"name":"Locomotive ID","value":"4013"},{"id":130,"name":"Impact","value":""},{"id":150,"name":"Time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604</v>
      </c>
      <c r="B139" s="7">
        <v>4038</v>
      </c>
      <c r="C139" s="22" t="s">
        <v>220</v>
      </c>
      <c r="D139" s="22" t="s">
        <v>690</v>
      </c>
      <c r="E139" s="13">
        <v>42691.841377314813</v>
      </c>
      <c r="F139" s="13">
        <v>42691.854386574072</v>
      </c>
      <c r="G139" s="7">
        <v>1</v>
      </c>
      <c r="H139" s="22" t="s">
        <v>701</v>
      </c>
      <c r="I139" s="13">
        <v>42691.879803240743</v>
      </c>
      <c r="J139" s="7">
        <v>0</v>
      </c>
      <c r="K139" s="109" t="str">
        <f t="shared" si="49"/>
        <v>4037/4038</v>
      </c>
      <c r="L139" s="22" t="str">
        <f>VLOOKUP(A139,'Trips&amp;Operators'!$C$1:$E$10000,3,FALSE)</f>
        <v>LOPES</v>
      </c>
      <c r="M139" s="6">
        <f t="shared" si="50"/>
        <v>2.5416666670935228E-2</v>
      </c>
      <c r="N139" s="7">
        <f t="shared" si="51"/>
        <v>36.600000006146729</v>
      </c>
      <c r="O139" s="7"/>
      <c r="P139" s="7"/>
      <c r="Q139" s="23"/>
      <c r="R139" s="23"/>
      <c r="S139" s="35">
        <f t="shared" si="52"/>
        <v>1</v>
      </c>
      <c r="T139" s="50" t="str">
        <f t="shared" si="5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19:11:35-700',mode:absolute,to:'2016-11-17 22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9" s="52" t="str">
        <f t="shared" si="55"/>
        <v>N</v>
      </c>
      <c r="X139" s="177">
        <f t="shared" si="63"/>
        <v>1</v>
      </c>
      <c r="Y139" s="67">
        <f t="shared" si="56"/>
        <v>4.2200000000000001E-2</v>
      </c>
      <c r="Z139" s="67">
        <f t="shared" si="57"/>
        <v>23.334700000000002</v>
      </c>
      <c r="AA139" s="67">
        <f t="shared" si="58"/>
        <v>23.2925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59"/>
        <v>0227-17</v>
      </c>
      <c r="AE139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39" s="88" t="str">
        <f t="shared" si="61"/>
        <v>"C:\Program Files (x86)\AstroGrep\AstroGrep.exe" /spath="%USERPROFILE%\AppData\Local\Temp\OnboardLogs" /stypes="app*4038*20161118*" /stext=" 04:.+((SYSTEM_STATE.+slice.+state.+changed )|(ment ac)|(system.+state.+changed )|(\[timeout)|(PRM\|1\|D)|(kpr)|(kdp)|(\|lc)|(penalty))" /e /r /s</v>
      </c>
      <c r="AG139" s="1" t="str">
        <f t="shared" si="62"/>
        <v>EC</v>
      </c>
      <c r="AH139" s="92" t="str">
        <f t="shared" si="64"/>
        <v>"%USERPROFILE%\Documents\GitHub\eaglep3\Utilities\RefineRTDCRunTimes.py" --tripid 227-17 --locoid 4038 --swversion DE.1.0.8.0 --startMP 204:422 --initTime 2016-11-17T20:11:35 --startdatetime 2016-11-17T20:30:19 --delay 1 --endMP 204:233347 --enddatetime 2016-11-17T21:06:55 --enforcementcount 0 &gt;&gt;C:\Users\stu\Documents\GitHub\eaglep3-reporting\EC\2016-11-17-refined-times.txt</v>
      </c>
      <c r="AI13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{"issue":{"subject":"","project_id":79,"tracker_id":40,"status_id":1,"priority_id":2,"assigned_to_id":23,"start_date":"2016-11-17","description":"","custom_fields":[{"id":1,"name":"Subdivision","value":"EC"},{"id":4,"name":"Milepost","value":"23.3347"},{"id":17,"name":"Train ID","value":"227-17"},{"id":16,"name":"Locomotive ID","value":"4038"},{"id":130,"name":"Impact","value":""},{"id":150,"name":"Time of Event (Mountain Time)","value":"21:06:55"},{"id":151,"name":"Denver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447</v>
      </c>
      <c r="B140" s="7">
        <v>4037</v>
      </c>
      <c r="C140" s="22" t="s">
        <v>220</v>
      </c>
      <c r="D140" s="22" t="s">
        <v>700</v>
      </c>
      <c r="E140" s="13">
        <v>42691.889444444445</v>
      </c>
      <c r="F140" s="13">
        <v>42691.89340277778</v>
      </c>
      <c r="G140" s="7">
        <v>1</v>
      </c>
      <c r="H140" s="22" t="s">
        <v>702</v>
      </c>
      <c r="I140" s="13">
        <v>42691.921446759261</v>
      </c>
      <c r="J140" s="7">
        <v>0</v>
      </c>
      <c r="K140" s="109" t="str">
        <f t="shared" si="49"/>
        <v>4037/4038</v>
      </c>
      <c r="L140" s="22" t="str">
        <f>VLOOKUP(A140,'Trips&amp;Operators'!$C$1:$E$10000,3,FALSE)</f>
        <v>LOPES</v>
      </c>
      <c r="M140" s="6">
        <f t="shared" si="50"/>
        <v>2.8043981481459923E-2</v>
      </c>
      <c r="N140" s="7">
        <f t="shared" si="51"/>
        <v>40.383333333302289</v>
      </c>
      <c r="O140" s="7"/>
      <c r="P140" s="7"/>
      <c r="Q140" s="23"/>
      <c r="R140" s="23"/>
      <c r="S140" s="35">
        <f t="shared" si="52"/>
        <v>1</v>
      </c>
      <c r="T140" s="50" t="str">
        <f t="shared" si="5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0" s="52" t="str">
        <f t="shared" si="55"/>
        <v>N</v>
      </c>
      <c r="X140" s="177">
        <f t="shared" si="63"/>
        <v>1</v>
      </c>
      <c r="Y140" s="67">
        <f t="shared" si="56"/>
        <v>23.296600000000002</v>
      </c>
      <c r="Z140" s="67">
        <f t="shared" si="57"/>
        <v>1.8700000000000001E-2</v>
      </c>
      <c r="AA140" s="67">
        <f t="shared" si="58"/>
        <v>23.277900000000002</v>
      </c>
      <c r="AB140" s="64" t="str">
        <f>VLOOKUP(A140,Enforcements!$C$7:$K$20,8,0)</f>
        <v>Speed (6)</v>
      </c>
      <c r="AC140" s="60" t="str">
        <f>VLOOKUP(A140,Enforcements!$C$7:$E$20,3,0)</f>
        <v>PERMANENT SPEED RESTRICTION</v>
      </c>
      <c r="AD140" s="61" t="str">
        <f t="shared" si="59"/>
        <v>0228-17</v>
      </c>
      <c r="AE140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40" s="88" t="str">
        <f t="shared" si="61"/>
        <v>"C:\Program Files (x86)\AstroGrep\AstroGrep.exe" /spath="%USERPROFILE%\AppData\Local\Temp\OnboardLogs" /stypes="app*4037*20161118*" /stext=" 05:.+((SYSTEM_STATE.+slice.+state.+changed )|(ment ac)|(system.+state.+changed )|(\[timeout)|(PRM\|1\|D)|(kpr)|(kdp)|(\|lc)|(penalty))" /e /r /s</v>
      </c>
      <c r="AG140" s="1" t="str">
        <f t="shared" si="62"/>
        <v>EC</v>
      </c>
      <c r="AH140" s="92" t="str">
        <f t="shared" si="64"/>
        <v>"%USERPROFILE%\Documents\GitHub\eaglep3\Utilities\RefineRTDCRunTimes.py" --tripid 228-17 --locoid 4037 --swversion DE.1.0.8.0 --startMP 204:232966 --initTime 2016-11-17T21:20:48 --startdatetime 2016-11-17T21:26:30 --delay 1 --endMP 204:187 --enddatetime 2016-11-17T22:06:53 --enforcementcount 0 &gt;&gt;C:\Users\stu\Documents\GitHub\eaglep3-reporting\EC\2016-11-17-refined-times.txt</v>
      </c>
      <c r="AI14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{"issue":{"subject":"","project_id":79,"tracker_id":40,"status_id":1,"priority_id":2,"assigned_to_id":23,"start_date":"2016-11-17","description":"","custom_fields":[{"id":1,"name":"Subdivision","value":"EC"},{"id":4,"name":"Milepost","value":"0.0187"},{"id":17,"name":"Train ID","value":"228-17"},{"id":16,"name":"Locomotive ID","value":"4037"},{"id":130,"name":"Impact","value":""},{"id":150,"name":"Time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609</v>
      </c>
      <c r="B141" s="7">
        <v>4022</v>
      </c>
      <c r="C141" s="22" t="s">
        <v>220</v>
      </c>
      <c r="D141" s="22" t="s">
        <v>248</v>
      </c>
      <c r="E141" s="13">
        <v>42691.865902777776</v>
      </c>
      <c r="F141" s="13">
        <v>42691.875497685185</v>
      </c>
      <c r="G141" s="7">
        <v>5</v>
      </c>
      <c r="H141" s="22" t="s">
        <v>200</v>
      </c>
      <c r="I141" s="13">
        <v>42691.901782407411</v>
      </c>
      <c r="J141" s="7">
        <v>0</v>
      </c>
      <c r="K141" s="109" t="str">
        <f t="shared" ref="K141:K208" si="66">IF(ISEVEN(B141),(B141-1)&amp;"/"&amp;B141,B141&amp;"/"&amp;(B141+1))</f>
        <v>4021/4022</v>
      </c>
      <c r="L141" s="22" t="str">
        <f>VLOOKUP(A141,'Trips&amp;Operators'!$C$1:$E$10000,3,FALSE)</f>
        <v>SMITH</v>
      </c>
      <c r="M141" s="6">
        <f t="shared" ref="M141:M208" si="67">I141-F141</f>
        <v>2.6284722225682344E-2</v>
      </c>
      <c r="N141" s="7">
        <f t="shared" ref="N141:P208" si="68">24*60*SUM($M141:$M141)</f>
        <v>37.850000004982576</v>
      </c>
      <c r="O141" s="7"/>
      <c r="P141" s="7"/>
      <c r="Q141" s="23"/>
      <c r="R141" s="23"/>
      <c r="S141" s="35">
        <f t="shared" ref="S141:S208" si="69">SUM(U141:U141)/IF(AG141="EC",12,1)</f>
        <v>1</v>
      </c>
      <c r="T141" s="50" t="str">
        <f t="shared" ref="T141:T208" si="7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8" si="7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https://search-rtdc-monitor-bjffxe2xuh6vdkpspy63sjmuny.us-east-1.es.amazonaws.com/_plugin/kibana/#/discover/Steve-Slow-Train-Analysis-(2080s-and-2083s)?_g=(refreshInterval:(display:Off,section:0,value:0),time:(from:'2016-11-17 19:46:54-700',mode:absolute,to:'2016-11-17 22:38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52" t="str">
        <f t="shared" ref="W141:W208" si="72">IF(AA141&lt;IF(AG141="EC",23,5.65),"Y","N")</f>
        <v>N</v>
      </c>
      <c r="X141" s="177">
        <f t="shared" si="63"/>
        <v>1</v>
      </c>
      <c r="Y141" s="67">
        <f t="shared" ref="Y141:Y208" si="73">RIGHT(D141,LEN(D141)-4)/10000</f>
        <v>4.7300000000000002E-2</v>
      </c>
      <c r="Z141" s="67">
        <f t="shared" ref="Z141:Z208" si="74">RIGHT(H141,LEN(H141)-4)/10000</f>
        <v>23.329499999999999</v>
      </c>
      <c r="AA141" s="67">
        <f t="shared" ref="AA141:AA208" si="75">ABS(Z141-Y141)</f>
        <v>23.2822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8" si="76">IF(LEN(A141)=6,"0"&amp;A141,A141)</f>
        <v>0229-17</v>
      </c>
      <c r="AE141" s="91" t="str">
        <f t="shared" ref="AE141:AE208" si="7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41" s="88" t="str">
        <f t="shared" ref="AF141:AF208" si="7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/stypes="app*4022*20161118*" /stext=" 04:.+((SYSTEM_STATE.+slice.+state.+changed )|(ment ac)|(system.+state.+changed )|(\[timeout)|(PRM\|1\|D)|(kpr)|(kdp)|(\|lc)|(penalty))" /e /r /s</v>
      </c>
      <c r="AG141" s="1" t="str">
        <f t="shared" ref="AG141:AG208" si="79">IFERROR(IF(VALUE(LEFT(AD141,2))&lt;=2,"EC",IF(OR(VALUE(LEFT(AD141,2))=8,VALUE(LEFT(AD141,2))=18),"NW","Other")),"Other")</f>
        <v>EC</v>
      </c>
      <c r="AH141" s="92" t="str">
        <f t="shared" si="64"/>
        <v>"%USERPROFILE%\Documents\GitHub\eaglep3\Utilities\RefineRTDCRunTimes.py" --tripid 229-17 --locoid 4022 --swversion DE.1.0.8.0 --startMP 204:473 --initTime 2016-11-17T20:46:54 --startdatetime 2016-11-17T21:00:43 --delay 5 --endMP 204:233295 --enddatetime 2016-11-17T21:38:34 --enforcementcount 0 &gt;&gt;C:\Users\stu\Documents\GitHub\eaglep3-reporting\EC\2016-11-17-refined-times.txt</v>
      </c>
      <c r="AI14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{"issue":{"subject":"","project_id":79,"tracker_id":40,"status_id":1,"priority_id":2,"assigned_to_id":23,"start_date":"2016-11-17","description":"","custom_fields":[{"id":1,"name":"Subdivision","value":"EC"},{"id":4,"name":"Milepost","value":"23.3295"},{"id":17,"name":"Train ID","value":"229-17"},{"id":16,"name":"Locomotive ID","value":"4022"},{"id":130,"name":"Impact","value":""},{"id":150,"name":"Time of Event (Mountain Time)","value":"21:38:34"},{"id":151,"name":"Denver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4021</v>
      </c>
      <c r="C142" s="22" t="s">
        <v>220</v>
      </c>
      <c r="D142" s="22" t="s">
        <v>284</v>
      </c>
      <c r="E142" s="13">
        <v>42691.90697916667</v>
      </c>
      <c r="F142" s="13">
        <v>42691.914305555554</v>
      </c>
      <c r="G142" s="7">
        <v>1</v>
      </c>
      <c r="H142" s="22" t="s">
        <v>212</v>
      </c>
      <c r="I142" s="13">
        <v>42691.941805555558</v>
      </c>
      <c r="J142" s="7">
        <v>0</v>
      </c>
      <c r="K142" s="109" t="str">
        <f t="shared" si="66"/>
        <v>4021/4022</v>
      </c>
      <c r="L142" s="22" t="str">
        <f>VLOOKUP(A142,'Trips&amp;Operators'!$C$1:$E$10000,3,FALSE)</f>
        <v>SMITH</v>
      </c>
      <c r="M142" s="6">
        <f t="shared" si="67"/>
        <v>2.7500000003783498E-2</v>
      </c>
      <c r="N142" s="7">
        <f t="shared" si="68"/>
        <v>39.600000005448237</v>
      </c>
      <c r="O142" s="7"/>
      <c r="P142" s="7"/>
      <c r="Q142" s="23"/>
      <c r="R142" s="23"/>
      <c r="S142" s="35">
        <f t="shared" si="69"/>
        <v>1</v>
      </c>
      <c r="T142" s="50" t="str">
        <f t="shared" si="7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20:46:03-700',mode:absolute,to:'2016-11-17 23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2" s="52" t="str">
        <f t="shared" si="72"/>
        <v>N</v>
      </c>
      <c r="X142" s="177">
        <f t="shared" ref="X142:X209" si="80">VALUE(LEFT(AD142,4))-VALUE(LEFT(AD141,4))</f>
        <v>1</v>
      </c>
      <c r="Y142" s="67">
        <f t="shared" si="73"/>
        <v>23.2989</v>
      </c>
      <c r="Z142" s="67">
        <f t="shared" si="74"/>
        <v>1.5599999999999999E-2</v>
      </c>
      <c r="AA142" s="67">
        <f t="shared" si="75"/>
        <v>23.283300000000001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76"/>
        <v>0230-17</v>
      </c>
      <c r="AE142" s="91" t="str">
        <f t="shared" si="77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42" s="88" t="str">
        <f t="shared" si="78"/>
        <v>"C:\Program Files (x86)\AstroGrep\AstroGrep.exe" /spath="%USERPROFILE%\AppData\Local\Temp\OnboardLogs" /stypes="app*4021*20161118*" /stext=" 05:.+((SYSTEM_STATE.+slice.+state.+changed )|(ment ac)|(system.+state.+changed )|(\[timeout)|(PRM\|1\|D)|(kpr)|(kdp)|(\|lc)|(penalty))" /e /r /s</v>
      </c>
      <c r="AG142" s="1" t="str">
        <f t="shared" si="79"/>
        <v>EC</v>
      </c>
      <c r="AH142" s="92" t="str">
        <f t="shared" ref="AH142:AH209" si="8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230-17 --locoid 4021 --swversion DE.1.0.8.0 --startMP 204:232989 --initTime 2016-11-17T21:46:03 --startdatetime 2016-11-17T21:56:36 --delay 1 --endMP 204:156 --enddatetime 2016-11-17T22:36:12 --enforcementcount 0 &gt;&gt;C:\Users\stu\Documents\GitHub\eaglep3-reporting\EC\2016-11-17-refined-times.txt</v>
      </c>
      <c r="AI142" s="119" t="str">
        <f t="shared" ref="AI142:AI209" si="8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ID","value":"230-17"},{"id":16,"name":"Locomotive ID","value":"4021"},{"id":130,"name":"Impact","value":""},{"id":150,"name":"Time of Event (Mountain Time)","value":"22:36:12"},{"id":151,"name":"Denver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611</v>
      </c>
      <c r="B143" s="7">
        <v>4002</v>
      </c>
      <c r="C143" s="22" t="s">
        <v>220</v>
      </c>
      <c r="D143" s="22" t="s">
        <v>374</v>
      </c>
      <c r="E143" s="13">
        <v>42691.890567129631</v>
      </c>
      <c r="F143" s="13">
        <v>42691.979421296295</v>
      </c>
      <c r="G143" s="7">
        <v>1</v>
      </c>
      <c r="H143" s="22" t="s">
        <v>703</v>
      </c>
      <c r="I143" s="13">
        <v>42692.005127314813</v>
      </c>
      <c r="J143" s="7">
        <v>0</v>
      </c>
      <c r="K143" s="109" t="str">
        <f t="shared" si="66"/>
        <v>4001/4002</v>
      </c>
      <c r="L143" s="22" t="str">
        <f>VLOOKUP(A143,'Trips&amp;Operators'!$C$1:$E$10000,3,FALSE)</f>
        <v>BERLING</v>
      </c>
      <c r="M143" s="6">
        <f t="shared" si="67"/>
        <v>2.5706018517666962E-2</v>
      </c>
      <c r="N143" s="7">
        <f t="shared" si="68"/>
        <v>37.016666665440425</v>
      </c>
      <c r="O143" s="7"/>
      <c r="P143" s="7"/>
      <c r="Q143" s="23"/>
      <c r="R143" s="23"/>
      <c r="S143" s="35">
        <f t="shared" si="69"/>
        <v>1</v>
      </c>
      <c r="T143" s="50" t="str">
        <f t="shared" si="7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20:22:25-700',mode:absolute,to:'2016-11-18 01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3" s="52" t="str">
        <f t="shared" si="72"/>
        <v>N</v>
      </c>
      <c r="X143" s="177">
        <f t="shared" si="80"/>
        <v>1</v>
      </c>
      <c r="Y143" s="67">
        <f t="shared" si="73"/>
        <v>4.6699999999999998E-2</v>
      </c>
      <c r="Z143" s="67">
        <f t="shared" si="74"/>
        <v>23.334199999999999</v>
      </c>
      <c r="AA143" s="67">
        <f t="shared" si="75"/>
        <v>23.287499999999998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76"/>
        <v>0231-17</v>
      </c>
      <c r="AE143" s="91" t="str">
        <f t="shared" si="77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43" s="88" t="str">
        <f t="shared" si="78"/>
        <v>"C:\Program Files (x86)\AstroGrep\AstroGrep.exe" /spath="%USERPROFILE%\AppData\Local\Temp\OnboardLogs" /stypes="app*4002*20161118*" /stext=" 07:.+((SYSTEM_STATE.+slice.+state.+changed )|(ment ac)|(system.+state.+changed )|(\[timeout)|(PRM\|1\|D)|(kpr)|(kdp)|(\|lc)|(penalty))" /e /r /s</v>
      </c>
      <c r="AG143" s="1" t="str">
        <f t="shared" si="79"/>
        <v>EC</v>
      </c>
      <c r="AH143" s="92" t="str">
        <f t="shared" si="81"/>
        <v>"%USERPROFILE%\Documents\GitHub\eaglep3\Utilities\RefineRTDCRunTimes.py" --tripid 231-17 --locoid 4002 --swversion DE.1.0.8.0 --startMP 204:467 --initTime 2016-11-17T21:22:25 --startdatetime 2016-11-17T23:30:22 --delay 1 --endMP 204:233342 --enddatetime 2016-11-18T00:07:23 --enforcementcount 0 &gt;&gt;C:\Users\stu\Documents\GitHub\eaglep3-reporting\EC\2016-11-17-refined-times.txt</v>
      </c>
      <c r="AI143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{"issue":{"subject":"","project_id":79,"tracker_id":40,"status_id":1,"priority_id":2,"assigned_to_id":23,"start_date":"2016-11-18","description":"","custom_fields":[{"id":1,"name":"Subdivision","value":"EC"},{"id":4,"name":"Milepost","value":"23.3342"},{"id":17,"name":"Train ID","value":"231-17"},{"id":16,"name":"Locomotive ID","value":"4002"},{"id":130,"name":"Impact","value":""},{"id":150,"name":"Time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616</v>
      </c>
      <c r="B144" s="7">
        <v>4001</v>
      </c>
      <c r="C144" s="22" t="s">
        <v>220</v>
      </c>
      <c r="D144" s="22" t="s">
        <v>374</v>
      </c>
      <c r="E144" s="13">
        <v>42691.890567129631</v>
      </c>
      <c r="F144" s="13">
        <v>42691.935127314813</v>
      </c>
      <c r="G144" s="7">
        <v>1</v>
      </c>
      <c r="H144" s="22" t="s">
        <v>703</v>
      </c>
      <c r="I144" s="13">
        <v>42691.96297453704</v>
      </c>
      <c r="J144" s="7">
        <v>0</v>
      </c>
      <c r="K144" s="109" t="str">
        <f t="shared" ref="K144" si="83">IF(ISEVEN(B144),(B144-1)&amp;"/"&amp;B144,B144&amp;"/"&amp;(B144+1))</f>
        <v>4001/4002</v>
      </c>
      <c r="L144" s="22" t="str">
        <f>VLOOKUP(A144,'Trips&amp;Operators'!$C$1:$E$10000,3,FALSE)</f>
        <v>BERLING</v>
      </c>
      <c r="M144" s="6">
        <f t="shared" ref="M144" si="84">I144-F144</f>
        <v>2.7847222227137536E-2</v>
      </c>
      <c r="N144" s="7">
        <f t="shared" si="68"/>
        <v>40.100000007078052</v>
      </c>
      <c r="O144" s="7"/>
      <c r="P144" s="7"/>
      <c r="Q144" s="23"/>
      <c r="R144" s="23"/>
      <c r="S144" s="35">
        <f t="shared" ref="S144" si="85">SUM(U144:U144)/IF(AG144="EC",12,1)</f>
        <v>1</v>
      </c>
      <c r="T144" s="50" t="str">
        <f t="shared" ref="T144" si="86"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ref="V144" si="87"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https://search-rtdc-monitor-bjffxe2xuh6vdkpspy63sjmuny.us-east-1.es.amazonaws.com/_plugin/kibana/#/discover/Steve-Slow-Train-Analysis-(2080s-and-2083s)?_g=(refreshInterval:(display:Off,section:0,value:0),time:(from:'2016-11-17 20:22:25-700',mode:absolute,to:'2016-11-18 00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4" s="52" t="str">
        <f t="shared" ref="W144" si="88">IF(AA144&lt;IF(AG144="EC",23,5.65),"Y","N")</f>
        <v>N</v>
      </c>
      <c r="X144" s="177">
        <f t="shared" ref="X144:X145" si="89">VALUE(LEFT(AD144,4))-VALUE(LEFT(AD143,4))</f>
        <v>1</v>
      </c>
      <c r="Y144" s="67">
        <v>23.2989</v>
      </c>
      <c r="Z144" s="67">
        <v>1.5599999999999999E-2</v>
      </c>
      <c r="AA144" s="67">
        <f t="shared" ref="AA144" si="90">ABS(Z144-Y144)</f>
        <v>23.283300000000001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ref="AD144" si="91">IF(LEN(A144)=6,"0"&amp;A144,A144)</f>
        <v>0232-17</v>
      </c>
      <c r="AE144" s="91" t="str">
        <f t="shared" ref="AE144" si="92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44" s="88" t="str">
        <f t="shared" ref="AF144" si="93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/stypes="app*4001*20161118*" /stext=" 06:.+((SYSTEM_STATE.+slice.+state.+changed )|(ment ac)|(system.+state.+changed )|(\[timeout)|(PRM\|1\|D)|(kpr)|(kdp)|(\|lc)|(penalty))" /e /r /s</v>
      </c>
      <c r="AG144" s="1" t="str">
        <f t="shared" ref="AG144" si="94">IFERROR(IF(VALUE(LEFT(AD144,2))&lt;=2,"EC",IF(OR(VALUE(LEFT(AD144,2))=8,VALUE(LEFT(AD144,2))=18),"NW","Other")),"Other")</f>
        <v>EC</v>
      </c>
      <c r="AH144" s="92" t="str">
        <f t="shared" ref="AH144" si="9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232-17 --locoid 4001 --swversion DE.1.0.8.0 --startMP 204:467 --initTime 2016-11-17T21:22:25 --startdatetime 2016-11-17T22:26:35 --delay 1 --endMP 204:233342 --enddatetime 2016-11-17T23:06:41 --enforcementcount 0 &gt;&gt;C:\Users\stu\Documents\GitHub\eaglep3-reporting\EC\2016-11-17-refined-times.txt</v>
      </c>
      <c r="AI144" s="119" t="str">
        <f t="shared" ref="AI144" si="9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ID","value":"232-17"},{"id":16,"name":"Locomotive ID","value":"4001"},{"id":130,"name":"Impact","value":""},{"id":150,"name":"Time of Event (Mountain Time)","value":"23:06:41"},{"id":151,"name":"Denver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614</v>
      </c>
      <c r="B145" s="7">
        <v>4014</v>
      </c>
      <c r="C145" s="22" t="s">
        <v>220</v>
      </c>
      <c r="D145" s="22" t="s">
        <v>242</v>
      </c>
      <c r="E145" s="13">
        <v>42691.908483796295</v>
      </c>
      <c r="F145" s="13">
        <v>42691.916967592595</v>
      </c>
      <c r="G145" s="7">
        <v>1</v>
      </c>
      <c r="H145" s="22" t="s">
        <v>704</v>
      </c>
      <c r="I145" s="13">
        <v>42691.943923611114</v>
      </c>
      <c r="J145" s="7">
        <v>0</v>
      </c>
      <c r="K145" s="109" t="str">
        <f t="shared" si="66"/>
        <v>4013/4014</v>
      </c>
      <c r="L145" s="22" t="str">
        <f>VLOOKUP(A145,'Trips&amp;Operators'!$C$1:$E$10000,3,FALSE)</f>
        <v>DELGADO</v>
      </c>
      <c r="M145" s="6">
        <f t="shared" si="67"/>
        <v>2.6956018518831115E-2</v>
      </c>
      <c r="N145" s="7">
        <f t="shared" si="68"/>
        <v>38.816666667116806</v>
      </c>
      <c r="O145" s="7"/>
      <c r="P145" s="7"/>
      <c r="Q145" s="23"/>
      <c r="R145" s="23"/>
      <c r="S145" s="35">
        <f t="shared" si="69"/>
        <v>1</v>
      </c>
      <c r="T145" s="50" t="str">
        <f t="shared" si="7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20:48:13-700',mode:absolute,to:'2016-11-17 23:39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5" s="52" t="str">
        <f t="shared" si="72"/>
        <v>N</v>
      </c>
      <c r="X145" s="177">
        <f t="shared" si="89"/>
        <v>1</v>
      </c>
      <c r="Y145" s="67">
        <f t="shared" si="73"/>
        <v>4.3799999999999999E-2</v>
      </c>
      <c r="Z145" s="67">
        <f t="shared" si="74"/>
        <v>23.3337</v>
      </c>
      <c r="AA145" s="67">
        <f t="shared" si="75"/>
        <v>23.289899999999999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76"/>
        <v>0233-17</v>
      </c>
      <c r="AE145" s="91" t="str">
        <f t="shared" si="77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45" s="88" t="str">
        <f t="shared" si="78"/>
        <v>"C:\Program Files (x86)\AstroGrep\AstroGrep.exe" /spath="%USERPROFILE%\AppData\Local\Temp\OnboardLogs" /stypes="app*4014*20161118*" /stext=" 05:.+((SYSTEM_STATE.+slice.+state.+changed )|(ment ac)|(system.+state.+changed )|(\[timeout)|(PRM\|1\|D)|(kpr)|(kdp)|(\|lc)|(penalty))" /e /r /s</v>
      </c>
      <c r="AG145" s="1" t="str">
        <f t="shared" si="79"/>
        <v>EC</v>
      </c>
      <c r="AH145" s="92" t="str">
        <f t="shared" si="81"/>
        <v>"%USERPROFILE%\Documents\GitHub\eaglep3\Utilities\RefineRTDCRunTimes.py" --tripid 233-17 --locoid 4014 --swversion DE.1.0.8.0 --startMP 204:438 --initTime 2016-11-17T21:48:13 --startdatetime 2016-11-17T22:00:26 --delay 1 --endMP 204:233337 --enddatetime 2016-11-17T22:39:15 --enforcementcount 0 &gt;&gt;C:\Users\stu\Documents\GitHub\eaglep3-reporting\EC\2016-11-17-refined-times.txt</v>
      </c>
      <c r="AI145" s="119" t="str">
        <f t="shared" si="82"/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ID","value":"233-17"},{"id":16,"name":"Locomotive ID","value":"4014"},{"id":130,"name":"Impact","value":""},{"id":150,"name":"Time of Event (Mountain Time)","value":"22:39:15"},{"id":151,"name":"Denver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620</v>
      </c>
      <c r="B146" s="7">
        <v>4013</v>
      </c>
      <c r="C146" s="22" t="s">
        <v>220</v>
      </c>
      <c r="D146" s="22" t="s">
        <v>242</v>
      </c>
      <c r="E146" s="13">
        <v>42691.908483796295</v>
      </c>
      <c r="F146" s="13">
        <v>42691.955729166664</v>
      </c>
      <c r="G146" s="7">
        <v>1</v>
      </c>
      <c r="H146" s="22" t="s">
        <v>704</v>
      </c>
      <c r="I146" s="13">
        <v>42691.985474537039</v>
      </c>
      <c r="J146" s="7">
        <v>0</v>
      </c>
      <c r="K146" s="109" t="str">
        <f t="shared" ref="K146" si="97">IF(ISEVEN(B146),(B146-1)&amp;"/"&amp;B146,B146&amp;"/"&amp;(B146+1))</f>
        <v>4013/4014</v>
      </c>
      <c r="L146" s="22" t="str">
        <f>VLOOKUP(A146,'Trips&amp;Operators'!$C$1:$E$10000,3,FALSE)</f>
        <v>DELGADO</v>
      </c>
      <c r="M146" s="6">
        <f t="shared" ref="M146" si="98">I146-F146</f>
        <v>2.9745370375167113E-2</v>
      </c>
      <c r="N146" s="7">
        <f t="shared" si="68"/>
        <v>42.833333340240642</v>
      </c>
      <c r="O146" s="7"/>
      <c r="P146" s="7"/>
      <c r="Q146" s="23"/>
      <c r="R146" s="23"/>
      <c r="S146" s="35">
        <f t="shared" ref="S146" si="99">SUM(U146:U146)/IF(AG146="EC",12,1)</f>
        <v>1</v>
      </c>
      <c r="T146" s="50" t="str">
        <f t="shared" ref="T146" si="100"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ref="V146" si="101"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20:48:13-700',mode:absolute,to:'2016-11-18 00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6" s="52" t="str">
        <f t="shared" ref="W146" si="102">IF(AA146&lt;IF(AG146="EC",23,5.65),"Y","N")</f>
        <v>N</v>
      </c>
      <c r="X146" s="177">
        <f t="shared" ref="X146" si="103">VALUE(LEFT(AD146,4))-VALUE(LEFT(AD145,4))</f>
        <v>1</v>
      </c>
      <c r="Y146" s="67">
        <v>23.2989</v>
      </c>
      <c r="Z146" s="67">
        <v>1.5599999999999999E-2</v>
      </c>
      <c r="AA146" s="67">
        <f t="shared" ref="AA146" si="104">ABS(Z146-Y146)</f>
        <v>23.283300000000001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ref="AD146" si="105">IF(LEN(A146)=6,"0"&amp;A146,A146)</f>
        <v>0234-17</v>
      </c>
      <c r="AE146" s="91" t="str">
        <f t="shared" ref="AE146" si="106"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46" s="88" t="str">
        <f t="shared" ref="AF146" si="107"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/stypes="app*4013*20161118*" /stext=" 06:.+((SYSTEM_STATE.+slice.+state.+changed )|(ment ac)|(system.+state.+changed )|(\[timeout)|(PRM\|1\|D)|(kpr)|(kdp)|(\|lc)|(penalty))" /e /r /s</v>
      </c>
      <c r="AG146" s="1" t="str">
        <f t="shared" ref="AG146" si="108">IFERROR(IF(VALUE(LEFT(AD146,2))&lt;=2,"EC",IF(OR(VALUE(LEFT(AD146,2))=8,VALUE(LEFT(AD146,2))=18),"NW","Other")),"Other")</f>
        <v>EC</v>
      </c>
      <c r="AH146" s="92" t="str">
        <f t="shared" ref="AH146" si="10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234-17 --locoid 4013 --swversion DE.1.0.8.0 --startMP 204:438 --initTime 2016-11-17T21:48:13 --startdatetime 2016-11-17T22:56:15 --delay 1 --endMP 204:233337 --enddatetime 2016-11-17T23:39:05 --enforcementcount 0 &gt;&gt;C:\Users\stu\Documents\GitHub\eaglep3-reporting\EC\2016-11-17-refined-times.txt</v>
      </c>
      <c r="AI146" s="119" t="str">
        <f t="shared" ref="AI146" si="11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ID","value":"234-17"},{"id":16,"name":"Locomotive ID","value":"4013"},{"id":130,"name":"Impact","value":""},{"id":150,"name":"Time of Event (Mountain Time)","value":"23:39:05"},{"id":151,"name":"Denver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617</v>
      </c>
      <c r="B147" s="7">
        <v>4038</v>
      </c>
      <c r="C147" s="22" t="s">
        <v>220</v>
      </c>
      <c r="D147" s="22" t="s">
        <v>242</v>
      </c>
      <c r="E147" s="13">
        <v>42691.908483796295</v>
      </c>
      <c r="F147" s="13">
        <v>42691.937824074077</v>
      </c>
      <c r="G147" s="7">
        <v>1</v>
      </c>
      <c r="H147" s="22" t="s">
        <v>704</v>
      </c>
      <c r="I147" s="13">
        <v>42691.963645833333</v>
      </c>
      <c r="J147" s="7">
        <v>0</v>
      </c>
      <c r="K147" s="109" t="str">
        <f t="shared" ref="K147" si="111">IF(ISEVEN(B147),(B147-1)&amp;"/"&amp;B147,B147&amp;"/"&amp;(B147+1))</f>
        <v>4037/4038</v>
      </c>
      <c r="L147" s="22" t="str">
        <f>VLOOKUP(A147,'Trips&amp;Operators'!$C$1:$E$10000,3,FALSE)</f>
        <v>LOPES</v>
      </c>
      <c r="M147" s="6">
        <f t="shared" ref="M147" si="112">I147-F147</f>
        <v>2.5821759256359655E-2</v>
      </c>
      <c r="N147" s="7">
        <f t="shared" si="68"/>
        <v>37.183333329157904</v>
      </c>
      <c r="O147" s="7"/>
      <c r="P147" s="7"/>
      <c r="Q147" s="23"/>
      <c r="R147" s="23"/>
      <c r="S147" s="35">
        <f t="shared" ref="S147" si="113">SUM(U147:U147)/IF(AG147="EC",12,1)</f>
        <v>1</v>
      </c>
      <c r="T147" s="50" t="str">
        <f t="shared" ref="T147" si="114"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ref="V147" si="115"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20:48:13-700',mode:absolute,to:'2016-11-18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7" s="52" t="str">
        <f t="shared" ref="W147" si="116">IF(AA147&lt;IF(AG147="EC",23,5.65),"Y","N")</f>
        <v>N</v>
      </c>
      <c r="X147" s="177">
        <f t="shared" ref="X147:X151" si="117">VALUE(LEFT(AD147,4))-VALUE(LEFT(AD146,4))</f>
        <v>1</v>
      </c>
      <c r="Y147" s="67">
        <v>4.3799999999999999E-2</v>
      </c>
      <c r="Z147" s="67">
        <v>23.3337</v>
      </c>
      <c r="AA147" s="67">
        <f t="shared" ref="AA147" si="118">ABS(Z147-Y147)</f>
        <v>23.289899999999999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ref="AD147" si="119">IF(LEN(A147)=6,"0"&amp;A147,A147)</f>
        <v>0235-17</v>
      </c>
      <c r="AE147" s="91" t="str">
        <f t="shared" ref="AE147" si="120"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47" s="88" t="str">
        <f t="shared" ref="AF147" si="121"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/stypes="app*4038*20161118*" /stext=" 06:.+((SYSTEM_STATE.+slice.+state.+changed )|(ment ac)|(system.+state.+changed )|(\[timeout)|(PRM\|1\|D)|(kpr)|(kdp)|(\|lc)|(penalty))" /e /r /s</v>
      </c>
      <c r="AG147" s="1" t="str">
        <f t="shared" ref="AG147" si="122">IFERROR(IF(VALUE(LEFT(AD147,2))&lt;=2,"EC",IF(OR(VALUE(LEFT(AD147,2))=8,VALUE(LEFT(AD147,2))=18),"NW","Other")),"Other")</f>
        <v>EC</v>
      </c>
      <c r="AH147" s="92" t="str">
        <f t="shared" ref="AH147" si="123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235-17 --locoid 4038 --swversion DE.1.0.8.0 --startMP 204:438 --initTime 2016-11-17T21:48:13 --startdatetime 2016-11-17T22:30:28 --delay 1 --endMP 204:233337 --enddatetime 2016-11-17T23:07:39 --enforcementcount 0 &gt;&gt;C:\Users\stu\Documents\GitHub\eaglep3-reporting\EC\2016-11-17-refined-times.txt</v>
      </c>
      <c r="AI147" s="119" t="str">
        <f t="shared" ref="AI147" si="124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ID","value":"235-17"},{"id":16,"name":"Locomotive ID","value":"4038"},{"id":130,"name":"Impact","value":""},{"id":150,"name":"Time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448</v>
      </c>
      <c r="B148" s="7">
        <v>4037</v>
      </c>
      <c r="C148" s="22" t="s">
        <v>220</v>
      </c>
      <c r="D148" s="22" t="s">
        <v>705</v>
      </c>
      <c r="E148" s="13">
        <v>42691.972187500003</v>
      </c>
      <c r="F148" s="13">
        <v>42691.976817129631</v>
      </c>
      <c r="G148" s="7">
        <v>1</v>
      </c>
      <c r="H148" s="22" t="s">
        <v>224</v>
      </c>
      <c r="I148" s="13">
        <v>42692.004166666666</v>
      </c>
      <c r="J148" s="7">
        <v>0</v>
      </c>
      <c r="K148" s="109" t="str">
        <f t="shared" si="66"/>
        <v>4037/4038</v>
      </c>
      <c r="L148" s="22" t="str">
        <f>VLOOKUP(A148,'Trips&amp;Operators'!$C$1:$E$10000,3,FALSE)</f>
        <v>LOPES</v>
      </c>
      <c r="M148" s="6">
        <f t="shared" si="67"/>
        <v>2.7349537034751847E-2</v>
      </c>
      <c r="N148" s="7">
        <f t="shared" si="68"/>
        <v>39.38333333004266</v>
      </c>
      <c r="O148" s="7"/>
      <c r="P148" s="7"/>
      <c r="Q148" s="23"/>
      <c r="R148" s="23"/>
      <c r="S148" s="35">
        <f t="shared" si="69"/>
        <v>1</v>
      </c>
      <c r="T148" s="50" t="str">
        <f t="shared" si="7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8" s="52" t="str">
        <f t="shared" si="72"/>
        <v>N</v>
      </c>
      <c r="X148" s="177">
        <f t="shared" si="117"/>
        <v>1</v>
      </c>
      <c r="Y148" s="67">
        <f t="shared" si="73"/>
        <v>23.295999999999999</v>
      </c>
      <c r="Z148" s="67">
        <f t="shared" si="74"/>
        <v>1.5800000000000002E-2</v>
      </c>
      <c r="AA148" s="67">
        <f t="shared" si="75"/>
        <v>23.280200000000001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76"/>
        <v>0236-17</v>
      </c>
      <c r="AE148" s="91" t="str">
        <f t="shared" si="77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48" s="88" t="str">
        <f t="shared" si="78"/>
        <v>"C:\Program Files (x86)\AstroGrep\AstroGrep.exe" /spath="%USERPROFILE%\AppData\Local\Temp\OnboardLogs" /stypes="app*4037*20161118*" /stext=" 07:.+((SYSTEM_STATE.+slice.+state.+changed )|(ment ac)|(system.+state.+changed )|(\[timeout)|(PRM\|1\|D)|(kpr)|(kdp)|(\|lc)|(penalty))" /e /r /s</v>
      </c>
      <c r="AG148" s="1" t="str">
        <f t="shared" si="79"/>
        <v>EC</v>
      </c>
      <c r="AH148" s="92" t="str">
        <f t="shared" si="81"/>
        <v>"%USERPROFILE%\Documents\GitHub\eaglep3\Utilities\RefineRTDCRunTimes.py" --tripid 236-17 --locoid 4037 --swversion DE.1.0.8.0 --startMP 204:232960 --initTime 2016-11-17T23:19:57 --startdatetime 2016-11-17T23:26:37 --delay 1 --endMP 204:158 --enddatetime 2016-11-18T00:06:00 --enforcementcount 0 &gt;&gt;C:\Users\stu\Documents\GitHub\eaglep3-reporting\EC\2016-11-17-refined-times.txt</v>
      </c>
      <c r="AI148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{"issue":{"subject":"","project_id":79,"tracker_id":40,"status_id":1,"priority_id":2,"assigned_to_id":23,"start_date":"2016-11-18","description":"","custom_fields":[{"id":1,"name":"Subdivision","value":"EC"},{"id":4,"name":"Milepost","value":"0.0158"},{"id":17,"name":"Train ID","value":"236-17"},{"id":16,"name":"Locomotive ID","value":"4037"},{"id":130,"name":"Impact","value":""},{"id":150,"name":"Time of Event (Mountain Time)","value":"00:06:00"},{"id":151,"name":"Denver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619</v>
      </c>
      <c r="B149" s="7">
        <v>4022</v>
      </c>
      <c r="C149" s="22" t="s">
        <v>220</v>
      </c>
      <c r="D149" s="22" t="s">
        <v>705</v>
      </c>
      <c r="E149" s="13">
        <v>42691.972187500003</v>
      </c>
      <c r="F149" s="13">
        <v>42691.958819444444</v>
      </c>
      <c r="G149" s="7">
        <v>1</v>
      </c>
      <c r="H149" s="22" t="s">
        <v>224</v>
      </c>
      <c r="I149" s="13">
        <v>42691.984895833331</v>
      </c>
      <c r="J149" s="7">
        <v>0</v>
      </c>
      <c r="K149" s="109" t="str">
        <f t="shared" ref="K149" si="125">IF(ISEVEN(B149),(B149-1)&amp;"/"&amp;B149,B149&amp;"/"&amp;(B149+1))</f>
        <v>4021/4022</v>
      </c>
      <c r="L149" s="22" t="str">
        <f>VLOOKUP(A149,'Trips&amp;Operators'!$C$1:$E$10000,3,FALSE)</f>
        <v>SMITH</v>
      </c>
      <c r="M149" s="6">
        <f t="shared" ref="M149" si="126">I149-F149</f>
        <v>2.6076388887304347E-2</v>
      </c>
      <c r="N149" s="7">
        <f t="shared" si="68"/>
        <v>37.54999999771826</v>
      </c>
      <c r="O149" s="7"/>
      <c r="P149" s="7"/>
      <c r="Q149" s="23"/>
      <c r="R149" s="23"/>
      <c r="S149" s="35">
        <f t="shared" ref="S149" si="127">SUM(U149:U149)/IF(AG149="EC",12,1)</f>
        <v>1</v>
      </c>
      <c r="T149" s="50" t="str">
        <f t="shared" ref="T149" si="128"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ref="V149" si="129"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00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52" t="str">
        <f t="shared" ref="W149" si="130">IF(AA149&lt;IF(AG149="EC",23,5.65),"Y","N")</f>
        <v>N</v>
      </c>
      <c r="X149" s="177">
        <f t="shared" si="117"/>
        <v>1</v>
      </c>
      <c r="Y149" s="67">
        <v>4.3799999999999999E-2</v>
      </c>
      <c r="Z149" s="67">
        <v>23.3337</v>
      </c>
      <c r="AA149" s="67">
        <f t="shared" ref="AA149" si="131">ABS(Z149-Y149)</f>
        <v>23.289899999999999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ref="AD149" si="132">IF(LEN(A149)=6,"0"&amp;A149,A149)</f>
        <v>0237-17</v>
      </c>
      <c r="AE149" s="91" t="str">
        <f t="shared" ref="AE149" si="133"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49" s="88" t="str">
        <f t="shared" ref="AF149" si="134"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/stypes="app*4022*20161118*" /stext=" 06:.+((SYSTEM_STATE.+slice.+state.+changed )|(ment ac)|(system.+state.+changed )|(\[timeout)|(PRM\|1\|D)|(kpr)|(kdp)|(\|lc)|(penalty))" /e /r /s</v>
      </c>
      <c r="AG149" s="1" t="str">
        <f t="shared" ref="AG149" si="135">IFERROR(IF(VALUE(LEFT(AD149,2))&lt;=2,"EC",IF(OR(VALUE(LEFT(AD149,2))=8,VALUE(LEFT(AD149,2))=18),"NW","Other")),"Other")</f>
        <v>EC</v>
      </c>
      <c r="AH149" s="92" t="str">
        <f t="shared" ref="AH149" si="136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237-17 --locoid 4022 --swversion DE.1.0.8.0 --startMP 204:232960 --initTime 2016-11-17T23:19:57 --startdatetime 2016-11-17T23:00:42 --delay 1 --endMP 204:158 --enddatetime 2016-11-17T23:38:15 --enforcementcount 0 &gt;&gt;C:\Users\stu\Documents\GitHub\eaglep3-reporting\EC\2016-11-17-refined-times.txt</v>
      </c>
      <c r="AI149" s="119" t="str">
        <f t="shared" ref="AI149" si="137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ID","value":"237-17"},{"id":16,"name":"Locomotive ID","value":"4022"},{"id":130,"name":"Impact","value":""},{"id":150,"name":"Time of Event (Mountain Time)","value":"23:38:15"},{"id":151,"name":"Denver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449</v>
      </c>
      <c r="B150" s="7">
        <v>4021</v>
      </c>
      <c r="C150" s="22" t="s">
        <v>220</v>
      </c>
      <c r="D150" s="22" t="s">
        <v>388</v>
      </c>
      <c r="E150" s="13">
        <v>42691.989791666667</v>
      </c>
      <c r="F150" s="13">
        <v>42691.997893518521</v>
      </c>
      <c r="G150" s="7">
        <v>1</v>
      </c>
      <c r="H150" s="22" t="s">
        <v>234</v>
      </c>
      <c r="I150" s="13">
        <v>42692.025717592594</v>
      </c>
      <c r="J150" s="7">
        <v>0</v>
      </c>
      <c r="K150" s="109" t="str">
        <f t="shared" si="66"/>
        <v>4021/4022</v>
      </c>
      <c r="L150" s="22" t="str">
        <f>VLOOKUP(A150,'Trips&amp;Operators'!$C$1:$E$10000,3,FALSE)</f>
        <v>SMITH</v>
      </c>
      <c r="M150" s="6">
        <f t="shared" si="67"/>
        <v>2.7824074073578231E-2</v>
      </c>
      <c r="N150" s="7">
        <f t="shared" si="68"/>
        <v>40.066666665952653</v>
      </c>
      <c r="O150" s="7"/>
      <c r="P150" s="7"/>
      <c r="Q150" s="23"/>
      <c r="R150" s="23"/>
      <c r="S150" s="35">
        <f t="shared" si="69"/>
        <v>1</v>
      </c>
      <c r="T150" s="50" t="str">
        <f t="shared" si="7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22:45:18-700',mode:absolute,to:'2016-11-18 01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0" s="52" t="str">
        <f t="shared" si="72"/>
        <v>N</v>
      </c>
      <c r="X150" s="177">
        <f t="shared" si="117"/>
        <v>1</v>
      </c>
      <c r="Y150" s="67">
        <f t="shared" si="73"/>
        <v>23.3002</v>
      </c>
      <c r="Z150" s="67">
        <f t="shared" si="74"/>
        <v>1.4999999999999999E-2</v>
      </c>
      <c r="AA150" s="67">
        <f t="shared" si="75"/>
        <v>23.2852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76"/>
        <v>0238-17</v>
      </c>
      <c r="AE150" s="91" t="str">
        <f t="shared" si="77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50" s="88" t="str">
        <f t="shared" si="78"/>
        <v>"C:\Program Files (x86)\AstroGrep\AstroGrep.exe" /spath="%USERPROFILE%\AppData\Local\Temp\OnboardLogs" /stypes="app*4021*20161118*" /stext=" 07:.+((SYSTEM_STATE.+slice.+state.+changed )|(ment ac)|(system.+state.+changed )|(\[timeout)|(PRM\|1\|D)|(kpr)|(kdp)|(\|lc)|(penalty))" /e /r /s</v>
      </c>
      <c r="AG150" s="1" t="str">
        <f t="shared" si="79"/>
        <v>EC</v>
      </c>
      <c r="AH150" s="92" t="str">
        <f t="shared" si="81"/>
        <v>"%USERPROFILE%\Documents\GitHub\eaglep3\Utilities\RefineRTDCRunTimes.py" --tripid 238-17 --locoid 4021 --swversion DE.1.0.8.0 --startMP 204:233002 --initTime 2016-11-17T23:45:18 --startdatetime 2016-11-17T23:56:58 --delay 1 --endMP 204:150 --enddatetime 2016-11-18T00:37:02 --enforcementcount 0 &gt;&gt;C:\Users\stu\Documents\GitHub\eaglep3-reporting\EC\2016-11-17-refined-times.txt</v>
      </c>
      <c r="AI150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{"issue":{"subject":"","project_id":79,"tracker_id":40,"status_id":1,"priority_id":2,"assigned_to_id":23,"start_date":"2016-11-18","description":"","custom_fields":[{"id":1,"name":"Subdivision","value":"EC"},{"id":4,"name":"Milepost","value":"0.015"},{"id":17,"name":"Train ID","value":"238-17"},{"id":16,"name":"Locomotive ID","value":"4021"},{"id":130,"name":"Impact","value":""},{"id":150,"name":"Time of Event (Mountain Time)","value":"00:37:02"},{"id":151,"name":"Denver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621</v>
      </c>
      <c r="B151" s="7">
        <v>4002</v>
      </c>
      <c r="C151" s="22" t="s">
        <v>220</v>
      </c>
      <c r="D151" s="22" t="s">
        <v>663</v>
      </c>
      <c r="E151" s="13">
        <v>42691.97278935185</v>
      </c>
      <c r="F151" s="13">
        <v>42691.979421296295</v>
      </c>
      <c r="G151" s="7">
        <v>1</v>
      </c>
      <c r="H151" s="22" t="s">
        <v>706</v>
      </c>
      <c r="I151" s="13">
        <v>42692.005127314813</v>
      </c>
      <c r="J151" s="7">
        <v>0</v>
      </c>
      <c r="K151" s="109" t="str">
        <f t="shared" si="66"/>
        <v>4001/4002</v>
      </c>
      <c r="L151" s="22" t="str">
        <f>VLOOKUP(A151,'Trips&amp;Operators'!$C$1:$E$10000,3,FALSE)</f>
        <v>BERLING</v>
      </c>
      <c r="M151" s="6">
        <f t="shared" si="67"/>
        <v>2.5706018517666962E-2</v>
      </c>
      <c r="N151" s="7">
        <f t="shared" si="68"/>
        <v>37.016666665440425</v>
      </c>
      <c r="O151" s="7"/>
      <c r="P151" s="7"/>
      <c r="Q151" s="23"/>
      <c r="R151" s="23"/>
      <c r="S151" s="35">
        <f t="shared" si="69"/>
        <v>1</v>
      </c>
      <c r="T151" s="50" t="str">
        <f t="shared" si="7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22:20:49-700',mode:absolute,to:'2016-11-18 01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1" s="52" t="str">
        <f t="shared" si="72"/>
        <v>N</v>
      </c>
      <c r="X151" s="177">
        <f t="shared" si="117"/>
        <v>1</v>
      </c>
      <c r="Y151" s="67">
        <f t="shared" si="73"/>
        <v>4.4600000000000001E-2</v>
      </c>
      <c r="Z151" s="67">
        <f t="shared" si="74"/>
        <v>23.333400000000001</v>
      </c>
      <c r="AA151" s="67">
        <f t="shared" si="75"/>
        <v>23.288800000000002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6"/>
        <v>0239-17</v>
      </c>
      <c r="AE151" s="91" t="str">
        <f t="shared" si="77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51" s="88" t="str">
        <f t="shared" si="78"/>
        <v>"C:\Program Files (x86)\AstroGrep\AstroGrep.exe" /spath="%USERPROFILE%\AppData\Local\Temp\OnboardLogs" /stypes="app*4002*20161118*" /stext=" 07:.+((SYSTEM_STATE.+slice.+state.+changed )|(ment ac)|(system.+state.+changed )|(\[timeout)|(PRM\|1\|D)|(kpr)|(kdp)|(\|lc)|(penalty))" /e /r /s</v>
      </c>
      <c r="AG151" s="1" t="str">
        <f t="shared" si="79"/>
        <v>EC</v>
      </c>
      <c r="AH151" s="92" t="str">
        <f t="shared" si="81"/>
        <v>"%USERPROFILE%\Documents\GitHub\eaglep3\Utilities\RefineRTDCRunTimes.py" --tripid 239-17 --locoid 4002 --swversion DE.1.0.8.0 --startMP 204:446 --initTime 2016-11-17T23:20:49 --startdatetime 2016-11-17T23:30:22 --delay 1 --endMP 204:233334 --enddatetime 2016-11-18T00:07:23 --enforcementcount 0 &gt;&gt;C:\Users\stu\Documents\GitHub\eaglep3-reporting\EC\2016-11-17-refined-times.txt</v>
      </c>
      <c r="AI151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{"issue":{"subject":"","project_id":79,"tracker_id":40,"status_id":1,"priority_id":2,"assigned_to_id":23,"start_date":"2016-11-18","description":"","custom_fields":[{"id":1,"name":"Subdivision","value":"EC"},{"id":4,"name":"Milepost","value":"23.3334"},{"id":17,"name":"Train ID","value":"239-17"},{"id":16,"name":"Locomotive ID","value":"4002"},{"id":130,"name":"Impact","value":""},{"id":150,"name":"Time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624</v>
      </c>
      <c r="B152" s="7">
        <v>4001</v>
      </c>
      <c r="C152" s="22" t="s">
        <v>220</v>
      </c>
      <c r="D152" s="22" t="s">
        <v>707</v>
      </c>
      <c r="E152" s="13">
        <v>42692.012615740743</v>
      </c>
      <c r="F152" s="13">
        <v>42692.018506944441</v>
      </c>
      <c r="G152" s="7">
        <v>1</v>
      </c>
      <c r="H152" s="22" t="s">
        <v>708</v>
      </c>
      <c r="I152" s="13">
        <v>42692.047083333331</v>
      </c>
      <c r="J152" s="7">
        <v>0</v>
      </c>
      <c r="K152" s="109" t="str">
        <f t="shared" si="66"/>
        <v>4001/4002</v>
      </c>
      <c r="L152" s="22" t="str">
        <f>VLOOKUP(A152,'Trips&amp;Operators'!$C$1:$E$10000,3,FALSE)</f>
        <v>BERLING</v>
      </c>
      <c r="M152" s="6">
        <f t="shared" si="67"/>
        <v>2.8576388889632653E-2</v>
      </c>
      <c r="N152" s="7">
        <f t="shared" si="68"/>
        <v>41.150000001071021</v>
      </c>
      <c r="O152" s="7"/>
      <c r="P152" s="7"/>
      <c r="Q152" s="23"/>
      <c r="R152" s="23"/>
      <c r="S152" s="35">
        <f t="shared" si="69"/>
        <v>1</v>
      </c>
      <c r="T152" s="50" t="str">
        <f t="shared" si="7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23:18:10-700',mode:absolute,to:'2016-11-18 02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2" s="52" t="str">
        <f t="shared" si="72"/>
        <v>N</v>
      </c>
      <c r="X152" s="177">
        <f t="shared" si="80"/>
        <v>1</v>
      </c>
      <c r="Y152" s="67">
        <f t="shared" si="73"/>
        <v>23.300999999999998</v>
      </c>
      <c r="Z152" s="67">
        <f t="shared" si="74"/>
        <v>1.1900000000000001E-2</v>
      </c>
      <c r="AA152" s="67">
        <f t="shared" si="75"/>
        <v>23.289099999999998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76"/>
        <v>0240-17</v>
      </c>
      <c r="AE152" s="91" t="str">
        <f t="shared" si="77"/>
        <v>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 &amp; 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</v>
      </c>
      <c r="AF152" s="88" t="str">
        <f t="shared" si="78"/>
        <v>"C:\Program Files (x86)\AstroGrep\AstroGrep.exe" /spath="%USERPROFILE%\AppData\Local\Temp\OnboardLogs" /stypes="app*4001*20161118*" /stext=" 08:.+((SYSTEM_STATE.+slice.+state.+changed )|(ment ac)|(system.+state.+changed )|(\[timeout)|(PRM\|1\|D)|(kpr)|(kdp)|(\|lc)|(penalty))" /e /r /s</v>
      </c>
      <c r="AG152" s="1" t="str">
        <f t="shared" si="79"/>
        <v>EC</v>
      </c>
      <c r="AH152" s="92" t="str">
        <f t="shared" si="81"/>
        <v>"%USERPROFILE%\Documents\GitHub\eaglep3\Utilities\RefineRTDCRunTimes.py" --tripid 240-17 --locoid 4001 --swversion DE.1.0.8.0 --startMP 204:233010 --initTime 2016-11-18T00:18:10 --startdatetime 2016-11-18T00:26:39 --delay 1 --endMP 204:119 --enddatetime 2016-11-18T01:07:48 --enforcementcount 0 &gt;&gt;C:\Users\stu\Documents\GitHub\eaglep3-reporting\EC\2016-11-17-refined-times.txt</v>
      </c>
      <c r="AI152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{"issue":{"subject":"","project_id":79,"tracker_id":40,"status_id":1,"priority_id":2,"assigned_to_id":23,"start_date":"2016-11-18","description":"","custom_fields":[{"id":1,"name":"Subdivision","value":"EC"},{"id":4,"name":"Milepost","value":"0.0119"},{"id":17,"name":"Train ID","value":"240-17"},{"id":16,"name":"Locomotive ID","value":"4001"},{"id":130,"name":"Impact","value":""},{"id":150,"name":"Time of Event (Mountain Time)","value":"01:07:48"},{"id":151,"name":"Denver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622</v>
      </c>
      <c r="B153" s="7">
        <v>4014</v>
      </c>
      <c r="C153" s="22" t="s">
        <v>220</v>
      </c>
      <c r="D153" s="22" t="s">
        <v>372</v>
      </c>
      <c r="E153" s="13">
        <v>42691.990613425929</v>
      </c>
      <c r="F153" s="13">
        <v>42692.000289351854</v>
      </c>
      <c r="G153" s="7">
        <v>1</v>
      </c>
      <c r="H153" s="22" t="s">
        <v>644</v>
      </c>
      <c r="I153" s="13">
        <v>42692.026759259257</v>
      </c>
      <c r="J153" s="7">
        <v>0</v>
      </c>
      <c r="K153" s="109" t="str">
        <f t="shared" si="66"/>
        <v>4013/4014</v>
      </c>
      <c r="L153" s="22" t="str">
        <f>VLOOKUP(A153,'Trips&amp;Operators'!$C$1:$E$10000,3,FALSE)</f>
        <v>DELGADO</v>
      </c>
      <c r="M153" s="6">
        <f t="shared" si="67"/>
        <v>2.6469907403225079E-2</v>
      </c>
      <c r="N153" s="7">
        <f t="shared" si="68"/>
        <v>38.116666660644114</v>
      </c>
      <c r="O153" s="7"/>
      <c r="P153" s="7"/>
      <c r="Q153" s="23"/>
      <c r="R153" s="23"/>
      <c r="S153" s="35">
        <f t="shared" si="69"/>
        <v>1</v>
      </c>
      <c r="T153" s="50" t="str">
        <f t="shared" si="7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22:46:29-700',mode:absolute,to:'2016-11-18 01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3" s="52" t="str">
        <f t="shared" si="72"/>
        <v>N</v>
      </c>
      <c r="X153" s="177">
        <f t="shared" si="80"/>
        <v>1</v>
      </c>
      <c r="Y153" s="67">
        <f t="shared" si="73"/>
        <v>4.3700000000000003E-2</v>
      </c>
      <c r="Z153" s="67">
        <f t="shared" si="74"/>
        <v>23.328499999999998</v>
      </c>
      <c r="AA153" s="67">
        <f t="shared" si="75"/>
        <v>23.284799999999997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76"/>
        <v>0241-17</v>
      </c>
      <c r="AE153" s="91" t="str">
        <f t="shared" si="77"/>
        <v>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 &amp; 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</v>
      </c>
      <c r="AF153" s="88" t="str">
        <f t="shared" si="78"/>
        <v>"C:\Program Files (x86)\AstroGrep\AstroGrep.exe" /spath="%USERPROFILE%\AppData\Local\Temp\OnboardLogs" /stypes="app*4014*20161118*" /stext=" 07:.+((SYSTEM_STATE.+slice.+state.+changed )|(ment ac)|(system.+state.+changed )|(\[timeout)|(PRM\|1\|D)|(kpr)|(kdp)|(\|lc)|(penalty))" /e /r /s</v>
      </c>
      <c r="AG153" s="1" t="str">
        <f t="shared" si="79"/>
        <v>EC</v>
      </c>
      <c r="AH153" s="92" t="str">
        <f t="shared" si="81"/>
        <v>"%USERPROFILE%\Documents\GitHub\eaglep3\Utilities\RefineRTDCRunTimes.py" --tripid 241-17 --locoid 4014 --swversion DE.1.0.8.0 --startMP 204:437 --initTime 2016-11-17T23:46:29 --startdatetime 2016-11-18T00:00:25 --delay 1 --endMP 204:233285 --enddatetime 2016-11-18T00:38:32 --enforcementcount 0 &gt;&gt;C:\Users\stu\Documents\GitHub\eaglep3-reporting\EC\2016-11-17-refined-times.txt</v>
      </c>
      <c r="AI153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{"issue":{"subject":"","project_id":79,"tracker_id":40,"status_id":1,"priority_id":2,"assigned_to_id":23,"start_date":"2016-11-18","description":"","custom_fields":[{"id":1,"name":"Subdivision","value":"EC"},{"id":4,"name":"Milepost","value":"23.3285"},{"id":17,"name":"Train ID","value":"241-17"},{"id":16,"name":"Locomotive ID","value":"4014"},{"id":130,"name":"Impact","value":""},{"id":150,"name":"Time of Event (Mountain Time)","value":"00:38:32"},{"id":151,"name":"Denver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626</v>
      </c>
      <c r="B154" s="7">
        <v>4013</v>
      </c>
      <c r="C154" s="22" t="s">
        <v>220</v>
      </c>
      <c r="D154" s="22" t="s">
        <v>284</v>
      </c>
      <c r="E154" s="13">
        <v>42692.031736111108</v>
      </c>
      <c r="F154" s="13">
        <v>42692.0391087963</v>
      </c>
      <c r="G154" s="7">
        <v>1</v>
      </c>
      <c r="H154" s="22" t="s">
        <v>709</v>
      </c>
      <c r="I154" s="13">
        <v>42692.062696759262</v>
      </c>
      <c r="J154" s="7">
        <v>0</v>
      </c>
      <c r="K154" s="109" t="str">
        <f t="shared" si="66"/>
        <v>4013/4014</v>
      </c>
      <c r="L154" s="22" t="str">
        <f>VLOOKUP(A154,'Trips&amp;Operators'!$C$1:$E$10000,3,FALSE)</f>
        <v>DELGADO</v>
      </c>
      <c r="M154" s="6">
        <f t="shared" si="67"/>
        <v>2.3587962961755693E-2</v>
      </c>
      <c r="N154" s="7"/>
      <c r="O154" s="7"/>
      <c r="P154" s="7">
        <f t="shared" si="68"/>
        <v>33.966666664928198</v>
      </c>
      <c r="Q154" s="23"/>
      <c r="R154" s="23" t="s">
        <v>926</v>
      </c>
      <c r="S154" s="35">
        <f t="shared" si="69"/>
        <v>0.33333333333333331</v>
      </c>
      <c r="T154" s="50" t="str">
        <f t="shared" si="7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4</v>
      </c>
      <c r="V15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23:45:42-700',mode:absolute,to:'2016-11-18 02:30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4" s="52" t="str">
        <f t="shared" si="72"/>
        <v>Y</v>
      </c>
      <c r="X154" s="177">
        <f t="shared" si="80"/>
        <v>1</v>
      </c>
      <c r="Y154" s="67">
        <f t="shared" si="73"/>
        <v>23.2989</v>
      </c>
      <c r="Z154" s="67">
        <f t="shared" si="74"/>
        <v>6.1128</v>
      </c>
      <c r="AA154" s="67">
        <f t="shared" si="75"/>
        <v>17.1861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6"/>
        <v>0242-17</v>
      </c>
      <c r="AE154" s="91" t="str">
        <f t="shared" si="77"/>
        <v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v>
      </c>
      <c r="AF154" s="88" t="str">
        <f t="shared" si="78"/>
        <v>"C:\Program Files (x86)\AstroGrep\AstroGrep.exe" /spath="%USERPROFILE%\AppData\Local\Temp\OnboardLogs" /stypes="app*4013*20161118*" /stext=" 08:.+((SYSTEM_STATE.+slice.+state.+changed )|(ment ac)|(system.+state.+changed )|(\[timeout)|(PRM\|1\|D)|(kpr)|(kdp)|(\|lc)|(penalty))" /e /r /s</v>
      </c>
      <c r="AG154" s="1" t="str">
        <f t="shared" si="79"/>
        <v>EC</v>
      </c>
      <c r="AH154" s="92" t="str">
        <f t="shared" si="81"/>
        <v>"%USERPROFILE%\Documents\GitHub\eaglep3\Utilities\RefineRTDCRunTimes.py" --tripid 242-17 --locoid 4013 --swversion DE.1.0.8.0 --startMP 204:232989 --initTime 2016-11-18T00:45:42 --startdatetime 2016-11-18T00:56:19 --delay 1 --endMP 204:61128 --enddatetime 2016-11-18T01:30:17 --enforcementcount 0 &gt;&gt;C:\Users\stu\Documents\GitHub\eaglep3-reporting\EC\2016-11-17-refined-times.txt</v>
      </c>
      <c r="AI154" s="119" t="str">
        <f t="shared" si="82"/>
        <v>echo {"issue":{"subject":"Planned XING ADT / Subdiv upgrade work","project_id":79,"tracker_id":40,"status_id":1,"priority_id":2,"assigned_to_id":23,"start_date":"2016-11-18","description":"","custom_fields":[{"id":1,"name":"Subdivision","value":"EC"},{"id":4,"name":"Milepost","value":"6.1128"},{"id":17,"name":"Train ID","value":"242-17"},{"id":16,"name":"Locomotive ID","value":"4013"},{"id":130,"name":"Impact","value":""},{"id":150,"name":"Time of Event (Mountain Time)","value":"01:30:17"},{"id":151,"name":"Denver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623</v>
      </c>
      <c r="B155" s="7">
        <v>4038</v>
      </c>
      <c r="C155" s="22" t="s">
        <v>220</v>
      </c>
      <c r="D155" s="22" t="s">
        <v>199</v>
      </c>
      <c r="E155" s="13">
        <v>42692.00675925926</v>
      </c>
      <c r="F155" s="13">
        <v>42692.02103009259</v>
      </c>
      <c r="G155" s="7">
        <v>1</v>
      </c>
      <c r="H155" s="22" t="s">
        <v>683</v>
      </c>
      <c r="I155" s="13">
        <v>42692.045474537037</v>
      </c>
      <c r="J155" s="7">
        <v>0</v>
      </c>
      <c r="K155" s="109" t="str">
        <f t="shared" si="66"/>
        <v>4037/4038</v>
      </c>
      <c r="L155" s="22" t="str">
        <f>VLOOKUP(A155,'Trips&amp;Operators'!$C$1:$E$10000,3,FALSE)</f>
        <v>LOPES</v>
      </c>
      <c r="M155" s="6">
        <f t="shared" si="67"/>
        <v>2.4444444446999114E-2</v>
      </c>
      <c r="N155" s="7">
        <f t="shared" si="68"/>
        <v>35.200000003678724</v>
      </c>
      <c r="O155" s="7"/>
      <c r="P155" s="7"/>
      <c r="Q155" s="23"/>
      <c r="R155" s="23"/>
      <c r="S155" s="35">
        <f t="shared" si="69"/>
        <v>1</v>
      </c>
      <c r="T155" s="50" t="str">
        <f t="shared" si="7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23:09:44-700',mode:absolute,to:'2016-11-18 02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5" s="52" t="str">
        <f t="shared" si="72"/>
        <v>N</v>
      </c>
      <c r="X155" s="177">
        <f t="shared" si="80"/>
        <v>1</v>
      </c>
      <c r="Y155" s="67">
        <f t="shared" si="73"/>
        <v>4.53E-2</v>
      </c>
      <c r="Z155" s="67">
        <f t="shared" si="74"/>
        <v>23.328700000000001</v>
      </c>
      <c r="AA155" s="67">
        <f t="shared" si="75"/>
        <v>23.2834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76"/>
        <v>0243-17</v>
      </c>
      <c r="AE155" s="91" t="str">
        <f t="shared" si="77"/>
        <v>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 &amp; 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</v>
      </c>
      <c r="AF155" s="88" t="str">
        <f t="shared" si="78"/>
        <v>"C:\Program Files (x86)\AstroGrep\AstroGrep.exe" /spath="%USERPROFILE%\AppData\Local\Temp\OnboardLogs" /stypes="app*4038*20161118*" /stext=" 08:.+((SYSTEM_STATE.+slice.+state.+changed )|(ment ac)|(system.+state.+changed )|(\[timeout)|(PRM\|1\|D)|(kpr)|(kdp)|(\|lc)|(penalty))" /e /r /s</v>
      </c>
      <c r="AG155" s="1" t="str">
        <f t="shared" si="79"/>
        <v>EC</v>
      </c>
      <c r="AH155" s="92" t="str">
        <f t="shared" si="81"/>
        <v>"%USERPROFILE%\Documents\GitHub\eaglep3\Utilities\RefineRTDCRunTimes.py" --tripid 243-17 --locoid 4038 --swversion DE.1.0.8.0 --startMP 204:453 --initTime 2016-11-18T00:09:44 --startdatetime 2016-11-18T00:30:17 --delay 1 --endMP 204:233287 --enddatetime 2016-11-18T01:05:29 --enforcementcount 0 &gt;&gt;C:\Users\stu\Documents\GitHub\eaglep3-reporting\EC\2016-11-17-refined-times.txt</v>
      </c>
      <c r="AI155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{"issue":{"subject":"","project_id":79,"tracker_id":40,"status_id":1,"priority_id":2,"assigned_to_id":23,"start_date":"2016-11-18","description":"","custom_fields":[{"id":1,"name":"Subdivision","value":"EC"},{"id":4,"name":"Milepost","value":"23.3287"},{"id":17,"name":"Train ID","value":"243-17"},{"id":16,"name":"Locomotive ID","value":"4038"},{"id":130,"name":"Impact","value":""},{"id":150,"name":"Time of Event (Mountain Time)","value":"01:05:29"},{"id":151,"name":"Denver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628</v>
      </c>
      <c r="B156" s="7">
        <v>4037</v>
      </c>
      <c r="C156" s="22" t="s">
        <v>220</v>
      </c>
      <c r="D156" s="22" t="s">
        <v>710</v>
      </c>
      <c r="E156" s="13">
        <v>42692.049016203702</v>
      </c>
      <c r="F156" s="13">
        <v>42692.060208333336</v>
      </c>
      <c r="G156" s="7">
        <v>4</v>
      </c>
      <c r="H156" s="22" t="s">
        <v>711</v>
      </c>
      <c r="I156" s="13">
        <v>42692.080636574072</v>
      </c>
      <c r="J156" s="7">
        <v>0</v>
      </c>
      <c r="K156" s="109" t="str">
        <f t="shared" si="66"/>
        <v>4037/4038</v>
      </c>
      <c r="L156" s="22" t="str">
        <f>VLOOKUP(A156,'Trips&amp;Operators'!$C$1:$E$10000,3,FALSE)</f>
        <v>LOPES</v>
      </c>
      <c r="M156" s="6">
        <f t="shared" si="67"/>
        <v>2.042824073578231E-2</v>
      </c>
      <c r="N156" s="7"/>
      <c r="O156" s="7"/>
      <c r="P156" s="7">
        <f t="shared" si="68"/>
        <v>29.416666659526527</v>
      </c>
      <c r="Q156" s="23"/>
      <c r="R156" s="23" t="s">
        <v>926</v>
      </c>
      <c r="S156" s="35">
        <f t="shared" si="69"/>
        <v>0.33333333333333331</v>
      </c>
      <c r="T156" s="50" t="str">
        <f t="shared" si="7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4</v>
      </c>
      <c r="V15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https://search-rtdc-monitor-bjffxe2xuh6vdkpspy63sjmuny.us-east-1.es.amazonaws.com/_plugin/kibana/#/discover/Steve-Slow-Train-Analysis-(2080s-and-2083s)?_g=(refreshInterval:(display:Off,section:0,value:0),time:(from:'2016-11-18 00:10:35-700',mode:absolute,to:'2016-11-18 02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6" s="52" t="str">
        <f t="shared" si="72"/>
        <v>Y</v>
      </c>
      <c r="X156" s="177">
        <f t="shared" si="80"/>
        <v>1</v>
      </c>
      <c r="Y156" s="67">
        <f t="shared" si="73"/>
        <v>23.296800000000001</v>
      </c>
      <c r="Z156" s="67">
        <f t="shared" si="74"/>
        <v>5.8890000000000002</v>
      </c>
      <c r="AA156" s="67">
        <f t="shared" si="75"/>
        <v>17.407800000000002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6"/>
        <v>0244-17</v>
      </c>
      <c r="AE156" s="91" t="str">
        <f t="shared" si="77"/>
        <v>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 &amp; 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</v>
      </c>
      <c r="AF156" s="88" t="str">
        <f t="shared" si="78"/>
        <v>"C:\Program Files (x86)\AstroGrep\AstroGrep.exe" /spath="%USERPROFILE%\AppData\Local\Temp\OnboardLogs" /stypes="app*4037*20161118*" /stext=" 08:.+((SYSTEM_STATE.+slice.+state.+changed )|(ment ac)|(system.+state.+changed )|(\[timeout)|(PRM\|1\|D)|(kpr)|(kdp)|(\|lc)|(penalty))" /e /r /s</v>
      </c>
      <c r="AG156" s="1" t="str">
        <f t="shared" si="79"/>
        <v>EC</v>
      </c>
      <c r="AH156" s="92" t="str">
        <f t="shared" si="81"/>
        <v>"%USERPROFILE%\Documents\GitHub\eaglep3\Utilities\RefineRTDCRunTimes.py" --tripid 244-17 --locoid 4037 --swversion DE.1.0.8.0 --startMP 204:232968 --initTime 2016-11-18T01:10:35 --startdatetime 2016-11-18T01:26:42 --delay 4 --endMP 204:58890 --enddatetime 2016-11-18T01:56:07 --enforcementcount 0 &gt;&gt;C:\Users\stu\Documents\GitHub\eaglep3-reporting\EC\2016-11-17-refined-times.txt</v>
      </c>
      <c r="AI156" s="119" t="str">
        <f t="shared" si="82"/>
        <v>echo {"issue":{"subject":"Planned XING ADT / Subdiv upgrade work","project_id":79,"tracker_id":40,"status_id":1,"priority_id":2,"assigned_to_id":23,"start_date":"2016-11-18","description":"","custom_fields":[{"id":1,"name":"Subdivision","value":"EC"},{"id":4,"name":"Milepost","value":"5.889"},{"id":17,"name":"Train ID","value":"244-17"},{"id":16,"name":"Locomotive ID","value":"4037"},{"id":130,"name":"Impact","value":""},{"id":150,"name":"Time of Event (Mountain Time)","value":"01:56:07"},{"id":151,"name":"Denver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464</v>
      </c>
      <c r="B157" s="7">
        <v>4039</v>
      </c>
      <c r="C157" s="22" t="s">
        <v>220</v>
      </c>
      <c r="D157" s="22" t="s">
        <v>335</v>
      </c>
      <c r="E157" s="13">
        <v>42691.208935185183</v>
      </c>
      <c r="F157" s="13">
        <v>42691.21607638889</v>
      </c>
      <c r="G157" s="7">
        <v>1</v>
      </c>
      <c r="H157" s="22" t="s">
        <v>405</v>
      </c>
      <c r="I157" s="13">
        <v>42691.224988425929</v>
      </c>
      <c r="J157" s="7">
        <v>0</v>
      </c>
      <c r="K157" s="109" t="str">
        <f t="shared" si="66"/>
        <v>4039/4040</v>
      </c>
      <c r="L157" s="22" t="str">
        <f>VLOOKUP(A157,'Trips&amp;Operators'!$C$1:$E$10000,3,FALSE)</f>
        <v>YORK</v>
      </c>
      <c r="M157" s="6">
        <f t="shared" si="67"/>
        <v>8.9120370394084603E-3</v>
      </c>
      <c r="N157" s="7">
        <f t="shared" si="68"/>
        <v>12.833333336748183</v>
      </c>
      <c r="O157" s="7"/>
      <c r="P157" s="7"/>
      <c r="Q157" s="23"/>
      <c r="R157" s="23"/>
      <c r="S157" s="35">
        <f t="shared" si="69"/>
        <v>1</v>
      </c>
      <c r="T157" s="50" t="str">
        <f t="shared" si="7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04:00:52-700',mode:absolute,to:'2016-11-17 06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72"/>
        <v>N</v>
      </c>
      <c r="X157" s="177">
        <f t="shared" si="80"/>
        <v>556</v>
      </c>
      <c r="Y157" s="67">
        <f t="shared" si="73"/>
        <v>5.8623000000000003</v>
      </c>
      <c r="Z157" s="67">
        <f t="shared" si="74"/>
        <v>7.4800000000000005E-2</v>
      </c>
      <c r="AA157" s="67">
        <f t="shared" si="75"/>
        <v>5.7875000000000005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76"/>
        <v>0800-17</v>
      </c>
      <c r="AE157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57" s="88" t="str">
        <f t="shared" si="78"/>
        <v>"C:\Program Files (x86)\AstroGrep\AstroGrep.exe" /spath="%USERPROFILE%\AppData\Local\Temp\OnboardLogs" /stypes="app*4039*20161117*" /stext=" 12:.+((SYSTEM_STATE.+slice.+state.+changed )|(ment ac)|(system.+state.+changed )|(\[timeout)|(PRM\|1\|D)|(kpr)|(kdp)|(\|lc)|(penalty))" /e /r /s</v>
      </c>
      <c r="AG157" s="1" t="str">
        <f t="shared" si="79"/>
        <v>NW</v>
      </c>
      <c r="AH157" s="92" t="str">
        <f t="shared" si="81"/>
        <v>"%USERPROFILE%\Documents\GitHub\eaglep3\Utilities\RefineRTDCRunTimes.py" --tripid 800-17 --locoid 4039 --swversion DE.1.0.8.0 --startMP 300:58623 --initTime 2016-11-17T05:00:52 --startdatetime 2016-11-17T05:11:09 --delay 1 --endMP 204:748 --enddatetime 2016-11-17T05:23:59 --enforcementcount 0 &gt;&gt;C:\Users\stu\Documents\GitHub\eaglep3-reporting\EC\2016-11-17-refined-times.txt</v>
      </c>
      <c r="AI15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{"issue":{"subject":"","project_id":79,"tracker_id":40,"status_id":1,"priority_id":2,"assigned_to_id":23,"start_date":"2016-11-17","description":"","custom_fields":[{"id":1,"name":"Subdivision","value":"NW"},{"id":4,"name":"Milepost","value":"0.0748"},{"id":17,"name":"Train ID","value":"800-17"},{"id":16,"name":"Locomotive ID","value":"4039"},{"id":130,"name":"Impact","value":""},{"id":150,"name":"Time of Event (Mountain Time)","value":"05:23:59"},{"id":151,"name":"Denver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467</v>
      </c>
      <c r="B158" s="7">
        <v>4040</v>
      </c>
      <c r="C158" s="22" t="s">
        <v>220</v>
      </c>
      <c r="D158" s="22" t="s">
        <v>729</v>
      </c>
      <c r="E158" s="13">
        <v>42691.22824074074</v>
      </c>
      <c r="F158" s="13">
        <v>42691.244409722225</v>
      </c>
      <c r="G158" s="7">
        <v>1</v>
      </c>
      <c r="H158" s="22" t="s">
        <v>307</v>
      </c>
      <c r="I158" s="13">
        <v>42691.253379629627</v>
      </c>
      <c r="J158" s="7">
        <v>0</v>
      </c>
      <c r="K158" s="109" t="str">
        <f t="shared" si="66"/>
        <v>4039/4040</v>
      </c>
      <c r="L158" s="22" t="str">
        <f>VLOOKUP(A158,'Trips&amp;Operators'!$C$1:$E$10000,3,FALSE)</f>
        <v>YORK</v>
      </c>
      <c r="M158" s="6">
        <f t="shared" si="67"/>
        <v>8.9699074014788494E-3</v>
      </c>
      <c r="N158" s="7">
        <f t="shared" si="68"/>
        <v>12.916666658129543</v>
      </c>
      <c r="O158" s="7"/>
      <c r="P158" s="7"/>
      <c r="Q158" s="23"/>
      <c r="R158" s="23"/>
      <c r="S158" s="35">
        <f t="shared" si="69"/>
        <v>1</v>
      </c>
      <c r="T158" s="50" t="str">
        <f t="shared" si="7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04:28:40-700',mode:absolute,to:'2016-11-17 07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72"/>
        <v>N</v>
      </c>
      <c r="X158" s="177">
        <f t="shared" si="80"/>
        <v>1</v>
      </c>
      <c r="Y158" s="67">
        <f t="shared" si="73"/>
        <v>0.1028</v>
      </c>
      <c r="Z158" s="67">
        <f t="shared" si="74"/>
        <v>5.8924000000000003</v>
      </c>
      <c r="AA158" s="67">
        <f t="shared" si="75"/>
        <v>5.7896000000000001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6"/>
        <v>0801-17</v>
      </c>
      <c r="AE158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58" s="88" t="str">
        <f t="shared" si="78"/>
        <v>"C:\Program Files (x86)\AstroGrep\AstroGrep.exe" /spath="%USERPROFILE%\AppData\Local\Temp\OnboardLogs" /stypes="app*4040*20161117*" /stext=" 13:.+((SYSTEM_STATE.+slice.+state.+changed )|(ment ac)|(system.+state.+changed )|(\[timeout)|(PRM\|1\|D)|(kpr)|(kdp)|(\|lc)|(penalty))" /e /r /s</v>
      </c>
      <c r="AG158" s="1" t="str">
        <f t="shared" si="79"/>
        <v>NW</v>
      </c>
      <c r="AH158" s="92" t="str">
        <f t="shared" si="81"/>
        <v>"%USERPROFILE%\Documents\GitHub\eaglep3\Utilities\RefineRTDCRunTimes.py" --tripid 801-17 --locoid 4040 --swversion DE.1.0.8.0 --startMP 204:1028 --initTime 2016-11-17T05:28:40 --startdatetime 2016-11-17T05:51:57 --delay 1 --endMP 300:58924 --enddatetime 2016-11-17T06:04:52 --enforcementcount 0 &gt;&gt;C:\Users\stu\Documents\GitHub\eaglep3-reporting\EC\2016-11-17-refined-times.txt</v>
      </c>
      <c r="AI15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ID","value":"801-17"},{"id":16,"name":"Locomotive ID","value":"4040"},{"id":130,"name":"Impact","value":""},{"id":150,"name":"Time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473</v>
      </c>
      <c r="B159" s="7">
        <v>4039</v>
      </c>
      <c r="C159" s="22" t="s">
        <v>220</v>
      </c>
      <c r="D159" s="22" t="s">
        <v>730</v>
      </c>
      <c r="E159" s="13">
        <v>42691.25476851852</v>
      </c>
      <c r="F159" s="13">
        <v>42691.257118055553</v>
      </c>
      <c r="G159" s="7">
        <v>1</v>
      </c>
      <c r="H159" s="22" t="s">
        <v>400</v>
      </c>
      <c r="I159" s="13">
        <v>42691.267314814817</v>
      </c>
      <c r="J159" s="7">
        <v>0</v>
      </c>
      <c r="K159" s="109" t="str">
        <f t="shared" si="66"/>
        <v>4039/4040</v>
      </c>
      <c r="L159" s="22" t="str">
        <f>VLOOKUP(A159,'Trips&amp;Operators'!$C$1:$E$10000,3,FALSE)</f>
        <v>YORK</v>
      </c>
      <c r="M159" s="6">
        <f t="shared" si="67"/>
        <v>1.0196759263635613E-2</v>
      </c>
      <c r="N159" s="7">
        <f t="shared" si="68"/>
        <v>14.683333339635283</v>
      </c>
      <c r="O159" s="7"/>
      <c r="P159" s="7"/>
      <c r="Q159" s="23"/>
      <c r="R159" s="23"/>
      <c r="S159" s="35">
        <f t="shared" si="69"/>
        <v>1</v>
      </c>
      <c r="T159" s="50" t="str">
        <f t="shared" si="7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05:06:52-700',mode:absolute,to:'2016-11-17 07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72"/>
        <v>N</v>
      </c>
      <c r="X159" s="177">
        <f t="shared" si="80"/>
        <v>1</v>
      </c>
      <c r="Y159" s="67">
        <f t="shared" si="73"/>
        <v>5.8596000000000004</v>
      </c>
      <c r="Z159" s="67">
        <f t="shared" si="74"/>
        <v>7.3599999999999999E-2</v>
      </c>
      <c r="AA159" s="67">
        <f t="shared" si="75"/>
        <v>5.7860000000000005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76"/>
        <v>0802-17</v>
      </c>
      <c r="AE159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59" s="88" t="str">
        <f t="shared" si="78"/>
        <v>"C:\Program Files (x86)\AstroGrep\AstroGrep.exe" /spath="%USERPROFILE%\AppData\Local\Temp\OnboardLogs" /stypes="app*4039*20161117*" /stext=" 13:.+((SYSTEM_STATE.+slice.+state.+changed )|(ment ac)|(system.+state.+changed )|(\[timeout)|(PRM\|1\|D)|(kpr)|(kdp)|(\|lc)|(penalty))" /e /r /s</v>
      </c>
      <c r="AG159" s="1" t="str">
        <f t="shared" si="79"/>
        <v>NW</v>
      </c>
      <c r="AH159" s="92" t="str">
        <f t="shared" si="81"/>
        <v>"%USERPROFILE%\Documents\GitHub\eaglep3\Utilities\RefineRTDCRunTimes.py" --tripid 802-17 --locoid 4039 --swversion DE.1.0.8.0 --startMP 300:58596 --initTime 2016-11-17T06:06:52 --startdatetime 2016-11-17T06:10:15 --delay 1 --endMP 204:736 --enddatetime 2016-11-17T06:24:56 --enforcementcount 0 &gt;&gt;C:\Users\stu\Documents\GitHub\eaglep3-reporting\EC\2016-11-17-refined-times.txt</v>
      </c>
      <c r="AI15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{"issue":{"subject":"","project_id":79,"tracker_id":40,"status_id":1,"priority_id":2,"assigned_to_id":23,"start_date":"2016-11-17","description":"","custom_fields":[{"id":1,"name":"Subdivision","value":"NW"},{"id":4,"name":"Milepost","value":"0.0736"},{"id":17,"name":"Train ID","value":"802-17"},{"id":16,"name":"Locomotive ID","value":"4039"},{"id":130,"name":"Impact","value":""},{"id":150,"name":"Time of Event (Mountain Time)","value":"06:24:56"},{"id":151,"name":"Denver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476</v>
      </c>
      <c r="B160" s="7">
        <v>4018</v>
      </c>
      <c r="C160" s="22" t="s">
        <v>220</v>
      </c>
      <c r="D160" s="22" t="s">
        <v>306</v>
      </c>
      <c r="E160" s="13">
        <v>42691.258715277778</v>
      </c>
      <c r="F160" s="13">
        <v>42691.264768518522</v>
      </c>
      <c r="G160" s="7">
        <v>2</v>
      </c>
      <c r="H160" s="22" t="s">
        <v>731</v>
      </c>
      <c r="I160" s="13">
        <v>42691.27380787037</v>
      </c>
      <c r="J160" s="7">
        <v>0</v>
      </c>
      <c r="K160" s="109" t="str">
        <f t="shared" si="66"/>
        <v>4017/4018</v>
      </c>
      <c r="L160" s="22" t="str">
        <f>VLOOKUP(A160,'Trips&amp;Operators'!$C$1:$E$10000,3,FALSE)</f>
        <v>DAVIDSON</v>
      </c>
      <c r="M160" s="6">
        <f t="shared" si="67"/>
        <v>9.0393518476048484E-3</v>
      </c>
      <c r="N160" s="7">
        <f t="shared" si="68"/>
        <v>13.016666660550982</v>
      </c>
      <c r="O160" s="7"/>
      <c r="P160" s="7"/>
      <c r="Q160" s="23"/>
      <c r="R160" s="23"/>
      <c r="S160" s="35">
        <f t="shared" si="69"/>
        <v>1</v>
      </c>
      <c r="T160" s="50" t="str">
        <f t="shared" si="7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05:12:33-700',mode:absolute,to:'2016-11-17 07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0" s="52" t="str">
        <f t="shared" si="72"/>
        <v>N</v>
      </c>
      <c r="X160" s="177">
        <f t="shared" si="80"/>
        <v>1</v>
      </c>
      <c r="Y160" s="67">
        <f t="shared" si="73"/>
        <v>9.8799999999999999E-2</v>
      </c>
      <c r="Z160" s="67">
        <f t="shared" si="74"/>
        <v>5.8987999999999996</v>
      </c>
      <c r="AA160" s="67">
        <f t="shared" si="75"/>
        <v>5.8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6"/>
        <v>0803-17</v>
      </c>
      <c r="AE16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0" s="88" t="str">
        <f t="shared" si="78"/>
        <v>"C:\Program Files (x86)\AstroGrep\AstroGrep.exe" /spath="%USERPROFILE%\AppData\Local\Temp\OnboardLogs" /stypes="app*4018*20161117*" /stext=" 13:.+((SYSTEM_STATE.+slice.+state.+changed )|(ment ac)|(system.+state.+changed )|(\[timeout)|(PRM\|1\|D)|(kpr)|(kdp)|(\|lc)|(penalty))" /e /r /s</v>
      </c>
      <c r="AG160" s="1" t="str">
        <f t="shared" si="79"/>
        <v>NW</v>
      </c>
      <c r="AH160" s="92" t="str">
        <f t="shared" si="81"/>
        <v>"%USERPROFILE%\Documents\GitHub\eaglep3\Utilities\RefineRTDCRunTimes.py" --tripid 803-17 --locoid 4018 --swversion DE.1.0.8.0 --startMP 204:988 --initTime 2016-11-17T06:12:33 --startdatetime 2016-11-17T06:21:16 --delay 2 --endMP 300:58988 --enddatetime 2016-11-17T06:34:17 --enforcementcount 0 &gt;&gt;C:\Users\stu\Documents\GitHub\eaglep3-reporting\EC\2016-11-17-refined-times.txt</v>
      </c>
      <c r="AI16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ID","value":"803-17"},{"id":16,"name":"Locomotive ID","value":"4018"},{"id":130,"name":"Impact","value":""},{"id":150,"name":"Time of Event (Mountain Time)","value":"06:34:17"},{"id":151,"name":"Denver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479</v>
      </c>
      <c r="B161" s="7">
        <v>4017</v>
      </c>
      <c r="C161" s="22" t="s">
        <v>220</v>
      </c>
      <c r="D161" s="22" t="s">
        <v>732</v>
      </c>
      <c r="E161" s="13">
        <v>42691.275266203702</v>
      </c>
      <c r="F161" s="13">
        <v>42691.276678240742</v>
      </c>
      <c r="G161" s="7">
        <v>1</v>
      </c>
      <c r="H161" s="22" t="s">
        <v>334</v>
      </c>
      <c r="I161" s="13">
        <v>42691.288530092592</v>
      </c>
      <c r="J161" s="7">
        <v>0</v>
      </c>
      <c r="K161" s="109" t="str">
        <f t="shared" si="66"/>
        <v>4017/4018</v>
      </c>
      <c r="L161" s="22" t="str">
        <f>VLOOKUP(A161,'Trips&amp;Operators'!$C$1:$E$10000,3,FALSE)</f>
        <v>DAVIDSON</v>
      </c>
      <c r="M161" s="6">
        <f t="shared" si="67"/>
        <v>1.1851851850224193E-2</v>
      </c>
      <c r="N161" s="7">
        <f t="shared" si="68"/>
        <v>17.066666664322838</v>
      </c>
      <c r="O161" s="7"/>
      <c r="P161" s="7"/>
      <c r="Q161" s="23"/>
      <c r="R161" s="23"/>
      <c r="S161" s="35">
        <f t="shared" si="69"/>
        <v>1</v>
      </c>
      <c r="T161" s="50" t="str">
        <f t="shared" si="7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05:36:23-700',mode:absolute,to:'2016-11-17 07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1" s="52" t="str">
        <f t="shared" si="72"/>
        <v>N</v>
      </c>
      <c r="X161" s="177">
        <f t="shared" si="80"/>
        <v>1</v>
      </c>
      <c r="Y161" s="67">
        <f t="shared" si="73"/>
        <v>5.8666</v>
      </c>
      <c r="Z161" s="67">
        <f t="shared" si="74"/>
        <v>6.9199999999999998E-2</v>
      </c>
      <c r="AA161" s="67">
        <f t="shared" si="75"/>
        <v>5.7973999999999997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6"/>
        <v>0804-17</v>
      </c>
      <c r="AE16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1" s="88" t="str">
        <f t="shared" si="78"/>
        <v>"C:\Program Files (x86)\AstroGrep\AstroGrep.exe" /spath="%USERPROFILE%\AppData\Local\Temp\OnboardLogs" /stypes="app*4017*20161117*" /stext=" 13:.+((SYSTEM_STATE.+slice.+state.+changed )|(ment ac)|(system.+state.+changed )|(\[timeout)|(PRM\|1\|D)|(kpr)|(kdp)|(\|lc)|(penalty))" /e /r /s</v>
      </c>
      <c r="AG161" s="1" t="str">
        <f t="shared" si="79"/>
        <v>NW</v>
      </c>
      <c r="AH161" s="92" t="str">
        <f t="shared" si="81"/>
        <v>"%USERPROFILE%\Documents\GitHub\eaglep3\Utilities\RefineRTDCRunTimes.py" --tripid 804-17 --locoid 4017 --swversion DE.1.0.8.0 --startMP 300:58666 --initTime 2016-11-17T06:36:23 --startdatetime 2016-11-17T06:38:25 --delay 1 --endMP 204:692 --enddatetime 2016-11-17T06:55:29 --enforcementcount 0 &gt;&gt;C:\Users\stu\Documents\GitHub\eaglep3-reporting\EC\2016-11-17-refined-times.txt</v>
      </c>
      <c r="AI16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{"issue":{"subject":"","project_id":79,"tracker_id":40,"status_id":1,"priority_id":2,"assigned_to_id":23,"start_date":"2016-11-17","description":"","custom_fields":[{"id":1,"name":"Subdivision","value":"NW"},{"id":4,"name":"Milepost","value":"0.0692"},{"id":17,"name":"Train ID","value":"804-17"},{"id":16,"name":"Locomotive ID","value":"4017"},{"id":130,"name":"Impact","value":""},{"id":150,"name":"Time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478</v>
      </c>
      <c r="B162" s="7">
        <v>4040</v>
      </c>
      <c r="C162" s="22" t="s">
        <v>220</v>
      </c>
      <c r="D162" s="22" t="s">
        <v>729</v>
      </c>
      <c r="E162" s="13">
        <v>42691.268553240741</v>
      </c>
      <c r="F162" s="13">
        <v>42691.285902777781</v>
      </c>
      <c r="G162" s="7">
        <v>0</v>
      </c>
      <c r="H162" s="22" t="s">
        <v>307</v>
      </c>
      <c r="I162" s="13">
        <v>42691.295138888891</v>
      </c>
      <c r="J162" s="7">
        <v>0</v>
      </c>
      <c r="K162" s="109" t="str">
        <f t="shared" si="66"/>
        <v>4039/4040</v>
      </c>
      <c r="L162" s="22" t="str">
        <f>VLOOKUP(A162,'Trips&amp;Operators'!$C$1:$E$10000,3,FALSE)</f>
        <v>YORK</v>
      </c>
      <c r="M162" s="6">
        <f t="shared" si="67"/>
        <v>9.2361111092031933E-3</v>
      </c>
      <c r="N162" s="7">
        <f t="shared" si="68"/>
        <v>13.299999997252598</v>
      </c>
      <c r="O162" s="7"/>
      <c r="P162" s="7"/>
      <c r="Q162" s="23"/>
      <c r="R162" s="23"/>
      <c r="S162" s="35">
        <f t="shared" si="69"/>
        <v>1</v>
      </c>
      <c r="T162" s="50" t="str">
        <f t="shared" si="7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05:26:43-700',mode:absolute,to:'2016-11-17 08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72"/>
        <v>N</v>
      </c>
      <c r="X162" s="177">
        <f t="shared" si="80"/>
        <v>1</v>
      </c>
      <c r="Y162" s="67">
        <f t="shared" si="73"/>
        <v>0.1028</v>
      </c>
      <c r="Z162" s="67">
        <f t="shared" si="74"/>
        <v>5.8924000000000003</v>
      </c>
      <c r="AA162" s="67">
        <f t="shared" si="75"/>
        <v>5.7896000000000001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76"/>
        <v>0805-17</v>
      </c>
      <c r="AE162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62" s="88" t="str">
        <f t="shared" si="78"/>
        <v>"C:\Program Files (x86)\AstroGrep\AstroGrep.exe" /spath="%USERPROFILE%\AppData\Local\Temp\OnboardLogs" /stypes="app*4040*20161117*" /stext=" 14:.+((SYSTEM_STATE.+slice.+state.+changed )|(ment ac)|(system.+state.+changed )|(\[timeout)|(PRM\|1\|D)|(kpr)|(kdp)|(\|lc)|(penalty))" /e /r /s</v>
      </c>
      <c r="AG162" s="1" t="str">
        <f t="shared" si="79"/>
        <v>NW</v>
      </c>
      <c r="AH162" s="92" t="str">
        <f t="shared" si="81"/>
        <v>"%USERPROFILE%\Documents\GitHub\eaglep3\Utilities\RefineRTDCRunTimes.py" --tripid 805-17 --locoid 4040 --swversion DE.1.0.8.0 --startMP 204:1028 --initTime 2016-11-17T06:26:43 --startdatetime 2016-11-17T06:51:42 --delay 0 --endMP 300:58924 --enddatetime 2016-11-17T07:05:00 --enforcementcount 0 &gt;&gt;C:\Users\stu\Documents\GitHub\eaglep3-reporting\EC\2016-11-17-refined-times.txt</v>
      </c>
      <c r="AI16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ID","value":"805-17"},{"id":16,"name":"Locomotive ID","value":"4040"},{"id":130,"name":"Impact","value":""},{"id":150,"name":"Time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418</v>
      </c>
      <c r="B163" s="7">
        <v>4039</v>
      </c>
      <c r="C163" s="22" t="s">
        <v>220</v>
      </c>
      <c r="D163" s="22" t="s">
        <v>403</v>
      </c>
      <c r="E163" s="13">
        <v>42691.296215277776</v>
      </c>
      <c r="F163" s="13">
        <v>42691.299143518518</v>
      </c>
      <c r="G163" s="7">
        <v>1</v>
      </c>
      <c r="H163" s="22" t="s">
        <v>366</v>
      </c>
      <c r="I163" s="13">
        <v>42691.309976851851</v>
      </c>
      <c r="J163" s="7">
        <v>0</v>
      </c>
      <c r="K163" s="109" t="str">
        <f t="shared" si="66"/>
        <v>4039/4040</v>
      </c>
      <c r="L163" s="22" t="str">
        <f>VLOOKUP(A163,'Trips&amp;Operators'!$C$1:$E$10000,3,FALSE)</f>
        <v>YORK</v>
      </c>
      <c r="M163" s="6">
        <f t="shared" si="67"/>
        <v>1.0833333333721384E-2</v>
      </c>
      <c r="N163" s="7">
        <f t="shared" si="68"/>
        <v>15.600000000558794</v>
      </c>
      <c r="O163" s="7"/>
      <c r="P163" s="7"/>
      <c r="Q163" s="23"/>
      <c r="R163" s="23"/>
      <c r="S163" s="35">
        <f t="shared" si="69"/>
        <v>1</v>
      </c>
      <c r="T163" s="50" t="str">
        <f t="shared" si="7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06:06:33-700',mode:absolute,to:'2016-11-17 08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72"/>
        <v>N</v>
      </c>
      <c r="X163" s="177">
        <f t="shared" si="80"/>
        <v>1</v>
      </c>
      <c r="Y163" s="67">
        <f t="shared" si="73"/>
        <v>5.8613</v>
      </c>
      <c r="Z163" s="67">
        <f t="shared" si="74"/>
        <v>7.4099999999999999E-2</v>
      </c>
      <c r="AA163" s="67">
        <f t="shared" si="75"/>
        <v>5.7872000000000003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6"/>
        <v>0806-17</v>
      </c>
      <c r="AE163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63" s="88" t="str">
        <f t="shared" si="78"/>
        <v>"C:\Program Files (x86)\AstroGrep\AstroGrep.exe" /spath="%USERPROFILE%\AppData\Local\Temp\OnboardLogs" /stypes="app*4039*20161117*" /stext=" 14:.+((SYSTEM_STATE.+slice.+state.+changed )|(ment ac)|(system.+state.+changed )|(\[timeout)|(PRM\|1\|D)|(kpr)|(kdp)|(\|lc)|(penalty))" /e /r /s</v>
      </c>
      <c r="AG163" s="1" t="str">
        <f t="shared" si="79"/>
        <v>NW</v>
      </c>
      <c r="AH163" s="92" t="str">
        <f t="shared" si="81"/>
        <v>"%USERPROFILE%\Documents\GitHub\eaglep3\Utilities\RefineRTDCRunTimes.py" --tripid 806-17 --locoid 4039 --swversion DE.1.0.8.0 --startMP 300:58613 --initTime 2016-11-17T07:06:33 --startdatetime 2016-11-17T07:10:46 --delay 1 --endMP 204:741 --enddatetime 2016-11-17T07:26:22 --enforcementcount 0 &gt;&gt;C:\Users\stu\Documents\GitHub\eaglep3-reporting\EC\2016-11-17-refined-times.txt</v>
      </c>
      <c r="AI16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{"issue":{"subject":"","project_id":79,"tracker_id":40,"status_id":1,"priority_id":2,"assigned_to_id":23,"start_date":"2016-11-17","description":"","custom_fields":[{"id":1,"name":"Subdivision","value":"NW"},{"id":4,"name":"Milepost","value":"0.0741"},{"id":17,"name":"Train ID","value":"806-17"},{"id":16,"name":"Locomotive ID","value":"4039"},{"id":130,"name":"Impact","value":""},{"id":150,"name":"Time of Event (Mountain Time)","value":"07:26:22"},{"id":151,"name":"Denver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484</v>
      </c>
      <c r="B164" s="7">
        <v>4018</v>
      </c>
      <c r="C164" s="22" t="s">
        <v>220</v>
      </c>
      <c r="D164" s="22" t="s">
        <v>336</v>
      </c>
      <c r="E164" s="13">
        <v>42691.298217592594</v>
      </c>
      <c r="F164" s="13">
        <v>42691.306435185186</v>
      </c>
      <c r="G164" s="7">
        <v>1</v>
      </c>
      <c r="H164" s="22" t="s">
        <v>731</v>
      </c>
      <c r="I164" s="13">
        <v>42691.316053240742</v>
      </c>
      <c r="J164" s="7">
        <v>0</v>
      </c>
      <c r="K164" s="109" t="str">
        <f t="shared" si="66"/>
        <v>4017/4018</v>
      </c>
      <c r="L164" s="22" t="str">
        <f>VLOOKUP(A164,'Trips&amp;Operators'!$C$1:$E$10000,3,FALSE)</f>
        <v>DAVIDSON</v>
      </c>
      <c r="M164" s="6">
        <f t="shared" si="67"/>
        <v>9.6180555556202307E-3</v>
      </c>
      <c r="N164" s="7">
        <f t="shared" si="68"/>
        <v>13.850000000093132</v>
      </c>
      <c r="O164" s="7"/>
      <c r="P164" s="7"/>
      <c r="Q164" s="23"/>
      <c r="R164" s="23"/>
      <c r="S164" s="35">
        <f t="shared" si="69"/>
        <v>1</v>
      </c>
      <c r="T164" s="50" t="str">
        <f t="shared" si="7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06:09:26-700',mode:absolute,to:'2016-11-17 08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4" s="52" t="str">
        <f t="shared" si="72"/>
        <v>N</v>
      </c>
      <c r="X164" s="177">
        <f t="shared" si="80"/>
        <v>1</v>
      </c>
      <c r="Y164" s="67">
        <f t="shared" si="73"/>
        <v>9.8500000000000004E-2</v>
      </c>
      <c r="Z164" s="67">
        <f t="shared" si="74"/>
        <v>5.8987999999999996</v>
      </c>
      <c r="AA164" s="67">
        <f t="shared" si="75"/>
        <v>5.8003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6"/>
        <v>0807-17</v>
      </c>
      <c r="AE16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4" s="88" t="str">
        <f t="shared" si="78"/>
        <v>"C:\Program Files (x86)\AstroGrep\AstroGrep.exe" /spath="%USERPROFILE%\AppData\Local\Temp\OnboardLogs" /stypes="app*4018*20161117*" /stext=" 14:.+((SYSTEM_STATE.+slice.+state.+changed )|(ment ac)|(system.+state.+changed )|(\[timeout)|(PRM\|1\|D)|(kpr)|(kdp)|(\|lc)|(penalty))" /e /r /s</v>
      </c>
      <c r="AG164" s="1" t="str">
        <f t="shared" si="79"/>
        <v>NW</v>
      </c>
      <c r="AH164" s="92" t="str">
        <f t="shared" si="81"/>
        <v>"%USERPROFILE%\Documents\GitHub\eaglep3\Utilities\RefineRTDCRunTimes.py" --tripid 807-17 --locoid 4018 --swversion DE.1.0.8.0 --startMP 204:985 --initTime 2016-11-17T07:09:26 --startdatetime 2016-11-17T07:21:16 --delay 1 --endMP 300:58988 --enddatetime 2016-11-17T07:35:07 --enforcementcount 0 &gt;&gt;C:\Users\stu\Documents\GitHub\eaglep3-reporting\EC\2016-11-17-refined-times.txt</v>
      </c>
      <c r="AI16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ID","value":"807-17"},{"id":16,"name":"Locomotive ID","value":"4018"},{"id":130,"name":"Impact","value":""},{"id":150,"name":"Time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420</v>
      </c>
      <c r="B165" s="7">
        <v>4017</v>
      </c>
      <c r="C165" s="22" t="s">
        <v>220</v>
      </c>
      <c r="D165" s="22" t="s">
        <v>399</v>
      </c>
      <c r="E165" s="13">
        <v>42691.317476851851</v>
      </c>
      <c r="F165" s="13">
        <v>42691.319108796299</v>
      </c>
      <c r="G165" s="7">
        <v>1</v>
      </c>
      <c r="H165" s="22" t="s">
        <v>397</v>
      </c>
      <c r="I165" s="13">
        <v>42691.331180555557</v>
      </c>
      <c r="J165" s="7">
        <v>0</v>
      </c>
      <c r="K165" s="109" t="str">
        <f t="shared" si="66"/>
        <v>4017/4018</v>
      </c>
      <c r="L165" s="22" t="str">
        <f>VLOOKUP(A165,'Trips&amp;Operators'!$C$1:$E$10000,3,FALSE)</f>
        <v>DAVIDSON</v>
      </c>
      <c r="M165" s="6">
        <f t="shared" si="67"/>
        <v>1.2071759258105885E-2</v>
      </c>
      <c r="N165" s="7">
        <f t="shared" si="68"/>
        <v>17.383333331672475</v>
      </c>
      <c r="O165" s="7"/>
      <c r="P165" s="7"/>
      <c r="Q165" s="23"/>
      <c r="R165" s="23"/>
      <c r="S165" s="35">
        <f t="shared" si="69"/>
        <v>1</v>
      </c>
      <c r="T165" s="50" t="str">
        <f t="shared" si="7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06:37:10-700',mode:absolute,to:'2016-11-17 08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5" s="52" t="str">
        <f t="shared" si="72"/>
        <v>N</v>
      </c>
      <c r="X165" s="177">
        <f t="shared" si="80"/>
        <v>1</v>
      </c>
      <c r="Y165" s="67">
        <f t="shared" si="73"/>
        <v>5.8672000000000004</v>
      </c>
      <c r="Z165" s="67">
        <f t="shared" si="74"/>
        <v>6.8699999999999997E-2</v>
      </c>
      <c r="AA165" s="67">
        <f t="shared" si="75"/>
        <v>5.7985000000000007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76"/>
        <v>0808-17</v>
      </c>
      <c r="AE16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5" s="88" t="str">
        <f t="shared" si="78"/>
        <v>"C:\Program Files (x86)\AstroGrep\AstroGrep.exe" /spath="%USERPROFILE%\AppData\Local\Temp\OnboardLogs" /stypes="app*4017*20161117*" /stext=" 14:.+((SYSTEM_STATE.+slice.+state.+changed )|(ment ac)|(system.+state.+changed )|(\[timeout)|(PRM\|1\|D)|(kpr)|(kdp)|(\|lc)|(penalty))" /e /r /s</v>
      </c>
      <c r="AG165" s="1" t="str">
        <f t="shared" si="79"/>
        <v>NW</v>
      </c>
      <c r="AH165" s="92" t="str">
        <f t="shared" si="81"/>
        <v>"%USERPROFILE%\Documents\GitHub\eaglep3\Utilities\RefineRTDCRunTimes.py" --tripid 808-17 --locoid 4017 --swversion DE.1.0.8.0 --startMP 300:58672 --initTime 2016-11-17T07:37:10 --startdatetime 2016-11-17T07:39:31 --delay 1 --endMP 204:687 --enddatetime 2016-11-17T07:56:54 --enforcementcount 0 &gt;&gt;C:\Users\stu\Documents\GitHub\eaglep3-reporting\EC\2016-11-17-refined-times.txt</v>
      </c>
      <c r="AI16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{"issue":{"subject":"","project_id":79,"tracker_id":40,"status_id":1,"priority_id":2,"assigned_to_id":23,"start_date":"2016-11-17","description":"","custom_fields":[{"id":1,"name":"Subdivision","value":"NW"},{"id":4,"name":"Milepost","value":"0.0687"},{"id":17,"name":"Train ID","value":"808-17"},{"id":16,"name":"Locomotive ID","value":"4017"},{"id":130,"name":"Impact","value":""},{"id":150,"name":"Time of Event (Mountain Time)","value":"07:56:54"},{"id":151,"name":"Denver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486</v>
      </c>
      <c r="B166" s="7">
        <v>4040</v>
      </c>
      <c r="C166" s="22" t="s">
        <v>220</v>
      </c>
      <c r="D166" s="22" t="s">
        <v>394</v>
      </c>
      <c r="E166" s="13">
        <v>42691.311307870368</v>
      </c>
      <c r="F166" s="13">
        <v>42691.327361111114</v>
      </c>
      <c r="G166" s="7">
        <v>1</v>
      </c>
      <c r="H166" s="22" t="s">
        <v>307</v>
      </c>
      <c r="I166" s="13">
        <v>42691.336099537039</v>
      </c>
      <c r="J166" s="7">
        <v>0</v>
      </c>
      <c r="K166" s="109" t="str">
        <f t="shared" si="66"/>
        <v>4039/4040</v>
      </c>
      <c r="L166" s="22" t="str">
        <f>VLOOKUP(A166,'Trips&amp;Operators'!$C$1:$E$10000,3,FALSE)</f>
        <v>YORK</v>
      </c>
      <c r="M166" s="6">
        <f t="shared" si="67"/>
        <v>8.7384259240934625E-3</v>
      </c>
      <c r="N166" s="7">
        <f t="shared" si="68"/>
        <v>12.583333330694586</v>
      </c>
      <c r="O166" s="7"/>
      <c r="P166" s="7"/>
      <c r="Q166" s="23"/>
      <c r="R166" s="23"/>
      <c r="S166" s="35">
        <f t="shared" si="69"/>
        <v>1</v>
      </c>
      <c r="T166" s="50" t="str">
        <f t="shared" si="7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06:28:17-700',mode:absolute,to:'2016-11-17 09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72"/>
        <v>N</v>
      </c>
      <c r="X166" s="177">
        <f t="shared" si="80"/>
        <v>1</v>
      </c>
      <c r="Y166" s="67">
        <f t="shared" si="73"/>
        <v>0.10489999999999999</v>
      </c>
      <c r="Z166" s="67">
        <f t="shared" si="74"/>
        <v>5.8924000000000003</v>
      </c>
      <c r="AA166" s="67">
        <f t="shared" si="75"/>
        <v>5.7875000000000005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76"/>
        <v>0809-17</v>
      </c>
      <c r="AE166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66" s="88" t="str">
        <f t="shared" si="78"/>
        <v>"C:\Program Files (x86)\AstroGrep\AstroGrep.exe" /spath="%USERPROFILE%\AppData\Local\Temp\OnboardLogs" /stypes="app*4040*20161117*" /stext=" 15:.+((SYSTEM_STATE.+slice.+state.+changed )|(ment ac)|(system.+state.+changed )|(\[timeout)|(PRM\|1\|D)|(kpr)|(kdp)|(\|lc)|(penalty))" /e /r /s</v>
      </c>
      <c r="AG166" s="1" t="str">
        <f t="shared" si="79"/>
        <v>NW</v>
      </c>
      <c r="AH166" s="92" t="str">
        <f t="shared" si="81"/>
        <v>"%USERPROFILE%\Documents\GitHub\eaglep3\Utilities\RefineRTDCRunTimes.py" --tripid 809-17 --locoid 4040 --swversion DE.1.0.8.0 --startMP 204:1049 --initTime 2016-11-17T07:28:17 --startdatetime 2016-11-17T07:51:24 --delay 1 --endMP 300:58924 --enddatetime 2016-11-17T08:03:59 --enforcementcount 0 &gt;&gt;C:\Users\stu\Documents\GitHub\eaglep3-reporting\EC\2016-11-17-refined-times.txt</v>
      </c>
      <c r="AI16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ID","value":"809-17"},{"id":16,"name":"Locomotive ID","value":"4040"},{"id":130,"name":"Impact","value":""},{"id":150,"name":"Time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423</v>
      </c>
      <c r="B167" s="7">
        <v>4039</v>
      </c>
      <c r="C167" s="22" t="s">
        <v>220</v>
      </c>
      <c r="D167" s="22" t="s">
        <v>294</v>
      </c>
      <c r="E167" s="13">
        <v>42691.33693287037</v>
      </c>
      <c r="F167" s="13">
        <v>42691.339375000003</v>
      </c>
      <c r="G167" s="7">
        <v>1</v>
      </c>
      <c r="H167" s="22" t="s">
        <v>733</v>
      </c>
      <c r="I167" s="13">
        <v>42691.351041666669</v>
      </c>
      <c r="J167" s="7">
        <v>0</v>
      </c>
      <c r="K167" s="109" t="str">
        <f t="shared" si="66"/>
        <v>4039/4040</v>
      </c>
      <c r="L167" s="22" t="str">
        <f>VLOOKUP(A167,'Trips&amp;Operators'!$C$1:$E$10000,3,FALSE)</f>
        <v>YORK</v>
      </c>
      <c r="M167" s="6">
        <f t="shared" si="67"/>
        <v>1.1666666665405501E-2</v>
      </c>
      <c r="N167" s="7">
        <f t="shared" si="68"/>
        <v>16.799999998183921</v>
      </c>
      <c r="O167" s="7"/>
      <c r="P167" s="7"/>
      <c r="Q167" s="23"/>
      <c r="R167" s="23"/>
      <c r="S167" s="35">
        <f t="shared" si="69"/>
        <v>1</v>
      </c>
      <c r="T167" s="50" t="str">
        <f t="shared" si="7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07:05:11-700',mode:absolute,to:'2016-11-17 09:25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72"/>
        <v>N</v>
      </c>
      <c r="X167" s="177">
        <f t="shared" si="80"/>
        <v>1</v>
      </c>
      <c r="Y167" s="67">
        <f t="shared" si="73"/>
        <v>5.8608000000000002</v>
      </c>
      <c r="Z167" s="67">
        <f t="shared" si="74"/>
        <v>8.1000000000000003E-2</v>
      </c>
      <c r="AA167" s="67">
        <f t="shared" si="75"/>
        <v>5.7797999999999998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6"/>
        <v>0810-17</v>
      </c>
      <c r="AE167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67" s="88" t="str">
        <f t="shared" si="78"/>
        <v>"C:\Program Files (x86)\AstroGrep\AstroGrep.exe" /spath="%USERPROFILE%\AppData\Local\Temp\OnboardLogs" /stypes="app*4039*20161117*" /stext=" 15:.+((SYSTEM_STATE.+slice.+state.+changed )|(ment ac)|(system.+state.+changed )|(\[timeout)|(PRM\|1\|D)|(kpr)|(kdp)|(\|lc)|(penalty))" /e /r /s</v>
      </c>
      <c r="AG167" s="1" t="str">
        <f t="shared" si="79"/>
        <v>NW</v>
      </c>
      <c r="AH167" s="92" t="str">
        <f t="shared" si="81"/>
        <v>"%USERPROFILE%\Documents\GitHub\eaglep3\Utilities\RefineRTDCRunTimes.py" --tripid 810-17 --locoid 4039 --swversion DE.1.0.8.0 --startMP 300:58608 --initTime 2016-11-17T08:05:11 --startdatetime 2016-11-17T08:08:42 --delay 1 --endMP 204:810 --enddatetime 2016-11-17T08:25:30 --enforcementcount 0 &gt;&gt;C:\Users\stu\Documents\GitHub\eaglep3-reporting\EC\2016-11-17-refined-times.txt</v>
      </c>
      <c r="AI16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{"issue":{"subject":"","project_id":79,"tracker_id":40,"status_id":1,"priority_id":2,"assigned_to_id":23,"start_date":"2016-11-17","description":"","custom_fields":[{"id":1,"name":"Subdivision","value":"NW"},{"id":4,"name":"Milepost","value":"0.081"},{"id":17,"name":"Train ID","value":"810-17"},{"id":16,"name":"Locomotive ID","value":"4039"},{"id":130,"name":"Impact","value":""},{"id":150,"name":"Time of Event (Mountain Time)","value":"08:25:30"},{"id":151,"name":"Denver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491</v>
      </c>
      <c r="B168" s="7">
        <v>4018</v>
      </c>
      <c r="C168" s="22" t="s">
        <v>220</v>
      </c>
      <c r="D168" s="22" t="s">
        <v>734</v>
      </c>
      <c r="E168" s="13">
        <v>42691.333391203705</v>
      </c>
      <c r="F168" s="13">
        <v>42691.348113425927</v>
      </c>
      <c r="G168" s="7">
        <v>1</v>
      </c>
      <c r="H168" s="22" t="s">
        <v>396</v>
      </c>
      <c r="I168" s="13">
        <v>42691.358136574076</v>
      </c>
      <c r="J168" s="7">
        <v>0</v>
      </c>
      <c r="K168" s="109" t="str">
        <f t="shared" si="66"/>
        <v>4017/4018</v>
      </c>
      <c r="L168" s="22" t="str">
        <f>VLOOKUP(A168,'Trips&amp;Operators'!$C$1:$E$10000,3,FALSE)</f>
        <v>DAVIDSON</v>
      </c>
      <c r="M168" s="6">
        <f t="shared" si="67"/>
        <v>1.0023148148320615E-2</v>
      </c>
      <c r="N168" s="7">
        <f t="shared" si="68"/>
        <v>14.433333333581686</v>
      </c>
      <c r="O168" s="7"/>
      <c r="P168" s="7"/>
      <c r="Q168" s="23"/>
      <c r="R168" s="23"/>
      <c r="S168" s="35">
        <f t="shared" si="69"/>
        <v>1</v>
      </c>
      <c r="T168" s="50" t="str">
        <f t="shared" si="7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07:00:05-700',mode:absolute,to:'2016-11-17 09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8" s="52" t="str">
        <f t="shared" si="72"/>
        <v>N</v>
      </c>
      <c r="X168" s="177">
        <f t="shared" si="80"/>
        <v>1</v>
      </c>
      <c r="Y168" s="67">
        <f t="shared" si="73"/>
        <v>9.8100000000000007E-2</v>
      </c>
      <c r="Z168" s="67">
        <f t="shared" si="74"/>
        <v>5.8983999999999996</v>
      </c>
      <c r="AA168" s="67">
        <f t="shared" si="75"/>
        <v>5.8003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6"/>
        <v>0811-17</v>
      </c>
      <c r="AE16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8" s="88" t="str">
        <f t="shared" si="78"/>
        <v>"C:\Program Files (x86)\AstroGrep\AstroGrep.exe" /spath="%USERPROFILE%\AppData\Local\Temp\OnboardLogs" /stypes="app*4018*20161117*" /stext=" 15:.+((SYSTEM_STATE.+slice.+state.+changed )|(ment ac)|(system.+state.+changed )|(\[timeout)|(PRM\|1\|D)|(kpr)|(kdp)|(\|lc)|(penalty))" /e /r /s</v>
      </c>
      <c r="AG168" s="1" t="str">
        <f t="shared" si="79"/>
        <v>NW</v>
      </c>
      <c r="AH168" s="92" t="str">
        <f t="shared" si="81"/>
        <v>"%USERPROFILE%\Documents\GitHub\eaglep3\Utilities\RefineRTDCRunTimes.py" --tripid 811-17 --locoid 4018 --swversion DE.1.0.8.0 --startMP 204:981 --initTime 2016-11-17T08:00:05 --startdatetime 2016-11-17T08:21:17 --delay 1 --endMP 300:58984 --enddatetime 2016-11-17T08:35:43 --enforcementcount 0 &gt;&gt;C:\Users\stu\Documents\GitHub\eaglep3-reporting\EC\2016-11-17-refined-times.txt</v>
      </c>
      <c r="AI16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ID","value":"811-17"},{"id":16,"name":"Locomotive ID","value":"4018"},{"id":130,"name":"Impact","value":""},{"id":150,"name":"Time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496</v>
      </c>
      <c r="B169" s="7">
        <v>4017</v>
      </c>
      <c r="C169" s="22" t="s">
        <v>220</v>
      </c>
      <c r="D169" s="22" t="s">
        <v>393</v>
      </c>
      <c r="E169" s="13">
        <v>42691.359502314815</v>
      </c>
      <c r="F169" s="13">
        <v>42691.361435185187</v>
      </c>
      <c r="G169" s="7">
        <v>1</v>
      </c>
      <c r="H169" s="22" t="s">
        <v>735</v>
      </c>
      <c r="I169" s="13">
        <v>42691.37190972222</v>
      </c>
      <c r="J169" s="7">
        <v>0</v>
      </c>
      <c r="K169" s="109" t="str">
        <f t="shared" si="66"/>
        <v>4017/4018</v>
      </c>
      <c r="L169" s="22" t="str">
        <f>VLOOKUP(A169,'Trips&amp;Operators'!$C$1:$E$10000,3,FALSE)</f>
        <v>DAVIDSON</v>
      </c>
      <c r="M169" s="6">
        <f t="shared" si="67"/>
        <v>1.0474537033587694E-2</v>
      </c>
      <c r="N169" s="7">
        <f t="shared" si="68"/>
        <v>15.08333332836628</v>
      </c>
      <c r="O169" s="7"/>
      <c r="P169" s="7"/>
      <c r="Q169" s="23"/>
      <c r="R169" s="23"/>
      <c r="S169" s="35">
        <f t="shared" si="69"/>
        <v>1</v>
      </c>
      <c r="T169" s="50" t="str">
        <f t="shared" si="7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07:37:41-700',mode:absolute,to:'2016-11-17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9" s="52" t="str">
        <f t="shared" si="72"/>
        <v>N</v>
      </c>
      <c r="X169" s="177">
        <f t="shared" si="80"/>
        <v>1</v>
      </c>
      <c r="Y169" s="67">
        <f t="shared" si="73"/>
        <v>5.8673000000000002</v>
      </c>
      <c r="Z169" s="67">
        <f t="shared" si="74"/>
        <v>6.8400000000000002E-2</v>
      </c>
      <c r="AA169" s="67">
        <f t="shared" si="75"/>
        <v>5.7989000000000006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76"/>
        <v>0812-17</v>
      </c>
      <c r="AE16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9" s="88" t="str">
        <f t="shared" si="78"/>
        <v>"C:\Program Files (x86)\AstroGrep\AstroGrep.exe" /spath="%USERPROFILE%\AppData\Local\Temp\OnboardLogs" /stypes="app*4017*20161117*" /stext=" 15:.+((SYSTEM_STATE.+slice.+state.+changed )|(ment ac)|(system.+state.+changed )|(\[timeout)|(PRM\|1\|D)|(kpr)|(kdp)|(\|lc)|(penalty))" /e /r /s</v>
      </c>
      <c r="AG169" s="1" t="str">
        <f t="shared" si="79"/>
        <v>NW</v>
      </c>
      <c r="AH169" s="92" t="str">
        <f t="shared" si="81"/>
        <v>"%USERPROFILE%\Documents\GitHub\eaglep3\Utilities\RefineRTDCRunTimes.py" --tripid 812-17 --locoid 4017 --swversion DE.1.0.8.0 --startMP 300:58673 --initTime 2016-11-17T08:37:41 --startdatetime 2016-11-17T08:40:28 --delay 1 --endMP 204:684 --enddatetime 2016-11-17T08:55:33 --enforcementcount 0 &gt;&gt;C:\Users\stu\Documents\GitHub\eaglep3-reporting\EC\2016-11-17-refined-times.txt</v>
      </c>
      <c r="AI16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{"issue":{"subject":"","project_id":79,"tracker_id":40,"status_id":1,"priority_id":2,"assigned_to_id":23,"start_date":"2016-11-17","description":"","custom_fields":[{"id":1,"name":"Subdivision","value":"NW"},{"id":4,"name":"Milepost","value":"0.0684"},{"id":17,"name":"Train ID","value":"812-17"},{"id":16,"name":"Locomotive ID","value":"4017"},{"id":130,"name":"Impact","value":""},{"id":150,"name":"Time of Event (Mountain Time)","value":"08:55:33"},{"id":151,"name":"Denver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500</v>
      </c>
      <c r="B170" s="7">
        <v>4018</v>
      </c>
      <c r="C170" s="22" t="s">
        <v>220</v>
      </c>
      <c r="D170" s="22" t="s">
        <v>734</v>
      </c>
      <c r="E170" s="13">
        <v>42691.3753125</v>
      </c>
      <c r="F170" s="13">
        <v>42691.389803240738</v>
      </c>
      <c r="G170" s="7">
        <v>2</v>
      </c>
      <c r="H170" s="22" t="s">
        <v>396</v>
      </c>
      <c r="I170" s="13">
        <v>42691.399768518517</v>
      </c>
      <c r="J170" s="7">
        <v>0</v>
      </c>
      <c r="K170" s="109" t="str">
        <f t="shared" si="66"/>
        <v>4017/4018</v>
      </c>
      <c r="L170" s="22" t="str">
        <f>VLOOKUP(A170,'Trips&amp;Operators'!$C$1:$E$10000,3,FALSE)</f>
        <v>DAVIDSON</v>
      </c>
      <c r="M170" s="6">
        <f t="shared" si="67"/>
        <v>9.9652777789742686E-3</v>
      </c>
      <c r="N170" s="7">
        <f t="shared" si="68"/>
        <v>14.350000001722947</v>
      </c>
      <c r="O170" s="7"/>
      <c r="P170" s="7"/>
      <c r="Q170" s="23"/>
      <c r="R170" s="23"/>
      <c r="S170" s="35">
        <f t="shared" si="69"/>
        <v>1</v>
      </c>
      <c r="T170" s="50" t="str">
        <f t="shared" si="7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08:00:27-700',mode:absolute,to:'2016-11-17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0" s="52" t="str">
        <f t="shared" si="72"/>
        <v>N</v>
      </c>
      <c r="X170" s="177">
        <f t="shared" si="80"/>
        <v>1</v>
      </c>
      <c r="Y170" s="67">
        <f t="shared" si="73"/>
        <v>9.8100000000000007E-2</v>
      </c>
      <c r="Z170" s="67">
        <f t="shared" si="74"/>
        <v>5.8983999999999996</v>
      </c>
      <c r="AA170" s="67">
        <f t="shared" si="75"/>
        <v>5.8003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76"/>
        <v>0813-17</v>
      </c>
      <c r="AE17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0" s="88" t="str">
        <f t="shared" si="78"/>
        <v>"C:\Program Files (x86)\AstroGrep\AstroGrep.exe" /spath="%USERPROFILE%\AppData\Local\Temp\OnboardLogs" /stypes="app*4018*20161117*" /stext=" 16:.+((SYSTEM_STATE.+slice.+state.+changed )|(ment ac)|(system.+state.+changed )|(\[timeout)|(PRM\|1\|D)|(kpr)|(kdp)|(\|lc)|(penalty))" /e /r /s</v>
      </c>
      <c r="AG170" s="1" t="str">
        <f t="shared" si="79"/>
        <v>NW</v>
      </c>
      <c r="AH170" s="92" t="str">
        <f t="shared" si="81"/>
        <v>"%USERPROFILE%\Documents\GitHub\eaglep3\Utilities\RefineRTDCRunTimes.py" --tripid 813-17 --locoid 4018 --swversion DE.1.0.8.0 --startMP 204:981 --initTime 2016-11-17T09:00:27 --startdatetime 2016-11-17T09:21:19 --delay 2 --endMP 300:58984 --enddatetime 2016-11-17T09:35:40 --enforcementcount 0 &gt;&gt;C:\Users\stu\Documents\GitHub\eaglep3-reporting\EC\2016-11-17-refined-times.txt</v>
      </c>
      <c r="AI17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ID","value":"813-17"},{"id":16,"name":"Locomotive ID","value":"4018"},{"id":130,"name":"Impact","value":""},{"id":150,"name":"Time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504</v>
      </c>
      <c r="B171" s="7">
        <v>4017</v>
      </c>
      <c r="C171" s="22" t="s">
        <v>220</v>
      </c>
      <c r="D171" s="22" t="s">
        <v>337</v>
      </c>
      <c r="E171" s="13">
        <v>42691.401180555556</v>
      </c>
      <c r="F171" s="13">
        <v>42691.402858796297</v>
      </c>
      <c r="G171" s="7">
        <v>1</v>
      </c>
      <c r="H171" s="22" t="s">
        <v>736</v>
      </c>
      <c r="I171" s="13">
        <v>42691.41337962963</v>
      </c>
      <c r="J171" s="7">
        <v>0</v>
      </c>
      <c r="K171" s="109" t="str">
        <f t="shared" si="66"/>
        <v>4017/4018</v>
      </c>
      <c r="L171" s="22" t="str">
        <f>VLOOKUP(A171,'Trips&amp;Operators'!$C$1:$E$10000,3,FALSE)</f>
        <v>DAVIDSON</v>
      </c>
      <c r="M171" s="6">
        <f t="shared" si="67"/>
        <v>1.0520833333430346E-2</v>
      </c>
      <c r="N171" s="7">
        <f t="shared" si="68"/>
        <v>15.150000000139698</v>
      </c>
      <c r="O171" s="7"/>
      <c r="P171" s="7"/>
      <c r="Q171" s="23"/>
      <c r="R171" s="23"/>
      <c r="S171" s="35">
        <f t="shared" si="69"/>
        <v>1</v>
      </c>
      <c r="T171" s="50" t="str">
        <f t="shared" si="7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08:37:42-700',mode:absolute,to:'2016-11-17 10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1" s="52" t="str">
        <f t="shared" si="72"/>
        <v>N</v>
      </c>
      <c r="X171" s="177">
        <f t="shared" si="80"/>
        <v>1</v>
      </c>
      <c r="Y171" s="67">
        <f t="shared" si="73"/>
        <v>5.8663999999999996</v>
      </c>
      <c r="Z171" s="67">
        <f t="shared" si="74"/>
        <v>6.9400000000000003E-2</v>
      </c>
      <c r="AA171" s="67">
        <f t="shared" si="75"/>
        <v>5.7969999999999997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76"/>
        <v>0814-17</v>
      </c>
      <c r="AE17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1" s="88" t="str">
        <f t="shared" si="78"/>
        <v>"C:\Program Files (x86)\AstroGrep\AstroGrep.exe" /spath="%USERPROFILE%\AppData\Local\Temp\OnboardLogs" /stypes="app*4017*20161117*" /stext=" 16:.+((SYSTEM_STATE.+slice.+state.+changed )|(ment ac)|(system.+state.+changed )|(\[timeout)|(PRM\|1\|D)|(kpr)|(kdp)|(\|lc)|(penalty))" /e /r /s</v>
      </c>
      <c r="AG171" s="1" t="str">
        <f t="shared" si="79"/>
        <v>NW</v>
      </c>
      <c r="AH171" s="92" t="str">
        <f t="shared" si="81"/>
        <v>"%USERPROFILE%\Documents\GitHub\eaglep3\Utilities\RefineRTDCRunTimes.py" --tripid 814-17 --locoid 4017 --swversion DE.1.0.8.0 --startMP 300:58664 --initTime 2016-11-17T09:37:42 --startdatetime 2016-11-17T09:40:07 --delay 1 --endMP 204:694 --enddatetime 2016-11-17T09:55:16 --enforcementcount 0 &gt;&gt;C:\Users\stu\Documents\GitHub\eaglep3-reporting\EC\2016-11-17-refined-times.txt</v>
      </c>
      <c r="AI17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{"issue":{"subject":"","project_id":79,"tracker_id":40,"status_id":1,"priority_id":2,"assigned_to_id":23,"start_date":"2016-11-17","description":"","custom_fields":[{"id":1,"name":"Subdivision","value":"NW"},{"id":4,"name":"Milepost","value":"0.0694"},{"id":17,"name":"Train ID","value":"814-17"},{"id":16,"name":"Locomotive ID","value":"4017"},{"id":130,"name":"Impact","value":""},{"id":150,"name":"Time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507</v>
      </c>
      <c r="B172" s="7">
        <v>4018</v>
      </c>
      <c r="C172" s="22" t="s">
        <v>220</v>
      </c>
      <c r="D172" s="22" t="s">
        <v>737</v>
      </c>
      <c r="E172" s="13">
        <v>42691.416597222225</v>
      </c>
      <c r="F172" s="13">
        <v>42691.431481481479</v>
      </c>
      <c r="G172" s="7">
        <v>1</v>
      </c>
      <c r="H172" s="22" t="s">
        <v>731</v>
      </c>
      <c r="I172" s="13">
        <v>42691.441469907404</v>
      </c>
      <c r="J172" s="7">
        <v>0</v>
      </c>
      <c r="K172" s="109" t="str">
        <f t="shared" si="66"/>
        <v>4017/4018</v>
      </c>
      <c r="L172" s="22" t="str">
        <f>VLOOKUP(A172,'Trips&amp;Operators'!$C$1:$E$10000,3,FALSE)</f>
        <v>DAVIDSON</v>
      </c>
      <c r="M172" s="6">
        <f t="shared" si="67"/>
        <v>9.9884259252576157E-3</v>
      </c>
      <c r="N172" s="7">
        <f t="shared" si="68"/>
        <v>14.383333332370967</v>
      </c>
      <c r="O172" s="7"/>
      <c r="P172" s="7"/>
      <c r="Q172" s="23"/>
      <c r="R172" s="23"/>
      <c r="S172" s="35">
        <f t="shared" si="69"/>
        <v>1</v>
      </c>
      <c r="T172" s="50" t="str">
        <f t="shared" si="7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08:59:54-700',mode:absolute,to:'2016-11-17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2" s="52" t="str">
        <f t="shared" si="72"/>
        <v>N</v>
      </c>
      <c r="X172" s="177">
        <f t="shared" si="80"/>
        <v>1</v>
      </c>
      <c r="Y172" s="67">
        <f t="shared" si="73"/>
        <v>9.8299999999999998E-2</v>
      </c>
      <c r="Z172" s="67">
        <f t="shared" si="74"/>
        <v>5.8987999999999996</v>
      </c>
      <c r="AA172" s="67">
        <f t="shared" si="75"/>
        <v>5.8004999999999995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76"/>
        <v>0815-17</v>
      </c>
      <c r="AE17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2" s="88" t="str">
        <f t="shared" si="78"/>
        <v>"C:\Program Files (x86)\AstroGrep\AstroGrep.exe" /spath="%USERPROFILE%\AppData\Local\Temp\OnboardLogs" /stypes="app*4018*20161117*" /stext=" 17:.+((SYSTEM_STATE.+slice.+state.+changed )|(ment ac)|(system.+state.+changed )|(\[timeout)|(PRM\|1\|D)|(kpr)|(kdp)|(\|lc)|(penalty))" /e /r /s</v>
      </c>
      <c r="AG172" s="1" t="str">
        <f t="shared" si="79"/>
        <v>NW</v>
      </c>
      <c r="AH172" s="92" t="str">
        <f t="shared" si="81"/>
        <v>"%USERPROFILE%\Documents\GitHub\eaglep3\Utilities\RefineRTDCRunTimes.py" --tripid 815-17 --locoid 4018 --swversion DE.1.0.8.0 --startMP 204:983 --initTime 2016-11-17T09:59:54 --startdatetime 2016-11-17T10:21:20 --delay 1 --endMP 300:58988 --enddatetime 2016-11-17T10:35:43 --enforcementcount 0 &gt;&gt;C:\Users\stu\Documents\GitHub\eaglep3-reporting\EC\2016-11-17-refined-times.txt</v>
      </c>
      <c r="AI17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ID","value":"815-17"},{"id":16,"name":"Locomotive ID","value":"4018"},{"id":130,"name":"Impact","value":""},{"id":150,"name":"Time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511</v>
      </c>
      <c r="B173" s="7">
        <v>4017</v>
      </c>
      <c r="C173" s="22" t="s">
        <v>220</v>
      </c>
      <c r="D173" s="22" t="s">
        <v>393</v>
      </c>
      <c r="E173" s="13">
        <v>42691.442800925928</v>
      </c>
      <c r="F173" s="13">
        <v>42691.444513888891</v>
      </c>
      <c r="G173" s="7">
        <v>1</v>
      </c>
      <c r="H173" s="22" t="s">
        <v>738</v>
      </c>
      <c r="I173" s="13">
        <v>42691.455347222225</v>
      </c>
      <c r="J173" s="7">
        <v>0</v>
      </c>
      <c r="K173" s="109" t="str">
        <f t="shared" si="66"/>
        <v>4017/4018</v>
      </c>
      <c r="L173" s="22" t="str">
        <f>VLOOKUP(A173,'Trips&amp;Operators'!$C$1:$E$10000,3,FALSE)</f>
        <v>DAVIDSON</v>
      </c>
      <c r="M173" s="6">
        <f t="shared" si="67"/>
        <v>1.0833333333721384E-2</v>
      </c>
      <c r="N173" s="7">
        <f t="shared" si="68"/>
        <v>15.600000000558794</v>
      </c>
      <c r="O173" s="7"/>
      <c r="P173" s="7"/>
      <c r="Q173" s="23"/>
      <c r="R173" s="23"/>
      <c r="S173" s="35">
        <f t="shared" si="69"/>
        <v>1</v>
      </c>
      <c r="T173" s="50" t="str">
        <f t="shared" si="7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09:37:38-700',mode:absolute,to:'2016-11-17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3" s="52" t="str">
        <f t="shared" si="72"/>
        <v>N</v>
      </c>
      <c r="X173" s="177">
        <f t="shared" si="80"/>
        <v>1</v>
      </c>
      <c r="Y173" s="67">
        <f t="shared" si="73"/>
        <v>5.8673000000000002</v>
      </c>
      <c r="Z173" s="67">
        <f t="shared" si="74"/>
        <v>8.8499999999999995E-2</v>
      </c>
      <c r="AA173" s="67">
        <f t="shared" si="75"/>
        <v>5.7788000000000004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76"/>
        <v>0816-17</v>
      </c>
      <c r="AE173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3" s="88" t="str">
        <f t="shared" si="78"/>
        <v>"C:\Program Files (x86)\AstroGrep\AstroGrep.exe" /spath="%USERPROFILE%\AppData\Local\Temp\OnboardLogs" /stypes="app*4017*20161117*" /stext=" 17:.+((SYSTEM_STATE.+slice.+state.+changed )|(ment ac)|(system.+state.+changed )|(\[timeout)|(PRM\|1\|D)|(kpr)|(kdp)|(\|lc)|(penalty))" /e /r /s</v>
      </c>
      <c r="AG173" s="1" t="str">
        <f t="shared" si="79"/>
        <v>NW</v>
      </c>
      <c r="AH173" s="92" t="str">
        <f t="shared" si="81"/>
        <v>"%USERPROFILE%\Documents\GitHub\eaglep3\Utilities\RefineRTDCRunTimes.py" --tripid 816-17 --locoid 4017 --swversion DE.1.0.8.0 --startMP 300:58673 --initTime 2016-11-17T10:37:38 --startdatetime 2016-11-17T10:40:06 --delay 1 --endMP 204:885 --enddatetime 2016-11-17T10:55:42 --enforcementcount 0 &gt;&gt;C:\Users\stu\Documents\GitHub\eaglep3-reporting\EC\2016-11-17-refined-times.txt</v>
      </c>
      <c r="AI17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{"issue":{"subject":"","project_id":79,"tracker_id":40,"status_id":1,"priority_id":2,"assigned_to_id":23,"start_date":"2016-11-17","description":"","custom_fields":[{"id":1,"name":"Subdivision","value":"NW"},{"id":4,"name":"Milepost","value":"0.0885"},{"id":17,"name":"Train ID","value":"816-17"},{"id":16,"name":"Locomotive ID","value":"4017"},{"id":130,"name":"Impact","value":""},{"id":150,"name":"Time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513</v>
      </c>
      <c r="B174" s="7">
        <v>4018</v>
      </c>
      <c r="C174" s="22" t="s">
        <v>220</v>
      </c>
      <c r="D174" s="22" t="s">
        <v>739</v>
      </c>
      <c r="E174" s="13">
        <v>42691.457928240743</v>
      </c>
      <c r="F174" s="13">
        <v>42691.47314814815</v>
      </c>
      <c r="G174" s="7">
        <v>1</v>
      </c>
      <c r="H174" s="22" t="s">
        <v>396</v>
      </c>
      <c r="I174" s="13">
        <v>42691.483032407406</v>
      </c>
      <c r="J174" s="7">
        <v>0</v>
      </c>
      <c r="K174" s="109" t="str">
        <f t="shared" si="66"/>
        <v>4017/4018</v>
      </c>
      <c r="L174" s="22" t="str">
        <f>VLOOKUP(A174,'Trips&amp;Operators'!$C$1:$E$10000,3,FALSE)</f>
        <v>DAVIDSON</v>
      </c>
      <c r="M174" s="6">
        <f t="shared" si="67"/>
        <v>9.8842592560686171E-3</v>
      </c>
      <c r="N174" s="7">
        <f t="shared" si="68"/>
        <v>14.233333328738809</v>
      </c>
      <c r="O174" s="7"/>
      <c r="P174" s="7"/>
      <c r="Q174" s="23"/>
      <c r="R174" s="23"/>
      <c r="S174" s="35">
        <f t="shared" si="69"/>
        <v>1</v>
      </c>
      <c r="T174" s="50" t="str">
        <f t="shared" si="7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09:59:25-700',mode:absolute,to:'2016-11-17 12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4" s="52" t="str">
        <f t="shared" si="72"/>
        <v>N</v>
      </c>
      <c r="X174" s="177">
        <f t="shared" si="80"/>
        <v>1</v>
      </c>
      <c r="Y174" s="67">
        <f t="shared" si="73"/>
        <v>0.11990000000000001</v>
      </c>
      <c r="Z174" s="67">
        <f t="shared" si="74"/>
        <v>5.8983999999999996</v>
      </c>
      <c r="AA174" s="67">
        <f t="shared" si="75"/>
        <v>5.7784999999999993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76"/>
        <v>0817-17</v>
      </c>
      <c r="AE17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4" s="88" t="str">
        <f t="shared" si="78"/>
        <v>"C:\Program Files (x86)\AstroGrep\AstroGrep.exe" /spath="%USERPROFILE%\AppData\Local\Temp\OnboardLogs" /stypes="app*4018*20161117*" /stext=" 18:.+((SYSTEM_STATE.+slice.+state.+changed )|(ment ac)|(system.+state.+changed )|(\[timeout)|(PRM\|1\|D)|(kpr)|(kdp)|(\|lc)|(penalty))" /e /r /s</v>
      </c>
      <c r="AG174" s="1" t="str">
        <f t="shared" si="79"/>
        <v>NW</v>
      </c>
      <c r="AH174" s="92" t="str">
        <f t="shared" si="81"/>
        <v>"%USERPROFILE%\Documents\GitHub\eaglep3\Utilities\RefineRTDCRunTimes.py" --tripid 817-17 --locoid 4018 --swversion DE.1.0.8.0 --startMP 204:1199 --initTime 2016-11-17T10:59:25 --startdatetime 2016-11-17T11:21:20 --delay 1 --endMP 300:58984 --enddatetime 2016-11-17T11:35:34 --enforcementcount 0 &gt;&gt;C:\Users\stu\Documents\GitHub\eaglep3-reporting\EC\2016-11-17-refined-times.txt</v>
      </c>
      <c r="AI17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ID","value":"817-17"},{"id":16,"name":"Locomotive ID","value":"4018"},{"id":130,"name":"Impact","value":""},{"id":150,"name":"Time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432</v>
      </c>
      <c r="B175" s="7">
        <v>4017</v>
      </c>
      <c r="C175" s="22" t="s">
        <v>220</v>
      </c>
      <c r="D175" s="22" t="s">
        <v>393</v>
      </c>
      <c r="E175" s="13">
        <v>42691.484502314815</v>
      </c>
      <c r="F175" s="13">
        <v>42691.48636574074</v>
      </c>
      <c r="G175" s="7">
        <v>1</v>
      </c>
      <c r="H175" s="22" t="s">
        <v>740</v>
      </c>
      <c r="I175" s="13">
        <v>42691.497696759259</v>
      </c>
      <c r="J175" s="7">
        <v>0</v>
      </c>
      <c r="K175" s="109" t="str">
        <f t="shared" si="66"/>
        <v>4017/4018</v>
      </c>
      <c r="L175" s="22" t="str">
        <f>VLOOKUP(A175,'Trips&amp;Operators'!$C$1:$E$10000,3,FALSE)</f>
        <v>DAVIDSON</v>
      </c>
      <c r="M175" s="6">
        <f t="shared" si="67"/>
        <v>1.1331018518831115E-2</v>
      </c>
      <c r="N175" s="7">
        <f t="shared" si="68"/>
        <v>16.316666667116806</v>
      </c>
      <c r="O175" s="7"/>
      <c r="P175" s="7"/>
      <c r="Q175" s="23"/>
      <c r="R175" s="23"/>
      <c r="S175" s="35">
        <f t="shared" si="69"/>
        <v>1</v>
      </c>
      <c r="T175" s="50" t="str">
        <f t="shared" si="7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5" s="52" t="str">
        <f t="shared" si="72"/>
        <v>N</v>
      </c>
      <c r="X175" s="177">
        <f t="shared" si="80"/>
        <v>1</v>
      </c>
      <c r="Y175" s="67">
        <f t="shared" si="73"/>
        <v>5.8673000000000002</v>
      </c>
      <c r="Z175" s="67">
        <f t="shared" si="74"/>
        <v>9.1300000000000006E-2</v>
      </c>
      <c r="AA175" s="67">
        <f t="shared" si="75"/>
        <v>5.7759999999999998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76"/>
        <v>0818-17</v>
      </c>
      <c r="AE17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5" s="88" t="str">
        <f t="shared" si="78"/>
        <v>"C:\Program Files (x86)\AstroGrep\AstroGrep.exe" /spath="%USERPROFILE%\AppData\Local\Temp\OnboardLogs" /stypes="app*4017*20161117*" /stext=" 18:.+((SYSTEM_STATE.+slice.+state.+changed )|(ment ac)|(system.+state.+changed )|(\[timeout)|(PRM\|1\|D)|(kpr)|(kdp)|(\|lc)|(penalty))" /e /r /s</v>
      </c>
      <c r="AG175" s="1" t="str">
        <f t="shared" si="79"/>
        <v>NW</v>
      </c>
      <c r="AH175" s="92" t="str">
        <f t="shared" si="81"/>
        <v>"%USERPROFILE%\Documents\GitHub\eaglep3\Utilities\RefineRTDCRunTimes.py" --tripid 818-17 --locoid 4017 --swversion DE.1.0.8.0 --startMP 300:58673 --initTime 2016-11-17T11:37:41 --startdatetime 2016-11-17T11:40:22 --delay 1 --endMP 204:913 --enddatetime 2016-11-17T11:56:41 --enforcementcount 0 &gt;&gt;C:\Users\stu\Documents\GitHub\eaglep3-reporting\EC\2016-11-17-refined-times.txt</v>
      </c>
      <c r="AI17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{"issue":{"subject":"","project_id":79,"tracker_id":40,"status_id":1,"priority_id":2,"assigned_to_id":23,"start_date":"2016-11-17","description":"","custom_fields":[{"id":1,"name":"Subdivision","value":"NW"},{"id":4,"name":"Milepost","value":"0.0913"},{"id":17,"name":"Train ID","value":"818-17"},{"id":16,"name":"Locomotive ID","value":"4017"},{"id":130,"name":"Impact","value":""},{"id":150,"name":"Time of Event (Mountain Time)","value":"11:56:41"},{"id":151,"name":"Denver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520</v>
      </c>
      <c r="B176" s="7">
        <v>4018</v>
      </c>
      <c r="C176" s="22" t="s">
        <v>220</v>
      </c>
      <c r="D176" s="22" t="s">
        <v>741</v>
      </c>
      <c r="E176" s="13">
        <v>42691.502106481479</v>
      </c>
      <c r="F176" s="13">
        <v>42691.514837962961</v>
      </c>
      <c r="G176" s="7">
        <v>1</v>
      </c>
      <c r="H176" s="22" t="s">
        <v>398</v>
      </c>
      <c r="I176" s="13">
        <v>42691.523969907408</v>
      </c>
      <c r="J176" s="7">
        <v>0</v>
      </c>
      <c r="K176" s="109" t="str">
        <f t="shared" si="66"/>
        <v>4017/4018</v>
      </c>
      <c r="L176" s="22" t="str">
        <f>VLOOKUP(A176,'Trips&amp;Operators'!$C$1:$E$10000,3,FALSE)</f>
        <v>DAVIDSON</v>
      </c>
      <c r="M176" s="6">
        <f t="shared" si="67"/>
        <v>9.1319444472901523E-3</v>
      </c>
      <c r="N176" s="7">
        <f t="shared" si="68"/>
        <v>13.150000004097819</v>
      </c>
      <c r="O176" s="7"/>
      <c r="P176" s="7"/>
      <c r="Q176" s="23"/>
      <c r="R176" s="23"/>
      <c r="S176" s="35">
        <f t="shared" si="69"/>
        <v>1</v>
      </c>
      <c r="T176" s="50" t="str">
        <f t="shared" si="7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11:03:02-700',mode:absolute,to:'2016-11-17 13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6" s="52" t="str">
        <f t="shared" si="72"/>
        <v>N</v>
      </c>
      <c r="X176" s="177">
        <f t="shared" si="80"/>
        <v>1</v>
      </c>
      <c r="Y176" s="67">
        <f t="shared" si="73"/>
        <v>0.1235</v>
      </c>
      <c r="Z176" s="67">
        <f t="shared" si="74"/>
        <v>5.8992000000000004</v>
      </c>
      <c r="AA176" s="67">
        <f t="shared" si="75"/>
        <v>5.7757000000000005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76"/>
        <v>0819-17</v>
      </c>
      <c r="AE176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6" s="88" t="str">
        <f t="shared" si="78"/>
        <v>"C:\Program Files (x86)\AstroGrep\AstroGrep.exe" /spath="%USERPROFILE%\AppData\Local\Temp\OnboardLogs" /stypes="app*4018*20161117*" /stext=" 19:.+((SYSTEM_STATE.+slice.+state.+changed )|(ment ac)|(system.+state.+changed )|(\[timeout)|(PRM\|1\|D)|(kpr)|(kdp)|(\|lc)|(penalty))" /e /r /s</v>
      </c>
      <c r="AG176" s="1" t="str">
        <f t="shared" si="79"/>
        <v>NW</v>
      </c>
      <c r="AH176" s="92" t="str">
        <f t="shared" si="81"/>
        <v>"%USERPROFILE%\Documents\GitHub\eaglep3\Utilities\RefineRTDCRunTimes.py" --tripid 819-17 --locoid 4018 --swversion DE.1.0.8.0 --startMP 204:1235 --initTime 2016-11-17T12:03:02 --startdatetime 2016-11-17T12:21:22 --delay 1 --endMP 300:58992 --enddatetime 2016-11-17T12:34:31 --enforcementcount 0 &gt;&gt;C:\Users\stu\Documents\GitHub\eaglep3-reporting\EC\2016-11-17-refined-times.txt</v>
      </c>
      <c r="AI17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{"issue":{"subject":"","project_id":79,"tracker_id":40,"status_id":1,"priority_id":2,"assigned_to_id":23,"start_date":"2016-11-17","description":"","custom_fields":[{"id":1,"name":"Subdivision","value":"NW"},{"id":4,"name":"Milepost","value":"5.8992"},{"id":17,"name":"Train ID","value":"819-17"},{"id":16,"name":"Locomotive ID","value":"4018"},{"id":130,"name":"Impact","value":""},{"id":150,"name":"Time of Event (Mountain Time)","value":"12:34:31"},{"id":151,"name":"Denver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524</v>
      </c>
      <c r="B177" s="7">
        <v>4017</v>
      </c>
      <c r="C177" s="22" t="s">
        <v>220</v>
      </c>
      <c r="D177" s="22" t="s">
        <v>742</v>
      </c>
      <c r="E177" s="13">
        <v>42691.525543981479</v>
      </c>
      <c r="F177" s="13">
        <v>42691.526898148149</v>
      </c>
      <c r="G177" s="7">
        <v>1</v>
      </c>
      <c r="H177" s="22" t="s">
        <v>743</v>
      </c>
      <c r="I177" s="13">
        <v>42691.537974537037</v>
      </c>
      <c r="J177" s="7">
        <v>0</v>
      </c>
      <c r="K177" s="109" t="str">
        <f t="shared" si="66"/>
        <v>4017/4018</v>
      </c>
      <c r="L177" s="22" t="str">
        <f>VLOOKUP(A177,'Trips&amp;Operators'!$C$1:$E$10000,3,FALSE)</f>
        <v>DAVIDSON</v>
      </c>
      <c r="M177" s="6">
        <f t="shared" si="67"/>
        <v>1.1076388887886424E-2</v>
      </c>
      <c r="N177" s="7">
        <f t="shared" si="68"/>
        <v>15.94999999855645</v>
      </c>
      <c r="O177" s="7"/>
      <c r="P177" s="7"/>
      <c r="Q177" s="23"/>
      <c r="R177" s="23"/>
      <c r="S177" s="35">
        <f t="shared" si="69"/>
        <v>1</v>
      </c>
      <c r="T177" s="50" t="str">
        <f t="shared" si="7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11:36:47-700',mode:absolute,to:'2016-11-17 13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7" s="52" t="str">
        <f t="shared" si="72"/>
        <v>N</v>
      </c>
      <c r="X177" s="177">
        <f t="shared" si="80"/>
        <v>1</v>
      </c>
      <c r="Y177" s="67">
        <f t="shared" si="73"/>
        <v>5.8659999999999997</v>
      </c>
      <c r="Z177" s="67">
        <f t="shared" si="74"/>
        <v>9.1899999999999996E-2</v>
      </c>
      <c r="AA177" s="67">
        <f t="shared" si="75"/>
        <v>5.7740999999999998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76"/>
        <v>0820-17</v>
      </c>
      <c r="AE17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7" s="88" t="str">
        <f t="shared" si="78"/>
        <v>"C:\Program Files (x86)\AstroGrep\AstroGrep.exe" /spath="%USERPROFILE%\AppData\Local\Temp\OnboardLogs" /stypes="app*4017*20161117*" /stext=" 19:.+((SYSTEM_STATE.+slice.+state.+changed )|(ment ac)|(system.+state.+changed )|(\[timeout)|(PRM\|1\|D)|(kpr)|(kdp)|(\|lc)|(penalty))" /e /r /s</v>
      </c>
      <c r="AG177" s="1" t="str">
        <f t="shared" si="79"/>
        <v>NW</v>
      </c>
      <c r="AH177" s="92" t="str">
        <f t="shared" si="81"/>
        <v>"%USERPROFILE%\Documents\GitHub\eaglep3\Utilities\RefineRTDCRunTimes.py" --tripid 820-17 --locoid 4017 --swversion DE.1.0.8.0 --startMP 300:58660 --initTime 2016-11-17T12:36:47 --startdatetime 2016-11-17T12:38:44 --delay 1 --endMP 204:919 --enddatetime 2016-11-17T12:54:41 --enforcementcount 0 &gt;&gt;C:\Users\stu\Documents\GitHub\eaglep3-reporting\EC\2016-11-17-refined-times.txt</v>
      </c>
      <c r="AI17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{"issue":{"subject":"","project_id":79,"tracker_id":40,"status_id":1,"priority_id":2,"assigned_to_id":23,"start_date":"2016-11-17","description":"","custom_fields":[{"id":1,"name":"Subdivision","value":"NW"},{"id":4,"name":"Milepost","value":"0.0919"},{"id":17,"name":"Train ID","value":"820-17"},{"id":16,"name":"Locomotive ID","value":"4017"},{"id":130,"name":"Impact","value":""},{"id":150,"name":"Time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528</v>
      </c>
      <c r="B178" s="7">
        <v>4018</v>
      </c>
      <c r="C178" s="22" t="s">
        <v>220</v>
      </c>
      <c r="D178" s="22" t="s">
        <v>744</v>
      </c>
      <c r="E178" s="13">
        <v>42691.547037037039</v>
      </c>
      <c r="F178" s="13">
        <v>42691.556504629632</v>
      </c>
      <c r="G178" s="7">
        <v>1</v>
      </c>
      <c r="H178" s="22" t="s">
        <v>745</v>
      </c>
      <c r="I178" s="13">
        <v>42691.56554398148</v>
      </c>
      <c r="J178" s="7">
        <v>0</v>
      </c>
      <c r="K178" s="109" t="str">
        <f t="shared" si="66"/>
        <v>4017/4018</v>
      </c>
      <c r="L178" s="22" t="str">
        <f>VLOOKUP(A178,'Trips&amp;Operators'!$C$1:$E$10000,3,FALSE)</f>
        <v>LOPES</v>
      </c>
      <c r="M178" s="6">
        <f t="shared" si="67"/>
        <v>9.0393518476048484E-3</v>
      </c>
      <c r="N178" s="7">
        <f t="shared" si="68"/>
        <v>13.016666660550982</v>
      </c>
      <c r="O178" s="7"/>
      <c r="P178" s="7"/>
      <c r="Q178" s="23"/>
      <c r="R178" s="23"/>
      <c r="S178" s="35">
        <f t="shared" si="69"/>
        <v>1</v>
      </c>
      <c r="T178" s="50" t="str">
        <f t="shared" si="7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12:07:44-700',mode:absolute,to:'2016-11-17 14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8" s="52" t="str">
        <f t="shared" si="72"/>
        <v>N</v>
      </c>
      <c r="X178" s="177">
        <f t="shared" si="80"/>
        <v>1</v>
      </c>
      <c r="Y178" s="67">
        <f t="shared" si="73"/>
        <v>0.1212</v>
      </c>
      <c r="Z178" s="67">
        <f t="shared" si="74"/>
        <v>5.8936999999999999</v>
      </c>
      <c r="AA178" s="67">
        <f t="shared" si="75"/>
        <v>5.7725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76"/>
        <v>0821-17</v>
      </c>
      <c r="AE17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8" s="88" t="str">
        <f t="shared" si="78"/>
        <v>"C:\Program Files (x86)\AstroGrep\AstroGrep.exe" /spath="%USERPROFILE%\AppData\Local\Temp\OnboardLogs" /stypes="app*4018*20161117*" /stext=" 20:.+((SYSTEM_STATE.+slice.+state.+changed )|(ment ac)|(system.+state.+changed )|(\[timeout)|(PRM\|1\|D)|(kpr)|(kdp)|(\|lc)|(penalty))" /e /r /s</v>
      </c>
      <c r="AG178" s="1" t="str">
        <f t="shared" si="79"/>
        <v>NW</v>
      </c>
      <c r="AH178" s="92" t="str">
        <f t="shared" si="81"/>
        <v>"%USERPROFILE%\Documents\GitHub\eaglep3\Utilities\RefineRTDCRunTimes.py" --tripid 821-17 --locoid 4018 --swversion DE.1.0.8.0 --startMP 204:1212 --initTime 2016-11-17T13:07:44 --startdatetime 2016-11-17T13:21:22 --delay 1 --endMP 300:58937 --enddatetime 2016-11-17T13:34:23 --enforcementcount 0 &gt;&gt;C:\Users\stu\Documents\GitHub\eaglep3-reporting\EC\2016-11-17-refined-times.txt</v>
      </c>
      <c r="AI17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{"issue":{"subject":"","project_id":79,"tracker_id":40,"status_id":1,"priority_id":2,"assigned_to_id":23,"start_date":"2016-11-17","description":"","custom_fields":[{"id":1,"name":"Subdivision","value":"NW"},{"id":4,"name":"Milepost","value":"5.8937"},{"id":17,"name":"Train ID","value":"821-17"},{"id":16,"name":"Locomotive ID","value":"4018"},{"id":130,"name":"Impact","value":""},{"id":150,"name":"Time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533</v>
      </c>
      <c r="B179" s="7">
        <v>4017</v>
      </c>
      <c r="C179" s="22" t="s">
        <v>220</v>
      </c>
      <c r="D179" s="22" t="s">
        <v>410</v>
      </c>
      <c r="E179" s="13">
        <v>42691.566666666666</v>
      </c>
      <c r="F179" s="13">
        <v>42691.569675925923</v>
      </c>
      <c r="G179" s="7">
        <v>1</v>
      </c>
      <c r="H179" s="22" t="s">
        <v>746</v>
      </c>
      <c r="I179" s="13">
        <v>42691.579502314817</v>
      </c>
      <c r="J179" s="7">
        <v>0</v>
      </c>
      <c r="K179" s="109" t="str">
        <f t="shared" si="66"/>
        <v>4017/4018</v>
      </c>
      <c r="L179" s="22" t="str">
        <f>VLOOKUP(A179,'Trips&amp;Operators'!$C$1:$E$10000,3,FALSE)</f>
        <v>LOPES</v>
      </c>
      <c r="M179" s="6">
        <f t="shared" si="67"/>
        <v>9.826388893998228E-3</v>
      </c>
      <c r="N179" s="7">
        <f t="shared" si="68"/>
        <v>14.150000007357448</v>
      </c>
      <c r="O179" s="7"/>
      <c r="P179" s="7"/>
      <c r="Q179" s="23"/>
      <c r="R179" s="23"/>
      <c r="S179" s="35">
        <f t="shared" si="69"/>
        <v>1</v>
      </c>
      <c r="T179" s="50" t="str">
        <f t="shared" si="7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12:36:00-700',mode:absolute,to:'2016-11-17 14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9" s="52" t="str">
        <f t="shared" si="72"/>
        <v>N</v>
      </c>
      <c r="X179" s="177">
        <f t="shared" si="80"/>
        <v>1</v>
      </c>
      <c r="Y179" s="67">
        <f t="shared" si="73"/>
        <v>5.8624000000000001</v>
      </c>
      <c r="Z179" s="67">
        <f t="shared" si="74"/>
        <v>7.4499999999999997E-2</v>
      </c>
      <c r="AA179" s="67">
        <f t="shared" si="75"/>
        <v>5.7879000000000005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76"/>
        <v>0822-17</v>
      </c>
      <c r="AE17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9" s="88" t="str">
        <f t="shared" si="78"/>
        <v>"C:\Program Files (x86)\AstroGrep\AstroGrep.exe" /spath="%USERPROFILE%\AppData\Local\Temp\OnboardLogs" /stypes="app*4017*20161117*" /stext=" 20:.+((SYSTEM_STATE.+slice.+state.+changed )|(ment ac)|(system.+state.+changed )|(\[timeout)|(PRM\|1\|D)|(kpr)|(kdp)|(\|lc)|(penalty))" /e /r /s</v>
      </c>
      <c r="AG179" s="1" t="str">
        <f t="shared" si="79"/>
        <v>NW</v>
      </c>
      <c r="AH179" s="92" t="str">
        <f t="shared" si="81"/>
        <v>"%USERPROFILE%\Documents\GitHub\eaglep3\Utilities\RefineRTDCRunTimes.py" --tripid 822-17 --locoid 4017 --swversion DE.1.0.8.0 --startMP 300:58624 --initTime 2016-11-17T13:36:00 --startdatetime 2016-11-17T13:40:20 --delay 1 --endMP 204:745 --enddatetime 2016-11-17T13:54:29 --enforcementcount 0 &gt;&gt;C:\Users\stu\Documents\GitHub\eaglep3-reporting\EC\2016-11-17-refined-times.txt</v>
      </c>
      <c r="AI17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{"issue":{"subject":"","project_id":79,"tracker_id":40,"status_id":1,"priority_id":2,"assigned_to_id":23,"start_date":"2016-11-17","description":"","custom_fields":[{"id":1,"name":"Subdivision","value":"NW"},{"id":4,"name":"Milepost","value":"0.0745"},{"id":17,"name":"Train ID","value":"822-17"},{"id":16,"name":"Locomotive ID","value":"4017"},{"id":130,"name":"Impact","value":""},{"id":150,"name":"Time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538</v>
      </c>
      <c r="B180" s="7">
        <v>4018</v>
      </c>
      <c r="C180" s="22" t="s">
        <v>220</v>
      </c>
      <c r="D180" s="22" t="s">
        <v>747</v>
      </c>
      <c r="E180" s="13">
        <v>42691.588171296295</v>
      </c>
      <c r="F180" s="13">
        <v>42691.598101851851</v>
      </c>
      <c r="G180" s="7">
        <v>1</v>
      </c>
      <c r="H180" s="22" t="s">
        <v>293</v>
      </c>
      <c r="I180" s="13">
        <v>42691.608055555553</v>
      </c>
      <c r="J180" s="7">
        <v>0</v>
      </c>
      <c r="K180" s="109" t="str">
        <f t="shared" si="66"/>
        <v>4017/4018</v>
      </c>
      <c r="L180" s="22" t="str">
        <f>VLOOKUP(A180,'Trips&amp;Operators'!$C$1:$E$10000,3,FALSE)</f>
        <v>BADERTSCHER</v>
      </c>
      <c r="M180" s="6">
        <f t="shared" si="67"/>
        <v>9.9537037021946162E-3</v>
      </c>
      <c r="N180" s="7">
        <f t="shared" si="68"/>
        <v>14.333333331160247</v>
      </c>
      <c r="O180" s="7"/>
      <c r="P180" s="7"/>
      <c r="Q180" s="23"/>
      <c r="R180" s="23"/>
      <c r="S180" s="35">
        <f t="shared" si="69"/>
        <v>1</v>
      </c>
      <c r="T180" s="50" t="str">
        <f t="shared" si="7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13:06:58-700',mode:absolute,to:'2016-11-17 15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0" s="52" t="str">
        <f t="shared" si="72"/>
        <v>N</v>
      </c>
      <c r="X180" s="177">
        <f t="shared" si="80"/>
        <v>1</v>
      </c>
      <c r="Y180" s="67">
        <f t="shared" si="73"/>
        <v>0.10390000000000001</v>
      </c>
      <c r="Z180" s="67">
        <f t="shared" si="74"/>
        <v>5.8929</v>
      </c>
      <c r="AA180" s="67">
        <f t="shared" si="75"/>
        <v>5.7889999999999997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76"/>
        <v>0823-17</v>
      </c>
      <c r="AE18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0" s="88" t="str">
        <f t="shared" si="78"/>
        <v>"C:\Program Files (x86)\AstroGrep\AstroGrep.exe" /spath="%USERPROFILE%\AppData\Local\Temp\OnboardLogs" /stypes="app*4018*20161117*" /stext=" 21:.+((SYSTEM_STATE.+slice.+state.+changed )|(ment ac)|(system.+state.+changed )|(\[timeout)|(PRM\|1\|D)|(kpr)|(kdp)|(\|lc)|(penalty))" /e /r /s</v>
      </c>
      <c r="AG180" s="1" t="str">
        <f t="shared" si="79"/>
        <v>NW</v>
      </c>
      <c r="AH180" s="92" t="str">
        <f t="shared" si="81"/>
        <v>"%USERPROFILE%\Documents\GitHub\eaglep3\Utilities\RefineRTDCRunTimes.py" --tripid 823-17 --locoid 4018 --swversion DE.1.0.8.0 --startMP 204:1039 --initTime 2016-11-17T14:06:58 --startdatetime 2016-11-17T14:21:16 --delay 1 --endMP 300:58929 --enddatetime 2016-11-17T14:35:36 --enforcementcount 0 &gt;&gt;C:\Users\stu\Documents\GitHub\eaglep3-reporting\EC\2016-11-17-refined-times.txt</v>
      </c>
      <c r="AI18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{"issue":{"subject":"","project_id":79,"tracker_id":40,"status_id":1,"priority_id":2,"assigned_to_id":23,"start_date":"2016-11-17","description":"","custom_fields":[{"id":1,"name":"Subdivision","value":"NW"},{"id":4,"name":"Milepost","value":"5.8929"},{"id":17,"name":"Train ID","value":"823-17"},{"id":16,"name":"Locomotive ID","value":"4018"},{"id":130,"name":"Impact","value":""},{"id":150,"name":"Time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541</v>
      </c>
      <c r="B181" s="7">
        <v>4017</v>
      </c>
      <c r="C181" s="22" t="s">
        <v>220</v>
      </c>
      <c r="D181" s="22" t="s">
        <v>294</v>
      </c>
      <c r="E181" s="13">
        <v>42691.609317129631</v>
      </c>
      <c r="F181" s="13">
        <v>42691.611087962963</v>
      </c>
      <c r="G181" s="7">
        <v>1</v>
      </c>
      <c r="H181" s="22" t="s">
        <v>401</v>
      </c>
      <c r="I181" s="13">
        <v>42691.621828703705</v>
      </c>
      <c r="J181" s="7">
        <v>0</v>
      </c>
      <c r="K181" s="109" t="str">
        <f t="shared" si="66"/>
        <v>4017/4018</v>
      </c>
      <c r="L181" s="22" t="str">
        <f>VLOOKUP(A181,'Trips&amp;Operators'!$C$1:$E$10000,3,FALSE)</f>
        <v>BADERTSCHER</v>
      </c>
      <c r="M181" s="6">
        <f t="shared" si="67"/>
        <v>1.0740740741312038E-2</v>
      </c>
      <c r="N181" s="7">
        <f t="shared" si="68"/>
        <v>15.466666667489335</v>
      </c>
      <c r="O181" s="7"/>
      <c r="P181" s="7"/>
      <c r="Q181" s="23"/>
      <c r="R181" s="23"/>
      <c r="S181" s="35">
        <f t="shared" si="69"/>
        <v>1</v>
      </c>
      <c r="T181" s="50" t="str">
        <f t="shared" si="7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13:37:25-700',mode:absolute,to:'2016-11-17 15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1" s="52" t="str">
        <f t="shared" si="72"/>
        <v>N</v>
      </c>
      <c r="X181" s="177">
        <f t="shared" si="80"/>
        <v>1</v>
      </c>
      <c r="Y181" s="67">
        <f t="shared" si="73"/>
        <v>5.8608000000000002</v>
      </c>
      <c r="Z181" s="67">
        <f t="shared" si="74"/>
        <v>7.5200000000000003E-2</v>
      </c>
      <c r="AA181" s="67">
        <f t="shared" si="75"/>
        <v>5.7856000000000005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76"/>
        <v>0824-17</v>
      </c>
      <c r="AE18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1" s="88" t="str">
        <f t="shared" si="78"/>
        <v>"C:\Program Files (x86)\AstroGrep\AstroGrep.exe" /spath="%USERPROFILE%\AppData\Local\Temp\OnboardLogs" /stypes="app*4017*20161117*" /stext=" 21:.+((SYSTEM_STATE.+slice.+state.+changed )|(ment ac)|(system.+state.+changed )|(\[timeout)|(PRM\|1\|D)|(kpr)|(kdp)|(\|lc)|(penalty))" /e /r /s</v>
      </c>
      <c r="AG181" s="1" t="str">
        <f t="shared" si="79"/>
        <v>NW</v>
      </c>
      <c r="AH181" s="92" t="str">
        <f t="shared" si="81"/>
        <v>"%USERPROFILE%\Documents\GitHub\eaglep3\Utilities\RefineRTDCRunTimes.py" --tripid 824-17 --locoid 4017 --swversion DE.1.0.8.0 --startMP 300:58608 --initTime 2016-11-17T14:37:25 --startdatetime 2016-11-17T14:39:58 --delay 1 --endMP 204:752 --enddatetime 2016-11-17T14:55:26 --enforcementcount 0 &gt;&gt;C:\Users\stu\Documents\GitHub\eaglep3-reporting\EC\2016-11-17-refined-times.txt</v>
      </c>
      <c r="AI18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{"issue":{"subject":"","project_id":79,"tracker_id":40,"status_id":1,"priority_id":2,"assigned_to_id":23,"start_date":"2016-11-17","description":"","custom_fields":[{"id":1,"name":"Subdivision","value":"NW"},{"id":4,"name":"Milepost","value":"0.0752"},{"id":17,"name":"Train ID","value":"824-17"},{"id":16,"name":"Locomotive ID","value":"4017"},{"id":130,"name":"Impact","value":""},{"id":150,"name":"Time of Event (Mountain Time)","value":"14:55:26"},{"id":151,"name":"Denver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547</v>
      </c>
      <c r="B182" s="7">
        <v>4018</v>
      </c>
      <c r="C182" s="22" t="s">
        <v>220</v>
      </c>
      <c r="D182" s="22" t="s">
        <v>748</v>
      </c>
      <c r="E182" s="13">
        <v>42691.634733796294</v>
      </c>
      <c r="F182" s="13">
        <v>42691.639965277776</v>
      </c>
      <c r="G182" s="7">
        <v>1</v>
      </c>
      <c r="H182" s="22" t="s">
        <v>293</v>
      </c>
      <c r="I182" s="13">
        <v>42691.649629629632</v>
      </c>
      <c r="J182" s="7">
        <v>0</v>
      </c>
      <c r="K182" s="109" t="str">
        <f t="shared" si="66"/>
        <v>4017/4018</v>
      </c>
      <c r="L182" s="22" t="str">
        <f>VLOOKUP(A182,'Trips&amp;Operators'!$C$1:$E$10000,3,FALSE)</f>
        <v>BADERTSCHER</v>
      </c>
      <c r="M182" s="6">
        <f t="shared" si="67"/>
        <v>9.6643518554628827E-3</v>
      </c>
      <c r="N182" s="7">
        <f t="shared" si="68"/>
        <v>13.916666671866551</v>
      </c>
      <c r="O182" s="7"/>
      <c r="P182" s="7"/>
      <c r="Q182" s="23"/>
      <c r="R182" s="23"/>
      <c r="S182" s="35">
        <f t="shared" si="69"/>
        <v>1</v>
      </c>
      <c r="T182" s="50" t="str">
        <f t="shared" si="7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14:14:01-700',mode:absolute,to:'2016-11-17 16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2" s="52" t="str">
        <f t="shared" si="72"/>
        <v>N</v>
      </c>
      <c r="X182" s="177">
        <f t="shared" si="80"/>
        <v>1</v>
      </c>
      <c r="Y182" s="67">
        <f t="shared" si="73"/>
        <v>0.1007</v>
      </c>
      <c r="Z182" s="67">
        <f t="shared" si="74"/>
        <v>5.8929</v>
      </c>
      <c r="AA182" s="67">
        <f t="shared" si="75"/>
        <v>5.7922000000000002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76"/>
        <v>0825-17</v>
      </c>
      <c r="AE18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2" s="88" t="str">
        <f t="shared" si="78"/>
        <v>"C:\Program Files (x86)\AstroGrep\AstroGrep.exe" /spath="%USERPROFILE%\AppData\Local\Temp\OnboardLogs" /stypes="app*4018*20161117*" /stext=" 22:.+((SYSTEM_STATE.+slice.+state.+changed )|(ment ac)|(system.+state.+changed )|(\[timeout)|(PRM\|1\|D)|(kpr)|(kdp)|(\|lc)|(penalty))" /e /r /s</v>
      </c>
      <c r="AG182" s="1" t="str">
        <f t="shared" si="79"/>
        <v>NW</v>
      </c>
      <c r="AH182" s="92" t="str">
        <f t="shared" si="81"/>
        <v>"%USERPROFILE%\Documents\GitHub\eaglep3\Utilities\RefineRTDCRunTimes.py" --tripid 825-17 --locoid 4018 --swversion DE.1.0.8.0 --startMP 204:1007 --initTime 2016-11-17T15:14:01 --startdatetime 2016-11-17T15:21:33 --delay 1 --endMP 300:58929 --enddatetime 2016-11-17T15:35:28 --enforcementcount 0 &gt;&gt;C:\Users\stu\Documents\GitHub\eaglep3-reporting\EC\2016-11-17-refined-times.txt</v>
      </c>
      <c r="AI18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{"issue":{"subject":"","project_id":79,"tracker_id":40,"status_id":1,"priority_id":2,"assigned_to_id":23,"start_date":"2016-11-17","description":"","custom_fields":[{"id":1,"name":"Subdivision","value":"NW"},{"id":4,"name":"Milepost","value":"5.8929"},{"id":17,"name":"Train ID","value":"825-17"},{"id":16,"name":"Locomotive ID","value":"4018"},{"id":130,"name":"Impact","value":""},{"id":150,"name":"Time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552</v>
      </c>
      <c r="B183" s="7">
        <v>4017</v>
      </c>
      <c r="C183" s="22" t="s">
        <v>220</v>
      </c>
      <c r="D183" s="22" t="s">
        <v>403</v>
      </c>
      <c r="E183" s="13">
        <v>42691.651296296295</v>
      </c>
      <c r="F183" s="13">
        <v>42691.653136574074</v>
      </c>
      <c r="G183" s="7">
        <v>1</v>
      </c>
      <c r="H183" s="22" t="s">
        <v>749</v>
      </c>
      <c r="I183" s="13">
        <v>42691.664340277777</v>
      </c>
      <c r="J183" s="7">
        <v>0</v>
      </c>
      <c r="K183" s="109" t="str">
        <f t="shared" si="66"/>
        <v>4017/4018</v>
      </c>
      <c r="L183" s="22" t="str">
        <f>VLOOKUP(A183,'Trips&amp;Operators'!$C$1:$E$10000,3,FALSE)</f>
        <v>BADERTSCHER</v>
      </c>
      <c r="M183" s="6">
        <f t="shared" si="67"/>
        <v>1.1203703703358769E-2</v>
      </c>
      <c r="N183" s="7">
        <f t="shared" si="68"/>
        <v>16.133333332836628</v>
      </c>
      <c r="O183" s="7"/>
      <c r="P183" s="7"/>
      <c r="Q183" s="23"/>
      <c r="R183" s="23"/>
      <c r="S183" s="35">
        <f t="shared" si="69"/>
        <v>1</v>
      </c>
      <c r="T183" s="50" t="str">
        <f t="shared" si="7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14:37:52-700',mode:absolute,to:'2016-11-17 16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3" s="52" t="str">
        <f t="shared" si="72"/>
        <v>N</v>
      </c>
      <c r="X183" s="177">
        <f t="shared" si="80"/>
        <v>1</v>
      </c>
      <c r="Y183" s="67">
        <f t="shared" si="73"/>
        <v>5.8613</v>
      </c>
      <c r="Z183" s="67">
        <f t="shared" si="74"/>
        <v>7.1900000000000006E-2</v>
      </c>
      <c r="AA183" s="67">
        <f t="shared" si="75"/>
        <v>5.7893999999999997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76"/>
        <v>0826-17</v>
      </c>
      <c r="AE183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3" s="88" t="str">
        <f t="shared" si="78"/>
        <v>"C:\Program Files (x86)\AstroGrep\AstroGrep.exe" /spath="%USERPROFILE%\AppData\Local\Temp\OnboardLogs" /stypes="app*4017*20161117*" /stext=" 22:.+((SYSTEM_STATE.+slice.+state.+changed )|(ment ac)|(system.+state.+changed )|(\[timeout)|(PRM\|1\|D)|(kpr)|(kdp)|(\|lc)|(penalty))" /e /r /s</v>
      </c>
      <c r="AG183" s="1" t="str">
        <f t="shared" si="79"/>
        <v>NW</v>
      </c>
      <c r="AH183" s="92" t="str">
        <f t="shared" si="81"/>
        <v>"%USERPROFILE%\Documents\GitHub\eaglep3\Utilities\RefineRTDCRunTimes.py" --tripid 826-17 --locoid 4017 --swversion DE.1.0.8.0 --startMP 300:58613 --initTime 2016-11-17T15:37:52 --startdatetime 2016-11-17T15:40:31 --delay 1 --endMP 204:719 --enddatetime 2016-11-17T15:56:39 --enforcementcount 0 &gt;&gt;C:\Users\stu\Documents\GitHub\eaglep3-reporting\EC\2016-11-17-refined-times.txt</v>
      </c>
      <c r="AI18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{"issue":{"subject":"","project_id":79,"tracker_id":40,"status_id":1,"priority_id":2,"assigned_to_id":23,"start_date":"2016-11-17","description":"","custom_fields":[{"id":1,"name":"Subdivision","value":"NW"},{"id":4,"name":"Milepost","value":"0.0719"},{"id":17,"name":"Train ID","value":"826-17"},{"id":16,"name":"Locomotive ID","value":"4017"},{"id":130,"name":"Impact","value":""},{"id":150,"name":"Time of Event (Mountain Time)","value":"15:56:39"},{"id":151,"name":"Denver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554</v>
      </c>
      <c r="B184" s="7">
        <v>4040</v>
      </c>
      <c r="C184" s="22" t="s">
        <v>220</v>
      </c>
      <c r="D184" s="22" t="s">
        <v>750</v>
      </c>
      <c r="E184" s="13">
        <v>42691.658020833333</v>
      </c>
      <c r="F184" s="13">
        <v>42691.660601851851</v>
      </c>
      <c r="G184" s="7">
        <v>1</v>
      </c>
      <c r="H184" s="22" t="s">
        <v>404</v>
      </c>
      <c r="I184" s="13">
        <v>42691.671076388891</v>
      </c>
      <c r="J184" s="7">
        <v>0</v>
      </c>
      <c r="K184" s="109" t="str">
        <f t="shared" si="66"/>
        <v>4039/4040</v>
      </c>
      <c r="L184" s="22" t="str">
        <f>VLOOKUP(A184,'Trips&amp;Operators'!$C$1:$E$10000,3,FALSE)</f>
        <v>BROWN</v>
      </c>
      <c r="M184" s="6">
        <f t="shared" si="67"/>
        <v>1.0474537040863652E-2</v>
      </c>
      <c r="N184" s="7">
        <f t="shared" si="68"/>
        <v>15.083333338843659</v>
      </c>
      <c r="O184" s="7"/>
      <c r="P184" s="7"/>
      <c r="Q184" s="23"/>
      <c r="R184" s="23"/>
      <c r="S184" s="35">
        <f t="shared" si="69"/>
        <v>1</v>
      </c>
      <c r="T184" s="50" t="str">
        <f t="shared" si="7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14:47:33-700',mode:absolute,to:'2016-11-17 17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72"/>
        <v>N</v>
      </c>
      <c r="X184" s="177">
        <f t="shared" si="80"/>
        <v>1</v>
      </c>
      <c r="Y184" s="67">
        <f t="shared" si="73"/>
        <v>0.1021</v>
      </c>
      <c r="Z184" s="67">
        <f t="shared" si="74"/>
        <v>5.8948</v>
      </c>
      <c r="AA184" s="67">
        <f t="shared" si="75"/>
        <v>5.7927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76"/>
        <v>0827-17</v>
      </c>
      <c r="AE184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84" s="88" t="str">
        <f t="shared" si="78"/>
        <v>"C:\Program Files (x86)\AstroGrep\AstroGrep.exe" /spath="%USERPROFILE%\AppData\Local\Temp\OnboardLogs" /stypes="app*4040*20161117*" /stext=" 23:.+((SYSTEM_STATE.+slice.+state.+changed )|(ment ac)|(system.+state.+changed )|(\[timeout)|(PRM\|1\|D)|(kpr)|(kdp)|(\|lc)|(penalty))" /e /r /s</v>
      </c>
      <c r="AG184" s="1" t="str">
        <f t="shared" si="79"/>
        <v>NW</v>
      </c>
      <c r="AH184" s="92" t="str">
        <f t="shared" si="81"/>
        <v>"%USERPROFILE%\Documents\GitHub\eaglep3\Utilities\RefineRTDCRunTimes.py" --tripid 827-17 --locoid 4040 --swversion DE.1.0.8.0 --startMP 204:1021 --initTime 2016-11-17T15:47:33 --startdatetime 2016-11-17T15:51:16 --delay 1 --endMP 300:58948 --enddatetime 2016-11-17T16:06:21 --enforcementcount 0 &gt;&gt;C:\Users\stu\Documents\GitHub\eaglep3-reporting\EC\2016-11-17-refined-times.txt</v>
      </c>
      <c r="AI18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{"issue":{"subject":"","project_id":79,"tracker_id":40,"status_id":1,"priority_id":2,"assigned_to_id":23,"start_date":"2016-11-17","description":"","custom_fields":[{"id":1,"name":"Subdivision","value":"NW"},{"id":4,"name":"Milepost","value":"5.8948"},{"id":17,"name":"Train ID","value":"827-17"},{"id":16,"name":"Locomotive ID","value":"4040"},{"id":130,"name":"Impact","value":""},{"id":150,"name":"Time of Event (Mountain Time)","value":"16:06:21"},{"id":151,"name":"Denver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558</v>
      </c>
      <c r="B185" s="7">
        <v>4039</v>
      </c>
      <c r="C185" s="22" t="s">
        <v>220</v>
      </c>
      <c r="D185" s="22" t="s">
        <v>335</v>
      </c>
      <c r="E185" s="13">
        <v>42691.672430555554</v>
      </c>
      <c r="F185" s="13">
        <v>42691.674027777779</v>
      </c>
      <c r="G185" s="7">
        <v>1</v>
      </c>
      <c r="H185" s="22" t="s">
        <v>332</v>
      </c>
      <c r="I185" s="13">
        <v>42691.686736111114</v>
      </c>
      <c r="J185" s="7">
        <v>0</v>
      </c>
      <c r="K185" s="109" t="str">
        <f t="shared" si="66"/>
        <v>4039/4040</v>
      </c>
      <c r="L185" s="22" t="str">
        <f>VLOOKUP(A185,'Trips&amp;Operators'!$C$1:$E$10000,3,FALSE)</f>
        <v>BROWN</v>
      </c>
      <c r="M185" s="6">
        <f t="shared" si="67"/>
        <v>1.2708333335467614E-2</v>
      </c>
      <c r="N185" s="7">
        <f t="shared" si="68"/>
        <v>18.300000003073364</v>
      </c>
      <c r="O185" s="7"/>
      <c r="P185" s="7"/>
      <c r="Q185" s="23"/>
      <c r="R185" s="23"/>
      <c r="S185" s="35">
        <f t="shared" si="69"/>
        <v>1</v>
      </c>
      <c r="T185" s="50" t="str">
        <f t="shared" si="7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15:08:18-700',mode:absolute,to:'2016-11-17 17:28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72"/>
        <v>N</v>
      </c>
      <c r="X185" s="177">
        <f t="shared" si="80"/>
        <v>1</v>
      </c>
      <c r="Y185" s="67">
        <f t="shared" si="73"/>
        <v>5.8623000000000003</v>
      </c>
      <c r="Z185" s="67">
        <f t="shared" si="74"/>
        <v>7.0099999999999996E-2</v>
      </c>
      <c r="AA185" s="67">
        <f t="shared" si="75"/>
        <v>5.7922000000000002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76"/>
        <v>0828-17</v>
      </c>
      <c r="AE185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85" s="88" t="str">
        <f t="shared" si="78"/>
        <v>"C:\Program Files (x86)\AstroGrep\AstroGrep.exe" /spath="%USERPROFILE%\AppData\Local\Temp\OnboardLogs" /stypes="app*4039*20161117*" /stext=" 23:.+((SYSTEM_STATE.+slice.+state.+changed )|(ment ac)|(system.+state.+changed )|(\[timeout)|(PRM\|1\|D)|(kpr)|(kdp)|(\|lc)|(penalty))" /e /r /s</v>
      </c>
      <c r="AG185" s="1" t="str">
        <f t="shared" si="79"/>
        <v>NW</v>
      </c>
      <c r="AH185" s="92" t="str">
        <f t="shared" si="81"/>
        <v>"%USERPROFILE%\Documents\GitHub\eaglep3\Utilities\RefineRTDCRunTimes.py" --tripid 828-17 --locoid 4039 --swversion DE.1.0.8.0 --startMP 300:58623 --initTime 2016-11-17T16:08:18 --startdatetime 2016-11-17T16:10:36 --delay 1 --endMP 204:701 --enddatetime 2016-11-17T16:28:54 --enforcementcount 0 &gt;&gt;C:\Users\stu\Documents\GitHub\eaglep3-reporting\EC\2016-11-17-refined-times.txt</v>
      </c>
      <c r="AI18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{"issue":{"subject":"","project_id":79,"tracker_id":40,"status_id":1,"priority_id":2,"assigned_to_id":23,"start_date":"2016-11-17","description":"","custom_fields":[{"id":1,"name":"Subdivision","value":"NW"},{"id":4,"name":"Milepost","value":"0.0701"},{"id":17,"name":"Train ID","value":"828-17"},{"id":16,"name":"Locomotive ID","value":"4039"},{"id":130,"name":"Impact","value":""},{"id":150,"name":"Time of Event (Mountain Time)","value":"16:28:54"},{"id":151,"name":"Denver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443</v>
      </c>
      <c r="B186" s="7">
        <v>4018</v>
      </c>
      <c r="C186" s="22" t="s">
        <v>220</v>
      </c>
      <c r="D186" s="22" t="s">
        <v>734</v>
      </c>
      <c r="E186" s="13">
        <v>42691.67895833333</v>
      </c>
      <c r="F186" s="13">
        <v>42691.681712962964</v>
      </c>
      <c r="G186" s="7">
        <v>1</v>
      </c>
      <c r="H186" s="22" t="s">
        <v>395</v>
      </c>
      <c r="I186" s="13">
        <v>42691.691412037035</v>
      </c>
      <c r="J186" s="7">
        <v>0</v>
      </c>
      <c r="K186" s="109" t="str">
        <f t="shared" si="66"/>
        <v>4017/4018</v>
      </c>
      <c r="L186" s="22" t="str">
        <f>VLOOKUP(A186,'Trips&amp;Operators'!$C$1:$E$10000,3,FALSE)</f>
        <v>BADERTSCHER</v>
      </c>
      <c r="M186" s="6">
        <f t="shared" si="67"/>
        <v>9.6990740712499246E-3</v>
      </c>
      <c r="N186" s="7">
        <f t="shared" si="68"/>
        <v>13.966666662599891</v>
      </c>
      <c r="O186" s="7"/>
      <c r="P186" s="7"/>
      <c r="Q186" s="23"/>
      <c r="R186" s="23"/>
      <c r="S186" s="35">
        <f t="shared" si="69"/>
        <v>1</v>
      </c>
      <c r="T186" s="50" t="str">
        <f t="shared" si="7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2" t="str">
        <f t="shared" si="72"/>
        <v>N</v>
      </c>
      <c r="X186" s="177">
        <f t="shared" si="80"/>
        <v>1</v>
      </c>
      <c r="Y186" s="67">
        <f t="shared" si="73"/>
        <v>9.8100000000000007E-2</v>
      </c>
      <c r="Z186" s="67">
        <f t="shared" si="74"/>
        <v>5.8954000000000004</v>
      </c>
      <c r="AA186" s="67">
        <f t="shared" si="75"/>
        <v>5.7973000000000008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76"/>
        <v>0829-17</v>
      </c>
      <c r="AE186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6" s="88" t="str">
        <f t="shared" si="78"/>
        <v>"C:\Program Files (x86)\AstroGrep\AstroGrep.exe" /spath="%USERPROFILE%\AppData\Local\Temp\OnboardLogs" /stypes="app*4018*20161117*" /stext=" 23:.+((SYSTEM_STATE.+slice.+state.+changed )|(ment ac)|(system.+state.+changed )|(\[timeout)|(PRM\|1\|D)|(kpr)|(kdp)|(\|lc)|(penalty))" /e /r /s</v>
      </c>
      <c r="AG186" s="1" t="str">
        <f t="shared" si="79"/>
        <v>NW</v>
      </c>
      <c r="AH186" s="92" t="str">
        <f t="shared" si="81"/>
        <v>"%USERPROFILE%\Documents\GitHub\eaglep3\Utilities\RefineRTDCRunTimes.py" --tripid 829-17 --locoid 4018 --swversion DE.1.0.8.0 --startMP 204:981 --initTime 2016-11-17T16:17:42 --startdatetime 2016-11-17T16:21:40 --delay 1 --endMP 300:58954 --enddatetime 2016-11-17T16:35:38 --enforcementcount 0 &gt;&gt;C:\Users\stu\Documents\GitHub\eaglep3-reporting\EC\2016-11-17-refined-times.txt</v>
      </c>
      <c r="AI18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{"issue":{"subject":"","project_id":79,"tracker_id":40,"status_id":1,"priority_id":2,"assigned_to_id":23,"start_date":"2016-11-17","description":"","custom_fields":[{"id":1,"name":"Subdivision","value":"NW"},{"id":4,"name":"Milepost","value":"5.8954"},{"id":17,"name":"Train ID","value":"829-17"},{"id":16,"name":"Locomotive ID","value":"4018"},{"id":130,"name":"Impact","value":""},{"id":150,"name":"Time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563</v>
      </c>
      <c r="B187" s="7">
        <v>4017</v>
      </c>
      <c r="C187" s="22" t="s">
        <v>220</v>
      </c>
      <c r="D187" s="22" t="s">
        <v>751</v>
      </c>
      <c r="E187" s="13">
        <v>42691.692256944443</v>
      </c>
      <c r="F187" s="13">
        <v>42691.69332175926</v>
      </c>
      <c r="G187" s="7">
        <v>0</v>
      </c>
      <c r="H187" s="22" t="s">
        <v>752</v>
      </c>
      <c r="I187" s="13">
        <v>42691.705266203702</v>
      </c>
      <c r="J187" s="7">
        <v>0</v>
      </c>
      <c r="K187" s="109" t="str">
        <f t="shared" si="66"/>
        <v>4017/4018</v>
      </c>
      <c r="L187" s="22" t="str">
        <f>VLOOKUP(A187,'Trips&amp;Operators'!$C$1:$E$10000,3,FALSE)</f>
        <v>BADERTSCHER</v>
      </c>
      <c r="M187" s="6">
        <f t="shared" si="67"/>
        <v>1.1944444442633539E-2</v>
      </c>
      <c r="N187" s="7">
        <f t="shared" si="68"/>
        <v>17.199999997392297</v>
      </c>
      <c r="O187" s="7"/>
      <c r="P187" s="7"/>
      <c r="Q187" s="23"/>
      <c r="R187" s="23"/>
      <c r="S187" s="35">
        <f t="shared" si="69"/>
        <v>1</v>
      </c>
      <c r="T187" s="50" t="str">
        <f t="shared" si="7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15:36:51-700',mode:absolute,to:'2016-11-17 17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7" s="52" t="str">
        <f t="shared" si="72"/>
        <v>N</v>
      </c>
      <c r="X187" s="177">
        <f t="shared" si="80"/>
        <v>1</v>
      </c>
      <c r="Y187" s="67">
        <f t="shared" si="73"/>
        <v>5.8634000000000004</v>
      </c>
      <c r="Z187" s="67">
        <f t="shared" si="74"/>
        <v>7.3800000000000004E-2</v>
      </c>
      <c r="AA187" s="67">
        <f t="shared" si="75"/>
        <v>5.7896000000000001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76"/>
        <v>0830-17</v>
      </c>
      <c r="AE18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7" s="88" t="str">
        <f t="shared" si="78"/>
        <v>"C:\Program Files (x86)\AstroGrep\AstroGrep.exe" /spath="%USERPROFILE%\AppData\Local\Temp\OnboardLogs" /stypes="app*4017*20161117*" /stext=" 23:.+((SYSTEM_STATE.+slice.+state.+changed )|(ment ac)|(system.+state.+changed )|(\[timeout)|(PRM\|1\|D)|(kpr)|(kdp)|(\|lc)|(penalty))" /e /r /s</v>
      </c>
      <c r="AG187" s="1" t="str">
        <f t="shared" si="79"/>
        <v>NW</v>
      </c>
      <c r="AH187" s="92" t="str">
        <f t="shared" si="81"/>
        <v>"%USERPROFILE%\Documents\GitHub\eaglep3\Utilities\RefineRTDCRunTimes.py" --tripid 830-17 --locoid 4017 --swversion DE.1.0.8.0 --startMP 300:58634 --initTime 2016-11-17T16:36:51 --startdatetime 2016-11-17T16:38:23 --delay 0 --endMP 204:738 --enddatetime 2016-11-17T16:55:35 --enforcementcount 0 &gt;&gt;C:\Users\stu\Documents\GitHub\eaglep3-reporting\EC\2016-11-17-refined-times.txt</v>
      </c>
      <c r="AI18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{"issue":{"subject":"","project_id":79,"tracker_id":40,"status_id":1,"priority_id":2,"assigned_to_id":23,"start_date":"2016-11-17","description":"","custom_fields":[{"id":1,"name":"Subdivision","value":"NW"},{"id":4,"name":"Milepost","value":"0.0738"},{"id":17,"name":"Train ID","value":"830-17"},{"id":16,"name":"Locomotive ID","value":"4017"},{"id":130,"name":"Impact","value":""},{"id":150,"name":"Time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564</v>
      </c>
      <c r="B188" s="7">
        <v>4040</v>
      </c>
      <c r="C188" s="22" t="s">
        <v>220</v>
      </c>
      <c r="D188" s="22" t="s">
        <v>402</v>
      </c>
      <c r="E188" s="13">
        <v>42691.692199074074</v>
      </c>
      <c r="F188" s="13">
        <v>42691.702256944445</v>
      </c>
      <c r="G188" s="7">
        <v>1</v>
      </c>
      <c r="H188" s="22" t="s">
        <v>404</v>
      </c>
      <c r="I188" s="13">
        <v>42691.712094907409</v>
      </c>
      <c r="J188" s="7">
        <v>0</v>
      </c>
      <c r="K188" s="109" t="str">
        <f t="shared" si="66"/>
        <v>4039/4040</v>
      </c>
      <c r="L188" s="22" t="str">
        <f>VLOOKUP(A188,'Trips&amp;Operators'!$C$1:$E$10000,3,FALSE)</f>
        <v>BROWN</v>
      </c>
      <c r="M188" s="6">
        <f t="shared" si="67"/>
        <v>9.8379629635019228E-3</v>
      </c>
      <c r="N188" s="7">
        <f t="shared" si="68"/>
        <v>14.166666667442769</v>
      </c>
      <c r="O188" s="7"/>
      <c r="P188" s="7"/>
      <c r="Q188" s="23"/>
      <c r="R188" s="23"/>
      <c r="S188" s="35">
        <f t="shared" si="69"/>
        <v>1</v>
      </c>
      <c r="T188" s="50" t="str">
        <f t="shared" si="7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15:36:46-700',mode:absolute,to:'2016-11-17 18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72"/>
        <v>N</v>
      </c>
      <c r="X188" s="177">
        <f t="shared" si="80"/>
        <v>1</v>
      </c>
      <c r="Y188" s="67">
        <f t="shared" si="73"/>
        <v>0.1014</v>
      </c>
      <c r="Z188" s="67">
        <f t="shared" si="74"/>
        <v>5.8948</v>
      </c>
      <c r="AA188" s="67">
        <f t="shared" si="75"/>
        <v>5.7934000000000001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76"/>
        <v>0831-17</v>
      </c>
      <c r="AE188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88" s="88" t="str">
        <f t="shared" si="78"/>
        <v>"C:\Program Files (x86)\AstroGrep\AstroGrep.exe" /spath="%USERPROFILE%\AppData\Local\Temp\OnboardLogs" /stypes="app*4040*20161118*" /stext=" 00:.+((SYSTEM_STATE.+slice.+state.+changed )|(ment ac)|(system.+state.+changed )|(\[timeout)|(PRM\|1\|D)|(kpr)|(kdp)|(\|lc)|(penalty))" /e /r /s</v>
      </c>
      <c r="AG188" s="1" t="str">
        <f t="shared" si="79"/>
        <v>NW</v>
      </c>
      <c r="AH188" s="92" t="str">
        <f t="shared" si="81"/>
        <v>"%USERPROFILE%\Documents\GitHub\eaglep3\Utilities\RefineRTDCRunTimes.py" --tripid 831-17 --locoid 4040 --swversion DE.1.0.8.0 --startMP 204:1014 --initTime 2016-11-17T16:36:46 --startdatetime 2016-11-17T16:51:15 --delay 1 --endMP 300:58948 --enddatetime 2016-11-17T17:05:25 --enforcementcount 0 &gt;&gt;C:\Users\stu\Documents\GitHub\eaglep3-reporting\EC\2016-11-17-refined-times.txt</v>
      </c>
      <c r="AI18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{"issue":{"subject":"","project_id":79,"tracker_id":40,"status_id":1,"priority_id":2,"assigned_to_id":23,"start_date":"2016-11-17","description":"","custom_fields":[{"id":1,"name":"Subdivision","value":"NW"},{"id":4,"name":"Milepost","value":"5.8948"},{"id":17,"name":"Train ID","value":"831-17"},{"id":16,"name":"Locomotive ID","value":"4040"},{"id":130,"name":"Impact","value":""},{"id":150,"name":"Time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569</v>
      </c>
      <c r="B189" s="7">
        <v>4039</v>
      </c>
      <c r="C189" s="22" t="s">
        <v>220</v>
      </c>
      <c r="D189" s="22" t="s">
        <v>410</v>
      </c>
      <c r="E189" s="13">
        <v>42691.713229166664</v>
      </c>
      <c r="F189" s="13">
        <v>42691.714826388888</v>
      </c>
      <c r="G189" s="7">
        <v>1</v>
      </c>
      <c r="H189" s="22" t="s">
        <v>753</v>
      </c>
      <c r="I189" s="13">
        <v>42691.726724537039</v>
      </c>
      <c r="J189" s="7">
        <v>0</v>
      </c>
      <c r="K189" s="109" t="str">
        <f t="shared" si="66"/>
        <v>4039/4040</v>
      </c>
      <c r="L189" s="22" t="str">
        <f>VLOOKUP(A189,'Trips&amp;Operators'!$C$1:$E$10000,3,FALSE)</f>
        <v>BROWN</v>
      </c>
      <c r="M189" s="6">
        <f t="shared" si="67"/>
        <v>1.1898148150066845E-2</v>
      </c>
      <c r="N189" s="7">
        <f t="shared" si="68"/>
        <v>17.133333336096257</v>
      </c>
      <c r="O189" s="7"/>
      <c r="P189" s="7"/>
      <c r="Q189" s="23"/>
      <c r="R189" s="23"/>
      <c r="S189" s="35">
        <f t="shared" si="69"/>
        <v>1</v>
      </c>
      <c r="T189" s="50" t="str">
        <f t="shared" si="7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16:07:03-700',mode:absolute,to:'2016-11-17 18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72"/>
        <v>N</v>
      </c>
      <c r="X189" s="177">
        <f t="shared" si="80"/>
        <v>1</v>
      </c>
      <c r="Y189" s="67">
        <f t="shared" si="73"/>
        <v>5.8624000000000001</v>
      </c>
      <c r="Z189" s="67">
        <f t="shared" si="74"/>
        <v>7.1999999999999995E-2</v>
      </c>
      <c r="AA189" s="67">
        <f t="shared" si="75"/>
        <v>5.7904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76"/>
        <v>0832-17</v>
      </c>
      <c r="AE189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89" s="88" t="str">
        <f t="shared" si="78"/>
        <v>"C:\Program Files (x86)\AstroGrep\AstroGrep.exe" /spath="%USERPROFILE%\AppData\Local\Temp\OnboardLogs" /stypes="app*4039*20161118*" /stext=" 00:.+((SYSTEM_STATE.+slice.+state.+changed )|(ment ac)|(system.+state.+changed )|(\[timeout)|(PRM\|1\|D)|(kpr)|(kdp)|(\|lc)|(penalty))" /e /r /s</v>
      </c>
      <c r="AG189" s="1" t="str">
        <f t="shared" si="79"/>
        <v>NW</v>
      </c>
      <c r="AH189" s="92" t="str">
        <f t="shared" si="81"/>
        <v>"%USERPROFILE%\Documents\GitHub\eaglep3\Utilities\RefineRTDCRunTimes.py" --tripid 832-17 --locoid 4039 --swversion DE.1.0.8.0 --startMP 300:58624 --initTime 2016-11-17T17:07:03 --startdatetime 2016-11-17T17:09:21 --delay 1 --endMP 204:720 --enddatetime 2016-11-17T17:26:29 --enforcementcount 0 &gt;&gt;C:\Users\stu\Documents\GitHub\eaglep3-reporting\EC\2016-11-17-refined-times.txt</v>
      </c>
      <c r="AI18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{"issue":{"subject":"","project_id":79,"tracker_id":40,"status_id":1,"priority_id":2,"assigned_to_id":23,"start_date":"2016-11-17","description":"","custom_fields":[{"id":1,"name":"Subdivision","value":"NW"},{"id":4,"name":"Milepost","value":"0.072"},{"id":17,"name":"Train ID","value":"832-17"},{"id":16,"name":"Locomotive ID","value":"4039"},{"id":130,"name":"Impact","value":""},{"id":150,"name":"Time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570</v>
      </c>
      <c r="B190" s="7">
        <v>4018</v>
      </c>
      <c r="C190" s="22" t="s">
        <v>220</v>
      </c>
      <c r="D190" s="22" t="s">
        <v>729</v>
      </c>
      <c r="E190" s="13">
        <v>42691.716006944444</v>
      </c>
      <c r="F190" s="13">
        <v>42691.723402777781</v>
      </c>
      <c r="G190" s="7">
        <v>1</v>
      </c>
      <c r="H190" s="22" t="s">
        <v>745</v>
      </c>
      <c r="I190" s="13">
        <v>42691.733043981483</v>
      </c>
      <c r="J190" s="7">
        <v>0</v>
      </c>
      <c r="K190" s="109" t="str">
        <f t="shared" si="66"/>
        <v>4017/4018</v>
      </c>
      <c r="L190" s="22" t="str">
        <f>VLOOKUP(A190,'Trips&amp;Operators'!$C$1:$E$10000,3,FALSE)</f>
        <v>BADERTSCHER</v>
      </c>
      <c r="M190" s="6">
        <f t="shared" si="67"/>
        <v>9.6412037019035779E-3</v>
      </c>
      <c r="N190" s="7">
        <f t="shared" si="68"/>
        <v>13.883333330741152</v>
      </c>
      <c r="O190" s="7"/>
      <c r="P190" s="7"/>
      <c r="Q190" s="23"/>
      <c r="R190" s="23"/>
      <c r="S190" s="35">
        <f t="shared" si="69"/>
        <v>1</v>
      </c>
      <c r="T190" s="50" t="str">
        <f t="shared" si="7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16:11:03-700',mode:absolute,to:'2016-11-17 18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0" s="52" t="str">
        <f t="shared" si="72"/>
        <v>N</v>
      </c>
      <c r="X190" s="177">
        <f t="shared" si="80"/>
        <v>1</v>
      </c>
      <c r="Y190" s="67">
        <f t="shared" si="73"/>
        <v>0.1028</v>
      </c>
      <c r="Z190" s="67">
        <f t="shared" si="74"/>
        <v>5.8936999999999999</v>
      </c>
      <c r="AA190" s="67">
        <f t="shared" si="75"/>
        <v>5.7908999999999997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76"/>
        <v>0833-17</v>
      </c>
      <c r="AE19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0" s="88" t="str">
        <f t="shared" si="78"/>
        <v>"C:\Program Files (x86)\AstroGrep\AstroGrep.exe" /spath="%USERPROFILE%\AppData\Local\Temp\OnboardLogs" /stypes="app*4018*20161118*" /stext=" 00:.+((SYSTEM_STATE.+slice.+state.+changed )|(ment ac)|(system.+state.+changed )|(\[timeout)|(PRM\|1\|D)|(kpr)|(kdp)|(\|lc)|(penalty))" /e /r /s</v>
      </c>
      <c r="AG190" s="1" t="str">
        <f t="shared" si="79"/>
        <v>NW</v>
      </c>
      <c r="AH190" s="92" t="str">
        <f t="shared" si="81"/>
        <v>"%USERPROFILE%\Documents\GitHub\eaglep3\Utilities\RefineRTDCRunTimes.py" --tripid 833-17 --locoid 4018 --swversion DE.1.0.8.0 --startMP 204:1028 --initTime 2016-11-17T17:11:03 --startdatetime 2016-11-17T17:21:42 --delay 1 --endMP 300:58937 --enddatetime 2016-11-17T17:35:35 --enforcementcount 0 &gt;&gt;C:\Users\stu\Documents\GitHub\eaglep3-reporting\EC\2016-11-17-refined-times.txt</v>
      </c>
      <c r="AI19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{"issue":{"subject":"","project_id":79,"tracker_id":40,"status_id":1,"priority_id":2,"assigned_to_id":23,"start_date":"2016-11-17","description":"","custom_fields":[{"id":1,"name":"Subdivision","value":"NW"},{"id":4,"name":"Milepost","value":"5.8937"},{"id":17,"name":"Train ID","value":"833-17"},{"id":16,"name":"Locomotive ID","value":"4018"},{"id":130,"name":"Impact","value":""},{"id":150,"name":"Time of Event (Mountain Time)","value":"17:35:35"},{"id":151,"name":"Denver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576</v>
      </c>
      <c r="B191" s="7">
        <v>4017</v>
      </c>
      <c r="C191" s="22" t="s">
        <v>220</v>
      </c>
      <c r="D191" s="22" t="s">
        <v>754</v>
      </c>
      <c r="E191" s="13">
        <v>42691.7343287037</v>
      </c>
      <c r="F191" s="13">
        <v>42691.735798611109</v>
      </c>
      <c r="G191" s="7">
        <v>1</v>
      </c>
      <c r="H191" s="22" t="s">
        <v>308</v>
      </c>
      <c r="I191" s="13">
        <v>42691.747766203705</v>
      </c>
      <c r="J191" s="7">
        <v>0</v>
      </c>
      <c r="K191" s="109" t="str">
        <f t="shared" si="66"/>
        <v>4017/4018</v>
      </c>
      <c r="L191" s="22" t="str">
        <f>VLOOKUP(A191,'Trips&amp;Operators'!$C$1:$E$10000,3,FALSE)</f>
        <v>BADERTSCHER</v>
      </c>
      <c r="M191" s="6">
        <f t="shared" si="67"/>
        <v>1.1967592596192844E-2</v>
      </c>
      <c r="N191" s="7">
        <f t="shared" si="68"/>
        <v>17.233333338517696</v>
      </c>
      <c r="O191" s="7"/>
      <c r="P191" s="7"/>
      <c r="Q191" s="23"/>
      <c r="R191" s="23"/>
      <c r="S191" s="35">
        <f t="shared" si="69"/>
        <v>1</v>
      </c>
      <c r="T191" s="50" t="str">
        <f t="shared" si="7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16:37:26-700',mode:absolute,to:'2016-11-17 18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1" s="52" t="str">
        <f t="shared" si="72"/>
        <v>N</v>
      </c>
      <c r="X191" s="177">
        <f t="shared" si="80"/>
        <v>1</v>
      </c>
      <c r="Y191" s="67">
        <f t="shared" si="73"/>
        <v>5.8620999999999999</v>
      </c>
      <c r="Z191" s="67">
        <f t="shared" si="74"/>
        <v>7.2400000000000006E-2</v>
      </c>
      <c r="AA191" s="67">
        <f t="shared" si="75"/>
        <v>5.7896999999999998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76"/>
        <v>0834-17</v>
      </c>
      <c r="AE19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1" s="88" t="str">
        <f t="shared" si="78"/>
        <v>"C:\Program Files (x86)\AstroGrep\AstroGrep.exe" /spath="%USERPROFILE%\AppData\Local\Temp\OnboardLogs" /stypes="app*4017*20161118*" /stext=" 00:.+((SYSTEM_STATE.+slice.+state.+changed )|(ment ac)|(system.+state.+changed )|(\[timeout)|(PRM\|1\|D)|(kpr)|(kdp)|(\|lc)|(penalty))" /e /r /s</v>
      </c>
      <c r="AG191" s="1" t="str">
        <f t="shared" si="79"/>
        <v>NW</v>
      </c>
      <c r="AH191" s="92" t="str">
        <f t="shared" si="81"/>
        <v>"%USERPROFILE%\Documents\GitHub\eaglep3\Utilities\RefineRTDCRunTimes.py" --tripid 834-17 --locoid 4017 --swversion DE.1.0.8.0 --startMP 300:58621 --initTime 2016-11-17T17:37:26 --startdatetime 2016-11-17T17:39:33 --delay 1 --endMP 204:724 --enddatetime 2016-11-17T17:56:47 --enforcementcount 0 &gt;&gt;C:\Users\stu\Documents\GitHub\eaglep3-reporting\EC\2016-11-17-refined-times.txt</v>
      </c>
      <c r="AI19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{"issue":{"subject":"","project_id":79,"tracker_id":40,"status_id":1,"priority_id":2,"assigned_to_id":23,"start_date":"2016-11-17","description":"","custom_fields":[{"id":1,"name":"Subdivision","value":"NW"},{"id":4,"name":"Milepost","value":"0.0724"},{"id":17,"name":"Train ID","value":"834-17"},{"id":16,"name":"Locomotive ID","value":"4017"},{"id":130,"name":"Impact","value":""},{"id":150,"name":"Time of Event (Mountain Time)","value":"17:56:47"},{"id":151,"name":"Denver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579</v>
      </c>
      <c r="B192" s="7">
        <v>4040</v>
      </c>
      <c r="C192" s="22" t="s">
        <v>220</v>
      </c>
      <c r="D192" s="22" t="s">
        <v>755</v>
      </c>
      <c r="E192" s="13">
        <v>42691.739537037036</v>
      </c>
      <c r="F192" s="13">
        <v>42691.744062500002</v>
      </c>
      <c r="G192" s="7">
        <v>1</v>
      </c>
      <c r="H192" s="22" t="s">
        <v>756</v>
      </c>
      <c r="I192" s="13">
        <v>42691.754212962966</v>
      </c>
      <c r="J192" s="7">
        <v>0</v>
      </c>
      <c r="K192" s="109" t="str">
        <f t="shared" si="66"/>
        <v>4039/4040</v>
      </c>
      <c r="L192" s="22" t="str">
        <f>VLOOKUP(A192,'Trips&amp;Operators'!$C$1:$E$10000,3,FALSE)</f>
        <v>BROWN</v>
      </c>
      <c r="M192" s="6">
        <f t="shared" si="67"/>
        <v>1.0150462963792961E-2</v>
      </c>
      <c r="N192" s="7">
        <f t="shared" si="68"/>
        <v>14.616666667861864</v>
      </c>
      <c r="O192" s="7"/>
      <c r="P192" s="7"/>
      <c r="Q192" s="23"/>
      <c r="R192" s="23"/>
      <c r="S192" s="35">
        <f t="shared" si="69"/>
        <v>1</v>
      </c>
      <c r="T192" s="50" t="str">
        <f t="shared" si="7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16:44:56-700',mode:absolute,to:'2016-11-17 19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72"/>
        <v>N</v>
      </c>
      <c r="X192" s="177">
        <f t="shared" si="80"/>
        <v>1</v>
      </c>
      <c r="Y192" s="67">
        <f t="shared" si="73"/>
        <v>0.1016</v>
      </c>
      <c r="Z192" s="67">
        <f t="shared" si="74"/>
        <v>5.8959999999999999</v>
      </c>
      <c r="AA192" s="67">
        <f t="shared" si="75"/>
        <v>5.7943999999999996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76"/>
        <v>0835-17</v>
      </c>
      <c r="AE192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92" s="88" t="str">
        <f t="shared" si="78"/>
        <v>"C:\Program Files (x86)\AstroGrep\AstroGrep.exe" /spath="%USERPROFILE%\AppData\Local\Temp\OnboardLogs" /stypes="app*4040*20161118*" /stext=" 01:.+((SYSTEM_STATE.+slice.+state.+changed )|(ment ac)|(system.+state.+changed )|(\[timeout)|(PRM\|1\|D)|(kpr)|(kdp)|(\|lc)|(penalty))" /e /r /s</v>
      </c>
      <c r="AG192" s="1" t="str">
        <f t="shared" si="79"/>
        <v>NW</v>
      </c>
      <c r="AH192" s="92" t="str">
        <f t="shared" si="81"/>
        <v>"%USERPROFILE%\Documents\GitHub\eaglep3\Utilities\RefineRTDCRunTimes.py" --tripid 835-17 --locoid 4040 --swversion DE.1.0.8.0 --startMP 204:1016 --initTime 2016-11-17T17:44:56 --startdatetime 2016-11-17T17:51:27 --delay 1 --endMP 300:58960 --enddatetime 2016-11-17T18:06:04 --enforcementcount 0 &gt;&gt;C:\Users\stu\Documents\GitHub\eaglep3-reporting\EC\2016-11-17-refined-times.txt</v>
      </c>
      <c r="AI19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{"issue":{"subject":"","project_id":79,"tracker_id":40,"status_id":1,"priority_id":2,"assigned_to_id":23,"start_date":"2016-11-17","description":"","custom_fields":[{"id":1,"name":"Subdivision","value":"NW"},{"id":4,"name":"Milepost","value":"5.896"},{"id":17,"name":"Train ID","value":"835-17"},{"id":16,"name":"Locomotive ID","value":"4040"},{"id":130,"name":"Impact","value":""},{"id":150,"name":"Time of Event (Mountain Time)","value":"18:06:04"},{"id":151,"name":"Denver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444</v>
      </c>
      <c r="B193" s="7">
        <v>4039</v>
      </c>
      <c r="C193" s="22" t="s">
        <v>220</v>
      </c>
      <c r="D193" s="22" t="s">
        <v>757</v>
      </c>
      <c r="E193" s="13">
        <v>42691.755555555559</v>
      </c>
      <c r="F193" s="13">
        <v>42691.757361111115</v>
      </c>
      <c r="G193" s="7">
        <v>1</v>
      </c>
      <c r="H193" s="22" t="s">
        <v>308</v>
      </c>
      <c r="I193" s="13">
        <v>42691.772557870368</v>
      </c>
      <c r="J193" s="7">
        <v>0</v>
      </c>
      <c r="K193" s="109" t="str">
        <f t="shared" si="66"/>
        <v>4039/4040</v>
      </c>
      <c r="L193" s="22" t="str">
        <f>VLOOKUP(A193,'Trips&amp;Operators'!$C$1:$E$10000,3,FALSE)</f>
        <v>BROWN</v>
      </c>
      <c r="M193" s="6">
        <f t="shared" si="67"/>
        <v>1.5196759253740311E-2</v>
      </c>
      <c r="N193" s="7">
        <f t="shared" si="68"/>
        <v>21.883333325386047</v>
      </c>
      <c r="O193" s="7"/>
      <c r="P193" s="7"/>
      <c r="Q193" s="23"/>
      <c r="R193" s="23"/>
      <c r="S193" s="35">
        <f t="shared" si="69"/>
        <v>1</v>
      </c>
      <c r="T193" s="50" t="str">
        <f t="shared" si="7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17:08:00-700',mode:absolute,to:'2016-11-17 19:32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72"/>
        <v>N</v>
      </c>
      <c r="X193" s="177">
        <f t="shared" si="80"/>
        <v>1</v>
      </c>
      <c r="Y193" s="67">
        <f t="shared" si="73"/>
        <v>5.8643000000000001</v>
      </c>
      <c r="Z193" s="67">
        <f t="shared" si="74"/>
        <v>7.2400000000000006E-2</v>
      </c>
      <c r="AA193" s="67">
        <f t="shared" si="75"/>
        <v>5.7919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76"/>
        <v>0836-17</v>
      </c>
      <c r="AE193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93" s="88" t="str">
        <f t="shared" si="78"/>
        <v>"C:\Program Files (x86)\AstroGrep\AstroGrep.exe" /spath="%USERPROFILE%\AppData\Local\Temp\OnboardLogs" /stypes="app*4039*20161118*" /stext=" 01:.+((SYSTEM_STATE.+slice.+state.+changed )|(ment ac)|(system.+state.+changed )|(\[timeout)|(PRM\|1\|D)|(kpr)|(kdp)|(\|lc)|(penalty))" /e /r /s</v>
      </c>
      <c r="AG193" s="1" t="str">
        <f t="shared" si="79"/>
        <v>NW</v>
      </c>
      <c r="AH193" s="92" t="str">
        <f t="shared" si="81"/>
        <v>"%USERPROFILE%\Documents\GitHub\eaglep3\Utilities\RefineRTDCRunTimes.py" --tripid 836-17 --locoid 4039 --swversion DE.1.0.8.0 --startMP 300:58643 --initTime 2016-11-17T18:08:00 --startdatetime 2016-11-17T18:10:36 --delay 1 --endMP 204:724 --enddatetime 2016-11-17T18:32:29 --enforcementcount 0 &gt;&gt;C:\Users\stu\Documents\GitHub\eaglep3-reporting\EC\2016-11-17-refined-times.txt</v>
      </c>
      <c r="AI19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{"issue":{"subject":"","project_id":79,"tracker_id":40,"status_id":1,"priority_id":2,"assigned_to_id":23,"start_date":"2016-11-17","description":"","custom_fields":[{"id":1,"name":"Subdivision","value":"NW"},{"id":4,"name":"Milepost","value":"0.0724"},{"id":17,"name":"Train ID","value":"836-17"},{"id":16,"name":"Locomotive ID","value":"4039"},{"id":130,"name":"Impact","value":""},{"id":150,"name":"Time of Event (Mountain Time)","value":"18:32:29"},{"id":151,"name":"Denver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587</v>
      </c>
      <c r="B194" s="7">
        <v>4018</v>
      </c>
      <c r="C194" s="22" t="s">
        <v>220</v>
      </c>
      <c r="D194" s="22" t="s">
        <v>406</v>
      </c>
      <c r="E194" s="13">
        <v>42691.760451388887</v>
      </c>
      <c r="F194" s="13">
        <v>42691.764756944445</v>
      </c>
      <c r="G194" s="7">
        <v>1</v>
      </c>
      <c r="H194" s="22" t="s">
        <v>758</v>
      </c>
      <c r="I194" s="13">
        <v>42691.768935185188</v>
      </c>
      <c r="J194" s="7">
        <v>0</v>
      </c>
      <c r="K194" s="109" t="str">
        <f t="shared" si="66"/>
        <v>4017/4018</v>
      </c>
      <c r="L194" s="22" t="str">
        <f>VLOOKUP(A194,'Trips&amp;Operators'!$C$1:$E$10000,3,FALSE)</f>
        <v>BADERTSCHER</v>
      </c>
      <c r="M194" s="6">
        <f t="shared" si="67"/>
        <v>4.1782407424761914E-3</v>
      </c>
      <c r="N194" s="7"/>
      <c r="O194" s="7"/>
      <c r="P194" s="7">
        <f t="shared" si="68"/>
        <v>6.0166666691657156</v>
      </c>
      <c r="Q194" s="23"/>
      <c r="R194" s="23" t="s">
        <v>799</v>
      </c>
      <c r="S194" s="35">
        <f t="shared" si="69"/>
        <v>1</v>
      </c>
      <c r="T194" s="50" t="str">
        <f t="shared" si="7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17:15:03-700',mode:absolute,to:'2016-11-17 19:27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4" s="52" t="str">
        <f t="shared" si="72"/>
        <v>Y</v>
      </c>
      <c r="X194" s="177">
        <f t="shared" si="80"/>
        <v>1</v>
      </c>
      <c r="Y194" s="67">
        <f t="shared" si="73"/>
        <v>0.1009</v>
      </c>
      <c r="Z194" s="67">
        <f t="shared" si="74"/>
        <v>2.4681999999999999</v>
      </c>
      <c r="AA194" s="67">
        <f t="shared" si="75"/>
        <v>2.3672999999999997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76"/>
        <v>0837-17</v>
      </c>
      <c r="AE19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4" s="88" t="str">
        <f t="shared" si="78"/>
        <v>"C:\Program Files (x86)\AstroGrep\AstroGrep.exe" /spath="%USERPROFILE%\AppData\Local\Temp\OnboardLogs" /stypes="app*4018*20161118*" /stext=" 01:.+((SYSTEM_STATE.+slice.+state.+changed )|(ment ac)|(system.+state.+changed )|(\[timeout)|(PRM\|1\|D)|(kpr)|(kdp)|(\|lc)|(penalty))" /e /r /s</v>
      </c>
      <c r="AG194" s="1" t="str">
        <f t="shared" si="79"/>
        <v>NW</v>
      </c>
      <c r="AH194" s="92" t="str">
        <f t="shared" si="81"/>
        <v>"%USERPROFILE%\Documents\GitHub\eaglep3\Utilities\RefineRTDCRunTimes.py" --tripid 837-17 --locoid 4018 --swversion DE.1.0.8.0 --startMP 204:1009 --initTime 2016-11-17T18:15:03 --startdatetime 2016-11-17T18:21:15 --delay 1 --endMP 300:24682 --enddatetime 2016-11-17T18:27:16 --enforcementcount 0 &gt;&gt;C:\Users\stu\Documents\GitHub\eaglep3-reporting\EC\2016-11-17-refined-times.txt</v>
      </c>
      <c r="AI194" s="119" t="str">
        <f t="shared" si="82"/>
        <v>echo {"issue":{"subject":"PSS contained mismatched Site Name","project_id":79,"tracker_id":40,"status_id":1,"priority_id":2,"assigned_to_id":23,"start_date":"2016-11-17","description":"SiteName should be -NW0226RH- in keeping with the Signal object in the XML file. The currently used name is -NW0226RH CRMFS CONTROL POINT MAIN HOUSE-, which is incorrectly taken from the WIUFeature","custom_fields":[{"id":1,"name":"Subdivision","value":"NW"},{"id":4,"name":"Milepost","value":"2.4682"},{"id":17,"name":"Train ID","value":"837-17"},{"id":16,"name":"Locomotive ID","value":"4018"},{"id":130,"name":"Impact","value":"Unexpected Cut-Out or Disengaged"},{"id":150,"name":"Time of Event (Mountain Time)","value":"18:27:16"},{"id":151,"name":"Denver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94" s="185" t="s">
        <v>800</v>
      </c>
      <c r="AK194" s="53" t="s">
        <v>131</v>
      </c>
      <c r="AL194" s="53" t="s">
        <v>134</v>
      </c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593</v>
      </c>
      <c r="B195" s="7">
        <v>4017</v>
      </c>
      <c r="C195" s="22" t="s">
        <v>220</v>
      </c>
      <c r="D195" s="22" t="s">
        <v>759</v>
      </c>
      <c r="E195" s="13">
        <v>42691.780706018515</v>
      </c>
      <c r="F195" s="13">
        <v>42691.782280092593</v>
      </c>
      <c r="G195" s="7">
        <v>1</v>
      </c>
      <c r="H195" s="22" t="s">
        <v>749</v>
      </c>
      <c r="I195" s="13">
        <v>42691.791863425926</v>
      </c>
      <c r="J195" s="7">
        <v>0</v>
      </c>
      <c r="K195" s="109" t="str">
        <f t="shared" si="66"/>
        <v>4017/4018</v>
      </c>
      <c r="L195" s="22" t="str">
        <f>VLOOKUP(A195,'Trips&amp;Operators'!$C$1:$E$10000,3,FALSE)</f>
        <v>BADERTSCHER</v>
      </c>
      <c r="M195" s="6">
        <f t="shared" si="67"/>
        <v>9.5833333325572312E-3</v>
      </c>
      <c r="N195" s="7">
        <f t="shared" si="68"/>
        <v>13.799999998882413</v>
      </c>
      <c r="O195" s="7"/>
      <c r="P195" s="7"/>
      <c r="Q195" s="23"/>
      <c r="R195" s="23"/>
      <c r="S195" s="35">
        <f t="shared" si="69"/>
        <v>1</v>
      </c>
      <c r="T195" s="50" t="str">
        <f t="shared" si="7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17:44:13-700',mode:absolute,to:'2016-11-17 20:00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5" s="52" t="str">
        <f t="shared" si="72"/>
        <v>N</v>
      </c>
      <c r="X195" s="177">
        <f t="shared" si="80"/>
        <v>1</v>
      </c>
      <c r="Y195" s="67">
        <f t="shared" si="73"/>
        <v>5.8648999999999996</v>
      </c>
      <c r="Z195" s="67">
        <f t="shared" si="74"/>
        <v>7.1900000000000006E-2</v>
      </c>
      <c r="AA195" s="67">
        <f t="shared" si="75"/>
        <v>5.7929999999999993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76"/>
        <v>0838-17</v>
      </c>
      <c r="AE19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5" s="88" t="str">
        <f t="shared" si="78"/>
        <v>"C:\Program Files (x86)\AstroGrep\AstroGrep.exe" /spath="%USERPROFILE%\AppData\Local\Temp\OnboardLogs" /stypes="app*4017*20161118*" /stext=" 02:.+((SYSTEM_STATE.+slice.+state.+changed )|(ment ac)|(system.+state.+changed )|(\[timeout)|(PRM\|1\|D)|(kpr)|(kdp)|(\|lc)|(penalty))" /e /r /s</v>
      </c>
      <c r="AG195" s="1" t="str">
        <f t="shared" si="79"/>
        <v>NW</v>
      </c>
      <c r="AH195" s="92" t="str">
        <f t="shared" si="81"/>
        <v>"%USERPROFILE%\Documents\GitHub\eaglep3\Utilities\RefineRTDCRunTimes.py" --tripid 838-17 --locoid 4017 --swversion DE.1.0.8.0 --startMP 300:58649 --initTime 2016-11-17T18:44:13 --startdatetime 2016-11-17T18:46:29 --delay 1 --endMP 204:719 --enddatetime 2016-11-17T19:00:17 --enforcementcount 0 &gt;&gt;C:\Users\stu\Documents\GitHub\eaglep3-reporting\EC\2016-11-17-refined-times.txt</v>
      </c>
      <c r="AI19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{"issue":{"subject":"","project_id":79,"tracker_id":40,"status_id":1,"priority_id":2,"assigned_to_id":23,"start_date":"2016-11-17","description":"","custom_fields":[{"id":1,"name":"Subdivision","value":"NW"},{"id":4,"name":"Milepost","value":"0.0719"},{"id":17,"name":"Train ID","value":"838-17"},{"id":16,"name":"Locomotive ID","value":"4017"},{"id":130,"name":"Impact","value":""},{"id":150,"name":"Time of Event (Mountain Time)","value":"19:00:17"},{"id":151,"name":"Denver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594</v>
      </c>
      <c r="B196" s="7">
        <v>4040</v>
      </c>
      <c r="C196" s="22" t="s">
        <v>220</v>
      </c>
      <c r="D196" s="22" t="s">
        <v>402</v>
      </c>
      <c r="E196" s="13">
        <v>42691.78056712963</v>
      </c>
      <c r="F196" s="13">
        <v>42691.785601851851</v>
      </c>
      <c r="G196" s="7">
        <v>1</v>
      </c>
      <c r="H196" s="22" t="s">
        <v>760</v>
      </c>
      <c r="I196" s="13">
        <v>42691.795289351852</v>
      </c>
      <c r="J196" s="7">
        <v>0</v>
      </c>
      <c r="K196" s="109" t="str">
        <f t="shared" si="66"/>
        <v>4039/4040</v>
      </c>
      <c r="L196" s="22" t="str">
        <f>VLOOKUP(A196,'Trips&amp;Operators'!$C$1:$E$10000,3,FALSE)</f>
        <v>BROWN</v>
      </c>
      <c r="M196" s="6">
        <f t="shared" si="67"/>
        <v>9.6875000017462298E-3</v>
      </c>
      <c r="N196" s="7">
        <f t="shared" si="68"/>
        <v>13.950000002514571</v>
      </c>
      <c r="O196" s="7"/>
      <c r="P196" s="7"/>
      <c r="Q196" s="23"/>
      <c r="R196" s="23"/>
      <c r="S196" s="35">
        <f t="shared" si="69"/>
        <v>1</v>
      </c>
      <c r="T196" s="50" t="str">
        <f t="shared" si="7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17:44:01-700',mode:absolute,to:'2016-11-17 20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72"/>
        <v>N</v>
      </c>
      <c r="X196" s="177">
        <f t="shared" si="80"/>
        <v>1</v>
      </c>
      <c r="Y196" s="67">
        <f t="shared" si="73"/>
        <v>0.1014</v>
      </c>
      <c r="Z196" s="67">
        <f t="shared" si="74"/>
        <v>5.8964999999999996</v>
      </c>
      <c r="AA196" s="67">
        <f t="shared" si="75"/>
        <v>5.7950999999999997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76"/>
        <v>0839-17</v>
      </c>
      <c r="AE196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96" s="88" t="str">
        <f t="shared" si="78"/>
        <v>"C:\Program Files (x86)\AstroGrep\AstroGrep.exe" /spath="%USERPROFILE%\AppData\Local\Temp\OnboardLogs" /stypes="app*4040*20161118*" /stext=" 02:.+((SYSTEM_STATE.+slice.+state.+changed )|(ment ac)|(system.+state.+changed )|(\[timeout)|(PRM\|1\|D)|(kpr)|(kdp)|(\|lc)|(penalty))" /e /r /s</v>
      </c>
      <c r="AG196" s="1" t="str">
        <f t="shared" si="79"/>
        <v>NW</v>
      </c>
      <c r="AH196" s="92" t="str">
        <f t="shared" si="81"/>
        <v>"%USERPROFILE%\Documents\GitHub\eaglep3\Utilities\RefineRTDCRunTimes.py" --tripid 839-17 --locoid 4040 --swversion DE.1.0.8.0 --startMP 204:1014 --initTime 2016-11-17T18:44:01 --startdatetime 2016-11-17T18:51:16 --delay 1 --endMP 300:58965 --enddatetime 2016-11-17T19:05:13 --enforcementcount 0 &gt;&gt;C:\Users\stu\Documents\GitHub\eaglep3-reporting\EC\2016-11-17-refined-times.txt</v>
      </c>
      <c r="AI19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{"issue":{"subject":"","project_id":79,"tracker_id":40,"status_id":1,"priority_id":2,"assigned_to_id":23,"start_date":"2016-11-17","description":"","custom_fields":[{"id":1,"name":"Subdivision","value":"NW"},{"id":4,"name":"Milepost","value":"5.8965"},{"id":17,"name":"Train ID","value":"839-17"},{"id":16,"name":"Locomotive ID","value":"4040"},{"id":130,"name":"Impact","value":""},{"id":150,"name":"Time of Event (Mountain Time)","value":"19:05:13"},{"id":151,"name":"Denver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446</v>
      </c>
      <c r="B197" s="7">
        <v>4017</v>
      </c>
      <c r="C197" s="22" t="s">
        <v>220</v>
      </c>
      <c r="D197" s="22" t="s">
        <v>761</v>
      </c>
      <c r="E197" s="13">
        <v>42691.821643518517</v>
      </c>
      <c r="F197" s="13">
        <v>42691.823240740741</v>
      </c>
      <c r="G197" s="7">
        <v>1</v>
      </c>
      <c r="H197" s="22" t="s">
        <v>752</v>
      </c>
      <c r="I197" s="13">
        <v>42691.836192129631</v>
      </c>
      <c r="J197" s="7">
        <v>0</v>
      </c>
      <c r="K197" s="109" t="str">
        <f t="shared" si="66"/>
        <v>4017/4018</v>
      </c>
      <c r="L197" s="22" t="str">
        <f>VLOOKUP(A197,'Trips&amp;Operators'!$C$1:$E$10000,3,FALSE)</f>
        <v>BADERTSCHER</v>
      </c>
      <c r="M197" s="6">
        <f t="shared" si="67"/>
        <v>1.2951388889632653E-2</v>
      </c>
      <c r="N197" s="7">
        <f t="shared" si="68"/>
        <v>18.650000001071021</v>
      </c>
      <c r="O197" s="7"/>
      <c r="P197" s="7"/>
      <c r="Q197" s="23"/>
      <c r="R197" s="23"/>
      <c r="S197" s="35">
        <f t="shared" si="69"/>
        <v>1</v>
      </c>
      <c r="T197" s="50" t="str">
        <f t="shared" si="7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18:43:10-700',mode:absolute,to:'2016-11-17 21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2" t="str">
        <f t="shared" si="72"/>
        <v>N</v>
      </c>
      <c r="X197" s="177">
        <f t="shared" si="80"/>
        <v>1</v>
      </c>
      <c r="Y197" s="67">
        <f t="shared" si="73"/>
        <v>5.8615000000000004</v>
      </c>
      <c r="Z197" s="67">
        <f t="shared" si="74"/>
        <v>7.3800000000000004E-2</v>
      </c>
      <c r="AA197" s="67">
        <f t="shared" si="75"/>
        <v>5.7877000000000001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76"/>
        <v>0840-17</v>
      </c>
      <c r="AE19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7" s="88" t="str">
        <f t="shared" si="78"/>
        <v>"C:\Program Files (x86)\AstroGrep\AstroGrep.exe" /spath="%USERPROFILE%\AppData\Local\Temp\OnboardLogs" /stypes="app*4017*20161118*" /stext=" 03:.+((SYSTEM_STATE.+slice.+state.+changed )|(ment ac)|(system.+state.+changed )|(\[timeout)|(PRM\|1\|D)|(kpr)|(kdp)|(\|lc)|(penalty))" /e /r /s</v>
      </c>
      <c r="AG197" s="1" t="str">
        <f t="shared" si="79"/>
        <v>NW</v>
      </c>
      <c r="AH197" s="92" t="str">
        <f t="shared" si="81"/>
        <v>"%USERPROFILE%\Documents\GitHub\eaglep3\Utilities\RefineRTDCRunTimes.py" --tripid 840-17 --locoid 4017 --swversion DE.1.0.8.0 --startMP 300:58615 --initTime 2016-11-17T19:43:10 --startdatetime 2016-11-17T19:45:28 --delay 1 --endMP 204:738 --enddatetime 2016-11-17T20:04:07 --enforcementcount 0 &gt;&gt;C:\Users\stu\Documents\GitHub\eaglep3-reporting\EC\2016-11-17-refined-times.txt</v>
      </c>
      <c r="AI19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{"issue":{"subject":"","project_id":79,"tracker_id":40,"status_id":1,"priority_id":2,"assigned_to_id":23,"start_date":"2016-11-17","description":"","custom_fields":[{"id":1,"name":"Subdivision","value":"NW"},{"id":4,"name":"Milepost","value":"0.0738"},{"id":17,"name":"Train ID","value":"840-17"},{"id":16,"name":"Locomotive ID","value":"4017"},{"id":130,"name":"Impact","value":""},{"id":150,"name":"Time of Event (Mountain Time)","value":"20:04:07"},{"id":151,"name":"Denver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445</v>
      </c>
      <c r="B198" s="7">
        <v>4018</v>
      </c>
      <c r="C198" s="22" t="s">
        <v>220</v>
      </c>
      <c r="D198" s="22" t="s">
        <v>762</v>
      </c>
      <c r="E198" s="13">
        <v>42691.793912037036</v>
      </c>
      <c r="F198" s="13">
        <v>42691.806446759256</v>
      </c>
      <c r="G198" s="7">
        <v>1</v>
      </c>
      <c r="H198" s="22" t="s">
        <v>286</v>
      </c>
      <c r="I198" s="13">
        <v>42691.817870370367</v>
      </c>
      <c r="J198" s="7">
        <v>0</v>
      </c>
      <c r="K198" s="109" t="str">
        <f t="shared" si="66"/>
        <v>4017/4018</v>
      </c>
      <c r="L198" s="22" t="str">
        <f>VLOOKUP(A198,'Trips&amp;Operators'!$C$1:$E$10000,3,FALSE)</f>
        <v>BADERTSCHER</v>
      </c>
      <c r="M198" s="6">
        <f t="shared" si="67"/>
        <v>1.1423611111240461E-2</v>
      </c>
      <c r="N198" s="7">
        <f t="shared" si="68"/>
        <v>16.450000000186265</v>
      </c>
      <c r="O198" s="7"/>
      <c r="P198" s="7"/>
      <c r="Q198" s="23"/>
      <c r="R198" s="23"/>
      <c r="S198" s="35">
        <f t="shared" si="69"/>
        <v>1</v>
      </c>
      <c r="T198" s="50" t="str">
        <f t="shared" si="7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8" s="52" t="str">
        <f t="shared" si="72"/>
        <v>N</v>
      </c>
      <c r="X198" s="177">
        <f t="shared" si="80"/>
        <v>1</v>
      </c>
      <c r="Y198" s="67">
        <f t="shared" si="73"/>
        <v>9.9699999999999997E-2</v>
      </c>
      <c r="Z198" s="67">
        <f t="shared" si="74"/>
        <v>5.8935000000000004</v>
      </c>
      <c r="AA198" s="67">
        <f t="shared" si="75"/>
        <v>5.7938000000000001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76"/>
        <v>0841-17</v>
      </c>
      <c r="AE19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8" s="88" t="str">
        <f t="shared" si="78"/>
        <v>"C:\Program Files (x86)\AstroGrep\AstroGrep.exe" /spath="%USERPROFILE%\AppData\Local\Temp\OnboardLogs" /stypes="app*4018*20161118*" /stext=" 02:.+((SYSTEM_STATE.+slice.+state.+changed )|(ment ac)|(system.+state.+changed )|(\[timeout)|(PRM\|1\|D)|(kpr)|(kdp)|(\|lc)|(penalty))" /e /r /s</v>
      </c>
      <c r="AG198" s="1" t="str">
        <f t="shared" si="79"/>
        <v>NW</v>
      </c>
      <c r="AH198" s="92" t="str">
        <f t="shared" si="81"/>
        <v>"%USERPROFILE%\Documents\GitHub\eaglep3\Utilities\RefineRTDCRunTimes.py" --tripid 841-17 --locoid 4018 --swversion DE.1.0.8.0 --startMP 204:997 --initTime 2016-11-17T19:03:14 --startdatetime 2016-11-17T19:21:17 --delay 1 --endMP 300:58935 --enddatetime 2016-11-17T19:37:44 --enforcementcount 0 &gt;&gt;C:\Users\stu\Documents\GitHub\eaglep3-reporting\EC\2016-11-17-refined-times.txt</v>
      </c>
      <c r="AI19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{"issue":{"subject":"","project_id":79,"tracker_id":40,"status_id":1,"priority_id":2,"assigned_to_id":23,"start_date":"2016-11-17","description":"","custom_fields":[{"id":1,"name":"Subdivision","value":"NW"},{"id":4,"name":"Milepost","value":"5.8935"},{"id":17,"name":"Train ID","value":"841-17"},{"id":16,"name":"Locomotive ID","value":"4018"},{"id":130,"name":"Impact","value":""},{"id":150,"name":"Time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607</v>
      </c>
      <c r="B199" s="7">
        <v>4017</v>
      </c>
      <c r="C199" s="22" t="s">
        <v>220</v>
      </c>
      <c r="D199" s="22" t="s">
        <v>754</v>
      </c>
      <c r="E199" s="13">
        <v>42691.858576388891</v>
      </c>
      <c r="F199" s="13">
        <v>42691.859780092593</v>
      </c>
      <c r="G199" s="7">
        <v>1</v>
      </c>
      <c r="H199" s="22" t="s">
        <v>763</v>
      </c>
      <c r="I199" s="13">
        <v>42691.871145833335</v>
      </c>
      <c r="J199" s="7">
        <v>0</v>
      </c>
      <c r="K199" s="109" t="str">
        <f t="shared" si="66"/>
        <v>4017/4018</v>
      </c>
      <c r="L199" s="22" t="str">
        <f>VLOOKUP(A199,'Trips&amp;Operators'!$C$1:$E$10000,3,FALSE)</f>
        <v>BADERTSCHER</v>
      </c>
      <c r="M199" s="6">
        <f t="shared" si="67"/>
        <v>1.1365740741894115E-2</v>
      </c>
      <c r="N199" s="7">
        <f t="shared" si="68"/>
        <v>16.366666668327525</v>
      </c>
      <c r="O199" s="7"/>
      <c r="P199" s="7"/>
      <c r="Q199" s="23"/>
      <c r="R199" s="23"/>
      <c r="S199" s="35">
        <f t="shared" si="69"/>
        <v>1</v>
      </c>
      <c r="T199" s="50" t="str">
        <f t="shared" si="7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19:36:21-700',mode:absolute,to:'2016-11-17 21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9" s="52" t="str">
        <f t="shared" si="72"/>
        <v>N</v>
      </c>
      <c r="X199" s="177">
        <f t="shared" si="80"/>
        <v>1</v>
      </c>
      <c r="Y199" s="67">
        <f t="shared" si="73"/>
        <v>5.8620999999999999</v>
      </c>
      <c r="Z199" s="67">
        <f t="shared" si="74"/>
        <v>7.4300000000000005E-2</v>
      </c>
      <c r="AA199" s="67">
        <f t="shared" si="75"/>
        <v>5.7877999999999998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76"/>
        <v>0842-17</v>
      </c>
      <c r="AE19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9" s="88" t="str">
        <f t="shared" si="78"/>
        <v>"C:\Program Files (x86)\AstroGrep\AstroGrep.exe" /spath="%USERPROFILE%\AppData\Local\Temp\OnboardLogs" /stypes="app*4017*20161118*" /stext=" 03:.+((SYSTEM_STATE.+slice.+state.+changed )|(ment ac)|(system.+state.+changed )|(\[timeout)|(PRM\|1\|D)|(kpr)|(kdp)|(\|lc)|(penalty))" /e /r /s</v>
      </c>
      <c r="AG199" s="1" t="str">
        <f t="shared" si="79"/>
        <v>NW</v>
      </c>
      <c r="AH199" s="92" t="str">
        <f t="shared" si="81"/>
        <v>"%USERPROFILE%\Documents\GitHub\eaglep3\Utilities\RefineRTDCRunTimes.py" --tripid 842-17 --locoid 4017 --swversion DE.1.0.8.0 --startMP 300:58621 --initTime 2016-11-17T20:36:21 --startdatetime 2016-11-17T20:38:05 --delay 1 --endMP 204:743 --enddatetime 2016-11-17T20:54:27 --enforcementcount 0 &gt;&gt;C:\Users\stu\Documents\GitHub\eaglep3-reporting\EC\2016-11-17-refined-times.txt</v>
      </c>
      <c r="AI19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{"issue":{"subject":"","project_id":79,"tracker_id":40,"status_id":1,"priority_id":2,"assigned_to_id":23,"start_date":"2016-11-17","description":"","custom_fields":[{"id":1,"name":"Subdivision","value":"NW"},{"id":4,"name":"Milepost","value":"0.0743"},{"id":17,"name":"Train ID","value":"842-17"},{"id":16,"name":"Locomotive ID","value":"4017"},{"id":130,"name":"Impact","value":""},{"id":150,"name":"Time of Event (Mountain Time)","value":"20:54:27"},{"id":151,"name":"Denver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605</v>
      </c>
      <c r="B200" s="7">
        <v>4018</v>
      </c>
      <c r="C200" s="22" t="s">
        <v>220</v>
      </c>
      <c r="D200" s="22" t="s">
        <v>333</v>
      </c>
      <c r="E200" s="13">
        <v>42691.845370370371</v>
      </c>
      <c r="F200" s="13">
        <v>42691.848287037035</v>
      </c>
      <c r="G200" s="7">
        <v>1</v>
      </c>
      <c r="H200" s="22" t="s">
        <v>764</v>
      </c>
      <c r="I200" s="13">
        <v>42691.857361111113</v>
      </c>
      <c r="J200" s="7">
        <v>0</v>
      </c>
      <c r="K200" s="109" t="str">
        <f t="shared" si="66"/>
        <v>4017/4018</v>
      </c>
      <c r="L200" s="22" t="str">
        <f>VLOOKUP(A200,'Trips&amp;Operators'!$C$1:$E$10000,3,FALSE)</f>
        <v>BADERTSCHER</v>
      </c>
      <c r="M200" s="6">
        <f t="shared" si="67"/>
        <v>9.0740740779438056E-3</v>
      </c>
      <c r="N200" s="7">
        <f t="shared" si="68"/>
        <v>13.06666667223908</v>
      </c>
      <c r="O200" s="7"/>
      <c r="P200" s="7"/>
      <c r="Q200" s="23"/>
      <c r="R200" s="23"/>
      <c r="S200" s="35">
        <f t="shared" si="69"/>
        <v>1</v>
      </c>
      <c r="T200" s="50" t="str">
        <f t="shared" si="7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19:17:20-700',mode:absolute,to:'2016-11-17 21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0" s="52" t="str">
        <f t="shared" si="72"/>
        <v>N</v>
      </c>
      <c r="X200" s="177">
        <f t="shared" si="80"/>
        <v>1</v>
      </c>
      <c r="Y200" s="67">
        <f t="shared" si="73"/>
        <v>0.1011</v>
      </c>
      <c r="Z200" s="67">
        <f t="shared" si="74"/>
        <v>5.8928000000000003</v>
      </c>
      <c r="AA200" s="67">
        <f t="shared" si="75"/>
        <v>5.7917000000000005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76"/>
        <v>0843-17</v>
      </c>
      <c r="AE20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0" s="88" t="str">
        <f t="shared" si="78"/>
        <v>"C:\Program Files (x86)\AstroGrep\AstroGrep.exe" /spath="%USERPROFILE%\AppData\Local\Temp\OnboardLogs" /stypes="app*4018*20161118*" /stext=" 03:.+((SYSTEM_STATE.+slice.+state.+changed )|(ment ac)|(system.+state.+changed )|(\[timeout)|(PRM\|1\|D)|(kpr)|(kdp)|(\|lc)|(penalty))" /e /r /s</v>
      </c>
      <c r="AG200" s="1" t="str">
        <f t="shared" si="79"/>
        <v>NW</v>
      </c>
      <c r="AH200" s="92" t="str">
        <f t="shared" si="81"/>
        <v>"%USERPROFILE%\Documents\GitHub\eaglep3\Utilities\RefineRTDCRunTimes.py" --tripid 843-17 --locoid 4018 --swversion DE.1.0.8.0 --startMP 204:1011 --initTime 2016-11-17T20:17:20 --startdatetime 2016-11-17T20:21:32 --delay 1 --endMP 300:58928 --enddatetime 2016-11-17T20:34:36 --enforcementcount 0 &gt;&gt;C:\Users\stu\Documents\GitHub\eaglep3-reporting\EC\2016-11-17-refined-times.txt</v>
      </c>
      <c r="AI20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{"issue":{"subject":"","project_id":79,"tracker_id":40,"status_id":1,"priority_id":2,"assigned_to_id":23,"start_date":"2016-11-17","description":"","custom_fields":[{"id":1,"name":"Subdivision","value":"NW"},{"id":4,"name":"Milepost","value":"5.8928"},{"id":17,"name":"Train ID","value":"843-17"},{"id":16,"name":"Locomotive ID","value":"4018"},{"id":130,"name":"Impact","value":""},{"id":150,"name":"Time of Event (Mountain Time)","value":"20:34:36"},{"id":151,"name":"Denver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612</v>
      </c>
      <c r="B201" s="7">
        <v>4017</v>
      </c>
      <c r="C201" s="22" t="s">
        <v>220</v>
      </c>
      <c r="D201" s="22" t="s">
        <v>751</v>
      </c>
      <c r="E201" s="13">
        <v>42691.901365740741</v>
      </c>
      <c r="F201" s="13">
        <v>42691.903078703705</v>
      </c>
      <c r="G201" s="7">
        <v>1</v>
      </c>
      <c r="H201" s="22" t="s">
        <v>408</v>
      </c>
      <c r="I201" s="13">
        <v>42691.913078703707</v>
      </c>
      <c r="J201" s="7">
        <v>0</v>
      </c>
      <c r="K201" s="109" t="str">
        <f t="shared" si="66"/>
        <v>4017/4018</v>
      </c>
      <c r="L201" s="22" t="str">
        <f>VLOOKUP(A201,'Trips&amp;Operators'!$C$1:$E$10000,3,FALSE)</f>
        <v>BROWN</v>
      </c>
      <c r="M201" s="6">
        <f t="shared" si="67"/>
        <v>1.0000000002037268E-2</v>
      </c>
      <c r="N201" s="7">
        <f t="shared" si="68"/>
        <v>14.400000002933666</v>
      </c>
      <c r="O201" s="7"/>
      <c r="P201" s="7"/>
      <c r="Q201" s="23"/>
      <c r="R201" s="23"/>
      <c r="S201" s="35">
        <f t="shared" si="69"/>
        <v>1</v>
      </c>
      <c r="T201" s="50" t="str">
        <f t="shared" si="7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20:37:58-700',mode:absolute,to:'2016-11-17 22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1" s="52" t="str">
        <f t="shared" si="72"/>
        <v>N</v>
      </c>
      <c r="X201" s="177">
        <f t="shared" si="80"/>
        <v>1</v>
      </c>
      <c r="Y201" s="67">
        <f t="shared" si="73"/>
        <v>5.8634000000000004</v>
      </c>
      <c r="Z201" s="67">
        <f t="shared" si="74"/>
        <v>7.22E-2</v>
      </c>
      <c r="AA201" s="67">
        <f t="shared" si="75"/>
        <v>5.7912000000000008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76"/>
        <v>0844-17</v>
      </c>
      <c r="AE20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201" s="88" t="str">
        <f t="shared" si="78"/>
        <v>"C:\Program Files (x86)\AstroGrep\AstroGrep.exe" /spath="%USERPROFILE%\AppData\Local\Temp\OnboardLogs" /stypes="app*4017*20161118*" /stext=" 04:.+((SYSTEM_STATE.+slice.+state.+changed )|(ment ac)|(system.+state.+changed )|(\[timeout)|(PRM\|1\|D)|(kpr)|(kdp)|(\|lc)|(penalty))" /e /r /s</v>
      </c>
      <c r="AG201" s="1" t="str">
        <f t="shared" si="79"/>
        <v>NW</v>
      </c>
      <c r="AH201" s="92" t="str">
        <f t="shared" si="81"/>
        <v>"%USERPROFILE%\Documents\GitHub\eaglep3\Utilities\RefineRTDCRunTimes.py" --tripid 844-17 --locoid 4017 --swversion DE.1.0.8.0 --startMP 300:58634 --initTime 2016-11-17T21:37:58 --startdatetime 2016-11-17T21:40:26 --delay 1 --endMP 204:722 --enddatetime 2016-11-17T21:54:50 --enforcementcount 0 &gt;&gt;C:\Users\stu\Documents\GitHub\eaglep3-reporting\EC\2016-11-17-refined-times.txt</v>
      </c>
      <c r="AI20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{"issue":{"subject":"","project_id":79,"tracker_id":40,"status_id":1,"priority_id":2,"assigned_to_id":23,"start_date":"2016-11-17","description":"","custom_fields":[{"id":1,"name":"Subdivision","value":"NW"},{"id":4,"name":"Milepost","value":"0.0722"},{"id":17,"name":"Train ID","value":"844-17"},{"id":16,"name":"Locomotive ID","value":"4017"},{"id":130,"name":"Impact","value":""},{"id":150,"name":"Time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610</v>
      </c>
      <c r="B202" s="7">
        <v>4018</v>
      </c>
      <c r="C202" s="22" t="s">
        <v>220</v>
      </c>
      <c r="D202" s="22" t="s">
        <v>765</v>
      </c>
      <c r="E202" s="13">
        <v>42691.875567129631</v>
      </c>
      <c r="F202" s="13">
        <v>42691.889780092592</v>
      </c>
      <c r="G202" s="7">
        <v>1</v>
      </c>
      <c r="H202" s="22" t="s">
        <v>766</v>
      </c>
      <c r="I202" s="13">
        <v>42691.899837962963</v>
      </c>
      <c r="J202" s="7">
        <v>0</v>
      </c>
      <c r="K202" s="109" t="str">
        <f t="shared" si="66"/>
        <v>4017/4018</v>
      </c>
      <c r="L202" s="22" t="str">
        <f>VLOOKUP(A202,'Trips&amp;Operators'!$C$1:$E$10000,3,FALSE)</f>
        <v>BROWN</v>
      </c>
      <c r="M202" s="6">
        <f t="shared" si="67"/>
        <v>1.0057870371383615E-2</v>
      </c>
      <c r="N202" s="7">
        <f t="shared" si="68"/>
        <v>14.483333334792405</v>
      </c>
      <c r="O202" s="7"/>
      <c r="P202" s="7"/>
      <c r="Q202" s="23"/>
      <c r="R202" s="23"/>
      <c r="S202" s="35">
        <f t="shared" si="69"/>
        <v>1</v>
      </c>
      <c r="T202" s="50" t="str">
        <f t="shared" si="7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20:00:49-700',mode:absolute,to:'2016-11-17 22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2" s="52" t="str">
        <f t="shared" si="72"/>
        <v>N</v>
      </c>
      <c r="X202" s="177">
        <f t="shared" si="80"/>
        <v>1</v>
      </c>
      <c r="Y202" s="67">
        <f t="shared" si="73"/>
        <v>0.10249999999999999</v>
      </c>
      <c r="Z202" s="67">
        <f t="shared" si="74"/>
        <v>5.8960999999999997</v>
      </c>
      <c r="AA202" s="67">
        <f t="shared" si="75"/>
        <v>5.7935999999999996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76"/>
        <v>0845-17</v>
      </c>
      <c r="AE20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2" s="88" t="str">
        <f t="shared" si="78"/>
        <v>"C:\Program Files (x86)\AstroGrep\AstroGrep.exe" /spath="%USERPROFILE%\AppData\Local\Temp\OnboardLogs" /stypes="app*4018*20161118*" /stext=" 04:.+((SYSTEM_STATE.+slice.+state.+changed )|(ment ac)|(system.+state.+changed )|(\[timeout)|(PRM\|1\|D)|(kpr)|(kdp)|(\|lc)|(penalty))" /e /r /s</v>
      </c>
      <c r="AG202" s="1" t="str">
        <f t="shared" si="79"/>
        <v>NW</v>
      </c>
      <c r="AH202" s="92" t="str">
        <f t="shared" si="81"/>
        <v>"%USERPROFILE%\Documents\GitHub\eaglep3\Utilities\RefineRTDCRunTimes.py" --tripid 845-17 --locoid 4018 --swversion DE.1.0.8.0 --startMP 204:1025 --initTime 2016-11-17T21:00:49 --startdatetime 2016-11-17T21:21:17 --delay 1 --endMP 300:58961 --enddatetime 2016-11-17T21:35:46 --enforcementcount 0 &gt;&gt;C:\Users\stu\Documents\GitHub\eaglep3-reporting\EC\2016-11-17-refined-times.txt</v>
      </c>
      <c r="AI20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{"issue":{"subject":"","project_id":79,"tracker_id":40,"status_id":1,"priority_id":2,"assigned_to_id":23,"start_date":"2016-11-17","description":"","custom_fields":[{"id":1,"name":"Subdivision","value":"NW"},{"id":4,"name":"Milepost","value":"5.8961"},{"id":17,"name":"Train ID","value":"845-17"},{"id":16,"name":"Locomotive ID","value":"4018"},{"id":130,"name":"Impact","value":""},{"id":150,"name":"Time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615</v>
      </c>
      <c r="B203" s="7">
        <v>4018</v>
      </c>
      <c r="C203" s="22" t="s">
        <v>220</v>
      </c>
      <c r="D203" s="22" t="s">
        <v>765</v>
      </c>
      <c r="E203" s="13">
        <v>42691.875567129631</v>
      </c>
      <c r="F203" s="13">
        <v>42691.931423611109</v>
      </c>
      <c r="G203" s="7">
        <v>1</v>
      </c>
      <c r="H203" s="22" t="s">
        <v>766</v>
      </c>
      <c r="I203" s="13">
        <v>42691.940474537034</v>
      </c>
      <c r="J203" s="7">
        <v>0</v>
      </c>
      <c r="K203" s="109" t="str">
        <f t="shared" ref="K203" si="138">IF(ISEVEN(B203),(B203-1)&amp;"/"&amp;B203,B203&amp;"/"&amp;(B203+1))</f>
        <v>4017/4018</v>
      </c>
      <c r="L203" s="22" t="str">
        <f>VLOOKUP(A203,'Trips&amp;Operators'!$C$1:$E$10000,3,FALSE)</f>
        <v>BROWN</v>
      </c>
      <c r="M203" s="6">
        <f t="shared" ref="M203" si="139">I203-F203</f>
        <v>9.0509259243845008E-3</v>
      </c>
      <c r="N203" s="7">
        <f t="shared" si="68"/>
        <v>13.033333331113681</v>
      </c>
      <c r="O203" s="7"/>
      <c r="P203" s="7"/>
      <c r="Q203" s="23"/>
      <c r="R203" s="23"/>
      <c r="S203" s="35">
        <f t="shared" ref="S203" si="140">SUM(U203:U203)/IF(AG203="EC",12,1)</f>
        <v>1</v>
      </c>
      <c r="T203" s="50" t="str">
        <f t="shared" ref="T203" si="141"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" si="142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https://search-rtdc-monitor-bjffxe2xuh6vdkpspy63sjmuny.us-east-1.es.amazonaws.com/_plugin/kibana/#/discover/Steve-Slow-Train-Analysis-(2080s-and-2083s)?_g=(refreshInterval:(display:Off,section:0,value:0),time:(from:'2016-11-17 20:00:49-700',mode:absolute,to:'2016-11-17 23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3" s="52" t="str">
        <f t="shared" ref="W203" si="143">IF(AA203&lt;IF(AG203="EC",23,5.65),"Y","N")</f>
        <v>N</v>
      </c>
      <c r="X203" s="177">
        <f t="shared" ref="X203" si="144">VALUE(LEFT(AD203,4))-VALUE(LEFT(AD202,4))</f>
        <v>2</v>
      </c>
      <c r="Y203" s="67">
        <f t="shared" ref="Y203" si="145">RIGHT(D203,LEN(D203)-4)/10000</f>
        <v>0.10249999999999999</v>
      </c>
      <c r="Z203" s="67">
        <f t="shared" ref="Z203" si="146">RIGHT(H203,LEN(H203)-4)/10000</f>
        <v>5.8960999999999997</v>
      </c>
      <c r="AA203" s="67">
        <f t="shared" ref="AA203" si="147">ABS(Z203-Y203)</f>
        <v>5.7935999999999996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ref="AD203" si="148">IF(LEN(A203)=6,"0"&amp;A203,A203)</f>
        <v>0847-17</v>
      </c>
      <c r="AE203" s="91" t="str">
        <f t="shared" ref="AE203" si="14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3" s="88" t="str">
        <f t="shared" ref="AF203" si="150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/stypes="app*4018*20161118*" /stext=" 05:.+((SYSTEM_STATE.+slice.+state.+changed )|(ment ac)|(system.+state.+changed )|(\[timeout)|(PRM\|1\|D)|(kpr)|(kdp)|(\|lc)|(penalty))" /e /r /s</v>
      </c>
      <c r="AG203" s="1" t="str">
        <f t="shared" ref="AG203" si="151">IFERROR(IF(VALUE(LEFT(AD203,2))&lt;=2,"EC",IF(OR(VALUE(LEFT(AD203,2))=8,VALUE(LEFT(AD203,2))=18),"NW","Other")),"Other")</f>
        <v>NW</v>
      </c>
      <c r="AH203" s="92" t="str">
        <f t="shared" ref="AH203" si="15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847-17 --locoid 4018 --swversion DE.1.0.8.0 --startMP 204:1025 --initTime 2016-11-17T21:00:49 --startdatetime 2016-11-17T22:21:15 --delay 1 --endMP 300:58961 --enddatetime 2016-11-17T22:34:17 --enforcementcount 0 &gt;&gt;C:\Users\stu\Documents\GitHub\eaglep3-reporting\EC\2016-11-17-refined-times.txt</v>
      </c>
      <c r="AI203" s="119" t="str">
        <f t="shared" ref="AI203" si="15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{"issue":{"subject":"","project_id":79,"tracker_id":40,"status_id":1,"priority_id":2,"assigned_to_id":23,"start_date":"2016-11-17","description":"","custom_fields":[{"id":1,"name":"Subdivision","value":"NW"},{"id":4,"name":"Milepost","value":"5.8961"},{"id":17,"name":"Train ID","value":"847-17"},{"id":16,"name":"Locomotive ID","value":"4018"},{"id":130,"name":"Impact","value":""},{"id":150,"name":"Time of Event (Mountain Time)","value":"22:34:17"},{"id":151,"name":"Denver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451</v>
      </c>
      <c r="B204" s="7">
        <v>4032</v>
      </c>
      <c r="C204" s="22" t="s">
        <v>220</v>
      </c>
      <c r="D204" s="22" t="s">
        <v>712</v>
      </c>
      <c r="E204" s="13">
        <v>42691.126307870371</v>
      </c>
      <c r="F204" s="13">
        <v>42691.12771990741</v>
      </c>
      <c r="G204" s="7">
        <v>1</v>
      </c>
      <c r="H204" s="22" t="s">
        <v>197</v>
      </c>
      <c r="I204" s="13">
        <v>42691.133553240739</v>
      </c>
      <c r="J204" s="7">
        <v>0</v>
      </c>
      <c r="K204" s="109" t="str">
        <f t="shared" si="66"/>
        <v>4031/4032</v>
      </c>
      <c r="L204" s="22" t="str">
        <f>VLOOKUP(A204,'Trips&amp;Operators'!$C$1:$E$10000,3,FALSE)</f>
        <v>MAELZER</v>
      </c>
      <c r="M204" s="6">
        <f t="shared" si="67"/>
        <v>5.8333333290647715E-3</v>
      </c>
      <c r="N204" s="7">
        <f t="shared" si="68"/>
        <v>8.399999993853271</v>
      </c>
      <c r="O204" s="7"/>
      <c r="P204" s="7"/>
      <c r="Q204" s="23"/>
      <c r="R204" s="23"/>
      <c r="S204" s="35">
        <f t="shared" si="69"/>
        <v>1</v>
      </c>
      <c r="T204" s="50" t="str">
        <f t="shared" si="7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02:01:53-700',mode:absolute,to:'2016-11-17 04:12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52" t="str">
        <f t="shared" si="72"/>
        <v>Y</v>
      </c>
      <c r="X204" s="177">
        <f>VALUE(LEFT(AD204,4))-VALUE(LEFT(AD202,4))</f>
        <v>-543</v>
      </c>
      <c r="Y204" s="67">
        <f t="shared" si="73"/>
        <v>2.3123999999999998</v>
      </c>
      <c r="Z204" s="67">
        <f t="shared" si="74"/>
        <v>1.43E-2</v>
      </c>
      <c r="AA204" s="67">
        <f t="shared" si="75"/>
        <v>2.2980999999999998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76"/>
        <v>0302-17</v>
      </c>
      <c r="AE204" s="91" t="str">
        <f t="shared" si="77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204" s="88" t="str">
        <f t="shared" si="78"/>
        <v>"C:\Program Files (x86)\AstroGrep\AstroGrep.exe" /spath="%USERPROFILE%\AppData\Local\Temp\OnboardLogs" /stypes="app*4032*20161117*" /stext=" 10:.+((SYSTEM_STATE.+slice.+state.+changed )|(ment ac)|(system.+state.+changed )|(\[timeout)|(PRM\|1\|D)|(kpr)|(kdp)|(\|lc)|(penalty))" /e /r /s</v>
      </c>
      <c r="AG204" s="1" t="str">
        <f t="shared" si="79"/>
        <v>Other</v>
      </c>
      <c r="AH204" s="92" t="str">
        <f t="shared" si="81"/>
        <v>"%USERPROFILE%\Documents\GitHub\eaglep3\Utilities\RefineRTDCRunTimes.py" --tripid 302-17 --locoid 4032 --swversion DE.1.0.8.0 --startMP 300:23124 --initTime 2016-11-17T03:01:53 --startdatetime 2016-11-17T03:03:55 --delay 1 --endMP 204:143 --enddatetime 2016-11-17T03:12:19 --enforcementcount 0 &gt;&gt;C:\Users\stu\Documents\GitHub\eaglep3-reporting\EC\2016-11-17-refined-times.txt</v>
      </c>
      <c r="AI204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{"issue":{"subject":"","project_id":79,"tracker_id":40,"status_id":1,"priority_id":2,"assigned_to_id":23,"start_date":"2016-11-17","description":"","custom_fields":[{"id":1,"name":"Subdivision","value":"Other"},{"id":4,"name":"Milepost","value":"0.0143"},{"id":17,"name":"Train ID","value":"302-17"},{"id":16,"name":"Locomotive ID","value":"4032"},{"id":130,"name":"Impact","value":""},{"id":150,"name":"Time of Event (Mountain Time)","value":"03:12:19"},{"id":151,"name":"Denver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591</v>
      </c>
      <c r="B205" s="7">
        <v>4042</v>
      </c>
      <c r="C205" s="22" t="s">
        <v>220</v>
      </c>
      <c r="D205" s="22" t="s">
        <v>201</v>
      </c>
      <c r="E205" s="13">
        <v>42691.777650462966</v>
      </c>
      <c r="F205" s="13">
        <v>25568.708333333332</v>
      </c>
      <c r="G205" s="7">
        <v>1</v>
      </c>
      <c r="H205" s="22" t="s">
        <v>713</v>
      </c>
      <c r="I205" s="13">
        <v>25568.708333333332</v>
      </c>
      <c r="J205" s="7">
        <v>0</v>
      </c>
      <c r="K205" s="109" t="str">
        <f t="shared" si="66"/>
        <v>4041/4042</v>
      </c>
      <c r="L205" s="22" t="str">
        <f>VLOOKUP(A205,'Trips&amp;Operators'!$C$1:$E$10000,3,FALSE)</f>
        <v>LALONDE</v>
      </c>
      <c r="M205" s="6">
        <f t="shared" si="67"/>
        <v>0</v>
      </c>
      <c r="N205" s="7">
        <f t="shared" si="68"/>
        <v>0</v>
      </c>
      <c r="O205" s="7"/>
      <c r="P205" s="7"/>
      <c r="Q205" s="23"/>
      <c r="R205" s="23"/>
      <c r="S205" s="35">
        <f t="shared" si="69"/>
        <v>1</v>
      </c>
      <c r="T205" s="50" t="str">
        <f t="shared" si="70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17:39:49-700',mode:absolute,to:'1969-12-31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72"/>
        <v>Y</v>
      </c>
      <c r="X205" s="177">
        <f t="shared" si="80"/>
        <v>1</v>
      </c>
      <c r="Y205" s="67">
        <f t="shared" si="73"/>
        <v>4.5100000000000001E-2</v>
      </c>
      <c r="Z205" s="67">
        <f t="shared" si="74"/>
        <v>2.3311999999999999</v>
      </c>
      <c r="AA205" s="67">
        <f t="shared" si="75"/>
        <v>2.2860999999999998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76"/>
        <v>0303-17</v>
      </c>
      <c r="AE205" s="91" t="str">
        <f t="shared" si="7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si="78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05" s="1" t="str">
        <f t="shared" si="79"/>
        <v>Other</v>
      </c>
      <c r="AH205" s="92" t="str">
        <f t="shared" si="81"/>
        <v>"%USERPROFILE%\Documents\GitHub\eaglep3\Utilities\RefineRTDCRunTimes.py" --tripid 303-17 --locoid 4042 --swversion DE.1.0.8.0 --startMP 204:451 --initTime 2016-11-17T18:39:49 --startdatetime 1969-12-31T17:00:00 --delay 1 --endMP 300:23312 --enddatetime 1969-12-31T17:00:00 --enforcementcount 0 &gt;&gt;C:\Users\stu\Documents\GitHub\eaglep3-reporting\EC\2016-11-17-refined-times.txt</v>
      </c>
      <c r="AI205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452</v>
      </c>
      <c r="B206" s="7">
        <v>4013</v>
      </c>
      <c r="C206" s="22" t="s">
        <v>220</v>
      </c>
      <c r="D206" s="22" t="s">
        <v>714</v>
      </c>
      <c r="E206" s="13">
        <v>42691.140520833331</v>
      </c>
      <c r="F206" s="13">
        <v>42691.142002314817</v>
      </c>
      <c r="G206" s="7">
        <v>1</v>
      </c>
      <c r="H206" s="22" t="s">
        <v>234</v>
      </c>
      <c r="I206" s="13">
        <v>42691.148043981484</v>
      </c>
      <c r="J206" s="7">
        <v>0</v>
      </c>
      <c r="K206" s="109" t="str">
        <f t="shared" si="66"/>
        <v>4013/4014</v>
      </c>
      <c r="L206" s="22" t="str">
        <f>VLOOKUP(A206,'Trips&amp;Operators'!$C$1:$E$10000,3,FALSE)</f>
        <v>SPECTOR</v>
      </c>
      <c r="M206" s="6">
        <f t="shared" si="67"/>
        <v>6.0416666674427688E-3</v>
      </c>
      <c r="N206" s="7">
        <f t="shared" si="68"/>
        <v>8.7000000011175871</v>
      </c>
      <c r="O206" s="7"/>
      <c r="P206" s="7"/>
      <c r="Q206" s="23"/>
      <c r="R206" s="23"/>
      <c r="S206" s="35">
        <f t="shared" si="69"/>
        <v>1</v>
      </c>
      <c r="T206" s="50" t="str">
        <f t="shared" si="70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02:22:21-700',mode:absolute,to:'2016-11-17 04:33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6" s="52" t="str">
        <f t="shared" si="72"/>
        <v>Y</v>
      </c>
      <c r="X206" s="177">
        <f t="shared" si="80"/>
        <v>1</v>
      </c>
      <c r="Y206" s="67">
        <f t="shared" si="73"/>
        <v>2.3148</v>
      </c>
      <c r="Z206" s="67">
        <f t="shared" si="74"/>
        <v>1.4999999999999999E-2</v>
      </c>
      <c r="AA206" s="67">
        <f t="shared" si="75"/>
        <v>2.2997999999999998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6"/>
        <v>0304-17</v>
      </c>
      <c r="AE206" s="91" t="str">
        <f t="shared" si="77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206" s="88" t="str">
        <f t="shared" si="78"/>
        <v>"C:\Program Files (x86)\AstroGrep\AstroGrep.exe" /spath="%USERPROFILE%\AppData\Local\Temp\OnboardLogs" /stypes="app*4013*20161117*" /stext=" 10:.+((SYSTEM_STATE.+slice.+state.+changed )|(ment ac)|(system.+state.+changed )|(\[timeout)|(PRM\|1\|D)|(kpr)|(kdp)|(\|lc)|(penalty))" /e /r /s</v>
      </c>
      <c r="AG206" s="1" t="str">
        <f t="shared" si="79"/>
        <v>Other</v>
      </c>
      <c r="AH206" s="92" t="str">
        <f t="shared" si="81"/>
        <v>"%USERPROFILE%\Documents\GitHub\eaglep3\Utilities\RefineRTDCRunTimes.py" --tripid 304-17 --locoid 4013 --swversion DE.1.0.8.0 --startMP 300:23148 --initTime 2016-11-17T03:22:21 --startdatetime 2016-11-17T03:24:29 --delay 1 --endMP 204:150 --enddatetime 2016-11-17T03:33:11 --enforcementcount 0 &gt;&gt;C:\Users\stu\Documents\GitHub\eaglep3-reporting\EC\2016-11-17-refined-times.txt</v>
      </c>
      <c r="AI206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{"issue":{"subject":"","project_id":79,"tracker_id":40,"status_id":1,"priority_id":2,"assigned_to_id":23,"start_date":"2016-11-17","description":"","custom_fields":[{"id":1,"name":"Subdivision","value":"Other"},{"id":4,"name":"Milepost","value":"0.015"},{"id":17,"name":"Train ID","value":"304-17"},{"id":16,"name":"Locomotive ID","value":"4013"},{"id":130,"name":"Impact","value":""},{"id":150,"name":"Time of Event (Mountain Time)","value":"03:33:11"},{"id":151,"name":"Denver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599</v>
      </c>
      <c r="B207" s="7">
        <v>4011</v>
      </c>
      <c r="C207" s="22" t="s">
        <v>220</v>
      </c>
      <c r="D207" s="22" t="s">
        <v>383</v>
      </c>
      <c r="E207" s="13">
        <v>42691.803680555553</v>
      </c>
      <c r="F207" s="13">
        <v>25568.708333333332</v>
      </c>
      <c r="G207" s="7">
        <v>1</v>
      </c>
      <c r="H207" s="22" t="s">
        <v>713</v>
      </c>
      <c r="I207" s="13">
        <v>25568.708333333332</v>
      </c>
      <c r="J207" s="7">
        <v>0</v>
      </c>
      <c r="K207" s="109" t="str">
        <f t="shared" si="66"/>
        <v>4011/4012</v>
      </c>
      <c r="L207" s="22" t="str">
        <f>VLOOKUP(A207,'Trips&amp;Operators'!$C$1:$E$10000,3,FALSE)</f>
        <v>HILLS</v>
      </c>
      <c r="M207" s="6">
        <f t="shared" si="67"/>
        <v>0</v>
      </c>
      <c r="N207" s="7">
        <f t="shared" si="68"/>
        <v>0</v>
      </c>
      <c r="O207" s="7"/>
      <c r="P207" s="7"/>
      <c r="Q207" s="23"/>
      <c r="R207" s="23"/>
      <c r="S207" s="35">
        <f t="shared" si="69"/>
        <v>1</v>
      </c>
      <c r="T207" s="50" t="str">
        <f t="shared" si="70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18:17:18-700',mode:absolute,to:'1969-12-31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7" s="52" t="str">
        <f t="shared" si="72"/>
        <v>Y</v>
      </c>
      <c r="X207" s="177">
        <f t="shared" si="80"/>
        <v>1</v>
      </c>
      <c r="Y207" s="67">
        <f t="shared" si="73"/>
        <v>4.02E-2</v>
      </c>
      <c r="Z207" s="67">
        <f t="shared" si="74"/>
        <v>2.3311999999999999</v>
      </c>
      <c r="AA207" s="67">
        <f t="shared" si="75"/>
        <v>2.2909999999999999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6"/>
        <v>0305-17</v>
      </c>
      <c r="AE207" s="91" t="str">
        <f t="shared" si="7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7" s="88" t="str">
        <f t="shared" si="78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7" s="1" t="str">
        <f t="shared" si="79"/>
        <v>Other</v>
      </c>
      <c r="AH207" s="92" t="str">
        <f t="shared" si="81"/>
        <v>"%USERPROFILE%\Documents\GitHub\eaglep3\Utilities\RefineRTDCRunTimes.py" --tripid 305-17 --locoid 4011 --swversion DE.1.0.8.0 --startMP 204:402 --initTime 2016-11-17T19:17:18 --startdatetime 1969-12-31T17:00:00 --delay 1 --endMP 300:23312 --enddatetime 1969-12-31T17:00:00 --enforcementcount 0 &gt;&gt;C:\Users\stu\Documents\GitHub\eaglep3-reporting\EC\2016-11-17-refined-times.txt</v>
      </c>
      <c r="AI207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ID","value":"305-17"},{"id":16,"name":"Locomotive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601</v>
      </c>
      <c r="B208" s="7">
        <v>4003</v>
      </c>
      <c r="C208" s="22" t="s">
        <v>220</v>
      </c>
      <c r="D208" s="22" t="s">
        <v>382</v>
      </c>
      <c r="E208" s="13">
        <v>42691.82130787037</v>
      </c>
      <c r="F208" s="13">
        <v>25568.708333333332</v>
      </c>
      <c r="G208" s="7">
        <v>1</v>
      </c>
      <c r="H208" s="22" t="s">
        <v>715</v>
      </c>
      <c r="I208" s="13">
        <v>25568.708333333332</v>
      </c>
      <c r="J208" s="7">
        <v>0</v>
      </c>
      <c r="K208" s="109" t="str">
        <f t="shared" si="66"/>
        <v>4003/4004</v>
      </c>
      <c r="L208" s="22" t="str">
        <f>VLOOKUP(A208,'Trips&amp;Operators'!$C$1:$E$10000,3,FALSE)</f>
        <v>NICHOLSON</v>
      </c>
      <c r="M208" s="6">
        <f t="shared" si="67"/>
        <v>0</v>
      </c>
      <c r="N208" s="7">
        <f t="shared" si="68"/>
        <v>0</v>
      </c>
      <c r="O208" s="7"/>
      <c r="P208" s="7"/>
      <c r="Q208" s="23"/>
      <c r="R208" s="23"/>
      <c r="S208" s="35">
        <f t="shared" si="69"/>
        <v>1</v>
      </c>
      <c r="T208" s="50" t="str">
        <f t="shared" si="7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18:42:41-700',mode:absolute,to:'1969-12-31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8" s="52" t="str">
        <f t="shared" si="72"/>
        <v>Y</v>
      </c>
      <c r="X208" s="177">
        <f t="shared" si="80"/>
        <v>2</v>
      </c>
      <c r="Y208" s="67">
        <f t="shared" si="73"/>
        <v>4.5499999999999999E-2</v>
      </c>
      <c r="Z208" s="67">
        <f t="shared" si="74"/>
        <v>2.3313999999999999</v>
      </c>
      <c r="AA208" s="67">
        <f t="shared" si="75"/>
        <v>2.2858999999999998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6"/>
        <v>0307-17</v>
      </c>
      <c r="AE208" s="91" t="str">
        <f t="shared" si="77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8" s="88" t="str">
        <f t="shared" si="78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08" s="1" t="str">
        <f t="shared" si="79"/>
        <v>Other</v>
      </c>
      <c r="AH208" s="92" t="str">
        <f t="shared" si="81"/>
        <v>"%USERPROFILE%\Documents\GitHub\eaglep3\Utilities\RefineRTDCRunTimes.py" --tripid 307-17 --locoid 4003 --swversion DE.1.0.8.0 --startMP 204:455 --initTime 2016-11-17T19:42:41 --startdatetime 1969-12-31T17:00:00 --delay 1 --endMP 300:23314 --enddatetime 1969-12-31T17:00:00 --enforcementcount 0 &gt;&gt;C:\Users\stu\Documents\GitHub\eaglep3-reporting\EC\2016-11-17-refined-times.txt</v>
      </c>
      <c r="AI208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ID","value":"307-17"},{"id":16,"name":"Locomotive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s="21" customFormat="1" x14ac:dyDescent="0.25">
      <c r="A209" s="37" t="s">
        <v>455</v>
      </c>
      <c r="B209" s="7">
        <v>4037</v>
      </c>
      <c r="C209" s="22" t="s">
        <v>220</v>
      </c>
      <c r="D209" s="22" t="s">
        <v>716</v>
      </c>
      <c r="E209" s="13">
        <v>42691.172858796293</v>
      </c>
      <c r="F209" s="13">
        <v>42691.173796296294</v>
      </c>
      <c r="G209" s="7">
        <v>0</v>
      </c>
      <c r="H209" s="22" t="s">
        <v>212</v>
      </c>
      <c r="I209" s="13">
        <v>42691.179606481484</v>
      </c>
      <c r="J209" s="7">
        <v>0</v>
      </c>
      <c r="K209" s="109" t="str">
        <f t="shared" ref="K209:K223" si="154">IF(ISEVEN(B209),(B209-1)&amp;"/"&amp;B209,B209&amp;"/"&amp;(B209+1))</f>
        <v>4037/4038</v>
      </c>
      <c r="L209" s="22" t="str">
        <f>VLOOKUP(A209,'Trips&amp;Operators'!$C$1:$E$10000,3,FALSE)</f>
        <v>STRICKLAND</v>
      </c>
      <c r="M209" s="6">
        <f t="shared" ref="M209:M223" si="155">I209-F209</f>
        <v>5.810185190057382E-3</v>
      </c>
      <c r="N209" s="7">
        <f t="shared" ref="N209:N223" si="156">24*60*SUM($M209:$M209)</f>
        <v>8.3666666736826301</v>
      </c>
      <c r="O209" s="7"/>
      <c r="P209" s="7"/>
      <c r="Q209" s="23"/>
      <c r="R209" s="23"/>
      <c r="S209" s="35">
        <f t="shared" ref="S209:S223" si="157">SUM(U209:U209)/IF(AG209="EC",12,1)</f>
        <v>1</v>
      </c>
      <c r="T209" s="50" t="str">
        <f t="shared" ref="T209:T223" si="158"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ref="V209:V223" si="159"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https://search-rtdc-monitor-bjffxe2xuh6vdkpspy63sjmuny.us-east-1.es.amazonaws.com/_plugin/kibana/#/discover/Steve-Slow-Train-Analysis-(2080s-and-2083s)?_g=(refreshInterval:(display:Off,section:0,value:0),time:(from:'2016-11-17 03:08:55-700',mode:absolute,to:'2016-11-17 05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9" s="52" t="str">
        <f t="shared" ref="W209:W223" si="160">IF(AA209&lt;IF(AG209="EC",23,5.65),"Y","N")</f>
        <v>Y</v>
      </c>
      <c r="X209" s="177">
        <f t="shared" si="80"/>
        <v>1</v>
      </c>
      <c r="Y209" s="67">
        <f t="shared" ref="Y209:Y223" si="161">RIGHT(D209,LEN(D209)-4)/10000</f>
        <v>2.1229</v>
      </c>
      <c r="Z209" s="67">
        <f t="shared" ref="Z209:Z223" si="162">RIGHT(H209,LEN(H209)-4)/10000</f>
        <v>1.5599999999999999E-2</v>
      </c>
      <c r="AA209" s="67">
        <f t="shared" ref="AA209:AA223" si="163">ABS(Z209-Y209)</f>
        <v>2.1073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ref="AD209:AD223" si="164">IF(LEN(A209)=6,"0"&amp;A209,A209)</f>
        <v>0308-17</v>
      </c>
      <c r="AE209" s="91" t="str">
        <f t="shared" ref="AE209:AE223" si="165"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209" s="88" t="str">
        <f t="shared" ref="AF209:AF223" si="166"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/stypes="app*4037*20161117*" /stext=" 11:.+((SYSTEM_STATE.+slice.+state.+changed )|(ment ac)|(system.+state.+changed )|(\[timeout)|(PRM\|1\|D)|(kpr)|(kdp)|(\|lc)|(penalty))" /e /r /s</v>
      </c>
      <c r="AG209" s="1" t="str">
        <f t="shared" ref="AG209:AG223" si="167">IFERROR(IF(VALUE(LEFT(AD209,2))&lt;=2,"EC",IF(OR(VALUE(LEFT(AD209,2))=8,VALUE(LEFT(AD209,2))=18),"NW","Other")),"Other")</f>
        <v>Other</v>
      </c>
      <c r="AH209" s="92" t="str">
        <f t="shared" si="81"/>
        <v>"%USERPROFILE%\Documents\GitHub\eaglep3\Utilities\RefineRTDCRunTimes.py" --tripid 308-17 --locoid 4037 --swversion DE.1.0.8.0 --startMP 300:21229 --initTime 2016-11-17T04:08:55 --startdatetime 2016-11-17T04:10:16 --delay 0 --endMP 204:156 --enddatetime 2016-11-17T04:18:38 --enforcementcount 0 &gt;&gt;C:\Users\stu\Documents\GitHub\eaglep3-reporting\EC\2016-11-17-refined-times.txt</v>
      </c>
      <c r="AI209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{"issue":{"subject":"","project_id":79,"tracker_id":40,"status_id":1,"priority_id":2,"assigned_to_id":23,"start_date":"2016-11-17","description":"","custom_fields":[{"id":1,"name":"Subdivision","value":"Other"},{"id":4,"name":"Milepost","value":"0.0156"},{"id":17,"name":"Train ID","value":"308-17"},{"id":16,"name":"Locomotive ID","value":"4037"},{"id":130,"name":"Impact","value":""},{"id":150,"name":"Time of Event (Mountain Time)","value":"04:18:38"},{"id":151,"name":"Denver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625</v>
      </c>
      <c r="B210" s="7">
        <v>4022</v>
      </c>
      <c r="C210" s="22" t="s">
        <v>220</v>
      </c>
      <c r="D210" s="22" t="s">
        <v>372</v>
      </c>
      <c r="E210" s="13">
        <v>42692.03019675926</v>
      </c>
      <c r="F210" s="13">
        <v>42692.032407407409</v>
      </c>
      <c r="G210" s="7">
        <v>3</v>
      </c>
      <c r="H210" s="22" t="s">
        <v>717</v>
      </c>
      <c r="I210" s="13">
        <v>42692.037777777776</v>
      </c>
      <c r="J210" s="7">
        <v>0</v>
      </c>
      <c r="K210" s="109" t="str">
        <f t="shared" si="154"/>
        <v>4021/4022</v>
      </c>
      <c r="L210" s="22" t="str">
        <f>VLOOKUP(A210,'Trips&amp;Operators'!$C$1:$E$10000,3,FALSE)</f>
        <v>SMITH</v>
      </c>
      <c r="M210" s="6">
        <f t="shared" si="155"/>
        <v>5.3703703670180403E-3</v>
      </c>
      <c r="N210" s="7">
        <f t="shared" si="156"/>
        <v>7.733333328505978</v>
      </c>
      <c r="O210" s="7"/>
      <c r="P210" s="7"/>
      <c r="Q210" s="23"/>
      <c r="R210" s="23"/>
      <c r="S210" s="35">
        <f t="shared" si="157"/>
        <v>1</v>
      </c>
      <c r="T210" s="50" t="str">
        <f t="shared" si="158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23:43:29-700',mode:absolute,to:'2016-11-18 01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160"/>
        <v>Y</v>
      </c>
      <c r="X210" s="177">
        <f t="shared" ref="X210:X223" si="168">VALUE(LEFT(AD210,4))-VALUE(LEFT(AD209,4))</f>
        <v>1</v>
      </c>
      <c r="Y210" s="67">
        <f t="shared" si="161"/>
        <v>4.3700000000000003E-2</v>
      </c>
      <c r="Z210" s="67">
        <f t="shared" si="162"/>
        <v>2.2810999999999999</v>
      </c>
      <c r="AA210" s="67">
        <f t="shared" si="163"/>
        <v>2.2374000000000001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164"/>
        <v>0309-17</v>
      </c>
      <c r="AE210" s="91" t="str">
        <f t="shared" si="165"/>
        <v>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 &amp; 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</v>
      </c>
      <c r="AF210" s="88" t="str">
        <f t="shared" si="166"/>
        <v>"C:\Program Files (x86)\AstroGrep\AstroGrep.exe" /spath="%USERPROFILE%\AppData\Local\Temp\OnboardLogs" /stypes="app*4022*20161118*" /stext=" 07:.+((SYSTEM_STATE.+slice.+state.+changed )|(ment ac)|(system.+state.+changed )|(\[timeout)|(PRM\|1\|D)|(kpr)|(kdp)|(\|lc)|(penalty))" /e /r /s</v>
      </c>
      <c r="AG210" s="1" t="str">
        <f t="shared" si="167"/>
        <v>Other</v>
      </c>
      <c r="AH210" s="92" t="str">
        <f t="shared" ref="AH210:AH223" si="169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309-17 --locoid 4022 --swversion DE.1.0.8.0 --startMP 204:437 --initTime 2016-11-18T00:43:29 --startdatetime 2016-11-18T00:46:40 --delay 3 --endMP 300:22811 --enddatetime 2016-11-18T00:54:24 --enforcementcount 0 &gt;&gt;C:\Users\stu\Documents\GitHub\eaglep3-reporting\EC\2016-11-17-refined-times.txt</v>
      </c>
      <c r="AI210" s="119" t="str">
        <f t="shared" ref="AI210:AI223" si="170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{"issue":{"subject":"","project_id":79,"tracker_id":40,"status_id":1,"priority_id":2,"assigned_to_id":23,"start_date":"2016-11-18","description":"","custom_fields":[{"id":1,"name":"Subdivision","value":"Other"},{"id":4,"name":"Milepost","value":"2.2811"},{"id":17,"name":"Train ID","value":"309-17"},{"id":16,"name":"Locomotive ID","value":"4022"},{"id":130,"name":"Impact","value":""},{"id":150,"name":"Time of Event (Mountain Time)","value":"00:54:24"},{"id":151,"name":"Denver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458</v>
      </c>
      <c r="B211" s="7">
        <v>4041</v>
      </c>
      <c r="C211" s="22" t="s">
        <v>220</v>
      </c>
      <c r="D211" s="22" t="s">
        <v>718</v>
      </c>
      <c r="E211" s="13">
        <v>42691.183680555558</v>
      </c>
      <c r="F211" s="13">
        <v>42691.185034722221</v>
      </c>
      <c r="G211" s="7">
        <v>1</v>
      </c>
      <c r="H211" s="22" t="s">
        <v>212</v>
      </c>
      <c r="I211" s="13">
        <v>42691.19222222222</v>
      </c>
      <c r="J211" s="7">
        <v>0</v>
      </c>
      <c r="K211" s="109" t="str">
        <f t="shared" si="154"/>
        <v>4041/4042</v>
      </c>
      <c r="L211" s="22" t="str">
        <f>VLOOKUP(A211,'Trips&amp;Operators'!$C$1:$E$10000,3,FALSE)</f>
        <v>SAFIEF</v>
      </c>
      <c r="M211" s="6">
        <f t="shared" si="155"/>
        <v>7.1874999994179234E-3</v>
      </c>
      <c r="N211" s="7">
        <f t="shared" si="156"/>
        <v>10.34999999916181</v>
      </c>
      <c r="O211" s="7"/>
      <c r="P211" s="7"/>
      <c r="Q211" s="23"/>
      <c r="R211" s="23"/>
      <c r="S211" s="35">
        <f t="shared" si="157"/>
        <v>1</v>
      </c>
      <c r="T211" s="50" t="str">
        <f t="shared" si="158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03:24:30-700',mode:absolute,to:'2016-11-17 05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1" s="52" t="str">
        <f t="shared" si="160"/>
        <v>Y</v>
      </c>
      <c r="X211" s="177">
        <f t="shared" si="168"/>
        <v>1</v>
      </c>
      <c r="Y211" s="67">
        <f t="shared" si="161"/>
        <v>2.3290000000000002</v>
      </c>
      <c r="Z211" s="67">
        <f t="shared" si="162"/>
        <v>1.5599999999999999E-2</v>
      </c>
      <c r="AA211" s="67">
        <f t="shared" si="163"/>
        <v>2.3134000000000001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164"/>
        <v>0310-17</v>
      </c>
      <c r="AE211" s="91" t="str">
        <f t="shared" si="165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211" s="88" t="str">
        <f t="shared" si="166"/>
        <v>"C:\Program Files (x86)\AstroGrep\AstroGrep.exe" /spath="%USERPROFILE%\AppData\Local\Temp\OnboardLogs" /stypes="app*4041*20161117*" /stext=" 11:.+((SYSTEM_STATE.+slice.+state.+changed )|(ment ac)|(system.+state.+changed )|(\[timeout)|(PRM\|1\|D)|(kpr)|(kdp)|(\|lc)|(penalty))" /e /r /s</v>
      </c>
      <c r="AG211" s="1" t="str">
        <f t="shared" si="167"/>
        <v>Other</v>
      </c>
      <c r="AH211" s="92" t="str">
        <f t="shared" si="169"/>
        <v>"%USERPROFILE%\Documents\GitHub\eaglep3\Utilities\RefineRTDCRunTimes.py" --tripid 310-17 --locoid 4041 --swversion DE.1.0.8.0 --startMP 300:23290 --initTime 2016-11-17T04:24:30 --startdatetime 2016-11-17T04:26:27 --delay 1 --endMP 204:156 --enddatetime 2016-11-17T04:36:48 --enforcementcount 0 &gt;&gt;C:\Users\stu\Documents\GitHub\eaglep3-reporting\EC\2016-11-17-refined-times.txt</v>
      </c>
      <c r="AI211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{"issue":{"subject":"","project_id":79,"tracker_id":40,"status_id":1,"priority_id":2,"assigned_to_id":23,"start_date":"2016-11-17","description":"","custom_fields":[{"id":1,"name":"Subdivision","value":"Other"},{"id":4,"name":"Milepost","value":"0.0156"},{"id":17,"name":"Train ID","value":"310-17"},{"id":16,"name":"Locomotive ID","value":"4041"},{"id":130,"name":"Impact","value":""},{"id":150,"name":"Time of Event (Mountain Time)","value":"04:36:48"},{"id":151,"name":"Denver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627</v>
      </c>
      <c r="B212" s="7">
        <v>4002</v>
      </c>
      <c r="C212" s="22" t="s">
        <v>220</v>
      </c>
      <c r="D212" s="22" t="s">
        <v>719</v>
      </c>
      <c r="E212" s="13">
        <v>42692.048483796294</v>
      </c>
      <c r="F212" s="13">
        <v>25568.708333333332</v>
      </c>
      <c r="G212" s="7">
        <v>1</v>
      </c>
      <c r="H212" s="22" t="s">
        <v>720</v>
      </c>
      <c r="I212" s="13">
        <v>25568.708333333332</v>
      </c>
      <c r="J212" s="7">
        <v>0</v>
      </c>
      <c r="K212" s="109" t="str">
        <f t="shared" si="154"/>
        <v>4001/4002</v>
      </c>
      <c r="L212" s="22" t="str">
        <f>VLOOKUP(A212,'Trips&amp;Operators'!$C$1:$E$10000,3,FALSE)</f>
        <v>BERLING</v>
      </c>
      <c r="M212" s="6">
        <f t="shared" si="155"/>
        <v>0</v>
      </c>
      <c r="N212" s="7">
        <f t="shared" si="156"/>
        <v>0</v>
      </c>
      <c r="O212" s="7"/>
      <c r="P212" s="7"/>
      <c r="Q212" s="23"/>
      <c r="R212" s="23"/>
      <c r="S212" s="35">
        <f t="shared" si="157"/>
        <v>1</v>
      </c>
      <c r="T212" s="50" t="str">
        <f t="shared" si="158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2" s="52" t="str">
        <f t="shared" si="160"/>
        <v>Y</v>
      </c>
      <c r="X212" s="177">
        <f t="shared" si="168"/>
        <v>1</v>
      </c>
      <c r="Y212" s="67">
        <f t="shared" si="161"/>
        <v>4.3099999999999999E-2</v>
      </c>
      <c r="Z212" s="67">
        <f t="shared" si="162"/>
        <v>2.3306</v>
      </c>
      <c r="AA212" s="67">
        <f t="shared" si="163"/>
        <v>2.2875000000000001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164"/>
        <v>0311-17</v>
      </c>
      <c r="AE212" s="91" t="str">
        <f t="shared" si="16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2" s="88" t="str">
        <f t="shared" si="166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12" s="1" t="str">
        <f t="shared" si="167"/>
        <v>Other</v>
      </c>
      <c r="AH212" s="92" t="str">
        <f t="shared" si="169"/>
        <v>"%USERPROFILE%\Documents\GitHub\eaglep3\Utilities\RefineRTDCRunTimes.py" --tripid 311-17 --locoid 4002 --swversion DE.1.0.8.0 --startMP 204:431 --initTime 2016-11-18T01:09:49 --startdatetime 1969-12-31T17:00:00 --delay 1 --endMP 300:23306 --enddatetime 1969-12-31T17:00:00 --enforcementcount 0 &gt;&gt;C:\Users\stu\Documents\GitHub\eaglep3-reporting\EC\2016-11-17-refined-times.txt</v>
      </c>
      <c r="AI212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ID","value":"311-17"},{"id":16,"name":"Locomotive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389</v>
      </c>
      <c r="B213" s="7">
        <v>4044</v>
      </c>
      <c r="C213" s="22" t="s">
        <v>220</v>
      </c>
      <c r="D213" s="22" t="s">
        <v>390</v>
      </c>
      <c r="E213" s="13">
        <v>42691.087430555555</v>
      </c>
      <c r="F213" s="13">
        <v>42691.093541666669</v>
      </c>
      <c r="G213" s="7">
        <v>1</v>
      </c>
      <c r="H213" s="22" t="s">
        <v>391</v>
      </c>
      <c r="I213" s="13">
        <v>42691.094201388885</v>
      </c>
      <c r="J213" s="7">
        <v>0</v>
      </c>
      <c r="K213" s="109" t="str">
        <f t="shared" si="154"/>
        <v>4043/4044</v>
      </c>
      <c r="L213" s="22" t="str">
        <f>VLOOKUP(A213,'Trips&amp;Operators'!$C$1:$E$10000,3,FALSE)</f>
        <v>LEVIN</v>
      </c>
      <c r="M213" s="6">
        <f t="shared" si="155"/>
        <v>6.5972221636911854E-4</v>
      </c>
      <c r="N213" s="7">
        <f t="shared" si="156"/>
        <v>0.9499999915715307</v>
      </c>
      <c r="O213" s="7"/>
      <c r="P213" s="7"/>
      <c r="Q213" s="23"/>
      <c r="R213" s="23"/>
      <c r="S213" s="35">
        <f t="shared" si="157"/>
        <v>0</v>
      </c>
      <c r="T213" s="50" t="str">
        <f t="shared" si="158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01:05:54-700',mode:absolute,to:'2016-11-17 03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3" s="52" t="str">
        <f t="shared" si="160"/>
        <v>Y</v>
      </c>
      <c r="X213" s="177">
        <f t="shared" si="168"/>
        <v>2</v>
      </c>
      <c r="Y213" s="67">
        <f t="shared" si="161"/>
        <v>0.1222</v>
      </c>
      <c r="Z213" s="67">
        <f t="shared" si="162"/>
        <v>0.33789999999999998</v>
      </c>
      <c r="AA213" s="67">
        <f t="shared" si="163"/>
        <v>0.21569999999999998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164"/>
        <v>0313-16</v>
      </c>
      <c r="AE213" s="91" t="str">
        <f t="shared" si="165"/>
        <v>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 &amp; aws s3 cp s3://rtdc.mdm.uploadarchive.raw/RTDC4044/ "%USERPROFILE%\AppData\Local\Temp\OnboardLogs"\RTDC4044\2016-11-18 --exclude "*" --recursive --include "*20161118*" &amp; "%USERPROFILE%\Documents\GitHub\mrs-test-scripts\Headless Mode &amp; Sideloading\WalkAndUnGZ.bat" "%USERPROFILE%\AppData\Local\Temp\OnboardLogs"\RTDC4044\2016-11-18</v>
      </c>
      <c r="AF213" s="88" t="str">
        <f t="shared" si="166"/>
        <v>"C:\Program Files (x86)\AstroGrep\AstroGrep.exe" /spath="%USERPROFILE%\AppData\Local\Temp\OnboardLogs" /stypes="app*4044*20161117*" /stext=" 09:.+((SYSTEM_STATE.+slice.+state.+changed )|(ment ac)|(system.+state.+changed )|(\[timeout)|(PRM\|1\|D)|(kpr)|(kdp)|(\|lc)|(penalty))" /e /r /s</v>
      </c>
      <c r="AG213" s="1" t="str">
        <f t="shared" si="167"/>
        <v>Other</v>
      </c>
      <c r="AH213" s="92" t="str">
        <f t="shared" si="169"/>
        <v>"%USERPROFILE%\Documents\GitHub\eaglep3\Utilities\RefineRTDCRunTimes.py" --tripid 313-16 --locoid 4044 --swversion DE.1.0.8.0 --startMP 204:1222 --initTime 2016-11-17T02:05:54 --startdatetime 2016-11-17T02:14:42 --delay 1 --endMP 204:3379 --enddatetime 2016-11-17T02:15:39 --enforcementcount 0 &gt;&gt;C:\Users\stu\Documents\GitHub\eaglep3-reporting\EC\2016-11-17-refined-times.txt</v>
      </c>
      <c r="AI213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{"issue":{"subject":"","project_id":79,"tracker_id":40,"status_id":1,"priority_id":2,"assigned_to_id":23,"start_date":"2016-11-17","description":"","custom_fields":[{"id":1,"name":"Subdivision","value":"Other"},{"id":4,"name":"Milepost","value":"0.3379"},{"id":17,"name":"Train ID","value":"313-16"},{"id":16,"name":"Locomotive ID","value":"4044"},{"id":130,"name":"Impact","value":""},{"id":150,"name":"Time of Event (Mountain Time)","value":"02:15:39"},{"id":151,"name":"Denver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392</v>
      </c>
      <c r="B214" s="7">
        <v>4009</v>
      </c>
      <c r="C214" s="22" t="s">
        <v>220</v>
      </c>
      <c r="D214" s="22" t="s">
        <v>218</v>
      </c>
      <c r="E214" s="13">
        <v>42691.093252314815</v>
      </c>
      <c r="F214" s="13">
        <v>25568.708333333332</v>
      </c>
      <c r="G214" s="7">
        <v>1</v>
      </c>
      <c r="H214" s="22" t="s">
        <v>382</v>
      </c>
      <c r="I214" s="13">
        <v>25568.708333333332</v>
      </c>
      <c r="J214" s="7">
        <v>0</v>
      </c>
      <c r="K214" s="109" t="str">
        <f t="shared" si="154"/>
        <v>4009/4010</v>
      </c>
      <c r="L214" s="22" t="str">
        <f>VLOOKUP(A214,'Trips&amp;Operators'!$C$1:$E$10000,3,FALSE)</f>
        <v>CRAYTON</v>
      </c>
      <c r="M214" s="6">
        <f t="shared" si="155"/>
        <v>0</v>
      </c>
      <c r="N214" s="7">
        <f t="shared" si="156"/>
        <v>0</v>
      </c>
      <c r="O214" s="7"/>
      <c r="P214" s="7"/>
      <c r="Q214" s="23"/>
      <c r="R214" s="23"/>
      <c r="S214" s="35">
        <f t="shared" si="157"/>
        <v>0</v>
      </c>
      <c r="T214" s="50" t="str">
        <f t="shared" si="158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01:14:17-700',mode:absolute,to:'1969-12-31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160"/>
        <v>Y</v>
      </c>
      <c r="X214" s="177">
        <f t="shared" si="168"/>
        <v>2</v>
      </c>
      <c r="Y214" s="67">
        <f t="shared" si="161"/>
        <v>4.5699999999999998E-2</v>
      </c>
      <c r="Z214" s="67">
        <f t="shared" si="162"/>
        <v>4.5499999999999999E-2</v>
      </c>
      <c r="AA214" s="67">
        <f t="shared" si="163"/>
        <v>1.9999999999999879E-4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164"/>
        <v>0315-16</v>
      </c>
      <c r="AE214" s="91" t="str">
        <f t="shared" si="1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166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 t="shared" si="167"/>
        <v>Other</v>
      </c>
      <c r="AH214" s="92" t="str">
        <f t="shared" si="169"/>
        <v>"%USERPROFILE%\Documents\GitHub\eaglep3\Utilities\RefineRTDCRunTimes.py" --tripid 315-16 --locoid 4009 --swversion DE.1.0.8.0 --startMP 204:457 --initTime 2016-11-17T02:14:17 --startdatetime 1969-12-31T17:00:00 --delay 1 --endMP 204:455 --enddatetime 1969-12-31T17:00:00 --enforcementcount 0 &gt;&gt;C:\Users\stu\Documents\GitHub\eaglep3-reporting\EC\2016-11-17-refined-times.txt</v>
      </c>
      <c r="AI214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{"issue":{"subject":"","project_id":79,"tracker_id":40,"status_id":1,"priority_id":2,"assigned_to_id":23,"start_date":"1969-12-31","description":"","custom_fields":[{"id":1,"name":"Subdivision","value":"Other"},{"id":4,"name":"Milepost","value":"0.0455"},{"id":17,"name":"Train ID","value":"315-16"},{"id":16,"name":"Locomotive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472</v>
      </c>
      <c r="B215" s="7">
        <v>4017</v>
      </c>
      <c r="C215" s="22" t="s">
        <v>220</v>
      </c>
      <c r="D215" s="22" t="s">
        <v>767</v>
      </c>
      <c r="E215" s="13">
        <v>42691.248726851853</v>
      </c>
      <c r="F215" s="13">
        <v>42691.2503125</v>
      </c>
      <c r="G215" s="7">
        <v>1</v>
      </c>
      <c r="H215" s="22" t="s">
        <v>768</v>
      </c>
      <c r="I215" s="13">
        <v>42691.255439814813</v>
      </c>
      <c r="J215" s="7">
        <v>0</v>
      </c>
      <c r="K215" s="109" t="str">
        <f t="shared" si="154"/>
        <v>4017/4018</v>
      </c>
      <c r="L215" s="22" t="str">
        <f>VLOOKUP(A215,'Trips&amp;Operators'!$C$1:$E$10000,3,FALSE)</f>
        <v>DAVIDSON</v>
      </c>
      <c r="M215" s="6">
        <f t="shared" si="155"/>
        <v>5.1273148128530011E-3</v>
      </c>
      <c r="N215" s="7">
        <f t="shared" si="156"/>
        <v>7.3833333305083215</v>
      </c>
      <c r="O215" s="7"/>
      <c r="P215" s="7"/>
      <c r="Q215" s="23"/>
      <c r="R215" s="23"/>
      <c r="S215" s="35">
        <f t="shared" si="157"/>
        <v>1</v>
      </c>
      <c r="T215" s="50" t="str">
        <f t="shared" si="158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04:58:10-700',mode:absolute,to:'2016-11-17 07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2" t="str">
        <f t="shared" si="160"/>
        <v>Y</v>
      </c>
      <c r="X215" s="177">
        <f t="shared" si="168"/>
        <v>587</v>
      </c>
      <c r="Y215" s="67">
        <f t="shared" si="161"/>
        <v>2.3477999999999999</v>
      </c>
      <c r="Z215" s="67">
        <f t="shared" si="162"/>
        <v>6.8900000000000003E-2</v>
      </c>
      <c r="AA215" s="67">
        <f t="shared" si="163"/>
        <v>2.2788999999999997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164"/>
        <v>0902-17</v>
      </c>
      <c r="AE215" s="91" t="str">
        <f t="shared" si="165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215" s="88" t="str">
        <f t="shared" si="166"/>
        <v>"C:\Program Files (x86)\AstroGrep\AstroGrep.exe" /spath="%USERPROFILE%\AppData\Local\Temp\OnboardLogs" /stypes="app*4017*20161117*" /stext=" 13:.+((SYSTEM_STATE.+slice.+state.+changed )|(ment ac)|(system.+state.+changed )|(\[timeout)|(PRM\|1\|D)|(kpr)|(kdp)|(\|lc)|(penalty))" /e /r /s</v>
      </c>
      <c r="AG215" s="1" t="str">
        <f t="shared" si="167"/>
        <v>Other</v>
      </c>
      <c r="AH215" s="92" t="str">
        <f t="shared" si="169"/>
        <v>"%USERPROFILE%\Documents\GitHub\eaglep3\Utilities\RefineRTDCRunTimes.py" --tripid 902-17 --locoid 4017 --swversion DE.1.0.8.0 --startMP 300:23478 --initTime 2016-11-17T05:58:10 --startdatetime 2016-11-17T06:00:27 --delay 1 --endMP 204:689 --enddatetime 2016-11-17T06:07:50 --enforcementcount 0 &gt;&gt;C:\Users\stu\Documents\GitHub\eaglep3-reporting\EC\2016-11-17-refined-times.txt</v>
      </c>
      <c r="AI215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{"issue":{"subject":"","project_id":79,"tracker_id":40,"status_id":1,"priority_id":2,"assigned_to_id":23,"start_date":"2016-11-17","description":"","custom_fields":[{"id":1,"name":"Subdivision","value":"Other"},{"id":4,"name":"Milepost","value":"0.0689"},{"id":17,"name":"Train ID","value":"902-17"},{"id":16,"name":"Locomotive ID","value":"4017"},{"id":130,"name":"Impact","value":""},{"id":150,"name":"Time of Event (Mountain Time)","value":"06:07:50"},{"id":151,"name":"Denver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495</v>
      </c>
      <c r="B216" s="7">
        <v>4040</v>
      </c>
      <c r="C216" s="22" t="s">
        <v>220</v>
      </c>
      <c r="D216" s="22" t="s">
        <v>769</v>
      </c>
      <c r="E216" s="13">
        <v>42691.352997685186</v>
      </c>
      <c r="F216" s="13">
        <v>42691.355474537035</v>
      </c>
      <c r="G216" s="7">
        <v>1</v>
      </c>
      <c r="H216" s="22" t="s">
        <v>770</v>
      </c>
      <c r="I216" s="13">
        <v>42691.360381944447</v>
      </c>
      <c r="J216" s="7">
        <v>0</v>
      </c>
      <c r="K216" s="109" t="str">
        <f t="shared" si="154"/>
        <v>4039/4040</v>
      </c>
      <c r="L216" s="22" t="str">
        <f>VLOOKUP(A216,'Trips&amp;Operators'!$C$1:$E$10000,3,FALSE)</f>
        <v>YORK</v>
      </c>
      <c r="M216" s="6">
        <f t="shared" si="155"/>
        <v>4.9074074122472666E-3</v>
      </c>
      <c r="N216" s="7">
        <f t="shared" si="156"/>
        <v>7.0666666736360639</v>
      </c>
      <c r="O216" s="7"/>
      <c r="P216" s="7"/>
      <c r="Q216" s="23"/>
      <c r="R216" s="23"/>
      <c r="S216" s="35">
        <f t="shared" si="157"/>
        <v>1</v>
      </c>
      <c r="T216" s="50" t="str">
        <f t="shared" si="158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07:28:19-700',mode:absolute,to:'2016-11-17 09:38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6" s="52" t="str">
        <f t="shared" si="160"/>
        <v>Y</v>
      </c>
      <c r="X216" s="177">
        <f t="shared" si="168"/>
        <v>1</v>
      </c>
      <c r="Y216" s="67">
        <f t="shared" si="161"/>
        <v>0.1111</v>
      </c>
      <c r="Z216" s="67">
        <f t="shared" si="162"/>
        <v>2.4228999999999998</v>
      </c>
      <c r="AA216" s="67">
        <f t="shared" si="163"/>
        <v>2.3117999999999999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164"/>
        <v>0903-17</v>
      </c>
      <c r="AE216" s="91" t="str">
        <f t="shared" si="165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216" s="88" t="str">
        <f t="shared" si="166"/>
        <v>"C:\Program Files (x86)\AstroGrep\AstroGrep.exe" /spath="%USERPROFILE%\AppData\Local\Temp\OnboardLogs" /stypes="app*4040*20161117*" /stext=" 15:.+((SYSTEM_STATE.+slice.+state.+changed )|(ment ac)|(system.+state.+changed )|(\[timeout)|(PRM\|1\|D)|(kpr)|(kdp)|(\|lc)|(penalty))" /e /r /s</v>
      </c>
      <c r="AG216" s="1" t="str">
        <f t="shared" si="167"/>
        <v>Other</v>
      </c>
      <c r="AH216" s="92" t="str">
        <f t="shared" si="169"/>
        <v>"%USERPROFILE%\Documents\GitHub\eaglep3\Utilities\RefineRTDCRunTimes.py" --tripid 903-17 --locoid 4040 --swversion DE.1.0.8.0 --startMP 204:1111 --initTime 2016-11-17T08:28:19 --startdatetime 2016-11-17T08:31:53 --delay 1 --endMP 300:24229 --enddatetime 2016-11-17T08:38:57 --enforcementcount 0 &gt;&gt;C:\Users\stu\Documents\GitHub\eaglep3-reporting\EC\2016-11-17-refined-times.txt</v>
      </c>
      <c r="AI216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{"issue":{"subject":"","project_id":79,"tracker_id":40,"status_id":1,"priority_id":2,"assigned_to_id":23,"start_date":"2016-11-17","description":"","custom_fields":[{"id":1,"name":"Subdivision","value":"Other"},{"id":4,"name":"Milepost","value":"2.4229"},{"id":17,"name":"Train ID","value":"903-17"},{"id":16,"name":"Locomotive ID","value":"4040"},{"id":130,"name":"Impact","value":""},{"id":150,"name":"Time of Event (Mountain Time)","value":"08:38:57"},{"id":151,"name":"Denver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551</v>
      </c>
      <c r="B217" s="7">
        <v>4039</v>
      </c>
      <c r="C217" s="22" t="s">
        <v>220</v>
      </c>
      <c r="D217" s="22" t="s">
        <v>407</v>
      </c>
      <c r="E217" s="13">
        <v>42691.647199074076</v>
      </c>
      <c r="F217" s="13">
        <v>42691.649560185186</v>
      </c>
      <c r="G217" s="7">
        <v>2</v>
      </c>
      <c r="H217" s="22" t="s">
        <v>364</v>
      </c>
      <c r="I217" s="13">
        <v>42691.655613425923</v>
      </c>
      <c r="J217" s="7">
        <v>0</v>
      </c>
      <c r="K217" s="109" t="str">
        <f t="shared" si="154"/>
        <v>4039/4040</v>
      </c>
      <c r="L217" s="22" t="str">
        <f>VLOOKUP(A217,'Trips&amp;Operators'!$C$1:$E$10000,3,FALSE)</f>
        <v>BROWN</v>
      </c>
      <c r="M217" s="6">
        <f t="shared" si="155"/>
        <v>6.0532407369464636E-3</v>
      </c>
      <c r="N217" s="7">
        <f t="shared" si="156"/>
        <v>8.7166666612029076</v>
      </c>
      <c r="O217" s="7"/>
      <c r="P217" s="7"/>
      <c r="Q217" s="23"/>
      <c r="R217" s="23"/>
      <c r="S217" s="35">
        <f t="shared" si="157"/>
        <v>1</v>
      </c>
      <c r="T217" s="50" t="str">
        <f t="shared" si="158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14:31:58-700',mode:absolute,to:'2016-11-17 16:44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7" s="52" t="str">
        <f t="shared" si="160"/>
        <v>Y</v>
      </c>
      <c r="X217" s="177">
        <f t="shared" si="168"/>
        <v>1</v>
      </c>
      <c r="Y217" s="67">
        <f t="shared" si="161"/>
        <v>2.3262</v>
      </c>
      <c r="Z217" s="67">
        <f t="shared" si="162"/>
        <v>7.3400000000000007E-2</v>
      </c>
      <c r="AA217" s="67">
        <f t="shared" si="163"/>
        <v>2.2528000000000001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164"/>
        <v>0904-17</v>
      </c>
      <c r="AE217" s="91" t="str">
        <f t="shared" si="165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217" s="88" t="str">
        <f t="shared" si="166"/>
        <v>"C:\Program Files (x86)\AstroGrep\AstroGrep.exe" /spath="%USERPROFILE%\AppData\Local\Temp\OnboardLogs" /stypes="app*4039*20161117*" /stext=" 22:.+((SYSTEM_STATE.+slice.+state.+changed )|(ment ac)|(system.+state.+changed )|(\[timeout)|(PRM\|1\|D)|(kpr)|(kdp)|(\|lc)|(penalty))" /e /r /s</v>
      </c>
      <c r="AG217" s="1" t="str">
        <f t="shared" si="167"/>
        <v>Other</v>
      </c>
      <c r="AH217" s="92" t="str">
        <f t="shared" si="169"/>
        <v>"%USERPROFILE%\Documents\GitHub\eaglep3\Utilities\RefineRTDCRunTimes.py" --tripid 904-17 --locoid 4039 --swversion DE.1.0.8.0 --startMP 300:23262 --initTime 2016-11-17T15:31:58 --startdatetime 2016-11-17T15:35:22 --delay 2 --endMP 204:734 --enddatetime 2016-11-17T15:44:05 --enforcementcount 0 &gt;&gt;C:\Users\stu\Documents\GitHub\eaglep3-reporting\EC\2016-11-17-refined-times.txt</v>
      </c>
      <c r="AI217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{"issue":{"subject":"","project_id":79,"tracker_id":40,"status_id":1,"priority_id":2,"assigned_to_id":23,"start_date":"2016-11-17","description":"","custom_fields":[{"id":1,"name":"Subdivision","value":"Other"},{"id":4,"name":"Milepost","value":"0.0734"},{"id":17,"name":"Train ID","value":"904-17"},{"id":16,"name":"Locomotive ID","value":"4039"},{"id":130,"name":"Impact","value":""},{"id":150,"name":"Time of Event (Mountain Time)","value":"15:44:05"},{"id":151,"name":"Denver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592</v>
      </c>
      <c r="B218" s="7">
        <v>4039</v>
      </c>
      <c r="C218" s="22" t="s">
        <v>220</v>
      </c>
      <c r="D218" s="22" t="s">
        <v>409</v>
      </c>
      <c r="E218" s="13">
        <v>42691.796759259261</v>
      </c>
      <c r="F218" s="13">
        <v>25568.708333333332</v>
      </c>
      <c r="G218" s="7">
        <v>1</v>
      </c>
      <c r="H218" s="22" t="s">
        <v>771</v>
      </c>
      <c r="I218" s="13">
        <v>25568.708333333332</v>
      </c>
      <c r="J218" s="7">
        <v>0</v>
      </c>
      <c r="K218" s="109" t="str">
        <f t="shared" si="154"/>
        <v>4039/4040</v>
      </c>
      <c r="L218" s="22" t="str">
        <f>VLOOKUP(A218,'Trips&amp;Operators'!$C$1:$E$10000,3,FALSE)</f>
        <v>BROWN</v>
      </c>
      <c r="M218" s="6">
        <f t="shared" si="155"/>
        <v>0</v>
      </c>
      <c r="N218" s="7">
        <f t="shared" si="156"/>
        <v>0</v>
      </c>
      <c r="O218" s="7"/>
      <c r="P218" s="7"/>
      <c r="Q218" s="23"/>
      <c r="R218" s="23"/>
      <c r="S218" s="35">
        <f t="shared" si="157"/>
        <v>0</v>
      </c>
      <c r="T218" s="50" t="str">
        <f t="shared" si="158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18:07:20-700',mode:absolute,to:'1969-12-31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 t="shared" si="160"/>
        <v>Y</v>
      </c>
      <c r="X218" s="177">
        <f t="shared" si="168"/>
        <v>2</v>
      </c>
      <c r="Y218" s="67">
        <f t="shared" si="161"/>
        <v>5.8644999999999996</v>
      </c>
      <c r="Z218" s="67">
        <f t="shared" si="162"/>
        <v>2.8780000000000001</v>
      </c>
      <c r="AA218" s="67">
        <f t="shared" si="163"/>
        <v>2.9864999999999995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164"/>
        <v>0906-17</v>
      </c>
      <c r="AE218" s="91" t="str">
        <f t="shared" si="16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8" s="88" t="str">
        <f t="shared" si="166"/>
        <v>"C:\Program Files (x86)\AstroGrep\AstroGrep.exe" /spath="%USERPROFILE%\AppData\Local\Temp\OnboardLogs" /stypes="app*4039*19700101*" /stext=" 00:.+((SYSTEM_STATE.+slice.+state.+changed )|(ment ac)|(system.+state.+changed )|(\[timeout)|(PRM\|1\|D)|(kpr)|(kdp)|(\|lc)|(penalty))" /e /r /s</v>
      </c>
      <c r="AG218" s="1" t="str">
        <f t="shared" si="167"/>
        <v>Other</v>
      </c>
      <c r="AH218" s="92" t="str">
        <f t="shared" si="169"/>
        <v>"%USERPROFILE%\Documents\GitHub\eaglep3\Utilities\RefineRTDCRunTimes.py" --tripid 906-17 --locoid 4039 --swversion DE.1.0.8.0 --startMP 300:58645 --initTime 2016-11-17T19:07:20 --startdatetime 1969-12-31T17:00:00 --delay 1 --endMP 300:28780 --enddatetime 1969-12-31T17:00:00 --enforcementcount 0 &gt;&gt;C:\Users\stu\Documents\GitHub\eaglep3-reporting\EC\2016-11-17-refined-times.txt</v>
      </c>
      <c r="AI218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ID","value":"906-17"},{"id":16,"name":"Locomotive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456</v>
      </c>
      <c r="B219" s="7">
        <v>4012</v>
      </c>
      <c r="C219" s="22" t="s">
        <v>220</v>
      </c>
      <c r="D219" s="22" t="s">
        <v>721</v>
      </c>
      <c r="E219" s="13">
        <v>42691.168993055559</v>
      </c>
      <c r="F219" s="13">
        <v>42691.170266203706</v>
      </c>
      <c r="G219" s="7">
        <v>1</v>
      </c>
      <c r="H219" s="22" t="s">
        <v>196</v>
      </c>
      <c r="I219" s="13">
        <v>42691.186990740738</v>
      </c>
      <c r="J219" s="7">
        <v>0</v>
      </c>
      <c r="K219" s="109" t="str">
        <f t="shared" si="154"/>
        <v>4011/4012</v>
      </c>
      <c r="L219" s="22" t="str">
        <f>VLOOKUP(A219,'Trips&amp;Operators'!$C$1:$E$10000,3,FALSE)</f>
        <v>CUSHING</v>
      </c>
      <c r="M219" s="6">
        <f t="shared" si="155"/>
        <v>1.6724537032132503E-2</v>
      </c>
      <c r="N219" s="7">
        <f t="shared" si="156"/>
        <v>24.083333326270804</v>
      </c>
      <c r="O219" s="7"/>
      <c r="P219" s="7"/>
      <c r="Q219" s="23"/>
      <c r="R219" s="23"/>
      <c r="S219" s="35">
        <f t="shared" si="157"/>
        <v>0</v>
      </c>
      <c r="T219" s="50" t="e">
        <f t="shared" si="158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03:03:21-700',mode:absolute,to:'2016-11-17 05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 t="shared" si="160"/>
        <v>N</v>
      </c>
      <c r="X219" s="177" t="e">
        <f t="shared" si="168"/>
        <v>#VALUE!</v>
      </c>
      <c r="Y219" s="67">
        <f t="shared" si="161"/>
        <v>11.173</v>
      </c>
      <c r="Z219" s="67">
        <f t="shared" si="162"/>
        <v>1.49E-2</v>
      </c>
      <c r="AA219" s="67">
        <f t="shared" si="163"/>
        <v>11.158099999999999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164"/>
        <v>50-17</v>
      </c>
      <c r="AE219" s="91" t="str">
        <f t="shared" si="165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219" s="88" t="str">
        <f t="shared" si="166"/>
        <v>"C:\Program Files (x86)\AstroGrep\AstroGrep.exe" /spath="%USERPROFILE%\AppData\Local\Temp\OnboardLogs" /stypes="app*4012*20161117*" /stext=" 11:.+((SYSTEM_STATE.+slice.+state.+changed )|(ment ac)|(system.+state.+changed )|(\[timeout)|(PRM\|1\|D)|(kpr)|(kdp)|(\|lc)|(penalty))" /e /r /s</v>
      </c>
      <c r="AG219" s="1" t="str">
        <f t="shared" si="167"/>
        <v>Other</v>
      </c>
      <c r="AH219" s="92" t="str">
        <f t="shared" si="169"/>
        <v>"%USERPROFILE%\Documents\GitHub\eaglep3\Utilities\RefineRTDCRunTimes.py" --tripid 50-17 --locoid 4012 --swversion DE.1.0.8.0 --startMP 204:111730 --initTime 2016-11-17T04:03:21 --startdatetime 2016-11-17T04:05:11 --delay 1 --endMP 204:149 --enddatetime 2016-11-17T04:29:16 --enforcementcount 0 &gt;&gt;C:\Users\stu\Documents\GitHub\eaglep3-reporting\EC\2016-11-17-refined-times.txt</v>
      </c>
      <c r="AI219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{"issue":{"subject":"","project_id":79,"tracker_id":40,"status_id":1,"priority_id":2,"assigned_to_id":23,"start_date":"2016-11-17","description":"","custom_fields":[{"id":1,"name":"Subdivision","value":"Other"},{"id":4,"name":"Milepost","value":"0.0149"},{"id":17,"name":"Train ID","value":"50-17"},{"id":16,"name":"Locomotive ID","value":"4012"},{"id":130,"name":"Impact","value":""},{"id":150,"name":"Time of Event (Mountain Time)","value":"04:29:16"},{"id":151,"name":"Denver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450</v>
      </c>
      <c r="B220" s="7">
        <v>4011</v>
      </c>
      <c r="C220" s="22" t="s">
        <v>220</v>
      </c>
      <c r="D220" s="22" t="s">
        <v>722</v>
      </c>
      <c r="E220" s="13">
        <v>42691.124143518522</v>
      </c>
      <c r="F220" s="13">
        <v>42691.151388888888</v>
      </c>
      <c r="G220" s="7">
        <v>2</v>
      </c>
      <c r="H220" s="22" t="s">
        <v>723</v>
      </c>
      <c r="I220" s="13">
        <v>42691.166608796295</v>
      </c>
      <c r="J220" s="7">
        <v>0</v>
      </c>
      <c r="K220" s="109" t="str">
        <f t="shared" si="154"/>
        <v>4011/4012</v>
      </c>
      <c r="L220" s="22" t="str">
        <f>VLOOKUP(A220,'Trips&amp;Operators'!$C$1:$E$10000,3,FALSE)</f>
        <v>CUSHING</v>
      </c>
      <c r="M220" s="6">
        <f t="shared" si="155"/>
        <v>1.5219907407299615E-2</v>
      </c>
      <c r="N220" s="7">
        <f t="shared" si="156"/>
        <v>21.916666666511446</v>
      </c>
      <c r="O220" s="7"/>
      <c r="P220" s="7"/>
      <c r="Q220" s="23"/>
      <c r="R220" s="23"/>
      <c r="S220" s="35">
        <f t="shared" si="157"/>
        <v>0</v>
      </c>
      <c r="T220" s="50" t="e">
        <f t="shared" si="158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01:58:46-700',mode:absolute,to:'2016-11-17 04:59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0" s="52" t="str">
        <f t="shared" si="160"/>
        <v>Y</v>
      </c>
      <c r="X220" s="177" t="e">
        <f t="shared" si="168"/>
        <v>#VALUE!</v>
      </c>
      <c r="Y220" s="67">
        <f t="shared" si="161"/>
        <v>0.58960000000000001</v>
      </c>
      <c r="Z220" s="67">
        <f t="shared" si="162"/>
        <v>0.59050000000000002</v>
      </c>
      <c r="AA220" s="67">
        <f t="shared" si="163"/>
        <v>9.000000000000119E-4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164"/>
        <v>51-17</v>
      </c>
      <c r="AE220" s="91" t="str">
        <f t="shared" si="165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20" s="88" t="str">
        <f t="shared" si="166"/>
        <v>"C:\Program Files (x86)\AstroGrep\AstroGrep.exe" /spath="%USERPROFILE%\AppData\Local\Temp\OnboardLogs" /stypes="app*4011*20161117*" /stext=" 10:.+((SYSTEM_STATE.+slice.+state.+changed )|(ment ac)|(system.+state.+changed )|(\[timeout)|(PRM\|1\|D)|(kpr)|(kdp)|(\|lc)|(penalty))" /e /r /s</v>
      </c>
      <c r="AG220" s="1" t="str">
        <f t="shared" si="167"/>
        <v>Other</v>
      </c>
      <c r="AH220" s="92" t="str">
        <f t="shared" si="169"/>
        <v>"%USERPROFILE%\Documents\GitHub\eaglep3\Utilities\RefineRTDCRunTimes.py" --tripid 51-17 --locoid 4011 --swversion DE.1.0.8.0 --startMP 204:5896 --initTime 2016-11-17T02:58:46 --startdatetime 2016-11-17T03:38:00 --delay 2 --endMP 204:5905 --enddatetime 2016-11-17T03:59:55 --enforcementcount 0 &gt;&gt;C:\Users\stu\Documents\GitHub\eaglep3-reporting\EC\2016-11-17-refined-times.txt</v>
      </c>
      <c r="AI220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{"issue":{"subject":"","project_id":79,"tracker_id":40,"status_id":1,"priority_id":2,"assigned_to_id":23,"start_date":"2016-11-17","description":"","custom_fields":[{"id":1,"name":"Subdivision","value":"Other"},{"id":4,"name":"Milepost","value":"0.5905"},{"id":17,"name":"Train ID","value":"51-17"},{"id":16,"name":"Locomotive ID","value":"4011"},{"id":130,"name":"Impact","value":""},{"id":150,"name":"Time of Event (Mountain Time)","value":"03:59:55"},{"id":151,"name":"Denver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450</v>
      </c>
      <c r="B221" s="7">
        <v>4011</v>
      </c>
      <c r="C221" s="22" t="s">
        <v>220</v>
      </c>
      <c r="D221" s="22" t="s">
        <v>722</v>
      </c>
      <c r="E221" s="13">
        <v>42691.141550925924</v>
      </c>
      <c r="F221" s="13">
        <v>42691.151388888888</v>
      </c>
      <c r="G221" s="7">
        <v>1</v>
      </c>
      <c r="H221" s="22" t="s">
        <v>724</v>
      </c>
      <c r="I221" s="13">
        <v>42691.166608796295</v>
      </c>
      <c r="J221" s="7">
        <v>0</v>
      </c>
      <c r="K221" s="109" t="str">
        <f t="shared" si="154"/>
        <v>4011/4012</v>
      </c>
      <c r="L221" s="22" t="str">
        <f>VLOOKUP(A221,'Trips&amp;Operators'!$C$1:$E$10000,3,FALSE)</f>
        <v>CUSHING</v>
      </c>
      <c r="M221" s="6">
        <f t="shared" si="155"/>
        <v>1.5219907407299615E-2</v>
      </c>
      <c r="N221" s="7">
        <f t="shared" si="156"/>
        <v>21.916666666511446</v>
      </c>
      <c r="O221" s="7"/>
      <c r="P221" s="7"/>
      <c r="Q221" s="23"/>
      <c r="R221" s="23"/>
      <c r="S221" s="35">
        <f t="shared" si="157"/>
        <v>0</v>
      </c>
      <c r="T221" s="50" t="e">
        <f t="shared" si="158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02:23:50-700',mode:absolute,to:'2016-11-17 04:59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1" s="52" t="str">
        <f t="shared" si="160"/>
        <v>N</v>
      </c>
      <c r="X221" s="177" t="e">
        <f t="shared" si="168"/>
        <v>#VALUE!</v>
      </c>
      <c r="Y221" s="67">
        <f t="shared" si="161"/>
        <v>0.58960000000000001</v>
      </c>
      <c r="Z221" s="67">
        <f t="shared" si="162"/>
        <v>11.2058</v>
      </c>
      <c r="AA221" s="67">
        <f t="shared" si="163"/>
        <v>10.616199999999999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164"/>
        <v>51-17</v>
      </c>
      <c r="AE221" s="91" t="str">
        <f t="shared" si="165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21" s="88" t="str">
        <f t="shared" si="166"/>
        <v>"C:\Program Files (x86)\AstroGrep\AstroGrep.exe" /spath="%USERPROFILE%\AppData\Local\Temp\OnboardLogs" /stypes="app*4011*20161117*" /stext=" 10:.+((SYSTEM_STATE.+slice.+state.+changed )|(ment ac)|(system.+state.+changed )|(\[timeout)|(PRM\|1\|D)|(kpr)|(kdp)|(\|lc)|(penalty))" /e /r /s</v>
      </c>
      <c r="AG221" s="1" t="str">
        <f t="shared" si="167"/>
        <v>Other</v>
      </c>
      <c r="AH221" s="92" t="str">
        <f t="shared" si="169"/>
        <v>"%USERPROFILE%\Documents\GitHub\eaglep3\Utilities\RefineRTDCRunTimes.py" --tripid 51-17 --locoid 4011 --swversion DE.1.0.8.0 --startMP 204:5896 --initTime 2016-11-17T03:23:50 --startdatetime 2016-11-17T03:38:00 --delay 1 --endMP 204:112058 --enddatetime 2016-11-17T03:59:55 --enforcementcount 0 &gt;&gt;C:\Users\stu\Documents\GitHub\eaglep3-reporting\EC\2016-11-17-refined-times.txt</v>
      </c>
      <c r="AI221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{"issue":{"subject":"","project_id":79,"tracker_id":40,"status_id":1,"priority_id":2,"assigned_to_id":23,"start_date":"2016-11-17","description":"","custom_fields":[{"id":1,"name":"Subdivision","value":"Other"},{"id":4,"name":"Milepost","value":"11.2058"},{"id":17,"name":"Train ID","value":"51-17"},{"id":16,"name":"Locomotive ID","value":"4011"},{"id":130,"name":"Impact","value":""},{"id":150,"name":"Time of Event (Mountain Time)","value":"03:59:55"},{"id":151,"name":"Denver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582</v>
      </c>
      <c r="B222" s="7">
        <v>4043</v>
      </c>
      <c r="C222" s="22" t="s">
        <v>220</v>
      </c>
      <c r="D222" s="22" t="s">
        <v>725</v>
      </c>
      <c r="E222" s="13">
        <v>42691.743344907409</v>
      </c>
      <c r="F222" s="13">
        <v>42691.748726851853</v>
      </c>
      <c r="G222" s="7">
        <v>7</v>
      </c>
      <c r="H222" s="22" t="s">
        <v>726</v>
      </c>
      <c r="I222" s="13">
        <v>42691.753912037035</v>
      </c>
      <c r="J222" s="7">
        <v>0</v>
      </c>
      <c r="K222" s="109" t="str">
        <f t="shared" si="154"/>
        <v>4043/4044</v>
      </c>
      <c r="L222" s="22" t="str">
        <f>VLOOKUP(A222,'Trips&amp;Operators'!$C$1:$E$10000,3,FALSE)</f>
        <v>ROMERO</v>
      </c>
      <c r="M222" s="6">
        <f t="shared" si="155"/>
        <v>5.1851851821993478E-3</v>
      </c>
      <c r="N222" s="7">
        <f t="shared" si="156"/>
        <v>7.4666666623670608</v>
      </c>
      <c r="O222" s="7"/>
      <c r="P222" s="7"/>
      <c r="Q222" s="23"/>
      <c r="R222" s="23"/>
      <c r="S222" s="35">
        <f t="shared" si="157"/>
        <v>0</v>
      </c>
      <c r="T222" s="50" t="e">
        <f t="shared" si="158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16:50:25-700',mode:absolute,to:'2016-11-17 19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160"/>
        <v>Y</v>
      </c>
      <c r="X222" s="177" t="e">
        <f t="shared" si="168"/>
        <v>#VALUE!</v>
      </c>
      <c r="Y222" s="67">
        <f t="shared" si="161"/>
        <v>2.1718999999999999</v>
      </c>
      <c r="Z222" s="67">
        <f t="shared" si="162"/>
        <v>8.7800000000000003E-2</v>
      </c>
      <c r="AA222" s="67">
        <f t="shared" si="163"/>
        <v>2.0840999999999998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164"/>
        <v>54-17</v>
      </c>
      <c r="AE222" s="91" t="str">
        <f t="shared" si="165"/>
        <v>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 &amp; aws s3 cp s3://rtdc.mdm.uploadarchive.raw/RTDC4043/ "%USERPROFILE%\AppData\Local\Temp\OnboardLogs"\RTDC4043\2016-11-18 --exclude "*" --recursive --include "*20161118*" &amp; "%USERPROFILE%\Documents\GitHub\mrs-test-scripts\Headless Mode &amp; Sideloading\WalkAndUnGZ.bat" "%USERPROFILE%\AppData\Local\Temp\OnboardLogs"\RTDC4043\2016-11-18</v>
      </c>
      <c r="AF222" s="88" t="str">
        <f t="shared" si="166"/>
        <v>"C:\Program Files (x86)\AstroGrep\AstroGrep.exe" /spath="%USERPROFILE%\AppData\Local\Temp\OnboardLogs" /stypes="app*4043*20161118*" /stext=" 01:.+((SYSTEM_STATE.+slice.+state.+changed )|(ment ac)|(system.+state.+changed )|(\[timeout)|(PRM\|1\|D)|(kpr)|(kdp)|(\|lc)|(penalty))" /e /r /s</v>
      </c>
      <c r="AG222" s="1" t="str">
        <f t="shared" si="167"/>
        <v>Other</v>
      </c>
      <c r="AH222" s="92" t="str">
        <f t="shared" si="169"/>
        <v>"%USERPROFILE%\Documents\GitHub\eaglep3\Utilities\RefineRTDCRunTimes.py" --tripid 54-17 --locoid 4043 --swversion DE.1.0.8.0 --startMP 300:21719 --initTime 2016-11-17T17:50:25 --startdatetime 2016-11-17T17:58:10 --delay 7 --endMP 204:878 --enddatetime 2016-11-17T18:05:38 --enforcementcount 0 &gt;&gt;C:\Users\stu\Documents\GitHub\eaglep3-reporting\EC\2016-11-17-refined-times.txt</v>
      </c>
      <c r="AI222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{"issue":{"subject":"","project_id":79,"tracker_id":40,"status_id":1,"priority_id":2,"assigned_to_id":23,"start_date":"2016-11-17","description":"","custom_fields":[{"id":1,"name":"Subdivision","value":"Other"},{"id":4,"name":"Milepost","value":"0.0878"},{"id":17,"name":"Train ID","value":"54-17"},{"id":16,"name":"Locomotive ID","value":"4043"},{"id":130,"name":"Impact","value":""},{"id":150,"name":"Time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580</v>
      </c>
      <c r="B223" s="7">
        <v>4031</v>
      </c>
      <c r="C223" s="22" t="s">
        <v>220</v>
      </c>
      <c r="D223" s="22" t="s">
        <v>727</v>
      </c>
      <c r="E223" s="13">
        <v>42691.745925925927</v>
      </c>
      <c r="F223" s="13">
        <v>25568.708333333332</v>
      </c>
      <c r="G223" s="7">
        <v>1</v>
      </c>
      <c r="H223" s="22" t="s">
        <v>728</v>
      </c>
      <c r="I223" s="13">
        <v>25568.708333333332</v>
      </c>
      <c r="J223" s="7">
        <v>0</v>
      </c>
      <c r="K223" s="109" t="str">
        <f t="shared" si="154"/>
        <v>4031/4032</v>
      </c>
      <c r="L223" s="22" t="str">
        <f>VLOOKUP(A223,'Trips&amp;Operators'!$C$1:$E$10000,3,FALSE)</f>
        <v>OUN</v>
      </c>
      <c r="M223" s="6">
        <f t="shared" si="155"/>
        <v>0</v>
      </c>
      <c r="N223" s="7">
        <f t="shared" si="156"/>
        <v>0</v>
      </c>
      <c r="O223" s="7"/>
      <c r="P223" s="7"/>
      <c r="Q223" s="23"/>
      <c r="R223" s="23"/>
      <c r="S223" s="35">
        <f t="shared" si="157"/>
        <v>0</v>
      </c>
      <c r="T223" s="50" t="e">
        <f t="shared" si="15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16:54:08-700',mode:absolute,to:'1969-12-31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3" s="52" t="str">
        <f t="shared" si="160"/>
        <v>Y</v>
      </c>
      <c r="X223" s="177" t="e">
        <f t="shared" si="168"/>
        <v>#VALUE!</v>
      </c>
      <c r="Y223" s="67">
        <f t="shared" si="161"/>
        <v>0.14879999999999999</v>
      </c>
      <c r="Z223" s="67">
        <f t="shared" si="162"/>
        <v>2.3298999999999999</v>
      </c>
      <c r="AA223" s="67">
        <f t="shared" si="163"/>
        <v>2.1810999999999998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164"/>
        <v>65-17</v>
      </c>
      <c r="AE223" s="91" t="str">
        <f t="shared" si="16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3" s="88" t="str">
        <f t="shared" si="166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23" s="1" t="str">
        <f t="shared" si="167"/>
        <v>Other</v>
      </c>
      <c r="AH223" s="92" t="str">
        <f t="shared" si="169"/>
        <v>"%USERPROFILE%\Documents\GitHub\eaglep3\Utilities\RefineRTDCRunTimes.py" --tripid 65-17 --locoid 4031 --swversion DE.1.0.8.0 --startMP 204:1488 --initTime 2016-11-17T17:54:08 --startdatetime 1969-12-31T17:00:00 --delay 1 --endMP 300:23299 --enddatetime 1969-12-31T17:00:00 --enforcementcount 0 &gt;&gt;C:\Users\stu\Documents\GitHub\eaglep3-reporting\EC\2016-11-17-refined-times.txt</v>
      </c>
      <c r="AI223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ID","value":"65-17"},{"id":16,"name":"Locomotive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</sheetData>
  <autoFilter ref="A12:AG254"/>
  <sortState ref="A13:AH200">
    <sortCondition ref="AG13:AG200"/>
    <sortCondition ref="AD13:AD200"/>
  </sortState>
  <mergeCells count="1">
    <mergeCell ref="A11:P11"/>
  </mergeCells>
  <conditionalFormatting sqref="W11:W12 W255:X1048576 W13:X223">
    <cfRule type="cellIs" dxfId="10" priority="344" operator="equal">
      <formula>"Y"</formula>
    </cfRule>
  </conditionalFormatting>
  <conditionalFormatting sqref="X255:X1048576 X13:X223">
    <cfRule type="cellIs" dxfId="9" priority="327" operator="greaterThan">
      <formula>1</formula>
    </cfRule>
  </conditionalFormatting>
  <conditionalFormatting sqref="X255:X1048576 X12:X223">
    <cfRule type="cellIs" dxfId="8" priority="324" operator="equal">
      <formula>0</formula>
    </cfRule>
  </conditionalFormatting>
  <conditionalFormatting sqref="A13:S22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38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6" t="str">
        <f>"Eagle P3 Braking Events - "&amp;TEXT(Variables!$A$2,"YYYY-mm-dd")</f>
        <v>Eagle P3 Braking Events - 2016-11-17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309</v>
      </c>
    </row>
    <row r="7" spans="1:30" s="1" customFormat="1" x14ac:dyDescent="0.25">
      <c r="A7" s="36">
        <v>42691.669583333336</v>
      </c>
      <c r="B7" s="31" t="s">
        <v>217</v>
      </c>
      <c r="C7" s="31" t="s">
        <v>441</v>
      </c>
      <c r="D7" s="31" t="s">
        <v>98</v>
      </c>
      <c r="E7" s="31" t="s">
        <v>442</v>
      </c>
      <c r="F7" s="47">
        <v>790</v>
      </c>
      <c r="G7" s="47">
        <v>841</v>
      </c>
      <c r="H7" s="47">
        <v>213651</v>
      </c>
      <c r="I7" s="47">
        <v>217845</v>
      </c>
      <c r="J7" s="31" t="s">
        <v>204</v>
      </c>
      <c r="K7" s="47">
        <v>156300</v>
      </c>
      <c r="L7" s="154" t="s">
        <v>50</v>
      </c>
      <c r="M7" s="155">
        <f t="shared" ref="M7:M51" si="0">CONVERT((I7-K7)/10000,"mi","ft")*IF(L7="Increasing Mileposts (1)",-1,1)</f>
        <v>-32495.759999999998</v>
      </c>
      <c r="N7" s="156" t="str">
        <f>VLOOKUP(C7,'Trips&amp;Operators'!$C$1:$E$99999,3,FALSE)</f>
        <v>HILLS</v>
      </c>
      <c r="O7" s="183" t="s">
        <v>202</v>
      </c>
      <c r="P7" s="157" t="s">
        <v>804</v>
      </c>
      <c r="Q7" s="31"/>
      <c r="R7" s="100" t="str">
        <f>VLOOKUP(C7,'Train Runs'!$A$13:$AE$9998,31,0)</f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S7" s="103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https://search-rtdc-monitor-bjffxe2xuh6vdkpspy63sjmuny.us-east-1.es.amazonaws.com/_plugin/kibana/#/discover/Steve-Slow-Train-Analysis-(2080s-and-2083s)?_g=(refreshInterval:(display:Off,section:0,value:0),time:(from:'2016-11-17 14:24:12-700',mode:absolute,to:'2016-11-17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7" s="105" t="str">
        <f t="shared" ref="T7:T5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/stypes="*4011*201611172*" /stext=" 23:.+((SYSTEM_STATE.+slice.+state.+changed )|(ment ac)|(system.+state.+changed )|(\[timeout)|(PRM\|1\|D)|(kpr)|(kdp)|(\|lc)|(penalty))" /e /r /s</v>
      </c>
      <c r="U7" s="9" t="str">
        <f t="shared" ref="U7:U51" si="2">MID(B7,13,4)</f>
        <v>4011</v>
      </c>
      <c r="V7" s="36">
        <f t="shared" ref="V7:V51" si="3">A7-utc_offset/24</f>
        <v>42691.96125</v>
      </c>
      <c r="W7" s="50" t="str">
        <f t="shared" ref="W7:W51" si="4">IF(VALUE(LEFT(IF(LEN(C7)=6,"0"&amp;C7,C7),2))&lt;=2,"EC",IF(OR(VALUE(LEFT(IF(LEN(C7)=6,"0"&amp;C7,C7),2))=8,VALUE(LEFT(IF(LEN(C7)=6,"0"&amp;C7,C7),2))=18),"NW","Other"))</f>
        <v>EC</v>
      </c>
      <c r="X7" s="50" t="str">
        <f t="shared" ref="X7:X51" si="5">IF(AND(E7="TRACK WARRANT AUTHORITY",G7&lt;10),"OMIT","KEEP")</f>
        <v>KEEP</v>
      </c>
      <c r="Y7" s="119" t="str">
        <f t="shared" ref="Y7:Y5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 (speedometer OK)","project_id":79,"tracker_id":40,"status_id":1,"priority_id":2,"assigned_to_id":23,"start_date":"2016-11-17","description":"","custom_fields":[{"id":1,"name":"Subdivision","value":"EC"},{"id":4,"name":"Milepost","value":"15.63"},{"id":17,"name":"Train ID","value":"195-17"},{"id":16,"name":"Locomotive ID","value":"4011"},{"id":130,"name":"Impact","value":""},{"id":150,"name":"Time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"%USERPROFILE%\AppData\Local\Temp\OnboardLogs"\RTDC4011\*4011*201611172*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"%USERPROFILE%\AppData\Local\Temp\OnboardLogs"\RTDC4011\*4011*201611172* &gt;&gt; 42691-slicedisagreementcheck.txt</v>
      </c>
    </row>
    <row r="8" spans="1:30" s="1" customFormat="1" x14ac:dyDescent="0.25">
      <c r="A8" s="36">
        <v>42691.419062499997</v>
      </c>
      <c r="B8" s="31" t="s">
        <v>232</v>
      </c>
      <c r="C8" s="31" t="s">
        <v>427</v>
      </c>
      <c r="D8" s="31" t="s">
        <v>49</v>
      </c>
      <c r="E8" s="31" t="s">
        <v>154</v>
      </c>
      <c r="F8" s="47">
        <v>0</v>
      </c>
      <c r="G8" s="47">
        <v>53</v>
      </c>
      <c r="H8" s="47">
        <v>33487</v>
      </c>
      <c r="I8" s="47">
        <v>33427</v>
      </c>
      <c r="J8" s="31" t="s">
        <v>153</v>
      </c>
      <c r="K8" s="47">
        <v>33257</v>
      </c>
      <c r="L8" s="154" t="s">
        <v>51</v>
      </c>
      <c r="M8" s="155">
        <f t="shared" si="0"/>
        <v>89.76</v>
      </c>
      <c r="N8" s="156" t="str">
        <f>VLOOKUP(C8,'Trips&amp;Operators'!$C$1:$E$99999,3,FALSE)</f>
        <v>STARKS</v>
      </c>
      <c r="O8" s="183" t="s">
        <v>202</v>
      </c>
      <c r="P8" s="157" t="s">
        <v>802</v>
      </c>
      <c r="Q8" s="31"/>
      <c r="R8" s="100" t="str">
        <f>VLOOKUP(C8,'Train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8" s="103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08:22:07-700',mode:absolute,to:'2016-11-17 11:15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5" t="str">
        <f t="shared" si="1"/>
        <v>"C:\Program Files (x86)\AstroGrep\AstroGrep.exe" /spath="%USERPROFILE%\AppData\Local\Temp\OnboardLogs" /stypes="*4012*201611171*" /stext=" 17:.+((SYSTEM_STATE.+slice.+state.+changed )|(ment ac)|(system.+state.+changed )|(\[timeout)|(PRM\|1\|D)|(kpr)|(kdp)|(\|lc)|(penalty))" /e /r /s</v>
      </c>
      <c r="U8" s="9" t="str">
        <f t="shared" si="2"/>
        <v>4012</v>
      </c>
      <c r="V8" s="36">
        <f t="shared" si="3"/>
        <v>42691.710729166662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{"issue":{"subject":"Form C","project_id":79,"tracker_id":40,"status_id":1,"priority_id":2,"assigned_to_id":23,"start_date":"2016-11-17","description":"","custom_fields":[{"id":1,"name":"Subdivision","value":"EC"},{"id":4,"name":"Milepost","value":"3.3257"},{"id":17,"name":"Train ID","value":"140-17"},{"id":16,"name":"Locomotive ID","value":"4012"},{"id":130,"name":"Impact","value":""},{"id":150,"name":"Time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"%USERPROFILE%\AppData\Local\Temp\OnboardLogs"\RTDC4012\*4012*201611171*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9" spans="1:30" s="1" customFormat="1" x14ac:dyDescent="0.25">
      <c r="A9" s="36">
        <v>42691.221585648149</v>
      </c>
      <c r="B9" s="31" t="s">
        <v>282</v>
      </c>
      <c r="C9" s="31" t="s">
        <v>411</v>
      </c>
      <c r="D9" s="31" t="s">
        <v>49</v>
      </c>
      <c r="E9" s="31" t="s">
        <v>154</v>
      </c>
      <c r="F9" s="47">
        <v>490</v>
      </c>
      <c r="G9" s="47">
        <v>555</v>
      </c>
      <c r="H9" s="47">
        <v>54553</v>
      </c>
      <c r="I9" s="47">
        <v>52490</v>
      </c>
      <c r="J9" s="31" t="s">
        <v>153</v>
      </c>
      <c r="K9" s="47">
        <v>53277</v>
      </c>
      <c r="L9" s="154" t="s">
        <v>51</v>
      </c>
      <c r="M9" s="155">
        <f t="shared" si="0"/>
        <v>-415.536</v>
      </c>
      <c r="N9" s="156" t="str">
        <f>VLOOKUP(C9,'Trips&amp;Operators'!$C$1:$E$99999,3,FALSE)</f>
        <v>SPECTOR</v>
      </c>
      <c r="O9" s="183" t="s">
        <v>202</v>
      </c>
      <c r="P9" s="157" t="s">
        <v>803</v>
      </c>
      <c r="Q9" s="31"/>
      <c r="R9" s="100" t="str">
        <f>VLOOKUP(C9,'Train Runs'!$A$13:$AE$9998,31,0)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S9" s="103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/stypes="*4013*201611171*" /stext=" 12:.+((SYSTEM_STATE.+slice.+state.+changed )|(ment ac)|(system.+state.+changed )|(\[timeout)|(PRM\|1\|D)|(kpr)|(kdp)|(\|lc)|(penalty))" /e /r /s</v>
      </c>
      <c r="U9" s="9" t="str">
        <f t="shared" si="2"/>
        <v>4013</v>
      </c>
      <c r="V9" s="36">
        <f t="shared" si="3"/>
        <v>42691.513252314813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arrival","project_id":79,"tracker_id":40,"status_id":1,"priority_id":2,"assigned_to_id":23,"start_date":"2016-11-17","description":"","custom_fields":[{"id":1,"name":"Subdivision","value":"EC"},{"id":4,"name":"Milepost","value":"5.3277"},{"id":17,"name":"Train ID","value":"104-17"},{"id":16,"name":"Locomotive ID","value":"4013"},{"id":130,"name":"Impact","value":""},{"id":150,"name":"Time of Event (Mountain Time)","value":"05:19:05"},{"id":151,"name":"Denver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"%USERPROFILE%\AppData\Local\Temp\OnboardLogs"\RTDC4013\*4013*201611171*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"%USERPROFILE%\AppData\Local\Temp\OnboardLogs"\RTDC4013\*4013*201611171* &gt;&gt; 42691-slicedisagreementcheck.txt</v>
      </c>
    </row>
    <row r="10" spans="1:30" s="1" customFormat="1" x14ac:dyDescent="0.25">
      <c r="A10" s="36">
        <v>42691.281064814815</v>
      </c>
      <c r="B10" s="31" t="s">
        <v>312</v>
      </c>
      <c r="C10" s="31" t="s">
        <v>415</v>
      </c>
      <c r="D10" s="31" t="s">
        <v>49</v>
      </c>
      <c r="E10" s="31" t="s">
        <v>154</v>
      </c>
      <c r="F10" s="47">
        <v>390</v>
      </c>
      <c r="G10" s="47">
        <v>570</v>
      </c>
      <c r="H10" s="47">
        <v>61929</v>
      </c>
      <c r="I10" s="47">
        <v>63770</v>
      </c>
      <c r="J10" s="31" t="s">
        <v>153</v>
      </c>
      <c r="K10" s="47">
        <v>63069</v>
      </c>
      <c r="L10" s="154" t="s">
        <v>50</v>
      </c>
      <c r="M10" s="155">
        <f t="shared" si="0"/>
        <v>-370.12799999999999</v>
      </c>
      <c r="N10" s="156" t="str">
        <f>VLOOKUP(C10,'Trips&amp;Operators'!$C$1:$E$99999,3,FALSE)</f>
        <v>SAFIEF</v>
      </c>
      <c r="O10" s="183" t="s">
        <v>202</v>
      </c>
      <c r="P10" s="157" t="s">
        <v>803</v>
      </c>
      <c r="Q10" s="31"/>
      <c r="R10" s="100" t="str">
        <f>VLOOKUP(C10,'Train Runs'!$A$13:$AE$9998,31,0)</f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S10" s="103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5" t="str">
        <f t="shared" si="1"/>
        <v>"C:\Program Files (x86)\AstroGrep\AstroGrep.exe" /spath="%USERPROFILE%\AppData\Local\Temp\OnboardLogs" /stypes="*4042*201611171*" /stext=" 13:.+((SYSTEM_STATE.+slice.+state.+changed )|(ment ac)|(system.+state.+changed )|(\[timeout)|(PRM\|1\|D)|(kpr)|(kdp)|(\|lc)|(penalty))" /e /r /s</v>
      </c>
      <c r="U10" s="9" t="str">
        <f t="shared" si="2"/>
        <v>4042</v>
      </c>
      <c r="V10" s="36">
        <f t="shared" si="3"/>
        <v>42691.572731481479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arrival","project_id":79,"tracker_id":40,"status_id":1,"priority_id":2,"assigned_to_id":23,"start_date":"2016-11-17","description":"","custom_fields":[{"id":1,"name":"Subdivision","value":"EC"},{"id":4,"name":"Milepost","value":"6.3069"},{"id":17,"name":"Train ID","value":"123-17"},{"id":16,"name":"Locomotive ID","value":"4042"},{"id":130,"name":"Impact","value":""},{"id":150,"name":"Time of Event (Mountain Time)","value":"06:44:44"},{"id":151,"name":"Denver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"%USERPROFILE%\AppData\Local\Temp\OnboardLogs"\RTDC4042\*4042*201611171*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"%USERPROFILE%\AppData\Local\Temp\OnboardLogs"\RTDC4042\*4042*201611171* &gt;&gt; 42691-slicedisagreementcheck.txt</v>
      </c>
    </row>
    <row r="11" spans="1:30" s="1" customFormat="1" x14ac:dyDescent="0.25">
      <c r="A11" s="36">
        <v>42691.332037037035</v>
      </c>
      <c r="B11" s="31" t="s">
        <v>232</v>
      </c>
      <c r="C11" s="31" t="s">
        <v>421</v>
      </c>
      <c r="D11" s="31" t="s">
        <v>49</v>
      </c>
      <c r="E11" s="31" t="s">
        <v>154</v>
      </c>
      <c r="F11" s="47">
        <v>360</v>
      </c>
      <c r="G11" s="47">
        <v>410</v>
      </c>
      <c r="H11" s="47">
        <v>110036</v>
      </c>
      <c r="I11" s="47">
        <v>108825</v>
      </c>
      <c r="J11" s="31" t="s">
        <v>153</v>
      </c>
      <c r="K11" s="47">
        <v>109135</v>
      </c>
      <c r="L11" s="154" t="s">
        <v>51</v>
      </c>
      <c r="M11" s="155">
        <f t="shared" si="0"/>
        <v>-163.68</v>
      </c>
      <c r="N11" s="156" t="str">
        <f>VLOOKUP(C11,'Trips&amp;Operators'!$C$1:$E$99999,3,FALSE)</f>
        <v>STARKS</v>
      </c>
      <c r="O11" s="183" t="s">
        <v>202</v>
      </c>
      <c r="P11" s="157" t="s">
        <v>803</v>
      </c>
      <c r="Q11" s="31"/>
      <c r="R11" s="100" t="str">
        <f>VLOOKUP(C11,'Train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11" s="103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06:38:52-700',mode:absolute,to:'2016-11-17 09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1" s="105" t="str">
        <f t="shared" si="1"/>
        <v>"C:\Program Files (x86)\AstroGrep\AstroGrep.exe" /spath="%USERPROFILE%\AppData\Local\Temp\OnboardLogs" /stypes="*4012*201611171*" /stext=" 14:.+((SYSTEM_STATE.+slice.+state.+changed )|(ment ac)|(system.+state.+changed )|(\[timeout)|(PRM\|1\|D)|(kpr)|(kdp)|(\|lc)|(penalty))" /e /r /s</v>
      </c>
      <c r="U11" s="9" t="str">
        <f t="shared" si="2"/>
        <v>4012</v>
      </c>
      <c r="V11" s="36">
        <f t="shared" si="3"/>
        <v>42691.623703703699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arrival","project_id":79,"tracker_id":40,"status_id":1,"priority_id":2,"assigned_to_id":23,"start_date":"2016-11-17","description":"","custom_fields":[{"id":1,"name":"Subdivision","value":"EC"},{"id":4,"name":"Milepost","value":"10.9135"},{"id":17,"name":"Train ID","value":"126-17"},{"id":16,"name":"Locomotive ID","value":"4012"},{"id":130,"name":"Impact","value":""},{"id":150,"name":"Time of Event (Mountain Time)","value":"07:58:08"},{"id":151,"name":"Denver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"%USERPROFILE%\AppData\Local\Temp\OnboardLogs"\RTDC4012\*4012*201611171*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12" spans="1:30" s="1" customFormat="1" x14ac:dyDescent="0.25">
      <c r="A12" s="36">
        <v>42691.495729166665</v>
      </c>
      <c r="B12" s="31" t="s">
        <v>232</v>
      </c>
      <c r="C12" s="31" t="s">
        <v>433</v>
      </c>
      <c r="D12" s="31" t="s">
        <v>49</v>
      </c>
      <c r="E12" s="31" t="s">
        <v>203</v>
      </c>
      <c r="F12" s="47">
        <v>150</v>
      </c>
      <c r="G12" s="47">
        <v>216</v>
      </c>
      <c r="H12" s="47">
        <v>5144</v>
      </c>
      <c r="I12" s="47">
        <v>4662</v>
      </c>
      <c r="J12" s="31" t="s">
        <v>204</v>
      </c>
      <c r="K12" s="47">
        <v>4677</v>
      </c>
      <c r="L12" s="154" t="s">
        <v>51</v>
      </c>
      <c r="M12" s="155">
        <f t="shared" si="0"/>
        <v>-7.92</v>
      </c>
      <c r="N12" s="156" t="str">
        <f>VLOOKUP(C12,'Trips&amp;Operators'!$C$1:$E$99999,3,FALSE)</f>
        <v>STARKS</v>
      </c>
      <c r="O12" s="183" t="s">
        <v>202</v>
      </c>
      <c r="P12" s="157"/>
      <c r="Q12" s="31"/>
      <c r="R12" s="100" t="str">
        <f>VLOOKUP(C12,'Train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12" s="103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10:09:27-700',mode:absolute,to:'2016-11-17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/stypes="*4012*201611171*" /stext=" 18:.+((SYSTEM_STATE.+slice.+state.+changed )|(ment ac)|(system.+state.+changed )|(\[timeout)|(PRM\|1\|D)|(kpr)|(kdp)|(\|lc)|(penalty))" /e /r /s</v>
      </c>
      <c r="U12" s="9" t="str">
        <f t="shared" si="2"/>
        <v>4012</v>
      </c>
      <c r="V12" s="36">
        <f t="shared" si="3"/>
        <v>42691.787395833329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{"issue":{"subject":"","project_id":79,"tracker_id":40,"status_id":1,"priority_id":2,"assigned_to_id":23,"start_date":"2016-11-17","description":"","custom_fields":[{"id":1,"name":"Subdivision","value":"EC"},{"id":4,"name":"Milepost","value":"0.4677"},{"id":17,"name":"Train ID","value":"154-17"},{"id":16,"name":"Locomotive ID","value":"4012"},{"id":130,"name":"Impact","value":""},{"id":150,"name":"Time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"%USERPROFILE%\AppData\Local\Temp\OnboardLogs"\RTDC4012\*4012*201611171*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13" spans="1:30" s="1" customFormat="1" x14ac:dyDescent="0.25">
      <c r="A13" s="36">
        <v>42691.293749999997</v>
      </c>
      <c r="B13" s="31" t="s">
        <v>236</v>
      </c>
      <c r="C13" s="31" t="s">
        <v>416</v>
      </c>
      <c r="D13" s="31" t="s">
        <v>98</v>
      </c>
      <c r="E13" s="31" t="s">
        <v>203</v>
      </c>
      <c r="F13" s="47">
        <v>400</v>
      </c>
      <c r="G13" s="47">
        <v>458</v>
      </c>
      <c r="H13" s="47">
        <v>7264</v>
      </c>
      <c r="I13" s="47">
        <v>8678</v>
      </c>
      <c r="J13" s="31" t="s">
        <v>204</v>
      </c>
      <c r="K13" s="47">
        <v>5439</v>
      </c>
      <c r="L13" s="154" t="s">
        <v>50</v>
      </c>
      <c r="M13" s="155">
        <f t="shared" si="0"/>
        <v>-1710.192</v>
      </c>
      <c r="N13" s="156" t="str">
        <f>VLOOKUP(C13,'Trips&amp;Operators'!$C$1:$E$99999,3,FALSE)</f>
        <v>MAELZER</v>
      </c>
      <c r="O13" s="183" t="s">
        <v>202</v>
      </c>
      <c r="P13" s="157"/>
      <c r="Q13" s="31"/>
      <c r="R13" s="100" t="str">
        <f>VLOOKUP(C13,'Train Runs'!$A$13:$AE$9998,31,0)</f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S13" s="103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05:54:21-700',mode:absolute,to:'2016-11-17 08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3" s="105" t="str">
        <f t="shared" si="1"/>
        <v>"C:\Program Files (x86)\AstroGrep\AstroGrep.exe" /spath="%USERPROFILE%\AppData\Local\Temp\OnboardLogs" /stypes="*4002*201611171*" /stext=" 14:.+((SYSTEM_STATE.+slice.+state.+changed )|(ment ac)|(system.+state.+changed )|(\[timeout)|(PRM\|1\|D)|(kpr)|(kdp)|(\|lc)|(penalty))" /e /r /s</v>
      </c>
      <c r="U13" s="9" t="str">
        <f t="shared" si="2"/>
        <v>4002</v>
      </c>
      <c r="V13" s="36">
        <f t="shared" si="3"/>
        <v>42691.585416666661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{"issue":{"subject":"","project_id":79,"tracker_id":40,"status_id":1,"priority_id":2,"assigned_to_id":23,"start_date":"2016-11-17","description":"","custom_fields":[{"id":1,"name":"Subdivision","value":"EC"},{"id":4,"name":"Milepost","value":"0.5439"},{"id":17,"name":"Train ID","value":"127-17"},{"id":16,"name":"Locomotive ID","value":"4002"},{"id":130,"name":"Impact","value":""},{"id":150,"name":"Time of Event (Mountain Time)","value":"07:03:00"},{"id":151,"name":"Denver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"%USERPROFILE%\AppData\Local\Temp\OnboardLogs"\RTDC4002\*4002*201611171*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"%USERPROFILE%\AppData\Local\Temp\OnboardLogs"\RTDC4002\*4002*201611171* &gt;&gt; 42691-slicedisagreementcheck.txt</v>
      </c>
    </row>
    <row r="14" spans="1:30" s="1" customFormat="1" x14ac:dyDescent="0.25">
      <c r="A14" s="36">
        <v>42691.401041666664</v>
      </c>
      <c r="B14" s="31" t="s">
        <v>255</v>
      </c>
      <c r="C14" s="31" t="s">
        <v>424</v>
      </c>
      <c r="D14" s="31" t="s">
        <v>49</v>
      </c>
      <c r="E14" s="31" t="s">
        <v>203</v>
      </c>
      <c r="F14" s="47">
        <v>200</v>
      </c>
      <c r="G14" s="47">
        <v>292</v>
      </c>
      <c r="H14" s="47">
        <v>6431</v>
      </c>
      <c r="I14" s="47">
        <v>5768</v>
      </c>
      <c r="J14" s="31" t="s">
        <v>204</v>
      </c>
      <c r="K14" s="47">
        <v>5457</v>
      </c>
      <c r="L14" s="154" t="s">
        <v>51</v>
      </c>
      <c r="M14" s="155">
        <f t="shared" si="0"/>
        <v>164.208</v>
      </c>
      <c r="N14" s="156" t="str">
        <f>VLOOKUP(C14,'Trips&amp;Operators'!$C$1:$E$99999,3,FALSE)</f>
        <v>STRICKLAND</v>
      </c>
      <c r="O14" s="183" t="s">
        <v>202</v>
      </c>
      <c r="P14" s="157"/>
      <c r="Q14" s="31"/>
      <c r="R14" s="100" t="str">
        <f>VLOOKUP(C14,'Train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4" s="103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/stypes="*4037*201611171*" /stext=" 16:.+((SYSTEM_STATE.+slice.+state.+changed )|(ment ac)|(system.+state.+changed )|(\[timeout)|(PRM\|1\|D)|(kpr)|(kdp)|(\|lc)|(penalty))" /e /r /s</v>
      </c>
      <c r="U14" s="9" t="str">
        <f t="shared" si="2"/>
        <v>4037</v>
      </c>
      <c r="V14" s="36">
        <f t="shared" si="3"/>
        <v>42691.692708333328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{"issue":{"subject":"","project_id":79,"tracker_id":40,"status_id":1,"priority_id":2,"assigned_to_id":23,"start_date":"2016-11-17","description":"","custom_fields":[{"id":1,"name":"Subdivision","value":"EC"},{"id":4,"name":"Milepost","value":"0.5457"},{"id":17,"name":"Train ID","value":"136-17"},{"id":16,"name":"Locomotive ID","value":"4037"},{"id":130,"name":"Impact","value":""},{"id":150,"name":"Time of Event (Mountain Time)","value":"09:37:30"},{"id":151,"name":"Denver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"%USERPROFILE%\AppData\Local\Temp\OnboardLogs"\RTDC4037\*4037*201611171*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15" spans="1:30" s="1" customFormat="1" x14ac:dyDescent="0.25">
      <c r="A15" s="36">
        <v>42691.919131944444</v>
      </c>
      <c r="B15" s="31" t="s">
        <v>255</v>
      </c>
      <c r="C15" s="31" t="s">
        <v>447</v>
      </c>
      <c r="D15" s="31" t="s">
        <v>49</v>
      </c>
      <c r="E15" s="31" t="s">
        <v>203</v>
      </c>
      <c r="F15" s="47">
        <v>200</v>
      </c>
      <c r="G15" s="47">
        <v>309</v>
      </c>
      <c r="H15" s="47">
        <v>6504</v>
      </c>
      <c r="I15" s="47">
        <v>5697</v>
      </c>
      <c r="J15" s="31" t="s">
        <v>204</v>
      </c>
      <c r="K15" s="47">
        <v>5457</v>
      </c>
      <c r="L15" s="154" t="s">
        <v>51</v>
      </c>
      <c r="M15" s="155">
        <f t="shared" si="0"/>
        <v>126.72</v>
      </c>
      <c r="N15" s="156" t="str">
        <f>VLOOKUP(C15,'Trips&amp;Operators'!$C$1:$E$99999,3,FALSE)</f>
        <v>LOPES</v>
      </c>
      <c r="O15" s="183" t="s">
        <v>202</v>
      </c>
      <c r="P15" s="157"/>
      <c r="Q15" s="31"/>
      <c r="R15" s="100" t="str">
        <f>VLOOKUP(C15,'Train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5" s="103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/stypes="*4037*201611180*" /stext=" 05:.+((SYSTEM_STATE.+slice.+state.+changed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42692.210798611108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{"issue":{"subject":"","project_id":79,"tracker_id":40,"status_id":1,"priority_id":2,"assigned_to_id":23,"start_date":"2016-11-17","description":"","custom_fields":[{"id":1,"name":"Subdivision","value":"EC"},{"id":4,"name":"Milepost","value":"0.5457"},{"id":17,"name":"Train ID","value":"228-17"},{"id":16,"name":"Locomotive ID","value":"4037"},{"id":130,"name":"Impact","value":""},{"id":150,"name":"Time of Event (Mountain Time)","value":"22:03:33"},{"id":151,"name":"Denver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"%USERPROFILE%\AppData\Local\Temp\OnboardLogs"\RTDC4037\*4037*201611180*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16" spans="1:30" s="1" customFormat="1" x14ac:dyDescent="0.25">
      <c r="A16" s="36">
        <v>42691.451932870368</v>
      </c>
      <c r="B16" s="31" t="s">
        <v>413</v>
      </c>
      <c r="C16" s="31" t="s">
        <v>429</v>
      </c>
      <c r="D16" s="31" t="s">
        <v>49</v>
      </c>
      <c r="E16" s="31" t="s">
        <v>203</v>
      </c>
      <c r="F16" s="47">
        <v>400</v>
      </c>
      <c r="G16" s="47">
        <v>606</v>
      </c>
      <c r="H16" s="47">
        <v>13936</v>
      </c>
      <c r="I16" s="47">
        <v>17533</v>
      </c>
      <c r="J16" s="31" t="s">
        <v>204</v>
      </c>
      <c r="K16" s="47">
        <v>17867</v>
      </c>
      <c r="L16" s="154" t="s">
        <v>50</v>
      </c>
      <c r="M16" s="155">
        <f t="shared" si="0"/>
        <v>176.352</v>
      </c>
      <c r="N16" s="156" t="str">
        <f>VLOOKUP(C16,'Trips&amp;Operators'!$C$1:$E$99999,3,FALSE)</f>
        <v>RICHARDSON</v>
      </c>
      <c r="O16" s="183" t="s">
        <v>202</v>
      </c>
      <c r="P16" s="157"/>
      <c r="Q16" s="31"/>
      <c r="R16" s="100" t="str">
        <f>VLOOKUP(C16,'Train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16" s="103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6" s="105" t="str">
        <f t="shared" si="1"/>
        <v>"C:\Program Files (x86)\AstroGrep\AstroGrep.exe" /spath="%USERPROFILE%\AppData\Local\Temp\OnboardLogs" /stypes="*4031*201611171*" /stext=" 17:.+((SYSTEM_STATE.+slice.+state.+changed )|(ment ac)|(system.+state.+changed )|(\[timeout)|(PRM\|1\|D)|(kpr)|(kdp)|(\|lc)|(penalty))" /e /r /s</v>
      </c>
      <c r="U16" s="9" t="str">
        <f t="shared" si="2"/>
        <v>4031</v>
      </c>
      <c r="V16" s="36">
        <f t="shared" si="3"/>
        <v>42691.743599537032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{"issue":{"subject":"","project_id":79,"tracker_id":40,"status_id":1,"priority_id":2,"assigned_to_id":23,"start_date":"2016-11-17","description":"","custom_fields":[{"id":1,"name":"Subdivision","value":"EC"},{"id":4,"name":"Milepost","value":"1.7867"},{"id":17,"name":"Train ID","value":"157-17"},{"id":16,"name":"Locomotive ID","value":"4031"},{"id":130,"name":"Impact","value":""},{"id":150,"name":"Time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"%USERPROFILE%\AppData\Local\Temp\OnboardLogs"\RTDC4031\*4031*201611171*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17" spans="1:30" s="1" customFormat="1" x14ac:dyDescent="0.25">
      <c r="A17" s="36">
        <v>42691.460960648146</v>
      </c>
      <c r="B17" s="31" t="s">
        <v>255</v>
      </c>
      <c r="C17" s="31" t="s">
        <v>431</v>
      </c>
      <c r="D17" s="31" t="s">
        <v>49</v>
      </c>
      <c r="E17" s="31" t="s">
        <v>203</v>
      </c>
      <c r="F17" s="47">
        <v>400</v>
      </c>
      <c r="G17" s="47">
        <v>486</v>
      </c>
      <c r="H17" s="47">
        <v>121213</v>
      </c>
      <c r="I17" s="47">
        <v>119455</v>
      </c>
      <c r="J17" s="31" t="s">
        <v>204</v>
      </c>
      <c r="K17" s="47">
        <v>119716</v>
      </c>
      <c r="L17" s="154" t="s">
        <v>51</v>
      </c>
      <c r="M17" s="155">
        <f t="shared" si="0"/>
        <v>-137.80799999999999</v>
      </c>
      <c r="N17" s="156" t="str">
        <f>VLOOKUP(C17,'Trips&amp;Operators'!$C$1:$E$99999,3,FALSE)</f>
        <v>STRICKLAND</v>
      </c>
      <c r="O17" s="183" t="s">
        <v>202</v>
      </c>
      <c r="P17" s="157"/>
      <c r="Q17" s="31"/>
      <c r="R17" s="100" t="str">
        <f>VLOOKUP(C17,'Train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7" s="103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09:26:15-700',mode:absolute,to:'2016-11-17 12:31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7" s="105" t="str">
        <f t="shared" si="1"/>
        <v>"C:\Program Files (x86)\AstroGrep\AstroGrep.exe" /spath="%USERPROFILE%\AppData\Local\Temp\OnboardLogs" /stypes="*4037*201611171*" /stext=" 18:.+((SYSTEM_STATE.+slice.+state.+changed )|(ment ac)|(system.+state.+changed )|(\[timeout)|(PRM\|1\|D)|(kpr)|(kdp)|(\|lc)|(penalty))" /e /r /s</v>
      </c>
      <c r="U17" s="9" t="str">
        <f t="shared" si="2"/>
        <v>4037</v>
      </c>
      <c r="V17" s="36">
        <f t="shared" si="3"/>
        <v>42691.752627314811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{"issue":{"subject":"","project_id":79,"tracker_id":40,"status_id":1,"priority_id":2,"assigned_to_id":23,"start_date":"2016-11-17","description":"","custom_fields":[{"id":1,"name":"Subdivision","value":"EC"},{"id":4,"name":"Milepost","value":"11.9716"},{"id":17,"name":"Train ID","value":"150-17"},{"id":16,"name":"Locomotive ID","value":"4037"},{"id":130,"name":"Impact","value":""},{"id":150,"name":"Time of Event (Mountain Time)","value":"11:03:47"},{"id":151,"name":"Denver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"%USERPROFILE%\AppData\Local\Temp\OnboardLogs"\RTDC4037\*4037*201611171*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18" spans="1:30" s="1" customFormat="1" x14ac:dyDescent="0.25">
      <c r="A18" s="36">
        <v>42691.250115740739</v>
      </c>
      <c r="B18" s="31" t="s">
        <v>413</v>
      </c>
      <c r="C18" s="31" t="s">
        <v>414</v>
      </c>
      <c r="D18" s="31" t="s">
        <v>49</v>
      </c>
      <c r="E18" s="31" t="s">
        <v>203</v>
      </c>
      <c r="F18" s="47">
        <v>600</v>
      </c>
      <c r="G18" s="47">
        <v>698</v>
      </c>
      <c r="H18" s="47">
        <v>182301</v>
      </c>
      <c r="I18" s="47">
        <v>185099</v>
      </c>
      <c r="J18" s="31" t="s">
        <v>204</v>
      </c>
      <c r="K18" s="47">
        <v>183829</v>
      </c>
      <c r="L18" s="154" t="s">
        <v>50</v>
      </c>
      <c r="M18" s="155">
        <f t="shared" si="0"/>
        <v>-670.56</v>
      </c>
      <c r="N18" s="156" t="str">
        <f>VLOOKUP(C18,'Trips&amp;Operators'!$C$1:$E$99999,3,FALSE)</f>
        <v>RICHARDSON</v>
      </c>
      <c r="O18" s="183" t="s">
        <v>202</v>
      </c>
      <c r="P18" s="157"/>
      <c r="Q18" s="31"/>
      <c r="R18" s="100" t="str">
        <f>VLOOKUP(C18,'Train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18" s="103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https://search-rtdc-monitor-bjffxe2xuh6vdkpspy63sjmuny.us-east-1.es.amazonaws.com/_plugin/kibana/#/discover/Steve-Slow-Train-Analysis-(2080s-and-2083s)?_g=(refreshInterval:(display:Off,section:0,value:0),time:(from:'2016-11-17 04:23:40-700',mode:absolute,to:'2016-11-17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8" s="105" t="str">
        <f t="shared" si="1"/>
        <v>"C:\Program Files (x86)\AstroGrep\AstroGrep.exe" /spath="%USERPROFILE%\AppData\Local\Temp\OnboardLogs" /stypes="*4031*201611171*" /stext=" 13:.+((SYSTEM_STATE.+slice.+state.+changed )|(ment ac)|(system.+state.+changed )|(\[timeout)|(PRM\|1\|D)|(kpr)|(kdp)|(\|lc)|(penalty))" /e /r /s</v>
      </c>
      <c r="U18" s="9" t="str">
        <f t="shared" si="2"/>
        <v>4031</v>
      </c>
      <c r="V18" s="36">
        <f t="shared" si="3"/>
        <v>42691.541782407403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{"issue":{"subject":"","project_id":79,"tracker_id":40,"status_id":1,"priority_id":2,"assigned_to_id":23,"start_date":"2016-11-17","description":"","custom_fields":[{"id":1,"name":"Subdivision","value":"EC"},{"id":4,"name":"Milepost","value":"18.3829"},{"id":17,"name":"Train ID","value":"115-17"},{"id":16,"name":"Locomotive ID","value":"4031"},{"id":130,"name":"Impact","value":""},{"id":150,"name":"Time of Event (Mountain Time)","value":"06:00:10"},{"id":151,"name":"Denver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"%USERPROFILE%\AppData\Local\Temp\OnboardLogs"\RTDC4031\*4031*201611171*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19" spans="1:30" s="1" customFormat="1" x14ac:dyDescent="0.25">
      <c r="A19" s="36">
        <v>42691.377372685187</v>
      </c>
      <c r="B19" s="31" t="s">
        <v>255</v>
      </c>
      <c r="C19" s="31" t="s">
        <v>424</v>
      </c>
      <c r="D19" s="31" t="s">
        <v>98</v>
      </c>
      <c r="E19" s="31" t="s">
        <v>203</v>
      </c>
      <c r="F19" s="47">
        <v>600</v>
      </c>
      <c r="G19" s="47">
        <v>654</v>
      </c>
      <c r="H19" s="47">
        <v>184187</v>
      </c>
      <c r="I19" s="47">
        <v>180641</v>
      </c>
      <c r="J19" s="31" t="s">
        <v>204</v>
      </c>
      <c r="K19" s="47">
        <v>190834</v>
      </c>
      <c r="L19" s="154" t="s">
        <v>51</v>
      </c>
      <c r="M19" s="155">
        <f t="shared" si="0"/>
        <v>-5381.9040000000005</v>
      </c>
      <c r="N19" s="156" t="str">
        <f>VLOOKUP(C19,'Trips&amp;Operators'!$C$1:$E$99999,3,FALSE)</f>
        <v>STRICKLAND</v>
      </c>
      <c r="O19" s="183" t="s">
        <v>202</v>
      </c>
      <c r="P19" s="157"/>
      <c r="Q19" s="31"/>
      <c r="R19" s="100" t="str">
        <f>VLOOKUP(C19,'Train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9" s="103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9" s="105" t="str">
        <f t="shared" si="1"/>
        <v>"C:\Program Files (x86)\AstroGrep\AstroGrep.exe" /spath="%USERPROFILE%\AppData\Local\Temp\OnboardLogs" /stypes="*4037*201611171*" /stext=" 16:.+((SYSTEM_STATE.+slice.+state.+changed )|(ment ac)|(system.+state.+changed )|(\[timeout)|(PRM\|1\|D)|(kpr)|(kdp)|(\|lc)|(penalty))" /e /r /s</v>
      </c>
      <c r="U19" s="9" t="str">
        <f t="shared" si="2"/>
        <v>4037</v>
      </c>
      <c r="V19" s="36">
        <f t="shared" si="3"/>
        <v>42691.669039351851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{"issue":{"subject":"","project_id":79,"tracker_id":40,"status_id":1,"priority_id":2,"assigned_to_id":23,"start_date":"2016-11-17","description":"","custom_fields":[{"id":1,"name":"Subdivision","value":"EC"},{"id":4,"name":"Milepost","value":"19.0834"},{"id":17,"name":"Train ID","value":"136-17"},{"id":16,"name":"Locomotive ID","value":"4037"},{"id":130,"name":"Impact","value":""},{"id":150,"name":"Time of Event (Mountain Time)","value":"09:03:25"},{"id":151,"name":"Denver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"%USERPROFILE%\AppData\Local\Temp\OnboardLogs"\RTDC4037\*4037*201611171*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0" spans="1:30" s="1" customFormat="1" x14ac:dyDescent="0.25">
      <c r="A20" s="36">
        <v>42691.416655092595</v>
      </c>
      <c r="B20" s="31" t="s">
        <v>425</v>
      </c>
      <c r="C20" s="31" t="s">
        <v>426</v>
      </c>
      <c r="D20" s="31" t="s">
        <v>98</v>
      </c>
      <c r="E20" s="31" t="s">
        <v>203</v>
      </c>
      <c r="F20" s="47">
        <v>550</v>
      </c>
      <c r="G20" s="47">
        <v>601</v>
      </c>
      <c r="H20" s="47">
        <v>222057</v>
      </c>
      <c r="I20" s="47">
        <v>219490</v>
      </c>
      <c r="J20" s="31" t="s">
        <v>204</v>
      </c>
      <c r="K20" s="47">
        <v>224581</v>
      </c>
      <c r="L20" s="154" t="s">
        <v>51</v>
      </c>
      <c r="M20" s="155">
        <f t="shared" si="0"/>
        <v>-2688.0479999999998</v>
      </c>
      <c r="N20" s="156" t="str">
        <f>VLOOKUP(C20,'Trips&amp;Operators'!$C$1:$E$99999,3,FALSE)</f>
        <v>RICHARDSON</v>
      </c>
      <c r="O20" s="183" t="s">
        <v>202</v>
      </c>
      <c r="P20" s="157"/>
      <c r="Q20" s="31"/>
      <c r="R20" s="100" t="str">
        <f>VLOOKUP(C20,'Train Runs'!$A$13:$AE$9998,31,0)</f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S20" s="103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08:42:46-700',mode:absolute,to:'2016-11-17 11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 t="shared" si="1"/>
        <v>"C:\Program Files (x86)\AstroGrep\AstroGrep.exe" /spath="%USERPROFILE%\AppData\Local\Temp\OnboardLogs" /stypes="*4032*201611171*" /stext=" 16:.+((SYSTEM_STATE.+slice.+state.+changed )|(ment ac)|(system.+state.+changed )|(\[timeout)|(PRM\|1\|D)|(kpr)|(kdp)|(\|lc)|(penalty))" /e /r /s</v>
      </c>
      <c r="U20" s="9" t="str">
        <f t="shared" si="2"/>
        <v>4032</v>
      </c>
      <c r="V20" s="36">
        <f t="shared" si="3"/>
        <v>42691.708321759259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{"issue":{"subject":"","project_id":79,"tracker_id":40,"status_id":1,"priority_id":2,"assigned_to_id":23,"start_date":"2016-11-17","description":"","custom_fields":[{"id":1,"name":"Subdivision","value":"EC"},{"id":4,"name":"Milepost","value":"22.4581"},{"id":17,"name":"Train ID","value":"144-17"},{"id":16,"name":"Locomotive ID","value":"4032"},{"id":130,"name":"Impact","value":""},{"id":150,"name":"Time of Event (Mountain Time)","value":"09:59:59"},{"id":151,"name":"Denver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"%USERPROFILE%\AppData\Local\Temp\OnboardLogs"\RTDC4032\*4032*201611171*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"%USERPROFILE%\AppData\Local\Temp\OnboardLogs"\RTDC4032\*4032*201611171* &gt;&gt; 42691-slicedisagreementcheck.txt</v>
      </c>
    </row>
    <row r="21" spans="1:30" x14ac:dyDescent="0.25">
      <c r="A21" s="36">
        <v>42691.229016203702</v>
      </c>
      <c r="B21" s="31" t="s">
        <v>255</v>
      </c>
      <c r="C21" s="31" t="s">
        <v>412</v>
      </c>
      <c r="D21" s="31" t="s">
        <v>98</v>
      </c>
      <c r="E21" s="31" t="s">
        <v>203</v>
      </c>
      <c r="F21" s="47">
        <v>350</v>
      </c>
      <c r="G21" s="47">
        <v>406</v>
      </c>
      <c r="H21" s="47">
        <v>224693</v>
      </c>
      <c r="I21" s="47">
        <v>223158</v>
      </c>
      <c r="J21" s="31" t="s">
        <v>204</v>
      </c>
      <c r="K21" s="47">
        <v>228668</v>
      </c>
      <c r="L21" s="154" t="s">
        <v>51</v>
      </c>
      <c r="M21" s="155">
        <f t="shared" si="0"/>
        <v>-2909.28</v>
      </c>
      <c r="N21" s="156" t="str">
        <f>VLOOKUP(C21,'Trips&amp;Operators'!$C$1:$E$99999,3,FALSE)</f>
        <v>STRICKLAND</v>
      </c>
      <c r="O21" s="183" t="s">
        <v>202</v>
      </c>
      <c r="P21" s="157"/>
      <c r="Q21" s="31"/>
      <c r="R21" s="100" t="str">
        <f>VLOOKUP(C21,'Train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1" s="103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https://search-rtdc-monitor-bjffxe2xuh6vdkpspy63sjmuny.us-east-1.es.amazonaws.com/_plugin/kibana/#/discover/Steve-Slow-Train-Analysis-(2080s-and-2083s)?_g=(refreshInterval:(display:Off,section:0,value:0),time:(from:'2016-11-17 04:18:19-700',mode:absolute,to:'2016-11-17 07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1" s="105" t="str">
        <f t="shared" si="1"/>
        <v>"C:\Program Files (x86)\AstroGrep\AstroGrep.exe" /spath="%USERPROFILE%\AppData\Local\Temp\OnboardLogs" /stypes="*4037*201611171*" /stext=" 12:.+((SYSTEM_STATE.+slice.+state.+changed )|(ment ac)|(system.+state.+changed )|(\[timeout)|(PRM\|1\|D)|(kpr)|(kdp)|(\|lc)|(penalty))" /e /r /s</v>
      </c>
      <c r="U21" s="9" t="str">
        <f t="shared" si="2"/>
        <v>4037</v>
      </c>
      <c r="V21" s="36">
        <f t="shared" si="3"/>
        <v>42691.520682870367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{"issue":{"subject":"","project_id":79,"tracker_id":40,"status_id":1,"priority_id":2,"assigned_to_id":23,"start_date":"2016-11-17","description":"","custom_fields":[{"id":1,"name":"Subdivision","value":"EC"},{"id":4,"name":"Milepost","value":"22.8668"},{"id":17,"name":"Train ID","value":"108-17"},{"id":16,"name":"Locomotive ID","value":"4037"},{"id":130,"name":"Impact","value":""},{"id":150,"name":"Time of Event (Mountain Time)","value":"05:29:47"},{"id":151,"name":"Denver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"%USERPROFILE%\AppData\Local\Temp\OnboardLogs"\RTDC4037\*4037*201611171*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2" spans="1:30" x14ac:dyDescent="0.25">
      <c r="A22" s="36">
        <v>42691.544004629628</v>
      </c>
      <c r="B22" s="31" t="s">
        <v>232</v>
      </c>
      <c r="C22" s="31" t="s">
        <v>437</v>
      </c>
      <c r="D22" s="31" t="s">
        <v>98</v>
      </c>
      <c r="E22" s="31" t="s">
        <v>203</v>
      </c>
      <c r="F22" s="47">
        <v>350</v>
      </c>
      <c r="G22" s="47">
        <v>400</v>
      </c>
      <c r="H22" s="47">
        <v>225884</v>
      </c>
      <c r="I22" s="47">
        <v>224746</v>
      </c>
      <c r="J22" s="31" t="s">
        <v>204</v>
      </c>
      <c r="K22" s="47">
        <v>228668</v>
      </c>
      <c r="L22" s="154" t="s">
        <v>51</v>
      </c>
      <c r="M22" s="155">
        <f t="shared" si="0"/>
        <v>-2070.8159999999998</v>
      </c>
      <c r="N22" s="156" t="str">
        <f>VLOOKUP(C22,'Trips&amp;Operators'!$C$1:$E$99999,3,FALSE)</f>
        <v>HILLS</v>
      </c>
      <c r="O22" s="183" t="s">
        <v>202</v>
      </c>
      <c r="P22" s="157"/>
      <c r="Q22" s="31"/>
      <c r="R22" s="100" t="str">
        <f>VLOOKUP(C22,'Train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2" s="103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https://search-rtdc-monitor-bjffxe2xuh6vdkpspy63sjmuny.us-east-1.es.amazonaws.com/_plugin/kibana/#/discover/Steve-Slow-Train-Analysis-(2080s-and-2083s)?_g=(refreshInterval:(display:Off,section:0,value:0),time:(from:'2016-11-17 11:48:51-700',mode:absolute,to:'2016-11-17 14:47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/stypes="*4012*201611172*" /stext=" 20:.+((SYSTEM_STATE.+slice.+state.+changed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42691.835671296292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{"issue":{"subject":"","project_id":79,"tracker_id":40,"status_id":1,"priority_id":2,"assigned_to_id":23,"start_date":"2016-11-17","description":"","custom_fields":[{"id":1,"name":"Subdivision","value":"EC"},{"id":4,"name":"Milepost","value":"22.8668"},{"id":17,"name":"Train ID","value":"168-17"},{"id":16,"name":"Locomotive ID","value":"4012"},{"id":130,"name":"Impact","value":""},{"id":150,"name":"Time of Event (Mountain Time)","value":"13:03:22"},{"id":151,"name":"Denver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"%USERPROFILE%\AppData\Local\Temp\OnboardLogs"\RTDC4012\*4012*201611172*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23" spans="1:30" x14ac:dyDescent="0.25">
      <c r="A23" s="36">
        <v>42691.977418981478</v>
      </c>
      <c r="B23" s="31" t="s">
        <v>255</v>
      </c>
      <c r="C23" s="31" t="s">
        <v>448</v>
      </c>
      <c r="D23" s="31" t="s">
        <v>98</v>
      </c>
      <c r="E23" s="31" t="s">
        <v>203</v>
      </c>
      <c r="F23" s="47">
        <v>150</v>
      </c>
      <c r="G23" s="47">
        <v>210</v>
      </c>
      <c r="H23" s="47">
        <v>231267</v>
      </c>
      <c r="I23" s="47">
        <v>230849</v>
      </c>
      <c r="J23" s="31" t="s">
        <v>204</v>
      </c>
      <c r="K23" s="47">
        <v>231269</v>
      </c>
      <c r="L23" s="154" t="s">
        <v>51</v>
      </c>
      <c r="M23" s="155">
        <f t="shared" si="0"/>
        <v>-221.76</v>
      </c>
      <c r="N23" s="156" t="str">
        <f>VLOOKUP(C23,'Trips&amp;Operators'!$C$1:$E$99999,3,FALSE)</f>
        <v>LOPES</v>
      </c>
      <c r="O23" s="183" t="s">
        <v>202</v>
      </c>
      <c r="P23" s="157"/>
      <c r="Q23" s="31"/>
      <c r="R23" s="100" t="str">
        <f>VLOOKUP(C23,'Train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3" s="103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3" s="105" t="str">
        <f t="shared" si="1"/>
        <v>"C:\Program Files (x86)\AstroGrep\AstroGrep.exe" /spath="%USERPROFILE%\AppData\Local\Temp\OnboardLogs" /stypes="*4037*201611180*" /stext=" 06:.+((SYSTEM_STATE.+slice.+state.+changed )|(ment ac)|(system.+state.+changed )|(\[timeout)|(PRM\|1\|D)|(kpr)|(kdp)|(\|lc)|(penalty))" /e /r /s</v>
      </c>
      <c r="U23" s="9" t="str">
        <f t="shared" si="2"/>
        <v>4037</v>
      </c>
      <c r="V23" s="36">
        <f t="shared" si="3"/>
        <v>42692.269085648142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{"issue":{"subject":"","project_id":79,"tracker_id":40,"status_id":1,"priority_id":2,"assigned_to_id":23,"start_date":"2016-11-17","description":"","custom_fields":[{"id":1,"name":"Subdivision","value":"EC"},{"id":4,"name":"Milepost","value":"23.1269"},{"id":17,"name":"Train ID","value":"236-17"},{"id":16,"name":"Locomotive ID","value":"4037"},{"id":130,"name":"Impact","value":""},{"id":150,"name":"Time of Event (Mountain Time)","value":"23:27:29"},{"id":151,"name":"Denver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"%USERPROFILE%\AppData\Local\Temp\OnboardLogs"\RTDC4037\*4037*201611180*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24" spans="1:30" ht="15" customHeight="1" x14ac:dyDescent="0.25">
      <c r="A24" s="36">
        <v>42691.998576388891</v>
      </c>
      <c r="B24" s="31" t="s">
        <v>246</v>
      </c>
      <c r="C24" s="31" t="s">
        <v>449</v>
      </c>
      <c r="D24" s="31" t="s">
        <v>49</v>
      </c>
      <c r="E24" s="31" t="s">
        <v>203</v>
      </c>
      <c r="F24" s="47">
        <v>150</v>
      </c>
      <c r="G24" s="47">
        <v>201</v>
      </c>
      <c r="H24" s="47">
        <v>231319</v>
      </c>
      <c r="I24" s="47">
        <v>230897</v>
      </c>
      <c r="J24" s="31" t="s">
        <v>204</v>
      </c>
      <c r="K24" s="47">
        <v>231269</v>
      </c>
      <c r="L24" s="154" t="s">
        <v>51</v>
      </c>
      <c r="M24" s="155">
        <f t="shared" si="0"/>
        <v>-196.416</v>
      </c>
      <c r="N24" s="156" t="str">
        <f>VLOOKUP(C24,'Trips&amp;Operators'!$C$1:$E$99999,3,FALSE)</f>
        <v>SMITH</v>
      </c>
      <c r="O24" s="183" t="s">
        <v>202</v>
      </c>
      <c r="P24" s="157"/>
      <c r="Q24" s="31"/>
      <c r="R24" s="100" t="str">
        <f>VLOOKUP(C24,'Train Runs'!$A$13:$AE$9998,31,0)</f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S24" s="103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https://search-rtdc-monitor-bjffxe2xuh6vdkpspy63sjmuny.us-east-1.es.amazonaws.com/_plugin/kibana/#/discover/Steve-Slow-Train-Analysis-(2080s-and-2083s)?_g=(refreshInterval:(display:Off,section:0,value:0),time:(from:'2016-11-17 22:45:18-700',mode:absolute,to:'2016-11-18 01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5" t="str">
        <f t="shared" si="1"/>
        <v>"C:\Program Files (x86)\AstroGrep\AstroGrep.exe" /spath="%USERPROFILE%\AppData\Local\Temp\OnboardLogs" /stypes="*4021*201611180*" /stext=" 06:.+((SYSTEM_STATE.+slice.+state.+changed )|(ment ac)|(system.+state.+changed )|(\[timeout)|(PRM\|1\|D)|(kpr)|(kdp)|(\|lc)|(penalty))" /e /r /s</v>
      </c>
      <c r="U24" s="9" t="str">
        <f t="shared" si="2"/>
        <v>4021</v>
      </c>
      <c r="V24" s="36">
        <f t="shared" si="3"/>
        <v>42692.290243055555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{"issue":{"subject":"","project_id":79,"tracker_id":40,"status_id":1,"priority_id":2,"assigned_to_id":23,"start_date":"2016-11-17","description":"","custom_fields":[{"id":1,"name":"Subdivision","value":"EC"},{"id":4,"name":"Milepost","value":"23.1269"},{"id":17,"name":"Train ID","value":"238-17"},{"id":16,"name":"Locomotive ID","value":"4021"},{"id":130,"name":"Impact","value":""},{"id":150,"name":"Time of Event (Mountain Time)","value":"23:57:57"},{"id":151,"name":"Denver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"%USERPROFILE%\AppData\Local\Temp\OnboardLogs"\RTDC4021\*4021*201611180*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"%USERPROFILE%\AppData\Local\Temp\OnboardLogs"\RTDC4021\*4021*201611180* &gt;&gt; 42691-slicedisagreementcheck.txt</v>
      </c>
    </row>
    <row r="25" spans="1:30" x14ac:dyDescent="0.25">
      <c r="A25" s="36">
        <v>42691.45884259259</v>
      </c>
      <c r="B25" s="31" t="s">
        <v>310</v>
      </c>
      <c r="C25" s="31" t="s">
        <v>430</v>
      </c>
      <c r="D25" s="31" t="s">
        <v>49</v>
      </c>
      <c r="E25" s="31" t="s">
        <v>205</v>
      </c>
      <c r="F25" s="47">
        <v>0</v>
      </c>
      <c r="G25" s="47">
        <v>167</v>
      </c>
      <c r="H25" s="47">
        <v>1185</v>
      </c>
      <c r="I25" s="47">
        <v>1448</v>
      </c>
      <c r="J25" s="31" t="s">
        <v>206</v>
      </c>
      <c r="K25" s="47">
        <v>1692</v>
      </c>
      <c r="L25" s="154" t="s">
        <v>50</v>
      </c>
      <c r="M25" s="155">
        <f t="shared" si="0"/>
        <v>128.83199999999999</v>
      </c>
      <c r="N25" s="156" t="str">
        <f>VLOOKUP(C25,'Trips&amp;Operators'!$C$1:$E$99999,3,FALSE)</f>
        <v>MACDONALD</v>
      </c>
      <c r="O25" s="183" t="s">
        <v>202</v>
      </c>
      <c r="P25" s="157" t="s">
        <v>797</v>
      </c>
      <c r="Q25" s="31"/>
      <c r="R25" s="100" t="str">
        <f>VLOOKUP(C25,'Train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25" s="103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10:05:49-700',mode:absolute,to:'2016-11-17 12:42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5" s="105" t="str">
        <f t="shared" si="1"/>
        <v>"C:\Program Files (x86)\AstroGrep\AstroGrep.exe" /spath="%USERPROFILE%\AppData\Local\Temp\OnboardLogs" /stypes="*4003*201611171*" /stext=" 18:.+((SYSTEM_STATE.+slice.+state.+changed )|(ment ac)|(system.+state.+changed )|(\[timeout)|(PRM\|1\|D)|(kpr)|(kdp)|(\|lc)|(penalty))" /e /r /s</v>
      </c>
      <c r="U25" s="9" t="str">
        <f t="shared" si="2"/>
        <v>4003</v>
      </c>
      <c r="V25" s="36">
        <f t="shared" si="3"/>
        <v>42691.750509259255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{"issue":{"subject":"DUS switches 9A/B were reverse, route not aligned","project_id":79,"tracker_id":40,"status_id":1,"priority_id":2,"assigned_to_id":23,"start_date":"2016-11-17","description":"","custom_fields":[{"id":1,"name":"Subdivision","value":"EC"},{"id":4,"name":"Milepost","value":"0.1692"},{"id":17,"name":"Train ID","value":"159-17"},{"id":16,"name":"Locomotive ID","value":"4003"},{"id":130,"name":"Impact","value":""},{"id":150,"name":"Time of Event (Mountain Time)","value":"11:00:44"},{"id":151,"name":"Denver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"%USERPROFILE%\AppData\Local\Temp\OnboardLogs"\RTDC4003\*4003*201611171*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"%USERPROFILE%\AppData\Local\Temp\OnboardLogs"\RTDC4003\*4003*201611171* &gt;&gt; 42691-slicedisagreementcheck.txt</v>
      </c>
    </row>
    <row r="26" spans="1:30" x14ac:dyDescent="0.25">
      <c r="A26" s="36">
        <v>42691.213287037041</v>
      </c>
      <c r="B26" s="31" t="s">
        <v>282</v>
      </c>
      <c r="C26" s="31" t="s">
        <v>411</v>
      </c>
      <c r="D26" s="31" t="s">
        <v>49</v>
      </c>
      <c r="E26" s="31" t="s">
        <v>205</v>
      </c>
      <c r="F26" s="47">
        <v>0</v>
      </c>
      <c r="G26" s="47">
        <v>72</v>
      </c>
      <c r="H26" s="47">
        <v>127803</v>
      </c>
      <c r="I26" s="47">
        <v>127753</v>
      </c>
      <c r="J26" s="31" t="s">
        <v>206</v>
      </c>
      <c r="K26" s="47">
        <v>127587</v>
      </c>
      <c r="L26" s="154" t="s">
        <v>51</v>
      </c>
      <c r="M26" s="155">
        <f t="shared" si="0"/>
        <v>87.647999999999996</v>
      </c>
      <c r="N26" s="156" t="str">
        <f>VLOOKUP(C26,'Trips&amp;Operators'!$C$1:$E$99999,3,FALSE)</f>
        <v>SPECTOR</v>
      </c>
      <c r="O26" s="183" t="s">
        <v>202</v>
      </c>
      <c r="P26" s="157" t="s">
        <v>805</v>
      </c>
      <c r="Q26" s="31"/>
      <c r="R26" s="100" t="str">
        <f>VLOOKUP(C26,'Train Runs'!$A$13:$AE$9998,31,0)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S26" s="103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/stypes="*4013*201611171*" /stext=" 12:.+((SYSTEM_STATE.+slice.+state.+changed )|(ment ac)|(system.+state.+changed )|(\[timeout)|(PRM\|1\|D)|(kpr)|(kdp)|(\|lc)|(penalty))" /e /r /s</v>
      </c>
      <c r="U26" s="9" t="str">
        <f t="shared" si="2"/>
        <v>4013</v>
      </c>
      <c r="V26" s="36">
        <f t="shared" si="3"/>
        <v>42691.504953703705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{"issue":{"subject":"40th 4S STOP","project_id":79,"tracker_id":40,"status_id":1,"priority_id":2,"assigned_to_id":23,"start_date":"2016-11-17","description":"","custom_fields":[{"id":1,"name":"Subdivision","value":"EC"},{"id":4,"name":"Milepost","value":"12.7587"},{"id":17,"name":"Train ID","value":"104-17"},{"id":16,"name":"Locomotive ID","value":"4013"},{"id":130,"name":"Impact","value":""},{"id":150,"name":"Time of Event (Mountain Time)","value":"05:07:08"},{"id":151,"name":"Denver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"%USERPROFILE%\AppData\Local\Temp\OnboardLogs"\RTDC4013\*4013*201611171*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"%USERPROFILE%\AppData\Local\Temp\OnboardLogs"\RTDC4013\*4013*201611171* &gt;&gt; 42691-slicedisagreementcheck.txt</v>
      </c>
    </row>
    <row r="27" spans="1:30" x14ac:dyDescent="0.25">
      <c r="A27" s="36">
        <v>42691.621724537035</v>
      </c>
      <c r="B27" s="31" t="s">
        <v>232</v>
      </c>
      <c r="C27" s="31" t="s">
        <v>439</v>
      </c>
      <c r="D27" s="31" t="s">
        <v>49</v>
      </c>
      <c r="E27" s="31" t="s">
        <v>205</v>
      </c>
      <c r="F27" s="47">
        <v>0</v>
      </c>
      <c r="G27" s="47">
        <v>616</v>
      </c>
      <c r="H27" s="47">
        <v>131106</v>
      </c>
      <c r="I27" s="47">
        <v>128775</v>
      </c>
      <c r="J27" s="31" t="s">
        <v>206</v>
      </c>
      <c r="K27" s="47">
        <v>127587</v>
      </c>
      <c r="L27" s="154" t="s">
        <v>51</v>
      </c>
      <c r="M27" s="155">
        <f t="shared" si="0"/>
        <v>627.26400000000001</v>
      </c>
      <c r="N27" s="156" t="str">
        <f>VLOOKUP(C27,'Trips&amp;Operators'!$C$1:$E$99999,3,FALSE)</f>
        <v>HILLS</v>
      </c>
      <c r="O27" s="183" t="s">
        <v>202</v>
      </c>
      <c r="P27" s="157" t="s">
        <v>805</v>
      </c>
      <c r="Q27" s="31"/>
      <c r="R27" s="100" t="str">
        <f>VLOOKUP(C27,'Train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7" s="103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7" s="105" t="str">
        <f t="shared" si="1"/>
        <v>"C:\Program Files (x86)\AstroGrep\AstroGrep.exe" /spath="%USERPROFILE%\AppData\Local\Temp\OnboardLogs" /stypes="*4012*201611172*" /stext=" 21:.+((SYSTEM_STATE.+slice.+state.+changed )|(ment ac)|(system.+state.+changed )|(\[timeout)|(PRM\|1\|D)|(kpr)|(kdp)|(\|lc)|(penalty))" /e /r /s</v>
      </c>
      <c r="U27" s="9" t="str">
        <f t="shared" si="2"/>
        <v>4012</v>
      </c>
      <c r="V27" s="36">
        <f t="shared" si="3"/>
        <v>42691.9133912037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{"issue":{"subject":"40th 4S STOP","project_id":79,"tracker_id":40,"status_id":1,"priority_id":2,"assigned_to_id":23,"start_date":"2016-11-17","description":"","custom_fields":[{"id":1,"name":"Subdivision","value":"EC"},{"id":4,"name":"Milepost","value":"12.7587"},{"id":17,"name":"Train ID","value":"182-17"},{"id":16,"name":"Locomotive ID","value":"4012"},{"id":130,"name":"Impact","value":""},{"id":150,"name":"Time of Event (Mountain Time)","value":"14:55:17"},{"id":151,"name":"Denver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"%USERPROFILE%\AppData\Local\Temp\OnboardLogs"\RTDC4012\*4012*201611172*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28" spans="1:30" x14ac:dyDescent="0.25">
      <c r="A28" s="36">
        <v>42691.528761574074</v>
      </c>
      <c r="B28" s="31" t="s">
        <v>255</v>
      </c>
      <c r="C28" s="31" t="s">
        <v>435</v>
      </c>
      <c r="D28" s="31" t="s">
        <v>49</v>
      </c>
      <c r="E28" s="31" t="s">
        <v>205</v>
      </c>
      <c r="F28" s="47">
        <v>0</v>
      </c>
      <c r="G28" s="47">
        <v>248</v>
      </c>
      <c r="H28" s="47">
        <v>192562</v>
      </c>
      <c r="I28" s="47">
        <v>192054</v>
      </c>
      <c r="J28" s="31" t="s">
        <v>206</v>
      </c>
      <c r="K28" s="47">
        <v>191723</v>
      </c>
      <c r="L28" s="154" t="s">
        <v>51</v>
      </c>
      <c r="M28" s="155">
        <f t="shared" si="0"/>
        <v>174.76799999999997</v>
      </c>
      <c r="N28" s="156" t="str">
        <f>VLOOKUP(C28,'Trips&amp;Operators'!$C$1:$E$99999,3,FALSE)</f>
        <v>JOHNSON</v>
      </c>
      <c r="O28" s="183" t="s">
        <v>202</v>
      </c>
      <c r="P28" s="157" t="s">
        <v>806</v>
      </c>
      <c r="Q28" s="31"/>
      <c r="R28" s="100" t="str">
        <f>VLOOKUP(C28,'Train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8" s="103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https://search-rtdc-monitor-bjffxe2xuh6vdkpspy63sjmuny.us-east-1.es.amazonaws.com/_plugin/kibana/#/discover/Steve-Slow-Train-Analysis-(2080s-and-2083s)?_g=(refreshInterval:(display:Off,section:0,value:0),time:(from:'2016-11-17 11:25:21-700',mode:absolute,to:'2016-11-17 14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8" s="105" t="str">
        <f t="shared" si="1"/>
        <v>"C:\Program Files (x86)\AstroGrep\AstroGrep.exe" /spath="%USERPROFILE%\AppData\Local\Temp\OnboardLogs" /stypes="*4037*201611171*" /stext=" 19:.+((SYSTEM_STATE.+slice.+state.+changed )|(ment ac)|(system.+state.+changed )|(\[timeout)|(PRM\|1\|D)|(kpr)|(kdp)|(\|lc)|(penalty))" /e /r /s</v>
      </c>
      <c r="U28" s="9" t="str">
        <f t="shared" si="2"/>
        <v>4037</v>
      </c>
      <c r="V28" s="36">
        <f t="shared" si="3"/>
        <v>42691.820428240739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{"issue":{"subject":"Pena 4S STOP","project_id":79,"tracker_id":40,"status_id":1,"priority_id":2,"assigned_to_id":23,"start_date":"2016-11-17","description":"","custom_fields":[{"id":1,"name":"Subdivision","value":"EC"},{"id":4,"name":"Milepost","value":"19.1723"},{"id":17,"name":"Train ID","value":"164-17"},{"id":16,"name":"Locomotive ID","value":"4037"},{"id":130,"name":"Impact","value":""},{"id":150,"name":"Time of Event (Mountain Time)","value":"12:41:25"},{"id":151,"name":"Denver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"%USERPROFILE%\AppData\Local\Temp\OnboardLogs"\RTDC4037\*4037*201611171*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9" spans="1:30" x14ac:dyDescent="0.25">
      <c r="A29" s="36">
        <v>42691.616053240738</v>
      </c>
      <c r="B29" s="31" t="s">
        <v>232</v>
      </c>
      <c r="C29" s="31" t="s">
        <v>439</v>
      </c>
      <c r="D29" s="31" t="s">
        <v>49</v>
      </c>
      <c r="E29" s="31" t="s">
        <v>205</v>
      </c>
      <c r="F29" s="47">
        <v>0</v>
      </c>
      <c r="G29" s="47">
        <v>373</v>
      </c>
      <c r="H29" s="47">
        <v>193587</v>
      </c>
      <c r="I29" s="47">
        <v>192433</v>
      </c>
      <c r="J29" s="31" t="s">
        <v>206</v>
      </c>
      <c r="K29" s="47">
        <v>191723</v>
      </c>
      <c r="L29" s="154" t="s">
        <v>51</v>
      </c>
      <c r="M29" s="155">
        <f t="shared" si="0"/>
        <v>374.88</v>
      </c>
      <c r="N29" s="156" t="str">
        <f>VLOOKUP(C29,'Trips&amp;Operators'!$C$1:$E$99999,3,FALSE)</f>
        <v>HILLS</v>
      </c>
      <c r="O29" s="183" t="s">
        <v>202</v>
      </c>
      <c r="P29" s="157" t="s">
        <v>806</v>
      </c>
      <c r="Q29" s="31"/>
      <c r="R29" s="100" t="str">
        <f>VLOOKUP(C29,'Train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9" s="103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/stypes="*4012*201611172*" /stext=" 21:.+((SYSTEM_STATE.+slice.+state.+changed )|(ment ac)|(system.+state.+changed )|(\[timeout)|(PRM\|1\|D)|(kpr)|(kdp)|(\|lc)|(penalty))" /e /r /s</v>
      </c>
      <c r="U29" s="9" t="str">
        <f t="shared" si="2"/>
        <v>4012</v>
      </c>
      <c r="V29" s="36">
        <f t="shared" si="3"/>
        <v>42691.907719907402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{"issue":{"subject":"Pena 4S STOP","project_id":79,"tracker_id":40,"status_id":1,"priority_id":2,"assigned_to_id":23,"start_date":"2016-11-17","description":"","custom_fields":[{"id":1,"name":"Subdivision","value":"EC"},{"id":4,"name":"Milepost","value":"19.1723"},{"id":17,"name":"Train ID","value":"182-17"},{"id":16,"name":"Locomotive ID","value":"4012"},{"id":130,"name":"Impact","value":""},{"id":150,"name":"Time of Event (Mountain Time)","value":"14:47:07"},{"id":151,"name":"Denver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"%USERPROFILE%\AppData\Local\Temp\OnboardLogs"\RTDC4012\*4012*201611172*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30" spans="1:30" ht="15" customHeight="1" x14ac:dyDescent="0.25">
      <c r="A30" s="36">
        <v>42691.629675925928</v>
      </c>
      <c r="B30" s="31" t="s">
        <v>310</v>
      </c>
      <c r="C30" s="31" t="s">
        <v>440</v>
      </c>
      <c r="D30" s="31" t="s">
        <v>49</v>
      </c>
      <c r="E30" s="31" t="s">
        <v>205</v>
      </c>
      <c r="F30" s="47">
        <v>0</v>
      </c>
      <c r="G30" s="47">
        <v>296</v>
      </c>
      <c r="H30" s="47">
        <v>228547</v>
      </c>
      <c r="I30" s="47">
        <v>229523</v>
      </c>
      <c r="J30" s="31" t="s">
        <v>206</v>
      </c>
      <c r="K30" s="47">
        <v>228572</v>
      </c>
      <c r="L30" s="154" t="s">
        <v>50</v>
      </c>
      <c r="M30" s="155">
        <f t="shared" si="0"/>
        <v>-502.12799999999999</v>
      </c>
      <c r="N30" s="156" t="str">
        <f>VLOOKUP(C30,'Trips&amp;Operators'!$C$1:$E$99999,3,FALSE)</f>
        <v>MACDONALD</v>
      </c>
      <c r="O30" s="183" t="s">
        <v>338</v>
      </c>
      <c r="P30" s="157" t="s">
        <v>807</v>
      </c>
      <c r="Q30" s="31"/>
      <c r="R30" s="100" t="str">
        <f>VLOOKUP(C30,'Train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30" s="103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13:22:08-700',mode:absolute,to:'2016-11-17 16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0" s="105" t="str">
        <f t="shared" si="1"/>
        <v>"C:\Program Files (x86)\AstroGrep\AstroGrep.exe" /spath="%USERPROFILE%\AppData\Local\Temp\OnboardLogs" /stypes="*4003*201611172*" /stext=" 22:.+((SYSTEM_STATE.+slice.+state.+changed )|(ment ac)|(system.+state.+changed )|(\[timeout)|(PRM\|1\|D)|(kpr)|(kdp)|(\|lc)|(penalty))" /e /r /s</v>
      </c>
      <c r="U30" s="9" t="str">
        <f t="shared" si="2"/>
        <v>4003</v>
      </c>
      <c r="V30" s="36">
        <f t="shared" si="3"/>
        <v>42691.921342592592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{"issue":{"subject":"Onboard in-route failure","project_id":79,"tracker_id":40,"status_id":1,"priority_id":2,"assigned_to_id":23,"start_date":"2016-11-17","description":"","custom_fields":[{"id":1,"name":"Subdivision","value":"EC"},{"id":4,"name":"Milepost","value":"22.8572"},{"id":17,"name":"Train ID","value":"187-17"},{"id":16,"name":"Locomotive ID","value":"4003"},{"id":130,"name":"Impact","value":""},{"id":150,"name":"Time of Event (Mountain Time)","value":"15:06:44"},{"id":151,"name":"Denver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"%USERPROFILE%\AppData\Local\Temp\OnboardLogs"\RTDC4003\*4003*201611172*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"%USERPROFILE%\AppData\Local\Temp\OnboardLogs"\RTDC4003\*4003*201611172* &gt;&gt; 42691-slicedisagreementcheck.txt</v>
      </c>
    </row>
    <row r="31" spans="1:30" x14ac:dyDescent="0.25">
      <c r="A31" s="36">
        <v>42691.634953703702</v>
      </c>
      <c r="B31" s="31" t="s">
        <v>232</v>
      </c>
      <c r="C31" s="31" t="s">
        <v>439</v>
      </c>
      <c r="D31" s="31" t="s">
        <v>98</v>
      </c>
      <c r="E31" s="31" t="s">
        <v>339</v>
      </c>
      <c r="F31" s="47">
        <v>150</v>
      </c>
      <c r="G31" s="47">
        <v>204</v>
      </c>
      <c r="H31" s="47">
        <v>26629</v>
      </c>
      <c r="I31" s="47">
        <v>26176</v>
      </c>
      <c r="J31" s="31" t="s">
        <v>153</v>
      </c>
      <c r="K31" s="47">
        <v>27399</v>
      </c>
      <c r="L31" s="154" t="s">
        <v>51</v>
      </c>
      <c r="M31" s="155">
        <f t="shared" si="0"/>
        <v>-645.74400000000003</v>
      </c>
      <c r="N31" s="156" t="str">
        <f>VLOOKUP(C31,'Trips&amp;Operators'!$C$1:$E$99999,3,FALSE)</f>
        <v>HILLS</v>
      </c>
      <c r="O31" s="183" t="s">
        <v>202</v>
      </c>
      <c r="P31" s="157"/>
      <c r="Q31" s="31"/>
      <c r="R31" s="100" t="str">
        <f>VLOOKUP(C31,'Train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31" s="103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1" s="105" t="str">
        <f t="shared" si="1"/>
        <v>"C:\Program Files (x86)\AstroGrep\AstroGrep.exe" /spath="%USERPROFILE%\AppData\Local\Temp\OnboardLogs" /stypes="*4012*201611172*" /stext=" 22:.+((SYSTEM_STATE.+slice.+state.+changed )|(ment ac)|(system.+state.+changed )|(\[timeout)|(PRM\|1\|D)|(kpr)|(kdp)|(\|lc)|(penalty))" /e /r /s</v>
      </c>
      <c r="U31" s="9" t="str">
        <f t="shared" si="2"/>
        <v>4012</v>
      </c>
      <c r="V31" s="36">
        <f t="shared" si="3"/>
        <v>42691.926620370366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{"issue":{"subject":"","project_id":79,"tracker_id":40,"status_id":1,"priority_id":2,"assigned_to_id":23,"start_date":"2016-11-17","description":"","custom_fields":[{"id":1,"name":"Subdivision","value":"EC"},{"id":4,"name":"Milepost","value":"2.7399"},{"id":17,"name":"Train ID","value":"182-17"},{"id":16,"name":"Locomotive ID","value":"4012"},{"id":130,"name":"Impact","value":""},{"id":150,"name":"Time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"%USERPROFILE%\AppData\Local\Temp\OnboardLogs"\RTDC4012\*4012*201611172*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32" spans="1:30" ht="15" customHeight="1" x14ac:dyDescent="0.25">
      <c r="A32" s="36">
        <v>42691.305902777778</v>
      </c>
      <c r="B32" s="31" t="s">
        <v>226</v>
      </c>
      <c r="C32" s="31" t="s">
        <v>417</v>
      </c>
      <c r="D32" s="31" t="s">
        <v>49</v>
      </c>
      <c r="E32" s="31" t="s">
        <v>207</v>
      </c>
      <c r="F32" s="47">
        <v>0</v>
      </c>
      <c r="G32" s="47">
        <v>65</v>
      </c>
      <c r="H32" s="47">
        <v>216</v>
      </c>
      <c r="I32" s="47">
        <v>143</v>
      </c>
      <c r="J32" s="31" t="s">
        <v>208</v>
      </c>
      <c r="K32" s="47">
        <v>1</v>
      </c>
      <c r="L32" s="154" t="s">
        <v>51</v>
      </c>
      <c r="M32" s="155">
        <f t="shared" si="0"/>
        <v>74.975999999999999</v>
      </c>
      <c r="N32" s="156" t="str">
        <f>VLOOKUP(C32,'Trips&amp;Operators'!$C$1:$E$99999,3,FALSE)</f>
        <v>SPECTOR</v>
      </c>
      <c r="O32" s="183" t="s">
        <v>202</v>
      </c>
      <c r="P32" s="157"/>
      <c r="Q32" s="31"/>
      <c r="R32" s="100" t="str">
        <f>VLOOKUP(C32,'Train Runs'!$A$13:$AE$9998,31,0)</f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S32" s="103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05:32:15-700',mode:absolute,to:'2016-11-17 08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 t="shared" si="1"/>
        <v>"C:\Program Files (x86)\AstroGrep\AstroGrep.exe" /spath="%USERPROFILE%\AppData\Local\Temp\OnboardLogs" /stypes="*4004*201611171*" /stext=" 14:.+((SYSTEM_STATE.+slice.+state.+changed )|(ment ac)|(system.+state.+changed )|(\[timeout)|(PRM\|1\|D)|(kpr)|(kdp)|(\|lc)|(penalty))" /e /r /s</v>
      </c>
      <c r="U32" s="9" t="str">
        <f t="shared" si="2"/>
        <v>4004</v>
      </c>
      <c r="V32" s="36">
        <f t="shared" si="3"/>
        <v>42691.597569444442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ID","value":"118-17"},{"id":16,"name":"Locomotive ID","value":"4004"},{"id":130,"name":"Impact","value":""},{"id":150,"name":"Time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"%USERPROFILE%\AppData\Local\Temp\OnboardLogs"\RTDC4004\*4004*201611171*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"%USERPROFILE%\AppData\Local\Temp\OnboardLogs"\RTDC4004\*4004*201611171* &gt;&gt; 42691-slicedisagreementcheck.txt</v>
      </c>
    </row>
    <row r="33" spans="1:30" x14ac:dyDescent="0.25">
      <c r="A33" s="36">
        <v>42691.435543981483</v>
      </c>
      <c r="B33" s="31" t="s">
        <v>235</v>
      </c>
      <c r="C33" s="31" t="s">
        <v>428</v>
      </c>
      <c r="D33" s="31" t="s">
        <v>49</v>
      </c>
      <c r="E33" s="31" t="s">
        <v>207</v>
      </c>
      <c r="F33" s="47">
        <v>0</v>
      </c>
      <c r="G33" s="47">
        <v>40</v>
      </c>
      <c r="H33" s="47">
        <v>134</v>
      </c>
      <c r="I33" s="47">
        <v>107</v>
      </c>
      <c r="J33" s="31" t="s">
        <v>208</v>
      </c>
      <c r="K33" s="47">
        <v>1</v>
      </c>
      <c r="L33" s="154" t="s">
        <v>51</v>
      </c>
      <c r="M33" s="155">
        <f t="shared" si="0"/>
        <v>55.968000000000004</v>
      </c>
      <c r="N33" s="156" t="str">
        <f>VLOOKUP(C33,'Trips&amp;Operators'!$C$1:$E$99999,3,FALSE)</f>
        <v>MAELZER</v>
      </c>
      <c r="O33" s="183" t="s">
        <v>202</v>
      </c>
      <c r="P33" s="157"/>
      <c r="Q33" s="31"/>
      <c r="R33" s="100" t="str">
        <f>VLOOKUP(C33,'Train Runs'!$A$13:$AE$9998,31,0)</f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S33" s="103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08:34:53-700',mode:absolute,to:'2016-11-17 11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5" t="str">
        <f t="shared" si="1"/>
        <v>"C:\Program Files (x86)\AstroGrep\AstroGrep.exe" /spath="%USERPROFILE%\AppData\Local\Temp\OnboardLogs" /stypes="*4001*201611171*" /stext=" 17:.+((SYSTEM_STATE.+slice.+state.+changed )|(ment ac)|(system.+state.+changed )|(\[timeout)|(PRM\|1\|D)|(kpr)|(kdp)|(\|lc)|(penalty))" /e /r /s</v>
      </c>
      <c r="U33" s="9" t="str">
        <f t="shared" si="2"/>
        <v>4001</v>
      </c>
      <c r="V33" s="36">
        <f t="shared" si="3"/>
        <v>42691.727210648147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ID","value":"142-17"},{"id":16,"name":"Locomotive ID","value":"4001"},{"id":130,"name":"Impact","value":""},{"id":150,"name":"Time of Event (Mountain Time)","value":"10:27:11"},{"id":151,"name":"Denver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"%USERPROFILE%\AppData\Local\Temp\OnboardLogs"\RTDC4001\*4001*201611171*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"%USERPROFILE%\AppData\Local\Temp\OnboardLogs"\RTDC4001\*4001*201611171* &gt;&gt; 42691-slicedisagreementcheck.txt</v>
      </c>
    </row>
    <row r="34" spans="1:30" x14ac:dyDescent="0.25">
      <c r="A34" s="36">
        <v>42691.533414351848</v>
      </c>
      <c r="B34" s="31" t="s">
        <v>226</v>
      </c>
      <c r="C34" s="31" t="s">
        <v>436</v>
      </c>
      <c r="D34" s="31" t="s">
        <v>49</v>
      </c>
      <c r="E34" s="31" t="s">
        <v>207</v>
      </c>
      <c r="F34" s="47">
        <v>0</v>
      </c>
      <c r="G34" s="47">
        <v>47</v>
      </c>
      <c r="H34" s="47">
        <v>139</v>
      </c>
      <c r="I34" s="47">
        <v>94</v>
      </c>
      <c r="J34" s="31" t="s">
        <v>208</v>
      </c>
      <c r="K34" s="47">
        <v>1</v>
      </c>
      <c r="L34" s="154" t="s">
        <v>51</v>
      </c>
      <c r="M34" s="155">
        <f t="shared" si="0"/>
        <v>49.103999999999999</v>
      </c>
      <c r="N34" s="156" t="str">
        <f>VLOOKUP(C34,'Trips&amp;Operators'!$C$1:$E$99999,3,FALSE)</f>
        <v>MACDONALD</v>
      </c>
      <c r="O34" s="183" t="s">
        <v>202</v>
      </c>
      <c r="P34" s="157"/>
      <c r="Q34" s="31"/>
      <c r="R34" s="100" t="str">
        <f>VLOOKUP(C34,'Train Runs'!$A$13:$AE$9998,31,0)</f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S34" s="103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10:47:42-700',mode:absolute,to:'2016-11-17 13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/stypes="*4004*201611171*" /stext=" 19:.+((SYSTEM_STATE.+slice.+state.+changed )|(ment ac)|(system.+state.+changed )|(\[timeout)|(PRM\|1\|D)|(kpr)|(kdp)|(\|lc)|(penalty))" /e /r /s</v>
      </c>
      <c r="U34" s="9" t="str">
        <f t="shared" si="2"/>
        <v>4004</v>
      </c>
      <c r="V34" s="36">
        <f t="shared" si="3"/>
        <v>42691.825081018513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ID","value":"160-17"},{"id":16,"name":"Locomotive ID","value":"4004"},{"id":130,"name":"Impact","value":""},{"id":150,"name":"Time of Event (Mountain Time)","value":"12:48:07"},{"id":151,"name":"Denver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"%USERPROFILE%\AppData\Local\Temp\OnboardLogs"\RTDC4004\*4004*201611171*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"%USERPROFILE%\AppData\Local\Temp\OnboardLogs"\RTDC4004\*4004*201611171* &gt;&gt; 42691-slicedisagreementcheck.txt</v>
      </c>
    </row>
    <row r="35" spans="1:30" x14ac:dyDescent="0.25">
      <c r="A35" s="36">
        <v>42691.593773148146</v>
      </c>
      <c r="B35" s="31" t="s">
        <v>425</v>
      </c>
      <c r="C35" s="31" t="s">
        <v>438</v>
      </c>
      <c r="D35" s="31" t="s">
        <v>49</v>
      </c>
      <c r="E35" s="31" t="s">
        <v>207</v>
      </c>
      <c r="F35" s="47">
        <v>0</v>
      </c>
      <c r="G35" s="47">
        <v>65</v>
      </c>
      <c r="H35" s="47">
        <v>209</v>
      </c>
      <c r="I35" s="47">
        <v>161</v>
      </c>
      <c r="J35" s="31" t="s">
        <v>208</v>
      </c>
      <c r="K35" s="47">
        <v>1</v>
      </c>
      <c r="L35" s="154" t="s">
        <v>51</v>
      </c>
      <c r="M35" s="155">
        <f t="shared" si="0"/>
        <v>84.48</v>
      </c>
      <c r="N35" s="156" t="str">
        <f>VLOOKUP(C35,'Trips&amp;Operators'!$C$1:$E$99999,3,FALSE)</f>
        <v>NICHOLSON</v>
      </c>
      <c r="O35" s="183" t="s">
        <v>202</v>
      </c>
      <c r="P35" s="157"/>
      <c r="Q35" s="31"/>
      <c r="R35" s="100" t="str">
        <f>VLOOKUP(C35,'Train Runs'!$A$13:$AE$9998,31,0)</f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S35" s="103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https://search-rtdc-monitor-bjffxe2xuh6vdkpspy63sjmuny.us-east-1.es.amazonaws.com/_plugin/kibana/#/discover/Steve-Slow-Train-Analysis-(2080s-and-2083s)?_g=(refreshInterval:(display:Off,section:0,value:0),time:(from:'2016-11-17 12:20:39-700',mode:absolute,to:'2016-11-17 15:15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5" s="105" t="str">
        <f t="shared" si="1"/>
        <v>"C:\Program Files (x86)\AstroGrep\AstroGrep.exe" /spath="%USERPROFILE%\AppData\Local\Temp\OnboardLogs" /stypes="*4032*201611172*" /stext=" 21:.+((SYSTEM_STATE.+slice.+state.+changed )|(ment ac)|(system.+state.+changed )|(\[timeout)|(PRM\|1\|D)|(kpr)|(kdp)|(\|lc)|(penalty))" /e /r /s</v>
      </c>
      <c r="U35" s="9" t="str">
        <f t="shared" si="2"/>
        <v>4032</v>
      </c>
      <c r="V35" s="36">
        <f t="shared" si="3"/>
        <v>42691.885439814811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ID","value":"172-17"},{"id":16,"name":"Locomotive ID","value":"4032"},{"id":130,"name":"Impact","value":""},{"id":150,"name":"Time of Event (Mountain Time)","value":"14:15:02"},{"id":151,"name":"Denver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"%USERPROFILE%\AppData\Local\Temp\OnboardLogs"\RTDC4032\*4032*201611172*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"%USERPROFILE%\AppData\Local\Temp\OnboardLogs"\RTDC4032\*4032*201611172* &gt;&gt; 42691-slicedisagreementcheck.txt</v>
      </c>
    </row>
    <row r="36" spans="1:30" x14ac:dyDescent="0.25">
      <c r="A36" s="36">
        <v>42691.921446759261</v>
      </c>
      <c r="B36" s="31" t="s">
        <v>255</v>
      </c>
      <c r="C36" s="31" t="s">
        <v>447</v>
      </c>
      <c r="D36" s="31" t="s">
        <v>49</v>
      </c>
      <c r="E36" s="31" t="s">
        <v>207</v>
      </c>
      <c r="F36" s="47">
        <v>0</v>
      </c>
      <c r="G36" s="47">
        <v>59</v>
      </c>
      <c r="H36" s="47">
        <v>205</v>
      </c>
      <c r="I36" s="47">
        <v>158</v>
      </c>
      <c r="J36" s="31" t="s">
        <v>208</v>
      </c>
      <c r="K36" s="47">
        <v>1</v>
      </c>
      <c r="L36" s="154" t="s">
        <v>51</v>
      </c>
      <c r="M36" s="155">
        <f t="shared" si="0"/>
        <v>82.895999999999987</v>
      </c>
      <c r="N36" s="156" t="str">
        <f>VLOOKUP(C36,'Trips&amp;Operators'!$C$1:$E$99999,3,FALSE)</f>
        <v>LOPES</v>
      </c>
      <c r="O36" s="183" t="s">
        <v>202</v>
      </c>
      <c r="P36" s="157"/>
      <c r="Q36" s="31"/>
      <c r="R36" s="100" t="str">
        <f>VLOOKUP(C36,'Train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36" s="103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6" s="105" t="str">
        <f t="shared" si="1"/>
        <v>"C:\Program Files (x86)\AstroGrep\AstroGrep.exe" /spath="%USERPROFILE%\AppData\Local\Temp\OnboardLogs" /stypes="*4037*201611180*" /stext=" 05:.+((SYSTEM_STATE.+slice.+state.+changed )|(ment ac)|(system.+state.+changed )|(\[timeout)|(PRM\|1\|D)|(kpr)|(kdp)|(\|lc)|(penalty))" /e /r /s</v>
      </c>
      <c r="U36" s="9" t="str">
        <f t="shared" si="2"/>
        <v>4037</v>
      </c>
      <c r="V36" s="36">
        <f t="shared" si="3"/>
        <v>42692.213113425925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ID","value":"228-17"},{"id":16,"name":"Locomotive ID","value":"4037"},{"id":130,"name":"Impact","value":""},{"id":150,"name":"Time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"%USERPROFILE%\AppData\Local\Temp\OnboardLogs"\RTDC4037\*4037*201611180*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37" spans="1:30" x14ac:dyDescent="0.25">
      <c r="A37" s="36">
        <v>42691.297037037039</v>
      </c>
      <c r="B37" s="31" t="s">
        <v>312</v>
      </c>
      <c r="C37" s="31" t="s">
        <v>415</v>
      </c>
      <c r="D37" s="31" t="s">
        <v>49</v>
      </c>
      <c r="E37" s="31" t="s">
        <v>207</v>
      </c>
      <c r="F37" s="47">
        <v>0</v>
      </c>
      <c r="G37" s="47">
        <v>47</v>
      </c>
      <c r="H37" s="47">
        <v>233280</v>
      </c>
      <c r="I37" s="47">
        <v>233312</v>
      </c>
      <c r="J37" s="31" t="s">
        <v>208</v>
      </c>
      <c r="K37" s="47">
        <v>233491</v>
      </c>
      <c r="L37" s="154" t="s">
        <v>50</v>
      </c>
      <c r="M37" s="155">
        <f t="shared" si="0"/>
        <v>94.512</v>
      </c>
      <c r="N37" s="156" t="str">
        <f>VLOOKUP(C37,'Trips&amp;Operators'!$C$1:$E$99999,3,FALSE)</f>
        <v>SAFIEF</v>
      </c>
      <c r="O37" s="183" t="s">
        <v>202</v>
      </c>
      <c r="P37" s="157"/>
      <c r="Q37" s="31"/>
      <c r="R37" s="100" t="str">
        <f>VLOOKUP(C37,'Train Runs'!$A$13:$AE$9998,31,0)</f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S37" s="103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7" s="105" t="str">
        <f t="shared" si="1"/>
        <v>"C:\Program Files (x86)\AstroGrep\AstroGrep.exe" /spath="%USERPROFILE%\AppData\Local\Temp\OnboardLogs" /stypes="*4042*201611171*" /stext=" 14:.+((SYSTEM_STATE.+slice.+state.+changed )|(ment ac)|(system.+state.+changed )|(\[timeout)|(PRM\|1\|D)|(kpr)|(kdp)|(\|lc)|(penalty))" /e /r /s</v>
      </c>
      <c r="U37" s="9" t="str">
        <f t="shared" si="2"/>
        <v>4042</v>
      </c>
      <c r="V37" s="36">
        <f t="shared" si="3"/>
        <v>42691.588703703703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ID","value":"123-17"},{"id":16,"name":"Locomotive ID","value":"4042"},{"id":130,"name":"Impact","value":""},{"id":150,"name":"Time of Event (Mountain Time)","value":"07:07:44"},{"id":151,"name":"Denver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"%USERPROFILE%\AppData\Local\Temp\OnboardLogs"\RTDC4042\*4042*201611171*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"%USERPROFILE%\AppData\Local\Temp\OnboardLogs"\RTDC4042\*4042*201611171* &gt;&gt; 42691-slicedisagreementcheck.txt</v>
      </c>
    </row>
    <row r="38" spans="1:30" x14ac:dyDescent="0.25">
      <c r="A38" s="36">
        <v>42691.337060185186</v>
      </c>
      <c r="B38" s="31" t="s">
        <v>310</v>
      </c>
      <c r="C38" s="31" t="s">
        <v>422</v>
      </c>
      <c r="D38" s="31" t="s">
        <v>49</v>
      </c>
      <c r="E38" s="31" t="s">
        <v>207</v>
      </c>
      <c r="F38" s="47">
        <v>0</v>
      </c>
      <c r="G38" s="47">
        <v>81</v>
      </c>
      <c r="H38" s="47">
        <v>233172</v>
      </c>
      <c r="I38" s="47">
        <v>233263</v>
      </c>
      <c r="J38" s="31" t="s">
        <v>208</v>
      </c>
      <c r="K38" s="47">
        <v>233491</v>
      </c>
      <c r="L38" s="154" t="s">
        <v>50</v>
      </c>
      <c r="M38" s="155">
        <f t="shared" si="0"/>
        <v>120.384</v>
      </c>
      <c r="N38" s="156" t="str">
        <f>VLOOKUP(C38,'Trips&amp;Operators'!$C$1:$E$99999,3,FALSE)</f>
        <v>SPECTOR</v>
      </c>
      <c r="O38" s="183" t="s">
        <v>338</v>
      </c>
      <c r="P38" s="157" t="s">
        <v>927</v>
      </c>
      <c r="Q38" s="31"/>
      <c r="R38" s="100" t="str">
        <f>VLOOKUP(C38,'Train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38" s="103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06:24:06-700',mode:absolute,to:'2016-11-17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8" s="105" t="str">
        <f t="shared" si="1"/>
        <v>"C:\Program Files (x86)\AstroGrep\AstroGrep.exe" /spath="%USERPROFILE%\AppData\Local\Temp\OnboardLogs" /stypes="*4003*201611171*" /stext=" 15:.+((SYSTEM_STATE.+slice.+state.+changed )|(ment ac)|(system.+state.+changed )|(\[timeout)|(PRM\|1\|D)|(kpr)|(kdp)|(\|lc)|(penalty))" /e /r /s</v>
      </c>
      <c r="U38" s="9" t="str">
        <f t="shared" si="2"/>
        <v>4003</v>
      </c>
      <c r="V38" s="36">
        <f t="shared" si="3"/>
        <v>42691.62872685185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{"issue":{"subject":"Banner without braking","project_id":79,"tracker_id":40,"status_id":1,"priority_id":2,"assigned_to_id":23,"start_date":"2016-11-17","description":"Only 1 slice commanded braking","custom_fields":[{"id":1,"name":"Subdivision","value":"EC"},{"id":4,"name":"Milepost","value":"23.3491"},{"id":17,"name":"Train ID","value":"131-17"},{"id":16,"name":"Locomotive ID","value":"4003"},{"id":130,"name":"Impact","value":"Others"},{"id":150,"name":"Time of Event (Mountain Time)","value":"08:05:22"},{"id":151,"name":"Denver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8" s="53" t="s">
        <v>928</v>
      </c>
      <c r="AA38" s="53" t="s">
        <v>137</v>
      </c>
      <c r="AB38" s="53" t="s">
        <v>177</v>
      </c>
      <c r="AC38" s="138" t="str">
        <f t="shared" si="7"/>
        <v>grep -hSE -A100 "Enforcement Action" "%USERPROFILE%\AppData\Local\Temp\OnboardLogs"\RTDC4003\*4003*201611171*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"%USERPROFILE%\AppData\Local\Temp\OnboardLogs"\RTDC4003\*4003*201611171* &gt;&gt; 42691-slicedisagreementcheck.txt</v>
      </c>
    </row>
    <row r="39" spans="1:30" x14ac:dyDescent="0.25">
      <c r="A39" s="36">
        <v>42691.47587962963</v>
      </c>
      <c r="B39" s="31" t="s">
        <v>413</v>
      </c>
      <c r="C39" s="31" t="s">
        <v>429</v>
      </c>
      <c r="D39" s="31" t="s">
        <v>49</v>
      </c>
      <c r="E39" s="31" t="s">
        <v>207</v>
      </c>
      <c r="F39" s="47">
        <v>0</v>
      </c>
      <c r="G39" s="47">
        <v>53</v>
      </c>
      <c r="H39" s="47">
        <v>233285</v>
      </c>
      <c r="I39" s="47">
        <v>233329</v>
      </c>
      <c r="J39" s="31" t="s">
        <v>208</v>
      </c>
      <c r="K39" s="47">
        <v>233491</v>
      </c>
      <c r="L39" s="154" t="s">
        <v>50</v>
      </c>
      <c r="M39" s="155">
        <f t="shared" si="0"/>
        <v>85.536000000000001</v>
      </c>
      <c r="N39" s="156" t="str">
        <f>VLOOKUP(C39,'Trips&amp;Operators'!$C$1:$E$99999,3,FALSE)</f>
        <v>RICHARDSON</v>
      </c>
      <c r="O39" s="183" t="s">
        <v>202</v>
      </c>
      <c r="P39" s="157"/>
      <c r="Q39" s="31"/>
      <c r="R39" s="100" t="str">
        <f>VLOOKUP(C39,'Train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39" s="103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9" s="105" t="str">
        <f t="shared" si="1"/>
        <v>"C:\Program Files (x86)\AstroGrep\AstroGrep.exe" /spath="%USERPROFILE%\AppData\Local\Temp\OnboardLogs" /stypes="*4031*201611171*" /stext=" 18:.+((SYSTEM_STATE.+slice.+state.+changed )|(ment ac)|(system.+state.+changed )|(\[timeout)|(PRM\|1\|D)|(kpr)|(kdp)|(\|lc)|(penalty))" /e /r /s</v>
      </c>
      <c r="U39" s="9" t="str">
        <f t="shared" si="2"/>
        <v>4031</v>
      </c>
      <c r="V39" s="36">
        <f t="shared" si="3"/>
        <v>42691.767546296294</v>
      </c>
      <c r="W39" s="50" t="str">
        <f t="shared" si="4"/>
        <v>EC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ID","value":"157-17"},{"id":16,"name":"Locomotive ID","value":"4031"},{"id":130,"name":"Impact","value":""},{"id":150,"name":"Time of Event (Mountain Time)","value":"11:25:16"},{"id":151,"name":"Denver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"%USERPROFILE%\AppData\Local\Temp\OnboardLogs"\RTDC4031\*4031*201611171*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40" spans="1:30" x14ac:dyDescent="0.25">
      <c r="A40" s="36">
        <v>42691.501446759263</v>
      </c>
      <c r="B40" s="31" t="s">
        <v>281</v>
      </c>
      <c r="C40" s="31" t="s">
        <v>434</v>
      </c>
      <c r="D40" s="31" t="s">
        <v>49</v>
      </c>
      <c r="E40" s="31" t="s">
        <v>207</v>
      </c>
      <c r="F40" s="47">
        <v>0</v>
      </c>
      <c r="G40" s="47">
        <v>53</v>
      </c>
      <c r="H40" s="47">
        <v>233287</v>
      </c>
      <c r="I40" s="47">
        <v>233332</v>
      </c>
      <c r="J40" s="31" t="s">
        <v>208</v>
      </c>
      <c r="K40" s="47">
        <v>233491</v>
      </c>
      <c r="L40" s="154" t="s">
        <v>50</v>
      </c>
      <c r="M40" s="155">
        <f t="shared" si="0"/>
        <v>83.951999999999998</v>
      </c>
      <c r="N40" s="156" t="str">
        <f>VLOOKUP(C40,'Trips&amp;Operators'!$C$1:$E$99999,3,FALSE)</f>
        <v>SHOOK</v>
      </c>
      <c r="O40" s="183" t="s">
        <v>202</v>
      </c>
      <c r="P40" s="157"/>
      <c r="Q40" s="31"/>
      <c r="R40" s="100" t="str">
        <f>VLOOKUP(C40,'Train Runs'!$A$13:$AE$9998,31,0)</f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S40" s="103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10:13:02-700',mode:absolute,to:'2016-11-17 13:02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0" s="105" t="str">
        <f t="shared" si="1"/>
        <v>"C:\Program Files (x86)\AstroGrep\AstroGrep.exe" /spath="%USERPROFILE%\AppData\Local\Temp\OnboardLogs" /stypes="*4014*201611171*" /stext=" 19:.+((SYSTEM_STATE.+slice.+state.+changed )|(ment ac)|(system.+state.+changed )|(\[timeout)|(PRM\|1\|D)|(kpr)|(kdp)|(\|lc)|(penalty))" /e /r /s</v>
      </c>
      <c r="U40" s="9" t="str">
        <f t="shared" si="2"/>
        <v>4014</v>
      </c>
      <c r="V40" s="36">
        <f t="shared" si="3"/>
        <v>42691.793113425927</v>
      </c>
      <c r="W40" s="50" t="str">
        <f t="shared" si="4"/>
        <v>EC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ID","value":"161-17"},{"id":16,"name":"Locomotive ID","value":"4014"},{"id":130,"name":"Impact","value":""},{"id":150,"name":"Time of Event (Mountain Time)","value":"12:02:05"},{"id":151,"name":"Denver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"%USERPROFILE%\AppData\Local\Temp\OnboardLogs"\RTDC4014\*4014*201611171*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"%USERPROFILE%\AppData\Local\Temp\OnboardLogs"\RTDC4014\*4014*201611171* &gt;&gt; 42691-slicedisagreementcheck.txt</v>
      </c>
    </row>
    <row r="41" spans="1:30" x14ac:dyDescent="0.25">
      <c r="A41" s="36">
        <v>42691.32644675926</v>
      </c>
      <c r="B41" s="31" t="s">
        <v>419</v>
      </c>
      <c r="C41" s="31" t="s">
        <v>420</v>
      </c>
      <c r="D41" s="31" t="s">
        <v>49</v>
      </c>
      <c r="E41" s="31" t="s">
        <v>154</v>
      </c>
      <c r="F41" s="47">
        <v>0</v>
      </c>
      <c r="G41" s="47">
        <v>462</v>
      </c>
      <c r="H41" s="47">
        <v>16302</v>
      </c>
      <c r="I41" s="47">
        <v>14761</v>
      </c>
      <c r="J41" s="31" t="s">
        <v>153</v>
      </c>
      <c r="K41" s="47">
        <v>15777</v>
      </c>
      <c r="L41" s="154" t="s">
        <v>51</v>
      </c>
      <c r="M41" s="155">
        <f t="shared" si="0"/>
        <v>-536.44799999999998</v>
      </c>
      <c r="N41" s="156" t="str">
        <f>VLOOKUP(C41,'Trips&amp;Operators'!$C$1:$E$99999,3,FALSE)</f>
        <v>DAVIDSON</v>
      </c>
      <c r="O41" s="183" t="s">
        <v>338</v>
      </c>
      <c r="P41" s="157" t="s">
        <v>801</v>
      </c>
      <c r="Q41" s="31"/>
      <c r="R41" s="100" t="str">
        <f>VLOOKUP(C41,'Train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1" s="103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06:37:10-700',mode:absolute,to:'2016-11-17 08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1" s="105" t="str">
        <f t="shared" si="1"/>
        <v>"C:\Program Files (x86)\AstroGrep\AstroGrep.exe" /spath="%USERPROFILE%\AppData\Local\Temp\OnboardLogs" /stypes="*4017*201611171*" /stext=" 14:.+((SYSTEM_STATE.+slice.+state.+changed )|(ment ac)|(system.+state.+changed )|(\[timeout)|(PRM\|1\|D)|(kpr)|(kdp)|(\|lc)|(penalty))" /e /r /s</v>
      </c>
      <c r="U41" s="9" t="str">
        <f t="shared" si="2"/>
        <v>4017</v>
      </c>
      <c r="V41" s="36">
        <f t="shared" si="3"/>
        <v>42691.618113425924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ID","value":"808-17"},{"id":16,"name":"Locomotive ID","value":"4017"},{"id":130,"name":"Impact","value":""},{"id":150,"name":"Time of Event (Mountain Time)","value":"07:50:05"},{"id":151,"name":"Denver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"%USERPROFILE%\AppData\Local\Temp\OnboardLogs"\RTDC4017\*4017*201611171*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42" spans="1:30" x14ac:dyDescent="0.25">
      <c r="A42" s="36">
        <v>42691.493113425924</v>
      </c>
      <c r="B42" s="31" t="s">
        <v>419</v>
      </c>
      <c r="C42" s="31" t="s">
        <v>432</v>
      </c>
      <c r="D42" s="31" t="s">
        <v>49</v>
      </c>
      <c r="E42" s="31" t="s">
        <v>154</v>
      </c>
      <c r="F42" s="47">
        <v>0</v>
      </c>
      <c r="G42" s="47">
        <v>250</v>
      </c>
      <c r="H42" s="47">
        <v>15961</v>
      </c>
      <c r="I42" s="47">
        <v>15355</v>
      </c>
      <c r="J42" s="31" t="s">
        <v>153</v>
      </c>
      <c r="K42" s="47">
        <v>15777</v>
      </c>
      <c r="L42" s="154" t="s">
        <v>51</v>
      </c>
      <c r="M42" s="155">
        <f t="shared" si="0"/>
        <v>-222.816</v>
      </c>
      <c r="N42" s="156" t="str">
        <f>VLOOKUP(C42,'Trips&amp;Operators'!$C$1:$E$99999,3,FALSE)</f>
        <v>DAVIDSON</v>
      </c>
      <c r="O42" s="183" t="s">
        <v>338</v>
      </c>
      <c r="P42" s="157" t="s">
        <v>801</v>
      </c>
      <c r="Q42" s="31"/>
      <c r="R42" s="100" t="str">
        <f>VLOOKUP(C42,'Train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2" s="103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2" s="105" t="str">
        <f t="shared" si="1"/>
        <v>"C:\Program Files (x86)\AstroGrep\AstroGrep.exe" /spath="%USERPROFILE%\AppData\Local\Temp\OnboardLogs" /stypes="*4017*201611171*" /stext=" 18:.+((SYSTEM_STATE.+slice.+state.+changed )|(ment ac)|(system.+state.+changed )|(\[timeout)|(PRM\|1\|D)|(kpr)|(kdp)|(\|lc)|(penalty))" /e /r /s</v>
      </c>
      <c r="U42" s="9" t="str">
        <f t="shared" si="2"/>
        <v>4017</v>
      </c>
      <c r="V42" s="36">
        <f t="shared" si="3"/>
        <v>42691.784780092588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ID","value":"818-17"},{"id":16,"name":"Locomotive ID","value":"4017"},{"id":130,"name":"Impact","value":""},{"id":150,"name":"Time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"%USERPROFILE%\AppData\Local\Temp\OnboardLogs"\RTDC4017\*4017*201611171*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43" spans="1:30" x14ac:dyDescent="0.25">
      <c r="A43" s="36">
        <v>42691.831099537034</v>
      </c>
      <c r="B43" s="31" t="s">
        <v>419</v>
      </c>
      <c r="C43" s="31" t="s">
        <v>446</v>
      </c>
      <c r="D43" s="31" t="s">
        <v>49</v>
      </c>
      <c r="E43" s="31" t="s">
        <v>154</v>
      </c>
      <c r="F43" s="47">
        <v>300</v>
      </c>
      <c r="G43" s="47">
        <v>482</v>
      </c>
      <c r="H43" s="47">
        <v>17762</v>
      </c>
      <c r="I43" s="47">
        <v>15800</v>
      </c>
      <c r="J43" s="31" t="s">
        <v>153</v>
      </c>
      <c r="K43" s="47">
        <v>15777</v>
      </c>
      <c r="L43" s="154" t="s">
        <v>51</v>
      </c>
      <c r="M43" s="155">
        <f t="shared" si="0"/>
        <v>12.144</v>
      </c>
      <c r="N43" s="156" t="str">
        <f>VLOOKUP(C43,'Trips&amp;Operators'!$C$1:$E$99999,3,FALSE)</f>
        <v>BADERTSCHER</v>
      </c>
      <c r="O43" s="183" t="s">
        <v>338</v>
      </c>
      <c r="P43" s="157" t="s">
        <v>801</v>
      </c>
      <c r="Q43" s="31"/>
      <c r="R43" s="100" t="str">
        <f>VLOOKUP(C43,'Train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3" s="103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18:43:10-700',mode:absolute,to:'2016-11-17 21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3" s="105" t="str">
        <f t="shared" si="1"/>
        <v>"C:\Program Files (x86)\AstroGrep\AstroGrep.exe" /spath="%USERPROFILE%\AppData\Local\Temp\OnboardLogs" /stypes="*4017*201611180*" /stext=" 02:.+((SYSTEM_STATE.+slice.+state.+changed )|(ment ac)|(system.+state.+changed )|(\[timeout)|(PRM\|1\|D)|(kpr)|(kdp)|(\|lc)|(penalty))" /e /r /s</v>
      </c>
      <c r="U43" s="9" t="str">
        <f t="shared" si="2"/>
        <v>4017</v>
      </c>
      <c r="V43" s="36">
        <f t="shared" si="3"/>
        <v>42692.122766203698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ID","value":"840-17"},{"id":16,"name":"Locomotive ID","value":"4017"},{"id":130,"name":"Impact","value":""},{"id":150,"name":"Time of Event (Mountain Time)","value":"19:56:47"},{"id":151,"name":"Denver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"%USERPROFILE%\AppData\Local\Temp\OnboardLogs"\RTDC4017\*4017*201611180*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"%USERPROFILE%\AppData\Local\Temp\OnboardLogs"\RTDC4017\*4017*201611180* &gt;&gt; 42691-slicedisagreementcheck.txt</v>
      </c>
    </row>
    <row r="44" spans="1:30" x14ac:dyDescent="0.25">
      <c r="A44" s="36">
        <v>42691.689085648148</v>
      </c>
      <c r="B44" s="31" t="s">
        <v>296</v>
      </c>
      <c r="C44" s="31" t="s">
        <v>443</v>
      </c>
      <c r="D44" s="31" t="s">
        <v>49</v>
      </c>
      <c r="E44" s="31" t="s">
        <v>203</v>
      </c>
      <c r="F44" s="47">
        <v>150</v>
      </c>
      <c r="G44" s="47">
        <v>279</v>
      </c>
      <c r="H44" s="47">
        <v>56380</v>
      </c>
      <c r="I44" s="47">
        <v>56891</v>
      </c>
      <c r="J44" s="31" t="s">
        <v>204</v>
      </c>
      <c r="K44" s="47">
        <v>57008</v>
      </c>
      <c r="L44" s="154" t="s">
        <v>50</v>
      </c>
      <c r="M44" s="155">
        <f t="shared" si="0"/>
        <v>61.776000000000003</v>
      </c>
      <c r="N44" s="156" t="str">
        <f>VLOOKUP(C44,'Trips&amp;Operators'!$C$1:$E$99999,3,FALSE)</f>
        <v>BADERTSCHER</v>
      </c>
      <c r="O44" s="183" t="s">
        <v>202</v>
      </c>
      <c r="P44" s="157"/>
      <c r="Q44" s="31"/>
      <c r="R44" s="100" t="str">
        <f>VLOOKUP(C44,'Train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4" s="103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4" s="105" t="str">
        <f t="shared" si="1"/>
        <v>"C:\Program Files (x86)\AstroGrep\AstroGrep.exe" /spath="%USERPROFILE%\AppData\Local\Temp\OnboardLogs" /stypes="*4018*201611172*" /stext=" 23:.+((SYSTEM_STATE.+slice.+state.+changed )|(ment ac)|(system.+state.+changed )|(\[timeout)|(PRM\|1\|D)|(kpr)|(kdp)|(\|lc)|(penalty))" /e /r /s</v>
      </c>
      <c r="U44" s="9" t="str">
        <f t="shared" si="2"/>
        <v>4018</v>
      </c>
      <c r="V44" s="36">
        <f t="shared" si="3"/>
        <v>42691.980752314812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{"issue":{"subject":"","project_id":79,"tracker_id":40,"status_id":1,"priority_id":2,"assigned_to_id":23,"start_date":"2016-11-17","description":"","custom_fields":[{"id":1,"name":"Subdivision","value":"NW"},{"id":4,"name":"Milepost","value":"5.7008"},{"id":17,"name":"Train ID","value":"829-17"},{"id":16,"name":"Locomotive ID","value":"4018"},{"id":130,"name":"Impact","value":""},{"id":150,"name":"Time of Event (Mountain Time)","value":"16:32:17"},{"id":151,"name":"Denver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"%USERPROFILE%\AppData\Local\Temp\OnboardLogs"\RTDC4018\*4018*201611172*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"%USERPROFILE%\AppData\Local\Temp\OnboardLogs"\RTDC4018\*4018*201611172* &gt;&gt; 42691-slicedisagreementcheck.txt</v>
      </c>
    </row>
    <row r="45" spans="1:30" x14ac:dyDescent="0.25">
      <c r="A45" s="36">
        <v>42691.307638888888</v>
      </c>
      <c r="B45" s="31" t="s">
        <v>225</v>
      </c>
      <c r="C45" s="31" t="s">
        <v>418</v>
      </c>
      <c r="D45" s="31" t="s">
        <v>49</v>
      </c>
      <c r="E45" s="31" t="s">
        <v>205</v>
      </c>
      <c r="F45" s="47">
        <v>0</v>
      </c>
      <c r="G45" s="47">
        <v>125</v>
      </c>
      <c r="H45" s="47">
        <v>5154</v>
      </c>
      <c r="I45" s="47">
        <v>5059</v>
      </c>
      <c r="J45" s="31" t="s">
        <v>206</v>
      </c>
      <c r="K45" s="47">
        <v>4790</v>
      </c>
      <c r="L45" s="154" t="s">
        <v>51</v>
      </c>
      <c r="M45" s="155">
        <f t="shared" si="0"/>
        <v>142.03200000000001</v>
      </c>
      <c r="N45" s="156" t="str">
        <f>VLOOKUP(C45,'Trips&amp;Operators'!$C$1:$E$99999,3,FALSE)</f>
        <v>YORK</v>
      </c>
      <c r="O45" s="183" t="s">
        <v>202</v>
      </c>
      <c r="P45" s="157" t="s">
        <v>809</v>
      </c>
      <c r="Q45" s="31"/>
      <c r="R45" s="100" t="str">
        <f>VLOOKUP(C45,'Train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5" s="103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06:06:33-700',mode:absolute,to:'2016-11-17 08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5" s="105" t="str">
        <f t="shared" si="1"/>
        <v>"C:\Program Files (x86)\AstroGrep\AstroGrep.exe" /spath="%USERPROFILE%\AppData\Local\Temp\OnboardLogs" /stypes="*4039*201611171*" /stext=" 14:.+((SYSTEM_STATE.+slice.+state.+changed )|(ment ac)|(system.+state.+changed )|(\[timeout)|(PRM\|1\|D)|(kpr)|(kdp)|(\|lc)|(penalty))" /e /r /s</v>
      </c>
      <c r="U45" s="9" t="str">
        <f t="shared" si="2"/>
        <v>4039</v>
      </c>
      <c r="V45" s="36">
        <f t="shared" si="3"/>
        <v>42691.599305555552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aspects","project_id":79,"tracker_id":40,"status_id":1,"priority_id":2,"assigned_to_id":23,"start_date":"2016-11-17","description":"","custom_fields":[{"id":1,"name":"Subdivision","value":"NW"},{"id":4,"name":"Milepost","value":"0.479"},{"id":17,"name":"Train ID","value":"806-17"},{"id":16,"name":"Locomotive ID","value":"4039"},{"id":130,"name":"Impact","value":""},{"id":150,"name":"Time of Event (Mountain Time)","value":"07:23:00"},{"id":151,"name":"Denver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"%USERPROFILE%\AppData\Local\Temp\OnboardLogs"\RTDC4039\*4039*201611171*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"%USERPROFILE%\AppData\Local\Temp\OnboardLogs"\RTDC4039\*4039*201611171* &gt;&gt; 42691-slicedisagreementcheck.txt</v>
      </c>
    </row>
    <row r="46" spans="1:30" x14ac:dyDescent="0.25">
      <c r="A46" s="36">
        <v>42691.348611111112</v>
      </c>
      <c r="B46" s="31" t="s">
        <v>225</v>
      </c>
      <c r="C46" s="31" t="s">
        <v>423</v>
      </c>
      <c r="D46" s="31" t="s">
        <v>49</v>
      </c>
      <c r="E46" s="31" t="s">
        <v>205</v>
      </c>
      <c r="F46" s="47">
        <v>0</v>
      </c>
      <c r="G46" s="47">
        <v>351</v>
      </c>
      <c r="H46" s="47">
        <v>8920</v>
      </c>
      <c r="I46" s="47">
        <v>8266</v>
      </c>
      <c r="J46" s="31" t="s">
        <v>206</v>
      </c>
      <c r="K46" s="47">
        <v>6799</v>
      </c>
      <c r="L46" s="154" t="s">
        <v>51</v>
      </c>
      <c r="M46" s="155">
        <f t="shared" si="0"/>
        <v>774.57600000000002</v>
      </c>
      <c r="N46" s="156" t="str">
        <f>VLOOKUP(C46,'Trips&amp;Operators'!$C$1:$E$99999,3,FALSE)</f>
        <v>YORK</v>
      </c>
      <c r="O46" s="183" t="s">
        <v>202</v>
      </c>
      <c r="P46" s="157" t="s">
        <v>809</v>
      </c>
      <c r="Q46" s="31"/>
      <c r="R46" s="100" t="str">
        <f>VLOOKUP(C46,'Train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6" s="103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07:05:11-700',mode:absolute,to:'2016-11-17 09:25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1"/>
        <v>"C:\Program Files (x86)\AstroGrep\AstroGrep.exe" /spath="%USERPROFILE%\AppData\Local\Temp\OnboardLogs" /stypes="*4039*201611171*" /stext=" 15:.+((SYSTEM_STATE.+slice.+state.+changed )|(ment ac)|(system.+state.+changed )|(\[timeout)|(PRM\|1\|D)|(kpr)|(kdp)|(\|lc)|(penalty))" /e /r /s</v>
      </c>
      <c r="U46" s="9" t="str">
        <f t="shared" si="2"/>
        <v>4039</v>
      </c>
      <c r="V46" s="36">
        <f t="shared" si="3"/>
        <v>42691.640277777777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aspects","project_id":79,"tracker_id":40,"status_id":1,"priority_id":2,"assigned_to_id":23,"start_date":"2016-11-17","description":"","custom_fields":[{"id":1,"name":"Subdivision","value":"NW"},{"id":4,"name":"Milepost","value":"0.6799"},{"id":17,"name":"Train ID","value":"810-17"},{"id":16,"name":"Locomotive ID","value":"4039"},{"id":130,"name":"Impact","value":""},{"id":150,"name":"Time of Event (Mountain Time)","value":"08:22:00"},{"id":151,"name":"Denver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"%USERPROFILE%\AppData\Local\Temp\OnboardLogs"\RTDC4039\*4039*201611171*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"%USERPROFILE%\AppData\Local\Temp\OnboardLogs"\RTDC4039\*4039*201611171* &gt;&gt; 42691-slicedisagreementcheck.txt</v>
      </c>
    </row>
    <row r="47" spans="1:30" x14ac:dyDescent="0.25">
      <c r="A47" s="36">
        <v>42691.763437499998</v>
      </c>
      <c r="B47" s="31" t="s">
        <v>225</v>
      </c>
      <c r="C47" s="31" t="s">
        <v>444</v>
      </c>
      <c r="D47" s="31" t="s">
        <v>49</v>
      </c>
      <c r="E47" s="31" t="s">
        <v>205</v>
      </c>
      <c r="F47" s="47">
        <v>0</v>
      </c>
      <c r="G47" s="47">
        <v>316</v>
      </c>
      <c r="H47" s="47">
        <v>20665</v>
      </c>
      <c r="I47" s="47">
        <v>19821</v>
      </c>
      <c r="J47" s="31" t="s">
        <v>206</v>
      </c>
      <c r="K47" s="47">
        <v>19000</v>
      </c>
      <c r="L47" s="154" t="s">
        <v>51</v>
      </c>
      <c r="M47" s="155">
        <f t="shared" si="0"/>
        <v>433.488</v>
      </c>
      <c r="N47" s="156" t="str">
        <f>VLOOKUP(C47,'Trips&amp;Operators'!$C$1:$E$99999,3,FALSE)</f>
        <v>BROWN</v>
      </c>
      <c r="O47" s="183" t="s">
        <v>202</v>
      </c>
      <c r="P47" s="157" t="s">
        <v>809</v>
      </c>
      <c r="Q47" s="31"/>
      <c r="R47" s="100" t="str">
        <f>VLOOKUP(C47,'Train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7" s="103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https://search-rtdc-monitor-bjffxe2xuh6vdkpspy63sjmuny.us-east-1.es.amazonaws.com/_plugin/kibana/#/discover/Steve-Slow-Train-Analysis-(2080s-and-2083s)?_g=(refreshInterval:(display:Off,section:0,value:0),time:(from:'2016-11-17 17:08:00-700',mode:absolute,to:'2016-11-17 19:32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7" s="105" t="str">
        <f t="shared" si="1"/>
        <v>"C:\Program Files (x86)\AstroGrep\AstroGrep.exe" /spath="%USERPROFILE%\AppData\Local\Temp\OnboardLogs" /stypes="*4039*201611180*" /stext=" 01:.+((SYSTEM_STATE.+slice.+state.+changed )|(ment ac)|(system.+state.+changed )|(\[timeout)|(PRM\|1\|D)|(kpr)|(kdp)|(\|lc)|(penalty))" /e /r /s</v>
      </c>
      <c r="U47" s="9" t="str">
        <f t="shared" si="2"/>
        <v>4039</v>
      </c>
      <c r="V47" s="36">
        <f t="shared" si="3"/>
        <v>42692.055104166662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aspects","project_id":79,"tracker_id":40,"status_id":1,"priority_id":2,"assigned_to_id":23,"start_date":"2016-11-17","description":"","custom_fields":[{"id":1,"name":"Subdivision","value":"NW"},{"id":4,"name":"Milepost","value":"1.9"},{"id":17,"name":"Train ID","value":"836-17"},{"id":16,"name":"Locomotive ID","value":"4039"},{"id":130,"name":"Impact","value":""},{"id":150,"name":"Time of Event (Mountain Time)","value":"18:19:21"},{"id":151,"name":"Denver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"%USERPROFILE%\AppData\Local\Temp\OnboardLogs"\RTDC4039\*4039*201611180*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"%USERPROFILE%\AppData\Local\Temp\OnboardLogs"\RTDC4039\*4039*201611180* &gt;&gt; 42691-slicedisagreementcheck.txt</v>
      </c>
    </row>
    <row r="48" spans="1:30" x14ac:dyDescent="0.25">
      <c r="A48" s="36">
        <v>42691.812685185185</v>
      </c>
      <c r="B48" s="31" t="s">
        <v>296</v>
      </c>
      <c r="C48" s="31" t="s">
        <v>445</v>
      </c>
      <c r="D48" s="31" t="s">
        <v>49</v>
      </c>
      <c r="E48" s="31" t="s">
        <v>205</v>
      </c>
      <c r="F48" s="47">
        <v>0</v>
      </c>
      <c r="G48" s="47">
        <v>375</v>
      </c>
      <c r="H48" s="47">
        <v>36547</v>
      </c>
      <c r="I48" s="47">
        <v>37796</v>
      </c>
      <c r="J48" s="31" t="s">
        <v>206</v>
      </c>
      <c r="K48" s="47">
        <v>37575</v>
      </c>
      <c r="L48" s="154" t="s">
        <v>50</v>
      </c>
      <c r="M48" s="155">
        <f t="shared" si="0"/>
        <v>-116.688</v>
      </c>
      <c r="N48" s="156" t="str">
        <f>VLOOKUP(C48,'Trips&amp;Operators'!$C$1:$E$99999,3,FALSE)</f>
        <v>BADERTSCHER</v>
      </c>
      <c r="O48" s="183" t="s">
        <v>338</v>
      </c>
      <c r="P48" s="157" t="s">
        <v>810</v>
      </c>
      <c r="Q48" s="31"/>
      <c r="R48" s="100" t="str">
        <f>VLOOKUP(C48,'Train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8" s="103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8" s="105" t="str">
        <f t="shared" si="1"/>
        <v>"C:\Program Files (x86)\AstroGrep\AstroGrep.exe" /spath="%USERPROFILE%\AppData\Local\Temp\OnboardLogs" /stypes="*4018*201611180*" /stext=" 02:.+((SYSTEM_STATE.+slice.+state.+changed )|(ment ac)|(system.+state.+changed )|(\[timeout)|(PRM\|1\|D)|(kpr)|(kdp)|(\|lc)|(penalty))" /e /r /s</v>
      </c>
      <c r="U48" s="9" t="str">
        <f t="shared" si="2"/>
        <v>4018</v>
      </c>
      <c r="V48" s="36">
        <f t="shared" si="3"/>
        <v>42692.104351851849</v>
      </c>
      <c r="W48" s="50" t="str">
        <f t="shared" si="4"/>
        <v>NW</v>
      </c>
      <c r="X48" s="50" t="str">
        <f t="shared" si="5"/>
        <v>KEEP</v>
      </c>
      <c r="Y48" s="119" t="str">
        <f t="shared" si="6"/>
        <v>echo {"issue":{"subject":"Wi-MAX data drop","project_id":79,"tracker_id":40,"status_id":1,"priority_id":2,"assigned_to_id":23,"start_date":"2016-11-17","description":"see title","custom_fields":[{"id":1,"name":"Subdivision","value":"NW"},{"id":4,"name":"Milepost","value":"3.7575"},{"id":17,"name":"Train ID","value":"841-17"},{"id":16,"name":"Locomotive ID","value":"4018"},{"id":130,"name":"Impact","value":"Enforcement"},{"id":150,"name":"Time of Event (Mountain Time)","value":"19:30:16"},{"id":151,"name":"Denver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8" s="185" t="s">
        <v>811</v>
      </c>
      <c r="AA48" s="53" t="s">
        <v>125</v>
      </c>
      <c r="AB48" s="53" t="s">
        <v>138</v>
      </c>
      <c r="AC48" s="138" t="str">
        <f t="shared" si="7"/>
        <v>grep -hSE -A100 "Enforcement Action" "%USERPROFILE%\AppData\Local\Temp\OnboardLogs"\RTDC4018\*4018*201611180*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"%USERPROFILE%\AppData\Local\Temp\OnboardLogs"\RTDC4018\*4018*201611180* &gt;&gt; 42691-slicedisagreementcheck.txt</v>
      </c>
    </row>
    <row r="49" spans="1:30" x14ac:dyDescent="0.25">
      <c r="A49" s="36">
        <v>42691.813379629632</v>
      </c>
      <c r="B49" s="31" t="s">
        <v>296</v>
      </c>
      <c r="C49" s="31" t="s">
        <v>445</v>
      </c>
      <c r="D49" s="31" t="s">
        <v>49</v>
      </c>
      <c r="E49" s="31" t="s">
        <v>205</v>
      </c>
      <c r="F49" s="47">
        <v>0</v>
      </c>
      <c r="G49" s="47">
        <v>375</v>
      </c>
      <c r="H49" s="47">
        <v>36547</v>
      </c>
      <c r="I49" s="47">
        <v>39031</v>
      </c>
      <c r="J49" s="31" t="s">
        <v>206</v>
      </c>
      <c r="K49" s="47">
        <v>37575</v>
      </c>
      <c r="L49" s="154" t="s">
        <v>50</v>
      </c>
      <c r="M49" s="155">
        <f t="shared" si="0"/>
        <v>-768.76800000000003</v>
      </c>
      <c r="N49" s="156" t="str">
        <f>VLOOKUP(C49,'Trips&amp;Operators'!$C$1:$E$99999,3,FALSE)</f>
        <v>BADERTSCHER</v>
      </c>
      <c r="O49" s="183" t="s">
        <v>338</v>
      </c>
      <c r="P49" s="157" t="s">
        <v>810</v>
      </c>
      <c r="Q49" s="31"/>
      <c r="R49" s="100" t="str">
        <f>VLOOKUP(C49,'Train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9" s="103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9" s="105" t="str">
        <f t="shared" si="1"/>
        <v>"C:\Program Files (x86)\AstroGrep\AstroGrep.exe" /spath="%USERPROFILE%\AppData\Local\Temp\OnboardLogs" /stypes="*4018*201611180*" /stext=" 02:.+((SYSTEM_STATE.+slice.+state.+changed )|(ment ac)|(system.+state.+changed )|(\[timeout)|(PRM\|1\|D)|(kpr)|(kdp)|(\|lc)|(penalty))" /e /r /s</v>
      </c>
      <c r="U49" s="9" t="str">
        <f t="shared" si="2"/>
        <v>4018</v>
      </c>
      <c r="V49" s="36">
        <f t="shared" si="3"/>
        <v>42692.105046296296</v>
      </c>
      <c r="W49" s="50" t="str">
        <f t="shared" si="4"/>
        <v>NW</v>
      </c>
      <c r="X49" s="50" t="str">
        <f t="shared" si="5"/>
        <v>KEEP</v>
      </c>
      <c r="Y49" s="119" t="str">
        <f t="shared" si="6"/>
        <v>echo {"issue":{"subject":"Wi-MAX data drop","project_id":79,"tracker_id":40,"status_id":1,"priority_id":2,"assigned_to_id":23,"start_date":"2016-11-17","description":"","custom_fields":[{"id":1,"name":"Subdivision","value":"NW"},{"id":4,"name":"Milepost","value":"3.7575"},{"id":17,"name":"Train ID","value":"841-17"},{"id":16,"name":"Locomotive ID","value":"4018"},{"id":130,"name":"Impact","value":""},{"id":150,"name":"Time of Event (Mountain Time)","value":"19:31:16"},{"id":151,"name":"Denver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"%USERPROFILE%\AppData\Local\Temp\OnboardLogs"\RTDC4018\*4018*201611180*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"%USERPROFILE%\AppData\Local\Temp\OnboardLogs"\RTDC4018\*4018*201611180* &gt;&gt; 42691-slicedisagreementcheck.txt</v>
      </c>
    </row>
    <row r="50" spans="1:30" x14ac:dyDescent="0.25">
      <c r="A50" s="36">
        <v>42691.498020833336</v>
      </c>
      <c r="B50" s="31" t="s">
        <v>419</v>
      </c>
      <c r="C50" s="31" t="s">
        <v>432</v>
      </c>
      <c r="D50" s="31" t="s">
        <v>49</v>
      </c>
      <c r="E50" s="31" t="s">
        <v>207</v>
      </c>
      <c r="F50" s="47">
        <v>0</v>
      </c>
      <c r="G50" s="47">
        <v>104</v>
      </c>
      <c r="H50" s="47">
        <v>1372</v>
      </c>
      <c r="I50" s="47">
        <v>1259</v>
      </c>
      <c r="J50" s="31" t="s">
        <v>208</v>
      </c>
      <c r="K50" s="47">
        <v>826</v>
      </c>
      <c r="L50" s="154" t="s">
        <v>51</v>
      </c>
      <c r="M50" s="155">
        <f t="shared" si="0"/>
        <v>228.624</v>
      </c>
      <c r="N50" s="156" t="str">
        <f>VLOOKUP(C50,'Trips&amp;Operators'!$C$1:$E$99999,3,FALSE)</f>
        <v>DAVIDSON</v>
      </c>
      <c r="O50" s="183" t="s">
        <v>202</v>
      </c>
      <c r="P50" s="157"/>
      <c r="Q50" s="31"/>
      <c r="R50" s="100" t="str">
        <f>VLOOKUP(C50,'Train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50" s="103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50" s="105" t="str">
        <f t="shared" si="1"/>
        <v>"C:\Program Files (x86)\AstroGrep\AstroGrep.exe" /spath="%USERPROFILE%\AppData\Local\Temp\OnboardLogs" /stypes="*4017*201611171*" /stext=" 18:.+((SYSTEM_STATE.+slice.+state.+changed )|(ment ac)|(system.+state.+changed )|(\[timeout)|(PRM\|1\|D)|(kpr)|(kdp)|(\|lc)|(penalty))" /e /r /s</v>
      </c>
      <c r="U50" s="9" t="str">
        <f t="shared" si="2"/>
        <v>4017</v>
      </c>
      <c r="V50" s="36">
        <f t="shared" si="3"/>
        <v>42691.789687500001</v>
      </c>
      <c r="W50" s="50" t="str">
        <f t="shared" si="4"/>
        <v>NW</v>
      </c>
      <c r="X50" s="50" t="str">
        <f t="shared" si="5"/>
        <v>KEEP</v>
      </c>
      <c r="Y50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{"issue":{"subject":"","project_id":79,"tracker_id":40,"status_id":1,"priority_id":2,"assigned_to_id":23,"start_date":"2016-11-17","description":"","custom_fields":[{"id":1,"name":"Subdivision","value":"NW"},{"id":4,"name":"Milepost","value":"0.0826"},{"id":17,"name":"Train ID","value":"818-17"},{"id":16,"name":"Locomotive ID","value":"4017"},{"id":130,"name":"Impact","value":""},{"id":150,"name":"Time of Event (Mountain Time)","value":"11:57:09"},{"id":151,"name":"Denver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7"/>
        <v>grep -hSE -A100 "Enforcement Action" "%USERPROFILE%\AppData\Local\Temp\OnboardLogs"\RTDC4017\*4017*201611171*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51" spans="1:30" x14ac:dyDescent="0.25">
      <c r="A51" s="36">
        <v>42691.691412037035</v>
      </c>
      <c r="B51" s="31" t="s">
        <v>296</v>
      </c>
      <c r="C51" s="31" t="s">
        <v>443</v>
      </c>
      <c r="D51" s="31" t="s">
        <v>49</v>
      </c>
      <c r="E51" s="31" t="s">
        <v>207</v>
      </c>
      <c r="F51" s="47">
        <v>0</v>
      </c>
      <c r="G51" s="47">
        <v>22</v>
      </c>
      <c r="H51" s="47">
        <v>58978</v>
      </c>
      <c r="I51" s="47">
        <v>58986</v>
      </c>
      <c r="J51" s="31" t="s">
        <v>208</v>
      </c>
      <c r="K51" s="47">
        <v>59048</v>
      </c>
      <c r="L51" s="154" t="s">
        <v>50</v>
      </c>
      <c r="M51" s="155">
        <f t="shared" si="0"/>
        <v>32.735999999999997</v>
      </c>
      <c r="N51" s="156" t="str">
        <f>VLOOKUP(C51,'Trips&amp;Operators'!$C$1:$E$99999,3,FALSE)</f>
        <v>BADERTSCHER</v>
      </c>
      <c r="O51" s="183" t="s">
        <v>202</v>
      </c>
      <c r="P51" s="157"/>
      <c r="Q51" s="31"/>
      <c r="R51" s="100" t="str">
        <f>VLOOKUP(C51,'Train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51" s="103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1" s="105" t="str">
        <f t="shared" si="1"/>
        <v>"C:\Program Files (x86)\AstroGrep\AstroGrep.exe" /spath="%USERPROFILE%\AppData\Local\Temp\OnboardLogs" /stypes="*4018*201611172*" /stext=" 23:.+((SYSTEM_STATE.+slice.+state.+changed )|(ment ac)|(system.+state.+changed )|(\[timeout)|(PRM\|1\|D)|(kpr)|(kdp)|(\|lc)|(penalty))" /e /r /s</v>
      </c>
      <c r="U51" s="9" t="str">
        <f t="shared" si="2"/>
        <v>4018</v>
      </c>
      <c r="V51" s="36">
        <f t="shared" si="3"/>
        <v>42691.983078703699</v>
      </c>
      <c r="W51" s="50" t="str">
        <f t="shared" si="4"/>
        <v>NW</v>
      </c>
      <c r="X51" s="50" t="str">
        <f t="shared" si="5"/>
        <v>KEEP</v>
      </c>
      <c r="Y51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{"issue":{"subject":"","project_id":79,"tracker_id":40,"status_id":1,"priority_id":2,"assigned_to_id":23,"start_date":"2016-11-17","description":"","custom_fields":[{"id":1,"name":"Subdivision","value":"NW"},{"id":4,"name":"Milepost","value":"5.9048"},{"id":17,"name":"Train ID","value":"829-17"},{"id":16,"name":"Locomotive ID","value":"4018"},{"id":130,"name":"Impact","value":""},{"id":150,"name":"Time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7"/>
        <v>grep -hSE -A100 "Enforcement Action" "%USERPROFILE%\AppData\Local\Temp\OnboardLogs"\RTDC4018\*4018*201611172*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"%USERPROFILE%\AppData\Local\Temp\OnboardLogs"\RTDC4018\*4018*201611172* &gt;&gt; 42691-slicedisagreementcheck.txt</v>
      </c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>
    <sortState ref="A7:AC51">
      <sortCondition ref="V6:V47"/>
    </sortState>
  </autoFilter>
  <sortState ref="A7:AD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68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2016-11-17</v>
      </c>
      <c r="C1" s="187"/>
      <c r="D1" s="187"/>
      <c r="E1" s="187"/>
      <c r="F1" s="187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846</v>
      </c>
      <c r="B3" s="47" t="str">
        <f>A3&amp;"-"&amp;IF(DAY(Variables!$A$2)&lt;10,0,"")&amp;DAY(Variables!$A$2)</f>
        <v>846-17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22846-17%22)),sort:!(Time,asc))</v>
      </c>
      <c r="J3" s="31" t="e">
        <f>VLOOKUP(B3,'Train Runs'!$A$13:$A$99995,1,FALSE)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-17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31" t="e">
        <f>VLOOKUP(B4,'Train Runs'!$A$13:$A$99995,1,FALSE)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31" t="e">
        <f>VLOOKUP(B5,'Train Runs'!$A$13:$A$99995,1,FALSE)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31" t="e">
        <f>VLOOKUP(B6,'Train Runs'!$A$13:$A$99995,1,FALSE)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-17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31" t="e">
        <f>VLOOKUP(B7,'Train Runs'!$A$13:$A$99995,1,FALSE)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42690.995219907411</v>
      </c>
      <c r="B2" s="21" t="s">
        <v>217</v>
      </c>
      <c r="C2" s="21" t="s">
        <v>354</v>
      </c>
      <c r="D2" s="21">
        <v>1300000</v>
      </c>
      <c r="E2" s="21" t="s">
        <v>113</v>
      </c>
      <c r="F2" s="21" t="str">
        <f t="shared" ref="F2:F65" si="0">B2</f>
        <v>rtdc.l.rtdc.4011:itc</v>
      </c>
      <c r="G2" s="8">
        <f t="shared" ref="G2:G65" si="1">A2</f>
        <v>42690.995219907411</v>
      </c>
    </row>
    <row r="3" spans="1:7" x14ac:dyDescent="0.25">
      <c r="A3" s="8">
        <v>42690.996134259258</v>
      </c>
      <c r="B3" s="21" t="s">
        <v>240</v>
      </c>
      <c r="C3" s="21" t="s">
        <v>355</v>
      </c>
      <c r="D3" s="21">
        <v>2540000</v>
      </c>
      <c r="E3" s="21" t="s">
        <v>298</v>
      </c>
      <c r="F3" s="21" t="str">
        <f t="shared" si="0"/>
        <v>rtdc.l.rtdc.4015:itc</v>
      </c>
      <c r="G3" s="8">
        <f t="shared" si="1"/>
        <v>42690.996134259258</v>
      </c>
    </row>
    <row r="4" spans="1:7" x14ac:dyDescent="0.25">
      <c r="A4" s="8">
        <v>42691.005798611113</v>
      </c>
      <c r="B4" s="21" t="s">
        <v>214</v>
      </c>
      <c r="C4" s="21" t="s">
        <v>356</v>
      </c>
      <c r="D4" s="21">
        <v>2620000</v>
      </c>
      <c r="E4" s="21" t="s">
        <v>300</v>
      </c>
      <c r="F4" s="21" t="str">
        <f t="shared" si="0"/>
        <v>rtdc.l.rtdc.4030:itc</v>
      </c>
      <c r="G4" s="8">
        <f t="shared" si="1"/>
        <v>42691.005798611113</v>
      </c>
    </row>
    <row r="5" spans="1:7" x14ac:dyDescent="0.25">
      <c r="A5" s="8">
        <v>42691.010081018518</v>
      </c>
      <c r="B5" s="21" t="s">
        <v>186</v>
      </c>
      <c r="C5" s="21" t="s">
        <v>357</v>
      </c>
      <c r="D5" s="21">
        <v>2250000</v>
      </c>
      <c r="E5" s="21" t="s">
        <v>287</v>
      </c>
      <c r="F5" s="21" t="str">
        <f t="shared" si="0"/>
        <v>rtdc.l.rtdc.4009:itc</v>
      </c>
      <c r="G5" s="8">
        <f t="shared" si="1"/>
        <v>42691.010081018518</v>
      </c>
    </row>
    <row r="6" spans="1:7" x14ac:dyDescent="0.25">
      <c r="A6" s="8">
        <v>42691.043958333335</v>
      </c>
      <c r="B6" s="21" t="s">
        <v>239</v>
      </c>
      <c r="C6" s="21" t="s">
        <v>358</v>
      </c>
      <c r="D6" s="21">
        <v>2540000</v>
      </c>
      <c r="E6" s="21" t="s">
        <v>298</v>
      </c>
      <c r="F6" s="21" t="str">
        <f t="shared" si="0"/>
        <v>rtdc.l.rtdc.4016:itc</v>
      </c>
      <c r="G6" s="8">
        <f t="shared" si="1"/>
        <v>42691.043958333335</v>
      </c>
    </row>
    <row r="7" spans="1:7" x14ac:dyDescent="0.25">
      <c r="A7" s="8">
        <v>42691.049224537041</v>
      </c>
      <c r="B7" s="21" t="s">
        <v>232</v>
      </c>
      <c r="C7" s="21" t="s">
        <v>359</v>
      </c>
      <c r="D7" s="21">
        <v>1300000</v>
      </c>
      <c r="E7" s="21" t="s">
        <v>113</v>
      </c>
      <c r="F7" s="21" t="str">
        <f t="shared" si="0"/>
        <v>rtdc.l.rtdc.4012:itc</v>
      </c>
      <c r="G7" s="8">
        <f t="shared" si="1"/>
        <v>42691.049224537041</v>
      </c>
    </row>
    <row r="8" spans="1:7" x14ac:dyDescent="0.25">
      <c r="A8" s="8">
        <v>42691.064479166664</v>
      </c>
      <c r="B8" s="21" t="s">
        <v>244</v>
      </c>
      <c r="C8" s="21" t="s">
        <v>360</v>
      </c>
      <c r="D8" s="21">
        <v>2250000</v>
      </c>
      <c r="E8" s="21" t="s">
        <v>287</v>
      </c>
      <c r="F8" s="21" t="str">
        <f t="shared" si="0"/>
        <v>rtdc.l.rtdc.4010:itc</v>
      </c>
      <c r="G8" s="8">
        <f t="shared" si="1"/>
        <v>42691.064479166664</v>
      </c>
    </row>
    <row r="9" spans="1:7" ht="15.75" thickBot="1" x14ac:dyDescent="0.3">
      <c r="A9" s="25">
        <v>42691.06722222222</v>
      </c>
      <c r="B9" s="21" t="s">
        <v>213</v>
      </c>
      <c r="C9" s="21" t="s">
        <v>361</v>
      </c>
      <c r="D9" s="21">
        <v>2620000</v>
      </c>
      <c r="E9" s="21" t="s">
        <v>300</v>
      </c>
      <c r="F9" s="21" t="str">
        <f t="shared" si="0"/>
        <v>rtdc.l.rtdc.4029:itc</v>
      </c>
      <c r="G9" s="8">
        <f t="shared" si="1"/>
        <v>42691.06722222222</v>
      </c>
    </row>
    <row r="10" spans="1:7" x14ac:dyDescent="0.25">
      <c r="A10" s="8">
        <v>42691.086516203701</v>
      </c>
      <c r="B10" s="21" t="s">
        <v>188</v>
      </c>
      <c r="C10" s="21" t="s">
        <v>389</v>
      </c>
      <c r="D10" s="21">
        <v>1300000</v>
      </c>
      <c r="E10" s="21" t="s">
        <v>113</v>
      </c>
      <c r="F10" s="21" t="str">
        <f t="shared" si="0"/>
        <v>rtdc.l.rtdc.4044:itc</v>
      </c>
      <c r="G10" s="8">
        <f t="shared" si="1"/>
        <v>42691.086516203701</v>
      </c>
    </row>
    <row r="11" spans="1:7" x14ac:dyDescent="0.25">
      <c r="A11" s="8">
        <v>42691.088009259256</v>
      </c>
      <c r="B11" s="21" t="s">
        <v>188</v>
      </c>
      <c r="C11" s="21" t="s">
        <v>389</v>
      </c>
      <c r="D11" s="21">
        <v>1300000</v>
      </c>
      <c r="E11" s="21" t="s">
        <v>113</v>
      </c>
      <c r="F11" s="21" t="str">
        <f t="shared" si="0"/>
        <v>rtdc.l.rtdc.4044:itc</v>
      </c>
      <c r="G11" s="8">
        <f t="shared" si="1"/>
        <v>42691.088009259256</v>
      </c>
    </row>
    <row r="12" spans="1:7" x14ac:dyDescent="0.25">
      <c r="A12" s="8">
        <v>42691.093668981484</v>
      </c>
      <c r="B12" s="21" t="s">
        <v>186</v>
      </c>
      <c r="C12" s="21" t="s">
        <v>392</v>
      </c>
      <c r="D12" s="21">
        <v>2250000</v>
      </c>
      <c r="E12" s="21" t="s">
        <v>287</v>
      </c>
      <c r="F12" s="21" t="str">
        <f t="shared" si="0"/>
        <v>rtdc.l.rtdc.4009:itc</v>
      </c>
      <c r="G12" s="8">
        <f t="shared" si="1"/>
        <v>42691.093668981484</v>
      </c>
    </row>
    <row r="13" spans="1:7" x14ac:dyDescent="0.25">
      <c r="A13" s="8">
        <v>42691.124872685185</v>
      </c>
      <c r="B13" s="21" t="s">
        <v>217</v>
      </c>
      <c r="C13" s="21" t="s">
        <v>450</v>
      </c>
      <c r="D13" s="21">
        <v>1200000</v>
      </c>
      <c r="E13" s="21" t="s">
        <v>346</v>
      </c>
      <c r="F13" s="21" t="str">
        <f t="shared" si="0"/>
        <v>rtdc.l.rtdc.4011:itc</v>
      </c>
      <c r="G13" s="8">
        <f t="shared" si="1"/>
        <v>42691.124872685185</v>
      </c>
    </row>
    <row r="14" spans="1:7" x14ac:dyDescent="0.25">
      <c r="A14" s="8">
        <v>42691.12667824074</v>
      </c>
      <c r="B14" s="21" t="s">
        <v>425</v>
      </c>
      <c r="C14" s="21" t="s">
        <v>451</v>
      </c>
      <c r="D14" s="21">
        <v>2010000</v>
      </c>
      <c r="E14" s="21" t="s">
        <v>340</v>
      </c>
      <c r="F14" s="21" t="str">
        <f t="shared" si="0"/>
        <v>rtdc.l.rtdc.4032:itc</v>
      </c>
      <c r="G14" s="8">
        <f t="shared" si="1"/>
        <v>42691.12667824074</v>
      </c>
    </row>
    <row r="15" spans="1:7" x14ac:dyDescent="0.25">
      <c r="A15" s="8">
        <v>42691.14099537037</v>
      </c>
      <c r="B15" s="21" t="s">
        <v>282</v>
      </c>
      <c r="C15" s="21" t="s">
        <v>452</v>
      </c>
      <c r="D15" s="21">
        <v>1090000</v>
      </c>
      <c r="E15" s="21" t="s">
        <v>342</v>
      </c>
      <c r="F15" s="21" t="str">
        <f t="shared" si="0"/>
        <v>rtdc.l.rtdc.4013:itc</v>
      </c>
      <c r="G15" s="8">
        <f t="shared" si="1"/>
        <v>42691.14099537037</v>
      </c>
    </row>
    <row r="16" spans="1:7" x14ac:dyDescent="0.25">
      <c r="A16" s="8">
        <v>42691.141979166663</v>
      </c>
      <c r="B16" s="21" t="s">
        <v>217</v>
      </c>
      <c r="C16" s="21" t="s">
        <v>450</v>
      </c>
      <c r="D16" s="21">
        <v>1200000</v>
      </c>
      <c r="E16" s="21" t="s">
        <v>346</v>
      </c>
      <c r="F16" s="21" t="str">
        <f t="shared" si="0"/>
        <v>rtdc.l.rtdc.4011:itc</v>
      </c>
      <c r="G16" s="8">
        <f t="shared" si="1"/>
        <v>42691.141979166663</v>
      </c>
    </row>
    <row r="17" spans="1:7" x14ac:dyDescent="0.25">
      <c r="A17" s="8">
        <v>42691.142384259256</v>
      </c>
      <c r="B17" s="21" t="s">
        <v>236</v>
      </c>
      <c r="C17" s="21" t="s">
        <v>453</v>
      </c>
      <c r="D17" s="21">
        <v>2010000</v>
      </c>
      <c r="E17" s="21" t="s">
        <v>340</v>
      </c>
      <c r="F17" s="21" t="str">
        <f t="shared" si="0"/>
        <v>rtdc.l.rtdc.4002:itc</v>
      </c>
      <c r="G17" s="8">
        <f t="shared" si="1"/>
        <v>42691.142384259256</v>
      </c>
    </row>
    <row r="18" spans="1:7" x14ac:dyDescent="0.25">
      <c r="A18" s="8">
        <v>42691.154386574075</v>
      </c>
      <c r="B18" s="21" t="s">
        <v>310</v>
      </c>
      <c r="C18" s="21" t="s">
        <v>454</v>
      </c>
      <c r="D18" s="21">
        <v>1090000</v>
      </c>
      <c r="E18" s="21" t="s">
        <v>342</v>
      </c>
      <c r="F18" s="21" t="str">
        <f t="shared" si="0"/>
        <v>rtdc.l.rtdc.4003:itc</v>
      </c>
      <c r="G18" s="8">
        <f t="shared" si="1"/>
        <v>42691.154386574075</v>
      </c>
    </row>
    <row r="19" spans="1:7" x14ac:dyDescent="0.25">
      <c r="A19" s="8">
        <v>42691.167372685188</v>
      </c>
      <c r="B19" s="21" t="s">
        <v>255</v>
      </c>
      <c r="C19" s="21" t="s">
        <v>455</v>
      </c>
      <c r="D19" s="21">
        <v>1760000</v>
      </c>
      <c r="E19" s="21" t="s">
        <v>341</v>
      </c>
      <c r="F19" s="21" t="str">
        <f t="shared" si="0"/>
        <v>rtdc.l.rtdc.4037:itc</v>
      </c>
      <c r="G19" s="8">
        <f t="shared" si="1"/>
        <v>42691.167372685188</v>
      </c>
    </row>
    <row r="20" spans="1:7" x14ac:dyDescent="0.25">
      <c r="A20" s="8">
        <v>42691.169629629629</v>
      </c>
      <c r="B20" s="21" t="s">
        <v>232</v>
      </c>
      <c r="C20" s="21" t="s">
        <v>456</v>
      </c>
      <c r="D20" s="21">
        <v>1200000</v>
      </c>
      <c r="E20" s="21" t="s">
        <v>346</v>
      </c>
      <c r="F20" s="21" t="str">
        <f t="shared" si="0"/>
        <v>rtdc.l.rtdc.4012:itc</v>
      </c>
      <c r="G20" s="8">
        <f t="shared" si="1"/>
        <v>42691.169629629629</v>
      </c>
    </row>
    <row r="21" spans="1:7" x14ac:dyDescent="0.25">
      <c r="A21" s="8">
        <v>42691.173032407409</v>
      </c>
      <c r="B21" s="21" t="s">
        <v>255</v>
      </c>
      <c r="C21" s="21" t="s">
        <v>455</v>
      </c>
      <c r="D21" s="21">
        <v>1760000</v>
      </c>
      <c r="E21" s="21" t="s">
        <v>341</v>
      </c>
      <c r="F21" s="21" t="str">
        <f t="shared" si="0"/>
        <v>rtdc.l.rtdc.4037:itc</v>
      </c>
      <c r="G21" s="8">
        <f t="shared" si="1"/>
        <v>42691.173032407409</v>
      </c>
    </row>
    <row r="22" spans="1:7" x14ac:dyDescent="0.25">
      <c r="A22" s="27">
        <v>42691.182430555556</v>
      </c>
      <c r="B22" s="21" t="s">
        <v>251</v>
      </c>
      <c r="C22" s="21" t="s">
        <v>457</v>
      </c>
      <c r="D22" s="21">
        <v>1760000</v>
      </c>
      <c r="E22" s="21" t="s">
        <v>341</v>
      </c>
      <c r="F22" s="21" t="str">
        <f t="shared" si="0"/>
        <v>rtdc.l.rtdc.4038:itc</v>
      </c>
      <c r="G22" s="8">
        <f t="shared" si="1"/>
        <v>42691.182430555556</v>
      </c>
    </row>
    <row r="23" spans="1:7" x14ac:dyDescent="0.25">
      <c r="A23" s="8">
        <v>42691.184212962966</v>
      </c>
      <c r="B23" s="21" t="s">
        <v>311</v>
      </c>
      <c r="C23" s="21" t="s">
        <v>458</v>
      </c>
      <c r="D23" s="21">
        <v>2630000</v>
      </c>
      <c r="E23" s="21" t="s">
        <v>313</v>
      </c>
      <c r="F23" s="21" t="str">
        <f t="shared" si="0"/>
        <v>rtdc.l.rtdc.4041:itc</v>
      </c>
      <c r="G23" s="8">
        <f t="shared" si="1"/>
        <v>42691.184212962966</v>
      </c>
    </row>
    <row r="24" spans="1:7" x14ac:dyDescent="0.25">
      <c r="A24" s="8">
        <v>42691.185729166667</v>
      </c>
      <c r="B24" s="21" t="s">
        <v>245</v>
      </c>
      <c r="C24" s="21" t="s">
        <v>459</v>
      </c>
      <c r="D24" s="21">
        <v>1780000</v>
      </c>
      <c r="E24" s="21" t="s">
        <v>460</v>
      </c>
      <c r="F24" s="21" t="str">
        <f t="shared" si="0"/>
        <v>rtdc.l.rtdc.4022:itc</v>
      </c>
      <c r="G24" s="8">
        <f t="shared" si="1"/>
        <v>42691.185729166667</v>
      </c>
    </row>
    <row r="25" spans="1:7" x14ac:dyDescent="0.25">
      <c r="A25" s="8">
        <v>42691.185891203706</v>
      </c>
      <c r="B25" s="21" t="s">
        <v>425</v>
      </c>
      <c r="C25" s="21" t="s">
        <v>461</v>
      </c>
      <c r="D25" s="21">
        <v>2010000</v>
      </c>
      <c r="E25" s="21" t="s">
        <v>340</v>
      </c>
      <c r="F25" s="21" t="str">
        <f t="shared" si="0"/>
        <v>rtdc.l.rtdc.4032:itc</v>
      </c>
      <c r="G25" s="8">
        <f t="shared" si="1"/>
        <v>42691.185891203706</v>
      </c>
    </row>
    <row r="26" spans="1:7" x14ac:dyDescent="0.25">
      <c r="A26" s="8">
        <v>42691.195520833331</v>
      </c>
      <c r="B26" s="21" t="s">
        <v>312</v>
      </c>
      <c r="C26" s="21" t="s">
        <v>462</v>
      </c>
      <c r="D26" s="21">
        <v>2630000</v>
      </c>
      <c r="E26" s="21" t="s">
        <v>313</v>
      </c>
      <c r="F26" s="21" t="str">
        <f t="shared" si="0"/>
        <v>rtdc.l.rtdc.4042:itc</v>
      </c>
      <c r="G26" s="8">
        <f t="shared" si="1"/>
        <v>42691.195520833331</v>
      </c>
    </row>
    <row r="27" spans="1:7" x14ac:dyDescent="0.25">
      <c r="A27" s="8">
        <v>42691.200312499997</v>
      </c>
      <c r="B27" s="21" t="s">
        <v>217</v>
      </c>
      <c r="C27" s="21" t="s">
        <v>463</v>
      </c>
      <c r="D27" s="21">
        <v>1110000</v>
      </c>
      <c r="E27" s="21" t="s">
        <v>314</v>
      </c>
      <c r="F27" s="21" t="str">
        <f t="shared" si="0"/>
        <v>rtdc.l.rtdc.4011:itc</v>
      </c>
      <c r="G27" s="8">
        <f t="shared" si="1"/>
        <v>42691.200312499997</v>
      </c>
    </row>
    <row r="28" spans="1:7" x14ac:dyDescent="0.25">
      <c r="A28" s="8">
        <v>42691.201238425929</v>
      </c>
      <c r="B28" s="21" t="s">
        <v>282</v>
      </c>
      <c r="C28" s="21" t="s">
        <v>411</v>
      </c>
      <c r="D28" s="21">
        <v>1090000</v>
      </c>
      <c r="E28" s="21" t="s">
        <v>342</v>
      </c>
      <c r="F28" s="21" t="str">
        <f t="shared" si="0"/>
        <v>rtdc.l.rtdc.4013:itc</v>
      </c>
      <c r="G28" s="8">
        <f t="shared" si="1"/>
        <v>42691.201238425929</v>
      </c>
    </row>
    <row r="29" spans="1:7" x14ac:dyDescent="0.25">
      <c r="A29" s="8">
        <v>42691.209479166668</v>
      </c>
      <c r="B29" s="21" t="s">
        <v>225</v>
      </c>
      <c r="C29" s="21" t="s">
        <v>464</v>
      </c>
      <c r="D29" s="21">
        <v>1830000</v>
      </c>
      <c r="E29" s="21" t="s">
        <v>465</v>
      </c>
      <c r="F29" s="21" t="str">
        <f t="shared" si="0"/>
        <v>rtdc.l.rtdc.4039:itc</v>
      </c>
      <c r="G29" s="8">
        <f t="shared" si="1"/>
        <v>42691.209479166668</v>
      </c>
    </row>
    <row r="30" spans="1:7" x14ac:dyDescent="0.25">
      <c r="A30" s="8">
        <v>42691.219166666669</v>
      </c>
      <c r="B30" s="21" t="s">
        <v>236</v>
      </c>
      <c r="C30" s="21" t="s">
        <v>466</v>
      </c>
      <c r="D30" s="21">
        <v>2010000</v>
      </c>
      <c r="E30" s="21" t="s">
        <v>340</v>
      </c>
      <c r="F30" s="21" t="str">
        <f t="shared" si="0"/>
        <v>rtdc.l.rtdc.4002:itc</v>
      </c>
      <c r="G30" s="8">
        <f t="shared" si="1"/>
        <v>42691.219166666669</v>
      </c>
    </row>
    <row r="31" spans="1:7" x14ac:dyDescent="0.25">
      <c r="A31" s="8">
        <v>42691.219861111109</v>
      </c>
      <c r="B31" s="21" t="s">
        <v>236</v>
      </c>
      <c r="C31" s="21" t="s">
        <v>466</v>
      </c>
      <c r="D31" s="21">
        <v>2010000</v>
      </c>
      <c r="E31" s="21" t="s">
        <v>340</v>
      </c>
      <c r="F31" s="21" t="str">
        <f t="shared" si="0"/>
        <v>rtdc.l.rtdc.4002:itc</v>
      </c>
      <c r="G31" s="8">
        <f t="shared" si="1"/>
        <v>42691.219861111109</v>
      </c>
    </row>
    <row r="32" spans="1:7" x14ac:dyDescent="0.25">
      <c r="A32" s="8">
        <v>42691.221747685187</v>
      </c>
      <c r="B32" s="21" t="s">
        <v>255</v>
      </c>
      <c r="C32" s="21" t="s">
        <v>412</v>
      </c>
      <c r="D32" s="21">
        <v>1760000</v>
      </c>
      <c r="E32" s="21" t="s">
        <v>341</v>
      </c>
      <c r="F32" s="21" t="str">
        <f t="shared" si="0"/>
        <v>rtdc.l.rtdc.4037:itc</v>
      </c>
      <c r="G32" s="8">
        <f t="shared" si="1"/>
        <v>42691.221747685187</v>
      </c>
    </row>
    <row r="33" spans="1:7" x14ac:dyDescent="0.25">
      <c r="A33" s="8">
        <v>42691.224120370367</v>
      </c>
      <c r="B33" s="21" t="s">
        <v>413</v>
      </c>
      <c r="C33" s="21" t="s">
        <v>414</v>
      </c>
      <c r="D33" s="21">
        <v>2380000</v>
      </c>
      <c r="E33" s="21" t="s">
        <v>343</v>
      </c>
      <c r="F33" s="21" t="str">
        <f t="shared" si="0"/>
        <v>rtdc.l.rtdc.4031:itc</v>
      </c>
      <c r="G33" s="8">
        <f t="shared" si="1"/>
        <v>42691.224120370367</v>
      </c>
    </row>
    <row r="34" spans="1:7" x14ac:dyDescent="0.25">
      <c r="A34" s="8">
        <v>42691.225115740737</v>
      </c>
      <c r="B34" s="21" t="s">
        <v>413</v>
      </c>
      <c r="C34" s="21" t="s">
        <v>414</v>
      </c>
      <c r="D34" s="21">
        <v>2380000</v>
      </c>
      <c r="E34" s="21" t="s">
        <v>343</v>
      </c>
      <c r="F34" s="21" t="str">
        <f t="shared" si="0"/>
        <v>rtdc.l.rtdc.4031:itc</v>
      </c>
      <c r="G34" s="8">
        <f t="shared" si="1"/>
        <v>42691.225115740737</v>
      </c>
    </row>
    <row r="35" spans="1:7" x14ac:dyDescent="0.25">
      <c r="A35" s="8">
        <v>42691.228587962964</v>
      </c>
      <c r="B35" s="21" t="s">
        <v>221</v>
      </c>
      <c r="C35" s="21" t="s">
        <v>467</v>
      </c>
      <c r="D35" s="21">
        <v>1830000</v>
      </c>
      <c r="E35" s="21" t="s">
        <v>465</v>
      </c>
      <c r="F35" s="21" t="str">
        <f t="shared" si="0"/>
        <v>rtdc.l.rtdc.4040:itc</v>
      </c>
      <c r="G35" s="8">
        <f t="shared" si="1"/>
        <v>42691.228587962964</v>
      </c>
    </row>
    <row r="36" spans="1:7" x14ac:dyDescent="0.25">
      <c r="A36" s="8">
        <v>42691.235763888886</v>
      </c>
      <c r="B36" s="21" t="s">
        <v>311</v>
      </c>
      <c r="C36" s="21" t="s">
        <v>468</v>
      </c>
      <c r="D36" s="21">
        <v>2630000</v>
      </c>
      <c r="E36" s="21" t="s">
        <v>313</v>
      </c>
      <c r="F36" s="21" t="str">
        <f t="shared" si="0"/>
        <v>rtdc.l.rtdc.4041:itc</v>
      </c>
      <c r="G36" s="8">
        <f t="shared" si="1"/>
        <v>42691.235763888886</v>
      </c>
    </row>
    <row r="37" spans="1:7" x14ac:dyDescent="0.25">
      <c r="A37" s="8">
        <v>42691.237071759257</v>
      </c>
      <c r="B37" s="21" t="s">
        <v>310</v>
      </c>
      <c r="C37" s="21" t="s">
        <v>469</v>
      </c>
      <c r="D37" s="21">
        <v>1090000</v>
      </c>
      <c r="E37" s="21" t="s">
        <v>342</v>
      </c>
      <c r="F37" s="21" t="str">
        <f t="shared" si="0"/>
        <v>rtdc.l.rtdc.4003:itc</v>
      </c>
      <c r="G37" s="8">
        <f t="shared" si="1"/>
        <v>42691.237071759257</v>
      </c>
    </row>
    <row r="38" spans="1:7" x14ac:dyDescent="0.25">
      <c r="A38" s="8">
        <v>42691.238067129627</v>
      </c>
      <c r="B38" s="21" t="s">
        <v>310</v>
      </c>
      <c r="C38" s="21" t="s">
        <v>469</v>
      </c>
      <c r="D38" s="21">
        <v>1090000</v>
      </c>
      <c r="E38" s="21" t="s">
        <v>342</v>
      </c>
      <c r="F38" s="21" t="str">
        <f t="shared" si="0"/>
        <v>rtdc.l.rtdc.4003:itc</v>
      </c>
      <c r="G38" s="8">
        <f t="shared" si="1"/>
        <v>42691.238067129627</v>
      </c>
    </row>
    <row r="39" spans="1:7" x14ac:dyDescent="0.25">
      <c r="A39" s="8">
        <v>42691.246550925927</v>
      </c>
      <c r="B39" s="21" t="s">
        <v>232</v>
      </c>
      <c r="C39" s="21" t="s">
        <v>470</v>
      </c>
      <c r="D39" s="21">
        <v>1110000</v>
      </c>
      <c r="E39" s="21" t="s">
        <v>314</v>
      </c>
      <c r="F39" s="21" t="str">
        <f t="shared" si="0"/>
        <v>rtdc.l.rtdc.4012:itc</v>
      </c>
      <c r="G39" s="8">
        <f t="shared" si="1"/>
        <v>42691.246550925927</v>
      </c>
    </row>
    <row r="40" spans="1:7" x14ac:dyDescent="0.25">
      <c r="A40" s="8">
        <v>42691.248159722221</v>
      </c>
      <c r="B40" s="26" t="s">
        <v>281</v>
      </c>
      <c r="C40" s="21" t="s">
        <v>471</v>
      </c>
      <c r="D40" s="21">
        <v>1780000</v>
      </c>
      <c r="E40" s="21" t="s">
        <v>460</v>
      </c>
      <c r="F40" s="21" t="str">
        <f t="shared" si="0"/>
        <v>rtdc.l.rtdc.4014:itc</v>
      </c>
      <c r="G40" s="8">
        <f t="shared" si="1"/>
        <v>42691.248159722221</v>
      </c>
    </row>
    <row r="41" spans="1:7" x14ac:dyDescent="0.25">
      <c r="A41" s="8">
        <v>42691.249328703707</v>
      </c>
      <c r="B41" s="21" t="s">
        <v>419</v>
      </c>
      <c r="C41" s="21" t="s">
        <v>472</v>
      </c>
      <c r="D41" s="21">
        <v>2600000</v>
      </c>
      <c r="E41" s="21" t="s">
        <v>315</v>
      </c>
      <c r="F41" s="21" t="str">
        <f t="shared" si="0"/>
        <v>rtdc.l.rtdc.4017:itc</v>
      </c>
      <c r="G41" s="8">
        <f t="shared" si="1"/>
        <v>42691.249328703707</v>
      </c>
    </row>
    <row r="42" spans="1:7" x14ac:dyDescent="0.25">
      <c r="A42" s="8">
        <v>42691.255046296297</v>
      </c>
      <c r="B42" s="21" t="s">
        <v>225</v>
      </c>
      <c r="C42" s="21" t="s">
        <v>473</v>
      </c>
      <c r="D42" s="21">
        <v>1830000</v>
      </c>
      <c r="E42" s="21" t="s">
        <v>465</v>
      </c>
      <c r="F42" s="21" t="str">
        <f t="shared" si="0"/>
        <v>rtdc.l.rtdc.4039:itc</v>
      </c>
      <c r="G42" s="8">
        <f t="shared" si="1"/>
        <v>42691.255046296297</v>
      </c>
    </row>
    <row r="43" spans="1:7" x14ac:dyDescent="0.25">
      <c r="A43" s="8">
        <v>42691.255254629628</v>
      </c>
      <c r="B43" s="21" t="s">
        <v>235</v>
      </c>
      <c r="C43" s="21" t="s">
        <v>474</v>
      </c>
      <c r="D43" s="21">
        <v>2010000</v>
      </c>
      <c r="E43" s="21" t="s">
        <v>340</v>
      </c>
      <c r="F43" s="21" t="str">
        <f t="shared" si="0"/>
        <v>rtdc.l.rtdc.4001:itc</v>
      </c>
      <c r="G43" s="8">
        <f t="shared" si="1"/>
        <v>42691.255254629628</v>
      </c>
    </row>
    <row r="44" spans="1:7" x14ac:dyDescent="0.25">
      <c r="A44" s="8">
        <v>42691.257523148146</v>
      </c>
      <c r="B44" s="21" t="s">
        <v>251</v>
      </c>
      <c r="C44" s="21" t="s">
        <v>475</v>
      </c>
      <c r="D44" s="21">
        <v>1760000</v>
      </c>
      <c r="E44" s="21" t="s">
        <v>341</v>
      </c>
      <c r="F44" s="21" t="str">
        <f t="shared" si="0"/>
        <v>rtdc.l.rtdc.4038:itc</v>
      </c>
      <c r="G44" s="8">
        <f t="shared" si="1"/>
        <v>42691.257523148146</v>
      </c>
    </row>
    <row r="45" spans="1:7" x14ac:dyDescent="0.25">
      <c r="A45" s="8">
        <v>42691.259328703702</v>
      </c>
      <c r="B45" s="21" t="s">
        <v>296</v>
      </c>
      <c r="C45" s="21" t="s">
        <v>476</v>
      </c>
      <c r="D45" s="21">
        <v>2600000</v>
      </c>
      <c r="E45" s="21" t="s">
        <v>315</v>
      </c>
      <c r="F45" s="21" t="str">
        <f t="shared" si="0"/>
        <v>rtdc.l.rtdc.4018:itc</v>
      </c>
      <c r="G45" s="8">
        <f t="shared" si="1"/>
        <v>42691.259328703702</v>
      </c>
    </row>
    <row r="46" spans="1:7" x14ac:dyDescent="0.25">
      <c r="A46" s="8">
        <v>42691.260381944441</v>
      </c>
      <c r="B46" s="21" t="s">
        <v>425</v>
      </c>
      <c r="C46" s="21" t="s">
        <v>477</v>
      </c>
      <c r="D46" s="21">
        <v>2380000</v>
      </c>
      <c r="E46" s="21" t="s">
        <v>343</v>
      </c>
      <c r="F46" s="21" t="str">
        <f t="shared" si="0"/>
        <v>rtdc.l.rtdc.4032:itc</v>
      </c>
      <c r="G46" s="8">
        <f t="shared" si="1"/>
        <v>42691.260381944441</v>
      </c>
    </row>
    <row r="47" spans="1:7" x14ac:dyDescent="0.25">
      <c r="A47" s="8">
        <v>42691.266643518517</v>
      </c>
      <c r="B47" s="21" t="s">
        <v>312</v>
      </c>
      <c r="C47" s="21" t="s">
        <v>415</v>
      </c>
      <c r="D47" s="21">
        <v>2630000</v>
      </c>
      <c r="E47" s="21" t="s">
        <v>313</v>
      </c>
      <c r="F47" s="21" t="str">
        <f t="shared" si="0"/>
        <v>rtdc.l.rtdc.4042:itc</v>
      </c>
      <c r="G47" s="8">
        <f t="shared" si="1"/>
        <v>42691.266643518517</v>
      </c>
    </row>
    <row r="48" spans="1:7" x14ac:dyDescent="0.25">
      <c r="A48" s="8">
        <v>42691.268807870372</v>
      </c>
      <c r="B48" s="21" t="s">
        <v>221</v>
      </c>
      <c r="C48" s="21" t="s">
        <v>478</v>
      </c>
      <c r="D48" s="21">
        <v>1830000</v>
      </c>
      <c r="E48" s="21" t="s">
        <v>465</v>
      </c>
      <c r="F48" s="21" t="str">
        <f t="shared" si="0"/>
        <v>rtdc.l.rtdc.4040:itc</v>
      </c>
      <c r="G48" s="8">
        <f t="shared" si="1"/>
        <v>42691.268807870372</v>
      </c>
    </row>
    <row r="49" spans="1:7" x14ac:dyDescent="0.25">
      <c r="A49" s="8">
        <v>42691.272928240738</v>
      </c>
      <c r="B49" s="21" t="s">
        <v>226</v>
      </c>
      <c r="C49" s="21" t="s">
        <v>417</v>
      </c>
      <c r="D49" s="21">
        <v>1090000</v>
      </c>
      <c r="E49" s="21" t="s">
        <v>342</v>
      </c>
      <c r="F49" s="21" t="str">
        <f t="shared" si="0"/>
        <v>rtdc.l.rtdc.4004:itc</v>
      </c>
      <c r="G49" s="8">
        <f t="shared" si="1"/>
        <v>42691.272928240738</v>
      </c>
    </row>
    <row r="50" spans="1:7" x14ac:dyDescent="0.25">
      <c r="A50" s="8">
        <v>42691.275682870371</v>
      </c>
      <c r="B50" s="21" t="s">
        <v>419</v>
      </c>
      <c r="C50" s="21" t="s">
        <v>479</v>
      </c>
      <c r="D50" s="21">
        <v>2600000</v>
      </c>
      <c r="E50" s="21" t="s">
        <v>315</v>
      </c>
      <c r="F50" s="21" t="str">
        <f t="shared" si="0"/>
        <v>rtdc.l.rtdc.4017:itc</v>
      </c>
      <c r="G50" s="8">
        <f t="shared" si="1"/>
        <v>42691.275682870371</v>
      </c>
    </row>
    <row r="51" spans="1:7" x14ac:dyDescent="0.25">
      <c r="A51" s="8">
        <v>42691.279548611114</v>
      </c>
      <c r="B51" s="21" t="s">
        <v>217</v>
      </c>
      <c r="C51" s="21" t="s">
        <v>480</v>
      </c>
      <c r="D51" s="21">
        <v>1110000</v>
      </c>
      <c r="E51" s="21" t="s">
        <v>314</v>
      </c>
      <c r="F51" s="21" t="str">
        <f t="shared" si="0"/>
        <v>rtdc.l.rtdc.4011:itc</v>
      </c>
      <c r="G51" s="8">
        <f t="shared" si="1"/>
        <v>42691.279548611114</v>
      </c>
    </row>
    <row r="52" spans="1:7" x14ac:dyDescent="0.25">
      <c r="A52" s="8">
        <v>42691.283379629633</v>
      </c>
      <c r="B52" s="21" t="s">
        <v>282</v>
      </c>
      <c r="C52" s="21" t="s">
        <v>481</v>
      </c>
      <c r="D52" s="21">
        <v>1780000</v>
      </c>
      <c r="E52" s="21" t="s">
        <v>460</v>
      </c>
      <c r="F52" s="21" t="str">
        <f t="shared" si="0"/>
        <v>rtdc.l.rtdc.4013:itc</v>
      </c>
      <c r="G52" s="8">
        <f t="shared" si="1"/>
        <v>42691.283379629633</v>
      </c>
    </row>
    <row r="53" spans="1:7" x14ac:dyDescent="0.25">
      <c r="A53" s="8">
        <v>42691.28806712963</v>
      </c>
      <c r="B53" s="21" t="s">
        <v>236</v>
      </c>
      <c r="C53" s="21" t="s">
        <v>416</v>
      </c>
      <c r="D53" s="21">
        <v>2010000</v>
      </c>
      <c r="E53" s="21" t="s">
        <v>340</v>
      </c>
      <c r="F53" s="21" t="str">
        <f t="shared" si="0"/>
        <v>rtdc.l.rtdc.4002:itc</v>
      </c>
      <c r="G53" s="8">
        <f t="shared" si="1"/>
        <v>42691.28806712963</v>
      </c>
    </row>
    <row r="54" spans="1:7" x14ac:dyDescent="0.25">
      <c r="A54" s="8">
        <v>42691.296377314815</v>
      </c>
      <c r="B54" s="21" t="s">
        <v>255</v>
      </c>
      <c r="C54" s="21" t="s">
        <v>482</v>
      </c>
      <c r="D54" s="21">
        <v>1760000</v>
      </c>
      <c r="E54" s="21" t="s">
        <v>341</v>
      </c>
      <c r="F54" s="21" t="str">
        <f t="shared" si="0"/>
        <v>rtdc.l.rtdc.4037:itc</v>
      </c>
      <c r="G54" s="8">
        <f t="shared" si="1"/>
        <v>42691.296377314815</v>
      </c>
    </row>
    <row r="55" spans="1:7" x14ac:dyDescent="0.25">
      <c r="A55" s="8">
        <v>42691.296527777777</v>
      </c>
      <c r="B55" s="21" t="s">
        <v>225</v>
      </c>
      <c r="C55" s="21" t="s">
        <v>418</v>
      </c>
      <c r="D55" s="21">
        <v>1830000</v>
      </c>
      <c r="E55" s="21" t="s">
        <v>465</v>
      </c>
      <c r="F55" s="21" t="str">
        <f t="shared" si="0"/>
        <v>rtdc.l.rtdc.4039:itc</v>
      </c>
      <c r="G55" s="8">
        <f t="shared" si="1"/>
        <v>42691.296527777777</v>
      </c>
    </row>
    <row r="56" spans="1:7" x14ac:dyDescent="0.25">
      <c r="A56" s="8">
        <v>42691.297905092593</v>
      </c>
      <c r="B56" s="21" t="s">
        <v>413</v>
      </c>
      <c r="C56" s="21" t="s">
        <v>483</v>
      </c>
      <c r="D56" s="21">
        <v>2380000</v>
      </c>
      <c r="E56" s="21" t="s">
        <v>343</v>
      </c>
      <c r="F56" s="21" t="str">
        <f t="shared" si="0"/>
        <v>rtdc.l.rtdc.4031:itc</v>
      </c>
      <c r="G56" s="8">
        <f t="shared" si="1"/>
        <v>42691.297905092593</v>
      </c>
    </row>
    <row r="57" spans="1:7" x14ac:dyDescent="0.25">
      <c r="A57" s="8">
        <v>42691.298796296294</v>
      </c>
      <c r="B57" s="21" t="s">
        <v>296</v>
      </c>
      <c r="C57" s="21" t="s">
        <v>484</v>
      </c>
      <c r="D57" s="21">
        <v>2600000</v>
      </c>
      <c r="E57" s="21" t="s">
        <v>315</v>
      </c>
      <c r="F57" s="21" t="str">
        <f t="shared" si="0"/>
        <v>rtdc.l.rtdc.4018:itc</v>
      </c>
      <c r="G57" s="8">
        <f t="shared" si="1"/>
        <v>42691.298796296294</v>
      </c>
    </row>
    <row r="58" spans="1:7" x14ac:dyDescent="0.25">
      <c r="A58" s="8">
        <v>42691.303946759261</v>
      </c>
      <c r="B58" s="21" t="s">
        <v>311</v>
      </c>
      <c r="C58" s="21" t="s">
        <v>485</v>
      </c>
      <c r="D58" s="21">
        <v>2630000</v>
      </c>
      <c r="E58" s="21" t="s">
        <v>313</v>
      </c>
      <c r="F58" s="21" t="str">
        <f t="shared" si="0"/>
        <v>rtdc.l.rtdc.4041:itc</v>
      </c>
      <c r="G58" s="8">
        <f t="shared" si="1"/>
        <v>42691.303946759261</v>
      </c>
    </row>
    <row r="59" spans="1:7" x14ac:dyDescent="0.25">
      <c r="A59" s="8">
        <v>42691.308761574073</v>
      </c>
      <c r="B59" s="21" t="s">
        <v>310</v>
      </c>
      <c r="C59" s="21" t="s">
        <v>422</v>
      </c>
      <c r="D59" s="21">
        <v>1090000</v>
      </c>
      <c r="E59" s="21" t="s">
        <v>342</v>
      </c>
      <c r="F59" s="21" t="str">
        <f t="shared" si="0"/>
        <v>rtdc.l.rtdc.4003:itc</v>
      </c>
      <c r="G59" s="8">
        <f t="shared" si="1"/>
        <v>42691.308761574073</v>
      </c>
    </row>
    <row r="60" spans="1:7" x14ac:dyDescent="0.25">
      <c r="A60" s="8">
        <v>42691.311898148146</v>
      </c>
      <c r="B60" s="21" t="s">
        <v>221</v>
      </c>
      <c r="C60" s="21" t="s">
        <v>486</v>
      </c>
      <c r="D60" s="21">
        <v>1830000</v>
      </c>
      <c r="E60" s="21" t="s">
        <v>465</v>
      </c>
      <c r="F60" s="21" t="str">
        <f t="shared" si="0"/>
        <v>rtdc.l.rtdc.4040:itc</v>
      </c>
      <c r="G60" s="8">
        <f t="shared" si="1"/>
        <v>42691.311898148146</v>
      </c>
    </row>
    <row r="61" spans="1:7" x14ac:dyDescent="0.25">
      <c r="A61" s="8">
        <v>42691.317835648151</v>
      </c>
      <c r="B61" s="21" t="s">
        <v>419</v>
      </c>
      <c r="C61" s="21" t="s">
        <v>420</v>
      </c>
      <c r="D61" s="21">
        <v>2600000</v>
      </c>
      <c r="E61" s="21" t="s">
        <v>315</v>
      </c>
      <c r="F61" s="21" t="str">
        <f t="shared" si="0"/>
        <v>rtdc.l.rtdc.4017:itc</v>
      </c>
      <c r="G61" s="8">
        <f t="shared" si="1"/>
        <v>42691.317835648151</v>
      </c>
    </row>
    <row r="62" spans="1:7" x14ac:dyDescent="0.25">
      <c r="A62" s="8">
        <v>42691.319039351853</v>
      </c>
      <c r="B62" s="21" t="s">
        <v>232</v>
      </c>
      <c r="C62" s="21" t="s">
        <v>421</v>
      </c>
      <c r="D62" s="21">
        <v>1110000</v>
      </c>
      <c r="E62" s="21" t="s">
        <v>314</v>
      </c>
      <c r="F62" s="21" t="str">
        <f t="shared" si="0"/>
        <v>rtdc.l.rtdc.4012:itc</v>
      </c>
      <c r="G62" s="8">
        <f t="shared" si="1"/>
        <v>42691.319039351853</v>
      </c>
    </row>
    <row r="63" spans="1:7" x14ac:dyDescent="0.25">
      <c r="A63" s="8">
        <v>42691.320405092592</v>
      </c>
      <c r="B63" s="21" t="s">
        <v>281</v>
      </c>
      <c r="C63" s="21" t="s">
        <v>487</v>
      </c>
      <c r="D63" s="21">
        <v>1780000</v>
      </c>
      <c r="E63" s="21" t="s">
        <v>460</v>
      </c>
      <c r="F63" s="21" t="str">
        <f t="shared" si="0"/>
        <v>rtdc.l.rtdc.4014:itc</v>
      </c>
      <c r="G63" s="8">
        <f t="shared" si="1"/>
        <v>42691.320405092592</v>
      </c>
    </row>
    <row r="64" spans="1:7" x14ac:dyDescent="0.25">
      <c r="A64" s="27">
        <v>42691.32408564815</v>
      </c>
      <c r="B64" s="21" t="s">
        <v>235</v>
      </c>
      <c r="C64" s="21" t="s">
        <v>488</v>
      </c>
      <c r="D64" s="21">
        <v>2010000</v>
      </c>
      <c r="E64" s="21" t="s">
        <v>340</v>
      </c>
      <c r="F64" s="21" t="str">
        <f t="shared" si="0"/>
        <v>rtdc.l.rtdc.4001:itc</v>
      </c>
      <c r="G64" s="8">
        <f t="shared" si="1"/>
        <v>42691.32408564815</v>
      </c>
    </row>
    <row r="65" spans="1:7" x14ac:dyDescent="0.25">
      <c r="A65" s="8">
        <v>42691.32880787037</v>
      </c>
      <c r="B65" s="21" t="s">
        <v>251</v>
      </c>
      <c r="C65" s="21" t="s">
        <v>489</v>
      </c>
      <c r="D65" s="21">
        <v>1760000</v>
      </c>
      <c r="E65" s="21" t="s">
        <v>341</v>
      </c>
      <c r="F65" s="21" t="str">
        <f t="shared" si="0"/>
        <v>rtdc.l.rtdc.4038:itc</v>
      </c>
      <c r="G65" s="8">
        <f t="shared" si="1"/>
        <v>42691.32880787037</v>
      </c>
    </row>
    <row r="66" spans="1:7" x14ac:dyDescent="0.25">
      <c r="A66" s="8">
        <v>42691.330891203703</v>
      </c>
      <c r="B66" s="21" t="s">
        <v>425</v>
      </c>
      <c r="C66" s="21" t="s">
        <v>490</v>
      </c>
      <c r="D66" s="21">
        <v>2380000</v>
      </c>
      <c r="E66" s="21" t="s">
        <v>343</v>
      </c>
      <c r="F66" s="21" t="str">
        <f t="shared" ref="F66:F129" si="2">B66</f>
        <v>rtdc.l.rtdc.4032:itc</v>
      </c>
      <c r="G66" s="8">
        <f t="shared" ref="G66:G129" si="3">A66</f>
        <v>42691.330891203703</v>
      </c>
    </row>
    <row r="67" spans="1:7" x14ac:dyDescent="0.25">
      <c r="A67" s="8">
        <v>42691.333923611113</v>
      </c>
      <c r="B67" s="21" t="s">
        <v>296</v>
      </c>
      <c r="C67" s="21" t="s">
        <v>491</v>
      </c>
      <c r="D67" s="21">
        <v>2600000</v>
      </c>
      <c r="E67" s="21" t="s">
        <v>315</v>
      </c>
      <c r="F67" s="21" t="str">
        <f t="shared" si="2"/>
        <v>rtdc.l.rtdc.4018:itc</v>
      </c>
      <c r="G67" s="8">
        <f t="shared" si="3"/>
        <v>42691.333923611113</v>
      </c>
    </row>
    <row r="68" spans="1:7" x14ac:dyDescent="0.25">
      <c r="A68" s="8">
        <v>42691.337627314817</v>
      </c>
      <c r="B68" s="21" t="s">
        <v>225</v>
      </c>
      <c r="C68" s="21" t="s">
        <v>423</v>
      </c>
      <c r="D68" s="21">
        <v>1830000</v>
      </c>
      <c r="E68" s="21" t="s">
        <v>465</v>
      </c>
      <c r="F68" s="21" t="str">
        <f t="shared" si="2"/>
        <v>rtdc.l.rtdc.4039:itc</v>
      </c>
      <c r="G68" s="8">
        <f t="shared" si="3"/>
        <v>42691.337627314817</v>
      </c>
    </row>
    <row r="69" spans="1:7" x14ac:dyDescent="0.25">
      <c r="A69" s="8">
        <v>42691.340520833335</v>
      </c>
      <c r="B69" s="21" t="s">
        <v>312</v>
      </c>
      <c r="C69" s="21" t="s">
        <v>492</v>
      </c>
      <c r="D69" s="21">
        <v>2630000</v>
      </c>
      <c r="E69" s="21" t="s">
        <v>313</v>
      </c>
      <c r="F69" s="21" t="str">
        <f t="shared" si="2"/>
        <v>rtdc.l.rtdc.4042:itc</v>
      </c>
      <c r="G69" s="8">
        <f t="shared" si="3"/>
        <v>42691.340520833335</v>
      </c>
    </row>
    <row r="70" spans="1:7" x14ac:dyDescent="0.25">
      <c r="A70" s="8">
        <v>42691.346192129633</v>
      </c>
      <c r="B70" s="21" t="s">
        <v>226</v>
      </c>
      <c r="C70" s="21" t="s">
        <v>493</v>
      </c>
      <c r="D70" s="21">
        <v>1090000</v>
      </c>
      <c r="E70" s="21" t="s">
        <v>342</v>
      </c>
      <c r="F70" s="21" t="str">
        <f t="shared" si="2"/>
        <v>rtdc.l.rtdc.4004:itc</v>
      </c>
      <c r="G70" s="8">
        <f t="shared" si="3"/>
        <v>42691.346192129633</v>
      </c>
    </row>
    <row r="71" spans="1:7" x14ac:dyDescent="0.25">
      <c r="A71" s="8">
        <v>42691.349849537037</v>
      </c>
      <c r="B71" s="21" t="s">
        <v>217</v>
      </c>
      <c r="C71" s="21" t="s">
        <v>494</v>
      </c>
      <c r="D71" s="21">
        <v>1110000</v>
      </c>
      <c r="E71" s="21" t="s">
        <v>314</v>
      </c>
      <c r="F71" s="21" t="str">
        <f t="shared" si="2"/>
        <v>rtdc.l.rtdc.4011:itc</v>
      </c>
      <c r="G71" s="8">
        <f t="shared" si="3"/>
        <v>42691.349849537037</v>
      </c>
    </row>
    <row r="72" spans="1:7" x14ac:dyDescent="0.25">
      <c r="A72" s="8">
        <v>42691.353634259256</v>
      </c>
      <c r="B72" s="21" t="s">
        <v>221</v>
      </c>
      <c r="C72" s="21" t="s">
        <v>495</v>
      </c>
      <c r="D72" s="21">
        <v>1830000</v>
      </c>
      <c r="E72" s="21" t="s">
        <v>465</v>
      </c>
      <c r="F72" s="21" t="str">
        <f t="shared" si="2"/>
        <v>rtdc.l.rtdc.4040:itc</v>
      </c>
      <c r="G72" s="8">
        <f t="shared" si="3"/>
        <v>42691.353634259256</v>
      </c>
    </row>
    <row r="73" spans="1:7" x14ac:dyDescent="0.25">
      <c r="A73" s="8">
        <v>42691.359930555554</v>
      </c>
      <c r="B73" s="21" t="s">
        <v>419</v>
      </c>
      <c r="C73" s="21" t="s">
        <v>496</v>
      </c>
      <c r="D73" s="21">
        <v>2600000</v>
      </c>
      <c r="E73" s="21" t="s">
        <v>315</v>
      </c>
      <c r="F73" s="21" t="str">
        <f t="shared" si="2"/>
        <v>rtdc.l.rtdc.4017:itc</v>
      </c>
      <c r="G73" s="8">
        <f t="shared" si="3"/>
        <v>42691.359930555554</v>
      </c>
    </row>
    <row r="74" spans="1:7" x14ac:dyDescent="0.25">
      <c r="A74" s="8">
        <v>42691.359965277778</v>
      </c>
      <c r="B74" s="21" t="s">
        <v>282</v>
      </c>
      <c r="C74" s="21" t="s">
        <v>497</v>
      </c>
      <c r="D74" s="21">
        <v>1780000</v>
      </c>
      <c r="E74" s="21" t="s">
        <v>460</v>
      </c>
      <c r="F74" s="21" t="str">
        <f t="shared" si="2"/>
        <v>rtdc.l.rtdc.4013:itc</v>
      </c>
      <c r="G74" s="8">
        <f t="shared" si="3"/>
        <v>42691.359965277778</v>
      </c>
    </row>
    <row r="75" spans="1:7" x14ac:dyDescent="0.25">
      <c r="A75" s="8">
        <v>42691.360196759262</v>
      </c>
      <c r="B75" s="21" t="s">
        <v>236</v>
      </c>
      <c r="C75" s="21" t="s">
        <v>498</v>
      </c>
      <c r="D75" s="21">
        <v>2010000</v>
      </c>
      <c r="E75" s="21" t="s">
        <v>340</v>
      </c>
      <c r="F75" s="21" t="str">
        <f t="shared" si="2"/>
        <v>rtdc.l.rtdc.4002:itc</v>
      </c>
      <c r="G75" s="8">
        <f t="shared" si="3"/>
        <v>42691.360196759262</v>
      </c>
    </row>
    <row r="76" spans="1:7" x14ac:dyDescent="0.25">
      <c r="A76" s="8">
        <v>42691.360694444447</v>
      </c>
      <c r="B76" s="21" t="s">
        <v>255</v>
      </c>
      <c r="C76" s="21" t="s">
        <v>424</v>
      </c>
      <c r="D76" s="21">
        <v>1760000</v>
      </c>
      <c r="E76" s="21" t="s">
        <v>341</v>
      </c>
      <c r="F76" s="21" t="str">
        <f t="shared" si="2"/>
        <v>rtdc.l.rtdc.4037:itc</v>
      </c>
      <c r="G76" s="8">
        <f t="shared" si="3"/>
        <v>42691.360694444447</v>
      </c>
    </row>
    <row r="77" spans="1:7" x14ac:dyDescent="0.25">
      <c r="A77" s="8">
        <v>42691.370092592595</v>
      </c>
      <c r="B77" s="21" t="s">
        <v>413</v>
      </c>
      <c r="C77" s="21" t="s">
        <v>499</v>
      </c>
      <c r="D77" s="21">
        <v>2380000</v>
      </c>
      <c r="E77" s="21" t="s">
        <v>343</v>
      </c>
      <c r="F77" s="21" t="str">
        <f t="shared" si="2"/>
        <v>rtdc.l.rtdc.4031:itc</v>
      </c>
      <c r="G77" s="8">
        <f t="shared" si="3"/>
        <v>42691.370092592595</v>
      </c>
    </row>
    <row r="78" spans="1:7" x14ac:dyDescent="0.25">
      <c r="A78" s="8">
        <v>42691.376469907409</v>
      </c>
      <c r="B78" s="21" t="s">
        <v>296</v>
      </c>
      <c r="C78" s="21" t="s">
        <v>500</v>
      </c>
      <c r="D78" s="21">
        <v>2600000</v>
      </c>
      <c r="E78" s="21" t="s">
        <v>315</v>
      </c>
      <c r="F78" s="21" t="str">
        <f t="shared" si="2"/>
        <v>rtdc.l.rtdc.4018:itc</v>
      </c>
      <c r="G78" s="8">
        <f t="shared" si="3"/>
        <v>42691.376469907409</v>
      </c>
    </row>
    <row r="79" spans="1:7" x14ac:dyDescent="0.25">
      <c r="A79" s="8">
        <v>42691.377685185187</v>
      </c>
      <c r="B79" s="21" t="s">
        <v>311</v>
      </c>
      <c r="C79" s="21" t="s">
        <v>501</v>
      </c>
      <c r="D79" s="21">
        <v>2630000</v>
      </c>
      <c r="E79" s="21" t="s">
        <v>313</v>
      </c>
      <c r="F79" s="21" t="str">
        <f t="shared" si="2"/>
        <v>rtdc.l.rtdc.4041:itc</v>
      </c>
      <c r="G79" s="8">
        <f t="shared" si="3"/>
        <v>42691.377685185187</v>
      </c>
    </row>
    <row r="80" spans="1:7" x14ac:dyDescent="0.25">
      <c r="A80" s="8">
        <v>42691.382037037038</v>
      </c>
      <c r="B80" s="21" t="s">
        <v>310</v>
      </c>
      <c r="C80" s="21" t="s">
        <v>502</v>
      </c>
      <c r="D80" s="21">
        <v>1290000</v>
      </c>
      <c r="E80" s="21" t="s">
        <v>350</v>
      </c>
      <c r="F80" s="21" t="str">
        <f t="shared" si="2"/>
        <v>rtdc.l.rtdc.4003:itc</v>
      </c>
      <c r="G80" s="8">
        <f t="shared" si="3"/>
        <v>42691.382037037038</v>
      </c>
    </row>
    <row r="81" spans="1:7" x14ac:dyDescent="0.25">
      <c r="A81" s="8">
        <v>42691.38554398148</v>
      </c>
      <c r="B81" s="21" t="s">
        <v>310</v>
      </c>
      <c r="C81" s="21" t="s">
        <v>502</v>
      </c>
      <c r="D81" s="21">
        <v>1290000</v>
      </c>
      <c r="E81" s="21" t="s">
        <v>350</v>
      </c>
      <c r="F81" s="21" t="str">
        <f t="shared" si="2"/>
        <v>rtdc.l.rtdc.4003:itc</v>
      </c>
      <c r="G81" s="8">
        <f t="shared" si="3"/>
        <v>42691.38554398148</v>
      </c>
    </row>
    <row r="82" spans="1:7" x14ac:dyDescent="0.25">
      <c r="A82" s="8">
        <v>42691.392210648148</v>
      </c>
      <c r="B82" s="21" t="s">
        <v>232</v>
      </c>
      <c r="C82" s="21" t="s">
        <v>427</v>
      </c>
      <c r="D82" s="21">
        <v>1110000</v>
      </c>
      <c r="E82" s="21" t="s">
        <v>314</v>
      </c>
      <c r="F82" s="21" t="str">
        <f t="shared" si="2"/>
        <v>rtdc.l.rtdc.4012:itc</v>
      </c>
      <c r="G82" s="8">
        <f t="shared" si="3"/>
        <v>42691.392210648148</v>
      </c>
    </row>
    <row r="83" spans="1:7" x14ac:dyDescent="0.25">
      <c r="A83" s="8">
        <v>42691.393321759257</v>
      </c>
      <c r="B83" s="21" t="s">
        <v>281</v>
      </c>
      <c r="C83" s="21" t="s">
        <v>503</v>
      </c>
      <c r="D83" s="21">
        <v>1780000</v>
      </c>
      <c r="E83" s="21" t="s">
        <v>460</v>
      </c>
      <c r="F83" s="21" t="str">
        <f t="shared" si="2"/>
        <v>rtdc.l.rtdc.4014:itc</v>
      </c>
      <c r="G83" s="8">
        <f t="shared" si="3"/>
        <v>42691.393321759257</v>
      </c>
    </row>
    <row r="84" spans="1:7" x14ac:dyDescent="0.25">
      <c r="A84" s="8">
        <v>42691.399699074071</v>
      </c>
      <c r="B84" s="21" t="s">
        <v>235</v>
      </c>
      <c r="C84" s="21" t="s">
        <v>428</v>
      </c>
      <c r="D84" s="21">
        <v>2010000</v>
      </c>
      <c r="E84" s="21" t="s">
        <v>340</v>
      </c>
      <c r="F84" s="21" t="str">
        <f t="shared" si="2"/>
        <v>rtdc.l.rtdc.4001:itc</v>
      </c>
      <c r="G84" s="8">
        <f t="shared" si="3"/>
        <v>42691.399699074071</v>
      </c>
    </row>
    <row r="85" spans="1:7" x14ac:dyDescent="0.25">
      <c r="A85" s="8">
        <v>42691.401666666665</v>
      </c>
      <c r="B85" s="21" t="s">
        <v>419</v>
      </c>
      <c r="C85" s="21" t="s">
        <v>504</v>
      </c>
      <c r="D85" s="21">
        <v>2600000</v>
      </c>
      <c r="E85" s="21" t="s">
        <v>315</v>
      </c>
      <c r="F85" s="21" t="str">
        <f t="shared" si="2"/>
        <v>rtdc.l.rtdc.4017:itc</v>
      </c>
      <c r="G85" s="8">
        <f t="shared" si="3"/>
        <v>42691.401666666665</v>
      </c>
    </row>
    <row r="86" spans="1:7" x14ac:dyDescent="0.25">
      <c r="A86" s="8">
        <v>42691.405219907407</v>
      </c>
      <c r="B86" s="21" t="s">
        <v>425</v>
      </c>
      <c r="C86" s="21" t="s">
        <v>426</v>
      </c>
      <c r="D86" s="21">
        <v>2380000</v>
      </c>
      <c r="E86" s="21" t="s">
        <v>343</v>
      </c>
      <c r="F86" s="21" t="str">
        <f t="shared" si="2"/>
        <v>rtdc.l.rtdc.4032:itc</v>
      </c>
      <c r="G86" s="8">
        <f t="shared" si="3"/>
        <v>42691.405219907407</v>
      </c>
    </row>
    <row r="87" spans="1:7" x14ac:dyDescent="0.25">
      <c r="A87" s="8">
        <v>42691.405590277776</v>
      </c>
      <c r="B87" s="21" t="s">
        <v>251</v>
      </c>
      <c r="C87" s="21" t="s">
        <v>505</v>
      </c>
      <c r="D87" s="21">
        <v>1760000</v>
      </c>
      <c r="E87" s="21" t="s">
        <v>341</v>
      </c>
      <c r="F87" s="21" t="str">
        <f t="shared" si="2"/>
        <v>rtdc.l.rtdc.4038:itc</v>
      </c>
      <c r="G87" s="8">
        <f t="shared" si="3"/>
        <v>42691.405590277776</v>
      </c>
    </row>
    <row r="88" spans="1:7" x14ac:dyDescent="0.25">
      <c r="A88" s="8">
        <v>42691.411909722221</v>
      </c>
      <c r="B88" s="21" t="s">
        <v>312</v>
      </c>
      <c r="C88" s="21" t="s">
        <v>506</v>
      </c>
      <c r="D88" s="21">
        <v>2630000</v>
      </c>
      <c r="E88" s="21" t="s">
        <v>313</v>
      </c>
      <c r="F88" s="21" t="str">
        <f t="shared" si="2"/>
        <v>rtdc.l.rtdc.4042:itc</v>
      </c>
      <c r="G88" s="8">
        <f t="shared" si="3"/>
        <v>42691.411909722221</v>
      </c>
    </row>
    <row r="89" spans="1:7" x14ac:dyDescent="0.25">
      <c r="A89" s="8">
        <v>42691.417037037034</v>
      </c>
      <c r="B89" s="21" t="s">
        <v>296</v>
      </c>
      <c r="C89" s="21" t="s">
        <v>507</v>
      </c>
      <c r="D89" s="21">
        <v>2600000</v>
      </c>
      <c r="E89" s="21" t="s">
        <v>315</v>
      </c>
      <c r="F89" s="21" t="str">
        <f t="shared" si="2"/>
        <v>rtdc.l.rtdc.4018:itc</v>
      </c>
      <c r="G89" s="8">
        <f t="shared" si="3"/>
        <v>42691.417037037034</v>
      </c>
    </row>
    <row r="90" spans="1:7" x14ac:dyDescent="0.25">
      <c r="A90" s="8">
        <v>42691.419027777774</v>
      </c>
      <c r="B90" s="21" t="s">
        <v>226</v>
      </c>
      <c r="C90" s="21" t="s">
        <v>508</v>
      </c>
      <c r="D90" s="21">
        <v>1290000</v>
      </c>
      <c r="E90" s="21" t="s">
        <v>350</v>
      </c>
      <c r="F90" s="21" t="str">
        <f t="shared" si="2"/>
        <v>rtdc.l.rtdc.4004:itc</v>
      </c>
      <c r="G90" s="8">
        <f t="shared" si="3"/>
        <v>42691.419027777774</v>
      </c>
    </row>
    <row r="91" spans="1:7" x14ac:dyDescent="0.25">
      <c r="A91" s="8">
        <v>42691.42869212963</v>
      </c>
      <c r="B91" s="21" t="s">
        <v>217</v>
      </c>
      <c r="C91" s="21" t="s">
        <v>509</v>
      </c>
      <c r="D91" s="21">
        <v>1110000</v>
      </c>
      <c r="E91" s="21" t="s">
        <v>314</v>
      </c>
      <c r="F91" s="21" t="str">
        <f t="shared" si="2"/>
        <v>rtdc.l.rtdc.4011:itc</v>
      </c>
      <c r="G91" s="8">
        <f t="shared" si="3"/>
        <v>42691.42869212963</v>
      </c>
    </row>
    <row r="92" spans="1:7" x14ac:dyDescent="0.25">
      <c r="A92" s="8">
        <v>42691.431481481479</v>
      </c>
      <c r="B92" s="21" t="s">
        <v>282</v>
      </c>
      <c r="C92" s="21" t="s">
        <v>510</v>
      </c>
      <c r="D92" s="21">
        <v>1780000</v>
      </c>
      <c r="E92" s="21" t="s">
        <v>460</v>
      </c>
      <c r="F92" s="21" t="str">
        <f t="shared" si="2"/>
        <v>rtdc.l.rtdc.4013:itc</v>
      </c>
      <c r="G92" s="8">
        <f t="shared" si="3"/>
        <v>42691.431481481479</v>
      </c>
    </row>
    <row r="93" spans="1:7" x14ac:dyDescent="0.25">
      <c r="A93" s="8">
        <v>42691.435590277775</v>
      </c>
      <c r="B93" s="21" t="s">
        <v>255</v>
      </c>
      <c r="C93" s="21" t="s">
        <v>431</v>
      </c>
      <c r="D93" s="21">
        <v>1760000</v>
      </c>
      <c r="E93" s="21" t="s">
        <v>341</v>
      </c>
      <c r="F93" s="21" t="str">
        <f t="shared" si="2"/>
        <v>rtdc.l.rtdc.4037:itc</v>
      </c>
      <c r="G93" s="8">
        <f t="shared" si="3"/>
        <v>42691.435590277775</v>
      </c>
    </row>
    <row r="94" spans="1:7" x14ac:dyDescent="0.25">
      <c r="A94" s="8">
        <v>42691.44321759259</v>
      </c>
      <c r="B94" s="21" t="s">
        <v>419</v>
      </c>
      <c r="C94" s="21" t="s">
        <v>511</v>
      </c>
      <c r="D94" s="21">
        <v>2600000</v>
      </c>
      <c r="E94" s="21" t="s">
        <v>315</v>
      </c>
      <c r="F94" s="21" t="str">
        <f t="shared" si="2"/>
        <v>rtdc.l.rtdc.4017:itc</v>
      </c>
      <c r="G94" s="8">
        <f t="shared" si="3"/>
        <v>42691.44321759259</v>
      </c>
    </row>
    <row r="95" spans="1:7" x14ac:dyDescent="0.25">
      <c r="A95" s="8">
        <v>42691.445023148146</v>
      </c>
      <c r="B95" s="21" t="s">
        <v>413</v>
      </c>
      <c r="C95" s="21" t="s">
        <v>429</v>
      </c>
      <c r="D95" s="21">
        <v>2380000</v>
      </c>
      <c r="E95" s="21" t="s">
        <v>343</v>
      </c>
      <c r="F95" s="21" t="str">
        <f t="shared" si="2"/>
        <v>rtdc.l.rtdc.4031:itc</v>
      </c>
      <c r="G95" s="8">
        <f t="shared" si="3"/>
        <v>42691.445023148146</v>
      </c>
    </row>
    <row r="96" spans="1:7" x14ac:dyDescent="0.25">
      <c r="A96" s="8">
        <v>42691.450856481482</v>
      </c>
      <c r="B96" s="21" t="s">
        <v>311</v>
      </c>
      <c r="C96" s="21" t="s">
        <v>512</v>
      </c>
      <c r="D96" s="21">
        <v>2630000</v>
      </c>
      <c r="E96" s="21" t="s">
        <v>313</v>
      </c>
      <c r="F96" s="21" t="str">
        <f t="shared" si="2"/>
        <v>rtdc.l.rtdc.4041:itc</v>
      </c>
      <c r="G96" s="8">
        <f t="shared" si="3"/>
        <v>42691.450856481482</v>
      </c>
    </row>
    <row r="97" spans="1:7" x14ac:dyDescent="0.25">
      <c r="A97" s="8">
        <v>42691.455740740741</v>
      </c>
      <c r="B97" s="21" t="s">
        <v>310</v>
      </c>
      <c r="C97" s="21" t="s">
        <v>430</v>
      </c>
      <c r="D97" s="21">
        <v>2560000</v>
      </c>
      <c r="E97" s="21" t="s">
        <v>344</v>
      </c>
      <c r="F97" s="21" t="str">
        <f t="shared" si="2"/>
        <v>rtdc.l.rtdc.4003:itc</v>
      </c>
      <c r="G97" s="8">
        <f t="shared" si="3"/>
        <v>42691.455740740741</v>
      </c>
    </row>
    <row r="98" spans="1:7" x14ac:dyDescent="0.25">
      <c r="A98" s="8">
        <v>42691.458425925928</v>
      </c>
      <c r="B98" s="21" t="s">
        <v>296</v>
      </c>
      <c r="C98" s="21" t="s">
        <v>513</v>
      </c>
      <c r="D98" s="21">
        <v>2600000</v>
      </c>
      <c r="E98" s="21" t="s">
        <v>315</v>
      </c>
      <c r="F98" s="21" t="str">
        <f t="shared" si="2"/>
        <v>rtdc.l.rtdc.4018:itc</v>
      </c>
      <c r="G98" s="8">
        <f t="shared" si="3"/>
        <v>42691.458425925928</v>
      </c>
    </row>
    <row r="99" spans="1:7" x14ac:dyDescent="0.25">
      <c r="A99" s="8">
        <v>42691.462546296294</v>
      </c>
      <c r="B99" s="21" t="s">
        <v>310</v>
      </c>
      <c r="C99" s="21" t="s">
        <v>430</v>
      </c>
      <c r="D99" s="21">
        <v>2560000</v>
      </c>
      <c r="E99" s="21" t="s">
        <v>344</v>
      </c>
      <c r="F99" s="21" t="str">
        <f t="shared" si="2"/>
        <v>rtdc.l.rtdc.4003:itc</v>
      </c>
      <c r="G99" s="8">
        <f t="shared" si="3"/>
        <v>42691.462546296294</v>
      </c>
    </row>
    <row r="100" spans="1:7" x14ac:dyDescent="0.25">
      <c r="A100" s="8">
        <v>42691.464722222219</v>
      </c>
      <c r="B100" s="21" t="s">
        <v>232</v>
      </c>
      <c r="C100" s="21" t="s">
        <v>509</v>
      </c>
      <c r="D100" s="21">
        <v>1110000</v>
      </c>
      <c r="E100" s="21" t="s">
        <v>314</v>
      </c>
      <c r="F100" s="21" t="str">
        <f t="shared" si="2"/>
        <v>rtdc.l.rtdc.4012:itc</v>
      </c>
      <c r="G100" s="8">
        <f t="shared" si="3"/>
        <v>42691.464722222219</v>
      </c>
    </row>
    <row r="101" spans="1:7" x14ac:dyDescent="0.25">
      <c r="A101" s="8">
        <v>42691.465243055558</v>
      </c>
      <c r="B101" s="21" t="s">
        <v>232</v>
      </c>
      <c r="C101" s="21" t="s">
        <v>433</v>
      </c>
      <c r="D101" s="21">
        <v>1110000</v>
      </c>
      <c r="E101" s="21" t="s">
        <v>314</v>
      </c>
      <c r="F101" s="21" t="str">
        <f t="shared" si="2"/>
        <v>rtdc.l.rtdc.4012:itc</v>
      </c>
      <c r="G101" s="8">
        <f t="shared" si="3"/>
        <v>42691.465243055558</v>
      </c>
    </row>
    <row r="102" spans="1:7" x14ac:dyDescent="0.25">
      <c r="A102" s="8">
        <v>42691.468206018515</v>
      </c>
      <c r="B102" s="21" t="s">
        <v>281</v>
      </c>
      <c r="C102" s="21" t="s">
        <v>434</v>
      </c>
      <c r="D102" s="21">
        <v>2020000</v>
      </c>
      <c r="E102" s="21" t="s">
        <v>514</v>
      </c>
      <c r="F102" s="21" t="str">
        <f t="shared" si="2"/>
        <v>rtdc.l.rtdc.4014:itc</v>
      </c>
      <c r="G102" s="8">
        <f t="shared" si="3"/>
        <v>42691.468206018515</v>
      </c>
    </row>
    <row r="103" spans="1:7" x14ac:dyDescent="0.25">
      <c r="A103" s="8">
        <v>42691.482118055559</v>
      </c>
      <c r="B103" s="21" t="s">
        <v>425</v>
      </c>
      <c r="C103" s="21" t="s">
        <v>515</v>
      </c>
      <c r="D103" s="21">
        <v>2380000</v>
      </c>
      <c r="E103" s="21" t="s">
        <v>343</v>
      </c>
      <c r="F103" s="21" t="str">
        <f t="shared" si="2"/>
        <v>rtdc.l.rtdc.4032:itc</v>
      </c>
      <c r="G103" s="8">
        <f t="shared" si="3"/>
        <v>42691.482118055559</v>
      </c>
    </row>
    <row r="104" spans="1:7" x14ac:dyDescent="0.25">
      <c r="A104" s="8">
        <v>42691.483749999999</v>
      </c>
      <c r="B104" s="21" t="s">
        <v>251</v>
      </c>
      <c r="C104" s="21" t="s">
        <v>516</v>
      </c>
      <c r="D104" s="21">
        <v>2430000</v>
      </c>
      <c r="E104" s="21" t="s">
        <v>297</v>
      </c>
      <c r="F104" s="21" t="str">
        <f t="shared" si="2"/>
        <v>rtdc.l.rtdc.4038:itc</v>
      </c>
      <c r="G104" s="8">
        <f t="shared" si="3"/>
        <v>42691.483749999999</v>
      </c>
    </row>
    <row r="105" spans="1:7" x14ac:dyDescent="0.25">
      <c r="A105" s="8">
        <v>42691.484942129631</v>
      </c>
      <c r="B105" s="21" t="s">
        <v>419</v>
      </c>
      <c r="C105" s="21" t="s">
        <v>432</v>
      </c>
      <c r="D105" s="21">
        <v>2600000</v>
      </c>
      <c r="E105" s="21" t="s">
        <v>315</v>
      </c>
      <c r="F105" s="21" t="str">
        <f t="shared" si="2"/>
        <v>rtdc.l.rtdc.4017:itc</v>
      </c>
      <c r="G105" s="8">
        <f t="shared" si="3"/>
        <v>42691.484942129631</v>
      </c>
    </row>
    <row r="106" spans="1:7" x14ac:dyDescent="0.25">
      <c r="A106" s="8">
        <v>42691.491064814814</v>
      </c>
      <c r="B106" s="21" t="s">
        <v>312</v>
      </c>
      <c r="C106" s="21" t="s">
        <v>517</v>
      </c>
      <c r="D106" s="21">
        <v>2530000</v>
      </c>
      <c r="E106" s="21" t="s">
        <v>518</v>
      </c>
      <c r="F106" s="21" t="str">
        <f t="shared" si="2"/>
        <v>rtdc.l.rtdc.4042:itc</v>
      </c>
      <c r="G106" s="8">
        <f t="shared" si="3"/>
        <v>42691.491064814814</v>
      </c>
    </row>
    <row r="107" spans="1:7" x14ac:dyDescent="0.25">
      <c r="A107" s="8">
        <v>42691.491932870369</v>
      </c>
      <c r="B107" s="21" t="s">
        <v>226</v>
      </c>
      <c r="C107" s="21" t="s">
        <v>436</v>
      </c>
      <c r="D107" s="21">
        <v>2560000</v>
      </c>
      <c r="E107" s="21" t="s">
        <v>344</v>
      </c>
      <c r="F107" s="21" t="str">
        <f t="shared" si="2"/>
        <v>rtdc.l.rtdc.4004:itc</v>
      </c>
      <c r="G107" s="8">
        <f t="shared" si="3"/>
        <v>42691.491932870369</v>
      </c>
    </row>
    <row r="108" spans="1:7" x14ac:dyDescent="0.25">
      <c r="A108" s="8">
        <v>42691.500833333332</v>
      </c>
      <c r="B108" s="21" t="s">
        <v>217</v>
      </c>
      <c r="C108" s="21" t="s">
        <v>519</v>
      </c>
      <c r="D108" s="21">
        <v>2220000</v>
      </c>
      <c r="E108" s="21" t="s">
        <v>349</v>
      </c>
      <c r="F108" s="21" t="str">
        <f t="shared" si="2"/>
        <v>rtdc.l.rtdc.4011:itc</v>
      </c>
      <c r="G108" s="8">
        <f t="shared" si="3"/>
        <v>42691.500833333332</v>
      </c>
    </row>
    <row r="109" spans="1:7" x14ac:dyDescent="0.25">
      <c r="A109" s="8">
        <v>42691.502534722225</v>
      </c>
      <c r="B109" s="21" t="s">
        <v>296</v>
      </c>
      <c r="C109" s="21" t="s">
        <v>520</v>
      </c>
      <c r="D109" s="21">
        <v>2600000</v>
      </c>
      <c r="E109" s="21" t="s">
        <v>315</v>
      </c>
      <c r="F109" s="21" t="str">
        <f t="shared" si="2"/>
        <v>rtdc.l.rtdc.4018:itc</v>
      </c>
      <c r="G109" s="8">
        <f t="shared" si="3"/>
        <v>42691.502534722225</v>
      </c>
    </row>
    <row r="110" spans="1:7" x14ac:dyDescent="0.25">
      <c r="A110" s="8">
        <v>42691.505486111113</v>
      </c>
      <c r="B110" s="21" t="s">
        <v>282</v>
      </c>
      <c r="C110" s="21" t="s">
        <v>521</v>
      </c>
      <c r="D110" s="21">
        <v>2020000</v>
      </c>
      <c r="E110" s="21" t="s">
        <v>514</v>
      </c>
      <c r="F110" s="21" t="str">
        <f t="shared" si="2"/>
        <v>rtdc.l.rtdc.4013:itc</v>
      </c>
      <c r="G110" s="8">
        <f t="shared" si="3"/>
        <v>42691.505486111113</v>
      </c>
    </row>
    <row r="111" spans="1:7" x14ac:dyDescent="0.25">
      <c r="A111" s="8">
        <v>42691.507037037038</v>
      </c>
      <c r="B111" s="21" t="s">
        <v>236</v>
      </c>
      <c r="C111" s="21" t="s">
        <v>522</v>
      </c>
      <c r="D111" s="21">
        <v>1820000</v>
      </c>
      <c r="E111" s="21" t="s">
        <v>347</v>
      </c>
      <c r="F111" s="21" t="str">
        <f t="shared" si="2"/>
        <v>rtdc.l.rtdc.4002:itc</v>
      </c>
      <c r="G111" s="8">
        <f t="shared" si="3"/>
        <v>42691.507037037038</v>
      </c>
    </row>
    <row r="112" spans="1:7" x14ac:dyDescent="0.25">
      <c r="A112" s="8">
        <v>42691.508125</v>
      </c>
      <c r="B112" s="21" t="s">
        <v>236</v>
      </c>
      <c r="C112" s="21" t="s">
        <v>522</v>
      </c>
      <c r="D112" s="21">
        <v>1820000</v>
      </c>
      <c r="E112" s="21" t="s">
        <v>347</v>
      </c>
      <c r="F112" s="21" t="str">
        <f t="shared" si="2"/>
        <v>rtdc.l.rtdc.4002:itc</v>
      </c>
      <c r="G112" s="8">
        <f t="shared" si="3"/>
        <v>42691.508125</v>
      </c>
    </row>
    <row r="113" spans="1:7" x14ac:dyDescent="0.25">
      <c r="A113" s="8">
        <v>42691.509942129633</v>
      </c>
      <c r="B113" s="21" t="s">
        <v>236</v>
      </c>
      <c r="C113" s="21" t="s">
        <v>522</v>
      </c>
      <c r="D113" s="21">
        <v>1820000</v>
      </c>
      <c r="E113" s="21" t="s">
        <v>347</v>
      </c>
      <c r="F113" s="21" t="str">
        <f t="shared" si="2"/>
        <v>rtdc.l.rtdc.4002:itc</v>
      </c>
      <c r="G113" s="8">
        <f t="shared" si="3"/>
        <v>42691.509942129633</v>
      </c>
    </row>
    <row r="114" spans="1:7" x14ac:dyDescent="0.25">
      <c r="A114" s="8">
        <v>42691.510763888888</v>
      </c>
      <c r="B114" s="21" t="s">
        <v>236</v>
      </c>
      <c r="C114" s="21" t="s">
        <v>522</v>
      </c>
      <c r="D114" s="21">
        <v>1820000</v>
      </c>
      <c r="E114" s="21" t="s">
        <v>347</v>
      </c>
      <c r="F114" s="21" t="str">
        <f t="shared" si="2"/>
        <v>rtdc.l.rtdc.4002:itc</v>
      </c>
      <c r="G114" s="8">
        <f t="shared" si="3"/>
        <v>42691.510763888888</v>
      </c>
    </row>
    <row r="115" spans="1:7" x14ac:dyDescent="0.25">
      <c r="A115" s="8">
        <v>42691.51835648148</v>
      </c>
      <c r="B115" s="21" t="s">
        <v>255</v>
      </c>
      <c r="C115" s="21" t="s">
        <v>435</v>
      </c>
      <c r="D115" s="21">
        <v>2430000</v>
      </c>
      <c r="E115" s="21" t="s">
        <v>297</v>
      </c>
      <c r="F115" s="21" t="str">
        <f t="shared" si="2"/>
        <v>rtdc.l.rtdc.4037:itc</v>
      </c>
      <c r="G115" s="8">
        <f t="shared" si="3"/>
        <v>42691.51835648148</v>
      </c>
    </row>
    <row r="116" spans="1:7" x14ac:dyDescent="0.25">
      <c r="A116" s="8">
        <v>42691.52579861111</v>
      </c>
      <c r="B116" s="21" t="s">
        <v>311</v>
      </c>
      <c r="C116" s="21" t="s">
        <v>523</v>
      </c>
      <c r="D116" s="21">
        <v>2530000</v>
      </c>
      <c r="E116" s="21" t="s">
        <v>518</v>
      </c>
      <c r="F116" s="21" t="str">
        <f t="shared" si="2"/>
        <v>rtdc.l.rtdc.4041:itc</v>
      </c>
      <c r="G116" s="8">
        <f t="shared" si="3"/>
        <v>42691.52579861111</v>
      </c>
    </row>
    <row r="117" spans="1:7" x14ac:dyDescent="0.25">
      <c r="A117" s="8">
        <v>42691.525902777779</v>
      </c>
      <c r="B117" s="21" t="s">
        <v>419</v>
      </c>
      <c r="C117" s="21" t="s">
        <v>524</v>
      </c>
      <c r="D117" s="21">
        <v>2600000</v>
      </c>
      <c r="E117" s="21" t="s">
        <v>315</v>
      </c>
      <c r="F117" s="21" t="str">
        <f t="shared" si="2"/>
        <v>rtdc.l.rtdc.4017:itc</v>
      </c>
      <c r="G117" s="8">
        <f t="shared" si="3"/>
        <v>42691.525902777779</v>
      </c>
    </row>
    <row r="118" spans="1:7" x14ac:dyDescent="0.25">
      <c r="A118" s="8">
        <v>42691.52621527778</v>
      </c>
      <c r="B118" s="21" t="s">
        <v>413</v>
      </c>
      <c r="C118" s="21" t="s">
        <v>525</v>
      </c>
      <c r="D118" s="21">
        <v>2460000</v>
      </c>
      <c r="E118" s="21" t="s">
        <v>316</v>
      </c>
      <c r="F118" s="21" t="str">
        <f t="shared" si="2"/>
        <v>rtdc.l.rtdc.4031:itc</v>
      </c>
      <c r="G118" s="8">
        <f t="shared" si="3"/>
        <v>42691.52621527778</v>
      </c>
    </row>
    <row r="119" spans="1:7" x14ac:dyDescent="0.25">
      <c r="A119" s="8">
        <v>42691.534525462965</v>
      </c>
      <c r="B119" s="21" t="s">
        <v>232</v>
      </c>
      <c r="C119" s="21" t="s">
        <v>437</v>
      </c>
      <c r="D119" s="21">
        <v>2220000</v>
      </c>
      <c r="E119" s="21" t="s">
        <v>349</v>
      </c>
      <c r="F119" s="21" t="str">
        <f t="shared" si="2"/>
        <v>rtdc.l.rtdc.4012:itc</v>
      </c>
      <c r="G119" s="8">
        <f t="shared" si="3"/>
        <v>42691.534525462965</v>
      </c>
    </row>
    <row r="120" spans="1:7" x14ac:dyDescent="0.25">
      <c r="A120" s="8">
        <v>42691.534791666665</v>
      </c>
      <c r="B120" s="21" t="s">
        <v>310</v>
      </c>
      <c r="C120" s="21" t="s">
        <v>526</v>
      </c>
      <c r="D120" s="21">
        <v>2560000</v>
      </c>
      <c r="E120" s="21" t="s">
        <v>344</v>
      </c>
      <c r="F120" s="21" t="str">
        <f t="shared" si="2"/>
        <v>rtdc.l.rtdc.4003:itc</v>
      </c>
      <c r="G120" s="8">
        <f t="shared" si="3"/>
        <v>42691.534791666665</v>
      </c>
    </row>
    <row r="121" spans="1:7" x14ac:dyDescent="0.25">
      <c r="A121" s="8">
        <v>42691.542650462965</v>
      </c>
      <c r="B121" s="21" t="s">
        <v>281</v>
      </c>
      <c r="C121" s="21" t="s">
        <v>527</v>
      </c>
      <c r="D121" s="21">
        <v>2020000</v>
      </c>
      <c r="E121" s="21" t="s">
        <v>514</v>
      </c>
      <c r="F121" s="21" t="str">
        <f t="shared" si="2"/>
        <v>rtdc.l.rtdc.4014:itc</v>
      </c>
      <c r="G121" s="8">
        <f t="shared" si="3"/>
        <v>42691.542650462965</v>
      </c>
    </row>
    <row r="122" spans="1:7" x14ac:dyDescent="0.25">
      <c r="A122" s="8">
        <v>42691.547592592593</v>
      </c>
      <c r="B122" s="26" t="s">
        <v>296</v>
      </c>
      <c r="C122" s="21" t="s">
        <v>528</v>
      </c>
      <c r="D122" s="21">
        <v>2440000</v>
      </c>
      <c r="E122" s="21" t="s">
        <v>351</v>
      </c>
      <c r="F122" s="21" t="str">
        <f t="shared" si="2"/>
        <v>rtdc.l.rtdc.4018:itc</v>
      </c>
      <c r="G122" s="8">
        <f t="shared" si="3"/>
        <v>42691.547592592593</v>
      </c>
    </row>
    <row r="123" spans="1:7" x14ac:dyDescent="0.25">
      <c r="A123" s="8">
        <v>42691.547847222224</v>
      </c>
      <c r="B123" s="21" t="s">
        <v>235</v>
      </c>
      <c r="C123" s="21" t="s">
        <v>529</v>
      </c>
      <c r="D123" s="21">
        <v>1820000</v>
      </c>
      <c r="E123" s="21" t="s">
        <v>347</v>
      </c>
      <c r="F123" s="21" t="str">
        <f t="shared" si="2"/>
        <v>rtdc.l.rtdc.4001:itc</v>
      </c>
      <c r="G123" s="8">
        <f t="shared" si="3"/>
        <v>42691.547847222224</v>
      </c>
    </row>
    <row r="124" spans="1:7" x14ac:dyDescent="0.25">
      <c r="A124" s="8">
        <v>42691.556712962964</v>
      </c>
      <c r="B124" s="21" t="s">
        <v>425</v>
      </c>
      <c r="C124" s="21" t="s">
        <v>438</v>
      </c>
      <c r="D124" s="21">
        <v>2460000</v>
      </c>
      <c r="E124" s="21" t="s">
        <v>316</v>
      </c>
      <c r="F124" s="21" t="str">
        <f t="shared" si="2"/>
        <v>rtdc.l.rtdc.4032:itc</v>
      </c>
      <c r="G124" s="8">
        <f t="shared" si="3"/>
        <v>42691.556712962964</v>
      </c>
    </row>
    <row r="125" spans="1:7" x14ac:dyDescent="0.25">
      <c r="A125" s="8">
        <v>42691.556898148148</v>
      </c>
      <c r="B125" s="21" t="s">
        <v>251</v>
      </c>
      <c r="C125" s="21" t="s">
        <v>530</v>
      </c>
      <c r="D125" s="21">
        <v>2430000</v>
      </c>
      <c r="E125" s="21" t="s">
        <v>297</v>
      </c>
      <c r="F125" s="21" t="str">
        <f t="shared" si="2"/>
        <v>rtdc.l.rtdc.4038:itc</v>
      </c>
      <c r="G125" s="8">
        <f t="shared" si="3"/>
        <v>42691.556898148148</v>
      </c>
    </row>
    <row r="126" spans="1:7" x14ac:dyDescent="0.25">
      <c r="A126" s="8">
        <v>42691.564629629633</v>
      </c>
      <c r="B126" s="21" t="s">
        <v>312</v>
      </c>
      <c r="C126" s="21" t="s">
        <v>531</v>
      </c>
      <c r="D126" s="21">
        <v>2530000</v>
      </c>
      <c r="E126" s="21" t="s">
        <v>518</v>
      </c>
      <c r="F126" s="21" t="str">
        <f t="shared" si="2"/>
        <v>rtdc.l.rtdc.4042:itc</v>
      </c>
      <c r="G126" s="8">
        <f t="shared" si="3"/>
        <v>42691.564629629633</v>
      </c>
    </row>
    <row r="127" spans="1:7" x14ac:dyDescent="0.25">
      <c r="A127" s="8">
        <v>42691.566122685188</v>
      </c>
      <c r="B127" s="21" t="s">
        <v>226</v>
      </c>
      <c r="C127" s="21" t="s">
        <v>532</v>
      </c>
      <c r="D127" s="21">
        <v>2560000</v>
      </c>
      <c r="E127" s="21" t="s">
        <v>344</v>
      </c>
      <c r="F127" s="21" t="str">
        <f t="shared" si="2"/>
        <v>rtdc.l.rtdc.4004:itc</v>
      </c>
      <c r="G127" s="8">
        <f t="shared" si="3"/>
        <v>42691.566122685188</v>
      </c>
    </row>
    <row r="128" spans="1:7" x14ac:dyDescent="0.25">
      <c r="A128" s="8">
        <v>42691.567245370374</v>
      </c>
      <c r="B128" s="21" t="s">
        <v>419</v>
      </c>
      <c r="C128" s="21" t="s">
        <v>533</v>
      </c>
      <c r="D128" s="21">
        <v>2440000</v>
      </c>
      <c r="E128" s="21" t="s">
        <v>351</v>
      </c>
      <c r="F128" s="21" t="str">
        <f t="shared" si="2"/>
        <v>rtdc.l.rtdc.4017:itc</v>
      </c>
      <c r="G128" s="8">
        <f t="shared" si="3"/>
        <v>42691.567245370374</v>
      </c>
    </row>
    <row r="129" spans="1:7" x14ac:dyDescent="0.25">
      <c r="A129" s="8">
        <v>42691.576898148145</v>
      </c>
      <c r="B129" s="21" t="s">
        <v>282</v>
      </c>
      <c r="C129" s="21" t="s">
        <v>534</v>
      </c>
      <c r="D129" s="21">
        <v>2020000</v>
      </c>
      <c r="E129" s="21" t="s">
        <v>514</v>
      </c>
      <c r="F129" s="21" t="str">
        <f t="shared" si="2"/>
        <v>rtdc.l.rtdc.4013:itc</v>
      </c>
      <c r="G129" s="8">
        <f t="shared" si="3"/>
        <v>42691.576898148145</v>
      </c>
    </row>
    <row r="130" spans="1:7" x14ac:dyDescent="0.25">
      <c r="A130" s="8">
        <v>42691.577349537038</v>
      </c>
      <c r="B130" s="21" t="s">
        <v>217</v>
      </c>
      <c r="C130" s="21" t="s">
        <v>535</v>
      </c>
      <c r="D130" s="21">
        <v>2220000</v>
      </c>
      <c r="E130" s="21" t="s">
        <v>349</v>
      </c>
      <c r="F130" s="21" t="str">
        <f t="shared" ref="F130:F193" si="4">B130</f>
        <v>rtdc.l.rtdc.4011:itc</v>
      </c>
      <c r="G130" s="8">
        <f t="shared" ref="G130:G193" si="5">A130</f>
        <v>42691.577349537038</v>
      </c>
    </row>
    <row r="131" spans="1:7" x14ac:dyDescent="0.25">
      <c r="A131" s="8">
        <v>42691.584386574075</v>
      </c>
      <c r="B131" s="21" t="s">
        <v>236</v>
      </c>
      <c r="C131" s="21" t="s">
        <v>536</v>
      </c>
      <c r="D131" s="21">
        <v>1820000</v>
      </c>
      <c r="E131" s="21" t="s">
        <v>347</v>
      </c>
      <c r="F131" s="21" t="str">
        <f t="shared" si="4"/>
        <v>rtdc.l.rtdc.4002:itc</v>
      </c>
      <c r="G131" s="8">
        <f t="shared" si="5"/>
        <v>42691.584386574075</v>
      </c>
    </row>
    <row r="132" spans="1:7" x14ac:dyDescent="0.25">
      <c r="A132" s="8">
        <v>42691.588171296295</v>
      </c>
      <c r="B132" s="21" t="s">
        <v>255</v>
      </c>
      <c r="C132" s="21" t="s">
        <v>537</v>
      </c>
      <c r="D132" s="21">
        <v>2430000</v>
      </c>
      <c r="E132" s="21" t="s">
        <v>297</v>
      </c>
      <c r="F132" s="21" t="str">
        <f t="shared" si="4"/>
        <v>rtdc.l.rtdc.4037:itc</v>
      </c>
      <c r="G132" s="8">
        <f t="shared" si="5"/>
        <v>42691.588171296295</v>
      </c>
    </row>
    <row r="133" spans="1:7" x14ac:dyDescent="0.25">
      <c r="A133" s="8">
        <v>42691.588865740741</v>
      </c>
      <c r="B133" s="21" t="s">
        <v>296</v>
      </c>
      <c r="C133" s="21" t="s">
        <v>538</v>
      </c>
      <c r="D133" s="21">
        <v>2550000</v>
      </c>
      <c r="E133" s="21" t="s">
        <v>237</v>
      </c>
      <c r="F133" s="21" t="str">
        <f t="shared" si="4"/>
        <v>rtdc.l.rtdc.4018:itc</v>
      </c>
      <c r="G133" s="8">
        <f t="shared" si="5"/>
        <v>42691.588865740741</v>
      </c>
    </row>
    <row r="134" spans="1:7" x14ac:dyDescent="0.25">
      <c r="A134" s="8">
        <v>42691.596168981479</v>
      </c>
      <c r="B134" s="21" t="s">
        <v>413</v>
      </c>
      <c r="C134" s="21" t="s">
        <v>539</v>
      </c>
      <c r="D134" s="21">
        <v>2460000</v>
      </c>
      <c r="E134" s="21" t="s">
        <v>316</v>
      </c>
      <c r="F134" s="21" t="str">
        <f t="shared" si="4"/>
        <v>rtdc.l.rtdc.4031:itc</v>
      </c>
      <c r="G134" s="8">
        <f t="shared" si="5"/>
        <v>42691.596168981479</v>
      </c>
    </row>
    <row r="135" spans="1:7" x14ac:dyDescent="0.25">
      <c r="A135" s="8">
        <v>42691.596620370372</v>
      </c>
      <c r="B135" s="21" t="s">
        <v>311</v>
      </c>
      <c r="C135" s="21" t="s">
        <v>540</v>
      </c>
      <c r="D135" s="21">
        <v>2530000</v>
      </c>
      <c r="E135" s="21" t="s">
        <v>518</v>
      </c>
      <c r="F135" s="21" t="str">
        <f t="shared" si="4"/>
        <v>rtdc.l.rtdc.4041:itc</v>
      </c>
      <c r="G135" s="8">
        <f t="shared" si="5"/>
        <v>42691.596620370372</v>
      </c>
    </row>
    <row r="136" spans="1:7" x14ac:dyDescent="0.25">
      <c r="A136" s="8">
        <v>42691.59915509259</v>
      </c>
      <c r="B136" s="21" t="s">
        <v>310</v>
      </c>
      <c r="C136" s="21" t="s">
        <v>440</v>
      </c>
      <c r="D136" s="21">
        <v>2560000</v>
      </c>
      <c r="E136" s="21" t="s">
        <v>344</v>
      </c>
      <c r="F136" s="21" t="str">
        <f t="shared" si="4"/>
        <v>rtdc.l.rtdc.4003:itc</v>
      </c>
      <c r="G136" s="8">
        <f t="shared" si="5"/>
        <v>42691.59915509259</v>
      </c>
    </row>
    <row r="137" spans="1:7" x14ac:dyDescent="0.25">
      <c r="A137" s="8">
        <v>42691.609212962961</v>
      </c>
      <c r="B137" s="21" t="s">
        <v>232</v>
      </c>
      <c r="C137" s="21" t="s">
        <v>439</v>
      </c>
      <c r="D137" s="21">
        <v>2220000</v>
      </c>
      <c r="E137" s="21" t="s">
        <v>349</v>
      </c>
      <c r="F137" s="21" t="str">
        <f t="shared" si="4"/>
        <v>rtdc.l.rtdc.4012:itc</v>
      </c>
      <c r="G137" s="8">
        <f t="shared" si="5"/>
        <v>42691.609212962961</v>
      </c>
    </row>
    <row r="138" spans="1:7" x14ac:dyDescent="0.25">
      <c r="A138" s="8">
        <v>42691.609803240739</v>
      </c>
      <c r="B138" s="21" t="s">
        <v>419</v>
      </c>
      <c r="C138" s="21" t="s">
        <v>541</v>
      </c>
      <c r="D138" s="21">
        <v>2550000</v>
      </c>
      <c r="E138" s="21" t="s">
        <v>237</v>
      </c>
      <c r="F138" s="21" t="str">
        <f t="shared" si="4"/>
        <v>rtdc.l.rtdc.4017:itc</v>
      </c>
      <c r="G138" s="8">
        <f t="shared" si="5"/>
        <v>42691.609803240739</v>
      </c>
    </row>
    <row r="139" spans="1:7" x14ac:dyDescent="0.25">
      <c r="A139" s="8">
        <v>42691.610335648147</v>
      </c>
      <c r="B139" s="21" t="s">
        <v>281</v>
      </c>
      <c r="C139" s="21" t="s">
        <v>542</v>
      </c>
      <c r="D139" s="21">
        <v>2020000</v>
      </c>
      <c r="E139" s="21" t="s">
        <v>514</v>
      </c>
      <c r="F139" s="21" t="str">
        <f t="shared" si="4"/>
        <v>rtdc.l.rtdc.4014:itc</v>
      </c>
      <c r="G139" s="8">
        <f t="shared" si="5"/>
        <v>42691.610335648147</v>
      </c>
    </row>
    <row r="140" spans="1:7" x14ac:dyDescent="0.25">
      <c r="A140" s="8">
        <v>42691.612673611111</v>
      </c>
      <c r="B140" s="21" t="s">
        <v>235</v>
      </c>
      <c r="C140" s="21" t="s">
        <v>543</v>
      </c>
      <c r="D140" s="21">
        <v>1820000</v>
      </c>
      <c r="E140" s="21" t="s">
        <v>347</v>
      </c>
      <c r="F140" s="21" t="str">
        <f t="shared" si="4"/>
        <v>rtdc.l.rtdc.4001:itc</v>
      </c>
      <c r="G140" s="8">
        <f t="shared" si="5"/>
        <v>42691.612673611111</v>
      </c>
    </row>
    <row r="141" spans="1:7" x14ac:dyDescent="0.25">
      <c r="A141" s="8">
        <v>42691.621886574074</v>
      </c>
      <c r="B141" s="21" t="s">
        <v>251</v>
      </c>
      <c r="C141" s="21" t="s">
        <v>544</v>
      </c>
      <c r="D141" s="21">
        <v>2430000</v>
      </c>
      <c r="E141" s="21" t="s">
        <v>297</v>
      </c>
      <c r="F141" s="21" t="str">
        <f t="shared" si="4"/>
        <v>rtdc.l.rtdc.4038:itc</v>
      </c>
      <c r="G141" s="8">
        <f t="shared" si="5"/>
        <v>42691.621886574074</v>
      </c>
    </row>
    <row r="142" spans="1:7" x14ac:dyDescent="0.25">
      <c r="A142" s="8">
        <v>42691.629074074073</v>
      </c>
      <c r="B142" s="21" t="s">
        <v>425</v>
      </c>
      <c r="C142" s="21" t="s">
        <v>545</v>
      </c>
      <c r="D142" s="21">
        <v>2460000</v>
      </c>
      <c r="E142" s="21" t="s">
        <v>316</v>
      </c>
      <c r="F142" s="21" t="str">
        <f t="shared" si="4"/>
        <v>rtdc.l.rtdc.4032:itc</v>
      </c>
      <c r="G142" s="8">
        <f t="shared" si="5"/>
        <v>42691.629074074073</v>
      </c>
    </row>
    <row r="143" spans="1:7" x14ac:dyDescent="0.25">
      <c r="A143" s="8">
        <v>42691.633680555555</v>
      </c>
      <c r="B143" s="21" t="s">
        <v>312</v>
      </c>
      <c r="C143" s="21" t="s">
        <v>546</v>
      </c>
      <c r="D143" s="21">
        <v>2530000</v>
      </c>
      <c r="E143" s="21" t="s">
        <v>518</v>
      </c>
      <c r="F143" s="21" t="str">
        <f t="shared" si="4"/>
        <v>rtdc.l.rtdc.4042:itc</v>
      </c>
      <c r="G143" s="8">
        <f t="shared" si="5"/>
        <v>42691.633680555555</v>
      </c>
    </row>
    <row r="144" spans="1:7" x14ac:dyDescent="0.25">
      <c r="A144" s="8">
        <v>42691.635393518518</v>
      </c>
      <c r="B144" s="21" t="s">
        <v>296</v>
      </c>
      <c r="C144" s="21" t="s">
        <v>547</v>
      </c>
      <c r="D144" s="21">
        <v>2550000</v>
      </c>
      <c r="E144" s="21" t="s">
        <v>237</v>
      </c>
      <c r="F144" s="21" t="str">
        <f t="shared" si="4"/>
        <v>rtdc.l.rtdc.4018:itc</v>
      </c>
      <c r="G144" s="8">
        <f t="shared" si="5"/>
        <v>42691.635393518518</v>
      </c>
    </row>
    <row r="145" spans="1:7" x14ac:dyDescent="0.25">
      <c r="A145" s="8">
        <v>42691.642511574071</v>
      </c>
      <c r="B145" s="21" t="s">
        <v>217</v>
      </c>
      <c r="C145" s="21" t="s">
        <v>441</v>
      </c>
      <c r="D145" s="21">
        <v>2220000</v>
      </c>
      <c r="E145" s="21" t="s">
        <v>349</v>
      </c>
      <c r="F145" s="21" t="str">
        <f t="shared" si="4"/>
        <v>rtdc.l.rtdc.4011:itc</v>
      </c>
      <c r="G145" s="8">
        <f t="shared" si="5"/>
        <v>42691.642511574071</v>
      </c>
    </row>
    <row r="146" spans="1:7" x14ac:dyDescent="0.25">
      <c r="A146" s="8">
        <v>42691.642870370371</v>
      </c>
      <c r="B146" s="21" t="s">
        <v>226</v>
      </c>
      <c r="C146" s="21" t="s">
        <v>548</v>
      </c>
      <c r="D146" s="21">
        <v>940000</v>
      </c>
      <c r="E146" s="21" t="s">
        <v>549</v>
      </c>
      <c r="F146" s="21" t="str">
        <f t="shared" si="4"/>
        <v>rtdc.l.rtdc.4004:itc</v>
      </c>
      <c r="G146" s="8">
        <f t="shared" si="5"/>
        <v>42691.642870370371</v>
      </c>
    </row>
    <row r="147" spans="1:7" x14ac:dyDescent="0.25">
      <c r="A147" s="8">
        <v>42691.648159722223</v>
      </c>
      <c r="B147" s="21" t="s">
        <v>282</v>
      </c>
      <c r="C147" s="21" t="s">
        <v>550</v>
      </c>
      <c r="D147" s="21">
        <v>2020000</v>
      </c>
      <c r="E147" s="21" t="s">
        <v>514</v>
      </c>
      <c r="F147" s="21" t="str">
        <f t="shared" si="4"/>
        <v>rtdc.l.rtdc.4013:itc</v>
      </c>
      <c r="G147" s="8">
        <f t="shared" si="5"/>
        <v>42691.648159722223</v>
      </c>
    </row>
    <row r="148" spans="1:7" x14ac:dyDescent="0.25">
      <c r="A148" s="8">
        <v>42691.648842592593</v>
      </c>
      <c r="B148" s="21" t="s">
        <v>225</v>
      </c>
      <c r="C148" s="21" t="s">
        <v>551</v>
      </c>
      <c r="D148" s="21">
        <v>2270000</v>
      </c>
      <c r="E148" s="21" t="s">
        <v>345</v>
      </c>
      <c r="F148" s="21" t="str">
        <f t="shared" si="4"/>
        <v>rtdc.l.rtdc.4039:itc</v>
      </c>
      <c r="G148" s="8">
        <f t="shared" si="5"/>
        <v>42691.648842592593</v>
      </c>
    </row>
    <row r="149" spans="1:7" x14ac:dyDescent="0.25">
      <c r="A149" s="8">
        <v>42691.651689814818</v>
      </c>
      <c r="B149" s="21" t="s">
        <v>419</v>
      </c>
      <c r="C149" s="21" t="s">
        <v>552</v>
      </c>
      <c r="D149" s="21">
        <v>2550000</v>
      </c>
      <c r="E149" s="21" t="s">
        <v>237</v>
      </c>
      <c r="F149" s="21" t="str">
        <f t="shared" si="4"/>
        <v>rtdc.l.rtdc.4017:itc</v>
      </c>
      <c r="G149" s="8">
        <f t="shared" si="5"/>
        <v>42691.651689814818</v>
      </c>
    </row>
    <row r="150" spans="1:7" x14ac:dyDescent="0.25">
      <c r="A150" s="8">
        <v>42691.652604166666</v>
      </c>
      <c r="B150" s="21" t="s">
        <v>236</v>
      </c>
      <c r="C150" s="21" t="s">
        <v>553</v>
      </c>
      <c r="D150" s="21">
        <v>1820000</v>
      </c>
      <c r="E150" s="21" t="s">
        <v>347</v>
      </c>
      <c r="F150" s="21" t="str">
        <f t="shared" si="4"/>
        <v>rtdc.l.rtdc.4002:itc</v>
      </c>
      <c r="G150" s="8">
        <f t="shared" si="5"/>
        <v>42691.652604166666</v>
      </c>
    </row>
    <row r="151" spans="1:7" x14ac:dyDescent="0.25">
      <c r="A151" s="8">
        <v>42691.658726851849</v>
      </c>
      <c r="B151" s="21" t="s">
        <v>221</v>
      </c>
      <c r="C151" s="21" t="s">
        <v>554</v>
      </c>
      <c r="D151" s="21">
        <v>2270000</v>
      </c>
      <c r="E151" s="21" t="s">
        <v>345</v>
      </c>
      <c r="F151" s="21" t="str">
        <f t="shared" si="4"/>
        <v>rtdc.l.rtdc.4040:itc</v>
      </c>
      <c r="G151" s="8">
        <f t="shared" si="5"/>
        <v>42691.658726851849</v>
      </c>
    </row>
    <row r="152" spans="1:7" x14ac:dyDescent="0.25">
      <c r="A152" s="8">
        <v>42691.660520833335</v>
      </c>
      <c r="B152" s="21" t="s">
        <v>255</v>
      </c>
      <c r="C152" s="21" t="s">
        <v>555</v>
      </c>
      <c r="D152" s="21">
        <v>2430000</v>
      </c>
      <c r="E152" s="21" t="s">
        <v>297</v>
      </c>
      <c r="F152" s="21" t="str">
        <f t="shared" si="4"/>
        <v>rtdc.l.rtdc.4037:itc</v>
      </c>
      <c r="G152" s="8">
        <f t="shared" si="5"/>
        <v>42691.660520833335</v>
      </c>
    </row>
    <row r="153" spans="1:7" x14ac:dyDescent="0.25">
      <c r="A153" s="8">
        <v>42691.663634259261</v>
      </c>
      <c r="B153" s="21" t="s">
        <v>311</v>
      </c>
      <c r="C153" s="21" t="s">
        <v>556</v>
      </c>
      <c r="D153" s="21">
        <v>2530000</v>
      </c>
      <c r="E153" s="21" t="s">
        <v>518</v>
      </c>
      <c r="F153" s="21" t="str">
        <f t="shared" si="4"/>
        <v>rtdc.l.rtdc.4041:itc</v>
      </c>
      <c r="G153" s="8">
        <f t="shared" si="5"/>
        <v>42691.663634259261</v>
      </c>
    </row>
    <row r="154" spans="1:7" x14ac:dyDescent="0.25">
      <c r="A154" s="8">
        <v>42691.664814814816</v>
      </c>
      <c r="B154" s="21" t="s">
        <v>413</v>
      </c>
      <c r="C154" s="21" t="s">
        <v>557</v>
      </c>
      <c r="D154" s="21">
        <v>2460000</v>
      </c>
      <c r="E154" s="21" t="s">
        <v>316</v>
      </c>
      <c r="F154" s="21" t="str">
        <f t="shared" si="4"/>
        <v>rtdc.l.rtdc.4031:itc</v>
      </c>
      <c r="G154" s="8">
        <f t="shared" si="5"/>
        <v>42691.664814814816</v>
      </c>
    </row>
    <row r="155" spans="1:7" x14ac:dyDescent="0.25">
      <c r="A155" s="8">
        <v>42691.672905092593</v>
      </c>
      <c r="B155" s="21" t="s">
        <v>225</v>
      </c>
      <c r="C155" s="21" t="s">
        <v>558</v>
      </c>
      <c r="D155" s="21">
        <v>2270000</v>
      </c>
      <c r="E155" s="21" t="s">
        <v>345</v>
      </c>
      <c r="F155" s="21" t="str">
        <f t="shared" si="4"/>
        <v>rtdc.l.rtdc.4039:itc</v>
      </c>
      <c r="G155" s="8">
        <f t="shared" si="5"/>
        <v>42691.672905092593</v>
      </c>
    </row>
    <row r="156" spans="1:7" x14ac:dyDescent="0.25">
      <c r="A156" s="8">
        <v>42691.674155092594</v>
      </c>
      <c r="B156" s="21" t="s">
        <v>310</v>
      </c>
      <c r="C156" s="21" t="s">
        <v>559</v>
      </c>
      <c r="D156" s="21">
        <v>2560000</v>
      </c>
      <c r="E156" s="21" t="s">
        <v>344</v>
      </c>
      <c r="F156" s="21" t="str">
        <f t="shared" si="4"/>
        <v>rtdc.l.rtdc.4003:itc</v>
      </c>
      <c r="G156" s="8">
        <f t="shared" si="5"/>
        <v>42691.674155092594</v>
      </c>
    </row>
    <row r="157" spans="1:7" x14ac:dyDescent="0.25">
      <c r="A157" s="8">
        <v>42691.67523148148</v>
      </c>
      <c r="B157" s="21" t="s">
        <v>232</v>
      </c>
      <c r="C157" s="21" t="s">
        <v>560</v>
      </c>
      <c r="D157" s="21">
        <v>2220000</v>
      </c>
      <c r="E157" s="21" t="s">
        <v>349</v>
      </c>
      <c r="F157" s="21" t="str">
        <f t="shared" si="4"/>
        <v>rtdc.l.rtdc.4012:itc</v>
      </c>
      <c r="G157" s="8">
        <f t="shared" si="5"/>
        <v>42691.67523148148</v>
      </c>
    </row>
    <row r="158" spans="1:7" x14ac:dyDescent="0.25">
      <c r="A158" s="8">
        <v>42691.679548611108</v>
      </c>
      <c r="B158" s="21" t="s">
        <v>296</v>
      </c>
      <c r="C158" s="21" t="s">
        <v>443</v>
      </c>
      <c r="D158" s="21">
        <v>2550000</v>
      </c>
      <c r="E158" s="21" t="s">
        <v>237</v>
      </c>
      <c r="F158" s="21" t="str">
        <f t="shared" si="4"/>
        <v>rtdc.l.rtdc.4018:itc</v>
      </c>
      <c r="G158" s="8">
        <f t="shared" si="5"/>
        <v>42691.679548611108</v>
      </c>
    </row>
    <row r="159" spans="1:7" x14ac:dyDescent="0.25">
      <c r="A159" s="8">
        <v>42691.683483796296</v>
      </c>
      <c r="B159" s="21" t="s">
        <v>281</v>
      </c>
      <c r="C159" s="21" t="s">
        <v>561</v>
      </c>
      <c r="D159" s="21">
        <v>2020000</v>
      </c>
      <c r="E159" s="21" t="s">
        <v>514</v>
      </c>
      <c r="F159" s="21" t="str">
        <f t="shared" si="4"/>
        <v>rtdc.l.rtdc.4014:itc</v>
      </c>
      <c r="G159" s="8">
        <f t="shared" si="5"/>
        <v>42691.683483796296</v>
      </c>
    </row>
    <row r="160" spans="1:7" x14ac:dyDescent="0.25">
      <c r="A160" s="8">
        <v>42691.683749999997</v>
      </c>
      <c r="B160" s="21" t="s">
        <v>235</v>
      </c>
      <c r="C160" s="21" t="s">
        <v>562</v>
      </c>
      <c r="D160" s="21">
        <v>1820000</v>
      </c>
      <c r="E160" s="21" t="s">
        <v>347</v>
      </c>
      <c r="F160" s="21" t="str">
        <f t="shared" si="4"/>
        <v>rtdc.l.rtdc.4001:itc</v>
      </c>
      <c r="G160" s="8">
        <f t="shared" si="5"/>
        <v>42691.683749999997</v>
      </c>
    </row>
    <row r="161" spans="1:7" x14ac:dyDescent="0.25">
      <c r="A161" s="8">
        <v>42691.692523148151</v>
      </c>
      <c r="B161" s="21" t="s">
        <v>419</v>
      </c>
      <c r="C161" s="21" t="s">
        <v>563</v>
      </c>
      <c r="D161" s="21">
        <v>2550000</v>
      </c>
      <c r="E161" s="21" t="s">
        <v>237</v>
      </c>
      <c r="F161" s="21" t="str">
        <f t="shared" si="4"/>
        <v>rtdc.l.rtdc.4017:itc</v>
      </c>
      <c r="G161" s="8">
        <f t="shared" si="5"/>
        <v>42691.692523148151</v>
      </c>
    </row>
    <row r="162" spans="1:7" x14ac:dyDescent="0.25">
      <c r="A162" s="8">
        <v>42691.69259259259</v>
      </c>
      <c r="B162" s="21" t="s">
        <v>221</v>
      </c>
      <c r="C162" s="21" t="s">
        <v>564</v>
      </c>
      <c r="D162" s="21">
        <v>2270000</v>
      </c>
      <c r="E162" s="21" t="s">
        <v>345</v>
      </c>
      <c r="F162" s="21" t="str">
        <f t="shared" si="4"/>
        <v>rtdc.l.rtdc.4040:itc</v>
      </c>
      <c r="G162" s="8">
        <f t="shared" si="5"/>
        <v>42691.69259259259</v>
      </c>
    </row>
    <row r="163" spans="1:7" x14ac:dyDescent="0.25">
      <c r="A163" s="8">
        <v>42691.696504629632</v>
      </c>
      <c r="B163" s="21" t="s">
        <v>251</v>
      </c>
      <c r="C163" s="21" t="s">
        <v>565</v>
      </c>
      <c r="D163" s="21">
        <v>2430000</v>
      </c>
      <c r="E163" s="21" t="s">
        <v>297</v>
      </c>
      <c r="F163" s="21" t="str">
        <f t="shared" si="4"/>
        <v>rtdc.l.rtdc.4038:itc</v>
      </c>
      <c r="G163" s="8">
        <f t="shared" si="5"/>
        <v>42691.696504629632</v>
      </c>
    </row>
    <row r="164" spans="1:7" x14ac:dyDescent="0.25">
      <c r="A164" s="8">
        <v>42691.700266203705</v>
      </c>
      <c r="B164" s="21" t="s">
        <v>425</v>
      </c>
      <c r="C164" s="21" t="s">
        <v>566</v>
      </c>
      <c r="D164" s="21">
        <v>2460000</v>
      </c>
      <c r="E164" s="21" t="s">
        <v>316</v>
      </c>
      <c r="F164" s="21" t="str">
        <f t="shared" si="4"/>
        <v>rtdc.l.rtdc.4032:itc</v>
      </c>
      <c r="G164" s="8">
        <f t="shared" si="5"/>
        <v>42691.700266203705</v>
      </c>
    </row>
    <row r="165" spans="1:7" x14ac:dyDescent="0.25">
      <c r="A165" s="8">
        <v>42691.703287037039</v>
      </c>
      <c r="B165" s="21" t="s">
        <v>425</v>
      </c>
      <c r="C165" s="21" t="s">
        <v>566</v>
      </c>
      <c r="D165" s="21">
        <v>2460000</v>
      </c>
      <c r="E165" s="21" t="s">
        <v>316</v>
      </c>
      <c r="F165" s="21" t="str">
        <f t="shared" si="4"/>
        <v>rtdc.l.rtdc.4032:itc</v>
      </c>
      <c r="G165" s="8">
        <f t="shared" si="5"/>
        <v>42691.703287037039</v>
      </c>
    </row>
    <row r="166" spans="1:7" x14ac:dyDescent="0.25">
      <c r="A166" s="8">
        <v>42691.704375000001</v>
      </c>
      <c r="B166" s="21" t="s">
        <v>312</v>
      </c>
      <c r="C166" s="21" t="s">
        <v>567</v>
      </c>
      <c r="D166" s="21">
        <v>2530000</v>
      </c>
      <c r="E166" s="21" t="s">
        <v>518</v>
      </c>
      <c r="F166" s="21" t="str">
        <f t="shared" si="4"/>
        <v>rtdc.l.rtdc.4042:itc</v>
      </c>
      <c r="G166" s="8">
        <f t="shared" si="5"/>
        <v>42691.704375000001</v>
      </c>
    </row>
    <row r="167" spans="1:7" x14ac:dyDescent="0.25">
      <c r="A167" s="8">
        <v>42691.71266203704</v>
      </c>
      <c r="B167" s="21" t="s">
        <v>226</v>
      </c>
      <c r="C167" s="21" t="s">
        <v>568</v>
      </c>
      <c r="D167" s="21">
        <v>2560000</v>
      </c>
      <c r="E167" s="21" t="s">
        <v>344</v>
      </c>
      <c r="F167" s="21" t="str">
        <f t="shared" si="4"/>
        <v>rtdc.l.rtdc.4004:itc</v>
      </c>
      <c r="G167" s="8">
        <f t="shared" si="5"/>
        <v>42691.71266203704</v>
      </c>
    </row>
    <row r="168" spans="1:7" x14ac:dyDescent="0.25">
      <c r="A168" s="8">
        <v>42691.71366898148</v>
      </c>
      <c r="B168" s="21" t="s">
        <v>225</v>
      </c>
      <c r="C168" s="21" t="s">
        <v>569</v>
      </c>
      <c r="D168" s="21">
        <v>2270000</v>
      </c>
      <c r="E168" s="21" t="s">
        <v>345</v>
      </c>
      <c r="F168" s="21" t="str">
        <f t="shared" si="4"/>
        <v>rtdc.l.rtdc.4039:itc</v>
      </c>
      <c r="G168" s="8">
        <f t="shared" si="5"/>
        <v>42691.71366898148</v>
      </c>
    </row>
    <row r="169" spans="1:7" x14ac:dyDescent="0.25">
      <c r="A169" s="8">
        <v>42691.716493055559</v>
      </c>
      <c r="B169" s="21" t="s">
        <v>296</v>
      </c>
      <c r="C169" s="21" t="s">
        <v>570</v>
      </c>
      <c r="D169" s="21">
        <v>2550000</v>
      </c>
      <c r="E169" s="21" t="s">
        <v>237</v>
      </c>
      <c r="F169" s="21" t="str">
        <f t="shared" si="4"/>
        <v>rtdc.l.rtdc.4018:itc</v>
      </c>
      <c r="G169" s="8">
        <f t="shared" si="5"/>
        <v>42691.716493055559</v>
      </c>
    </row>
    <row r="170" spans="1:7" x14ac:dyDescent="0.25">
      <c r="A170" s="8">
        <v>42691.718425925923</v>
      </c>
      <c r="B170" s="21" t="s">
        <v>245</v>
      </c>
      <c r="C170" s="21" t="s">
        <v>571</v>
      </c>
      <c r="D170" s="21">
        <v>2230000</v>
      </c>
      <c r="E170" s="21" t="s">
        <v>572</v>
      </c>
      <c r="F170" s="21" t="str">
        <f t="shared" si="4"/>
        <v>rtdc.l.rtdc.4022:itc</v>
      </c>
      <c r="G170" s="8">
        <f t="shared" si="5"/>
        <v>42691.718425925923</v>
      </c>
    </row>
    <row r="171" spans="1:7" x14ac:dyDescent="0.25">
      <c r="A171" s="8">
        <v>42691.722870370373</v>
      </c>
      <c r="B171" s="21" t="s">
        <v>282</v>
      </c>
      <c r="C171" s="21" t="s">
        <v>573</v>
      </c>
      <c r="D171" s="21">
        <v>2020000</v>
      </c>
      <c r="E171" s="21" t="s">
        <v>514</v>
      </c>
      <c r="F171" s="21" t="str">
        <f t="shared" si="4"/>
        <v>rtdc.l.rtdc.4013:itc</v>
      </c>
      <c r="G171" s="8">
        <f t="shared" si="5"/>
        <v>42691.722870370373</v>
      </c>
    </row>
    <row r="172" spans="1:7" x14ac:dyDescent="0.25">
      <c r="A172" s="8">
        <v>42691.724675925929</v>
      </c>
      <c r="B172" s="21" t="s">
        <v>217</v>
      </c>
      <c r="C172" s="21" t="s">
        <v>574</v>
      </c>
      <c r="D172" s="21">
        <v>2220000</v>
      </c>
      <c r="E172" s="21" t="s">
        <v>349</v>
      </c>
      <c r="F172" s="21" t="str">
        <f t="shared" si="4"/>
        <v>rtdc.l.rtdc.4011:itc</v>
      </c>
      <c r="G172" s="8">
        <f t="shared" si="5"/>
        <v>42691.724675925929</v>
      </c>
    </row>
    <row r="173" spans="1:7" x14ac:dyDescent="0.25">
      <c r="A173" s="8">
        <v>42691.732974537037</v>
      </c>
      <c r="B173" s="21" t="s">
        <v>255</v>
      </c>
      <c r="C173" s="21" t="s">
        <v>575</v>
      </c>
      <c r="D173" s="21">
        <v>2430000</v>
      </c>
      <c r="E173" s="21" t="s">
        <v>297</v>
      </c>
      <c r="F173" s="21" t="str">
        <f t="shared" si="4"/>
        <v>rtdc.l.rtdc.4037:itc</v>
      </c>
      <c r="G173" s="8">
        <f t="shared" si="5"/>
        <v>42691.732974537037</v>
      </c>
    </row>
    <row r="174" spans="1:7" x14ac:dyDescent="0.25">
      <c r="A174" s="8">
        <v>42691.734699074077</v>
      </c>
      <c r="B174" s="21" t="s">
        <v>419</v>
      </c>
      <c r="C174" s="21" t="s">
        <v>576</v>
      </c>
      <c r="D174" s="21">
        <v>2550000</v>
      </c>
      <c r="E174" s="21" t="s">
        <v>237</v>
      </c>
      <c r="F174" s="21" t="str">
        <f t="shared" si="4"/>
        <v>rtdc.l.rtdc.4017:itc</v>
      </c>
      <c r="G174" s="8">
        <f t="shared" si="5"/>
        <v>42691.734699074077</v>
      </c>
    </row>
    <row r="175" spans="1:7" x14ac:dyDescent="0.25">
      <c r="A175" s="8">
        <v>42691.736944444441</v>
      </c>
      <c r="B175" s="21" t="s">
        <v>236</v>
      </c>
      <c r="C175" s="21" t="s">
        <v>577</v>
      </c>
      <c r="D175" s="21">
        <v>2350000</v>
      </c>
      <c r="E175" s="21" t="s">
        <v>348</v>
      </c>
      <c r="F175" s="21" t="str">
        <f t="shared" si="4"/>
        <v>rtdc.l.rtdc.4002:itc</v>
      </c>
      <c r="G175" s="8">
        <f t="shared" si="5"/>
        <v>42691.736944444441</v>
      </c>
    </row>
    <row r="176" spans="1:7" x14ac:dyDescent="0.25">
      <c r="A176" s="8">
        <v>42691.739155092589</v>
      </c>
      <c r="B176" s="21" t="s">
        <v>311</v>
      </c>
      <c r="C176" s="21" t="s">
        <v>578</v>
      </c>
      <c r="D176" s="21">
        <v>2530000</v>
      </c>
      <c r="E176" s="21" t="s">
        <v>518</v>
      </c>
      <c r="F176" s="21" t="str">
        <f t="shared" si="4"/>
        <v>rtdc.l.rtdc.4041:itc</v>
      </c>
      <c r="G176" s="8">
        <f t="shared" si="5"/>
        <v>42691.739155092589</v>
      </c>
    </row>
    <row r="177" spans="1:7" x14ac:dyDescent="0.25">
      <c r="A177" s="8">
        <v>42691.740034722221</v>
      </c>
      <c r="B177" s="21" t="s">
        <v>221</v>
      </c>
      <c r="C177" s="21" t="s">
        <v>579</v>
      </c>
      <c r="D177" s="21">
        <v>2270000</v>
      </c>
      <c r="E177" s="21" t="s">
        <v>345</v>
      </c>
      <c r="F177" s="21" t="str">
        <f t="shared" si="4"/>
        <v>rtdc.l.rtdc.4040:itc</v>
      </c>
      <c r="G177" s="8">
        <f t="shared" si="5"/>
        <v>42691.740034722221</v>
      </c>
    </row>
    <row r="178" spans="1:7" x14ac:dyDescent="0.25">
      <c r="A178" s="8">
        <v>42691.745312500003</v>
      </c>
      <c r="B178" s="21" t="s">
        <v>413</v>
      </c>
      <c r="C178" s="21" t="s">
        <v>580</v>
      </c>
      <c r="D178" s="21">
        <v>2110000</v>
      </c>
      <c r="E178" s="21" t="s">
        <v>581</v>
      </c>
      <c r="F178" s="21" t="str">
        <f t="shared" si="4"/>
        <v>rtdc.l.rtdc.4031:itc</v>
      </c>
      <c r="G178" s="8">
        <f t="shared" si="5"/>
        <v>42691.745312500003</v>
      </c>
    </row>
    <row r="179" spans="1:7" x14ac:dyDescent="0.25">
      <c r="A179" s="8">
        <v>42691.746296296296</v>
      </c>
      <c r="B179" s="21" t="s">
        <v>413</v>
      </c>
      <c r="C179" s="21" t="s">
        <v>580</v>
      </c>
      <c r="D179" s="21">
        <v>2110000</v>
      </c>
      <c r="E179" s="21" t="s">
        <v>581</v>
      </c>
      <c r="F179" s="21" t="str">
        <f t="shared" si="4"/>
        <v>rtdc.l.rtdc.4031:itc</v>
      </c>
      <c r="G179" s="8">
        <f t="shared" si="5"/>
        <v>42691.746296296296</v>
      </c>
    </row>
    <row r="180" spans="1:7" x14ac:dyDescent="0.25">
      <c r="A180" s="8">
        <v>42691.747743055559</v>
      </c>
      <c r="B180" s="21" t="s">
        <v>241</v>
      </c>
      <c r="C180" s="21" t="s">
        <v>582</v>
      </c>
      <c r="D180" s="21">
        <v>2470000</v>
      </c>
      <c r="E180" s="21" t="s">
        <v>288</v>
      </c>
      <c r="F180" s="21" t="str">
        <f t="shared" si="4"/>
        <v>rtdc.l.rtdc.4043:itc</v>
      </c>
      <c r="G180" s="8">
        <f t="shared" si="5"/>
        <v>42691.747743055559</v>
      </c>
    </row>
    <row r="181" spans="1:7" x14ac:dyDescent="0.25">
      <c r="A181" s="8">
        <v>42691.751192129632</v>
      </c>
      <c r="B181" s="21" t="s">
        <v>310</v>
      </c>
      <c r="C181" s="21" t="s">
        <v>583</v>
      </c>
      <c r="D181" s="21">
        <v>2460000</v>
      </c>
      <c r="E181" s="21" t="s">
        <v>316</v>
      </c>
      <c r="F181" s="21" t="str">
        <f t="shared" si="4"/>
        <v>rtdc.l.rtdc.4003:itc</v>
      </c>
      <c r="G181" s="8">
        <f t="shared" si="5"/>
        <v>42691.751192129632</v>
      </c>
    </row>
    <row r="182" spans="1:7" x14ac:dyDescent="0.25">
      <c r="A182" s="8">
        <v>42691.754363425927</v>
      </c>
      <c r="B182" s="21" t="s">
        <v>246</v>
      </c>
      <c r="C182" s="21" t="s">
        <v>584</v>
      </c>
      <c r="D182" s="21">
        <v>2230000</v>
      </c>
      <c r="E182" s="21" t="s">
        <v>572</v>
      </c>
      <c r="F182" s="21" t="str">
        <f t="shared" si="4"/>
        <v>rtdc.l.rtdc.4021:itc</v>
      </c>
      <c r="G182" s="8">
        <f t="shared" si="5"/>
        <v>42691.754363425927</v>
      </c>
    </row>
    <row r="183" spans="1:7" x14ac:dyDescent="0.25">
      <c r="A183" s="8">
        <v>42691.755960648145</v>
      </c>
      <c r="B183" s="21" t="s">
        <v>225</v>
      </c>
      <c r="C183" s="21" t="s">
        <v>444</v>
      </c>
      <c r="D183" s="21">
        <v>2270000</v>
      </c>
      <c r="E183" s="21" t="s">
        <v>345</v>
      </c>
      <c r="F183" s="21" t="str">
        <f t="shared" si="4"/>
        <v>rtdc.l.rtdc.4039:itc</v>
      </c>
      <c r="G183" s="8">
        <f t="shared" si="5"/>
        <v>42691.755960648145</v>
      </c>
    </row>
    <row r="184" spans="1:7" x14ac:dyDescent="0.25">
      <c r="A184" s="8">
        <v>42691.760497685187</v>
      </c>
      <c r="B184" s="21" t="s">
        <v>281</v>
      </c>
      <c r="C184" s="21" t="s">
        <v>585</v>
      </c>
      <c r="D184" s="21">
        <v>2370000</v>
      </c>
      <c r="E184" s="21" t="s">
        <v>586</v>
      </c>
      <c r="F184" s="21" t="str">
        <f t="shared" si="4"/>
        <v>rtdc.l.rtdc.4014:itc</v>
      </c>
      <c r="G184" s="8">
        <f t="shared" si="5"/>
        <v>42691.760497685187</v>
      </c>
    </row>
    <row r="185" spans="1:7" x14ac:dyDescent="0.25">
      <c r="A185" s="8">
        <v>42691.760844907411</v>
      </c>
      <c r="B185" s="21" t="s">
        <v>296</v>
      </c>
      <c r="C185" s="21" t="s">
        <v>587</v>
      </c>
      <c r="D185" s="21">
        <v>2550000</v>
      </c>
      <c r="E185" s="21" t="s">
        <v>237</v>
      </c>
      <c r="F185" s="21" t="str">
        <f t="shared" si="4"/>
        <v>rtdc.l.rtdc.4018:itc</v>
      </c>
      <c r="G185" s="8">
        <f t="shared" si="5"/>
        <v>42691.760844907411</v>
      </c>
    </row>
    <row r="186" spans="1:7" x14ac:dyDescent="0.25">
      <c r="A186" s="8">
        <v>42691.763171296298</v>
      </c>
      <c r="B186" s="21" t="s">
        <v>232</v>
      </c>
      <c r="C186" s="21" t="s">
        <v>588</v>
      </c>
      <c r="D186" s="21">
        <v>2220000</v>
      </c>
      <c r="E186" s="21" t="s">
        <v>349</v>
      </c>
      <c r="F186" s="21" t="str">
        <f t="shared" si="4"/>
        <v>rtdc.l.rtdc.4012:itc</v>
      </c>
      <c r="G186" s="8">
        <f t="shared" si="5"/>
        <v>42691.763171296298</v>
      </c>
    </row>
    <row r="187" spans="1:7" x14ac:dyDescent="0.25">
      <c r="A187" s="8">
        <v>42691.771157407406</v>
      </c>
      <c r="B187" s="21" t="s">
        <v>251</v>
      </c>
      <c r="C187" s="21" t="s">
        <v>589</v>
      </c>
      <c r="D187" s="21">
        <v>2440000</v>
      </c>
      <c r="E187" s="21" t="s">
        <v>351</v>
      </c>
      <c r="F187" s="21" t="str">
        <f t="shared" si="4"/>
        <v>rtdc.l.rtdc.4038:itc</v>
      </c>
      <c r="G187" s="8">
        <f t="shared" si="5"/>
        <v>42691.771157407406</v>
      </c>
    </row>
    <row r="188" spans="1:7" x14ac:dyDescent="0.25">
      <c r="A188" s="8">
        <v>42691.774942129632</v>
      </c>
      <c r="B188" s="21" t="s">
        <v>235</v>
      </c>
      <c r="C188" s="21" t="s">
        <v>590</v>
      </c>
      <c r="D188" s="21">
        <v>2350000</v>
      </c>
      <c r="E188" s="21" t="s">
        <v>348</v>
      </c>
      <c r="F188" s="21" t="str">
        <f t="shared" si="4"/>
        <v>rtdc.l.rtdc.4001:itc</v>
      </c>
      <c r="G188" s="8">
        <f t="shared" si="5"/>
        <v>42691.774942129632</v>
      </c>
    </row>
    <row r="189" spans="1:7" x14ac:dyDescent="0.25">
      <c r="A189" s="8">
        <v>42691.777997685182</v>
      </c>
      <c r="B189" s="21" t="s">
        <v>312</v>
      </c>
      <c r="C189" s="21" t="s">
        <v>591</v>
      </c>
      <c r="D189" s="21">
        <v>2530000</v>
      </c>
      <c r="E189" s="21" t="s">
        <v>518</v>
      </c>
      <c r="F189" s="21" t="str">
        <f t="shared" si="4"/>
        <v>rtdc.l.rtdc.4042:itc</v>
      </c>
      <c r="G189" s="8">
        <f t="shared" si="5"/>
        <v>42691.777997685182</v>
      </c>
    </row>
    <row r="190" spans="1:7" x14ac:dyDescent="0.25">
      <c r="A190" s="8">
        <v>42691.779907407406</v>
      </c>
      <c r="B190" s="21" t="s">
        <v>221</v>
      </c>
      <c r="C190" s="21" t="s">
        <v>592</v>
      </c>
      <c r="D190" s="21">
        <v>2270000</v>
      </c>
      <c r="E190" s="21" t="s">
        <v>345</v>
      </c>
      <c r="F190" s="21" t="str">
        <f t="shared" si="4"/>
        <v>rtdc.l.rtdc.4040:itc</v>
      </c>
      <c r="G190" s="8">
        <f t="shared" si="5"/>
        <v>42691.779907407406</v>
      </c>
    </row>
    <row r="191" spans="1:7" x14ac:dyDescent="0.25">
      <c r="A191" s="8">
        <v>42691.781018518515</v>
      </c>
      <c r="B191" s="21" t="s">
        <v>419</v>
      </c>
      <c r="C191" s="21" t="s">
        <v>593</v>
      </c>
      <c r="D191" s="21">
        <v>2550000</v>
      </c>
      <c r="E191" s="21" t="s">
        <v>237</v>
      </c>
      <c r="F191" s="21" t="str">
        <f t="shared" si="4"/>
        <v>rtdc.l.rtdc.4017:itc</v>
      </c>
      <c r="G191" s="8">
        <f t="shared" si="5"/>
        <v>42691.781018518515</v>
      </c>
    </row>
    <row r="192" spans="1:7" x14ac:dyDescent="0.25">
      <c r="A192" s="8">
        <v>42691.781099537038</v>
      </c>
      <c r="B192" s="21" t="s">
        <v>221</v>
      </c>
      <c r="C192" s="21" t="s">
        <v>594</v>
      </c>
      <c r="D192" s="21">
        <v>2270000</v>
      </c>
      <c r="E192" s="21" t="s">
        <v>345</v>
      </c>
      <c r="F192" s="21" t="str">
        <f t="shared" si="4"/>
        <v>rtdc.l.rtdc.4040:itc</v>
      </c>
      <c r="G192" s="8">
        <f t="shared" si="5"/>
        <v>42691.781099537038</v>
      </c>
    </row>
    <row r="193" spans="1:7" x14ac:dyDescent="0.25">
      <c r="A193" s="8">
        <v>42691.782523148147</v>
      </c>
      <c r="B193" s="21" t="s">
        <v>226</v>
      </c>
      <c r="C193" s="21" t="s">
        <v>595</v>
      </c>
      <c r="D193" s="21">
        <v>2460000</v>
      </c>
      <c r="E193" s="21" t="s">
        <v>316</v>
      </c>
      <c r="F193" s="21" t="str">
        <f t="shared" si="4"/>
        <v>rtdc.l.rtdc.4004:itc</v>
      </c>
      <c r="G193" s="8">
        <f t="shared" si="5"/>
        <v>42691.782523148147</v>
      </c>
    </row>
    <row r="194" spans="1:7" x14ac:dyDescent="0.25">
      <c r="A194" s="8">
        <v>42691.790983796294</v>
      </c>
      <c r="B194" s="21" t="s">
        <v>245</v>
      </c>
      <c r="C194" s="21" t="s">
        <v>596</v>
      </c>
      <c r="D194" s="21">
        <v>2230000</v>
      </c>
      <c r="E194" s="21" t="s">
        <v>572</v>
      </c>
      <c r="F194" s="21" t="str">
        <f t="shared" ref="F194:F235" si="6">B194</f>
        <v>rtdc.l.rtdc.4022:itc</v>
      </c>
      <c r="G194" s="8">
        <f t="shared" ref="G194:G235" si="7">A194</f>
        <v>42691.790983796294</v>
      </c>
    </row>
    <row r="195" spans="1:7" x14ac:dyDescent="0.25">
      <c r="A195" s="8">
        <v>42691.794374999998</v>
      </c>
      <c r="B195" s="21" t="s">
        <v>296</v>
      </c>
      <c r="C195" s="21" t="s">
        <v>445</v>
      </c>
      <c r="D195" s="21">
        <v>2550000</v>
      </c>
      <c r="E195" s="21" t="s">
        <v>237</v>
      </c>
      <c r="F195" s="21" t="str">
        <f t="shared" si="6"/>
        <v>rtdc.l.rtdc.4018:itc</v>
      </c>
      <c r="G195" s="8">
        <f t="shared" si="7"/>
        <v>42691.794374999998</v>
      </c>
    </row>
    <row r="196" spans="1:7" x14ac:dyDescent="0.25">
      <c r="A196" s="8">
        <v>42691.796631944446</v>
      </c>
      <c r="B196" s="21" t="s">
        <v>282</v>
      </c>
      <c r="C196" s="21" t="s">
        <v>597</v>
      </c>
      <c r="D196" s="21">
        <v>2370000</v>
      </c>
      <c r="E196" s="21" t="s">
        <v>586</v>
      </c>
      <c r="F196" s="21" t="str">
        <f t="shared" si="6"/>
        <v>rtdc.l.rtdc.4013:itc</v>
      </c>
      <c r="G196" s="8">
        <f t="shared" si="7"/>
        <v>42691.796631944446</v>
      </c>
    </row>
    <row r="197" spans="1:7" x14ac:dyDescent="0.25">
      <c r="A197" s="8">
        <v>42691.797129629631</v>
      </c>
      <c r="B197" s="21" t="s">
        <v>225</v>
      </c>
      <c r="C197" s="21" t="s">
        <v>592</v>
      </c>
      <c r="D197" s="21">
        <v>2270000</v>
      </c>
      <c r="E197" s="21" t="s">
        <v>345</v>
      </c>
      <c r="F197" s="21" t="str">
        <f t="shared" si="6"/>
        <v>rtdc.l.rtdc.4039:itc</v>
      </c>
      <c r="G197" s="8">
        <f t="shared" si="7"/>
        <v>42691.797129629631</v>
      </c>
    </row>
    <row r="198" spans="1:7" x14ac:dyDescent="0.25">
      <c r="A198" s="8">
        <v>42691.800798611112</v>
      </c>
      <c r="B198" s="21" t="s">
        <v>255</v>
      </c>
      <c r="C198" s="21" t="s">
        <v>598</v>
      </c>
      <c r="D198" s="21">
        <v>2440000</v>
      </c>
      <c r="E198" s="21" t="s">
        <v>351</v>
      </c>
      <c r="F198" s="21" t="str">
        <f t="shared" si="6"/>
        <v>rtdc.l.rtdc.4037:itc</v>
      </c>
      <c r="G198" s="8">
        <f t="shared" si="7"/>
        <v>42691.800798611112</v>
      </c>
    </row>
    <row r="199" spans="1:7" x14ac:dyDescent="0.25">
      <c r="A199" s="8">
        <v>42691.804050925923</v>
      </c>
      <c r="B199" s="21" t="s">
        <v>217</v>
      </c>
      <c r="C199" s="21" t="s">
        <v>599</v>
      </c>
      <c r="D199" s="21">
        <v>2220000</v>
      </c>
      <c r="E199" s="21" t="s">
        <v>349</v>
      </c>
      <c r="F199" s="21" t="str">
        <f t="shared" si="6"/>
        <v>rtdc.l.rtdc.4011:itc</v>
      </c>
      <c r="G199" s="8">
        <f t="shared" si="7"/>
        <v>42691.804050925923</v>
      </c>
    </row>
    <row r="200" spans="1:7" x14ac:dyDescent="0.25">
      <c r="A200" s="8">
        <v>42691.811550925922</v>
      </c>
      <c r="B200" s="21" t="s">
        <v>236</v>
      </c>
      <c r="C200" s="21" t="s">
        <v>600</v>
      </c>
      <c r="D200" s="21">
        <v>2350000</v>
      </c>
      <c r="E200" s="21" t="s">
        <v>348</v>
      </c>
      <c r="F200" s="21" t="str">
        <f t="shared" si="6"/>
        <v>rtdc.l.rtdc.4002:itc</v>
      </c>
      <c r="G200" s="8">
        <f t="shared" si="7"/>
        <v>42691.811550925922</v>
      </c>
    </row>
    <row r="201" spans="1:7" x14ac:dyDescent="0.25">
      <c r="A201" s="8">
        <v>42691.821574074071</v>
      </c>
      <c r="B201" s="21" t="s">
        <v>310</v>
      </c>
      <c r="C201" s="21" t="s">
        <v>601</v>
      </c>
      <c r="D201" s="21">
        <v>2460000</v>
      </c>
      <c r="E201" s="21" t="s">
        <v>316</v>
      </c>
      <c r="F201" s="21" t="str">
        <f t="shared" si="6"/>
        <v>rtdc.l.rtdc.4003:itc</v>
      </c>
      <c r="G201" s="8">
        <f t="shared" si="7"/>
        <v>42691.821574074071</v>
      </c>
    </row>
    <row r="202" spans="1:7" x14ac:dyDescent="0.25">
      <c r="A202" s="27">
        <v>42691.82199074074</v>
      </c>
      <c r="B202" s="21" t="s">
        <v>419</v>
      </c>
      <c r="C202" s="21" t="s">
        <v>446</v>
      </c>
      <c r="D202" s="21">
        <v>2550000</v>
      </c>
      <c r="E202" s="21" t="s">
        <v>237</v>
      </c>
      <c r="F202" s="21" t="str">
        <f t="shared" si="6"/>
        <v>rtdc.l.rtdc.4017:itc</v>
      </c>
      <c r="G202" s="8">
        <f t="shared" si="7"/>
        <v>42691.82199074074</v>
      </c>
    </row>
    <row r="203" spans="1:7" x14ac:dyDescent="0.25">
      <c r="A203" s="8">
        <v>42691.824641203704</v>
      </c>
      <c r="B203" s="21" t="s">
        <v>246</v>
      </c>
      <c r="C203" s="21" t="s">
        <v>602</v>
      </c>
      <c r="D203" s="21">
        <v>2230000</v>
      </c>
      <c r="E203" s="21" t="s">
        <v>572</v>
      </c>
      <c r="F203" s="21" t="str">
        <f t="shared" si="6"/>
        <v>rtdc.l.rtdc.4021:itc</v>
      </c>
      <c r="G203" s="8">
        <f t="shared" si="7"/>
        <v>42691.824641203704</v>
      </c>
    </row>
    <row r="204" spans="1:7" x14ac:dyDescent="0.25">
      <c r="A204" s="8">
        <v>42691.83153935185</v>
      </c>
      <c r="B204" s="21" t="s">
        <v>281</v>
      </c>
      <c r="C204" s="21" t="s">
        <v>603</v>
      </c>
      <c r="D204" s="21">
        <v>2370000</v>
      </c>
      <c r="E204" s="21" t="s">
        <v>586</v>
      </c>
      <c r="F204" s="21" t="str">
        <f t="shared" si="6"/>
        <v>rtdc.l.rtdc.4014:itc</v>
      </c>
      <c r="G204" s="8">
        <f t="shared" si="7"/>
        <v>42691.83153935185</v>
      </c>
    </row>
    <row r="205" spans="1:7" x14ac:dyDescent="0.25">
      <c r="A205" s="8">
        <v>42691.84175925926</v>
      </c>
      <c r="B205" s="21" t="s">
        <v>251</v>
      </c>
      <c r="C205" s="21" t="s">
        <v>604</v>
      </c>
      <c r="D205" s="21">
        <v>2440000</v>
      </c>
      <c r="E205" s="21" t="s">
        <v>351</v>
      </c>
      <c r="F205" s="21" t="str">
        <f t="shared" si="6"/>
        <v>rtdc.l.rtdc.4038:itc</v>
      </c>
      <c r="G205" s="8">
        <f t="shared" si="7"/>
        <v>42691.84175925926</v>
      </c>
    </row>
    <row r="206" spans="1:7" x14ac:dyDescent="0.25">
      <c r="A206" s="8">
        <v>42691.845706018517</v>
      </c>
      <c r="B206" s="21" t="s">
        <v>296</v>
      </c>
      <c r="C206" s="21" t="s">
        <v>605</v>
      </c>
      <c r="D206" s="21">
        <v>2550000</v>
      </c>
      <c r="E206" s="21" t="s">
        <v>237</v>
      </c>
      <c r="F206" s="21" t="str">
        <f t="shared" si="6"/>
        <v>rtdc.l.rtdc.4018:itc</v>
      </c>
      <c r="G206" s="8">
        <f t="shared" si="7"/>
        <v>42691.845706018517</v>
      </c>
    </row>
    <row r="207" spans="1:7" x14ac:dyDescent="0.25">
      <c r="A207" s="8">
        <v>42691.846944444442</v>
      </c>
      <c r="B207" s="21" t="s">
        <v>235</v>
      </c>
      <c r="C207" s="21" t="s">
        <v>606</v>
      </c>
      <c r="D207" s="21">
        <v>2350000</v>
      </c>
      <c r="E207" s="21" t="s">
        <v>348</v>
      </c>
      <c r="F207" s="21" t="str">
        <f t="shared" si="6"/>
        <v>rtdc.l.rtdc.4001:itc</v>
      </c>
      <c r="G207" s="8">
        <f t="shared" si="7"/>
        <v>42691.846944444442</v>
      </c>
    </row>
    <row r="208" spans="1:7" x14ac:dyDescent="0.25">
      <c r="A208" s="8">
        <v>42691.858946759261</v>
      </c>
      <c r="B208" s="21" t="s">
        <v>419</v>
      </c>
      <c r="C208" s="21" t="s">
        <v>607</v>
      </c>
      <c r="D208" s="21">
        <v>2550000</v>
      </c>
      <c r="E208" s="21" t="s">
        <v>237</v>
      </c>
      <c r="F208" s="21" t="str">
        <f t="shared" si="6"/>
        <v>rtdc.l.rtdc.4017:itc</v>
      </c>
      <c r="G208" s="8">
        <f t="shared" si="7"/>
        <v>42691.858946759261</v>
      </c>
    </row>
    <row r="209" spans="1:7" x14ac:dyDescent="0.25">
      <c r="A209" s="8">
        <v>42691.864895833336</v>
      </c>
      <c r="B209" s="21" t="s">
        <v>282</v>
      </c>
      <c r="C209" s="21" t="s">
        <v>608</v>
      </c>
      <c r="D209" s="21">
        <v>2370000</v>
      </c>
      <c r="E209" s="21" t="s">
        <v>586</v>
      </c>
      <c r="F209" s="21" t="str">
        <f t="shared" si="6"/>
        <v>rtdc.l.rtdc.4013:itc</v>
      </c>
      <c r="G209" s="8">
        <f t="shared" si="7"/>
        <v>42691.864895833336</v>
      </c>
    </row>
    <row r="210" spans="1:7" x14ac:dyDescent="0.25">
      <c r="A210" s="8">
        <v>42691.866249999999</v>
      </c>
      <c r="B210" s="21" t="s">
        <v>245</v>
      </c>
      <c r="C210" s="21" t="s">
        <v>609</v>
      </c>
      <c r="D210" s="21">
        <v>2230000</v>
      </c>
      <c r="E210" s="21" t="s">
        <v>572</v>
      </c>
      <c r="F210" s="21" t="str">
        <f t="shared" si="6"/>
        <v>rtdc.l.rtdc.4022:itc</v>
      </c>
      <c r="G210" s="8">
        <f t="shared" si="7"/>
        <v>42691.866249999999</v>
      </c>
    </row>
    <row r="211" spans="1:7" x14ac:dyDescent="0.25">
      <c r="A211" s="8">
        <v>42691.876307870371</v>
      </c>
      <c r="B211" s="21" t="s">
        <v>296</v>
      </c>
      <c r="C211" s="21" t="s">
        <v>610</v>
      </c>
      <c r="D211" s="21">
        <v>2270000</v>
      </c>
      <c r="E211" s="21" t="s">
        <v>345</v>
      </c>
      <c r="F211" s="21" t="str">
        <f t="shared" si="6"/>
        <v>rtdc.l.rtdc.4018:itc</v>
      </c>
      <c r="G211" s="8">
        <f t="shared" si="7"/>
        <v>42691.876307870371</v>
      </c>
    </row>
    <row r="212" spans="1:7" x14ac:dyDescent="0.25">
      <c r="A212" s="8">
        <v>42691.889953703707</v>
      </c>
      <c r="B212" s="21" t="s">
        <v>255</v>
      </c>
      <c r="C212" s="21" t="s">
        <v>447</v>
      </c>
      <c r="D212" s="21">
        <v>2440000</v>
      </c>
      <c r="E212" s="21" t="s">
        <v>351</v>
      </c>
      <c r="F212" s="21" t="str">
        <f t="shared" si="6"/>
        <v>rtdc.l.rtdc.4037:itc</v>
      </c>
      <c r="G212" s="8">
        <f t="shared" si="7"/>
        <v>42691.889953703707</v>
      </c>
    </row>
    <row r="213" spans="1:7" x14ac:dyDescent="0.25">
      <c r="A213" s="8">
        <v>42691.891180555554</v>
      </c>
      <c r="B213" s="21" t="s">
        <v>236</v>
      </c>
      <c r="C213" s="21" t="s">
        <v>611</v>
      </c>
      <c r="D213" s="21">
        <v>2350000</v>
      </c>
      <c r="E213" s="21" t="s">
        <v>348</v>
      </c>
      <c r="F213" s="21" t="str">
        <f t="shared" si="6"/>
        <v>rtdc.l.rtdc.4002:itc</v>
      </c>
      <c r="G213" s="8">
        <f t="shared" si="7"/>
        <v>42691.891180555554</v>
      </c>
    </row>
    <row r="214" spans="1:7" x14ac:dyDescent="0.25">
      <c r="A214" s="8">
        <v>42691.901875000003</v>
      </c>
      <c r="B214" s="21" t="s">
        <v>419</v>
      </c>
      <c r="C214" s="21" t="s">
        <v>612</v>
      </c>
      <c r="D214" s="21">
        <v>2270000</v>
      </c>
      <c r="E214" s="21" t="s">
        <v>345</v>
      </c>
      <c r="F214" s="21" t="str">
        <f t="shared" si="6"/>
        <v>rtdc.l.rtdc.4017:itc</v>
      </c>
      <c r="G214" s="8">
        <f t="shared" si="7"/>
        <v>42691.901875000003</v>
      </c>
    </row>
    <row r="215" spans="1:7" x14ac:dyDescent="0.25">
      <c r="A215" s="8">
        <v>42691.907418981478</v>
      </c>
      <c r="B215" s="21" t="s">
        <v>246</v>
      </c>
      <c r="C215" s="21" t="s">
        <v>613</v>
      </c>
      <c r="D215" s="21">
        <v>2230000</v>
      </c>
      <c r="E215" s="21" t="s">
        <v>572</v>
      </c>
      <c r="F215" s="21" t="str">
        <f t="shared" si="6"/>
        <v>rtdc.l.rtdc.4021:itc</v>
      </c>
      <c r="G215" s="8">
        <f t="shared" si="7"/>
        <v>42691.907418981478</v>
      </c>
    </row>
    <row r="216" spans="1:7" x14ac:dyDescent="0.25">
      <c r="A216" s="8">
        <v>42691.908807870372</v>
      </c>
      <c r="B216" s="21" t="s">
        <v>281</v>
      </c>
      <c r="C216" s="21" t="s">
        <v>614</v>
      </c>
      <c r="D216" s="21">
        <v>2370000</v>
      </c>
      <c r="E216" s="21" t="s">
        <v>586</v>
      </c>
      <c r="F216" s="21" t="str">
        <f t="shared" si="6"/>
        <v>rtdc.l.rtdc.4014:itc</v>
      </c>
      <c r="G216" s="8">
        <f t="shared" si="7"/>
        <v>42691.908807870372</v>
      </c>
    </row>
    <row r="217" spans="1:7" x14ac:dyDescent="0.25">
      <c r="A217" s="8">
        <v>42691.912372685183</v>
      </c>
      <c r="B217" s="21" t="s">
        <v>281</v>
      </c>
      <c r="C217" s="21" t="s">
        <v>614</v>
      </c>
      <c r="D217" s="21">
        <v>2370000</v>
      </c>
      <c r="E217" s="21" t="s">
        <v>586</v>
      </c>
      <c r="F217" s="21" t="str">
        <f t="shared" si="6"/>
        <v>rtdc.l.rtdc.4014:itc</v>
      </c>
      <c r="G217" s="8">
        <f t="shared" si="7"/>
        <v>42691.912372685183</v>
      </c>
    </row>
    <row r="218" spans="1:7" x14ac:dyDescent="0.25">
      <c r="A218" s="8">
        <v>42691.924687500003</v>
      </c>
      <c r="B218" s="21" t="s">
        <v>236</v>
      </c>
      <c r="C218" s="21" t="s">
        <v>611</v>
      </c>
      <c r="D218" s="21">
        <v>2350000</v>
      </c>
      <c r="E218" s="21" t="s">
        <v>348</v>
      </c>
      <c r="F218" s="21" t="str">
        <f t="shared" si="6"/>
        <v>rtdc.l.rtdc.4002:itc</v>
      </c>
      <c r="G218" s="8">
        <f t="shared" si="7"/>
        <v>42691.924687500003</v>
      </c>
    </row>
    <row r="219" spans="1:7" x14ac:dyDescent="0.25">
      <c r="A219" s="8">
        <v>42691.928900462961</v>
      </c>
      <c r="B219" s="21" t="s">
        <v>296</v>
      </c>
      <c r="C219" s="21" t="s">
        <v>615</v>
      </c>
      <c r="D219" s="21">
        <v>2270000</v>
      </c>
      <c r="E219" s="21" t="s">
        <v>345</v>
      </c>
      <c r="F219" s="21" t="str">
        <f t="shared" si="6"/>
        <v>rtdc.l.rtdc.4018:itc</v>
      </c>
      <c r="G219" s="8">
        <f t="shared" si="7"/>
        <v>42691.928900462961</v>
      </c>
    </row>
    <row r="220" spans="1:7" x14ac:dyDescent="0.25">
      <c r="A220" s="8">
        <v>42691.93105324074</v>
      </c>
      <c r="B220" s="21" t="s">
        <v>235</v>
      </c>
      <c r="C220" s="21" t="s">
        <v>616</v>
      </c>
      <c r="D220" s="21">
        <v>2350000</v>
      </c>
      <c r="E220" s="21" t="s">
        <v>348</v>
      </c>
      <c r="F220" s="21" t="str">
        <f t="shared" si="6"/>
        <v>rtdc.l.rtdc.4001:itc</v>
      </c>
      <c r="G220" s="8">
        <f t="shared" si="7"/>
        <v>42691.93105324074</v>
      </c>
    </row>
    <row r="221" spans="1:7" x14ac:dyDescent="0.25">
      <c r="A221" s="8">
        <v>42691.933703703704</v>
      </c>
      <c r="B221" s="21" t="s">
        <v>251</v>
      </c>
      <c r="C221" s="21" t="s">
        <v>617</v>
      </c>
      <c r="D221" s="21">
        <v>2440000</v>
      </c>
      <c r="E221" s="21" t="s">
        <v>351</v>
      </c>
      <c r="F221" s="21" t="str">
        <f t="shared" si="6"/>
        <v>rtdc.l.rtdc.4038:itc</v>
      </c>
      <c r="G221" s="8">
        <f t="shared" si="7"/>
        <v>42691.933703703704</v>
      </c>
    </row>
    <row r="222" spans="1:7" x14ac:dyDescent="0.25">
      <c r="A222" s="8">
        <v>42691.94226851852</v>
      </c>
      <c r="B222" s="21" t="s">
        <v>419</v>
      </c>
      <c r="C222" s="21" t="s">
        <v>618</v>
      </c>
      <c r="D222" s="21">
        <v>2270000</v>
      </c>
      <c r="E222" s="21" t="s">
        <v>345</v>
      </c>
      <c r="F222" s="21" t="str">
        <f t="shared" si="6"/>
        <v>rtdc.l.rtdc.4017:itc</v>
      </c>
      <c r="G222" s="8">
        <f t="shared" si="7"/>
        <v>42691.94226851852</v>
      </c>
    </row>
    <row r="223" spans="1:7" x14ac:dyDescent="0.25">
      <c r="A223" s="8">
        <v>42691.945439814815</v>
      </c>
      <c r="B223" s="21" t="s">
        <v>245</v>
      </c>
      <c r="C223" s="21" t="s">
        <v>619</v>
      </c>
      <c r="D223" s="21">
        <v>2230000</v>
      </c>
      <c r="E223" s="21" t="s">
        <v>572</v>
      </c>
      <c r="F223" s="21" t="str">
        <f t="shared" si="6"/>
        <v>rtdc.l.rtdc.4022:itc</v>
      </c>
      <c r="G223" s="8">
        <f t="shared" si="7"/>
        <v>42691.945439814815</v>
      </c>
    </row>
    <row r="224" spans="1:7" x14ac:dyDescent="0.25">
      <c r="A224" s="8">
        <v>42691.948321759257</v>
      </c>
      <c r="B224" t="s">
        <v>282</v>
      </c>
      <c r="C224" t="s">
        <v>620</v>
      </c>
      <c r="D224">
        <v>2370000</v>
      </c>
      <c r="E224" t="s">
        <v>586</v>
      </c>
      <c r="F224" s="21" t="str">
        <f t="shared" si="6"/>
        <v>rtdc.l.rtdc.4013:itc</v>
      </c>
      <c r="G224" s="8">
        <f t="shared" si="7"/>
        <v>42691.948321759257</v>
      </c>
    </row>
    <row r="225" spans="1:7" x14ac:dyDescent="0.25">
      <c r="A225" s="8">
        <v>42691.972939814812</v>
      </c>
      <c r="B225" t="s">
        <v>255</v>
      </c>
      <c r="C225" t="s">
        <v>448</v>
      </c>
      <c r="D225">
        <v>2440000</v>
      </c>
      <c r="E225" t="s">
        <v>351</v>
      </c>
      <c r="F225" s="21" t="str">
        <f t="shared" si="6"/>
        <v>rtdc.l.rtdc.4037:itc</v>
      </c>
      <c r="G225" s="8">
        <f t="shared" si="7"/>
        <v>42691.972939814812</v>
      </c>
    </row>
    <row r="226" spans="1:7" x14ac:dyDescent="0.25">
      <c r="A226" s="8">
        <v>42691.973298611112</v>
      </c>
      <c r="B226" t="s">
        <v>236</v>
      </c>
      <c r="C226" t="s">
        <v>621</v>
      </c>
      <c r="D226">
        <v>2350000</v>
      </c>
      <c r="E226" t="s">
        <v>348</v>
      </c>
      <c r="F226" s="21" t="str">
        <f t="shared" si="6"/>
        <v>rtdc.l.rtdc.4002:itc</v>
      </c>
      <c r="G226" s="8">
        <f t="shared" si="7"/>
        <v>42691.973298611112</v>
      </c>
    </row>
    <row r="227" spans="1:7" x14ac:dyDescent="0.25">
      <c r="A227" s="8">
        <v>42691.990266203706</v>
      </c>
      <c r="B227" t="s">
        <v>246</v>
      </c>
      <c r="C227" t="s">
        <v>449</v>
      </c>
      <c r="D227">
        <v>2230000</v>
      </c>
      <c r="E227" t="s">
        <v>572</v>
      </c>
      <c r="F227" s="21" t="str">
        <f t="shared" si="6"/>
        <v>rtdc.l.rtdc.4021:itc</v>
      </c>
      <c r="G227" s="8">
        <f t="shared" si="7"/>
        <v>42691.990266203706</v>
      </c>
    </row>
    <row r="228" spans="1:7" x14ac:dyDescent="0.25">
      <c r="A228" s="8">
        <v>42691.991284722222</v>
      </c>
      <c r="B228" t="s">
        <v>281</v>
      </c>
      <c r="C228" t="s">
        <v>622</v>
      </c>
      <c r="D228">
        <v>2370000</v>
      </c>
      <c r="E228" t="s">
        <v>586</v>
      </c>
      <c r="F228" s="21" t="str">
        <f t="shared" si="6"/>
        <v>rtdc.l.rtdc.4014:itc</v>
      </c>
      <c r="G228" s="8">
        <f t="shared" si="7"/>
        <v>42691.991284722222</v>
      </c>
    </row>
    <row r="229" spans="1:7" x14ac:dyDescent="0.25">
      <c r="A229" s="8">
        <v>42692.007222222222</v>
      </c>
      <c r="B229" t="s">
        <v>251</v>
      </c>
      <c r="C229" t="s">
        <v>623</v>
      </c>
      <c r="D229">
        <v>2440000</v>
      </c>
      <c r="E229" t="s">
        <v>351</v>
      </c>
      <c r="F229" s="21" t="str">
        <f t="shared" si="6"/>
        <v>rtdc.l.rtdc.4038:itc</v>
      </c>
      <c r="G229" s="8">
        <f t="shared" si="7"/>
        <v>42692.007222222222</v>
      </c>
    </row>
    <row r="230" spans="1:7" x14ac:dyDescent="0.25">
      <c r="A230" s="8">
        <v>42692.013101851851</v>
      </c>
      <c r="B230" t="s">
        <v>235</v>
      </c>
      <c r="C230" t="s">
        <v>624</v>
      </c>
      <c r="D230">
        <v>2350000</v>
      </c>
      <c r="E230" t="s">
        <v>348</v>
      </c>
      <c r="F230" s="21" t="str">
        <f t="shared" si="6"/>
        <v>rtdc.l.rtdc.4001:itc</v>
      </c>
      <c r="G230" s="8">
        <f t="shared" si="7"/>
        <v>42692.013101851851</v>
      </c>
    </row>
    <row r="231" spans="1:7" x14ac:dyDescent="0.25">
      <c r="A231" s="8">
        <v>42692.030601851853</v>
      </c>
      <c r="B231" t="s">
        <v>245</v>
      </c>
      <c r="C231" t="s">
        <v>625</v>
      </c>
      <c r="D231">
        <v>2230000</v>
      </c>
      <c r="E231" t="s">
        <v>572</v>
      </c>
      <c r="F231" s="21" t="str">
        <f t="shared" si="6"/>
        <v>rtdc.l.rtdc.4022:itc</v>
      </c>
      <c r="G231" s="8">
        <f t="shared" si="7"/>
        <v>42692.030601851853</v>
      </c>
    </row>
    <row r="232" spans="1:7" x14ac:dyDescent="0.25">
      <c r="A232" s="8">
        <v>42692.032175925924</v>
      </c>
      <c r="B232" t="s">
        <v>282</v>
      </c>
      <c r="C232" t="s">
        <v>626</v>
      </c>
      <c r="D232">
        <v>2370000</v>
      </c>
      <c r="E232" t="s">
        <v>586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236</v>
      </c>
      <c r="C233" t="s">
        <v>627</v>
      </c>
      <c r="D233">
        <v>2350000</v>
      </c>
      <c r="E233" t="s">
        <v>348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255</v>
      </c>
      <c r="C234" t="s">
        <v>628</v>
      </c>
      <c r="D234">
        <v>2440000</v>
      </c>
      <c r="E234" t="s">
        <v>351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244</v>
      </c>
      <c r="C235" t="s">
        <v>353</v>
      </c>
      <c r="D235">
        <v>2250000</v>
      </c>
      <c r="E235" t="s">
        <v>287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239</v>
      </c>
      <c r="C236" t="s">
        <v>352</v>
      </c>
      <c r="D236">
        <v>2540000</v>
      </c>
      <c r="E236" t="s">
        <v>298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217</v>
      </c>
      <c r="C237" t="s">
        <v>354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240</v>
      </c>
      <c r="C238" t="s">
        <v>355</v>
      </c>
      <c r="D238">
        <v>2540000</v>
      </c>
      <c r="E238" t="s">
        <v>298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356</v>
      </c>
      <c r="D239">
        <v>2620000</v>
      </c>
      <c r="E239" t="s">
        <v>300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357</v>
      </c>
      <c r="D240">
        <v>2250000</v>
      </c>
      <c r="E240" t="s">
        <v>287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239</v>
      </c>
      <c r="C241" t="s">
        <v>358</v>
      </c>
      <c r="D241">
        <v>2540000</v>
      </c>
      <c r="E241" t="s">
        <v>298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232</v>
      </c>
      <c r="C242" t="s">
        <v>359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244</v>
      </c>
      <c r="C243" t="s">
        <v>360</v>
      </c>
      <c r="D243">
        <v>2250000</v>
      </c>
      <c r="E243" t="s">
        <v>287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361</v>
      </c>
      <c r="D244">
        <v>2620000</v>
      </c>
      <c r="E244" t="s">
        <v>300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217</v>
      </c>
      <c r="C245" t="s">
        <v>318</v>
      </c>
      <c r="D245">
        <v>1800000</v>
      </c>
      <c r="E245" t="s">
        <v>276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296</v>
      </c>
      <c r="C246" t="s">
        <v>317</v>
      </c>
      <c r="D246">
        <v>2450000</v>
      </c>
      <c r="E246" t="s">
        <v>299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226</v>
      </c>
      <c r="C247" t="s">
        <v>319</v>
      </c>
      <c r="D247">
        <v>2620000</v>
      </c>
      <c r="E247" t="s">
        <v>300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221</v>
      </c>
      <c r="C248" t="s">
        <v>320</v>
      </c>
      <c r="D248">
        <v>2250000</v>
      </c>
      <c r="E248" t="s">
        <v>287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221</v>
      </c>
      <c r="C249" t="s">
        <v>320</v>
      </c>
      <c r="D249">
        <v>2250000</v>
      </c>
      <c r="E249" t="s">
        <v>287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232</v>
      </c>
      <c r="C250" t="s">
        <v>321</v>
      </c>
      <c r="D250">
        <v>1800000</v>
      </c>
      <c r="E250" t="s">
        <v>276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310</v>
      </c>
      <c r="C251" t="s">
        <v>322</v>
      </c>
      <c r="D251">
        <v>2620000</v>
      </c>
      <c r="E251" t="s">
        <v>300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256</v>
      </c>
      <c r="D252">
        <v>2610000</v>
      </c>
      <c r="E252" t="s">
        <v>238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235</v>
      </c>
      <c r="C253" t="s">
        <v>252</v>
      </c>
      <c r="D253">
        <v>2420000</v>
      </c>
      <c r="E253" t="s">
        <v>247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217</v>
      </c>
      <c r="C254" t="s">
        <v>257</v>
      </c>
      <c r="D254">
        <v>2000000</v>
      </c>
      <c r="E254" t="s">
        <v>229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241</v>
      </c>
      <c r="C255" t="s">
        <v>258</v>
      </c>
      <c r="D255">
        <v>2610000</v>
      </c>
      <c r="E255" t="s">
        <v>238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255</v>
      </c>
      <c r="C256" t="s">
        <v>259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245</v>
      </c>
      <c r="C257" t="s">
        <v>260</v>
      </c>
      <c r="D257">
        <v>2550000</v>
      </c>
      <c r="E257" t="s">
        <v>237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236</v>
      </c>
      <c r="C258" t="s">
        <v>254</v>
      </c>
      <c r="D258">
        <v>2420000</v>
      </c>
      <c r="E258" t="s">
        <v>247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232</v>
      </c>
      <c r="C259" t="s">
        <v>253</v>
      </c>
      <c r="D259">
        <v>2000000</v>
      </c>
      <c r="E259" t="s">
        <v>229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246</v>
      </c>
      <c r="C260" t="s">
        <v>261</v>
      </c>
      <c r="D260">
        <v>2550000</v>
      </c>
      <c r="E260" t="s">
        <v>237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251</v>
      </c>
      <c r="C261" t="s">
        <v>262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235</v>
      </c>
      <c r="C262" t="s">
        <v>263</v>
      </c>
      <c r="D262">
        <v>2420000</v>
      </c>
      <c r="E262" t="s">
        <v>247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217</v>
      </c>
      <c r="C263" t="s">
        <v>264</v>
      </c>
      <c r="D263">
        <v>2000000</v>
      </c>
      <c r="E263" t="s">
        <v>229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245</v>
      </c>
      <c r="C264" t="s">
        <v>265</v>
      </c>
      <c r="D264">
        <v>2550000</v>
      </c>
      <c r="E264" t="s">
        <v>237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255</v>
      </c>
      <c r="C265" t="s">
        <v>266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236</v>
      </c>
      <c r="C266" t="s">
        <v>267</v>
      </c>
      <c r="D266">
        <v>2420000</v>
      </c>
      <c r="E266" t="s">
        <v>247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232</v>
      </c>
      <c r="C267" t="s">
        <v>268</v>
      </c>
      <c r="D267">
        <v>2000000</v>
      </c>
      <c r="E267" t="s">
        <v>229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251</v>
      </c>
      <c r="C268" t="s">
        <v>269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629</v>
      </c>
      <c r="I1" s="164" t="s">
        <v>173</v>
      </c>
      <c r="J1" s="164" t="s">
        <v>174</v>
      </c>
      <c r="K1" s="164" t="s">
        <v>630</v>
      </c>
      <c r="L1" s="164" t="s">
        <v>168</v>
      </c>
      <c r="M1" s="164" t="s">
        <v>166</v>
      </c>
      <c r="N1" s="164" t="s">
        <v>161</v>
      </c>
      <c r="O1" s="164" t="s">
        <v>171</v>
      </c>
      <c r="P1" s="164" t="s">
        <v>165</v>
      </c>
      <c r="Q1" s="164" t="s">
        <v>172</v>
      </c>
      <c r="R1" s="184" t="s">
        <v>169</v>
      </c>
    </row>
    <row r="2" spans="1:18" x14ac:dyDescent="0.25">
      <c r="A2" s="165">
        <v>41.73</v>
      </c>
      <c r="B2" s="165">
        <v>0.66</v>
      </c>
      <c r="C2" s="165">
        <v>24.77</v>
      </c>
      <c r="D2" s="8">
        <v>42691</v>
      </c>
      <c r="E2" s="165">
        <v>0.47</v>
      </c>
      <c r="F2" s="165" t="s">
        <v>363</v>
      </c>
      <c r="G2" s="165">
        <v>256.05</v>
      </c>
      <c r="H2" s="165"/>
      <c r="I2" s="165">
        <v>0</v>
      </c>
      <c r="J2" s="165">
        <v>0</v>
      </c>
      <c r="K2" s="165"/>
      <c r="L2" s="165">
        <v>1004.12</v>
      </c>
      <c r="M2" s="165" t="s">
        <v>362</v>
      </c>
      <c r="N2" s="165">
        <v>43.86</v>
      </c>
      <c r="O2" s="165">
        <v>1479366000</v>
      </c>
      <c r="P2" s="165">
        <v>7.79</v>
      </c>
      <c r="Q2" s="165">
        <v>5</v>
      </c>
      <c r="R2" s="174">
        <v>4.07</v>
      </c>
    </row>
    <row r="3" spans="1:18" x14ac:dyDescent="0.25">
      <c r="A3" s="165">
        <v>39.619999999999997</v>
      </c>
      <c r="B3" s="165">
        <v>0.62</v>
      </c>
      <c r="C3" s="165">
        <v>25.73</v>
      </c>
      <c r="D3" s="8">
        <v>42691.041666666664</v>
      </c>
      <c r="E3" s="165">
        <v>0.54</v>
      </c>
      <c r="F3" s="165" t="s">
        <v>363</v>
      </c>
      <c r="G3" s="165">
        <v>256.27999999999997</v>
      </c>
      <c r="H3" s="165"/>
      <c r="I3" s="165">
        <v>0</v>
      </c>
      <c r="J3" s="165">
        <v>0</v>
      </c>
      <c r="K3" s="165"/>
      <c r="L3" s="165">
        <v>1005.09</v>
      </c>
      <c r="M3" s="165" t="s">
        <v>362</v>
      </c>
      <c r="N3" s="165">
        <v>41.3</v>
      </c>
      <c r="O3" s="165">
        <v>1479369600</v>
      </c>
      <c r="P3" s="165">
        <v>7.56</v>
      </c>
      <c r="Q3" s="165">
        <v>19</v>
      </c>
      <c r="R3" s="174">
        <v>3.19</v>
      </c>
    </row>
    <row r="4" spans="1:18" x14ac:dyDescent="0.25">
      <c r="A4" s="165">
        <v>38.31</v>
      </c>
      <c r="B4" s="165">
        <v>0.59</v>
      </c>
      <c r="C4" s="165">
        <v>25.46</v>
      </c>
      <c r="D4" s="8">
        <v>42691.083333333336</v>
      </c>
      <c r="E4" s="165">
        <v>0.6</v>
      </c>
      <c r="F4" s="165" t="s">
        <v>363</v>
      </c>
      <c r="G4" s="165">
        <v>256.52</v>
      </c>
      <c r="H4" s="165"/>
      <c r="I4" s="165">
        <v>0</v>
      </c>
      <c r="J4" s="165">
        <v>0</v>
      </c>
      <c r="K4" s="165"/>
      <c r="L4" s="165">
        <v>1005.83</v>
      </c>
      <c r="M4" s="165" t="s">
        <v>223</v>
      </c>
      <c r="N4" s="165">
        <v>38.31</v>
      </c>
      <c r="O4" s="165">
        <v>1479373200</v>
      </c>
      <c r="P4" s="165">
        <v>6.91</v>
      </c>
      <c r="Q4" s="165">
        <v>38</v>
      </c>
      <c r="R4" s="174">
        <v>2.2999999999999998</v>
      </c>
    </row>
    <row r="5" spans="1:18" x14ac:dyDescent="0.25">
      <c r="A5" s="165">
        <v>36.96</v>
      </c>
      <c r="B5" s="165">
        <v>0.65</v>
      </c>
      <c r="C5" s="165">
        <v>25.96</v>
      </c>
      <c r="D5" s="8">
        <v>42691.125</v>
      </c>
      <c r="E5" s="165">
        <v>0.64</v>
      </c>
      <c r="F5" s="165" t="s">
        <v>363</v>
      </c>
      <c r="G5" s="165">
        <v>257.26</v>
      </c>
      <c r="H5" s="165"/>
      <c r="I5" s="165">
        <v>0</v>
      </c>
      <c r="J5" s="165">
        <v>0</v>
      </c>
      <c r="K5" s="165"/>
      <c r="L5" s="165">
        <v>1005.98</v>
      </c>
      <c r="M5" s="165" t="s">
        <v>362</v>
      </c>
      <c r="N5" s="165">
        <v>36.96</v>
      </c>
      <c r="O5" s="165">
        <v>1479376800</v>
      </c>
      <c r="P5" s="165">
        <v>6.43</v>
      </c>
      <c r="Q5" s="165">
        <v>32</v>
      </c>
      <c r="R5" s="174">
        <v>1.93</v>
      </c>
    </row>
    <row r="6" spans="1:18" x14ac:dyDescent="0.25">
      <c r="A6" s="165">
        <v>35.979999999999997</v>
      </c>
      <c r="B6" s="165">
        <v>0.59</v>
      </c>
      <c r="C6" s="165">
        <v>26.33</v>
      </c>
      <c r="D6" s="8">
        <v>42691.166666666664</v>
      </c>
      <c r="E6" s="165">
        <v>0.68</v>
      </c>
      <c r="F6" s="165" t="s">
        <v>363</v>
      </c>
      <c r="G6" s="165">
        <v>258.23</v>
      </c>
      <c r="H6" s="165"/>
      <c r="I6" s="165">
        <v>0</v>
      </c>
      <c r="J6" s="165">
        <v>0</v>
      </c>
      <c r="K6" s="165"/>
      <c r="L6" s="165">
        <v>1005.86</v>
      </c>
      <c r="M6" s="165" t="s">
        <v>223</v>
      </c>
      <c r="N6" s="165">
        <v>35.979999999999997</v>
      </c>
      <c r="O6" s="165">
        <v>1479380400</v>
      </c>
      <c r="P6" s="165">
        <v>5.84</v>
      </c>
      <c r="Q6" s="165">
        <v>38</v>
      </c>
      <c r="R6" s="174">
        <v>1.98</v>
      </c>
    </row>
    <row r="7" spans="1:18" x14ac:dyDescent="0.25">
      <c r="A7" s="165">
        <v>35.590000000000003</v>
      </c>
      <c r="B7" s="165">
        <v>0.61</v>
      </c>
      <c r="C7" s="165">
        <v>26.77</v>
      </c>
      <c r="D7" s="8">
        <v>42691.208333333336</v>
      </c>
      <c r="E7" s="165">
        <v>0.7</v>
      </c>
      <c r="F7" s="165" t="s">
        <v>363</v>
      </c>
      <c r="G7" s="165">
        <v>259.20999999999998</v>
      </c>
      <c r="H7" s="165"/>
      <c r="I7" s="165">
        <v>0</v>
      </c>
      <c r="J7" s="165">
        <v>0</v>
      </c>
      <c r="K7" s="165"/>
      <c r="L7" s="165">
        <v>1005.56</v>
      </c>
      <c r="M7" s="165" t="s">
        <v>362</v>
      </c>
      <c r="N7" s="165">
        <v>35.590000000000003</v>
      </c>
      <c r="O7" s="165">
        <v>1479384000</v>
      </c>
      <c r="P7" s="165">
        <v>5.95</v>
      </c>
      <c r="Q7" s="165">
        <v>31</v>
      </c>
      <c r="R7" s="174">
        <v>2.29</v>
      </c>
    </row>
    <row r="8" spans="1:18" x14ac:dyDescent="0.25">
      <c r="A8" s="165">
        <v>35.19</v>
      </c>
      <c r="B8" s="165">
        <v>0.56000000000000005</v>
      </c>
      <c r="C8" s="165">
        <v>27.27</v>
      </c>
      <c r="D8" s="8">
        <v>42691.25</v>
      </c>
      <c r="E8" s="165">
        <v>0.73</v>
      </c>
      <c r="F8" s="165" t="s">
        <v>363</v>
      </c>
      <c r="G8" s="165">
        <v>259.75</v>
      </c>
      <c r="H8" s="165"/>
      <c r="I8" s="165">
        <v>0</v>
      </c>
      <c r="J8" s="165">
        <v>0</v>
      </c>
      <c r="K8" s="165"/>
      <c r="L8" s="165">
        <v>1005.15</v>
      </c>
      <c r="M8" s="165" t="s">
        <v>223</v>
      </c>
      <c r="N8" s="165">
        <v>35.19</v>
      </c>
      <c r="O8" s="165">
        <v>1479387600</v>
      </c>
      <c r="P8" s="165">
        <v>5.18</v>
      </c>
      <c r="Q8" s="165">
        <v>41</v>
      </c>
      <c r="R8" s="174">
        <v>2.35</v>
      </c>
    </row>
    <row r="9" spans="1:18" x14ac:dyDescent="0.25">
      <c r="A9" s="165">
        <v>35.520000000000003</v>
      </c>
      <c r="B9" s="165">
        <v>0.45</v>
      </c>
      <c r="C9" s="165">
        <v>27.57</v>
      </c>
      <c r="D9" s="8">
        <v>42691.291666666664</v>
      </c>
      <c r="E9" s="165">
        <v>0.73</v>
      </c>
      <c r="F9" s="165" t="s">
        <v>277</v>
      </c>
      <c r="G9" s="165">
        <v>260.3</v>
      </c>
      <c r="H9" s="165"/>
      <c r="I9" s="165">
        <v>0</v>
      </c>
      <c r="J9" s="165">
        <v>0</v>
      </c>
      <c r="K9" s="165"/>
      <c r="L9" s="165">
        <v>1004.77</v>
      </c>
      <c r="M9" s="165" t="s">
        <v>223</v>
      </c>
      <c r="N9" s="165">
        <v>35.520000000000003</v>
      </c>
      <c r="O9" s="165">
        <v>1479391200</v>
      </c>
      <c r="P9" s="165">
        <v>4.38</v>
      </c>
      <c r="Q9" s="165">
        <v>35</v>
      </c>
      <c r="R9" s="174">
        <v>2.9</v>
      </c>
    </row>
    <row r="10" spans="1:18" x14ac:dyDescent="0.25">
      <c r="A10" s="165">
        <v>33.67</v>
      </c>
      <c r="B10" s="165">
        <v>0.38</v>
      </c>
      <c r="C10" s="165">
        <v>28.42</v>
      </c>
      <c r="D10" s="8">
        <v>42691.333333333336</v>
      </c>
      <c r="E10" s="165">
        <v>0.73</v>
      </c>
      <c r="F10" s="165" t="s">
        <v>277</v>
      </c>
      <c r="G10" s="165">
        <v>262.01</v>
      </c>
      <c r="H10" s="165"/>
      <c r="I10" s="165">
        <v>0</v>
      </c>
      <c r="J10" s="165">
        <v>0</v>
      </c>
      <c r="K10" s="165"/>
      <c r="L10" s="165">
        <v>1004.48</v>
      </c>
      <c r="M10" s="165" t="s">
        <v>223</v>
      </c>
      <c r="N10" s="165">
        <v>36.39</v>
      </c>
      <c r="O10" s="165">
        <v>1479394800</v>
      </c>
      <c r="P10" s="165">
        <v>4</v>
      </c>
      <c r="Q10" s="165">
        <v>47</v>
      </c>
      <c r="R10" s="174">
        <v>3.51</v>
      </c>
    </row>
    <row r="11" spans="1:18" x14ac:dyDescent="0.25">
      <c r="A11" s="165">
        <v>33.06</v>
      </c>
      <c r="B11" s="165">
        <v>0.46</v>
      </c>
      <c r="C11" s="165">
        <v>29.21</v>
      </c>
      <c r="D11" s="8">
        <v>42691.375</v>
      </c>
      <c r="E11" s="165">
        <v>0.74</v>
      </c>
      <c r="F11" s="165" t="s">
        <v>277</v>
      </c>
      <c r="G11" s="165">
        <v>265.64999999999998</v>
      </c>
      <c r="H11" s="165"/>
      <c r="I11" s="165">
        <v>0</v>
      </c>
      <c r="J11" s="165">
        <v>0</v>
      </c>
      <c r="K11" s="165"/>
      <c r="L11" s="165">
        <v>1004.35</v>
      </c>
      <c r="M11" s="165" t="s">
        <v>223</v>
      </c>
      <c r="N11" s="165">
        <v>36.81</v>
      </c>
      <c r="O11" s="165">
        <v>1479398400</v>
      </c>
      <c r="P11" s="165">
        <v>3.84</v>
      </c>
      <c r="Q11" s="165">
        <v>30</v>
      </c>
      <c r="R11" s="174">
        <v>4.6100000000000003</v>
      </c>
    </row>
    <row r="12" spans="1:18" x14ac:dyDescent="0.25">
      <c r="A12" s="165">
        <v>32.54</v>
      </c>
      <c r="B12" s="165">
        <v>0.59</v>
      </c>
      <c r="C12" s="165">
        <v>29.54</v>
      </c>
      <c r="D12" s="8">
        <v>42691.416666666664</v>
      </c>
      <c r="E12" s="165">
        <v>0.75</v>
      </c>
      <c r="F12" s="165" t="s">
        <v>277</v>
      </c>
      <c r="G12" s="165">
        <v>270.45999999999998</v>
      </c>
      <c r="H12" s="165"/>
      <c r="I12" s="165">
        <v>0</v>
      </c>
      <c r="J12" s="165">
        <v>0</v>
      </c>
      <c r="K12" s="165"/>
      <c r="L12" s="165">
        <v>1004.32</v>
      </c>
      <c r="M12" s="165" t="s">
        <v>223</v>
      </c>
      <c r="N12" s="165">
        <v>36.65</v>
      </c>
      <c r="O12" s="165">
        <v>1479402000</v>
      </c>
      <c r="P12" s="165">
        <v>4.62</v>
      </c>
      <c r="Q12" s="165">
        <v>34</v>
      </c>
      <c r="R12" s="174">
        <v>5</v>
      </c>
    </row>
    <row r="13" spans="1:18" x14ac:dyDescent="0.25">
      <c r="A13" s="165">
        <v>32.82</v>
      </c>
      <c r="B13" s="165">
        <v>0.66</v>
      </c>
      <c r="C13" s="165">
        <v>29.66</v>
      </c>
      <c r="D13" s="8">
        <v>42691.458333333336</v>
      </c>
      <c r="E13" s="165">
        <v>0.75</v>
      </c>
      <c r="F13" s="165" t="s">
        <v>631</v>
      </c>
      <c r="G13" s="165">
        <v>275.23</v>
      </c>
      <c r="H13" s="165"/>
      <c r="I13" s="165">
        <v>5.4000000000000003E-3</v>
      </c>
      <c r="J13" s="165">
        <v>0.24</v>
      </c>
      <c r="K13" s="165" t="s">
        <v>631</v>
      </c>
      <c r="L13" s="165">
        <v>1004.21</v>
      </c>
      <c r="M13" s="165" t="s">
        <v>632</v>
      </c>
      <c r="N13" s="165">
        <v>36.97</v>
      </c>
      <c r="O13" s="165">
        <v>1479405600</v>
      </c>
      <c r="P13" s="165">
        <v>3.6</v>
      </c>
      <c r="Q13" s="165">
        <v>33</v>
      </c>
      <c r="R13" s="174">
        <v>5.1100000000000003</v>
      </c>
    </row>
    <row r="14" spans="1:18" x14ac:dyDescent="0.25">
      <c r="A14" s="165">
        <v>30.06</v>
      </c>
      <c r="B14" s="165">
        <v>0.6</v>
      </c>
      <c r="C14" s="165">
        <v>28.84</v>
      </c>
      <c r="D14" s="8">
        <v>42691.5</v>
      </c>
      <c r="E14" s="165">
        <v>0.77</v>
      </c>
      <c r="F14" s="165" t="s">
        <v>631</v>
      </c>
      <c r="G14" s="165">
        <v>279.85000000000002</v>
      </c>
      <c r="H14" s="165"/>
      <c r="I14" s="165">
        <v>2.0799999999999999E-2</v>
      </c>
      <c r="J14" s="165">
        <v>0.62</v>
      </c>
      <c r="K14" s="165" t="s">
        <v>631</v>
      </c>
      <c r="L14" s="165">
        <v>1003.68</v>
      </c>
      <c r="M14" s="165" t="s">
        <v>632</v>
      </c>
      <c r="N14" s="165">
        <v>35.17</v>
      </c>
      <c r="O14" s="165">
        <v>1479409200</v>
      </c>
      <c r="P14" s="165">
        <v>2.96</v>
      </c>
      <c r="Q14" s="165">
        <v>24</v>
      </c>
      <c r="R14" s="174">
        <v>5.92</v>
      </c>
    </row>
    <row r="15" spans="1:18" x14ac:dyDescent="0.25">
      <c r="A15" s="165">
        <v>28.91</v>
      </c>
      <c r="B15" s="165">
        <v>0.47</v>
      </c>
      <c r="C15" s="165">
        <v>30.39</v>
      </c>
      <c r="D15" s="8">
        <v>42691.541666666664</v>
      </c>
      <c r="E15" s="165">
        <v>0.85</v>
      </c>
      <c r="F15" s="165" t="s">
        <v>631</v>
      </c>
      <c r="G15" s="165">
        <v>284.43</v>
      </c>
      <c r="H15" s="165"/>
      <c r="I15" s="165">
        <v>2.6499999999999999E-2</v>
      </c>
      <c r="J15" s="165">
        <v>0.65</v>
      </c>
      <c r="K15" s="165" t="s">
        <v>631</v>
      </c>
      <c r="L15" s="165">
        <v>1003.58</v>
      </c>
      <c r="M15" s="165" t="s">
        <v>632</v>
      </c>
      <c r="N15" s="165">
        <v>34.51</v>
      </c>
      <c r="O15" s="165">
        <v>1479412800</v>
      </c>
      <c r="P15" s="165">
        <v>2.68</v>
      </c>
      <c r="Q15" s="165">
        <v>11</v>
      </c>
      <c r="R15" s="174">
        <v>6.43</v>
      </c>
    </row>
    <row r="16" spans="1:18" x14ac:dyDescent="0.25">
      <c r="A16" s="165">
        <v>29.24</v>
      </c>
      <c r="B16" s="165">
        <v>0.42</v>
      </c>
      <c r="C16" s="165">
        <v>31.42</v>
      </c>
      <c r="D16" s="8">
        <v>42691.583333333336</v>
      </c>
      <c r="E16" s="165">
        <v>0.88</v>
      </c>
      <c r="F16" s="165" t="s">
        <v>631</v>
      </c>
      <c r="G16" s="165">
        <v>288.11</v>
      </c>
      <c r="H16" s="165"/>
      <c r="I16" s="165">
        <v>3.3300000000000003E-2</v>
      </c>
      <c r="J16" s="165">
        <v>0.68</v>
      </c>
      <c r="K16" s="165" t="s">
        <v>631</v>
      </c>
      <c r="L16" s="165">
        <v>1004.52</v>
      </c>
      <c r="M16" s="165" t="s">
        <v>632</v>
      </c>
      <c r="N16" s="165">
        <v>34.57</v>
      </c>
      <c r="O16" s="165">
        <v>1479416400</v>
      </c>
      <c r="P16" s="165">
        <v>2.5099999999999998</v>
      </c>
      <c r="Q16" s="165">
        <v>11</v>
      </c>
      <c r="R16" s="174">
        <v>6.08</v>
      </c>
    </row>
    <row r="17" spans="1:18" x14ac:dyDescent="0.25">
      <c r="A17" s="165">
        <v>28.17</v>
      </c>
      <c r="B17" s="165">
        <v>0.48</v>
      </c>
      <c r="C17" s="165">
        <v>31.32</v>
      </c>
      <c r="D17" s="8">
        <v>42691.625</v>
      </c>
      <c r="E17" s="165">
        <v>0.9</v>
      </c>
      <c r="F17" s="165" t="s">
        <v>631</v>
      </c>
      <c r="G17" s="165">
        <v>290.67</v>
      </c>
      <c r="H17" s="165"/>
      <c r="I17" s="165">
        <v>3.1899999999999998E-2</v>
      </c>
      <c r="J17" s="165">
        <v>0.68</v>
      </c>
      <c r="K17" s="165" t="s">
        <v>631</v>
      </c>
      <c r="L17" s="165">
        <v>1006.82</v>
      </c>
      <c r="M17" s="165" t="s">
        <v>632</v>
      </c>
      <c r="N17" s="165">
        <v>34.020000000000003</v>
      </c>
      <c r="O17" s="165">
        <v>1479420000</v>
      </c>
      <c r="P17" s="165">
        <v>1.97</v>
      </c>
      <c r="Q17" s="165">
        <v>16</v>
      </c>
      <c r="R17" s="174">
        <v>6.65</v>
      </c>
    </row>
    <row r="18" spans="1:18" x14ac:dyDescent="0.25">
      <c r="A18" s="165">
        <v>26.73</v>
      </c>
      <c r="B18" s="165">
        <v>0.63</v>
      </c>
      <c r="C18" s="165">
        <v>31.41</v>
      </c>
      <c r="D18" s="8">
        <v>42691.666666666664</v>
      </c>
      <c r="E18" s="165">
        <v>0.92</v>
      </c>
      <c r="F18" s="165" t="s">
        <v>631</v>
      </c>
      <c r="G18" s="165">
        <v>292.33</v>
      </c>
      <c r="H18" s="165"/>
      <c r="I18" s="165">
        <v>2.7099999999999999E-2</v>
      </c>
      <c r="J18" s="165">
        <v>0.66</v>
      </c>
      <c r="K18" s="165" t="s">
        <v>631</v>
      </c>
      <c r="L18" s="165">
        <v>1010.16</v>
      </c>
      <c r="M18" s="165" t="s">
        <v>632</v>
      </c>
      <c r="N18" s="165">
        <v>33.54</v>
      </c>
      <c r="O18" s="165">
        <v>1479423600</v>
      </c>
      <c r="P18" s="165">
        <v>0.76</v>
      </c>
      <c r="Q18" s="165">
        <v>18</v>
      </c>
      <c r="R18" s="174">
        <v>7.98</v>
      </c>
    </row>
    <row r="19" spans="1:18" x14ac:dyDescent="0.25">
      <c r="A19" s="165">
        <v>21.67</v>
      </c>
      <c r="B19" s="165">
        <v>0.83</v>
      </c>
      <c r="C19" s="165">
        <v>28.35</v>
      </c>
      <c r="D19" s="8">
        <v>42691.708333333336</v>
      </c>
      <c r="E19" s="165">
        <v>0.93</v>
      </c>
      <c r="F19" s="165" t="s">
        <v>631</v>
      </c>
      <c r="G19" s="165">
        <v>292.82</v>
      </c>
      <c r="H19" s="165"/>
      <c r="I19" s="165">
        <v>3.2099999999999997E-2</v>
      </c>
      <c r="J19" s="165">
        <v>0.68</v>
      </c>
      <c r="K19" s="165" t="s">
        <v>631</v>
      </c>
      <c r="L19" s="165">
        <v>1013.23</v>
      </c>
      <c r="M19" s="165" t="s">
        <v>632</v>
      </c>
      <c r="N19" s="165">
        <v>30.1</v>
      </c>
      <c r="O19" s="165">
        <v>1479427200</v>
      </c>
      <c r="P19" s="165">
        <v>0.95</v>
      </c>
      <c r="Q19" s="165">
        <v>13</v>
      </c>
      <c r="R19" s="174">
        <v>9.4600000000000009</v>
      </c>
    </row>
    <row r="20" spans="1:18" x14ac:dyDescent="0.25">
      <c r="A20" s="165">
        <v>20.49</v>
      </c>
      <c r="B20" s="165">
        <v>0.92</v>
      </c>
      <c r="C20" s="165">
        <v>26.69</v>
      </c>
      <c r="D20" s="8">
        <v>42691.75</v>
      </c>
      <c r="E20" s="165">
        <v>0.93</v>
      </c>
      <c r="F20" s="165" t="s">
        <v>631</v>
      </c>
      <c r="G20" s="165">
        <v>291.72000000000003</v>
      </c>
      <c r="H20" s="165"/>
      <c r="I20" s="165">
        <v>4.3099999999999999E-2</v>
      </c>
      <c r="J20" s="165">
        <v>0.71</v>
      </c>
      <c r="K20" s="165" t="s">
        <v>631</v>
      </c>
      <c r="L20" s="165">
        <v>1015.88</v>
      </c>
      <c r="M20" s="165" t="s">
        <v>632</v>
      </c>
      <c r="N20" s="165">
        <v>28.37</v>
      </c>
      <c r="O20" s="165">
        <v>1479430800</v>
      </c>
      <c r="P20" s="165">
        <v>0.89</v>
      </c>
      <c r="Q20" s="165">
        <v>9</v>
      </c>
      <c r="R20" s="174">
        <v>7.9</v>
      </c>
    </row>
    <row r="21" spans="1:18" x14ac:dyDescent="0.25">
      <c r="A21" s="165">
        <v>19.760000000000002</v>
      </c>
      <c r="B21" s="165">
        <v>0.8</v>
      </c>
      <c r="C21" s="165">
        <v>25.78</v>
      </c>
      <c r="D21" s="8">
        <v>42691.791666666664</v>
      </c>
      <c r="E21" s="165">
        <v>0.94</v>
      </c>
      <c r="F21" s="165" t="s">
        <v>633</v>
      </c>
      <c r="G21" s="165">
        <v>289.45999999999998</v>
      </c>
      <c r="H21" s="165">
        <v>0.375</v>
      </c>
      <c r="I21" s="165">
        <v>3.5700000000000003E-2</v>
      </c>
      <c r="J21" s="165">
        <v>0.69</v>
      </c>
      <c r="K21" s="165" t="s">
        <v>633</v>
      </c>
      <c r="L21" s="165">
        <v>1018.36</v>
      </c>
      <c r="M21" s="165" t="s">
        <v>634</v>
      </c>
      <c r="N21" s="165">
        <v>27.39</v>
      </c>
      <c r="O21" s="165">
        <v>1479434400</v>
      </c>
      <c r="P21" s="165">
        <v>1.06</v>
      </c>
      <c r="Q21" s="165">
        <v>4</v>
      </c>
      <c r="R21" s="174">
        <v>7.25</v>
      </c>
    </row>
    <row r="22" spans="1:18" x14ac:dyDescent="0.25">
      <c r="A22" s="165">
        <v>21.36</v>
      </c>
      <c r="B22" s="165">
        <v>0.72</v>
      </c>
      <c r="C22" s="165">
        <v>25.86</v>
      </c>
      <c r="D22" s="8">
        <v>42691.833333333336</v>
      </c>
      <c r="E22" s="165">
        <v>0.94</v>
      </c>
      <c r="F22" s="165" t="s">
        <v>633</v>
      </c>
      <c r="G22" s="165">
        <v>287.02</v>
      </c>
      <c r="H22" s="165">
        <v>0.23100000000000001</v>
      </c>
      <c r="I22" s="165">
        <v>2.1899999999999999E-2</v>
      </c>
      <c r="J22" s="165">
        <v>0.63</v>
      </c>
      <c r="K22" s="165" t="s">
        <v>633</v>
      </c>
      <c r="L22" s="165">
        <v>1020.36</v>
      </c>
      <c r="M22" s="165" t="s">
        <v>634</v>
      </c>
      <c r="N22" s="165">
        <v>27.34</v>
      </c>
      <c r="O22" s="165">
        <v>1479438000</v>
      </c>
      <c r="P22" s="165">
        <v>2.0299999999999998</v>
      </c>
      <c r="Q22" s="165">
        <v>354</v>
      </c>
      <c r="R22" s="174">
        <v>5.24</v>
      </c>
    </row>
    <row r="23" spans="1:18" x14ac:dyDescent="0.25">
      <c r="A23" s="165">
        <v>22.31</v>
      </c>
      <c r="B23" s="165">
        <v>0.83</v>
      </c>
      <c r="C23" s="165">
        <v>26.06</v>
      </c>
      <c r="D23" s="8">
        <v>42691.875</v>
      </c>
      <c r="E23" s="165">
        <v>0.94</v>
      </c>
      <c r="F23" s="165" t="s">
        <v>633</v>
      </c>
      <c r="G23" s="165">
        <v>284.29000000000002</v>
      </c>
      <c r="H23" s="165">
        <v>0.15</v>
      </c>
      <c r="I23" s="165">
        <v>1.4500000000000001E-2</v>
      </c>
      <c r="J23" s="165">
        <v>0.56999999999999995</v>
      </c>
      <c r="K23" s="165" t="s">
        <v>633</v>
      </c>
      <c r="L23" s="165">
        <v>1021.69</v>
      </c>
      <c r="M23" s="165" t="s">
        <v>634</v>
      </c>
      <c r="N23" s="165">
        <v>27.58</v>
      </c>
      <c r="O23" s="165">
        <v>1479441600</v>
      </c>
      <c r="P23" s="165">
        <v>2.11</v>
      </c>
      <c r="Q23" s="165">
        <v>357</v>
      </c>
      <c r="R23" s="174">
        <v>4.59</v>
      </c>
    </row>
    <row r="24" spans="1:18" x14ac:dyDescent="0.25">
      <c r="A24" s="165">
        <v>23.85</v>
      </c>
      <c r="B24" s="165">
        <v>0.84</v>
      </c>
      <c r="C24" s="165">
        <v>26.07</v>
      </c>
      <c r="D24" s="8">
        <v>42691.916666666664</v>
      </c>
      <c r="E24" s="165">
        <v>0.93</v>
      </c>
      <c r="F24" s="165" t="s">
        <v>633</v>
      </c>
      <c r="G24" s="165">
        <v>281.37</v>
      </c>
      <c r="H24" s="165">
        <v>6.0999999999999999E-2</v>
      </c>
      <c r="I24" s="165">
        <v>5.8999999999999999E-3</v>
      </c>
      <c r="J24" s="165">
        <v>0.28000000000000003</v>
      </c>
      <c r="K24" s="165" t="s">
        <v>633</v>
      </c>
      <c r="L24" s="165">
        <v>1022.46</v>
      </c>
      <c r="M24" s="165" t="s">
        <v>635</v>
      </c>
      <c r="N24" s="165">
        <v>27.87</v>
      </c>
      <c r="O24" s="165">
        <v>1479445200</v>
      </c>
      <c r="P24" s="165">
        <v>3.1</v>
      </c>
      <c r="Q24" s="165">
        <v>2</v>
      </c>
      <c r="R24" s="174">
        <v>3.57</v>
      </c>
    </row>
    <row r="25" spans="1:18" x14ac:dyDescent="0.25">
      <c r="A25" s="165">
        <v>26.1</v>
      </c>
      <c r="B25" s="165">
        <v>0.82</v>
      </c>
      <c r="C25" s="165">
        <v>23.94</v>
      </c>
      <c r="D25" s="8">
        <v>42691.958333333336</v>
      </c>
      <c r="E25" s="165">
        <v>0.91</v>
      </c>
      <c r="F25" s="165" t="s">
        <v>363</v>
      </c>
      <c r="G25" s="165">
        <v>279.62</v>
      </c>
      <c r="H25" s="165">
        <v>8.9999999999999993E-3</v>
      </c>
      <c r="I25" s="165">
        <v>8.0000000000000004E-4</v>
      </c>
      <c r="J25" s="165">
        <v>0.01</v>
      </c>
      <c r="K25" s="165" t="s">
        <v>633</v>
      </c>
      <c r="L25" s="165">
        <v>1023.36</v>
      </c>
      <c r="M25" s="165" t="s">
        <v>362</v>
      </c>
      <c r="N25" s="165">
        <v>26.1</v>
      </c>
      <c r="O25" s="165">
        <v>1479448800</v>
      </c>
      <c r="P25" s="165">
        <v>3.26</v>
      </c>
      <c r="Q25" s="165">
        <v>341</v>
      </c>
      <c r="R25" s="174">
        <v>2.41</v>
      </c>
    </row>
    <row r="26" spans="1:18" x14ac:dyDescent="0.25">
      <c r="A26" s="165">
        <v>26.66</v>
      </c>
      <c r="B26" s="165">
        <v>0.71</v>
      </c>
      <c r="C26" s="165">
        <v>24.04</v>
      </c>
      <c r="D26" s="8">
        <v>42692</v>
      </c>
      <c r="E26" s="165">
        <v>0.9</v>
      </c>
      <c r="F26" s="165" t="s">
        <v>363</v>
      </c>
      <c r="G26" s="165">
        <v>280.64</v>
      </c>
      <c r="H26" s="165"/>
      <c r="I26" s="165">
        <v>0</v>
      </c>
      <c r="J26" s="165">
        <v>0</v>
      </c>
      <c r="K26" s="165"/>
      <c r="L26" s="165">
        <v>1024.96</v>
      </c>
      <c r="M26" s="165" t="s">
        <v>362</v>
      </c>
      <c r="N26" s="165">
        <v>26.66</v>
      </c>
      <c r="O26" s="165">
        <v>1479452400</v>
      </c>
      <c r="P26" s="165">
        <v>3.13</v>
      </c>
      <c r="Q26" s="165">
        <v>317</v>
      </c>
      <c r="R26" s="174">
        <v>1.58</v>
      </c>
    </row>
    <row r="27" spans="1:18" x14ac:dyDescent="0.25">
      <c r="A27" s="165">
        <v>25.65</v>
      </c>
      <c r="B27" s="165">
        <v>0.55000000000000004</v>
      </c>
      <c r="C27" s="165">
        <v>23.02</v>
      </c>
      <c r="D27" s="8">
        <v>42692.041666666664</v>
      </c>
      <c r="E27" s="165">
        <v>0.9</v>
      </c>
      <c r="F27" s="165" t="s">
        <v>363</v>
      </c>
      <c r="G27" s="165">
        <v>281.66000000000003</v>
      </c>
      <c r="H27" s="165"/>
      <c r="I27" s="165">
        <v>0</v>
      </c>
      <c r="J27" s="165">
        <v>0</v>
      </c>
      <c r="K27" s="165"/>
      <c r="L27" s="165">
        <v>1026.52</v>
      </c>
      <c r="M27" s="165" t="s">
        <v>223</v>
      </c>
      <c r="N27" s="165">
        <v>25.65</v>
      </c>
      <c r="O27" s="165">
        <v>1479456000</v>
      </c>
      <c r="P27" s="165">
        <v>3.16</v>
      </c>
      <c r="Q27" s="165">
        <v>200</v>
      </c>
      <c r="R27" s="174">
        <v>1.44</v>
      </c>
    </row>
    <row r="28" spans="1:18" x14ac:dyDescent="0.25">
      <c r="A28" s="165">
        <v>24.81</v>
      </c>
      <c r="B28" s="165">
        <v>0.46</v>
      </c>
      <c r="C28" s="165">
        <v>22.09</v>
      </c>
      <c r="D28" s="8">
        <v>42692.083333333336</v>
      </c>
      <c r="E28" s="165">
        <v>0.89</v>
      </c>
      <c r="F28" s="165" t="s">
        <v>363</v>
      </c>
      <c r="G28" s="165">
        <v>282.68</v>
      </c>
      <c r="H28" s="165"/>
      <c r="I28" s="165">
        <v>0</v>
      </c>
      <c r="J28" s="165">
        <v>0</v>
      </c>
      <c r="K28" s="165"/>
      <c r="L28" s="165">
        <v>1028.04</v>
      </c>
      <c r="M28" s="165" t="s">
        <v>223</v>
      </c>
      <c r="N28" s="165">
        <v>24.81</v>
      </c>
      <c r="O28" s="165">
        <v>1479459600</v>
      </c>
      <c r="P28" s="165">
        <v>7.72</v>
      </c>
      <c r="Q28" s="165">
        <v>71</v>
      </c>
      <c r="R28" s="174">
        <v>1.24</v>
      </c>
    </row>
    <row r="29" spans="1:18" x14ac:dyDescent="0.25">
      <c r="A29" s="165">
        <v>20.99</v>
      </c>
      <c r="B29" s="165">
        <v>0.46</v>
      </c>
      <c r="C29" s="165">
        <v>17.36</v>
      </c>
      <c r="D29" s="8">
        <v>42692.125</v>
      </c>
      <c r="E29" s="165">
        <v>0.86</v>
      </c>
      <c r="F29" s="165" t="s">
        <v>363</v>
      </c>
      <c r="G29" s="165">
        <v>281.94</v>
      </c>
      <c r="H29" s="165"/>
      <c r="I29" s="165">
        <v>0</v>
      </c>
      <c r="J29" s="165">
        <v>0</v>
      </c>
      <c r="K29" s="165"/>
      <c r="L29" s="165">
        <v>1029.49</v>
      </c>
      <c r="M29" s="165" t="s">
        <v>223</v>
      </c>
      <c r="N29" s="165">
        <v>20.99</v>
      </c>
      <c r="O29" s="165">
        <v>1479463200</v>
      </c>
      <c r="P29" s="165">
        <v>8.34</v>
      </c>
      <c r="Q29" s="165">
        <v>216</v>
      </c>
      <c r="R29" s="174">
        <v>0.35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772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773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774</v>
      </c>
      <c r="J20" t="s">
        <v>87</v>
      </c>
      <c r="M20" s="68" t="s">
        <v>243</v>
      </c>
    </row>
    <row r="21" spans="3:13" x14ac:dyDescent="0.25">
      <c r="C21" t="s">
        <v>775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776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777</v>
      </c>
      <c r="J23" s="29" t="s">
        <v>95</v>
      </c>
      <c r="K23" s="21"/>
      <c r="M23" s="69">
        <v>-7</v>
      </c>
    </row>
    <row r="24" spans="3:13" x14ac:dyDescent="0.25">
      <c r="C24" t="s">
        <v>778</v>
      </c>
      <c r="J24" s="21" t="s">
        <v>108</v>
      </c>
      <c r="K24" s="21"/>
      <c r="M24" s="68" t="s">
        <v>110</v>
      </c>
    </row>
    <row r="25" spans="3:13" x14ac:dyDescent="0.25">
      <c r="C25" t="s">
        <v>779</v>
      </c>
      <c r="J25" t="s">
        <v>151</v>
      </c>
      <c r="M25" s="68" t="b">
        <v>1</v>
      </c>
    </row>
    <row r="26" spans="3:13" x14ac:dyDescent="0.25">
      <c r="C26" t="s">
        <v>780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C:\Users\stu\Documents\GitHub\eaglep3-reporting\EC\2016-11-17-refined-times.txt</v>
      </c>
    </row>
    <row r="27" spans="3:13" x14ac:dyDescent="0.25">
      <c r="C27" t="s">
        <v>781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C:\Users\stu\Documents\GitHub\eaglep3-reporting\EC\2016-11-17-Enforcements.txt</v>
      </c>
    </row>
    <row r="28" spans="3:13" x14ac:dyDescent="0.25">
      <c r="C28" t="s">
        <v>782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C:\Users\stu\Documents\GitHub\eaglep3-reporting\EC\2016-11-17-Runs-Refined.txt</v>
      </c>
    </row>
    <row r="29" spans="3:13" x14ac:dyDescent="0.25">
      <c r="C29" t="s">
        <v>783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C:\Users\stu\Documents\GitHub\eaglep3-reporting\EC\2016-11-17-Trips.txt</v>
      </c>
    </row>
    <row r="30" spans="3:13" x14ac:dyDescent="0.25">
      <c r="C30" t="s">
        <v>784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C:\Users\stu\Documents\GitHub\eaglep3-reporting\EC\2016-11-17-Weather.txt</v>
      </c>
    </row>
    <row r="31" spans="3:13" x14ac:dyDescent="0.25">
      <c r="C31" t="s">
        <v>785</v>
      </c>
    </row>
    <row r="32" spans="3:13" x14ac:dyDescent="0.25">
      <c r="C32" t="s">
        <v>786</v>
      </c>
    </row>
    <row r="33" spans="3:3" x14ac:dyDescent="0.25">
      <c r="C33" t="s">
        <v>787</v>
      </c>
    </row>
    <row r="34" spans="3:3" x14ac:dyDescent="0.25">
      <c r="C34" t="s">
        <v>788</v>
      </c>
    </row>
    <row r="35" spans="3:3" x14ac:dyDescent="0.25">
      <c r="C35" t="s">
        <v>789</v>
      </c>
    </row>
    <row r="36" spans="3:3" x14ac:dyDescent="0.25">
      <c r="C36" t="s">
        <v>790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43"/>
  <sheetViews>
    <sheetView zoomScaleNormal="100" workbookViewId="0">
      <selection activeCell="C1" sqref="C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835</v>
      </c>
      <c r="B1" t="str">
        <f t="shared" ref="B1:B64" si="0">MID(A1,6,23)</f>
        <v>2016/11/17 11:24:21.977</v>
      </c>
      <c r="C1" t="e">
        <f>ABS(B1-#REF!)</f>
        <v>#REF!</v>
      </c>
    </row>
    <row r="2" spans="1:3" x14ac:dyDescent="0.25">
      <c r="A2" t="s">
        <v>824</v>
      </c>
      <c r="B2" s="21" t="str">
        <f t="shared" si="0"/>
        <v>2016/11/17 12:07:01.273</v>
      </c>
      <c r="C2">
        <f>ABS(B2-B1)</f>
        <v>2.9621481480717193E-2</v>
      </c>
    </row>
    <row r="3" spans="1:3" x14ac:dyDescent="0.25">
      <c r="A3" t="s">
        <v>828</v>
      </c>
      <c r="B3" s="21" t="str">
        <f t="shared" si="0"/>
        <v>2016/11/17 12:07:01.491</v>
      </c>
      <c r="C3" s="21">
        <f t="shared" ref="C3:C66" si="1">ABS(B3-B2)</f>
        <v>2.5231493054889143E-6</v>
      </c>
    </row>
    <row r="4" spans="1:3" x14ac:dyDescent="0.25">
      <c r="A4" t="s">
        <v>826</v>
      </c>
      <c r="B4" s="21" t="str">
        <f t="shared" si="0"/>
        <v>2016/11/17 12:07:01.859</v>
      </c>
      <c r="C4" s="21">
        <f t="shared" si="1"/>
        <v>4.2592582758516073E-6</v>
      </c>
    </row>
    <row r="5" spans="1:3" x14ac:dyDescent="0.25">
      <c r="A5" t="s">
        <v>827</v>
      </c>
      <c r="B5" s="21" t="str">
        <f t="shared" si="0"/>
        <v>2016/11/17 12:18:38.883</v>
      </c>
      <c r="C5" s="21">
        <f t="shared" si="1"/>
        <v>8.0674074124544859E-3</v>
      </c>
    </row>
    <row r="6" spans="1:3" x14ac:dyDescent="0.25">
      <c r="A6" t="s">
        <v>829</v>
      </c>
      <c r="B6" s="21" t="str">
        <f t="shared" si="0"/>
        <v>2016/11/17 12:18:39.529</v>
      </c>
      <c r="C6" s="21">
        <f t="shared" si="1"/>
        <v>7.4768468039110303E-6</v>
      </c>
    </row>
    <row r="7" spans="1:3" x14ac:dyDescent="0.25">
      <c r="A7" t="s">
        <v>825</v>
      </c>
      <c r="B7" s="21" t="str">
        <f t="shared" si="0"/>
        <v>2016/11/17 12:18:40.312</v>
      </c>
      <c r="C7" s="21">
        <f t="shared" si="1"/>
        <v>9.0625035227276385E-6</v>
      </c>
    </row>
    <row r="8" spans="1:3" x14ac:dyDescent="0.25">
      <c r="A8" t="s">
        <v>842</v>
      </c>
      <c r="B8" s="21" t="str">
        <f t="shared" si="0"/>
        <v>2016/11/17 12:29:21.434</v>
      </c>
      <c r="C8" s="21">
        <f t="shared" si="1"/>
        <v>7.4203935146215372E-3</v>
      </c>
    </row>
    <row r="9" spans="1:3" x14ac:dyDescent="0.25">
      <c r="A9" t="s">
        <v>844</v>
      </c>
      <c r="B9" s="21" t="str">
        <f t="shared" si="0"/>
        <v>2016/11/17 12:29:21.749</v>
      </c>
      <c r="C9" s="21">
        <f t="shared" si="1"/>
        <v>3.6458368413150311E-6</v>
      </c>
    </row>
    <row r="10" spans="1:3" x14ac:dyDescent="0.25">
      <c r="A10" t="s">
        <v>837</v>
      </c>
      <c r="B10" s="21" t="str">
        <f t="shared" si="0"/>
        <v>2016/11/17 12:29:22.115</v>
      </c>
      <c r="C10" s="21">
        <f t="shared" si="1"/>
        <v>4.2361134546808898E-6</v>
      </c>
    </row>
    <row r="11" spans="1:3" x14ac:dyDescent="0.25">
      <c r="A11" t="s">
        <v>856</v>
      </c>
      <c r="B11" s="21" t="str">
        <f t="shared" si="0"/>
        <v>2016/11/17 12:59:43.530</v>
      </c>
      <c r="C11" s="21">
        <f t="shared" si="1"/>
        <v>2.108119212789461E-2</v>
      </c>
    </row>
    <row r="12" spans="1:3" x14ac:dyDescent="0.25">
      <c r="A12" t="s">
        <v>859</v>
      </c>
      <c r="B12" s="21" t="str">
        <f t="shared" si="0"/>
        <v>2016/11/17 12:59:43.822</v>
      </c>
      <c r="C12" s="21">
        <f t="shared" si="1"/>
        <v>3.379631380084902E-6</v>
      </c>
    </row>
    <row r="13" spans="1:3" x14ac:dyDescent="0.25">
      <c r="A13" t="s">
        <v>862</v>
      </c>
      <c r="B13" s="21" t="str">
        <f t="shared" si="0"/>
        <v>2016/11/17 12:59:43.948</v>
      </c>
      <c r="C13" s="21">
        <f t="shared" si="1"/>
        <v>1.4583274605683982E-6</v>
      </c>
    </row>
    <row r="14" spans="1:3" x14ac:dyDescent="0.25">
      <c r="A14" t="s">
        <v>830</v>
      </c>
      <c r="B14" s="21" t="str">
        <f t="shared" si="0"/>
        <v>2016/11/17 13:44:19.896</v>
      </c>
      <c r="C14" s="21">
        <f t="shared" si="1"/>
        <v>3.0971620370110031E-2</v>
      </c>
    </row>
    <row r="15" spans="1:3" x14ac:dyDescent="0.25">
      <c r="A15" t="s">
        <v>832</v>
      </c>
      <c r="B15" s="21" t="str">
        <f t="shared" si="0"/>
        <v>2016/11/17 13:44:20.954</v>
      </c>
      <c r="C15" s="21">
        <f t="shared" si="1"/>
        <v>1.2245371181052178E-5</v>
      </c>
    </row>
    <row r="16" spans="1:3" x14ac:dyDescent="0.25">
      <c r="A16" t="s">
        <v>836</v>
      </c>
      <c r="B16" s="21" t="str">
        <f t="shared" si="0"/>
        <v>2016/11/17 14:02:37.986</v>
      </c>
      <c r="C16" s="21">
        <f t="shared" si="1"/>
        <v>1.2697129634034354E-2</v>
      </c>
    </row>
    <row r="17" spans="1:3" x14ac:dyDescent="0.25">
      <c r="A17" t="s">
        <v>834</v>
      </c>
      <c r="B17" s="21" t="str">
        <f t="shared" si="0"/>
        <v>2016/11/17 14:02:38.827</v>
      </c>
      <c r="C17" s="21">
        <f t="shared" si="1"/>
        <v>9.7337906481698155E-6</v>
      </c>
    </row>
    <row r="18" spans="1:3" x14ac:dyDescent="0.25">
      <c r="A18" t="s">
        <v>831</v>
      </c>
      <c r="B18" s="21" t="str">
        <f t="shared" si="0"/>
        <v>2016/11/17 14:07:38.880</v>
      </c>
      <c r="C18" s="21">
        <f t="shared" si="1"/>
        <v>3.4728356549749151E-3</v>
      </c>
    </row>
    <row r="19" spans="1:3" x14ac:dyDescent="0.25">
      <c r="A19" t="s">
        <v>833</v>
      </c>
      <c r="B19" s="21" t="str">
        <f t="shared" si="0"/>
        <v>2016/11/17 14:07:38.943</v>
      </c>
      <c r="C19" s="21">
        <f t="shared" si="1"/>
        <v>7.2916009230539203E-7</v>
      </c>
    </row>
    <row r="20" spans="1:3" x14ac:dyDescent="0.25">
      <c r="A20" t="s">
        <v>845</v>
      </c>
      <c r="B20" s="21" t="str">
        <f t="shared" si="0"/>
        <v>2016/11/17 14:15:55.041</v>
      </c>
      <c r="C20" s="21">
        <f t="shared" si="1"/>
        <v>5.7418750002398156E-3</v>
      </c>
    </row>
    <row r="21" spans="1:3" x14ac:dyDescent="0.25">
      <c r="A21" t="s">
        <v>843</v>
      </c>
      <c r="B21" s="21" t="str">
        <f t="shared" si="0"/>
        <v>2016/11/17 14:15:56.411</v>
      </c>
      <c r="C21" s="21">
        <f t="shared" si="1"/>
        <v>1.5856487152632326E-5</v>
      </c>
    </row>
    <row r="22" spans="1:3" x14ac:dyDescent="0.25">
      <c r="A22" t="s">
        <v>885</v>
      </c>
      <c r="B22" s="21" t="str">
        <f t="shared" si="0"/>
        <v>2016/11/17 14:20:23.062</v>
      </c>
      <c r="C22" s="21">
        <f t="shared" si="1"/>
        <v>3.0862384228385054E-3</v>
      </c>
    </row>
    <row r="23" spans="1:3" x14ac:dyDescent="0.25">
      <c r="A23" t="s">
        <v>887</v>
      </c>
      <c r="B23" s="21" t="str">
        <f t="shared" si="0"/>
        <v>2016/11/17 14:20:24.181</v>
      </c>
      <c r="C23" s="21">
        <f t="shared" si="1"/>
        <v>1.2951386452186853E-5</v>
      </c>
    </row>
    <row r="24" spans="1:3" x14ac:dyDescent="0.25">
      <c r="A24" t="s">
        <v>883</v>
      </c>
      <c r="B24" s="21" t="str">
        <f t="shared" si="0"/>
        <v>2016/11/17 14:20:24.246</v>
      </c>
      <c r="C24" s="21">
        <f t="shared" si="1"/>
        <v>7.5231946539133787E-7</v>
      </c>
    </row>
    <row r="25" spans="1:3" x14ac:dyDescent="0.25">
      <c r="A25" t="s">
        <v>915</v>
      </c>
      <c r="B25" s="21" t="str">
        <f t="shared" si="0"/>
        <v>2016/11/17 14:22:51.837</v>
      </c>
      <c r="C25" s="21">
        <f t="shared" si="1"/>
        <v>1.7082291669794358E-3</v>
      </c>
    </row>
    <row r="26" spans="1:3" x14ac:dyDescent="0.25">
      <c r="A26" t="s">
        <v>913</v>
      </c>
      <c r="B26" s="21" t="str">
        <f t="shared" si="0"/>
        <v>2016/11/17 14:22:52.180</v>
      </c>
      <c r="C26" s="21">
        <f t="shared" si="1"/>
        <v>3.9699079934507608E-6</v>
      </c>
    </row>
    <row r="27" spans="1:3" x14ac:dyDescent="0.25">
      <c r="A27" t="s">
        <v>896</v>
      </c>
      <c r="B27" s="21" t="str">
        <f t="shared" si="0"/>
        <v>2016/11/17 14:49:42.508</v>
      </c>
      <c r="C27" s="21">
        <f t="shared" si="1"/>
        <v>1.8638055553310551E-2</v>
      </c>
    </row>
    <row r="28" spans="1:3" x14ac:dyDescent="0.25">
      <c r="A28" t="s">
        <v>899</v>
      </c>
      <c r="B28" s="21" t="str">
        <f t="shared" si="0"/>
        <v>2016/11/17 14:49:43.063</v>
      </c>
      <c r="C28" s="21">
        <f t="shared" si="1"/>
        <v>6.4236082835122943E-6</v>
      </c>
    </row>
    <row r="29" spans="1:3" x14ac:dyDescent="0.25">
      <c r="A29" t="s">
        <v>901</v>
      </c>
      <c r="B29" s="21" t="str">
        <f t="shared" si="0"/>
        <v>2016/11/17 14:49:43.149</v>
      </c>
      <c r="C29" s="21">
        <f t="shared" si="1"/>
        <v>9.9537282949313521E-7</v>
      </c>
    </row>
    <row r="30" spans="1:3" x14ac:dyDescent="0.25">
      <c r="A30" t="s">
        <v>821</v>
      </c>
      <c r="B30" s="21" t="str">
        <f t="shared" si="0"/>
        <v>2016/11/17 14:57:47.578</v>
      </c>
      <c r="C30" s="21">
        <f t="shared" si="1"/>
        <v>5.6068171325023286E-3</v>
      </c>
    </row>
    <row r="31" spans="1:3" x14ac:dyDescent="0.25">
      <c r="A31" t="s">
        <v>818</v>
      </c>
      <c r="B31" s="21" t="str">
        <f t="shared" si="0"/>
        <v>2016/11/17 14:57:47.952</v>
      </c>
      <c r="C31" s="21">
        <f t="shared" si="1"/>
        <v>4.3287000153213739E-6</v>
      </c>
    </row>
    <row r="32" spans="1:3" x14ac:dyDescent="0.25">
      <c r="A32" t="s">
        <v>877</v>
      </c>
      <c r="B32" s="21" t="str">
        <f t="shared" si="0"/>
        <v>2016/11/17 15:05:15.170</v>
      </c>
      <c r="C32" s="21">
        <f t="shared" si="1"/>
        <v>5.1761342620011419E-3</v>
      </c>
    </row>
    <row r="33" spans="1:3" x14ac:dyDescent="0.25">
      <c r="A33" t="s">
        <v>914</v>
      </c>
      <c r="B33" s="21" t="str">
        <f t="shared" si="0"/>
        <v>2016/11/17 15:21:46.189</v>
      </c>
      <c r="C33" s="21">
        <f t="shared" si="1"/>
        <v>1.1470127312350087E-2</v>
      </c>
    </row>
    <row r="34" spans="1:3" x14ac:dyDescent="0.25">
      <c r="A34" t="s">
        <v>916</v>
      </c>
      <c r="B34" s="21" t="str">
        <f t="shared" si="0"/>
        <v>2016/11/17 15:21:46.847</v>
      </c>
      <c r="C34" s="21">
        <f t="shared" si="1"/>
        <v>7.6157448347657919E-6</v>
      </c>
    </row>
    <row r="35" spans="1:3" x14ac:dyDescent="0.25">
      <c r="A35" t="s">
        <v>912</v>
      </c>
      <c r="B35" s="21" t="str">
        <f t="shared" si="0"/>
        <v>2016/11/17 15:21:46.867</v>
      </c>
      <c r="C35" s="21">
        <f t="shared" si="1"/>
        <v>2.3147731553763151E-7</v>
      </c>
    </row>
    <row r="36" spans="1:3" x14ac:dyDescent="0.25">
      <c r="A36" t="s">
        <v>846</v>
      </c>
      <c r="B36" s="21" t="str">
        <f t="shared" si="0"/>
        <v>2016/11/17 16:02:51.044</v>
      </c>
      <c r="C36" s="21">
        <f t="shared" si="1"/>
        <v>2.8520567131636199E-2</v>
      </c>
    </row>
    <row r="37" spans="1:3" x14ac:dyDescent="0.25">
      <c r="A37" t="s">
        <v>838</v>
      </c>
      <c r="B37" s="21" t="str">
        <f t="shared" si="0"/>
        <v>2016/11/17 16:02:51.118</v>
      </c>
      <c r="C37" s="21">
        <f t="shared" si="1"/>
        <v>8.564820745959878E-7</v>
      </c>
    </row>
    <row r="38" spans="1:3" x14ac:dyDescent="0.25">
      <c r="A38" t="s">
        <v>847</v>
      </c>
      <c r="B38" s="21" t="str">
        <f t="shared" si="0"/>
        <v>2016/11/17 16:37:14.041</v>
      </c>
      <c r="C38" s="21">
        <f t="shared" si="1"/>
        <v>2.3876423605543096E-2</v>
      </c>
    </row>
    <row r="39" spans="1:3" x14ac:dyDescent="0.25">
      <c r="A39" t="s">
        <v>839</v>
      </c>
      <c r="B39" s="21" t="str">
        <f t="shared" si="0"/>
        <v>2016/11/17 16:37:15.109</v>
      </c>
      <c r="C39" s="21">
        <f t="shared" si="1"/>
        <v>1.2361117114778608E-5</v>
      </c>
    </row>
    <row r="40" spans="1:3" x14ac:dyDescent="0.25">
      <c r="A40" t="s">
        <v>865</v>
      </c>
      <c r="B40" s="21" t="str">
        <f t="shared" si="0"/>
        <v>2016/11/17 16:59:32.786</v>
      </c>
      <c r="C40" s="21">
        <f t="shared" si="1"/>
        <v>1.5482372684346046E-2</v>
      </c>
    </row>
    <row r="41" spans="1:3" x14ac:dyDescent="0.25">
      <c r="A41" t="s">
        <v>864</v>
      </c>
      <c r="B41" s="21" t="str">
        <f t="shared" si="0"/>
        <v>2016/11/17 16:59:32.962</v>
      </c>
      <c r="C41" s="21">
        <f t="shared" si="1"/>
        <v>2.0370353013277054E-6</v>
      </c>
    </row>
    <row r="42" spans="1:3" x14ac:dyDescent="0.25">
      <c r="A42" t="s">
        <v>822</v>
      </c>
      <c r="B42" s="21" t="str">
        <f t="shared" si="0"/>
        <v>2016/11/17 17:03:21.565</v>
      </c>
      <c r="C42" s="21">
        <f t="shared" si="1"/>
        <v>2.6458680586074479E-3</v>
      </c>
    </row>
    <row r="43" spans="1:3" x14ac:dyDescent="0.25">
      <c r="A43" t="s">
        <v>819</v>
      </c>
      <c r="B43" s="21" t="str">
        <f t="shared" si="0"/>
        <v>2016/11/17 17:03:21.946</v>
      </c>
      <c r="C43" s="21">
        <f t="shared" si="1"/>
        <v>4.4097178033553064E-6</v>
      </c>
    </row>
    <row r="44" spans="1:3" x14ac:dyDescent="0.25">
      <c r="A44" t="s">
        <v>890</v>
      </c>
      <c r="B44" s="21" t="str">
        <f t="shared" si="0"/>
        <v>2016/11/17 17:27:06.307</v>
      </c>
      <c r="C44" s="21">
        <f t="shared" si="1"/>
        <v>1.6485659725731239E-2</v>
      </c>
    </row>
    <row r="45" spans="1:3" x14ac:dyDescent="0.25">
      <c r="A45" t="s">
        <v>889</v>
      </c>
      <c r="B45" s="21" t="str">
        <f t="shared" si="0"/>
        <v>2016/11/17 17:27:06.345</v>
      </c>
      <c r="C45" s="21">
        <f t="shared" si="1"/>
        <v>4.3980980990454555E-7</v>
      </c>
    </row>
    <row r="46" spans="1:3" x14ac:dyDescent="0.25">
      <c r="A46" t="s">
        <v>891</v>
      </c>
      <c r="B46" s="21" t="str">
        <f t="shared" si="0"/>
        <v>2016/11/17 17:27:07.093</v>
      </c>
      <c r="C46" s="21">
        <f t="shared" si="1"/>
        <v>8.6574073066003621E-6</v>
      </c>
    </row>
    <row r="47" spans="1:3" x14ac:dyDescent="0.25">
      <c r="A47" t="s">
        <v>857</v>
      </c>
      <c r="B47" s="21" t="str">
        <f t="shared" si="0"/>
        <v>2016/11/17 17:50:21.558</v>
      </c>
      <c r="C47" s="21">
        <f t="shared" si="1"/>
        <v>1.6139641207701061E-2</v>
      </c>
    </row>
    <row r="48" spans="1:3" x14ac:dyDescent="0.25">
      <c r="A48" t="s">
        <v>860</v>
      </c>
      <c r="B48" s="21" t="str">
        <f t="shared" si="0"/>
        <v>2016/11/17 17:50:21.838</v>
      </c>
      <c r="C48" s="21">
        <f t="shared" si="1"/>
        <v>3.2407406251877546E-6</v>
      </c>
    </row>
    <row r="49" spans="1:3" x14ac:dyDescent="0.25">
      <c r="A49" t="s">
        <v>863</v>
      </c>
      <c r="B49" s="21" t="str">
        <f t="shared" si="0"/>
        <v>2016/11/17 17:50:21.954</v>
      </c>
      <c r="C49" s="21">
        <f t="shared" si="1"/>
        <v>1.3425888027995825E-6</v>
      </c>
    </row>
    <row r="50" spans="1:3" x14ac:dyDescent="0.25">
      <c r="A50" t="s">
        <v>878</v>
      </c>
      <c r="B50" s="21" t="str">
        <f t="shared" si="0"/>
        <v>2016/11/17 18:00:32.184</v>
      </c>
      <c r="C50" s="21">
        <f t="shared" si="1"/>
        <v>7.0628472240059637E-3</v>
      </c>
    </row>
    <row r="51" spans="1:3" x14ac:dyDescent="0.25">
      <c r="A51" t="s">
        <v>879</v>
      </c>
      <c r="B51" s="21" t="str">
        <f t="shared" si="0"/>
        <v>2016/11/17 18:00:32.205</v>
      </c>
      <c r="C51" s="21">
        <f t="shared" si="1"/>
        <v>2.4305336410179734E-7</v>
      </c>
    </row>
    <row r="52" spans="1:3" x14ac:dyDescent="0.25">
      <c r="A52" t="s">
        <v>880</v>
      </c>
      <c r="B52" s="21" t="str">
        <f t="shared" si="0"/>
        <v>2016/11/17 18:00:32.948</v>
      </c>
      <c r="C52" s="21">
        <f t="shared" si="1"/>
        <v>8.5995416156947613E-6</v>
      </c>
    </row>
    <row r="53" spans="1:3" x14ac:dyDescent="0.25">
      <c r="A53" t="s">
        <v>881</v>
      </c>
      <c r="B53" s="21" t="str">
        <f t="shared" si="0"/>
        <v>2016/11/17 18:00:32.966</v>
      </c>
      <c r="C53" s="21">
        <f t="shared" si="1"/>
        <v>2.0833249436691403E-7</v>
      </c>
    </row>
    <row r="54" spans="1:3" x14ac:dyDescent="0.25">
      <c r="A54" t="s">
        <v>848</v>
      </c>
      <c r="B54" s="21" t="str">
        <f t="shared" si="0"/>
        <v>2016/11/17 18:03:21.040</v>
      </c>
      <c r="C54" s="21">
        <f t="shared" si="1"/>
        <v>1.9453009226708673E-3</v>
      </c>
    </row>
    <row r="55" spans="1:3" x14ac:dyDescent="0.25">
      <c r="A55" t="s">
        <v>840</v>
      </c>
      <c r="B55" s="21" t="str">
        <f t="shared" si="0"/>
        <v>2016/11/17 18:03:22.114</v>
      </c>
      <c r="C55" s="21">
        <f t="shared" si="1"/>
        <v>1.2430558854248375E-5</v>
      </c>
    </row>
    <row r="56" spans="1:3" x14ac:dyDescent="0.25">
      <c r="A56" t="s">
        <v>858</v>
      </c>
      <c r="B56" s="21" t="str">
        <f t="shared" si="0"/>
        <v>2016/11/17 18:25:09.505</v>
      </c>
      <c r="C56" s="21">
        <f t="shared" si="1"/>
        <v>1.5131840278627351E-2</v>
      </c>
    </row>
    <row r="57" spans="1:3" x14ac:dyDescent="0.25">
      <c r="A57" t="s">
        <v>861</v>
      </c>
      <c r="B57" s="21" t="str">
        <f t="shared" si="0"/>
        <v>2016/11/17 18:25:09.807</v>
      </c>
      <c r="C57" s="21">
        <f t="shared" si="1"/>
        <v>3.4953700378537178E-6</v>
      </c>
    </row>
    <row r="58" spans="1:3" x14ac:dyDescent="0.25">
      <c r="A58" t="s">
        <v>897</v>
      </c>
      <c r="B58" s="21" t="str">
        <f t="shared" si="0"/>
        <v>2016/11/17 18:49:50.506</v>
      </c>
      <c r="C58" s="21">
        <f t="shared" si="1"/>
        <v>1.713771990762325E-2</v>
      </c>
    </row>
    <row r="59" spans="1:3" x14ac:dyDescent="0.25">
      <c r="A59" t="s">
        <v>900</v>
      </c>
      <c r="B59" s="21" t="str">
        <f t="shared" si="0"/>
        <v>2016/11/17 18:49:51.060</v>
      </c>
      <c r="C59" s="21">
        <f t="shared" si="1"/>
        <v>6.4120395109057426E-6</v>
      </c>
    </row>
    <row r="60" spans="1:3" x14ac:dyDescent="0.25">
      <c r="A60" t="s">
        <v>902</v>
      </c>
      <c r="B60" s="21" t="str">
        <f t="shared" si="0"/>
        <v>2016/11/17 18:49:51.144</v>
      </c>
      <c r="C60" s="21">
        <f t="shared" si="1"/>
        <v>9.7222073236480355E-7</v>
      </c>
    </row>
    <row r="61" spans="1:3" x14ac:dyDescent="0.25">
      <c r="A61" t="s">
        <v>823</v>
      </c>
      <c r="B61" s="21" t="str">
        <f t="shared" si="0"/>
        <v>2016/11/17 18:53:37.563</v>
      </c>
      <c r="C61" s="21">
        <f t="shared" si="1"/>
        <v>2.6205902759102173E-3</v>
      </c>
    </row>
    <row r="62" spans="1:3" x14ac:dyDescent="0.25">
      <c r="A62" t="s">
        <v>820</v>
      </c>
      <c r="B62" s="21" t="str">
        <f t="shared" si="0"/>
        <v>2016/11/17 18:53:37.937</v>
      </c>
      <c r="C62" s="21">
        <f t="shared" si="1"/>
        <v>4.3287000153213739E-6</v>
      </c>
    </row>
    <row r="63" spans="1:3" x14ac:dyDescent="0.25">
      <c r="A63" t="s">
        <v>903</v>
      </c>
      <c r="B63" s="21" t="str">
        <f t="shared" si="0"/>
        <v>2016/11/17 18:57:01.136</v>
      </c>
      <c r="C63" s="21">
        <f t="shared" si="1"/>
        <v>2.3518402813351713E-3</v>
      </c>
    </row>
    <row r="64" spans="1:3" x14ac:dyDescent="0.25">
      <c r="A64" t="s">
        <v>898</v>
      </c>
      <c r="B64" s="21" t="str">
        <f t="shared" si="0"/>
        <v>2016/11/17 18:57:01.501</v>
      </c>
      <c r="C64" s="21">
        <f t="shared" si="1"/>
        <v>4.224537406116724E-6</v>
      </c>
    </row>
    <row r="65" spans="1:3" x14ac:dyDescent="0.25">
      <c r="A65" t="s">
        <v>895</v>
      </c>
      <c r="B65" s="21" t="str">
        <f t="shared" ref="B65:B113" si="2">MID(A65,6,23)</f>
        <v>2016/11/17 19:01:58.264</v>
      </c>
      <c r="C65" s="21">
        <f t="shared" si="1"/>
        <v>3.4347569453530014E-3</v>
      </c>
    </row>
    <row r="66" spans="1:3" x14ac:dyDescent="0.25">
      <c r="A66" t="s">
        <v>894</v>
      </c>
      <c r="B66" s="21" t="str">
        <f t="shared" si="2"/>
        <v>2016/11/17 19:01:58.338</v>
      </c>
      <c r="C66" s="21">
        <f t="shared" si="1"/>
        <v>8.564820745959878E-7</v>
      </c>
    </row>
    <row r="67" spans="1:3" x14ac:dyDescent="0.25">
      <c r="A67" t="s">
        <v>849</v>
      </c>
      <c r="B67" s="21" t="str">
        <f t="shared" si="2"/>
        <v>2016/11/17 19:41:10.048</v>
      </c>
      <c r="C67" s="21">
        <f t="shared" ref="C67:C113" si="3">ABS(B67-B66)</f>
        <v>2.7218865739996545E-2</v>
      </c>
    </row>
    <row r="68" spans="1:3" x14ac:dyDescent="0.25">
      <c r="A68" t="s">
        <v>841</v>
      </c>
      <c r="B68" s="21" t="str">
        <f t="shared" si="2"/>
        <v>2016/11/17 19:41:10.105</v>
      </c>
      <c r="C68" s="21">
        <f t="shared" si="3"/>
        <v>6.5971835283562541E-7</v>
      </c>
    </row>
    <row r="69" spans="1:3" x14ac:dyDescent="0.25">
      <c r="A69" t="s">
        <v>886</v>
      </c>
      <c r="B69" s="21" t="str">
        <f t="shared" si="2"/>
        <v>2016/11/17 19:47:59.465</v>
      </c>
      <c r="C69" s="21">
        <f t="shared" si="3"/>
        <v>4.73796296864748E-3</v>
      </c>
    </row>
    <row r="70" spans="1:3" x14ac:dyDescent="0.25">
      <c r="A70" t="s">
        <v>888</v>
      </c>
      <c r="B70" s="21" t="str">
        <f t="shared" si="2"/>
        <v>2016/11/17 19:48:00.182</v>
      </c>
      <c r="C70" s="21">
        <f t="shared" si="3"/>
        <v>8.2986080087721348E-6</v>
      </c>
    </row>
    <row r="71" spans="1:3" x14ac:dyDescent="0.25">
      <c r="A71" t="s">
        <v>884</v>
      </c>
      <c r="B71" s="21" t="str">
        <f t="shared" si="2"/>
        <v>2016/11/17 19:48:00.239</v>
      </c>
      <c r="C71" s="21">
        <f t="shared" si="3"/>
        <v>6.5972562879323959E-7</v>
      </c>
    </row>
    <row r="72" spans="1:3" x14ac:dyDescent="0.25">
      <c r="A72" t="s">
        <v>870</v>
      </c>
      <c r="B72" s="21" t="str">
        <f t="shared" si="2"/>
        <v>2016/11/17 20:03:00.568</v>
      </c>
      <c r="C72" s="21">
        <f t="shared" si="3"/>
        <v>1.042047453665873E-2</v>
      </c>
    </row>
    <row r="73" spans="1:3" x14ac:dyDescent="0.25">
      <c r="A73" t="s">
        <v>866</v>
      </c>
      <c r="B73" s="21" t="str">
        <f t="shared" si="2"/>
        <v>2016/11/17 20:03:00.955</v>
      </c>
      <c r="C73" s="21">
        <f t="shared" si="3"/>
        <v>4.4791668187826872E-6</v>
      </c>
    </row>
    <row r="74" spans="1:3" x14ac:dyDescent="0.25">
      <c r="A74" t="s">
        <v>893</v>
      </c>
      <c r="B74" s="21" t="str">
        <f t="shared" si="2"/>
        <v>2016/11/17 21:14:56.758</v>
      </c>
      <c r="C74" s="21">
        <f t="shared" si="3"/>
        <v>4.9951423607126344E-2</v>
      </c>
    </row>
    <row r="75" spans="1:3" x14ac:dyDescent="0.25">
      <c r="A75" t="s">
        <v>892</v>
      </c>
      <c r="B75" s="21" t="str">
        <f t="shared" si="2"/>
        <v>2016/11/17 21:14:56.939</v>
      </c>
      <c r="C75" s="21">
        <f t="shared" si="3"/>
        <v>2.0949082681909204E-6</v>
      </c>
    </row>
    <row r="76" spans="1:3" x14ac:dyDescent="0.25">
      <c r="A76" t="s">
        <v>909</v>
      </c>
      <c r="B76" s="21" t="str">
        <f t="shared" si="2"/>
        <v>2016/11/17 21:32:03.168</v>
      </c>
      <c r="C76" s="21">
        <f t="shared" si="3"/>
        <v>1.1877650460519362E-2</v>
      </c>
    </row>
    <row r="77" spans="1:3" x14ac:dyDescent="0.25">
      <c r="A77" t="s">
        <v>871</v>
      </c>
      <c r="B77" s="21" t="str">
        <f t="shared" si="2"/>
        <v>2016/11/17 21:46:46.560</v>
      </c>
      <c r="C77" s="21">
        <f t="shared" si="3"/>
        <v>1.0224444449704606E-2</v>
      </c>
    </row>
    <row r="78" spans="1:3" x14ac:dyDescent="0.25">
      <c r="A78" t="s">
        <v>867</v>
      </c>
      <c r="B78" s="21" t="str">
        <f t="shared" si="2"/>
        <v>2016/11/17 21:46:46.937</v>
      </c>
      <c r="C78" s="21">
        <f t="shared" si="3"/>
        <v>4.3634208850562572E-6</v>
      </c>
    </row>
    <row r="79" spans="1:3" x14ac:dyDescent="0.25">
      <c r="A79" t="s">
        <v>868</v>
      </c>
      <c r="B79" s="21" t="str">
        <f t="shared" si="2"/>
        <v>2016/11/17 21:54:50.940</v>
      </c>
      <c r="C79" s="21">
        <f t="shared" si="3"/>
        <v>5.6018865798250772E-3</v>
      </c>
    </row>
    <row r="80" spans="1:3" x14ac:dyDescent="0.25">
      <c r="A80" t="s">
        <v>872</v>
      </c>
      <c r="B80" s="21" t="str">
        <f t="shared" si="2"/>
        <v>2016/11/17 21:54:51.563</v>
      </c>
      <c r="C80" s="21">
        <f t="shared" si="3"/>
        <v>7.2106413426809013E-6</v>
      </c>
    </row>
    <row r="81" spans="1:3" x14ac:dyDescent="0.25">
      <c r="A81" t="s">
        <v>882</v>
      </c>
      <c r="B81" s="21" t="str">
        <f t="shared" si="2"/>
        <v>2016/11/17 22:06:27.962</v>
      </c>
      <c r="C81" s="21">
        <f t="shared" si="3"/>
        <v>8.060173611738719E-3</v>
      </c>
    </row>
    <row r="82" spans="1:3" x14ac:dyDescent="0.25">
      <c r="A82" t="s">
        <v>873</v>
      </c>
      <c r="B82" s="21" t="str">
        <f t="shared" si="2"/>
        <v>2016/11/17 22:14:06.566</v>
      </c>
      <c r="C82" s="21">
        <f t="shared" si="3"/>
        <v>5.3079166682437062E-3</v>
      </c>
    </row>
    <row r="83" spans="1:3" x14ac:dyDescent="0.25">
      <c r="A83" t="s">
        <v>869</v>
      </c>
      <c r="B83" s="21" t="str">
        <f t="shared" si="2"/>
        <v>2016/11/17 22:14:06.943</v>
      </c>
      <c r="C83" s="21">
        <f t="shared" si="3"/>
        <v>4.3634281610138714E-6</v>
      </c>
    </row>
    <row r="84" spans="1:3" x14ac:dyDescent="0.25">
      <c r="A84" t="s">
        <v>812</v>
      </c>
      <c r="B84" s="21" t="str">
        <f t="shared" si="2"/>
        <v>2016/11/17 23:03:35.759</v>
      </c>
      <c r="C84" s="21">
        <f t="shared" si="3"/>
        <v>3.4361296296992805E-2</v>
      </c>
    </row>
    <row r="85" spans="1:3" x14ac:dyDescent="0.25">
      <c r="A85" t="s">
        <v>813</v>
      </c>
      <c r="B85" s="21" t="str">
        <f t="shared" si="2"/>
        <v>2016/11/17 23:03:35.763</v>
      </c>
      <c r="C85" s="21">
        <f t="shared" si="3"/>
        <v>4.6296918299049139E-8</v>
      </c>
    </row>
    <row r="86" spans="1:3" x14ac:dyDescent="0.25">
      <c r="A86" t="s">
        <v>814</v>
      </c>
      <c r="B86" s="21" t="str">
        <f t="shared" si="2"/>
        <v>2016/11/17 23:03:35.894</v>
      </c>
      <c r="C86" s="21">
        <f t="shared" si="3"/>
        <v>1.5162004274316132E-6</v>
      </c>
    </row>
    <row r="87" spans="1:3" x14ac:dyDescent="0.25">
      <c r="A87" t="s">
        <v>815</v>
      </c>
      <c r="B87" s="21" t="str">
        <f t="shared" si="2"/>
        <v>2016/11/17 23:03:35.899</v>
      </c>
      <c r="C87" s="21">
        <f t="shared" si="3"/>
        <v>5.787296686321497E-8</v>
      </c>
    </row>
    <row r="88" spans="1:3" x14ac:dyDescent="0.25">
      <c r="A88" t="s">
        <v>816</v>
      </c>
      <c r="B88" s="21" t="str">
        <f t="shared" si="2"/>
        <v>2016/11/17 23:03:35.974</v>
      </c>
      <c r="C88" s="21">
        <f t="shared" si="3"/>
        <v>8.6805084720253944E-7</v>
      </c>
    </row>
    <row r="89" spans="1:3" x14ac:dyDescent="0.25">
      <c r="A89" t="s">
        <v>817</v>
      </c>
      <c r="B89" s="21" t="str">
        <f t="shared" si="2"/>
        <v>2016/11/17 23:03:35.979</v>
      </c>
      <c r="C89" s="21">
        <f t="shared" si="3"/>
        <v>5.787296686321497E-8</v>
      </c>
    </row>
    <row r="90" spans="1:3" x14ac:dyDescent="0.25">
      <c r="A90" t="s">
        <v>910</v>
      </c>
      <c r="B90" s="21" t="str">
        <f t="shared" si="2"/>
        <v>2016/11/17 23:32:04.165</v>
      </c>
      <c r="C90" s="21">
        <f t="shared" si="3"/>
        <v>1.9770671293372288E-2</v>
      </c>
    </row>
    <row r="91" spans="1:3" x14ac:dyDescent="0.25">
      <c r="A91" t="s">
        <v>907</v>
      </c>
      <c r="B91" s="21" t="str">
        <f t="shared" si="2"/>
        <v>2016/11/17 23:32:04.664</v>
      </c>
      <c r="C91" s="21">
        <f t="shared" si="3"/>
        <v>5.7754659792408347E-6</v>
      </c>
    </row>
    <row r="92" spans="1:3" x14ac:dyDescent="0.25">
      <c r="A92" t="s">
        <v>911</v>
      </c>
      <c r="B92" s="21" t="str">
        <f t="shared" si="2"/>
        <v>2016/11/17 23:32:05.443</v>
      </c>
      <c r="C92" s="21">
        <f t="shared" si="3"/>
        <v>9.0162066044285893E-6</v>
      </c>
    </row>
    <row r="93" spans="1:3" x14ac:dyDescent="0.25">
      <c r="A93" t="s">
        <v>921</v>
      </c>
      <c r="B93" s="21" t="str">
        <f t="shared" si="2"/>
        <v>2016/11/17 23:35:35.164</v>
      </c>
      <c r="C93" s="21">
        <f t="shared" si="3"/>
        <v>2.4273263843497261E-3</v>
      </c>
    </row>
    <row r="94" spans="1:3" x14ac:dyDescent="0.25">
      <c r="A94" t="s">
        <v>923</v>
      </c>
      <c r="B94" s="21" t="str">
        <f t="shared" si="2"/>
        <v>2016/11/17 23:35:35.439</v>
      </c>
      <c r="C94" s="21">
        <f t="shared" si="3"/>
        <v>3.1828749342821538E-6</v>
      </c>
    </row>
    <row r="95" spans="1:3" x14ac:dyDescent="0.25">
      <c r="A95" t="s">
        <v>908</v>
      </c>
      <c r="B95" s="21" t="str">
        <f t="shared" si="2"/>
        <v>2016/11/17 23:35:35.660</v>
      </c>
      <c r="C95" s="21">
        <f t="shared" si="3"/>
        <v>2.5578701752237976E-6</v>
      </c>
    </row>
    <row r="96" spans="1:3" x14ac:dyDescent="0.25">
      <c r="A96" t="s">
        <v>919</v>
      </c>
      <c r="B96" s="21" t="str">
        <f t="shared" si="2"/>
        <v>2016/11/18 01:19:03.845</v>
      </c>
      <c r="C96" s="21">
        <f t="shared" si="3"/>
        <v>7.1853993053082377E-2</v>
      </c>
    </row>
    <row r="97" spans="1:3" x14ac:dyDescent="0.25">
      <c r="A97" t="s">
        <v>917</v>
      </c>
      <c r="B97" s="21" t="str">
        <f t="shared" si="2"/>
        <v>2016/11/18 01:19:03.873</v>
      </c>
      <c r="C97" s="21">
        <f t="shared" si="3"/>
        <v>3.2407115213572979E-7</v>
      </c>
    </row>
    <row r="98" spans="1:3" x14ac:dyDescent="0.25">
      <c r="A98" t="s">
        <v>918</v>
      </c>
      <c r="B98" s="21" t="str">
        <f t="shared" si="2"/>
        <v>2016/11/18 01:19:04.189</v>
      </c>
      <c r="C98" s="21">
        <f t="shared" si="3"/>
        <v>3.6574128898791969E-6</v>
      </c>
    </row>
    <row r="99" spans="1:3" x14ac:dyDescent="0.25">
      <c r="A99" t="s">
        <v>920</v>
      </c>
      <c r="B99" s="21" t="str">
        <f t="shared" si="2"/>
        <v>2016/11/18 02:29:49.671</v>
      </c>
      <c r="C99" s="21">
        <f t="shared" si="3"/>
        <v>4.913752314314479E-2</v>
      </c>
    </row>
    <row r="100" spans="1:3" x14ac:dyDescent="0.25">
      <c r="A100" t="s">
        <v>922</v>
      </c>
      <c r="B100" s="21" t="str">
        <f t="shared" si="2"/>
        <v>2016/11/18 02:29:50.174</v>
      </c>
      <c r="C100" s="21">
        <f t="shared" si="3"/>
        <v>5.8217628975398839E-6</v>
      </c>
    </row>
    <row r="101" spans="1:3" x14ac:dyDescent="0.25">
      <c r="A101" t="s">
        <v>924</v>
      </c>
      <c r="B101" s="21" t="str">
        <f t="shared" si="2"/>
        <v>2016/11/18 02:29:50.456</v>
      </c>
      <c r="C101" s="21">
        <f t="shared" si="3"/>
        <v>3.2638854463584721E-6</v>
      </c>
    </row>
    <row r="102" spans="1:3" x14ac:dyDescent="0.25">
      <c r="A102" t="s">
        <v>904</v>
      </c>
      <c r="B102" s="21" t="str">
        <f t="shared" si="2"/>
        <v>2016/11/18 02:56:19.507</v>
      </c>
      <c r="C102" s="21">
        <f t="shared" si="3"/>
        <v>1.8391793986666016E-2</v>
      </c>
    </row>
    <row r="103" spans="1:3" x14ac:dyDescent="0.25">
      <c r="A103" t="s">
        <v>905</v>
      </c>
      <c r="B103" s="21" t="str">
        <f t="shared" si="2"/>
        <v>2016/11/18 02:56:21.074</v>
      </c>
      <c r="C103" s="21">
        <f t="shared" si="3"/>
        <v>1.8136568542104214E-5</v>
      </c>
    </row>
    <row r="104" spans="1:3" x14ac:dyDescent="0.25">
      <c r="A104" t="s">
        <v>906</v>
      </c>
      <c r="B104" s="21" t="str">
        <f t="shared" si="2"/>
        <v>2016/11/18 02:56:21.155</v>
      </c>
      <c r="C104" s="21">
        <f t="shared" si="3"/>
        <v>9.3749986262992024E-7</v>
      </c>
    </row>
    <row r="105" spans="1:3" x14ac:dyDescent="0.25">
      <c r="A105" t="s">
        <v>853</v>
      </c>
      <c r="B105" s="21" t="str">
        <f t="shared" si="2"/>
        <v>2016/11/18 05:03:16.036</v>
      </c>
      <c r="C105" s="21">
        <f t="shared" si="3"/>
        <v>8.8135196761868428E-2</v>
      </c>
    </row>
    <row r="106" spans="1:3" x14ac:dyDescent="0.25">
      <c r="A106" t="s">
        <v>850</v>
      </c>
      <c r="B106" s="21" t="str">
        <f t="shared" si="2"/>
        <v>2016/11/18 05:03:16.107</v>
      </c>
      <c r="C106" s="21">
        <f t="shared" si="3"/>
        <v>8.2176120486110449E-7</v>
      </c>
    </row>
    <row r="107" spans="1:3" x14ac:dyDescent="0.25">
      <c r="A107" t="s">
        <v>854</v>
      </c>
      <c r="B107" s="21" t="str">
        <f t="shared" si="2"/>
        <v>2016/11/18 05:06:46.027</v>
      </c>
      <c r="C107" s="21">
        <f t="shared" si="3"/>
        <v>2.429629625112284E-3</v>
      </c>
    </row>
    <row r="108" spans="1:3" x14ac:dyDescent="0.25">
      <c r="A108" t="s">
        <v>851</v>
      </c>
      <c r="B108" s="21" t="str">
        <f t="shared" si="2"/>
        <v>2016/11/18 05:06:46.100</v>
      </c>
      <c r="C108" s="21">
        <f t="shared" si="3"/>
        <v>8.4491330198943615E-7</v>
      </c>
    </row>
    <row r="109" spans="1:3" x14ac:dyDescent="0.25">
      <c r="A109" t="s">
        <v>855</v>
      </c>
      <c r="B109" s="21" t="str">
        <f t="shared" si="2"/>
        <v>2016/11/18 06:27:16.039</v>
      </c>
      <c r="C109" s="21">
        <f t="shared" si="3"/>
        <v>5.5902071755554061E-2</v>
      </c>
    </row>
    <row r="110" spans="1:3" x14ac:dyDescent="0.25">
      <c r="A110" t="s">
        <v>852</v>
      </c>
      <c r="B110" s="21" t="str">
        <f t="shared" si="2"/>
        <v>2016/11/18 06:27:16.123</v>
      </c>
      <c r="C110" s="21">
        <f t="shared" si="3"/>
        <v>9.7222073236480355E-7</v>
      </c>
    </row>
    <row r="111" spans="1:3" x14ac:dyDescent="0.25">
      <c r="A111" t="s">
        <v>875</v>
      </c>
      <c r="B111" s="21" t="str">
        <f t="shared" si="2"/>
        <v>2016/11/18 06:57:43.828</v>
      </c>
      <c r="C111" s="21">
        <f t="shared" si="3"/>
        <v>2.1153993060579523E-2</v>
      </c>
    </row>
    <row r="112" spans="1:3" x14ac:dyDescent="0.25">
      <c r="A112" t="s">
        <v>876</v>
      </c>
      <c r="B112" s="21" t="str">
        <f t="shared" si="2"/>
        <v>2016/11/18 06:57:43.931</v>
      </c>
      <c r="C112" s="21">
        <f t="shared" si="3"/>
        <v>1.1921292752958834E-6</v>
      </c>
    </row>
    <row r="113" spans="1:3" x14ac:dyDescent="0.25">
      <c r="A113" t="s">
        <v>874</v>
      </c>
      <c r="B113" s="21" t="str">
        <f t="shared" si="2"/>
        <v>2016/11/18 06:57:44.385</v>
      </c>
      <c r="C113" s="21">
        <f t="shared" si="3"/>
        <v>5.2546238293871284E-6</v>
      </c>
    </row>
    <row r="114" spans="1:3" x14ac:dyDescent="0.25">
      <c r="B114" s="21"/>
      <c r="C114" s="21"/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  <row r="282" spans="2:3" x14ac:dyDescent="0.25">
      <c r="B282" s="21"/>
      <c r="C282" s="21"/>
    </row>
    <row r="283" spans="2:3" x14ac:dyDescent="0.25">
      <c r="B283" s="21"/>
      <c r="C283" s="21"/>
    </row>
    <row r="284" spans="2:3" x14ac:dyDescent="0.25">
      <c r="B284" s="21"/>
      <c r="C284" s="21"/>
    </row>
    <row r="285" spans="2:3" x14ac:dyDescent="0.25">
      <c r="B285" s="21"/>
      <c r="C285" s="21"/>
    </row>
    <row r="286" spans="2:3" x14ac:dyDescent="0.25">
      <c r="B286" s="21"/>
      <c r="C286" s="21"/>
    </row>
    <row r="287" spans="2:3" x14ac:dyDescent="0.25">
      <c r="B287" s="21"/>
      <c r="C287" s="21"/>
    </row>
    <row r="288" spans="2:3" x14ac:dyDescent="0.25">
      <c r="B288" s="21"/>
      <c r="C288" s="21"/>
    </row>
    <row r="289" spans="2:3" x14ac:dyDescent="0.25">
      <c r="B289" s="21"/>
      <c r="C289" s="21"/>
    </row>
    <row r="290" spans="2:3" x14ac:dyDescent="0.25">
      <c r="B290" s="21"/>
      <c r="C290" s="21"/>
    </row>
    <row r="291" spans="2:3" x14ac:dyDescent="0.25">
      <c r="B291" s="21"/>
      <c r="C291" s="21"/>
    </row>
    <row r="292" spans="2:3" x14ac:dyDescent="0.25">
      <c r="B292" s="21"/>
      <c r="C292" s="21"/>
    </row>
    <row r="293" spans="2:3" x14ac:dyDescent="0.25">
      <c r="B293" s="21"/>
      <c r="C293" s="21"/>
    </row>
    <row r="294" spans="2:3" x14ac:dyDescent="0.25">
      <c r="B294" s="21"/>
      <c r="C294" s="21"/>
    </row>
    <row r="295" spans="2:3" x14ac:dyDescent="0.25">
      <c r="B295" s="21"/>
      <c r="C295" s="21"/>
    </row>
    <row r="296" spans="2:3" x14ac:dyDescent="0.25">
      <c r="B296" s="21"/>
      <c r="C296" s="21"/>
    </row>
    <row r="297" spans="2:3" x14ac:dyDescent="0.25">
      <c r="B297" s="21"/>
      <c r="C297" s="21"/>
    </row>
    <row r="298" spans="2:3" x14ac:dyDescent="0.25">
      <c r="B298" s="21"/>
      <c r="C298" s="21"/>
    </row>
    <row r="299" spans="2:3" x14ac:dyDescent="0.25">
      <c r="B299" s="21"/>
      <c r="C299" s="21"/>
    </row>
    <row r="300" spans="2:3" x14ac:dyDescent="0.25">
      <c r="B300" s="21"/>
      <c r="C300" s="21"/>
    </row>
    <row r="301" spans="2:3" x14ac:dyDescent="0.25">
      <c r="B301" s="21"/>
      <c r="C301" s="21"/>
    </row>
    <row r="302" spans="2:3" x14ac:dyDescent="0.25">
      <c r="B302" s="21"/>
      <c r="C302" s="21"/>
    </row>
    <row r="303" spans="2:3" x14ac:dyDescent="0.25">
      <c r="B303" s="21"/>
      <c r="C303" s="21"/>
    </row>
    <row r="304" spans="2:3" x14ac:dyDescent="0.25">
      <c r="B304" s="21"/>
      <c r="C304" s="21"/>
    </row>
    <row r="305" spans="2:3" x14ac:dyDescent="0.25">
      <c r="B305" s="21"/>
      <c r="C305" s="21"/>
    </row>
    <row r="306" spans="2:3" x14ac:dyDescent="0.25">
      <c r="B306" s="21"/>
      <c r="C306" s="21"/>
    </row>
    <row r="307" spans="2:3" x14ac:dyDescent="0.25">
      <c r="B307" s="21"/>
      <c r="C307" s="21"/>
    </row>
    <row r="308" spans="2:3" x14ac:dyDescent="0.25">
      <c r="B308" s="21"/>
      <c r="C308" s="21"/>
    </row>
    <row r="309" spans="2:3" x14ac:dyDescent="0.25">
      <c r="B309" s="21"/>
      <c r="C309" s="21"/>
    </row>
    <row r="310" spans="2:3" x14ac:dyDescent="0.25">
      <c r="B310" s="21"/>
      <c r="C310" s="21"/>
    </row>
    <row r="311" spans="2:3" x14ac:dyDescent="0.25">
      <c r="B311" s="21"/>
      <c r="C311" s="21"/>
    </row>
    <row r="312" spans="2:3" x14ac:dyDescent="0.25">
      <c r="B312" s="21"/>
      <c r="C312" s="21"/>
    </row>
    <row r="313" spans="2:3" x14ac:dyDescent="0.25">
      <c r="B313" s="21"/>
      <c r="C313" s="21"/>
    </row>
    <row r="314" spans="2:3" x14ac:dyDescent="0.25">
      <c r="B314" s="21"/>
      <c r="C314" s="21"/>
    </row>
    <row r="315" spans="2:3" x14ac:dyDescent="0.25">
      <c r="B315" s="21"/>
      <c r="C315" s="21"/>
    </row>
    <row r="316" spans="2:3" x14ac:dyDescent="0.25">
      <c r="B316" s="21"/>
      <c r="C316" s="21"/>
    </row>
    <row r="317" spans="2:3" x14ac:dyDescent="0.25">
      <c r="B317" s="21"/>
      <c r="C317" s="21"/>
    </row>
    <row r="318" spans="2:3" x14ac:dyDescent="0.25">
      <c r="B318" s="21"/>
      <c r="C318" s="21"/>
    </row>
    <row r="319" spans="2:3" x14ac:dyDescent="0.25">
      <c r="B319" s="21"/>
      <c r="C319" s="21"/>
    </row>
    <row r="320" spans="2:3" x14ac:dyDescent="0.25">
      <c r="B320" s="21"/>
      <c r="C320" s="21"/>
    </row>
    <row r="321" spans="2:3" x14ac:dyDescent="0.25">
      <c r="B321" s="21"/>
      <c r="C321" s="21"/>
    </row>
    <row r="322" spans="2:3" x14ac:dyDescent="0.25">
      <c r="B322" s="21"/>
      <c r="C322" s="21"/>
    </row>
    <row r="323" spans="2:3" x14ac:dyDescent="0.25">
      <c r="B323" s="21"/>
      <c r="C323" s="21"/>
    </row>
    <row r="324" spans="2:3" x14ac:dyDescent="0.25">
      <c r="B324" s="21"/>
      <c r="C324" s="21"/>
    </row>
    <row r="325" spans="2:3" x14ac:dyDescent="0.25">
      <c r="B325" s="21"/>
      <c r="C325" s="21"/>
    </row>
    <row r="326" spans="2:3" x14ac:dyDescent="0.25">
      <c r="B326" s="21"/>
      <c r="C326" s="21"/>
    </row>
    <row r="327" spans="2:3" x14ac:dyDescent="0.25">
      <c r="B327" s="21"/>
      <c r="C327" s="21"/>
    </row>
    <row r="328" spans="2:3" x14ac:dyDescent="0.25">
      <c r="B328" s="21"/>
      <c r="C328" s="21"/>
    </row>
    <row r="329" spans="2:3" x14ac:dyDescent="0.25">
      <c r="B329" s="21"/>
      <c r="C329" s="21"/>
    </row>
    <row r="330" spans="2:3" x14ac:dyDescent="0.25">
      <c r="B330" s="21"/>
      <c r="C330" s="21"/>
    </row>
    <row r="331" spans="2:3" x14ac:dyDescent="0.25">
      <c r="B331" s="21"/>
      <c r="C331" s="21"/>
    </row>
    <row r="332" spans="2:3" x14ac:dyDescent="0.25">
      <c r="B332" s="21"/>
      <c r="C332" s="21"/>
    </row>
    <row r="333" spans="2:3" x14ac:dyDescent="0.25">
      <c r="B333" s="21"/>
      <c r="C333" s="21"/>
    </row>
    <row r="334" spans="2:3" x14ac:dyDescent="0.25">
      <c r="B334" s="21"/>
      <c r="C334" s="21"/>
    </row>
    <row r="335" spans="2:3" x14ac:dyDescent="0.25">
      <c r="B335" s="21"/>
      <c r="C335" s="21"/>
    </row>
    <row r="336" spans="2:3" x14ac:dyDescent="0.25">
      <c r="B336" s="21"/>
      <c r="C336" s="21"/>
    </row>
    <row r="337" spans="2:3" x14ac:dyDescent="0.25">
      <c r="B337" s="21"/>
      <c r="C337" s="21"/>
    </row>
    <row r="338" spans="2:3" x14ac:dyDescent="0.25">
      <c r="B338" s="21"/>
      <c r="C338" s="21"/>
    </row>
    <row r="339" spans="2:3" x14ac:dyDescent="0.25">
      <c r="B339" s="21"/>
      <c r="C339" s="21"/>
    </row>
    <row r="340" spans="2:3" x14ac:dyDescent="0.25">
      <c r="B340" s="21"/>
      <c r="C340" s="21"/>
    </row>
    <row r="341" spans="2:3" x14ac:dyDescent="0.25">
      <c r="B341" s="21"/>
      <c r="C341" s="21"/>
    </row>
    <row r="342" spans="2:3" x14ac:dyDescent="0.25">
      <c r="B342" s="21"/>
      <c r="C342" s="21"/>
    </row>
    <row r="343" spans="2:3" x14ac:dyDescent="0.25">
      <c r="B343" s="21"/>
      <c r="C343" s="21"/>
    </row>
  </sheetData>
  <sortState ref="A1:A343">
    <sortCondition ref="A1:A343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2016-11-22T17:41:34Z</dcterms:modified>
</cp:coreProperties>
</file>